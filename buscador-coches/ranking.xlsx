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SUMA">Supuestos!$B$13</definedName>
    <definedName name="ANIO_ACTUAL">Supuestos!$B$17</definedName>
    <definedName name="ANIO_MIN">Supuestos!$B$18</definedName>
    <definedName name="KM_MAX">Supuestos!$B$19</definedName>
    <definedName name="PRECIO_MAX">Supuestos!$B$20</definedName>
    <definedName name="TOTAL_MAX">Supuestos!$B$21</definedName>
    <definedName name="SEG_ANIO">Supuestos!$B$22</definedName>
    <definedName name="SEG_KM">Supuestos!$B$23</definedName>
    <definedName name="MIN_N">Supuestos!$B$24</definedName>
    <definedName name="PRECIO_PEND">Supuestos!$B$25</definedName>
    <definedName name="KMA_IDEAL_MAX">Supuestos!$B$26</definedName>
    <definedName name="KMA_CERO">Supuestos!$B$27</definedName>
    <definedName name="KMA_SOSP">Supuestos!$B$28</definedName>
    <definedName name="KMA_PEN">Supuestos!$B$29</definedName>
    <definedName name="W_KMT">Supuestos!$B$30</definedName>
    <definedName name="W_KMA">Supuestos!$B$31</definedName>
    <definedName name="W_EDAD">Supuestos!$B$32</definedName>
    <definedName name="P_ITV">Supuestos!$B$33</definedName>
    <definedName name="P_LIBRO">Supuestos!$B$34</definedName>
    <definedName name="P_CORREA">Supuestos!$B$35</definedName>
    <definedName name="P_PROP">Supuestos!$B$36</definedName>
    <definedName name="P_GAR">Supuestos!$B$37</definedName>
    <definedName name="P_FOTOS">Supuestos!$B$38</definedName>
    <definedName name="FOTOS_OBJ">Supuestos!$B$39</definedName>
    <definedName name="W_ET">Supuestos!$B$40</definedName>
    <definedName name="W_CONS">Supuestos!$B$41</definedName>
    <definedName name="W_SEG">Supuestos!$B$42</definedName>
    <definedName name="NEUTRO">Supuestos!$B$43</definedName>
    <definedName name="SG_GAR">Supuestos!$B$44</definedName>
    <definedName name="SG_GAR_FULL">Supuestos!$B$45</definedName>
    <definedName name="SG_AMPL">Supuestos!$B$46</definedName>
    <definedName name="SG_KMC">Supuestos!$B$47</definedName>
    <definedName name="SG_REV">Supuestos!$B$48</definedName>
    <definedName name="SG_DEV">Supuestos!$B$49</definedName>
    <definedName name="SG_DEV_FULL">Supuestos!$B$50</definedName>
    <definedName name="SG_HIST">Supuestos!$B$51</definedName>
    <definedName name="SG_LEGAL_ON">Supuestos!$B$52</definedName>
    <definedName name="GAR_LEGAL">Supuestos!$B$53</definedName>
    <definedName name="ITP_TIPO">Supuestos!$B$57</definedName>
    <definedName name="CUOTA_VALOR_MAX">Supuestos!$B$58</definedName>
    <definedName name="TASA_DGT">Supuestos!$B$59</definedName>
    <definedName name="INFORME_DGT">Supuestos!$B$60</definedName>
    <definedName name="ITP_TRAMO_ALTO">Supuestos!$B$61</definedName>
    <definedName name="ITP_TRAMO_BAJO">Supuestos!$B$62</definedName>
    <definedName name="CF_MAS">Supuestos!$A$68:$A$73</definedName>
    <definedName name="CF_CCMIN">Supuestos!$B$68:$B$73</definedName>
    <definedName name="CF_CCMAX">Supuestos!$C$68:$C$73</definedName>
    <definedName name="CF_CUOTA">Supuestos!$D$68:$D$73</definedName>
    <definedName name="GAS_C">Supuestos!$B$79</definedName>
    <definedName name="GAS_B">Supuestos!$B$80</definedName>
    <definedName name="DIE_C">Supuestos!$B$81</definedName>
    <definedName name="DIE_B">Supuestos!$B$82</definedName>
    <definedName name="ETQ_TBL">Supuestos!$A$86:$B$90</definedName>
    <definedName name="SEGURO_TBL">Supuestos!$A$95:$D$96</definedName>
    <definedName name="SEG_REF_MIN">Supuestos!$B$98</definedName>
    <definedName name="SEG_REF_MAX">Supuestos!$B$99</definedName>
    <definedName name="TUV_MEDIAS">Supuestos!$A$103:$B$104</definedName>
    <definedName name="OCU_TBL">Supuestos!$A$108:$B$111</definedName>
    <definedName name="ADAC_TBL">Supuestos!$A$115:$B$201</definedName>
    <definedName name="ADAC_REF">Supuestos!$B$202</definedName>
    <definedName name="MOD_TBL">Supuestos!$A$206:$N$244</definedName>
    <definedName name="MOT_MARCA">Supuestos!$A$248:$A$257</definedName>
    <definedName name="MOT_MOTOR">Supuestos!$B$248:$B$257</definedName>
    <definedName name="MOT_DESDE">Supuestos!$C$248:$C$257</definedName>
    <definedName name="MOT_HASTA">Supuestos!$D$248:$D$257</definedName>
    <definedName name="MOT_AJUSTE">Supuestos!$E$248:$E$257</definedName>
    <definedName name="COMB_COMB">Supuestos!$A$262:$A$262</definedName>
    <definedName name="COMB_AJUSTE">Supuestos!$B$262:$B$262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N1" authorId="0" shapeId="0">
      <text>
        <t>Calculada en Python (src/scoring.py: market_medians) con los anuncios vistos en los listados de las plataformas (tabla 'mercado' de data/listings.sqlite), mismo esquema de segmentos.</t>
      </text>
    </comment>
    <comment ref="BC1" authorId="0" shapeId="0">
      <text>
        <t>Si hay MIN_N o más anuncios de mercado del segmento (todos los vistos en los listados, también &gt; precio máx.), usa la mediana de mercado; si no, fórmula matricial con la mediana de esta hoja (modelo+año+km, subiendo de nivel).</t>
      </text>
    </comment>
    <comment ref="BZ1" authorId="0" shapeId="0">
      <text>
        <t>Cuota fija CV por antigüedad y cilindrada si valor &lt; CUOTA_VALOR_MAX; si no, tipo porcentual. Profesional: 0.</t>
      </text>
    </comment>
    <comment ref="CG1" authorId="0" shapeId="0">
      <text>
        <t>Desempate por orden de fila.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peugeot-207-14-confort-con-116183km-2008-b9auzqaa" TargetMode="External" Id="rId1"/><Relationship Type="http://schemas.openxmlformats.org/officeDocument/2006/relationships/hyperlink" Target="https://www.autoscout24.es/anuncios/seat-ibiza-1-4-sport-gasolina-cat_ma64mo2006-e82e2b46-304d-45e7-b319-e5896690fc01" TargetMode="External" Id="rId2"/><Relationship Type="http://schemas.openxmlformats.org/officeDocument/2006/relationships/hyperlink" Target="https://www.autoscout24.es/anuncios/volkswagen-polo-1-2-advance-bmt-gasolina-gris-cat_ma74mo2090-827f958f-8688-4b6d-8737-916b285573e8" TargetMode="External" Id="rId3"/><Relationship Type="http://schemas.openxmlformats.org/officeDocument/2006/relationships/hyperlink" Target="https://www.autoscout24.es/anuncios/opel-corsa-1-2-essentia-gasolina-cat_ma54mo1918-eedca07e-c241-4b5e-92f9-ca201479b1f6" TargetMode="External" Id="rId4"/><Relationship Type="http://schemas.openxmlformats.org/officeDocument/2006/relationships/hyperlink" Target="https://www.autoscout24.es/anuncios/opel-corsa-1-4-c-mon-139co2-gasolina-gris-cat_ma54mo1918-530a78a6-41a7-4caa-9407-81ae2c44ad35" TargetMode="External" Id="rId5"/><Relationship Type="http://schemas.openxmlformats.org/officeDocument/2006/relationships/hyperlink" Target="https://www.autoscout24.es/anuncios/opel-corsa-gasolina-cat_ma54mo1918-98e81ab3-945a-4a40-a02e-686a76c720ea" TargetMode="External" Id="rId6"/><Relationship Type="http://schemas.openxmlformats.org/officeDocument/2006/relationships/hyperlink" Target="https://www.autoscout24.es/anuncios/peugeot-207-207-1-4i-confort-75-confort-gasolina-negro-cat_ma55mo18797-a9f25c00-f19e-4e5c-80ed-f8556168c772" TargetMode="External" Id="rId7"/><Relationship Type="http://schemas.openxmlformats.org/officeDocument/2006/relationships/hyperlink" Target="https://www.autoscout24.es/anuncios/ford-fiesta-1-3-ambiente-gasolina-gris-cat_ma29mo1758-cb47557d-00cb-449b-8153-e5de1e64bdaf" TargetMode="External" Id="rId8"/><Relationship Type="http://schemas.openxmlformats.org/officeDocument/2006/relationships/hyperlink" Target="https://www.autoscout24.es/anuncios/fiat-punto-punto-1-2-feel-classic-feel-classic-gasolina-rojo-cat_ma28mo1747-c0e51c94-8ec0-4a36-8134-caae0331b183" TargetMode="External" Id="rId9"/><Relationship Type="http://schemas.openxmlformats.org/officeDocument/2006/relationships/hyperlink" Target="https://www.autoscout24.es/anuncios/fiat-500-500-0-9-t-twinair-pop-85-pop-gasolina-azul-cat_ma28mo15160-8b610c99-c37b-4f70-8870-40b71f5c62f6" TargetMode="External" Id="rId10"/><Relationship Type="http://schemas.openxmlformats.org/officeDocument/2006/relationships/hyperlink" Target="https://www.autoscout24.es/anuncios/chevrolet-aveo-sedan-1-4-16v-lt-gasolina-gris-cat_ma19mo18685-5df9bdd9-27ce-4647-b70f-976633b13f7a" TargetMode="External" Id="rId11"/><Relationship Type="http://schemas.openxmlformats.org/officeDocument/2006/relationships/hyperlink" Target="https://www.autoscout24.es/anuncios/chevrolet-aveo-aveo-1-4-16v-ls-ls-gasolina-blanco-cat_ma19mo18685-10ad7f0c-c270-4daf-8b53-d4973d7d0201" TargetMode="External" Id="rId12"/><Relationship Type="http://schemas.openxmlformats.org/officeDocument/2006/relationships/hyperlink" Target="https://es.wallapop.com/item/toyota-prius-2009-1254410344" TargetMode="External" Id="rId13"/><Relationship Type="http://schemas.openxmlformats.org/officeDocument/2006/relationships/hyperlink" Target="https://es.wallapop.com/item/hyundai-i10-2008-1306889282" TargetMode="External" Id="rId14"/><Relationship Type="http://schemas.openxmlformats.org/officeDocument/2006/relationships/hyperlink" Target="https://es.wallapop.com/item/hyundai-i30-2009-1303258356" TargetMode="External" Id="rId15"/><Relationship Type="http://schemas.openxmlformats.org/officeDocument/2006/relationships/hyperlink" Target="https://es.wallapop.com/item/opel-corsa-2008-1310385297" TargetMode="External" Id="rId16"/><Relationship Type="http://schemas.openxmlformats.org/officeDocument/2006/relationships/hyperlink" Target="https://es.wallapop.com/item/opel-corsa-2009-1318223085" TargetMode="External" Id="rId17"/><Relationship Type="http://schemas.openxmlformats.org/officeDocument/2006/relationships/hyperlink" Target="https://es.wallapop.com/item/opel-corsa-d-2013-1316461365" TargetMode="External" Id="rId18"/><Relationship Type="http://schemas.openxmlformats.org/officeDocument/2006/relationships/hyperlink" Target="https://es.wallapop.com/item/opel-agila-2009-1282088556" TargetMode="External" Id="rId19"/><Relationship Type="http://schemas.openxmlformats.org/officeDocument/2006/relationships/hyperlink" Target="https://es.wallapop.com/item/renault-twingo-2009-1311131743" TargetMode="External" Id="rId20"/><Relationship Type="http://schemas.openxmlformats.org/officeDocument/2006/relationships/hyperlink" Target="https://es.wallapop.com/item/dacia-sandero-2009-1310485042" TargetMode="External" Id="rId21"/><Relationship Type="http://schemas.openxmlformats.org/officeDocument/2006/relationships/hyperlink" Target="https://es.wallapop.com/item/peugeot-207-2008-1318790630" TargetMode="External" Id="rId22"/><Relationship Type="http://schemas.openxmlformats.org/officeDocument/2006/relationships/hyperlink" Target="https://es.wallapop.com/item/peugeot-207-2012-1309416714" TargetMode="External" Id="rId23"/><Relationship Type="http://schemas.openxmlformats.org/officeDocument/2006/relationships/hyperlink" Target="https://es.wallapop.com/item/peugeot-207-2010-1295140251" TargetMode="External" Id="rId24"/><Relationship Type="http://schemas.openxmlformats.org/officeDocument/2006/relationships/hyperlink" Target="https://es.wallapop.com/item/peugeot-207-2008-1288549890" TargetMode="External" Id="rId25"/><Relationship Type="http://schemas.openxmlformats.org/officeDocument/2006/relationships/hyperlink" Target="https://es.wallapop.com/item/peugeot-207-2008-1280300367" TargetMode="External" Id="rId26"/><Relationship Type="http://schemas.openxmlformats.org/officeDocument/2006/relationships/hyperlink" Target="https://es.wallapop.com/item/peugeot-207-2008-1266639855" TargetMode="External" Id="rId27"/><Relationship Type="http://schemas.openxmlformats.org/officeDocument/2006/relationships/hyperlink" Target="https://es.wallapop.com/item/peugeot-207-2009-1303500233" TargetMode="External" Id="rId28"/><Relationship Type="http://schemas.openxmlformats.org/officeDocument/2006/relationships/hyperlink" Target="https://es.wallapop.com/item/peugeot-308-2008-1318834980" TargetMode="External" Id="rId29"/><Relationship Type="http://schemas.openxmlformats.org/officeDocument/2006/relationships/hyperlink" Target="https://es.wallapop.com/item/peugeot-308-1-6-vti-120cv-solo-126-000-km-itv-1313565029" TargetMode="External" Id="rId30"/><Relationship Type="http://schemas.openxmlformats.org/officeDocument/2006/relationships/hyperlink" Target="https://es.wallapop.com/item/ford-ka-2014-1311163176" TargetMode="External" Id="rId31"/><Relationship Type="http://schemas.openxmlformats.org/officeDocument/2006/relationships/hyperlink" Target="https://es.wallapop.com/item/ford-ka-2010-en-muy-buen-estado-1294034931" TargetMode="External" Id="rId32"/><Relationship Type="http://schemas.openxmlformats.org/officeDocument/2006/relationships/hyperlink" Target="https://es.wallapop.com/item/ford-fiesta-2009-1299179562" TargetMode="External" Id="rId33"/><Relationship Type="http://schemas.openxmlformats.org/officeDocument/2006/relationships/hyperlink" Target="https://es.wallapop.com/item/chevrolet-aveo-2009-1312378329" TargetMode="External" Id="rId34"/><Relationship Type="http://schemas.openxmlformats.org/officeDocument/2006/relationships/hyperlink" Target="https://es.wallapop.com/item/chevrolet-aveo-2009-1308111570" TargetMode="External" Id="rId35"/><Relationship Type="http://schemas.openxmlformats.org/officeDocument/2006/relationships/hyperlink" Target="https://es.wallapop.com/item/chevrolet-aveo-2012-1290605393" TargetMode="External" Id="rId36"/><Relationship Type="http://schemas.openxmlformats.org/officeDocument/2006/relationships/hyperlink" Target="https://es.wallapop.com/item/chevrolet-cruze-2012-1235670974" TargetMode="External" Id="rId37"/><Relationship Type="http://schemas.openxmlformats.org/officeDocument/2006/relationships/hyperlink" Target="https://www.coches.net/toyota-aygo-10-vvti-live-5p-gasolina-2010-en-valencia-71691745-covo.aspx" TargetMode="External" Id="rId38"/><Relationship Type="http://schemas.openxmlformats.org/officeDocument/2006/relationships/hyperlink" Target="https://www.coches.net/kia-picanto-10-sohc-concept-5p-gasolina-2010-en-valencia-71817386-covo.aspx" TargetMode="External" Id="rId39"/><Relationship Type="http://schemas.openxmlformats.org/officeDocument/2006/relationships/hyperlink" Target="https://www.coches.net/kia-picanto-11-sohc-emotion-5p-gasolina-2008-en-valencia-71336745-covo.aspx" TargetMode="External" Id="rId40"/><Relationship Type="http://schemas.openxmlformats.org/officeDocument/2006/relationships/hyperlink" Target="https://www.coches.net/hyundai-i10-11-comfort-5p-gasolina-2008-en-valencia-71571543-covo.aspx" TargetMode="External" Id="rId41"/><Relationship Type="http://schemas.openxmlformats.org/officeDocument/2006/relationships/hyperlink" Target="https://www.coches.net/hyundai-i10-10-essence-5p-gasolina-2014-en-valencia-71828688-covo.aspx" TargetMode="External" Id="rId42"/><Relationship Type="http://schemas.openxmlformats.org/officeDocument/2006/relationships/hyperlink" Target="https://www.coches.net/hyundai-i20-i20-12-l-pbt-classic-aa-key-5p-gasolina-2012-en-valencia-71863369-covo.aspx" TargetMode="External" Id="rId43"/><Relationship Type="http://schemas.openxmlformats.org/officeDocument/2006/relationships/hyperlink" Target="https://www.coches.net/skoda-fabia-12-70cv-young-5p-gasolina-2010-en-valencia-71752263-covo.aspx" TargetMode="External" Id="rId44"/><Relationship Type="http://schemas.openxmlformats.org/officeDocument/2006/relationships/hyperlink" Target="https://www.coches.net/seat-ibiza-14-16v-85cv-rockroll-3p-gasolina-2009-en-valencia-71876716-covo.aspx" TargetMode="External" Id="rId45"/><Relationship Type="http://schemas.openxmlformats.org/officeDocument/2006/relationships/hyperlink" Target="https://www.coches.net/volkswagen-polo-12-70cv-advance-5p-gasolina-2010-en-valencia-71874130-covo.aspx" TargetMode="External" Id="rId46"/><Relationship Type="http://schemas.openxmlformats.org/officeDocument/2006/relationships/hyperlink" Target="https://www.coches.net/volkswagen-polo-12-edition-60cv-5p-gasolina-2009-en-valencia-71666559-covo.aspx" TargetMode="External" Id="rId47"/><Relationship Type="http://schemas.openxmlformats.org/officeDocument/2006/relationships/hyperlink" Target="https://www.coches.net/volkswagen-polo-gasolina-2010-en-valencia-71536489-covo.aspx" TargetMode="External" Id="rId48"/><Relationship Type="http://schemas.openxmlformats.org/officeDocument/2006/relationships/hyperlink" Target="https://www.coches.net/volkswagen-polo-gasolina-2008-en-valencia-71512620-covo.aspx" TargetMode="External" Id="rId49"/><Relationship Type="http://schemas.openxmlformats.org/officeDocument/2006/relationships/hyperlink" Target="https://www.coches.net/opel-corsa-cosmo-14-5p-gasolina-2010-en-valencia-71818405-covo.aspx" TargetMode="External" Id="rId50"/><Relationship Type="http://schemas.openxmlformats.org/officeDocument/2006/relationships/hyperlink" Target="https://www.coches.net/opel-corsa-12-expression-start--stop-5p-gasolina-2012-en-valencia-71729834-covo.aspx" TargetMode="External" Id="rId51"/><Relationship Type="http://schemas.openxmlformats.org/officeDocument/2006/relationships/hyperlink" Target="https://www.coches.net/opel-corsa-10-essentia-3p-gasolina-2011-en-valencia-71625576-covo.aspx" TargetMode="External" Id="rId52"/><Relationship Type="http://schemas.openxmlformats.org/officeDocument/2006/relationships/hyperlink" Target="https://www.coches.net/opel-corsa-14-selective-start--stop-5p-gasolina-2014-en-valencia-71686433-covo.aspx" TargetMode="External" Id="rId53"/><Relationship Type="http://schemas.openxmlformats.org/officeDocument/2006/relationships/hyperlink" Target="https://www.coches.net/opel-corsa-gasolina-2014-en-valencia-71531628-covo.aspx" TargetMode="External" Id="rId54"/><Relationship Type="http://schemas.openxmlformats.org/officeDocument/2006/relationships/hyperlink" Target="https://www.coches.net/opel-corsa-14-selective-start--stop-3p-gasolina-2014-en-valencia-71442825-covo.aspx" TargetMode="External" Id="rId55"/><Relationship Type="http://schemas.openxmlformats.org/officeDocument/2006/relationships/hyperlink" Target="https://www.coches.net/opel-astra-gtc-14-16v-essentia-3p-gasolina-2009-en-valencia-71876224-covo.aspx" TargetMode="External" Id="rId56"/><Relationship Type="http://schemas.openxmlformats.org/officeDocument/2006/relationships/hyperlink" Target="https://www.coches.net/opel-astra-14-turbo-sport-5p-gasolina-2010-en-valencia-71331925-covo.aspx" TargetMode="External" Id="rId57"/><Relationship Type="http://schemas.openxmlformats.org/officeDocument/2006/relationships/hyperlink" Target="https://www.coches.net/renault-clio-authentique-12-16v-75cv-5p-eco2-5p-gasolina-2009-en-valencia-71612608-covo.aspx" TargetMode="External" Id="rId58"/><Relationship Type="http://schemas.openxmlformats.org/officeDocument/2006/relationships/hyperlink" Target="https://www.coches.net/renault-clio-20-aniversario-12-16v-75cv-5p-eco2-5p-gasolina-2010-en-valencia-71581046-covo.aspx" TargetMode="External" Id="rId59"/><Relationship Type="http://schemas.openxmlformats.org/officeDocument/2006/relationships/hyperlink" Target="https://www.coches.net/renault-megane-emotion-2008-14-16v-5p-gasolina-2008-en-valencia-71399209-covo.aspx" TargetMode="External" Id="rId60"/><Relationship Type="http://schemas.openxmlformats.org/officeDocument/2006/relationships/hyperlink" Target="https://www.coches.net/renault-megane-dynamique-16-16v-110-e5-5p-gasolina-2010-en-valencia-71224992-covo.aspx" TargetMode="External" Id="rId61"/><Relationship Type="http://schemas.openxmlformats.org/officeDocument/2006/relationships/hyperlink" Target="https://www.coches.net/renault-megane-dynamique-16-16v-110cv-5p-gasolina-2008-en-valencia-71375913-covo.aspx" TargetMode="External" Id="rId62"/><Relationship Type="http://schemas.openxmlformats.org/officeDocument/2006/relationships/hyperlink" Target="https://www.coches.net/dacia-sandero-ambiance-12-16v-75cv-5p-gasolina-2010-en-valencia-71831034-covo.aspx" TargetMode="External" Id="rId63"/><Relationship Type="http://schemas.openxmlformats.org/officeDocument/2006/relationships/hyperlink" Target="https://www.coches.net/dacia-sandero-ambiance-14-5p-gasolina-2008-en-valencia-71662297-covo.aspx" TargetMode="External" Id="rId64"/><Relationship Type="http://schemas.openxmlformats.org/officeDocument/2006/relationships/hyperlink" Target="https://www.coches.net/dacia-sandero-gasolina-2010-en-valencia-71393663-covo.aspx" TargetMode="External" Id="rId65"/><Relationship Type="http://schemas.openxmlformats.org/officeDocument/2006/relationships/hyperlink" Target="https://www.coches.net/dacia-logan-laureate-14-4p-gasolina-2007-en-valencia-71571620-covo.aspx" TargetMode="External" Id="rId66"/><Relationship Type="http://schemas.openxmlformats.org/officeDocument/2006/relationships/hyperlink" Target="https://www.coches.net/peugeot-207-confort-14-75-5p-gasolina-2009-en-valencia-71833160-covo.aspx" TargetMode="External" Id="rId67"/><Relationship Type="http://schemas.openxmlformats.org/officeDocument/2006/relationships/hyperlink" Target="https://www.coches.net/peugeot-207-gasolina-2009-en-valencia-71712964-covo.aspx" TargetMode="External" Id="rId68"/><Relationship Type="http://schemas.openxmlformats.org/officeDocument/2006/relationships/hyperlink" Target="https://www.coches.net/peugeot-207-active-14i-75-5p-gasolina-2012-en-valencia-71674977-covo.aspx" TargetMode="External" Id="rId69"/><Relationship Type="http://schemas.openxmlformats.org/officeDocument/2006/relationships/hyperlink" Target="https://www.coches.net/peugeot-207-14-75-urban-5p-gasolina-2008-en-valencia-71600206-covo.aspx" TargetMode="External" Id="rId70"/><Relationship Type="http://schemas.openxmlformats.org/officeDocument/2006/relationships/hyperlink" Target="https://www.coches.net/peugeot-207-gasolina-2010-en-valencia-71658308-covo.aspx" TargetMode="External" Id="rId71"/><Relationship Type="http://schemas.openxmlformats.org/officeDocument/2006/relationships/hyperlink" Target="https://www.coches.net/peugeot-207-gasolina-2010-en-valencia-71457359-covo.aspx" TargetMode="External" Id="rId72"/><Relationship Type="http://schemas.openxmlformats.org/officeDocument/2006/relationships/hyperlink" Target="https://www.coches.net/peugeot-207-16thp-16v-gt-3p-gasolina-2008-en-valencia-71237986-covo.aspx" TargetMode="External" Id="rId73"/><Relationship Type="http://schemas.openxmlformats.org/officeDocument/2006/relationships/hyperlink" Target="https://www.coches.net/peugeot-207-gasolina-2008-en-valencia-62317708-covo.aspx" TargetMode="External" Id="rId74"/><Relationship Type="http://schemas.openxmlformats.org/officeDocument/2006/relationships/hyperlink" Target="https://www.coches.net/peugeot-208-5p-active-10l-puretech-68-5p-gasolina-2014-en-valencia-71855583-covo.aspx" TargetMode="External" Id="rId75"/><Relationship Type="http://schemas.openxmlformats.org/officeDocument/2006/relationships/hyperlink" Target="https://www.coches.net/peugeot-208-5p-allure-12-vti-82-5p-gasolina-2014-en-valencia-71665574-covo.aspx" TargetMode="External" Id="rId76"/><Relationship Type="http://schemas.openxmlformats.org/officeDocument/2006/relationships/hyperlink" Target="https://www.coches.net/peugeot-208-gasolina-2012-en-valencia-71427032-covo.aspx" TargetMode="External" Id="rId77"/><Relationship Type="http://schemas.openxmlformats.org/officeDocument/2006/relationships/hyperlink" Target="https://www.coches.net/peugeot-308-premium-16-vti-120-5p-gasolina-2008-en-valencia-71721031-covo.aspx" TargetMode="External" Id="rId78"/><Relationship Type="http://schemas.openxmlformats.org/officeDocument/2006/relationships/hyperlink" Target="https://www.coches.net/citroen-c3-puretech-82cv-collection-5p-gasolina-2015-en-valencia-71506230-covo.aspx" TargetMode="External" Id="rId79"/><Relationship Type="http://schemas.openxmlformats.org/officeDocument/2006/relationships/hyperlink" Target="https://www.coches.net/citroen-c4-14-16v-lx-5p-gasolina-2005-en-valencia-71580818-covo.aspx" TargetMode="External" Id="rId80"/><Relationship Type="http://schemas.openxmlformats.org/officeDocument/2006/relationships/hyperlink" Target="https://www.coches.net/ford-ka-12-trend-3p-gasolina-2010-en-valencia-71569576-covo.aspx" TargetMode="External" Id="rId81"/><Relationship Type="http://schemas.openxmlformats.org/officeDocument/2006/relationships/hyperlink" Target="https://www.coches.net/ford-fiesta-16-sport-3p-gasolina-2008-en-valencia-71622303-covo.aspx" TargetMode="External" Id="rId82"/><Relationship Type="http://schemas.openxmlformats.org/officeDocument/2006/relationships/hyperlink" Target="https://www.coches.net/fiat-punto-12-active-e5-5p-gasolina-2009-en-valencia-71816544-covo.aspx" TargetMode="External" Id="rId83"/><Relationship Type="http://schemas.openxmlformats.org/officeDocument/2006/relationships/hyperlink" Target="https://www.coches.net/fiat-punto-gasolina-2010-en-valencia-71454828-covo.aspx" TargetMode="External" Id="rId84"/><Relationship Type="http://schemas.openxmlformats.org/officeDocument/2006/relationships/hyperlink" Target="https://www.coches.net/suzuki-swift-13-gl-3p-3p-gasolina-2009-en-valencia-71785002-covo.aspx" TargetMode="External" Id="rId85"/><Relationship Type="http://schemas.openxmlformats.org/officeDocument/2006/relationships/hyperlink" Target="https://www.coches.net/suzuki-alto-10-gl-5p-gasolina-2009-en-valencia-71388781-covo.aspx" TargetMode="External" Id="rId86"/><Relationship Type="http://schemas.openxmlformats.org/officeDocument/2006/relationships/hyperlink" Target="https://www.coches.net/chevrolet-aveo-14-16v-ls-5p-gasolina-2010-en-valencia-71533850-covo.aspx" TargetMode="External" Id="rId87"/><Relationship Type="http://schemas.openxmlformats.org/officeDocument/2006/relationships/hyperlink" Target="https://www.coches.net/chevrolet-aveo-12-16v-ls-3p-gasolina-2011-en-valencia-71769865-covo.aspx" TargetMode="External" Id="rId88"/><Relationship Type="http://schemas.openxmlformats.org/officeDocument/2006/relationships/hyperlink" Target="https://www.coches.net/chevrolet-aveo-14-16v-ls-5p-gasolina-2010-en-valencia-71680921-covo.aspx" TargetMode="External" Id="rId89"/><Relationship Type="http://schemas.openxmlformats.org/officeDocument/2006/relationships/hyperlink" Target="https://www.coches.net/chevrolet-cruze-16-ls-clima-4p-gasolina-2011-en-valencia-71678496-covo.aspx" TargetMode="External" Id="rId9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G91"/>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30" customWidth="1" min="43" max="43"/>
    <col width="40" customWidth="1" min="44" max="44"/>
    <col width="60" customWidth="1" min="45" max="45"/>
    <col width="30"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Mediana de mercado del segmento (€)</t>
        </is>
      </c>
      <c r="AO1" s="1" t="inlineStr">
        <is>
          <t>N mercado</t>
        </is>
      </c>
      <c r="AP1" s="1" t="inlineStr">
        <is>
          <t>Nivel mediana mercado</t>
        </is>
      </c>
      <c r="AQ1" s="1" t="inlineStr">
        <is>
          <t>Duplicados fusionados</t>
        </is>
      </c>
      <c r="AR1" s="1" t="inlineStr">
        <is>
          <t>Avisos</t>
        </is>
      </c>
      <c r="AS1" s="1" t="inlineStr">
        <is>
          <t>Descripción</t>
        </is>
      </c>
      <c r="AT1" s="1" t="inlineStr">
        <is>
          <t>Fuente (fichero /raw)</t>
        </is>
      </c>
      <c r="AU1" s="1" t="inlineStr">
        <is>
          <t>Edad (años)</t>
        </is>
      </c>
      <c r="AV1" s="1" t="inlineStr">
        <is>
          <t>Km/año</t>
        </is>
      </c>
      <c r="AW1" s="1" t="inlineStr">
        <is>
          <t>Seg. modelo</t>
        </is>
      </c>
      <c r="AX1" s="1" t="inlineStr">
        <is>
          <t>Seg. modelo+año</t>
        </is>
      </c>
      <c r="AY1" s="1" t="inlineStr">
        <is>
          <t>Seg. modelo+año+km</t>
        </is>
      </c>
      <c r="AZ1" s="1" t="inlineStr">
        <is>
          <t>N modelo</t>
        </is>
      </c>
      <c r="BA1" s="1" t="inlineStr">
        <is>
          <t>N modelo+año</t>
        </is>
      </c>
      <c r="BB1" s="1" t="inlineStr">
        <is>
          <t>N modelo+año+km</t>
        </is>
      </c>
      <c r="BC1" s="1" t="inlineStr">
        <is>
          <t>Mediana segmento (€)</t>
        </is>
      </c>
      <c r="BD1" s="1" t="inlineStr">
        <is>
          <t>Nivel mediana</t>
        </is>
      </c>
      <c r="BE1" s="1" t="inlineStr">
        <is>
          <t>Descuento vs mediana</t>
        </is>
      </c>
      <c r="BF1" s="1" t="inlineStr">
        <is>
          <t>Etiqueta DGT</t>
        </is>
      </c>
      <c r="BG1" s="1" t="inlineStr">
        <is>
          <t>Fiab. base modelo</t>
        </is>
      </c>
      <c r="BH1" s="1" t="inlineStr">
        <is>
          <t>Ajuste motor</t>
        </is>
      </c>
      <c r="BI1" s="1" t="inlineStr">
        <is>
          <t>Ajuste combustible</t>
        </is>
      </c>
      <c r="BJ1" s="1" t="inlineStr">
        <is>
          <t>P. Fiabilidad</t>
        </is>
      </c>
      <c r="BK1" s="1" t="inlineStr">
        <is>
          <t>P. Precio</t>
        </is>
      </c>
      <c r="BL1" s="1" t="inlineStr">
        <is>
          <t>P. km totales</t>
        </is>
      </c>
      <c r="BM1" s="1" t="inlineStr">
        <is>
          <t>P. km/año</t>
        </is>
      </c>
      <c r="BN1" s="1" t="inlineStr">
        <is>
          <t>P. edad</t>
        </is>
      </c>
      <c r="BO1" s="1" t="inlineStr">
        <is>
          <t>P. Km y edad</t>
        </is>
      </c>
      <c r="BP1" s="1" t="inlineStr">
        <is>
          <t>P. Anuncio</t>
        </is>
      </c>
      <c r="BQ1" s="1" t="inlineStr">
        <is>
          <t>P. etiqueta</t>
        </is>
      </c>
      <c r="BR1" s="1" t="inlineStr">
        <is>
          <t>P. consumo (PENDIENTE)</t>
        </is>
      </c>
      <c r="BS1" s="1" t="inlineStr">
        <is>
          <t>Seguro estimado €/año (aprox.)</t>
        </is>
      </c>
      <c r="BT1" s="1" t="inlineStr">
        <is>
          <t>P. seguro</t>
        </is>
      </c>
      <c r="BU1" s="1" t="inlineStr">
        <is>
          <t>P. Coste uso</t>
        </is>
      </c>
      <c r="BV1" s="1" t="inlineStr">
        <is>
          <t>Garantía efectiva (meses)</t>
        </is>
      </c>
      <c r="BW1" s="1" t="inlineStr">
        <is>
          <t>P. Seguridad compra</t>
        </is>
      </c>
      <c r="BX1" s="1" t="inlineStr">
        <is>
          <t>PUNTUACIÓN</t>
        </is>
      </c>
      <c r="BY1" s="1" t="inlineStr">
        <is>
          <t>cc para ITP</t>
        </is>
      </c>
      <c r="BZ1" s="1" t="inlineStr">
        <is>
          <t>ITP (€)</t>
        </is>
      </c>
      <c r="CA1" s="1" t="inlineStr">
        <is>
          <t>Gastos vendedor en coste (€)</t>
        </is>
      </c>
      <c r="CB1" s="1" t="inlineStr">
        <is>
          <t>Tasa DGT (€)</t>
        </is>
      </c>
      <c r="CC1" s="1" t="inlineStr">
        <is>
          <t>Informe DGT (€)</t>
        </is>
      </c>
      <c r="CD1" s="1" t="inlineStr">
        <is>
          <t>COSTE TOTAL (€)</t>
        </is>
      </c>
      <c r="CE1" s="1" t="inlineStr">
        <is>
          <t>Coste 1er año con seguro (€)</t>
        </is>
      </c>
      <c r="CF1" s="1" t="inlineStr">
        <is>
          <t>Dentro de presupuesto</t>
        </is>
      </c>
      <c r="CG1" s="1" t="inlineStr">
        <is>
          <t>Puesto</t>
        </is>
      </c>
    </row>
    <row r="2">
      <c r="A2" s="2" t="inlineStr">
        <is>
          <t>ocasionplus:b9auzqaa</t>
        </is>
      </c>
      <c r="B2" s="2" t="inlineStr">
        <is>
          <t>ocasionplus</t>
        </is>
      </c>
      <c r="C2" s="2" t="inlineStr">
        <is>
          <t>https://www.ocasionplus.com/coches-segunda-mano/peugeot-207-14-confort-con-116183km-2008-b9auzqaa</t>
        </is>
      </c>
      <c r="D2" s="2" t="inlineStr">
        <is>
          <t>Peugeot 207 1.4 Confort (75 CV)</t>
        </is>
      </c>
      <c r="E2" s="2" t="inlineStr">
        <is>
          <t>Peugeot</t>
        </is>
      </c>
      <c r="F2" s="2" t="inlineStr">
        <is>
          <t>Peugeot 207</t>
        </is>
      </c>
      <c r="G2" s="2" t="inlineStr">
        <is>
          <t>1.4</t>
        </is>
      </c>
      <c r="H2" s="2" t="inlineStr">
        <is>
          <t>Peugeot 207 1.4 Confort (75 CV)</t>
        </is>
      </c>
      <c r="I2" s="2" t="n">
        <v>1360</v>
      </c>
      <c r="J2" s="2" t="n">
        <v>75</v>
      </c>
      <c r="K2" s="2" t="inlineStr">
        <is>
          <t>gasolina</t>
        </is>
      </c>
      <c r="L2" s="2" t="inlineStr">
        <is>
          <t>utilitario</t>
        </is>
      </c>
      <c r="M2" s="2" t="n">
        <v>2008</v>
      </c>
      <c r="N2" s="2" t="n">
        <v>116183</v>
      </c>
      <c r="O2" s="2" t="n">
        <v>2900</v>
      </c>
      <c r="P2" s="2" t="inlineStr">
        <is>
          <t>manual</t>
        </is>
      </c>
      <c r="Q2" s="2" t="inlineStr">
        <is>
          <t>no</t>
        </is>
      </c>
      <c r="R2" s="2" t="inlineStr">
        <is>
          <t>profesional</t>
        </is>
      </c>
      <c r="S2" s="2" t="inlineStr">
        <is>
          <t>Valencia - Sagunto (Sagunto, 46500)</t>
        </is>
      </c>
      <c r="T2" s="2" t="inlineStr">
        <is>
          <t>2026-10-27T00:00:00.000Z</t>
        </is>
      </c>
      <c r="U2" s="2" t="n">
        <v>25</v>
      </c>
      <c r="V2" s="2" t="inlineStr">
        <is>
          <t>sí</t>
        </is>
      </c>
      <c r="W2" s="2" t="n"/>
      <c r="X2" s="2" t="n"/>
      <c r="Y2" s="2" t="n">
        <v>0</v>
      </c>
      <c r="Z2" s="2" t="n"/>
      <c r="AA2" s="2" t="n"/>
      <c r="AB2" s="2" t="n"/>
      <c r="AC2" s="2" t="inlineStr">
        <is>
          <t>sí</t>
        </is>
      </c>
      <c r="AD2" s="2" t="n">
        <v>500</v>
      </c>
      <c r="AE2" s="2" t="n"/>
      <c r="AF2" s="2" t="inlineStr">
        <is>
          <t>sí</t>
        </is>
      </c>
      <c r="AG2" s="2" t="n"/>
      <c r="AH2" s="2" t="n">
        <v>2900</v>
      </c>
      <c r="AI2" s="2" t="n">
        <v>2900</v>
      </c>
      <c r="AJ2" s="2" t="inlineStr">
        <is>
          <t>no</t>
        </is>
      </c>
      <c r="AK2" s="2" t="n">
        <v>350</v>
      </c>
      <c r="AL2" s="2" t="inlineStr">
        <is>
          <t>sí</t>
        </is>
      </c>
      <c r="AM2" s="2" t="n">
        <v>25.5</v>
      </c>
      <c r="AN2" s="2" t="n">
        <v>3500</v>
      </c>
      <c r="AO2" s="2" t="n">
        <v>28</v>
      </c>
      <c r="AP2" s="2" t="inlineStr">
        <is>
          <t>modelo+año+km</t>
        </is>
      </c>
      <c r="AQ2" s="2" t="n"/>
      <c r="AR2" s="2" t="inlineStr">
        <is>
          <t>vendedor profesional: sin ITP (operación con IVA/REBU, confirmar en factura); fiabilidad del modelo PENDIENTE de fuente (puntuación neutra)</t>
        </is>
      </c>
      <c r="AS2" s="2" t="inlineStr">
        <is>
          <t>Peugeot 207 1.4 Confort (75 CV)</t>
        </is>
      </c>
      <c r="AT2" s="2" t="inlineStr">
        <is>
          <t>https://www.ocasionplus.com/coches-segunda-mano/peugeot-207-14-confort-con-116183km-2008-b9auzqaa (payload RSC 'vehicle') /home/user/Alopecia/buscador-coches/raw/ocasionplus/fc0eb20181760918.json</t>
        </is>
      </c>
      <c r="AU2" s="3">
        <f>MAX(ANIO_ACTUAL-M2,0)</f>
        <v/>
      </c>
      <c r="AV2" s="4">
        <f>N2/MAX(AU2,0.5)</f>
        <v/>
      </c>
      <c r="AW2" s="4">
        <f>F2</f>
        <v/>
      </c>
      <c r="AX2" s="3">
        <f>AW2&amp;"|"&amp;INT(M2/SEG_ANIO)*SEG_ANIO</f>
        <v/>
      </c>
      <c r="AY2" s="3">
        <f>AX2&amp;"|"&amp;INT(N2/SEG_KM)*SEG_KM</f>
        <v/>
      </c>
      <c r="AZ2" s="4">
        <f>COUNTIF($AW$2:$AW$91,AW2)</f>
        <v/>
      </c>
      <c r="BA2" s="4">
        <f>COUNTIF($AX$2:$AX$91,AX2)</f>
        <v/>
      </c>
      <c r="BB2" s="4">
        <f>COUNTIF($AY$2:$AY$91,AY2)</f>
        <v/>
      </c>
      <c r="BC2" s="3">
        <f t="array" ref="BC2">IF(N(AO2)&gt;=MIN_N,AN2,IF(BB2&gt;=MIN_N,MEDIAN(IF($AY$2:$AY$91=AY2,$O$2:$O$91)),IF(BA2&gt;=MIN_N,MEDIAN(IF($AX$2:$AX$91=AX2,$O$2:$O$91)),MEDIAN(IF($AW$2:$AW$91=AW2,$O$2:$O$91)))))</f>
        <v/>
      </c>
      <c r="BD2" s="3">
        <f>IF(N(AO2)&gt;=MIN_N,"mercado "&amp;AP2,IF(BB2&gt;=MIN_N,"modelo+año+km",IF(BA2&gt;=MIN_N,"modelo+año","modelo")))</f>
        <v/>
      </c>
      <c r="BE2" s="4">
        <f>(BC2-O2)/BC2</f>
        <v/>
      </c>
      <c r="BF2" s="3">
        <f>IF(OR(K2="hibrido",K2="glp"),"ECO",IF(K2="electrico","CERO",IF(K2="gasolina",IF(M2&gt;=GAS_C,"C",IF(M2&gt;=GAS_B,"B","A")),IF(K2="diesel",IF(M2&gt;=DIE_C,"C",IF(M2&gt;=DIE_B,"B","A")),""))))</f>
        <v/>
      </c>
      <c r="BG2" s="3">
        <f>IFERROR(VLOOKUP(F2,MOD_TBL,11,0),IFERROR(VLOOKUP(E2,OCU_TBL,2,0),NEUTRO))</f>
        <v/>
      </c>
      <c r="BH2" s="3">
        <f>SUMIFS(MOT_AJUSTE,MOT_MOTOR,G2,MOT_MARCA,E2,MOT_DESDE,"&lt;="&amp;M2,MOT_HASTA,"&gt;="&amp;M2)+SUMIFS(MOT_AJUSTE,MOT_MOTOR,G2,MOT_MARCA,"(todas)",MOT_DESDE,"&lt;="&amp;M2,MOT_HASTA,"&gt;="&amp;M2)</f>
        <v/>
      </c>
      <c r="BI2" s="3">
        <f>SUMIFS(COMB_AJUSTE,COMB_COMB,K2)</f>
        <v/>
      </c>
      <c r="BJ2" s="4">
        <f>MAX(0,MIN(100,BG2+BH2+BI2))</f>
        <v/>
      </c>
      <c r="BK2" s="3">
        <f>MAX(0,MIN(100,50+BE2*PRECIO_PEND))</f>
        <v/>
      </c>
      <c r="BL2" s="3">
        <f>MAX(0,100*(1-N2/KM_MAX))</f>
        <v/>
      </c>
      <c r="BM2" s="3">
        <f>IF(AV2&lt;KMA_SOSP,IF(AA2="sí",100,KMA_PEN),IF(AV2&lt;=KMA_IDEAL_MAX,100,MAX(0,100*(KMA_CERO-AV2)/(KMA_CERO-KMA_IDEAL_MAX))))</f>
        <v/>
      </c>
      <c r="BN2" s="3">
        <f>MAX(0,MIN(100,100*(M2-ANIO_MIN)/(ANIO_ACTUAL-ANIO_MIN)))</f>
        <v/>
      </c>
      <c r="BO2" s="3">
        <f>W_KMT*BL2+W_KMA*BM2+W_EDAD*BN2</f>
        <v/>
      </c>
      <c r="BP2" s="3">
        <f>P_ITV*(V2="sí")+P_LIBRO*(W2="sí")+P_CORREA*(X2="sí")+P_PROP*(Y2=1)+P_GAR*(Z2="sí")+P_FOTOS*MIN(1,N(U2)/FOTOS_OBJ)</f>
        <v/>
      </c>
      <c r="BQ2" s="3">
        <f>IFERROR(VLOOKUP(BF2,ETQ_TBL,2,0),NEUTRO)</f>
        <v/>
      </c>
      <c r="BR2" s="3">
        <f>NEUTRO</f>
        <v/>
      </c>
      <c r="BS2" s="3">
        <f>IFERROR(VLOOKUP(L2,SEGURO_TBL,3,0),"")</f>
        <v/>
      </c>
      <c r="BT2" s="3">
        <f>IF(BS2="",NEUTRO,MAX(0,MIN(100,100*(SEG_REF_MAX-BS2)/(SEG_REF_MAX-SEG_REF_MIN))))</f>
        <v/>
      </c>
      <c r="BU2" s="3">
        <f>W_ET*BQ2+W_CONS*BR2+W_SEG*BT2</f>
        <v/>
      </c>
      <c r="BV2" s="3">
        <f>IF(N(AB2)&gt;0,AB2,IF(AND(R2="profesional",SG_LEGAL_ON=1),GAR_LEGAL,0))</f>
        <v/>
      </c>
      <c r="BW2" s="3">
        <f>SG_GAR*MIN(1,BV2/SG_GAR_FULL)+SG_AMPL*(AC2="sí")+SG_KMC*(AF2="sí")+SG_REV*(N(AE2)&gt;0)+SG_DEV*MIN(1,N(AG2)/SG_DEV_FULL)+SG_HIST*(W2="sí")</f>
        <v/>
      </c>
      <c r="BX2" s="3">
        <f>W_FIAB*BJ2+W_PRECIO*BK2+W_KMEDAD*BO2+W_ANUNCIO*BP2+W_USO*BU2+W_SEGURIDAD*BW2</f>
        <v/>
      </c>
      <c r="BY2" s="4">
        <f>IF(N(I2)&gt;0,I2,IFERROR(ROUND(_xlfn.NUMBERVALUE(LEFT(G2,FIND(" ",G2&amp;" ")-1),".")*1000,0),99999))</f>
        <v/>
      </c>
      <c r="BZ2" s="3">
        <f>IF(R2="profesional",0,IF(O2&lt;CUOTA_VALOR_MAX,IF(AU2&gt;ITP_TRAMO_ALTO,SUMIFS(CF_CUOTA,CF_MAS,ITP_TRAMO_ALTO,CF_CCMIN,"&lt;="&amp;BY2,CF_CCMAX,"&gt;="&amp;BY2),IF(AU2&gt;ITP_TRAMO_BAJO,SUMIFS(CF_CUOTA,CF_MAS,ITP_TRAMO_BAJO,CF_CCMIN,"&lt;="&amp;BY2,CF_CCMAX,"&gt;="&amp;BY2),O2*ITP_TIPO)),O2*ITP_TIPO))</f>
        <v/>
      </c>
      <c r="CA2" s="4">
        <f>IF(R2="profesional",N(AK2),0)</f>
        <v/>
      </c>
      <c r="CB2" s="3">
        <f>IF(AND(R2="profesional",ISNUMBER(AK2),AL2="sí"),0,TASA_DGT)</f>
        <v/>
      </c>
      <c r="CC2" s="3">
        <f>INFORME_DGT</f>
        <v/>
      </c>
      <c r="CD2" s="4">
        <f>O2+CA2+BZ2+CB2+CC2</f>
        <v/>
      </c>
      <c r="CE2" s="4">
        <f>CD2+N(BS2)</f>
        <v/>
      </c>
      <c r="CF2" s="3">
        <f>IF(CD2&lt;=TOTAL_MAX,"sí","no")</f>
        <v/>
      </c>
      <c r="CG2" s="4">
        <f>IF(CF2="sí",COUNTIFS($CF$2:$CF$91,"sí",$BX$2:$BX$91,"&gt;"&amp;BX2)+COUNTIFS($CF$2:CF2,"sí",$BX$2:BX2,BX2),"")</f>
        <v/>
      </c>
    </row>
    <row r="3">
      <c r="A3" s="2" t="inlineStr">
        <is>
          <t>autoscout24:e82e2b46-304d-45e7-b319-e5896690fc01</t>
        </is>
      </c>
      <c r="B3" s="2" t="inlineStr">
        <is>
          <t>autoscout24</t>
        </is>
      </c>
      <c r="C3" s="2" t="inlineStr">
        <is>
          <t>https://www.autoscout24.es/anuncios/seat-ibiza-1-4-sport-gasolina-cat_ma64mo2006-e82e2b46-304d-45e7-b319-e5896690fc01</t>
        </is>
      </c>
      <c r="D3" s="2" t="inlineStr">
        <is>
          <t>SEAT Ibiza 1.4 Sport</t>
        </is>
      </c>
      <c r="E3" s="2" t="inlineStr">
        <is>
          <t>Seat</t>
        </is>
      </c>
      <c r="F3" s="2" t="inlineStr">
        <is>
          <t>Seat Ibiza</t>
        </is>
      </c>
      <c r="G3" s="2" t="inlineStr">
        <is>
          <t>1.4</t>
        </is>
      </c>
      <c r="H3" s="2" t="inlineStr">
        <is>
          <t>1.4 Sport 1.4</t>
        </is>
      </c>
      <c r="I3" s="2" t="n">
        <v>1390</v>
      </c>
      <c r="J3" s="2" t="n">
        <v>86</v>
      </c>
      <c r="K3" s="2" t="inlineStr">
        <is>
          <t>gasolina</t>
        </is>
      </c>
      <c r="L3" s="2" t="inlineStr">
        <is>
          <t>utilitario</t>
        </is>
      </c>
      <c r="M3" s="2" t="n">
        <v>2009</v>
      </c>
      <c r="N3" s="2" t="n">
        <v>180000</v>
      </c>
      <c r="O3" s="2" t="n">
        <v>4400</v>
      </c>
      <c r="P3" s="2" t="inlineStr">
        <is>
          <t>manual</t>
        </is>
      </c>
      <c r="Q3" s="2" t="inlineStr">
        <is>
          <t>no</t>
        </is>
      </c>
      <c r="R3" s="2" t="inlineStr">
        <is>
          <t>particular</t>
        </is>
      </c>
      <c r="S3" s="2" t="inlineStr">
        <is>
          <t>Vinalesa (46114)</t>
        </is>
      </c>
      <c r="T3" s="2" t="n"/>
      <c r="U3" s="2" t="n">
        <v>1</v>
      </c>
      <c r="V3" s="2" t="inlineStr">
        <is>
          <t>sí</t>
        </is>
      </c>
      <c r="W3" s="2" t="n"/>
      <c r="X3" s="2" t="inlineStr">
        <is>
          <t>sí</t>
        </is>
      </c>
      <c r="Y3" s="2" t="n"/>
      <c r="Z3" s="2" t="n"/>
      <c r="AA3" s="2" t="n"/>
      <c r="AB3" s="2" t="n"/>
      <c r="AC3" s="2" t="n"/>
      <c r="AD3" s="2" t="n"/>
      <c r="AE3" s="2" t="n"/>
      <c r="AF3" s="2" t="n"/>
      <c r="AG3" s="2" t="n"/>
      <c r="AH3" s="2" t="n"/>
      <c r="AI3" s="2" t="n"/>
      <c r="AJ3" s="2" t="n"/>
      <c r="AK3" s="2" t="n"/>
      <c r="AL3" s="2" t="n"/>
      <c r="AM3" s="2" t="n">
        <v>7.8</v>
      </c>
      <c r="AN3" s="2" t="n">
        <v>3800</v>
      </c>
      <c r="AO3" s="2" t="n">
        <v>19</v>
      </c>
      <c r="AP3" s="2" t="inlineStr">
        <is>
          <t>modelo+año</t>
        </is>
      </c>
      <c r="AQ3" s="2" t="n"/>
      <c r="AR3" s="2" t="inlineStr">
        <is>
          <t>cuota fija ITP: &gt;12 años, hasta 1.500 cc</t>
        </is>
      </c>
      <c r="AS3" s="2" t="inlineStr">
        <is>
          <t>🚗 SE VENDE SEAT IBIZA 1.4 SPORT – GASOLINA&lt;br /&gt;&lt;br /&gt;📅 Año: 2009&lt;br /&gt;⛽ Motor: Gasolina 1.4&lt;br /&gt;🏁 Versión: Sport&lt;br /&gt;📍 Kilómetros: 180.000 km&lt;br /&gt;✅ ITV pasada en mayo de 2026&lt;br /&gt;✅ Sin accidentes&lt;br /&gt;✅ Sin reparaciones graves&lt;br /&gt;✅ Buen estado general&lt;br /&gt;✅ Sistema multimedia Android instalado&lt;br /&gt;📱 Pantalla tipo tablet con Bluetooth y navegador GPS&lt;br /&gt;&lt;br /&gt;Coche ideal para uso diario, económico de mantener y con motor fiable.&lt;br /&gt;Se vende por cambio de vehículo.&lt;br /&gt;&lt;br /&gt;Caja de cambios y correa cambiados a los 140.000 kms por desgaste.</t>
        </is>
      </c>
      <c r="AT3" s="2" t="inlineStr">
        <is>
          <t>https://www.autoscout24.es/anuncios/seat-ibiza-1-4-sport-gasolina-cat_ma64mo2006-e82e2b46-304d-45e7-b319-e5896690fc01 (__NEXT_DATA__ listingDetails) /home/user/Alopecia/buscador-coches/raw/autoscout24/3b8e903b836218fd.json</t>
        </is>
      </c>
      <c r="AU3" s="3">
        <f>MAX(ANIO_ACTUAL-M3,0)</f>
        <v/>
      </c>
      <c r="AV3" s="4">
        <f>N3/MAX(AU3,0.5)</f>
        <v/>
      </c>
      <c r="AW3" s="4">
        <f>F3</f>
        <v/>
      </c>
      <c r="AX3" s="3">
        <f>AW3&amp;"|"&amp;INT(M3/SEG_ANIO)*SEG_ANIO</f>
        <v/>
      </c>
      <c r="AY3" s="3">
        <f>AX3&amp;"|"&amp;INT(N3/SEG_KM)*SEG_KM</f>
        <v/>
      </c>
      <c r="AZ3" s="4">
        <f>COUNTIF($AW$2:$AW$91,AW3)</f>
        <v/>
      </c>
      <c r="BA3" s="4">
        <f>COUNTIF($AX$2:$AX$91,AX3)</f>
        <v/>
      </c>
      <c r="BB3" s="4">
        <f>COUNTIF($AY$2:$AY$91,AY3)</f>
        <v/>
      </c>
      <c r="BC3" s="3">
        <f t="array" ref="BC3">IF(N(AO3)&gt;=MIN_N,AN3,IF(BB3&gt;=MIN_N,MEDIAN(IF($AY$2:$AY$91=AY3,$O$2:$O$91)),IF(BA3&gt;=MIN_N,MEDIAN(IF($AX$2:$AX$91=AX3,$O$2:$O$91)),MEDIAN(IF($AW$2:$AW$91=AW3,$O$2:$O$91)))))</f>
        <v/>
      </c>
      <c r="BD3" s="3">
        <f>IF(N(AO3)&gt;=MIN_N,"mercado "&amp;AP3,IF(BB3&gt;=MIN_N,"modelo+año+km",IF(BA3&gt;=MIN_N,"modelo+año","modelo")))</f>
        <v/>
      </c>
      <c r="BE3" s="4">
        <f>(BC3-O3)/BC3</f>
        <v/>
      </c>
      <c r="BF3" s="3">
        <f>IF(OR(K3="hibrido",K3="glp"),"ECO",IF(K3="electrico","CERO",IF(K3="gasolina",IF(M3&gt;=GAS_C,"C",IF(M3&gt;=GAS_B,"B","A")),IF(K3="diesel",IF(M3&gt;=DIE_C,"C",IF(M3&gt;=DIE_B,"B","A")),""))))</f>
        <v/>
      </c>
      <c r="BG3" s="3">
        <f>IFERROR(VLOOKUP(F3,MOD_TBL,11,0),IFERROR(VLOOKUP(E3,OCU_TBL,2,0),NEUTRO))</f>
        <v/>
      </c>
      <c r="BH3" s="3">
        <f>SUMIFS(MOT_AJUSTE,MOT_MOTOR,G3,MOT_MARCA,E3,MOT_DESDE,"&lt;="&amp;M3,MOT_HASTA,"&gt;="&amp;M3)+SUMIFS(MOT_AJUSTE,MOT_MOTOR,G3,MOT_MARCA,"(todas)",MOT_DESDE,"&lt;="&amp;M3,MOT_HASTA,"&gt;="&amp;M3)</f>
        <v/>
      </c>
      <c r="BI3" s="3">
        <f>SUMIFS(COMB_AJUSTE,COMB_COMB,K3)</f>
        <v/>
      </c>
      <c r="BJ3" s="4">
        <f>MAX(0,MIN(100,BG3+BH3+BI3))</f>
        <v/>
      </c>
      <c r="BK3" s="3">
        <f>MAX(0,MIN(100,50+BE3*PRECIO_PEND))</f>
        <v/>
      </c>
      <c r="BL3" s="3">
        <f>MAX(0,100*(1-N3/KM_MAX))</f>
        <v/>
      </c>
      <c r="BM3" s="3">
        <f>IF(AV3&lt;KMA_SOSP,IF(AA3="sí",100,KMA_PEN),IF(AV3&lt;=KMA_IDEAL_MAX,100,MAX(0,100*(KMA_CERO-AV3)/(KMA_CERO-KMA_IDEAL_MAX))))</f>
        <v/>
      </c>
      <c r="BN3" s="3">
        <f>MAX(0,MIN(100,100*(M3-ANIO_MIN)/(ANIO_ACTUAL-ANIO_MIN)))</f>
        <v/>
      </c>
      <c r="BO3" s="3">
        <f>W_KMT*BL3+W_KMA*BM3+W_EDAD*BN3</f>
        <v/>
      </c>
      <c r="BP3" s="3">
        <f>P_ITV*(V3="sí")+P_LIBRO*(W3="sí")+P_CORREA*(X3="sí")+P_PROP*(Y3=1)+P_GAR*(Z3="sí")+P_FOTOS*MIN(1,N(U3)/FOTOS_OBJ)</f>
        <v/>
      </c>
      <c r="BQ3" s="3">
        <f>IFERROR(VLOOKUP(BF3,ETQ_TBL,2,0),NEUTRO)</f>
        <v/>
      </c>
      <c r="BR3" s="3">
        <f>NEUTRO</f>
        <v/>
      </c>
      <c r="BS3" s="3">
        <f>IFERROR(VLOOKUP(L3,SEGURO_TBL,3,0),"")</f>
        <v/>
      </c>
      <c r="BT3" s="3">
        <f>IF(BS3="",NEUTRO,MAX(0,MIN(100,100*(SEG_REF_MAX-BS3)/(SEG_REF_MAX-SEG_REF_MIN))))</f>
        <v/>
      </c>
      <c r="BU3" s="3">
        <f>W_ET*BQ3+W_CONS*BR3+W_SEG*BT3</f>
        <v/>
      </c>
      <c r="BV3" s="3">
        <f>IF(N(AB3)&gt;0,AB3,IF(AND(R3="profesional",SG_LEGAL_ON=1),GAR_LEGAL,0))</f>
        <v/>
      </c>
      <c r="BW3" s="3">
        <f>SG_GAR*MIN(1,BV3/SG_GAR_FULL)+SG_AMPL*(AC3="sí")+SG_KMC*(AF3="sí")+SG_REV*(N(AE3)&gt;0)+SG_DEV*MIN(1,N(AG3)/SG_DEV_FULL)+SG_HIST*(W3="sí")</f>
        <v/>
      </c>
      <c r="BX3" s="3">
        <f>W_FIAB*BJ3+W_PRECIO*BK3+W_KMEDAD*BO3+W_ANUNCIO*BP3+W_USO*BU3+W_SEGURIDAD*BW3</f>
        <v/>
      </c>
      <c r="BY3" s="4">
        <f>IF(N(I3)&gt;0,I3,IFERROR(ROUND(_xlfn.NUMBERVALUE(LEFT(G3,FIND(" ",G3&amp;" ")-1),".")*1000,0),99999))</f>
        <v/>
      </c>
      <c r="BZ3" s="3">
        <f>IF(R3="profesional",0,IF(O3&lt;CUOTA_VALOR_MAX,IF(AU3&gt;ITP_TRAMO_ALTO,SUMIFS(CF_CUOTA,CF_MAS,ITP_TRAMO_ALTO,CF_CCMIN,"&lt;="&amp;BY3,CF_CCMAX,"&gt;="&amp;BY3),IF(AU3&gt;ITP_TRAMO_BAJO,SUMIFS(CF_CUOTA,CF_MAS,ITP_TRAMO_BAJO,CF_CCMIN,"&lt;="&amp;BY3,CF_CCMAX,"&gt;="&amp;BY3),O3*ITP_TIPO)),O3*ITP_TIPO))</f>
        <v/>
      </c>
      <c r="CA3" s="4">
        <f>IF(R3="profesional",N(AK3),0)</f>
        <v/>
      </c>
      <c r="CB3" s="3">
        <f>IF(AND(R3="profesional",ISNUMBER(AK3),AL3="sí"),0,TASA_DGT)</f>
        <v/>
      </c>
      <c r="CC3" s="3">
        <f>INFORME_DGT</f>
        <v/>
      </c>
      <c r="CD3" s="4">
        <f>O3+CA3+BZ3+CB3+CC3</f>
        <v/>
      </c>
      <c r="CE3" s="4">
        <f>CD3+N(BS3)</f>
        <v/>
      </c>
      <c r="CF3" s="3">
        <f>IF(CD3&lt;=TOTAL_MAX,"sí","no")</f>
        <v/>
      </c>
      <c r="CG3" s="4">
        <f>IF(CF3="sí",COUNTIFS($CF$2:$CF$91,"sí",$BX$2:$BX$91,"&gt;"&amp;BX3)+COUNTIFS($CF$2:CF3,"sí",$BX$2:BX3,BX3),"")</f>
        <v/>
      </c>
    </row>
    <row r="4">
      <c r="A4" s="2" t="inlineStr">
        <is>
          <t>autoscout24:827f958f-8688-4b6d-8737-916b285573e8</t>
        </is>
      </c>
      <c r="B4" s="2" t="inlineStr">
        <is>
          <t>autoscout24</t>
        </is>
      </c>
      <c r="C4" s="2" t="inlineStr">
        <is>
          <t>https://www.autoscout24.es/anuncios/volkswagen-polo-1-2-advance-bmt-gasolina-gris-cat_ma74mo2090-827f958f-8688-4b6d-8737-916b285573e8</t>
        </is>
      </c>
      <c r="D4" s="2" t="inlineStr">
        <is>
          <t>Volkswagen Polo 1.2 Advance BMT</t>
        </is>
      </c>
      <c r="E4" s="2" t="inlineStr">
        <is>
          <t>Volkswagen</t>
        </is>
      </c>
      <c r="F4" s="2" t="inlineStr">
        <is>
          <t>Volkswagen Polo</t>
        </is>
      </c>
      <c r="G4" s="2" t="inlineStr">
        <is>
          <t>1.2</t>
        </is>
      </c>
      <c r="H4" s="2" t="inlineStr">
        <is>
          <t>1.2 Advance BMT 1.2</t>
        </is>
      </c>
      <c r="I4" s="2" t="n">
        <v>1198</v>
      </c>
      <c r="J4" s="2" t="n">
        <v>69</v>
      </c>
      <c r="K4" s="2" t="inlineStr">
        <is>
          <t>gasolina</t>
        </is>
      </c>
      <c r="L4" s="2" t="inlineStr">
        <is>
          <t>utilitario</t>
        </is>
      </c>
      <c r="M4" s="2" t="n">
        <v>2011</v>
      </c>
      <c r="N4" s="2" t="n">
        <v>211000</v>
      </c>
      <c r="O4" s="2" t="n">
        <v>4400</v>
      </c>
      <c r="P4" s="2" t="inlineStr">
        <is>
          <t>manual</t>
        </is>
      </c>
      <c r="Q4" s="2" t="inlineStr">
        <is>
          <t>no</t>
        </is>
      </c>
      <c r="R4" s="2" t="inlineStr">
        <is>
          <t>profesional</t>
        </is>
      </c>
      <c r="S4" s="2" t="inlineStr">
        <is>
          <t>Star Car Valencia — ALDAIA (46960)</t>
        </is>
      </c>
      <c r="T4" s="2" t="n"/>
      <c r="U4" s="2" t="n">
        <v>8</v>
      </c>
      <c r="V4" s="2" t="n"/>
      <c r="W4" s="2" t="n"/>
      <c r="X4" s="2" t="n"/>
      <c r="Y4" s="2" t="n"/>
      <c r="Z4" s="2" t="inlineStr">
        <is>
          <t>sí</t>
        </is>
      </c>
      <c r="AA4" s="2" t="n"/>
      <c r="AB4" s="2" t="n">
        <v>24</v>
      </c>
      <c r="AC4" s="2" t="n"/>
      <c r="AD4" s="2" t="n"/>
      <c r="AE4" s="2" t="n"/>
      <c r="AF4" s="2" t="n"/>
      <c r="AG4" s="2" t="n"/>
      <c r="AH4" s="2" t="n">
        <v>4400</v>
      </c>
      <c r="AI4" s="2" t="n"/>
      <c r="AJ4" s="2" t="n"/>
      <c r="AK4" s="2" t="n"/>
      <c r="AL4" s="2" t="n"/>
      <c r="AM4" s="2" t="n">
        <v>6.8</v>
      </c>
      <c r="AN4" s="2" t="n">
        <v>4300</v>
      </c>
      <c r="AO4" s="2" t="n">
        <v>4</v>
      </c>
      <c r="AP4" s="2" t="inlineStr">
        <is>
          <t>modelo+año+km</t>
        </is>
      </c>
      <c r="AQ4" s="2" t="n"/>
      <c r="AR4" s="2" t="inlineStr">
        <is>
          <t>vendedor profesional: sin ITP (operación con IVA/REBU, confirmar en factura); gastos de gestión del vendedor no indicados: se suma la tasa DGT; preguntar el precio final</t>
        </is>
      </c>
      <c r="AS4"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AT4" s="2" t="inlineStr">
        <is>
          <t>https://www.autoscout24.es/anuncios/volkswagen-polo-1-2-advance-bmt-gasolina-gris-cat_ma74mo2090-827f958f-8688-4b6d-8737-916b285573e8 (__NEXT_DATA__ listingDetails) /home/user/Alopecia/buscador-coches/raw/autoscout24/d6fff8df76fd308b.json</t>
        </is>
      </c>
      <c r="AU4" s="3">
        <f>MAX(ANIO_ACTUAL-M4,0)</f>
        <v/>
      </c>
      <c r="AV4" s="4">
        <f>N4/MAX(AU4,0.5)</f>
        <v/>
      </c>
      <c r="AW4" s="4">
        <f>F4</f>
        <v/>
      </c>
      <c r="AX4" s="3">
        <f>AW4&amp;"|"&amp;INT(M4/SEG_ANIO)*SEG_ANIO</f>
        <v/>
      </c>
      <c r="AY4" s="3">
        <f>AX4&amp;"|"&amp;INT(N4/SEG_KM)*SEG_KM</f>
        <v/>
      </c>
      <c r="AZ4" s="4">
        <f>COUNTIF($AW$2:$AW$91,AW4)</f>
        <v/>
      </c>
      <c r="BA4" s="4">
        <f>COUNTIF($AX$2:$AX$91,AX4)</f>
        <v/>
      </c>
      <c r="BB4" s="4">
        <f>COUNTIF($AY$2:$AY$91,AY4)</f>
        <v/>
      </c>
      <c r="BC4" s="3">
        <f t="array" ref="BC4">IF(N(AO4)&gt;=MIN_N,AN4,IF(BB4&gt;=MIN_N,MEDIAN(IF($AY$2:$AY$91=AY4,$O$2:$O$91)),IF(BA4&gt;=MIN_N,MEDIAN(IF($AX$2:$AX$91=AX4,$O$2:$O$91)),MEDIAN(IF($AW$2:$AW$91=AW4,$O$2:$O$91)))))</f>
        <v/>
      </c>
      <c r="BD4" s="3">
        <f>IF(N(AO4)&gt;=MIN_N,"mercado "&amp;AP4,IF(BB4&gt;=MIN_N,"modelo+año+km",IF(BA4&gt;=MIN_N,"modelo+año","modelo")))</f>
        <v/>
      </c>
      <c r="BE4" s="4">
        <f>(BC4-O4)/BC4</f>
        <v/>
      </c>
      <c r="BF4" s="3">
        <f>IF(OR(K4="hibrido",K4="glp"),"ECO",IF(K4="electrico","CERO",IF(K4="gasolina",IF(M4&gt;=GAS_C,"C",IF(M4&gt;=GAS_B,"B","A")),IF(K4="diesel",IF(M4&gt;=DIE_C,"C",IF(M4&gt;=DIE_B,"B","A")),""))))</f>
        <v/>
      </c>
      <c r="BG4" s="3">
        <f>IFERROR(VLOOKUP(F4,MOD_TBL,11,0),IFERROR(VLOOKUP(E4,OCU_TBL,2,0),NEUTRO))</f>
        <v/>
      </c>
      <c r="BH4" s="3">
        <f>SUMIFS(MOT_AJUSTE,MOT_MOTOR,G4,MOT_MARCA,E4,MOT_DESDE,"&lt;="&amp;M4,MOT_HASTA,"&gt;="&amp;M4)+SUMIFS(MOT_AJUSTE,MOT_MOTOR,G4,MOT_MARCA,"(todas)",MOT_DESDE,"&lt;="&amp;M4,MOT_HASTA,"&gt;="&amp;M4)</f>
        <v/>
      </c>
      <c r="BI4" s="3">
        <f>SUMIFS(COMB_AJUSTE,COMB_COMB,K4)</f>
        <v/>
      </c>
      <c r="BJ4" s="4">
        <f>MAX(0,MIN(100,BG4+BH4+BI4))</f>
        <v/>
      </c>
      <c r="BK4" s="3">
        <f>MAX(0,MIN(100,50+BE4*PRECIO_PEND))</f>
        <v/>
      </c>
      <c r="BL4" s="3">
        <f>MAX(0,100*(1-N4/KM_MAX))</f>
        <v/>
      </c>
      <c r="BM4" s="3">
        <f>IF(AV4&lt;KMA_SOSP,IF(AA4="sí",100,KMA_PEN),IF(AV4&lt;=KMA_IDEAL_MAX,100,MAX(0,100*(KMA_CERO-AV4)/(KMA_CERO-KMA_IDEAL_MAX))))</f>
        <v/>
      </c>
      <c r="BN4" s="3">
        <f>MAX(0,MIN(100,100*(M4-ANIO_MIN)/(ANIO_ACTUAL-ANIO_MIN)))</f>
        <v/>
      </c>
      <c r="BO4" s="3">
        <f>W_KMT*BL4+W_KMA*BM4+W_EDAD*BN4</f>
        <v/>
      </c>
      <c r="BP4" s="3">
        <f>P_ITV*(V4="sí")+P_LIBRO*(W4="sí")+P_CORREA*(X4="sí")+P_PROP*(Y4=1)+P_GAR*(Z4="sí")+P_FOTOS*MIN(1,N(U4)/FOTOS_OBJ)</f>
        <v/>
      </c>
      <c r="BQ4" s="3">
        <f>IFERROR(VLOOKUP(BF4,ETQ_TBL,2,0),NEUTRO)</f>
        <v/>
      </c>
      <c r="BR4" s="3">
        <f>NEUTRO</f>
        <v/>
      </c>
      <c r="BS4" s="3">
        <f>IFERROR(VLOOKUP(L4,SEGURO_TBL,3,0),"")</f>
        <v/>
      </c>
      <c r="BT4" s="3">
        <f>IF(BS4="",NEUTRO,MAX(0,MIN(100,100*(SEG_REF_MAX-BS4)/(SEG_REF_MAX-SEG_REF_MIN))))</f>
        <v/>
      </c>
      <c r="BU4" s="3">
        <f>W_ET*BQ4+W_CONS*BR4+W_SEG*BT4</f>
        <v/>
      </c>
      <c r="BV4" s="3">
        <f>IF(N(AB4)&gt;0,AB4,IF(AND(R4="profesional",SG_LEGAL_ON=1),GAR_LEGAL,0))</f>
        <v/>
      </c>
      <c r="BW4" s="3">
        <f>SG_GAR*MIN(1,BV4/SG_GAR_FULL)+SG_AMPL*(AC4="sí")+SG_KMC*(AF4="sí")+SG_REV*(N(AE4)&gt;0)+SG_DEV*MIN(1,N(AG4)/SG_DEV_FULL)+SG_HIST*(W4="sí")</f>
        <v/>
      </c>
      <c r="BX4" s="3">
        <f>W_FIAB*BJ4+W_PRECIO*BK4+W_KMEDAD*BO4+W_ANUNCIO*BP4+W_USO*BU4+W_SEGURIDAD*BW4</f>
        <v/>
      </c>
      <c r="BY4" s="4">
        <f>IF(N(I4)&gt;0,I4,IFERROR(ROUND(_xlfn.NUMBERVALUE(LEFT(G4,FIND(" ",G4&amp;" ")-1),".")*1000,0),99999))</f>
        <v/>
      </c>
      <c r="BZ4" s="3">
        <f>IF(R4="profesional",0,IF(O4&lt;CUOTA_VALOR_MAX,IF(AU4&gt;ITP_TRAMO_ALTO,SUMIFS(CF_CUOTA,CF_MAS,ITP_TRAMO_ALTO,CF_CCMIN,"&lt;="&amp;BY4,CF_CCMAX,"&gt;="&amp;BY4),IF(AU4&gt;ITP_TRAMO_BAJO,SUMIFS(CF_CUOTA,CF_MAS,ITP_TRAMO_BAJO,CF_CCMIN,"&lt;="&amp;BY4,CF_CCMAX,"&gt;="&amp;BY4),O4*ITP_TIPO)),O4*ITP_TIPO))</f>
        <v/>
      </c>
      <c r="CA4" s="4">
        <f>IF(R4="profesional",N(AK4),0)</f>
        <v/>
      </c>
      <c r="CB4" s="3">
        <f>IF(AND(R4="profesional",ISNUMBER(AK4),AL4="sí"),0,TASA_DGT)</f>
        <v/>
      </c>
      <c r="CC4" s="3">
        <f>INFORME_DGT</f>
        <v/>
      </c>
      <c r="CD4" s="4">
        <f>O4+CA4+BZ4+CB4+CC4</f>
        <v/>
      </c>
      <c r="CE4" s="4">
        <f>CD4+N(BS4)</f>
        <v/>
      </c>
      <c r="CF4" s="3">
        <f>IF(CD4&lt;=TOTAL_MAX,"sí","no")</f>
        <v/>
      </c>
      <c r="CG4" s="4">
        <f>IF(CF4="sí",COUNTIFS($CF$2:$CF$91,"sí",$BX$2:$BX$91,"&gt;"&amp;BX4)+COUNTIFS($CF$2:CF4,"sí",$BX$2:BX4,BX4),"")</f>
        <v/>
      </c>
    </row>
    <row r="5">
      <c r="A5" s="2" t="inlineStr">
        <is>
          <t>autoscout24:eedca07e-c241-4b5e-92f9-ca201479b1f6</t>
        </is>
      </c>
      <c r="B5" s="2" t="inlineStr">
        <is>
          <t>autoscout24</t>
        </is>
      </c>
      <c r="C5" s="2" t="inlineStr">
        <is>
          <t>https://www.autoscout24.es/anuncios/opel-corsa-1-2-essentia-gasolina-cat_ma54mo1918-eedca07e-c241-4b5e-92f9-ca201479b1f6</t>
        </is>
      </c>
      <c r="D5" s="2" t="inlineStr">
        <is>
          <t>Opel Corsa 1.2 Essentia</t>
        </is>
      </c>
      <c r="E5" s="2" t="inlineStr">
        <is>
          <t>Opel</t>
        </is>
      </c>
      <c r="F5" s="2" t="inlineStr">
        <is>
          <t>Opel Corsa</t>
        </is>
      </c>
      <c r="G5" s="2" t="inlineStr">
        <is>
          <t>1.2</t>
        </is>
      </c>
      <c r="H5" s="2" t="inlineStr">
        <is>
          <t>1.2 Essentia 1.2</t>
        </is>
      </c>
      <c r="I5" s="2" t="n">
        <v>1229</v>
      </c>
      <c r="J5" s="2" t="n">
        <v>86</v>
      </c>
      <c r="K5" s="2" t="inlineStr">
        <is>
          <t>gasolina</t>
        </is>
      </c>
      <c r="L5" s="2" t="inlineStr">
        <is>
          <t>utilitario</t>
        </is>
      </c>
      <c r="M5" s="2" t="n">
        <v>2010</v>
      </c>
      <c r="N5" s="2" t="n">
        <v>163000</v>
      </c>
      <c r="O5" s="2" t="n">
        <v>3490</v>
      </c>
      <c r="P5" s="2" t="inlineStr">
        <is>
          <t>manual</t>
        </is>
      </c>
      <c r="Q5" s="2" t="inlineStr">
        <is>
          <t>no</t>
        </is>
      </c>
      <c r="R5" s="2" t="inlineStr">
        <is>
          <t>particular</t>
        </is>
      </c>
      <c r="S5" s="2" t="inlineStr">
        <is>
          <t>València (46007)</t>
        </is>
      </c>
      <c r="T5" s="2" t="n"/>
      <c r="U5" s="2" t="n">
        <v>14</v>
      </c>
      <c r="V5" s="2" t="n"/>
      <c r="W5" s="2" t="n"/>
      <c r="X5" s="2" t="n"/>
      <c r="Y5" s="2" t="n"/>
      <c r="Z5" s="2" t="n"/>
      <c r="AA5" s="2" t="n"/>
      <c r="AB5" s="2" t="n"/>
      <c r="AC5" s="2" t="n"/>
      <c r="AD5" s="2" t="n"/>
      <c r="AE5" s="2" t="n"/>
      <c r="AF5" s="2" t="n"/>
      <c r="AG5" s="2" t="n"/>
      <c r="AH5" s="2" t="n"/>
      <c r="AI5" s="2" t="n"/>
      <c r="AJ5" s="2" t="n"/>
      <c r="AK5" s="2" t="n"/>
      <c r="AL5" s="2" t="n"/>
      <c r="AM5" s="2" t="n">
        <v>1.2</v>
      </c>
      <c r="AN5" s="2" t="n">
        <v>3500</v>
      </c>
      <c r="AO5" s="2" t="n">
        <v>7</v>
      </c>
      <c r="AP5" s="2" t="inlineStr">
        <is>
          <t>modelo+año+km</t>
        </is>
      </c>
      <c r="AQ5" s="2" t="inlineStr">
        <is>
          <t>wallapop:1318387590 (https://es.wallapop.com/item/opel-corsa-2010-1318387590); cochesnet:71859737 (https://www.coches.net/opel-corsa-12-111-years-3p-gasolina-2010-en-valencia-71859737-covo.aspx)</t>
        </is>
      </c>
      <c r="AR5" s="2" t="inlineStr">
        <is>
          <t>cuota fija ITP: &gt;12 años, hasta 1.500 cc</t>
        </is>
      </c>
      <c r="AS5" s="2" t="inlineStr">
        <is>
          <t>Vendo mi Opel Corsa 1.2 gasolina con 163.000 km.&lt;br /&gt;&lt;br /&gt;Es un coche que está súper cuidado y muy bien conservado. Tiene motor con cadena de distribución, por lo que no hay que preocuparse de cambiar la correa.&lt;br /&gt;&lt;br /&gt;Es muy cómodo de conducir, consume poquito y tiene un mantenimiento económico. Ideal para el día a día, para ir a trabajar o como primer coche.&lt;br /&gt;&lt;br /&gt;Es un coche sencillo, práctico y que da muy buen servicio.&lt;br /&gt;&lt;br /&gt;Se puede venir a ver y probar sin ningún compromiso.&lt;br /&gt;&lt;br /&gt;Cualquier duda, preguntadme sin problema, estaré encantado de responder.</t>
        </is>
      </c>
      <c r="AT5" s="2" t="inlineStr">
        <is>
          <t>https://www.autoscout24.es/anuncios/opel-corsa-1-2-essentia-gasolina-cat_ma54mo1918-eedca07e-c241-4b5e-92f9-ca201479b1f6 (__NEXT_DATA__ listingDetails) /home/user/Alopecia/buscador-coches/raw/autoscout24/316e205209890238.json</t>
        </is>
      </c>
      <c r="AU5" s="3">
        <f>MAX(ANIO_ACTUAL-M5,0)</f>
        <v/>
      </c>
      <c r="AV5" s="4">
        <f>N5/MAX(AU5,0.5)</f>
        <v/>
      </c>
      <c r="AW5" s="4">
        <f>F5</f>
        <v/>
      </c>
      <c r="AX5" s="3">
        <f>AW5&amp;"|"&amp;INT(M5/SEG_ANIO)*SEG_ANIO</f>
        <v/>
      </c>
      <c r="AY5" s="3">
        <f>AX5&amp;"|"&amp;INT(N5/SEG_KM)*SEG_KM</f>
        <v/>
      </c>
      <c r="AZ5" s="4">
        <f>COUNTIF($AW$2:$AW$91,AW5)</f>
        <v/>
      </c>
      <c r="BA5" s="4">
        <f>COUNTIF($AX$2:$AX$91,AX5)</f>
        <v/>
      </c>
      <c r="BB5" s="4">
        <f>COUNTIF($AY$2:$AY$91,AY5)</f>
        <v/>
      </c>
      <c r="BC5" s="3">
        <f t="array" ref="BC5">IF(N(AO5)&gt;=MIN_N,AN5,IF(BB5&gt;=MIN_N,MEDIAN(IF($AY$2:$AY$91=AY5,$O$2:$O$91)),IF(BA5&gt;=MIN_N,MEDIAN(IF($AX$2:$AX$91=AX5,$O$2:$O$91)),MEDIAN(IF($AW$2:$AW$91=AW5,$O$2:$O$91)))))</f>
        <v/>
      </c>
      <c r="BD5" s="3">
        <f>IF(N(AO5)&gt;=MIN_N,"mercado "&amp;AP5,IF(BB5&gt;=MIN_N,"modelo+año+km",IF(BA5&gt;=MIN_N,"modelo+año","modelo")))</f>
        <v/>
      </c>
      <c r="BE5" s="4">
        <f>(BC5-O5)/BC5</f>
        <v/>
      </c>
      <c r="BF5" s="3">
        <f>IF(OR(K5="hibrido",K5="glp"),"ECO",IF(K5="electrico","CERO",IF(K5="gasolina",IF(M5&gt;=GAS_C,"C",IF(M5&gt;=GAS_B,"B","A")),IF(K5="diesel",IF(M5&gt;=DIE_C,"C",IF(M5&gt;=DIE_B,"B","A")),""))))</f>
        <v/>
      </c>
      <c r="BG5" s="3">
        <f>IFERROR(VLOOKUP(F5,MOD_TBL,11,0),IFERROR(VLOOKUP(E5,OCU_TBL,2,0),NEUTRO))</f>
        <v/>
      </c>
      <c r="BH5" s="3">
        <f>SUMIFS(MOT_AJUSTE,MOT_MOTOR,G5,MOT_MARCA,E5,MOT_DESDE,"&lt;="&amp;M5,MOT_HASTA,"&gt;="&amp;M5)+SUMIFS(MOT_AJUSTE,MOT_MOTOR,G5,MOT_MARCA,"(todas)",MOT_DESDE,"&lt;="&amp;M5,MOT_HASTA,"&gt;="&amp;M5)</f>
        <v/>
      </c>
      <c r="BI5" s="3">
        <f>SUMIFS(COMB_AJUSTE,COMB_COMB,K5)</f>
        <v/>
      </c>
      <c r="BJ5" s="4">
        <f>MAX(0,MIN(100,BG5+BH5+BI5))</f>
        <v/>
      </c>
      <c r="BK5" s="3">
        <f>MAX(0,MIN(100,50+BE5*PRECIO_PEND))</f>
        <v/>
      </c>
      <c r="BL5" s="3">
        <f>MAX(0,100*(1-N5/KM_MAX))</f>
        <v/>
      </c>
      <c r="BM5" s="3">
        <f>IF(AV5&lt;KMA_SOSP,IF(AA5="sí",100,KMA_PEN),IF(AV5&lt;=KMA_IDEAL_MAX,100,MAX(0,100*(KMA_CERO-AV5)/(KMA_CERO-KMA_IDEAL_MAX))))</f>
        <v/>
      </c>
      <c r="BN5" s="3">
        <f>MAX(0,MIN(100,100*(M5-ANIO_MIN)/(ANIO_ACTUAL-ANIO_MIN)))</f>
        <v/>
      </c>
      <c r="BO5" s="3">
        <f>W_KMT*BL5+W_KMA*BM5+W_EDAD*BN5</f>
        <v/>
      </c>
      <c r="BP5" s="3">
        <f>P_ITV*(V5="sí")+P_LIBRO*(W5="sí")+P_CORREA*(X5="sí")+P_PROP*(Y5=1)+P_GAR*(Z5="sí")+P_FOTOS*MIN(1,N(U5)/FOTOS_OBJ)</f>
        <v/>
      </c>
      <c r="BQ5" s="3">
        <f>IFERROR(VLOOKUP(BF5,ETQ_TBL,2,0),NEUTRO)</f>
        <v/>
      </c>
      <c r="BR5" s="3">
        <f>NEUTRO</f>
        <v/>
      </c>
      <c r="BS5" s="3">
        <f>IFERROR(VLOOKUP(L5,SEGURO_TBL,3,0),"")</f>
        <v/>
      </c>
      <c r="BT5" s="3">
        <f>IF(BS5="",NEUTRO,MAX(0,MIN(100,100*(SEG_REF_MAX-BS5)/(SEG_REF_MAX-SEG_REF_MIN))))</f>
        <v/>
      </c>
      <c r="BU5" s="3">
        <f>W_ET*BQ5+W_CONS*BR5+W_SEG*BT5</f>
        <v/>
      </c>
      <c r="BV5" s="3">
        <f>IF(N(AB5)&gt;0,AB5,IF(AND(R5="profesional",SG_LEGAL_ON=1),GAR_LEGAL,0))</f>
        <v/>
      </c>
      <c r="BW5" s="3">
        <f>SG_GAR*MIN(1,BV5/SG_GAR_FULL)+SG_AMPL*(AC5="sí")+SG_KMC*(AF5="sí")+SG_REV*(N(AE5)&gt;0)+SG_DEV*MIN(1,N(AG5)/SG_DEV_FULL)+SG_HIST*(W5="sí")</f>
        <v/>
      </c>
      <c r="BX5" s="3">
        <f>W_FIAB*BJ5+W_PRECIO*BK5+W_KMEDAD*BO5+W_ANUNCIO*BP5+W_USO*BU5+W_SEGURIDAD*BW5</f>
        <v/>
      </c>
      <c r="BY5" s="4">
        <f>IF(N(I5)&gt;0,I5,IFERROR(ROUND(_xlfn.NUMBERVALUE(LEFT(G5,FIND(" ",G5&amp;" ")-1),".")*1000,0),99999))</f>
        <v/>
      </c>
      <c r="BZ5" s="3">
        <f>IF(R5="profesional",0,IF(O5&lt;CUOTA_VALOR_MAX,IF(AU5&gt;ITP_TRAMO_ALTO,SUMIFS(CF_CUOTA,CF_MAS,ITP_TRAMO_ALTO,CF_CCMIN,"&lt;="&amp;BY5,CF_CCMAX,"&gt;="&amp;BY5),IF(AU5&gt;ITP_TRAMO_BAJO,SUMIFS(CF_CUOTA,CF_MAS,ITP_TRAMO_BAJO,CF_CCMIN,"&lt;="&amp;BY5,CF_CCMAX,"&gt;="&amp;BY5),O5*ITP_TIPO)),O5*ITP_TIPO))</f>
        <v/>
      </c>
      <c r="CA5" s="4">
        <f>IF(R5="profesional",N(AK5),0)</f>
        <v/>
      </c>
      <c r="CB5" s="3">
        <f>IF(AND(R5="profesional",ISNUMBER(AK5),AL5="sí"),0,TASA_DGT)</f>
        <v/>
      </c>
      <c r="CC5" s="3">
        <f>INFORME_DGT</f>
        <v/>
      </c>
      <c r="CD5" s="4">
        <f>O5+CA5+BZ5+CB5+CC5</f>
        <v/>
      </c>
      <c r="CE5" s="4">
        <f>CD5+N(BS5)</f>
        <v/>
      </c>
      <c r="CF5" s="3">
        <f>IF(CD5&lt;=TOTAL_MAX,"sí","no")</f>
        <v/>
      </c>
      <c r="CG5" s="4">
        <f>IF(CF5="sí",COUNTIFS($CF$2:$CF$91,"sí",$BX$2:$BX$91,"&gt;"&amp;BX5)+COUNTIFS($CF$2:CF5,"sí",$BX$2:BX5,BX5),"")</f>
        <v/>
      </c>
    </row>
    <row r="6">
      <c r="A6" s="2" t="inlineStr">
        <is>
          <t>autoscout24:530a78a6-41a7-4caa-9407-81ae2c44ad35</t>
        </is>
      </c>
      <c r="B6" s="2" t="inlineStr">
        <is>
          <t>autoscout24</t>
        </is>
      </c>
      <c r="C6" s="2" t="inlineStr">
        <is>
          <t>https://www.autoscout24.es/anuncios/opel-corsa-1-4-c-mon-139co2-gasolina-gris-cat_ma54mo1918-530a78a6-41a7-4caa-9407-81ae2c44ad35</t>
        </is>
      </c>
      <c r="D6" s="2" t="inlineStr">
        <is>
          <t>Opel Corsa 1.4 C Mon (139CO2)</t>
        </is>
      </c>
      <c r="E6" s="2" t="inlineStr">
        <is>
          <t>Opel</t>
        </is>
      </c>
      <c r="F6" s="2" t="inlineStr">
        <is>
          <t>Opel Corsa</t>
        </is>
      </c>
      <c r="G6" s="2" t="inlineStr">
        <is>
          <t>1.4</t>
        </is>
      </c>
      <c r="H6" s="2" t="inlineStr">
        <is>
          <t>1.4 C Mon (139CO2) 1.4</t>
        </is>
      </c>
      <c r="I6" s="2" t="n">
        <v>1364</v>
      </c>
      <c r="J6" s="2" t="n">
        <v>90</v>
      </c>
      <c r="K6" s="2" t="inlineStr">
        <is>
          <t>gasolina</t>
        </is>
      </c>
      <c r="L6" s="2" t="inlineStr">
        <is>
          <t>utilitario</t>
        </is>
      </c>
      <c r="M6" s="2" t="n">
        <v>2009</v>
      </c>
      <c r="N6" s="2" t="n">
        <v>136000</v>
      </c>
      <c r="O6" s="2" t="n">
        <v>4500</v>
      </c>
      <c r="P6" s="2" t="inlineStr">
        <is>
          <t>manual</t>
        </is>
      </c>
      <c r="Q6" s="2" t="inlineStr">
        <is>
          <t>no</t>
        </is>
      </c>
      <c r="R6" s="2" t="inlineStr">
        <is>
          <t>profesional</t>
        </is>
      </c>
      <c r="S6" s="2" t="inlineStr">
        <is>
          <t>EUROREPAR AUTOS MERCHAN — MASANASSA (46470)</t>
        </is>
      </c>
      <c r="T6" s="2" t="n"/>
      <c r="U6" s="2" t="n">
        <v>8</v>
      </c>
      <c r="V6" s="2" t="inlineStr">
        <is>
          <t>sí</t>
        </is>
      </c>
      <c r="W6" s="2" t="n"/>
      <c r="X6" s="2" t="n"/>
      <c r="Y6" s="2" t="n"/>
      <c r="Z6" s="2" t="inlineStr">
        <is>
          <t>sí</t>
        </is>
      </c>
      <c r="AA6" s="2" t="n"/>
      <c r="AB6" s="2" t="n">
        <v>12</v>
      </c>
      <c r="AC6" s="2" t="n"/>
      <c r="AD6" s="2" t="n"/>
      <c r="AE6" s="2" t="n"/>
      <c r="AF6" s="2" t="n"/>
      <c r="AG6" s="2" t="n"/>
      <c r="AH6" s="2" t="n"/>
      <c r="AI6" s="2" t="n"/>
      <c r="AJ6" s="2" t="n"/>
      <c r="AK6" s="2" t="n"/>
      <c r="AL6" s="2" t="n"/>
      <c r="AM6" s="2" t="n">
        <v>6.7</v>
      </c>
      <c r="AN6" s="2" t="n">
        <v>3300</v>
      </c>
      <c r="AO6" s="2" t="n">
        <v>7</v>
      </c>
      <c r="AP6" s="2" t="inlineStr">
        <is>
          <t>modelo+año+km</t>
        </is>
      </c>
      <c r="AQ6" s="2" t="inlineStr">
        <is>
          <t>cochesnet:71842537 (https://www.coches.net/opel-corsa-cmon-14-3p-gasolina-2009-en-valencia-71842537-covo.aspx)</t>
        </is>
      </c>
      <c r="AR6" s="2" t="inlineStr">
        <is>
          <t>vendedor profesional: sin ITP (operación con IVA/REBU, confirmar en factura); gastos de gestión del vendedor no indicados: se suma la tasa DGT; preguntar el precio final</t>
        </is>
      </c>
      <c r="AS6"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AT6" s="2" t="inlineStr">
        <is>
          <t>https://www.autoscout24.es/anuncios/opel-corsa-1-4-c-mon-139co2-gasolina-gris-cat_ma54mo1918-530a78a6-41a7-4caa-9407-81ae2c44ad35 (__NEXT_DATA__ listingDetails) /home/user/Alopecia/buscador-coches/raw/autoscout24/ea1df8b55d5dba3e.json</t>
        </is>
      </c>
      <c r="AU6" s="3">
        <f>MAX(ANIO_ACTUAL-M6,0)</f>
        <v/>
      </c>
      <c r="AV6" s="4">
        <f>N6/MAX(AU6,0.5)</f>
        <v/>
      </c>
      <c r="AW6" s="4">
        <f>F6</f>
        <v/>
      </c>
      <c r="AX6" s="3">
        <f>AW6&amp;"|"&amp;INT(M6/SEG_ANIO)*SEG_ANIO</f>
        <v/>
      </c>
      <c r="AY6" s="3">
        <f>AX6&amp;"|"&amp;INT(N6/SEG_KM)*SEG_KM</f>
        <v/>
      </c>
      <c r="AZ6" s="4">
        <f>COUNTIF($AW$2:$AW$91,AW6)</f>
        <v/>
      </c>
      <c r="BA6" s="4">
        <f>COUNTIF($AX$2:$AX$91,AX6)</f>
        <v/>
      </c>
      <c r="BB6" s="4">
        <f>COUNTIF($AY$2:$AY$91,AY6)</f>
        <v/>
      </c>
      <c r="BC6" s="3">
        <f t="array" ref="BC6">IF(N(AO6)&gt;=MIN_N,AN6,IF(BB6&gt;=MIN_N,MEDIAN(IF($AY$2:$AY$91=AY6,$O$2:$O$91)),IF(BA6&gt;=MIN_N,MEDIAN(IF($AX$2:$AX$91=AX6,$O$2:$O$91)),MEDIAN(IF($AW$2:$AW$91=AW6,$O$2:$O$91)))))</f>
        <v/>
      </c>
      <c r="BD6" s="3">
        <f>IF(N(AO6)&gt;=MIN_N,"mercado "&amp;AP6,IF(BB6&gt;=MIN_N,"modelo+año+km",IF(BA6&gt;=MIN_N,"modelo+año","modelo")))</f>
        <v/>
      </c>
      <c r="BE6" s="4">
        <f>(BC6-O6)/BC6</f>
        <v/>
      </c>
      <c r="BF6" s="3">
        <f>IF(OR(K6="hibrido",K6="glp"),"ECO",IF(K6="electrico","CERO",IF(K6="gasolina",IF(M6&gt;=GAS_C,"C",IF(M6&gt;=GAS_B,"B","A")),IF(K6="diesel",IF(M6&gt;=DIE_C,"C",IF(M6&gt;=DIE_B,"B","A")),""))))</f>
        <v/>
      </c>
      <c r="BG6" s="3">
        <f>IFERROR(VLOOKUP(F6,MOD_TBL,11,0),IFERROR(VLOOKUP(E6,OCU_TBL,2,0),NEUTRO))</f>
        <v/>
      </c>
      <c r="BH6" s="3">
        <f>SUMIFS(MOT_AJUSTE,MOT_MOTOR,G6,MOT_MARCA,E6,MOT_DESDE,"&lt;="&amp;M6,MOT_HASTA,"&gt;="&amp;M6)+SUMIFS(MOT_AJUSTE,MOT_MOTOR,G6,MOT_MARCA,"(todas)",MOT_DESDE,"&lt;="&amp;M6,MOT_HASTA,"&gt;="&amp;M6)</f>
        <v/>
      </c>
      <c r="BI6" s="3">
        <f>SUMIFS(COMB_AJUSTE,COMB_COMB,K6)</f>
        <v/>
      </c>
      <c r="BJ6" s="4">
        <f>MAX(0,MIN(100,BG6+BH6+BI6))</f>
        <v/>
      </c>
      <c r="BK6" s="3">
        <f>MAX(0,MIN(100,50+BE6*PRECIO_PEND))</f>
        <v/>
      </c>
      <c r="BL6" s="3">
        <f>MAX(0,100*(1-N6/KM_MAX))</f>
        <v/>
      </c>
      <c r="BM6" s="3">
        <f>IF(AV6&lt;KMA_SOSP,IF(AA6="sí",100,KMA_PEN),IF(AV6&lt;=KMA_IDEAL_MAX,100,MAX(0,100*(KMA_CERO-AV6)/(KMA_CERO-KMA_IDEAL_MAX))))</f>
        <v/>
      </c>
      <c r="BN6" s="3">
        <f>MAX(0,MIN(100,100*(M6-ANIO_MIN)/(ANIO_ACTUAL-ANIO_MIN)))</f>
        <v/>
      </c>
      <c r="BO6" s="3">
        <f>W_KMT*BL6+W_KMA*BM6+W_EDAD*BN6</f>
        <v/>
      </c>
      <c r="BP6" s="3">
        <f>P_ITV*(V6="sí")+P_LIBRO*(W6="sí")+P_CORREA*(X6="sí")+P_PROP*(Y6=1)+P_GAR*(Z6="sí")+P_FOTOS*MIN(1,N(U6)/FOTOS_OBJ)</f>
        <v/>
      </c>
      <c r="BQ6" s="3">
        <f>IFERROR(VLOOKUP(BF6,ETQ_TBL,2,0),NEUTRO)</f>
        <v/>
      </c>
      <c r="BR6" s="3">
        <f>NEUTRO</f>
        <v/>
      </c>
      <c r="BS6" s="3">
        <f>IFERROR(VLOOKUP(L6,SEGURO_TBL,3,0),"")</f>
        <v/>
      </c>
      <c r="BT6" s="3">
        <f>IF(BS6="",NEUTRO,MAX(0,MIN(100,100*(SEG_REF_MAX-BS6)/(SEG_REF_MAX-SEG_REF_MIN))))</f>
        <v/>
      </c>
      <c r="BU6" s="3">
        <f>W_ET*BQ6+W_CONS*BR6+W_SEG*BT6</f>
        <v/>
      </c>
      <c r="BV6" s="3">
        <f>IF(N(AB6)&gt;0,AB6,IF(AND(R6="profesional",SG_LEGAL_ON=1),GAR_LEGAL,0))</f>
        <v/>
      </c>
      <c r="BW6" s="3">
        <f>SG_GAR*MIN(1,BV6/SG_GAR_FULL)+SG_AMPL*(AC6="sí")+SG_KMC*(AF6="sí")+SG_REV*(N(AE6)&gt;0)+SG_DEV*MIN(1,N(AG6)/SG_DEV_FULL)+SG_HIST*(W6="sí")</f>
        <v/>
      </c>
      <c r="BX6" s="3">
        <f>W_FIAB*BJ6+W_PRECIO*BK6+W_KMEDAD*BO6+W_ANUNCIO*BP6+W_USO*BU6+W_SEGURIDAD*BW6</f>
        <v/>
      </c>
      <c r="BY6" s="4">
        <f>IF(N(I6)&gt;0,I6,IFERROR(ROUND(_xlfn.NUMBERVALUE(LEFT(G6,FIND(" ",G6&amp;" ")-1),".")*1000,0),99999))</f>
        <v/>
      </c>
      <c r="BZ6" s="3">
        <f>IF(R6="profesional",0,IF(O6&lt;CUOTA_VALOR_MAX,IF(AU6&gt;ITP_TRAMO_ALTO,SUMIFS(CF_CUOTA,CF_MAS,ITP_TRAMO_ALTO,CF_CCMIN,"&lt;="&amp;BY6,CF_CCMAX,"&gt;="&amp;BY6),IF(AU6&gt;ITP_TRAMO_BAJO,SUMIFS(CF_CUOTA,CF_MAS,ITP_TRAMO_BAJO,CF_CCMIN,"&lt;="&amp;BY6,CF_CCMAX,"&gt;="&amp;BY6),O6*ITP_TIPO)),O6*ITP_TIPO))</f>
        <v/>
      </c>
      <c r="CA6" s="4">
        <f>IF(R6="profesional",N(AK6),0)</f>
        <v/>
      </c>
      <c r="CB6" s="3">
        <f>IF(AND(R6="profesional",ISNUMBER(AK6),AL6="sí"),0,TASA_DGT)</f>
        <v/>
      </c>
      <c r="CC6" s="3">
        <f>INFORME_DGT</f>
        <v/>
      </c>
      <c r="CD6" s="4">
        <f>O6+CA6+BZ6+CB6+CC6</f>
        <v/>
      </c>
      <c r="CE6" s="4">
        <f>CD6+N(BS6)</f>
        <v/>
      </c>
      <c r="CF6" s="3">
        <f>IF(CD6&lt;=TOTAL_MAX,"sí","no")</f>
        <v/>
      </c>
      <c r="CG6" s="4">
        <f>IF(CF6="sí",COUNTIFS($CF$2:$CF$91,"sí",$BX$2:$BX$91,"&gt;"&amp;BX6)+COUNTIFS($CF$2:CF6,"sí",$BX$2:BX6,BX6),"")</f>
        <v/>
      </c>
    </row>
    <row r="7">
      <c r="A7" s="2" t="inlineStr">
        <is>
          <t>autoscout24:98e81ab3-945a-4a40-a02e-686a76c720ea</t>
        </is>
      </c>
      <c r="B7" s="2" t="inlineStr">
        <is>
          <t>autoscout24</t>
        </is>
      </c>
      <c r="C7" s="2" t="inlineStr">
        <is>
          <t>https://www.autoscout24.es/anuncios/opel-corsa-gasolina-cat_ma54mo1918-98e81ab3-945a-4a40-a02e-686a76c720ea</t>
        </is>
      </c>
      <c r="D7" s="2" t="inlineStr">
        <is>
          <t>Opel Corsa</t>
        </is>
      </c>
      <c r="E7" s="2" t="inlineStr">
        <is>
          <t>Opel</t>
        </is>
      </c>
      <c r="F7" s="2" t="inlineStr">
        <is>
          <t>Opel Corsa</t>
        </is>
      </c>
      <c r="G7" s="2" t="inlineStr">
        <is>
          <t>1.6</t>
        </is>
      </c>
      <c r="H7" s="2" t="inlineStr">
        <is>
          <t>1.4</t>
        </is>
      </c>
      <c r="I7" s="2" t="n">
        <v>1598</v>
      </c>
      <c r="J7" s="2" t="n">
        <v>109</v>
      </c>
      <c r="K7" s="2" t="inlineStr">
        <is>
          <t>gasolina</t>
        </is>
      </c>
      <c r="L7" s="2" t="inlineStr">
        <is>
          <t>utilitario</t>
        </is>
      </c>
      <c r="M7" s="2" t="n">
        <v>2014</v>
      </c>
      <c r="N7" s="2" t="n">
        <v>160000</v>
      </c>
      <c r="O7" s="2" t="n">
        <v>4500</v>
      </c>
      <c r="P7" s="2" t="inlineStr">
        <is>
          <t>manual</t>
        </is>
      </c>
      <c r="Q7" s="2" t="inlineStr">
        <is>
          <t>no</t>
        </is>
      </c>
      <c r="R7" s="2" t="inlineStr">
        <is>
          <t>particular</t>
        </is>
      </c>
      <c r="S7" s="2" t="inlineStr">
        <is>
          <t>Alzira (46600)</t>
        </is>
      </c>
      <c r="T7" s="2" t="n"/>
      <c r="U7" s="2" t="n">
        <v>7</v>
      </c>
      <c r="V7" s="2" t="n"/>
      <c r="W7" s="2" t="n"/>
      <c r="X7" s="2" t="n"/>
      <c r="Y7" s="2" t="n"/>
      <c r="Z7" s="2" t="n"/>
      <c r="AA7" s="2" t="n"/>
      <c r="AB7" s="2" t="n"/>
      <c r="AC7" s="2" t="n"/>
      <c r="AD7" s="2" t="n"/>
      <c r="AE7" s="2" t="n"/>
      <c r="AF7" s="2" t="n"/>
      <c r="AG7" s="2" t="n"/>
      <c r="AH7" s="2" t="n"/>
      <c r="AI7" s="2" t="n"/>
      <c r="AJ7" s="2" t="n"/>
      <c r="AK7" s="2" t="n"/>
      <c r="AL7" s="2" t="n"/>
      <c r="AM7" s="2" t="n">
        <v>35.8</v>
      </c>
      <c r="AN7" s="2" t="n">
        <v>4600</v>
      </c>
      <c r="AO7" s="2" t="n">
        <v>7</v>
      </c>
      <c r="AP7" s="2" t="inlineStr">
        <is>
          <t>modelo+año+km</t>
        </is>
      </c>
      <c r="AQ7" s="2" t="n"/>
      <c r="AR7" s="2" t="inlineStr">
        <is>
          <t>cuota fija ITP: &gt;5 y &lt;=12 años, 1.501-2.000 cc</t>
        </is>
      </c>
      <c r="AS7" s="2" t="inlineStr"/>
      <c r="AT7" s="2" t="inlineStr">
        <is>
          <t>https://www.autoscout24.es/anuncios/opel-corsa-gasolina-cat_ma54mo1918-98e81ab3-945a-4a40-a02e-686a76c720ea (__NEXT_DATA__ listingDetails) /home/user/Alopecia/buscador-coches/raw/autoscout24/91af491fffed3c36.json</t>
        </is>
      </c>
      <c r="AU7" s="3">
        <f>MAX(ANIO_ACTUAL-M7,0)</f>
        <v/>
      </c>
      <c r="AV7" s="4">
        <f>N7/MAX(AU7,0.5)</f>
        <v/>
      </c>
      <c r="AW7" s="4">
        <f>F7</f>
        <v/>
      </c>
      <c r="AX7" s="3">
        <f>AW7&amp;"|"&amp;INT(M7/SEG_ANIO)*SEG_ANIO</f>
        <v/>
      </c>
      <c r="AY7" s="3">
        <f>AX7&amp;"|"&amp;INT(N7/SEG_KM)*SEG_KM</f>
        <v/>
      </c>
      <c r="AZ7" s="4">
        <f>COUNTIF($AW$2:$AW$91,AW7)</f>
        <v/>
      </c>
      <c r="BA7" s="4">
        <f>COUNTIF($AX$2:$AX$91,AX7)</f>
        <v/>
      </c>
      <c r="BB7" s="4">
        <f>COUNTIF($AY$2:$AY$91,AY7)</f>
        <v/>
      </c>
      <c r="BC7" s="3">
        <f t="array" ref="BC7">IF(N(AO7)&gt;=MIN_N,AN7,IF(BB7&gt;=MIN_N,MEDIAN(IF($AY$2:$AY$91=AY7,$O$2:$O$91)),IF(BA7&gt;=MIN_N,MEDIAN(IF($AX$2:$AX$91=AX7,$O$2:$O$91)),MEDIAN(IF($AW$2:$AW$91=AW7,$O$2:$O$91)))))</f>
        <v/>
      </c>
      <c r="BD7" s="3">
        <f>IF(N(AO7)&gt;=MIN_N,"mercado "&amp;AP7,IF(BB7&gt;=MIN_N,"modelo+año+km",IF(BA7&gt;=MIN_N,"modelo+año","modelo")))</f>
        <v/>
      </c>
      <c r="BE7" s="4">
        <f>(BC7-O7)/BC7</f>
        <v/>
      </c>
      <c r="BF7" s="3">
        <f>IF(OR(K7="hibrido",K7="glp"),"ECO",IF(K7="electrico","CERO",IF(K7="gasolina",IF(M7&gt;=GAS_C,"C",IF(M7&gt;=GAS_B,"B","A")),IF(K7="diesel",IF(M7&gt;=DIE_C,"C",IF(M7&gt;=DIE_B,"B","A")),""))))</f>
        <v/>
      </c>
      <c r="BG7" s="3">
        <f>IFERROR(VLOOKUP(F7,MOD_TBL,11,0),IFERROR(VLOOKUP(E7,OCU_TBL,2,0),NEUTRO))</f>
        <v/>
      </c>
      <c r="BH7" s="3">
        <f>SUMIFS(MOT_AJUSTE,MOT_MOTOR,G7,MOT_MARCA,E7,MOT_DESDE,"&lt;="&amp;M7,MOT_HASTA,"&gt;="&amp;M7)+SUMIFS(MOT_AJUSTE,MOT_MOTOR,G7,MOT_MARCA,"(todas)",MOT_DESDE,"&lt;="&amp;M7,MOT_HASTA,"&gt;="&amp;M7)</f>
        <v/>
      </c>
      <c r="BI7" s="3">
        <f>SUMIFS(COMB_AJUSTE,COMB_COMB,K7)</f>
        <v/>
      </c>
      <c r="BJ7" s="4">
        <f>MAX(0,MIN(100,BG7+BH7+BI7))</f>
        <v/>
      </c>
      <c r="BK7" s="3">
        <f>MAX(0,MIN(100,50+BE7*PRECIO_PEND))</f>
        <v/>
      </c>
      <c r="BL7" s="3">
        <f>MAX(0,100*(1-N7/KM_MAX))</f>
        <v/>
      </c>
      <c r="BM7" s="3">
        <f>IF(AV7&lt;KMA_SOSP,IF(AA7="sí",100,KMA_PEN),IF(AV7&lt;=KMA_IDEAL_MAX,100,MAX(0,100*(KMA_CERO-AV7)/(KMA_CERO-KMA_IDEAL_MAX))))</f>
        <v/>
      </c>
      <c r="BN7" s="3">
        <f>MAX(0,MIN(100,100*(M7-ANIO_MIN)/(ANIO_ACTUAL-ANIO_MIN)))</f>
        <v/>
      </c>
      <c r="BO7" s="3">
        <f>W_KMT*BL7+W_KMA*BM7+W_EDAD*BN7</f>
        <v/>
      </c>
      <c r="BP7" s="3">
        <f>P_ITV*(V7="sí")+P_LIBRO*(W7="sí")+P_CORREA*(X7="sí")+P_PROP*(Y7=1)+P_GAR*(Z7="sí")+P_FOTOS*MIN(1,N(U7)/FOTOS_OBJ)</f>
        <v/>
      </c>
      <c r="BQ7" s="3">
        <f>IFERROR(VLOOKUP(BF7,ETQ_TBL,2,0),NEUTRO)</f>
        <v/>
      </c>
      <c r="BR7" s="3">
        <f>NEUTRO</f>
        <v/>
      </c>
      <c r="BS7" s="3">
        <f>IFERROR(VLOOKUP(L7,SEGURO_TBL,3,0),"")</f>
        <v/>
      </c>
      <c r="BT7" s="3">
        <f>IF(BS7="",NEUTRO,MAX(0,MIN(100,100*(SEG_REF_MAX-BS7)/(SEG_REF_MAX-SEG_REF_MIN))))</f>
        <v/>
      </c>
      <c r="BU7" s="3">
        <f>W_ET*BQ7+W_CONS*BR7+W_SEG*BT7</f>
        <v/>
      </c>
      <c r="BV7" s="3">
        <f>IF(N(AB7)&gt;0,AB7,IF(AND(R7="profesional",SG_LEGAL_ON=1),GAR_LEGAL,0))</f>
        <v/>
      </c>
      <c r="BW7" s="3">
        <f>SG_GAR*MIN(1,BV7/SG_GAR_FULL)+SG_AMPL*(AC7="sí")+SG_KMC*(AF7="sí")+SG_REV*(N(AE7)&gt;0)+SG_DEV*MIN(1,N(AG7)/SG_DEV_FULL)+SG_HIST*(W7="sí")</f>
        <v/>
      </c>
      <c r="BX7" s="3">
        <f>W_FIAB*BJ7+W_PRECIO*BK7+W_KMEDAD*BO7+W_ANUNCIO*BP7+W_USO*BU7+W_SEGURIDAD*BW7</f>
        <v/>
      </c>
      <c r="BY7" s="4">
        <f>IF(N(I7)&gt;0,I7,IFERROR(ROUND(_xlfn.NUMBERVALUE(LEFT(G7,FIND(" ",G7&amp;" ")-1),".")*1000,0),99999))</f>
        <v/>
      </c>
      <c r="BZ7" s="3">
        <f>IF(R7="profesional",0,IF(O7&lt;CUOTA_VALOR_MAX,IF(AU7&gt;ITP_TRAMO_ALTO,SUMIFS(CF_CUOTA,CF_MAS,ITP_TRAMO_ALTO,CF_CCMIN,"&lt;="&amp;BY7,CF_CCMAX,"&gt;="&amp;BY7),IF(AU7&gt;ITP_TRAMO_BAJO,SUMIFS(CF_CUOTA,CF_MAS,ITP_TRAMO_BAJO,CF_CCMIN,"&lt;="&amp;BY7,CF_CCMAX,"&gt;="&amp;BY7),O7*ITP_TIPO)),O7*ITP_TIPO))</f>
        <v/>
      </c>
      <c r="CA7" s="4">
        <f>IF(R7="profesional",N(AK7),0)</f>
        <v/>
      </c>
      <c r="CB7" s="3">
        <f>IF(AND(R7="profesional",ISNUMBER(AK7),AL7="sí"),0,TASA_DGT)</f>
        <v/>
      </c>
      <c r="CC7" s="3">
        <f>INFORME_DGT</f>
        <v/>
      </c>
      <c r="CD7" s="4">
        <f>O7+CA7+BZ7+CB7+CC7</f>
        <v/>
      </c>
      <c r="CE7" s="4">
        <f>CD7+N(BS7)</f>
        <v/>
      </c>
      <c r="CF7" s="3">
        <f>IF(CD7&lt;=TOTAL_MAX,"sí","no")</f>
        <v/>
      </c>
      <c r="CG7" s="4">
        <f>IF(CF7="sí",COUNTIFS($CF$2:$CF$91,"sí",$BX$2:$BX$91,"&gt;"&amp;BX7)+COUNTIFS($CF$2:CF7,"sí",$BX$2:BX7,BX7),"")</f>
        <v/>
      </c>
    </row>
    <row r="8">
      <c r="A8" s="2" t="inlineStr">
        <is>
          <t>autoscout24:a9f25c00-f19e-4e5c-80ed-f8556168c772</t>
        </is>
      </c>
      <c r="B8" s="2" t="inlineStr">
        <is>
          <t>autoscout24</t>
        </is>
      </c>
      <c r="C8" s="2" t="inlineStr">
        <is>
          <t>https://www.autoscout24.es/anuncios/peugeot-207-207-1-4i-confort-75-confort-gasolina-negro-cat_ma55mo18797-a9f25c00-f19e-4e5c-80ed-f8556168c772</t>
        </is>
      </c>
      <c r="D8" s="2" t="inlineStr">
        <is>
          <t>Peugeot 207 207 1.4i Confort 75 Confort</t>
        </is>
      </c>
      <c r="E8" s="2" t="inlineStr">
        <is>
          <t>Peugeot</t>
        </is>
      </c>
      <c r="F8" s="2" t="inlineStr">
        <is>
          <t>Peugeot 207</t>
        </is>
      </c>
      <c r="G8" s="2" t="inlineStr">
        <is>
          <t>1.4</t>
        </is>
      </c>
      <c r="H8" s="2" t="inlineStr">
        <is>
          <t>207 1.4i Confort 75 Confort 75</t>
        </is>
      </c>
      <c r="I8" s="2" t="n">
        <v>1360</v>
      </c>
      <c r="J8" s="2" t="n">
        <v>75</v>
      </c>
      <c r="K8" s="2" t="inlineStr">
        <is>
          <t>gasolina</t>
        </is>
      </c>
      <c r="L8" s="2" t="inlineStr">
        <is>
          <t>utilitario</t>
        </is>
      </c>
      <c r="M8" s="2" t="n">
        <v>2008</v>
      </c>
      <c r="N8" s="2" t="n">
        <v>218000</v>
      </c>
      <c r="O8" s="2" t="n">
        <v>2600</v>
      </c>
      <c r="P8" s="2" t="inlineStr">
        <is>
          <t>manual</t>
        </is>
      </c>
      <c r="Q8" s="2" t="inlineStr">
        <is>
          <t>no</t>
        </is>
      </c>
      <c r="R8" s="2" t="inlineStr">
        <is>
          <t>particular</t>
        </is>
      </c>
      <c r="S8" s="2" t="inlineStr">
        <is>
          <t>València (46022)</t>
        </is>
      </c>
      <c r="T8" s="2" t="n"/>
      <c r="U8" s="2" t="n">
        <v>14</v>
      </c>
      <c r="V8" s="2" t="n"/>
      <c r="W8" s="2" t="n"/>
      <c r="X8" s="2" t="n"/>
      <c r="Y8" s="2" t="n"/>
      <c r="Z8" s="2" t="n"/>
      <c r="AA8" s="2" t="n"/>
      <c r="AB8" s="2" t="n"/>
      <c r="AC8" s="2" t="n"/>
      <c r="AD8" s="2" t="n"/>
      <c r="AE8" s="2" t="n"/>
      <c r="AF8" s="2" t="n"/>
      <c r="AG8" s="2" t="n"/>
      <c r="AH8" s="2" t="n"/>
      <c r="AI8" s="2" t="n"/>
      <c r="AJ8" s="2" t="n"/>
      <c r="AK8" s="2" t="n"/>
      <c r="AL8" s="2" t="n"/>
      <c r="AM8" s="2" t="n">
        <v>3.1</v>
      </c>
      <c r="AN8" s="2" t="n">
        <v>2950</v>
      </c>
      <c r="AO8" s="2" t="n">
        <v>13</v>
      </c>
      <c r="AP8" s="2" t="inlineStr">
        <is>
          <t>modelo+año+km</t>
        </is>
      </c>
      <c r="AQ8" s="2" t="n"/>
      <c r="AR8" s="2" t="inlineStr">
        <is>
          <t>cuota fija ITP: &gt;12 años, hasta 1.500 cc; fiabilidad del modelo PENDIENTE de fuente (puntuación neutra)</t>
        </is>
      </c>
      <c r="AS8" s="2" t="inlineStr"/>
      <c r="AT8" s="2" t="inlineStr">
        <is>
          <t>https://www.autoscout24.es/anuncios/peugeot-207-207-1-4i-confort-75-confort-gasolina-negro-cat_ma55mo18797-a9f25c00-f19e-4e5c-80ed-f8556168c772 (__NEXT_DATA__ listingDetails) /home/user/Alopecia/buscador-coches/raw/autoscout24/db9e1974065f04e5.json</t>
        </is>
      </c>
      <c r="AU8" s="3">
        <f>MAX(ANIO_ACTUAL-M8,0)</f>
        <v/>
      </c>
      <c r="AV8" s="4">
        <f>N8/MAX(AU8,0.5)</f>
        <v/>
      </c>
      <c r="AW8" s="4">
        <f>F8</f>
        <v/>
      </c>
      <c r="AX8" s="3">
        <f>AW8&amp;"|"&amp;INT(M8/SEG_ANIO)*SEG_ANIO</f>
        <v/>
      </c>
      <c r="AY8" s="3">
        <f>AX8&amp;"|"&amp;INT(N8/SEG_KM)*SEG_KM</f>
        <v/>
      </c>
      <c r="AZ8" s="4">
        <f>COUNTIF($AW$2:$AW$91,AW8)</f>
        <v/>
      </c>
      <c r="BA8" s="4">
        <f>COUNTIF($AX$2:$AX$91,AX8)</f>
        <v/>
      </c>
      <c r="BB8" s="4">
        <f>COUNTIF($AY$2:$AY$91,AY8)</f>
        <v/>
      </c>
      <c r="BC8" s="3">
        <f t="array" ref="BC8">IF(N(AO8)&gt;=MIN_N,AN8,IF(BB8&gt;=MIN_N,MEDIAN(IF($AY$2:$AY$91=AY8,$O$2:$O$91)),IF(BA8&gt;=MIN_N,MEDIAN(IF($AX$2:$AX$91=AX8,$O$2:$O$91)),MEDIAN(IF($AW$2:$AW$91=AW8,$O$2:$O$91)))))</f>
        <v/>
      </c>
      <c r="BD8" s="3">
        <f>IF(N(AO8)&gt;=MIN_N,"mercado "&amp;AP8,IF(BB8&gt;=MIN_N,"modelo+año+km",IF(BA8&gt;=MIN_N,"modelo+año","modelo")))</f>
        <v/>
      </c>
      <c r="BE8" s="4">
        <f>(BC8-O8)/BC8</f>
        <v/>
      </c>
      <c r="BF8" s="3">
        <f>IF(OR(K8="hibrido",K8="glp"),"ECO",IF(K8="electrico","CERO",IF(K8="gasolina",IF(M8&gt;=GAS_C,"C",IF(M8&gt;=GAS_B,"B","A")),IF(K8="diesel",IF(M8&gt;=DIE_C,"C",IF(M8&gt;=DIE_B,"B","A")),""))))</f>
        <v/>
      </c>
      <c r="BG8" s="3">
        <f>IFERROR(VLOOKUP(F8,MOD_TBL,11,0),IFERROR(VLOOKUP(E8,OCU_TBL,2,0),NEUTRO))</f>
        <v/>
      </c>
      <c r="BH8" s="3">
        <f>SUMIFS(MOT_AJUSTE,MOT_MOTOR,G8,MOT_MARCA,E8,MOT_DESDE,"&lt;="&amp;M8,MOT_HASTA,"&gt;="&amp;M8)+SUMIFS(MOT_AJUSTE,MOT_MOTOR,G8,MOT_MARCA,"(todas)",MOT_DESDE,"&lt;="&amp;M8,MOT_HASTA,"&gt;="&amp;M8)</f>
        <v/>
      </c>
      <c r="BI8" s="3">
        <f>SUMIFS(COMB_AJUSTE,COMB_COMB,K8)</f>
        <v/>
      </c>
      <c r="BJ8" s="4">
        <f>MAX(0,MIN(100,BG8+BH8+BI8))</f>
        <v/>
      </c>
      <c r="BK8" s="3">
        <f>MAX(0,MIN(100,50+BE8*PRECIO_PEND))</f>
        <v/>
      </c>
      <c r="BL8" s="3">
        <f>MAX(0,100*(1-N8/KM_MAX))</f>
        <v/>
      </c>
      <c r="BM8" s="3">
        <f>IF(AV8&lt;KMA_SOSP,IF(AA8="sí",100,KMA_PEN),IF(AV8&lt;=KMA_IDEAL_MAX,100,MAX(0,100*(KMA_CERO-AV8)/(KMA_CERO-KMA_IDEAL_MAX))))</f>
        <v/>
      </c>
      <c r="BN8" s="3">
        <f>MAX(0,MIN(100,100*(M8-ANIO_MIN)/(ANIO_ACTUAL-ANIO_MIN)))</f>
        <v/>
      </c>
      <c r="BO8" s="3">
        <f>W_KMT*BL8+W_KMA*BM8+W_EDAD*BN8</f>
        <v/>
      </c>
      <c r="BP8" s="3">
        <f>P_ITV*(V8="sí")+P_LIBRO*(W8="sí")+P_CORREA*(X8="sí")+P_PROP*(Y8=1)+P_GAR*(Z8="sí")+P_FOTOS*MIN(1,N(U8)/FOTOS_OBJ)</f>
        <v/>
      </c>
      <c r="BQ8" s="3">
        <f>IFERROR(VLOOKUP(BF8,ETQ_TBL,2,0),NEUTRO)</f>
        <v/>
      </c>
      <c r="BR8" s="3">
        <f>NEUTRO</f>
        <v/>
      </c>
      <c r="BS8" s="3">
        <f>IFERROR(VLOOKUP(L8,SEGURO_TBL,3,0),"")</f>
        <v/>
      </c>
      <c r="BT8" s="3">
        <f>IF(BS8="",NEUTRO,MAX(0,MIN(100,100*(SEG_REF_MAX-BS8)/(SEG_REF_MAX-SEG_REF_MIN))))</f>
        <v/>
      </c>
      <c r="BU8" s="3">
        <f>W_ET*BQ8+W_CONS*BR8+W_SEG*BT8</f>
        <v/>
      </c>
      <c r="BV8" s="3">
        <f>IF(N(AB8)&gt;0,AB8,IF(AND(R8="profesional",SG_LEGAL_ON=1),GAR_LEGAL,0))</f>
        <v/>
      </c>
      <c r="BW8" s="3">
        <f>SG_GAR*MIN(1,BV8/SG_GAR_FULL)+SG_AMPL*(AC8="sí")+SG_KMC*(AF8="sí")+SG_REV*(N(AE8)&gt;0)+SG_DEV*MIN(1,N(AG8)/SG_DEV_FULL)+SG_HIST*(W8="sí")</f>
        <v/>
      </c>
      <c r="BX8" s="3">
        <f>W_FIAB*BJ8+W_PRECIO*BK8+W_KMEDAD*BO8+W_ANUNCIO*BP8+W_USO*BU8+W_SEGURIDAD*BW8</f>
        <v/>
      </c>
      <c r="BY8" s="4">
        <f>IF(N(I8)&gt;0,I8,IFERROR(ROUND(_xlfn.NUMBERVALUE(LEFT(G8,FIND(" ",G8&amp;" ")-1),".")*1000,0),99999))</f>
        <v/>
      </c>
      <c r="BZ8" s="3">
        <f>IF(R8="profesional",0,IF(O8&lt;CUOTA_VALOR_MAX,IF(AU8&gt;ITP_TRAMO_ALTO,SUMIFS(CF_CUOTA,CF_MAS,ITP_TRAMO_ALTO,CF_CCMIN,"&lt;="&amp;BY8,CF_CCMAX,"&gt;="&amp;BY8),IF(AU8&gt;ITP_TRAMO_BAJO,SUMIFS(CF_CUOTA,CF_MAS,ITP_TRAMO_BAJO,CF_CCMIN,"&lt;="&amp;BY8,CF_CCMAX,"&gt;="&amp;BY8),O8*ITP_TIPO)),O8*ITP_TIPO))</f>
        <v/>
      </c>
      <c r="CA8" s="4">
        <f>IF(R8="profesional",N(AK8),0)</f>
        <v/>
      </c>
      <c r="CB8" s="3">
        <f>IF(AND(R8="profesional",ISNUMBER(AK8),AL8="sí"),0,TASA_DGT)</f>
        <v/>
      </c>
      <c r="CC8" s="3">
        <f>INFORME_DGT</f>
        <v/>
      </c>
      <c r="CD8" s="4">
        <f>O8+CA8+BZ8+CB8+CC8</f>
        <v/>
      </c>
      <c r="CE8" s="4">
        <f>CD8+N(BS8)</f>
        <v/>
      </c>
      <c r="CF8" s="3">
        <f>IF(CD8&lt;=TOTAL_MAX,"sí","no")</f>
        <v/>
      </c>
      <c r="CG8" s="4">
        <f>IF(CF8="sí",COUNTIFS($CF$2:$CF$91,"sí",$BX$2:$BX$91,"&gt;"&amp;BX8)+COUNTIFS($CF$2:CF8,"sí",$BX$2:BX8,BX8),"")</f>
        <v/>
      </c>
    </row>
    <row r="9">
      <c r="A9" s="2" t="inlineStr">
        <is>
          <t>autoscout24:cb47557d-00cb-449b-8153-e5de1e64bdaf</t>
        </is>
      </c>
      <c r="B9" s="2" t="inlineStr">
        <is>
          <t>autoscout24</t>
        </is>
      </c>
      <c r="C9" s="2" t="inlineStr">
        <is>
          <t>https://www.autoscout24.es/anuncios/ford-fiesta-1-3-ambiente-gasolina-gris-cat_ma29mo1758-cb47557d-00cb-449b-8153-e5de1e64bdaf</t>
        </is>
      </c>
      <c r="D9" s="2" t="inlineStr">
        <is>
          <t>Ford Fiesta 1.3 Ambiente</t>
        </is>
      </c>
      <c r="E9" s="2" t="inlineStr">
        <is>
          <t>Ford</t>
        </is>
      </c>
      <c r="F9" s="2" t="inlineStr">
        <is>
          <t>Ford Fiesta</t>
        </is>
      </c>
      <c r="G9" s="2" t="inlineStr">
        <is>
          <t>1.3</t>
        </is>
      </c>
      <c r="H9" s="2" t="inlineStr">
        <is>
          <t>1.3 Ambiente 1.3</t>
        </is>
      </c>
      <c r="I9" s="2" t="n">
        <v>1299</v>
      </c>
      <c r="J9" s="2" t="n">
        <v>69</v>
      </c>
      <c r="K9" s="2" t="inlineStr">
        <is>
          <t>gasolina</t>
        </is>
      </c>
      <c r="L9" s="2" t="inlineStr">
        <is>
          <t>utilitario</t>
        </is>
      </c>
      <c r="M9" s="2" t="n">
        <v>2008</v>
      </c>
      <c r="N9" s="2" t="n">
        <v>82000</v>
      </c>
      <c r="O9" s="2" t="n">
        <v>3500</v>
      </c>
      <c r="P9" s="2" t="inlineStr">
        <is>
          <t>manual</t>
        </is>
      </c>
      <c r="Q9" s="2" t="inlineStr">
        <is>
          <t>no</t>
        </is>
      </c>
      <c r="R9" s="2" t="inlineStr">
        <is>
          <t>profesional</t>
        </is>
      </c>
      <c r="S9" s="2" t="inlineStr">
        <is>
          <t>EUROCOCHES MANIVAL — MANISES (46940)</t>
        </is>
      </c>
      <c r="T9" s="2" t="n"/>
      <c r="U9" s="2" t="n">
        <v>9</v>
      </c>
      <c r="V9" s="2" t="n"/>
      <c r="W9" s="2" t="n"/>
      <c r="X9" s="2" t="n"/>
      <c r="Y9" s="2" t="n"/>
      <c r="Z9" s="2" t="inlineStr">
        <is>
          <t>sí</t>
        </is>
      </c>
      <c r="AA9" s="2" t="n"/>
      <c r="AB9" s="2" t="n">
        <v>12</v>
      </c>
      <c r="AC9" s="2" t="n"/>
      <c r="AD9" s="2" t="n"/>
      <c r="AE9" s="2" t="n"/>
      <c r="AF9" s="2" t="n"/>
      <c r="AG9" s="2" t="n"/>
      <c r="AH9" s="2" t="n"/>
      <c r="AI9" s="2" t="n"/>
      <c r="AJ9" s="2" t="n"/>
      <c r="AK9" s="2" t="n"/>
      <c r="AL9" s="2" t="n"/>
      <c r="AM9" s="2" t="n">
        <v>8.199999999999999</v>
      </c>
      <c r="AN9" s="2" t="n">
        <v>3500</v>
      </c>
      <c r="AO9" s="2" t="n">
        <v>36</v>
      </c>
      <c r="AP9" s="2" t="inlineStr">
        <is>
          <t>modelo+año</t>
        </is>
      </c>
      <c r="AQ9" s="2" t="n"/>
      <c r="AR9" s="2" t="inlineStr">
        <is>
          <t>vendedor profesional: sin ITP (operación con IVA/REBU, confirmar en factura); gastos de gestión del vendedor no indicados: se suma la tasa DGT; preguntar el precio final</t>
        </is>
      </c>
      <c r="AS9" s="2" t="inlineStr">
        <is>
          <t>- con posibilidad de financiar desde 79€ al mes-</t>
        </is>
      </c>
      <c r="AT9" s="2" t="inlineStr">
        <is>
          <t>https://www.autoscout24.es/anuncios/ford-fiesta-1-3-ambiente-gasolina-gris-cat_ma29mo1758-cb47557d-00cb-449b-8153-e5de1e64bdaf (__NEXT_DATA__ listingDetails) /home/user/Alopecia/buscador-coches/raw/autoscout24/c41479ee6268044f.json</t>
        </is>
      </c>
      <c r="AU9" s="3">
        <f>MAX(ANIO_ACTUAL-M9,0)</f>
        <v/>
      </c>
      <c r="AV9" s="4">
        <f>N9/MAX(AU9,0.5)</f>
        <v/>
      </c>
      <c r="AW9" s="4">
        <f>F9</f>
        <v/>
      </c>
      <c r="AX9" s="3">
        <f>AW9&amp;"|"&amp;INT(M9/SEG_ANIO)*SEG_ANIO</f>
        <v/>
      </c>
      <c r="AY9" s="3">
        <f>AX9&amp;"|"&amp;INT(N9/SEG_KM)*SEG_KM</f>
        <v/>
      </c>
      <c r="AZ9" s="4">
        <f>COUNTIF($AW$2:$AW$91,AW9)</f>
        <v/>
      </c>
      <c r="BA9" s="4">
        <f>COUNTIF($AX$2:$AX$91,AX9)</f>
        <v/>
      </c>
      <c r="BB9" s="4">
        <f>COUNTIF($AY$2:$AY$91,AY9)</f>
        <v/>
      </c>
      <c r="BC9" s="3">
        <f t="array" ref="BC9">IF(N(AO9)&gt;=MIN_N,AN9,IF(BB9&gt;=MIN_N,MEDIAN(IF($AY$2:$AY$91=AY9,$O$2:$O$91)),IF(BA9&gt;=MIN_N,MEDIAN(IF($AX$2:$AX$91=AX9,$O$2:$O$91)),MEDIAN(IF($AW$2:$AW$91=AW9,$O$2:$O$91)))))</f>
        <v/>
      </c>
      <c r="BD9" s="3">
        <f>IF(N(AO9)&gt;=MIN_N,"mercado "&amp;AP9,IF(BB9&gt;=MIN_N,"modelo+año+km",IF(BA9&gt;=MIN_N,"modelo+año","modelo")))</f>
        <v/>
      </c>
      <c r="BE9" s="4">
        <f>(BC9-O9)/BC9</f>
        <v/>
      </c>
      <c r="BF9" s="3">
        <f>IF(OR(K9="hibrido",K9="glp"),"ECO",IF(K9="electrico","CERO",IF(K9="gasolina",IF(M9&gt;=GAS_C,"C",IF(M9&gt;=GAS_B,"B","A")),IF(K9="diesel",IF(M9&gt;=DIE_C,"C",IF(M9&gt;=DIE_B,"B","A")),""))))</f>
        <v/>
      </c>
      <c r="BG9" s="3">
        <f>IFERROR(VLOOKUP(F9,MOD_TBL,11,0),IFERROR(VLOOKUP(E9,OCU_TBL,2,0),NEUTRO))</f>
        <v/>
      </c>
      <c r="BH9" s="3">
        <f>SUMIFS(MOT_AJUSTE,MOT_MOTOR,G9,MOT_MARCA,E9,MOT_DESDE,"&lt;="&amp;M9,MOT_HASTA,"&gt;="&amp;M9)+SUMIFS(MOT_AJUSTE,MOT_MOTOR,G9,MOT_MARCA,"(todas)",MOT_DESDE,"&lt;="&amp;M9,MOT_HASTA,"&gt;="&amp;M9)</f>
        <v/>
      </c>
      <c r="BI9" s="3">
        <f>SUMIFS(COMB_AJUSTE,COMB_COMB,K9)</f>
        <v/>
      </c>
      <c r="BJ9" s="4">
        <f>MAX(0,MIN(100,BG9+BH9+BI9))</f>
        <v/>
      </c>
      <c r="BK9" s="3">
        <f>MAX(0,MIN(100,50+BE9*PRECIO_PEND))</f>
        <v/>
      </c>
      <c r="BL9" s="3">
        <f>MAX(0,100*(1-N9/KM_MAX))</f>
        <v/>
      </c>
      <c r="BM9" s="3">
        <f>IF(AV9&lt;KMA_SOSP,IF(AA9="sí",100,KMA_PEN),IF(AV9&lt;=KMA_IDEAL_MAX,100,MAX(0,100*(KMA_CERO-AV9)/(KMA_CERO-KMA_IDEAL_MAX))))</f>
        <v/>
      </c>
      <c r="BN9" s="3">
        <f>MAX(0,MIN(100,100*(M9-ANIO_MIN)/(ANIO_ACTUAL-ANIO_MIN)))</f>
        <v/>
      </c>
      <c r="BO9" s="3">
        <f>W_KMT*BL9+W_KMA*BM9+W_EDAD*BN9</f>
        <v/>
      </c>
      <c r="BP9" s="3">
        <f>P_ITV*(V9="sí")+P_LIBRO*(W9="sí")+P_CORREA*(X9="sí")+P_PROP*(Y9=1)+P_GAR*(Z9="sí")+P_FOTOS*MIN(1,N(U9)/FOTOS_OBJ)</f>
        <v/>
      </c>
      <c r="BQ9" s="3">
        <f>IFERROR(VLOOKUP(BF9,ETQ_TBL,2,0),NEUTRO)</f>
        <v/>
      </c>
      <c r="BR9" s="3">
        <f>NEUTRO</f>
        <v/>
      </c>
      <c r="BS9" s="3">
        <f>IFERROR(VLOOKUP(L9,SEGURO_TBL,3,0),"")</f>
        <v/>
      </c>
      <c r="BT9" s="3">
        <f>IF(BS9="",NEUTRO,MAX(0,MIN(100,100*(SEG_REF_MAX-BS9)/(SEG_REF_MAX-SEG_REF_MIN))))</f>
        <v/>
      </c>
      <c r="BU9" s="3">
        <f>W_ET*BQ9+W_CONS*BR9+W_SEG*BT9</f>
        <v/>
      </c>
      <c r="BV9" s="3">
        <f>IF(N(AB9)&gt;0,AB9,IF(AND(R9="profesional",SG_LEGAL_ON=1),GAR_LEGAL,0))</f>
        <v/>
      </c>
      <c r="BW9" s="3">
        <f>SG_GAR*MIN(1,BV9/SG_GAR_FULL)+SG_AMPL*(AC9="sí")+SG_KMC*(AF9="sí")+SG_REV*(N(AE9)&gt;0)+SG_DEV*MIN(1,N(AG9)/SG_DEV_FULL)+SG_HIST*(W9="sí")</f>
        <v/>
      </c>
      <c r="BX9" s="3">
        <f>W_FIAB*BJ9+W_PRECIO*BK9+W_KMEDAD*BO9+W_ANUNCIO*BP9+W_USO*BU9+W_SEGURIDAD*BW9</f>
        <v/>
      </c>
      <c r="BY9" s="4">
        <f>IF(N(I9)&gt;0,I9,IFERROR(ROUND(_xlfn.NUMBERVALUE(LEFT(G9,FIND(" ",G9&amp;" ")-1),".")*1000,0),99999))</f>
        <v/>
      </c>
      <c r="BZ9" s="3">
        <f>IF(R9="profesional",0,IF(O9&lt;CUOTA_VALOR_MAX,IF(AU9&gt;ITP_TRAMO_ALTO,SUMIFS(CF_CUOTA,CF_MAS,ITP_TRAMO_ALTO,CF_CCMIN,"&lt;="&amp;BY9,CF_CCMAX,"&gt;="&amp;BY9),IF(AU9&gt;ITP_TRAMO_BAJO,SUMIFS(CF_CUOTA,CF_MAS,ITP_TRAMO_BAJO,CF_CCMIN,"&lt;="&amp;BY9,CF_CCMAX,"&gt;="&amp;BY9),O9*ITP_TIPO)),O9*ITP_TIPO))</f>
        <v/>
      </c>
      <c r="CA9" s="4">
        <f>IF(R9="profesional",N(AK9),0)</f>
        <v/>
      </c>
      <c r="CB9" s="3">
        <f>IF(AND(R9="profesional",ISNUMBER(AK9),AL9="sí"),0,TASA_DGT)</f>
        <v/>
      </c>
      <c r="CC9" s="3">
        <f>INFORME_DGT</f>
        <v/>
      </c>
      <c r="CD9" s="4">
        <f>O9+CA9+BZ9+CB9+CC9</f>
        <v/>
      </c>
      <c r="CE9" s="4">
        <f>CD9+N(BS9)</f>
        <v/>
      </c>
      <c r="CF9" s="3">
        <f>IF(CD9&lt;=TOTAL_MAX,"sí","no")</f>
        <v/>
      </c>
      <c r="CG9" s="4">
        <f>IF(CF9="sí",COUNTIFS($CF$2:$CF$91,"sí",$BX$2:$BX$91,"&gt;"&amp;BX9)+COUNTIFS($CF$2:CF9,"sí",$BX$2:BX9,BX9),"")</f>
        <v/>
      </c>
    </row>
    <row r="10">
      <c r="A10" s="2" t="inlineStr">
        <is>
          <t>autoscout24:c0e51c94-8ec0-4a36-8134-caae0331b183</t>
        </is>
      </c>
      <c r="B10" s="2" t="inlineStr">
        <is>
          <t>autoscout24</t>
        </is>
      </c>
      <c r="C10" s="2" t="inlineStr">
        <is>
          <t>https://www.autoscout24.es/anuncios/fiat-punto-punto-1-2-feel-classic-feel-classic-gasolina-rojo-cat_ma28mo1747-c0e51c94-8ec0-4a36-8134-caae0331b183</t>
        </is>
      </c>
      <c r="D10" s="2" t="inlineStr">
        <is>
          <t>Fiat Punto Punto 1.2 Feel/Classic Feel/Classic</t>
        </is>
      </c>
      <c r="E10" s="2" t="inlineStr">
        <is>
          <t>Fiat</t>
        </is>
      </c>
      <c r="F10" s="2" t="inlineStr">
        <is>
          <t>Fiat Punto</t>
        </is>
      </c>
      <c r="G10" s="2" t="inlineStr">
        <is>
          <t>1.2</t>
        </is>
      </c>
      <c r="H10" s="2" t="inlineStr">
        <is>
          <t>Punto 1.2 Feel/Classic Feel/Classic 1.2 8V</t>
        </is>
      </c>
      <c r="I10" s="2" t="n">
        <v>1242</v>
      </c>
      <c r="J10" s="2" t="n">
        <v>60</v>
      </c>
      <c r="K10" s="2" t="inlineStr">
        <is>
          <t>gasolina</t>
        </is>
      </c>
      <c r="L10" s="2" t="inlineStr">
        <is>
          <t>utilitario</t>
        </is>
      </c>
      <c r="M10" s="2" t="n">
        <v>2009</v>
      </c>
      <c r="N10" s="2" t="n">
        <v>114000</v>
      </c>
      <c r="O10" s="2" t="n">
        <v>3900</v>
      </c>
      <c r="P10" s="2" t="inlineStr">
        <is>
          <t>manual</t>
        </is>
      </c>
      <c r="Q10" s="2" t="inlineStr">
        <is>
          <t>no</t>
        </is>
      </c>
      <c r="R10" s="2" t="inlineStr">
        <is>
          <t>particular</t>
        </is>
      </c>
      <c r="S10" s="2" t="inlineStr">
        <is>
          <t>Vilamarxant (46191)</t>
        </is>
      </c>
      <c r="T10" s="2" t="n"/>
      <c r="U10" s="2" t="n">
        <v>5</v>
      </c>
      <c r="V10" s="2" t="inlineStr">
        <is>
          <t>sí</t>
        </is>
      </c>
      <c r="W10" s="2" t="n"/>
      <c r="X10" s="2" t="n"/>
      <c r="Y10" s="2" t="n"/>
      <c r="Z10" s="2" t="n"/>
      <c r="AA10" s="2" t="n"/>
      <c r="AB10" s="2" t="n"/>
      <c r="AC10" s="2" t="n"/>
      <c r="AD10" s="2" t="n"/>
      <c r="AE10" s="2" t="n"/>
      <c r="AF10" s="2" t="n"/>
      <c r="AG10" s="2" t="n"/>
      <c r="AH10" s="2" t="n"/>
      <c r="AI10" s="2" t="n"/>
      <c r="AJ10" s="2" t="n"/>
      <c r="AK10" s="2" t="n"/>
      <c r="AL10" s="2" t="n"/>
      <c r="AM10" s="2" t="n">
        <v>20.6</v>
      </c>
      <c r="AN10" s="2" t="n">
        <v>2500</v>
      </c>
      <c r="AO10" s="2" t="n">
        <v>7</v>
      </c>
      <c r="AP10" s="2" t="inlineStr">
        <is>
          <t>modelo+año</t>
        </is>
      </c>
      <c r="AQ10" s="2" t="n"/>
      <c r="AR10" s="2" t="inlineStr">
        <is>
          <t>cuota fija ITP: &gt;12 años, hasta 1.500 cc; fiabilidad del modelo PENDIENTE de fuente (puntuación neutra)</t>
        </is>
      </c>
      <c r="AS10" s="2" t="inlineStr">
        <is>
          <t>Vendo Fiat Punto gasolina del año 2009, con 114. 000km por cambio a coche eléctrico . Coche cuidado y en buen estado general, ideal como coche urbano o segundo vehículo.&lt;br /&gt;- Etiqueta C&lt;br /&gt;- ITV hasta noviembre de 2026.&lt;br /&gt;- Aire Acondicionado&lt;br /&gt;- Mantenimiento realizado regularmente, con facturas disponibles.&lt;br /&gt;-Pastillas de freno delanteras sustituidas.&lt;br /&gt;- Batería nueva.&lt;br /&gt;- Bujías nuevas.&lt;br /&gt;- 4 neumáticos sustituidos: traseros en noviembre y delanteros recientemente .&lt;br /&gt;- 2 llaves&lt;br /&gt;Se puede ver y probar sin compromiso&lt;br /&gt;€ Precio negociable&lt;br /&gt;Se escuchan ofertas razonables una vez visto el vehículo.&lt;br /&gt;</t>
        </is>
      </c>
      <c r="AT10" s="2" t="inlineStr">
        <is>
          <t>https://www.autoscout24.es/anuncios/fiat-punto-punto-1-2-feel-classic-feel-classic-gasolina-rojo-cat_ma28mo1747-c0e51c94-8ec0-4a36-8134-caae0331b183 (__NEXT_DATA__ listingDetails) /home/user/Alopecia/buscador-coches/raw/autoscout24/4d7631f2559e0d7b.json</t>
        </is>
      </c>
      <c r="AU10" s="3">
        <f>MAX(ANIO_ACTUAL-M10,0)</f>
        <v/>
      </c>
      <c r="AV10" s="4">
        <f>N10/MAX(AU10,0.5)</f>
        <v/>
      </c>
      <c r="AW10" s="4">
        <f>F10</f>
        <v/>
      </c>
      <c r="AX10" s="3">
        <f>AW10&amp;"|"&amp;INT(M10/SEG_ANIO)*SEG_ANIO</f>
        <v/>
      </c>
      <c r="AY10" s="3">
        <f>AX10&amp;"|"&amp;INT(N10/SEG_KM)*SEG_KM</f>
        <v/>
      </c>
      <c r="AZ10" s="4">
        <f>COUNTIF($AW$2:$AW$91,AW10)</f>
        <v/>
      </c>
      <c r="BA10" s="4">
        <f>COUNTIF($AX$2:$AX$91,AX10)</f>
        <v/>
      </c>
      <c r="BB10" s="4">
        <f>COUNTIF($AY$2:$AY$91,AY10)</f>
        <v/>
      </c>
      <c r="BC10" s="3">
        <f t="array" ref="BC10">IF(N(AO10)&gt;=MIN_N,AN10,IF(BB10&gt;=MIN_N,MEDIAN(IF($AY$2:$AY$91=AY10,$O$2:$O$91)),IF(BA10&gt;=MIN_N,MEDIAN(IF($AX$2:$AX$91=AX10,$O$2:$O$91)),MEDIAN(IF($AW$2:$AW$91=AW10,$O$2:$O$91)))))</f>
        <v/>
      </c>
      <c r="BD10" s="3">
        <f>IF(N(AO10)&gt;=MIN_N,"mercado "&amp;AP10,IF(BB10&gt;=MIN_N,"modelo+año+km",IF(BA10&gt;=MIN_N,"modelo+año","modelo")))</f>
        <v/>
      </c>
      <c r="BE10" s="4">
        <f>(BC10-O10)/BC10</f>
        <v/>
      </c>
      <c r="BF10" s="3">
        <f>IF(OR(K10="hibrido",K10="glp"),"ECO",IF(K10="electrico","CERO",IF(K10="gasolina",IF(M10&gt;=GAS_C,"C",IF(M10&gt;=GAS_B,"B","A")),IF(K10="diesel",IF(M10&gt;=DIE_C,"C",IF(M10&gt;=DIE_B,"B","A")),""))))</f>
        <v/>
      </c>
      <c r="BG10" s="3">
        <f>IFERROR(VLOOKUP(F10,MOD_TBL,11,0),IFERROR(VLOOKUP(E10,OCU_TBL,2,0),NEUTRO))</f>
        <v/>
      </c>
      <c r="BH10" s="3">
        <f>SUMIFS(MOT_AJUSTE,MOT_MOTOR,G10,MOT_MARCA,E10,MOT_DESDE,"&lt;="&amp;M10,MOT_HASTA,"&gt;="&amp;M10)+SUMIFS(MOT_AJUSTE,MOT_MOTOR,G10,MOT_MARCA,"(todas)",MOT_DESDE,"&lt;="&amp;M10,MOT_HASTA,"&gt;="&amp;M10)</f>
        <v/>
      </c>
      <c r="BI10" s="3">
        <f>SUMIFS(COMB_AJUSTE,COMB_COMB,K10)</f>
        <v/>
      </c>
      <c r="BJ10" s="4">
        <f>MAX(0,MIN(100,BG10+BH10+BI10))</f>
        <v/>
      </c>
      <c r="BK10" s="3">
        <f>MAX(0,MIN(100,50+BE10*PRECIO_PEND))</f>
        <v/>
      </c>
      <c r="BL10" s="3">
        <f>MAX(0,100*(1-N10/KM_MAX))</f>
        <v/>
      </c>
      <c r="BM10" s="3">
        <f>IF(AV10&lt;KMA_SOSP,IF(AA10="sí",100,KMA_PEN),IF(AV10&lt;=KMA_IDEAL_MAX,100,MAX(0,100*(KMA_CERO-AV10)/(KMA_CERO-KMA_IDEAL_MAX))))</f>
        <v/>
      </c>
      <c r="BN10" s="3">
        <f>MAX(0,MIN(100,100*(M10-ANIO_MIN)/(ANIO_ACTUAL-ANIO_MIN)))</f>
        <v/>
      </c>
      <c r="BO10" s="3">
        <f>W_KMT*BL10+W_KMA*BM10+W_EDAD*BN10</f>
        <v/>
      </c>
      <c r="BP10" s="3">
        <f>P_ITV*(V10="sí")+P_LIBRO*(W10="sí")+P_CORREA*(X10="sí")+P_PROP*(Y10=1)+P_GAR*(Z10="sí")+P_FOTOS*MIN(1,N(U10)/FOTOS_OBJ)</f>
        <v/>
      </c>
      <c r="BQ10" s="3">
        <f>IFERROR(VLOOKUP(BF10,ETQ_TBL,2,0),NEUTRO)</f>
        <v/>
      </c>
      <c r="BR10" s="3">
        <f>NEUTRO</f>
        <v/>
      </c>
      <c r="BS10" s="3">
        <f>IFERROR(VLOOKUP(L10,SEGURO_TBL,3,0),"")</f>
        <v/>
      </c>
      <c r="BT10" s="3">
        <f>IF(BS10="",NEUTRO,MAX(0,MIN(100,100*(SEG_REF_MAX-BS10)/(SEG_REF_MAX-SEG_REF_MIN))))</f>
        <v/>
      </c>
      <c r="BU10" s="3">
        <f>W_ET*BQ10+W_CONS*BR10+W_SEG*BT10</f>
        <v/>
      </c>
      <c r="BV10" s="3">
        <f>IF(N(AB10)&gt;0,AB10,IF(AND(R10="profesional",SG_LEGAL_ON=1),GAR_LEGAL,0))</f>
        <v/>
      </c>
      <c r="BW10" s="3">
        <f>SG_GAR*MIN(1,BV10/SG_GAR_FULL)+SG_AMPL*(AC10="sí")+SG_KMC*(AF10="sí")+SG_REV*(N(AE10)&gt;0)+SG_DEV*MIN(1,N(AG10)/SG_DEV_FULL)+SG_HIST*(W10="sí")</f>
        <v/>
      </c>
      <c r="BX10" s="3">
        <f>W_FIAB*BJ10+W_PRECIO*BK10+W_KMEDAD*BO10+W_ANUNCIO*BP10+W_USO*BU10+W_SEGURIDAD*BW10</f>
        <v/>
      </c>
      <c r="BY10" s="4">
        <f>IF(N(I10)&gt;0,I10,IFERROR(ROUND(_xlfn.NUMBERVALUE(LEFT(G10,FIND(" ",G10&amp;" ")-1),".")*1000,0),99999))</f>
        <v/>
      </c>
      <c r="BZ10" s="3">
        <f>IF(R10="profesional",0,IF(O10&lt;CUOTA_VALOR_MAX,IF(AU10&gt;ITP_TRAMO_ALTO,SUMIFS(CF_CUOTA,CF_MAS,ITP_TRAMO_ALTO,CF_CCMIN,"&lt;="&amp;BY10,CF_CCMAX,"&gt;="&amp;BY10),IF(AU10&gt;ITP_TRAMO_BAJO,SUMIFS(CF_CUOTA,CF_MAS,ITP_TRAMO_BAJO,CF_CCMIN,"&lt;="&amp;BY10,CF_CCMAX,"&gt;="&amp;BY10),O10*ITP_TIPO)),O10*ITP_TIPO))</f>
        <v/>
      </c>
      <c r="CA10" s="4">
        <f>IF(R10="profesional",N(AK10),0)</f>
        <v/>
      </c>
      <c r="CB10" s="3">
        <f>IF(AND(R10="profesional",ISNUMBER(AK10),AL10="sí"),0,TASA_DGT)</f>
        <v/>
      </c>
      <c r="CC10" s="3">
        <f>INFORME_DGT</f>
        <v/>
      </c>
      <c r="CD10" s="4">
        <f>O10+CA10+BZ10+CB10+CC10</f>
        <v/>
      </c>
      <c r="CE10" s="4">
        <f>CD10+N(BS10)</f>
        <v/>
      </c>
      <c r="CF10" s="3">
        <f>IF(CD10&lt;=TOTAL_MAX,"sí","no")</f>
        <v/>
      </c>
      <c r="CG10" s="4">
        <f>IF(CF10="sí",COUNTIFS($CF$2:$CF$91,"sí",$BX$2:$BX$91,"&gt;"&amp;BX10)+COUNTIFS($CF$2:CF10,"sí",$BX$2:BX10,BX10),"")</f>
        <v/>
      </c>
    </row>
    <row r="11">
      <c r="A11" s="2" t="inlineStr">
        <is>
          <t>autoscout24:8b610c99-c37b-4f70-8870-40b71f5c62f6</t>
        </is>
      </c>
      <c r="B11" s="2" t="inlineStr">
        <is>
          <t>autoscout24</t>
        </is>
      </c>
      <c r="C11" s="2" t="inlineStr">
        <is>
          <t>https://www.autoscout24.es/anuncios/fiat-500-500-0-9-t-twinair-pop-85-pop-gasolina-azul-cat_ma28mo15160-8b610c99-c37b-4f70-8870-40b71f5c62f6</t>
        </is>
      </c>
      <c r="D11" s="2" t="inlineStr">
        <is>
          <t>Fiat 500 500 0.9 T TwinAir Pop 85 Pop</t>
        </is>
      </c>
      <c r="E11" s="2" t="inlineStr">
        <is>
          <t>Fiat</t>
        </is>
      </c>
      <c r="F11" s="2" t="inlineStr">
        <is>
          <t>Fiat 500</t>
        </is>
      </c>
      <c r="G11" s="2" t="inlineStr">
        <is>
          <t>0.9</t>
        </is>
      </c>
      <c r="H11" s="2" t="inlineStr">
        <is>
          <t>500 0.9 T TwinAir Pop 85 Pop 0.9</t>
        </is>
      </c>
      <c r="I11" s="2" t="n">
        <v>875</v>
      </c>
      <c r="J11" s="2" t="n">
        <v>84</v>
      </c>
      <c r="K11" s="2" t="inlineStr">
        <is>
          <t>gasolina</t>
        </is>
      </c>
      <c r="L11" s="2" t="inlineStr">
        <is>
          <t>utilitario</t>
        </is>
      </c>
      <c r="M11" s="2" t="n">
        <v>2010</v>
      </c>
      <c r="N11" s="2" t="n">
        <v>133218</v>
      </c>
      <c r="O11" s="2" t="n">
        <v>4200</v>
      </c>
      <c r="P11" s="2" t="inlineStr">
        <is>
          <t>manual</t>
        </is>
      </c>
      <c r="Q11" s="2" t="inlineStr">
        <is>
          <t>no</t>
        </is>
      </c>
      <c r="R11" s="2" t="inlineStr">
        <is>
          <t>particular</t>
        </is>
      </c>
      <c r="S11" s="2" t="inlineStr">
        <is>
          <t>València (46006)</t>
        </is>
      </c>
      <c r="T11" s="2" t="n"/>
      <c r="U11" s="2" t="n">
        <v>19</v>
      </c>
      <c r="V11" s="2" t="n"/>
      <c r="W11" s="2" t="n"/>
      <c r="X11" s="2" t="n"/>
      <c r="Y11" s="2" t="n"/>
      <c r="Z11" s="2" t="n"/>
      <c r="AA11" s="2" t="n"/>
      <c r="AB11" s="2" t="n"/>
      <c r="AC11" s="2" t="n"/>
      <c r="AD11" s="2" t="n"/>
      <c r="AE11" s="2" t="n"/>
      <c r="AF11" s="2" t="n"/>
      <c r="AG11" s="2" t="n"/>
      <c r="AH11" s="2" t="n"/>
      <c r="AI11" s="2" t="n"/>
      <c r="AJ11" s="2" t="n"/>
      <c r="AK11" s="2" t="n"/>
      <c r="AL11" s="2" t="n"/>
      <c r="AM11" s="2" t="n">
        <v>1.4</v>
      </c>
      <c r="AN11" s="2" t="n">
        <v>5995</v>
      </c>
      <c r="AO11" s="2" t="n">
        <v>6</v>
      </c>
      <c r="AP11" s="2" t="inlineStr">
        <is>
          <t>modelo+año+km</t>
        </is>
      </c>
      <c r="AQ11" s="2" t="n"/>
      <c r="AR11" s="2" t="inlineStr">
        <is>
          <t>cuota fija ITP: &gt;12 años, hasta 1.500 cc</t>
        </is>
      </c>
      <c r="AS11" s="2" t="inlineStr">
        <is>
          <t>Se vende Fiat 500 1.2 de 69 CV, un vehículo fiable, económico y perfecto tanto para ciudad como para carretera. Destaca por su bajo consumo, facilidad de aparcamiento y mantenimiento asequible.&lt;br /&gt;El coche cuenta con 133.218 km y se encuentra en buen estado, listo para seguir circulando. Se puede ver y probar sin compromiso en Valencia.&lt;br /&gt;Características&lt;br /&gt;* Motor 1.2 Gasolina (1.242 cc)&lt;br /&gt;* 69 CV (51 kW)&lt;br /&gt;* Cambio manual&lt;br /&gt;* 4 plazas&lt;br /&gt;* 133.218 km&lt;br /&gt;* Bajo consumo&lt;br /&gt;* Mantenimiento económico&lt;br /&gt;* Documentación al día&lt;br /&gt;Ideal como primer coche, para desplazamientos diarios o como vehículo urbano.</t>
        </is>
      </c>
      <c r="AT11" s="2" t="inlineStr">
        <is>
          <t>https://www.autoscout24.es/anuncios/fiat-500-500-0-9-t-twinair-pop-85-pop-gasolina-azul-cat_ma28mo15160-8b610c99-c37b-4f70-8870-40b71f5c62f6 (__NEXT_DATA__ listingDetails) /home/user/Alopecia/buscador-coches/raw/autoscout24/8c6a9964f7b01d4a.json</t>
        </is>
      </c>
      <c r="AU11" s="3">
        <f>MAX(ANIO_ACTUAL-M11,0)</f>
        <v/>
      </c>
      <c r="AV11" s="4">
        <f>N11/MAX(AU11,0.5)</f>
        <v/>
      </c>
      <c r="AW11" s="4">
        <f>F11</f>
        <v/>
      </c>
      <c r="AX11" s="3">
        <f>AW11&amp;"|"&amp;INT(M11/SEG_ANIO)*SEG_ANIO</f>
        <v/>
      </c>
      <c r="AY11" s="3">
        <f>AX11&amp;"|"&amp;INT(N11/SEG_KM)*SEG_KM</f>
        <v/>
      </c>
      <c r="AZ11" s="4">
        <f>COUNTIF($AW$2:$AW$91,AW11)</f>
        <v/>
      </c>
      <c r="BA11" s="4">
        <f>COUNTIF($AX$2:$AX$91,AX11)</f>
        <v/>
      </c>
      <c r="BB11" s="4">
        <f>COUNTIF($AY$2:$AY$91,AY11)</f>
        <v/>
      </c>
      <c r="BC11" s="3">
        <f t="array" ref="BC11">IF(N(AO11)&gt;=MIN_N,AN11,IF(BB11&gt;=MIN_N,MEDIAN(IF($AY$2:$AY$91=AY11,$O$2:$O$91)),IF(BA11&gt;=MIN_N,MEDIAN(IF($AX$2:$AX$91=AX11,$O$2:$O$91)),MEDIAN(IF($AW$2:$AW$91=AW11,$O$2:$O$91)))))</f>
        <v/>
      </c>
      <c r="BD11" s="3">
        <f>IF(N(AO11)&gt;=MIN_N,"mercado "&amp;AP11,IF(BB11&gt;=MIN_N,"modelo+año+km",IF(BA11&gt;=MIN_N,"modelo+año","modelo")))</f>
        <v/>
      </c>
      <c r="BE11" s="4">
        <f>(BC11-O11)/BC11</f>
        <v/>
      </c>
      <c r="BF11" s="3">
        <f>IF(OR(K11="hibrido",K11="glp"),"ECO",IF(K11="electrico","CERO",IF(K11="gasolina",IF(M11&gt;=GAS_C,"C",IF(M11&gt;=GAS_B,"B","A")),IF(K11="diesel",IF(M11&gt;=DIE_C,"C",IF(M11&gt;=DIE_B,"B","A")),""))))</f>
        <v/>
      </c>
      <c r="BG11" s="3">
        <f>IFERROR(VLOOKUP(F11,MOD_TBL,11,0),IFERROR(VLOOKUP(E11,OCU_TBL,2,0),NEUTRO))</f>
        <v/>
      </c>
      <c r="BH11" s="3">
        <f>SUMIFS(MOT_AJUSTE,MOT_MOTOR,G11,MOT_MARCA,E11,MOT_DESDE,"&lt;="&amp;M11,MOT_HASTA,"&gt;="&amp;M11)+SUMIFS(MOT_AJUSTE,MOT_MOTOR,G11,MOT_MARCA,"(todas)",MOT_DESDE,"&lt;="&amp;M11,MOT_HASTA,"&gt;="&amp;M11)</f>
        <v/>
      </c>
      <c r="BI11" s="3">
        <f>SUMIFS(COMB_AJUSTE,COMB_COMB,K11)</f>
        <v/>
      </c>
      <c r="BJ11" s="4">
        <f>MAX(0,MIN(100,BG11+BH11+BI11))</f>
        <v/>
      </c>
      <c r="BK11" s="3">
        <f>MAX(0,MIN(100,50+BE11*PRECIO_PEND))</f>
        <v/>
      </c>
      <c r="BL11" s="3">
        <f>MAX(0,100*(1-N11/KM_MAX))</f>
        <v/>
      </c>
      <c r="BM11" s="3">
        <f>IF(AV11&lt;KMA_SOSP,IF(AA11="sí",100,KMA_PEN),IF(AV11&lt;=KMA_IDEAL_MAX,100,MAX(0,100*(KMA_CERO-AV11)/(KMA_CERO-KMA_IDEAL_MAX))))</f>
        <v/>
      </c>
      <c r="BN11" s="3">
        <f>MAX(0,MIN(100,100*(M11-ANIO_MIN)/(ANIO_ACTUAL-ANIO_MIN)))</f>
        <v/>
      </c>
      <c r="BO11" s="3">
        <f>W_KMT*BL11+W_KMA*BM11+W_EDAD*BN11</f>
        <v/>
      </c>
      <c r="BP11" s="3">
        <f>P_ITV*(V11="sí")+P_LIBRO*(W11="sí")+P_CORREA*(X11="sí")+P_PROP*(Y11=1)+P_GAR*(Z11="sí")+P_FOTOS*MIN(1,N(U11)/FOTOS_OBJ)</f>
        <v/>
      </c>
      <c r="BQ11" s="3">
        <f>IFERROR(VLOOKUP(BF11,ETQ_TBL,2,0),NEUTRO)</f>
        <v/>
      </c>
      <c r="BR11" s="3">
        <f>NEUTRO</f>
        <v/>
      </c>
      <c r="BS11" s="3">
        <f>IFERROR(VLOOKUP(L11,SEGURO_TBL,3,0),"")</f>
        <v/>
      </c>
      <c r="BT11" s="3">
        <f>IF(BS11="",NEUTRO,MAX(0,MIN(100,100*(SEG_REF_MAX-BS11)/(SEG_REF_MAX-SEG_REF_MIN))))</f>
        <v/>
      </c>
      <c r="BU11" s="3">
        <f>W_ET*BQ11+W_CONS*BR11+W_SEG*BT11</f>
        <v/>
      </c>
      <c r="BV11" s="3">
        <f>IF(N(AB11)&gt;0,AB11,IF(AND(R11="profesional",SG_LEGAL_ON=1),GAR_LEGAL,0))</f>
        <v/>
      </c>
      <c r="BW11" s="3">
        <f>SG_GAR*MIN(1,BV11/SG_GAR_FULL)+SG_AMPL*(AC11="sí")+SG_KMC*(AF11="sí")+SG_REV*(N(AE11)&gt;0)+SG_DEV*MIN(1,N(AG11)/SG_DEV_FULL)+SG_HIST*(W11="sí")</f>
        <v/>
      </c>
      <c r="BX11" s="3">
        <f>W_FIAB*BJ11+W_PRECIO*BK11+W_KMEDAD*BO11+W_ANUNCIO*BP11+W_USO*BU11+W_SEGURIDAD*BW11</f>
        <v/>
      </c>
      <c r="BY11" s="4">
        <f>IF(N(I11)&gt;0,I11,IFERROR(ROUND(_xlfn.NUMBERVALUE(LEFT(G11,FIND(" ",G11&amp;" ")-1),".")*1000,0),99999))</f>
        <v/>
      </c>
      <c r="BZ11" s="3">
        <f>IF(R11="profesional",0,IF(O11&lt;CUOTA_VALOR_MAX,IF(AU11&gt;ITP_TRAMO_ALTO,SUMIFS(CF_CUOTA,CF_MAS,ITP_TRAMO_ALTO,CF_CCMIN,"&lt;="&amp;BY11,CF_CCMAX,"&gt;="&amp;BY11),IF(AU11&gt;ITP_TRAMO_BAJO,SUMIFS(CF_CUOTA,CF_MAS,ITP_TRAMO_BAJO,CF_CCMIN,"&lt;="&amp;BY11,CF_CCMAX,"&gt;="&amp;BY11),O11*ITP_TIPO)),O11*ITP_TIPO))</f>
        <v/>
      </c>
      <c r="CA11" s="4">
        <f>IF(R11="profesional",N(AK11),0)</f>
        <v/>
      </c>
      <c r="CB11" s="3">
        <f>IF(AND(R11="profesional",ISNUMBER(AK11),AL11="sí"),0,TASA_DGT)</f>
        <v/>
      </c>
      <c r="CC11" s="3">
        <f>INFORME_DGT</f>
        <v/>
      </c>
      <c r="CD11" s="4">
        <f>O11+CA11+BZ11+CB11+CC11</f>
        <v/>
      </c>
      <c r="CE11" s="4">
        <f>CD11+N(BS11)</f>
        <v/>
      </c>
      <c r="CF11" s="3">
        <f>IF(CD11&lt;=TOTAL_MAX,"sí","no")</f>
        <v/>
      </c>
      <c r="CG11" s="4">
        <f>IF(CF11="sí",COUNTIFS($CF$2:$CF$91,"sí",$BX$2:$BX$91,"&gt;"&amp;BX11)+COUNTIFS($CF$2:CF11,"sí",$BX$2:BX11,BX11),"")</f>
        <v/>
      </c>
    </row>
    <row r="12">
      <c r="A12" s="2" t="inlineStr">
        <is>
          <t>autoscout24:5df9bdd9-27ce-4647-b70f-976633b13f7a</t>
        </is>
      </c>
      <c r="B12" s="2" t="inlineStr">
        <is>
          <t>autoscout24</t>
        </is>
      </c>
      <c r="C12" s="2" t="inlineStr">
        <is>
          <t>https://www.autoscout24.es/anuncios/chevrolet-aveo-sedan-1-4-16v-lt-gasolina-gris-cat_ma19mo18685-5df9bdd9-27ce-4647-b70f-976633b13f7a</t>
        </is>
      </c>
      <c r="D12" s="2" t="inlineStr">
        <is>
          <t>Chevrolet Aveo Sedán 1.4 16v LT</t>
        </is>
      </c>
      <c r="E12" s="2" t="inlineStr">
        <is>
          <t>Chevrolet</t>
        </is>
      </c>
      <c r="F12" s="2" t="inlineStr">
        <is>
          <t>Chevrolet Aveo</t>
        </is>
      </c>
      <c r="G12" s="2" t="inlineStr">
        <is>
          <t>1.4</t>
        </is>
      </c>
      <c r="H12" s="2" t="inlineStr">
        <is>
          <t>Sedán 1.4 16v LT 1.4</t>
        </is>
      </c>
      <c r="I12" s="2" t="n">
        <v>1399</v>
      </c>
      <c r="J12" s="2" t="n">
        <v>94</v>
      </c>
      <c r="K12" s="2" t="inlineStr">
        <is>
          <t>gasolina</t>
        </is>
      </c>
      <c r="L12" s="2" t="inlineStr">
        <is>
          <t>utilitario</t>
        </is>
      </c>
      <c r="M12" s="2" t="n">
        <v>2008</v>
      </c>
      <c r="N12" s="2" t="n">
        <v>138000</v>
      </c>
      <c r="O12" s="2" t="n">
        <v>3990</v>
      </c>
      <c r="P12" s="2" t="inlineStr">
        <is>
          <t>manual</t>
        </is>
      </c>
      <c r="Q12" s="2" t="inlineStr">
        <is>
          <t>no</t>
        </is>
      </c>
      <c r="R12" s="2" t="inlineStr">
        <is>
          <t>profesional</t>
        </is>
      </c>
      <c r="S12" s="2" t="inlineStr">
        <is>
          <t>SAGA VEHICULOS — MASSANASSA (46470)</t>
        </is>
      </c>
      <c r="T12" s="2" t="n"/>
      <c r="U12" s="2" t="n">
        <v>26</v>
      </c>
      <c r="V12" s="2" t="n"/>
      <c r="W12" s="2" t="n"/>
      <c r="X12" s="2" t="n"/>
      <c r="Y12" s="2" t="n"/>
      <c r="Z12" s="2" t="inlineStr">
        <is>
          <t>sí</t>
        </is>
      </c>
      <c r="AA12" s="2" t="n"/>
      <c r="AB12" s="2" t="n">
        <v>12</v>
      </c>
      <c r="AC12" s="2" t="inlineStr">
        <is>
          <t>sí</t>
        </is>
      </c>
      <c r="AD12" s="2" t="n"/>
      <c r="AE12" s="2" t="n"/>
      <c r="AF12" s="2" t="n"/>
      <c r="AG12" s="2" t="n"/>
      <c r="AH12" s="2" t="n"/>
      <c r="AI12" s="2" t="n"/>
      <c r="AJ12" s="2" t="n"/>
      <c r="AK12" s="2" t="n">
        <v>350</v>
      </c>
      <c r="AL12" s="2" t="inlineStr">
        <is>
          <t>no</t>
        </is>
      </c>
      <c r="AM12" s="2" t="n">
        <v>7.1</v>
      </c>
      <c r="AN12" s="2" t="n">
        <v>3990</v>
      </c>
      <c r="AO12" s="2" t="n">
        <v>4</v>
      </c>
      <c r="AP12" s="2" t="inlineStr">
        <is>
          <t>modelo+año+km</t>
        </is>
      </c>
      <c r="AQ12" s="2" t="inlineStr">
        <is>
          <t>cochesnet:71651301 (https://www.coches.net/chevrolet-aveo-14-16v-lt-4p-gasolina-2008-en-valencia-71651301-covo.aspx)</t>
        </is>
      </c>
      <c r="AR12" s="2" t="inlineStr">
        <is>
          <t>vendedor profesional: sin ITP (operación con IVA/REBU, confirmar en factura); gastos del vendedor sin indicar si incluyen la transferencia: se suma la tasa DGT; fiabilidad del modelo PENDIENTE de fuente (puntuación neutra)</t>
        </is>
      </c>
      <c r="AS12"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AT12" s="2" t="inlineStr">
        <is>
          <t>https://www.autoscout24.es/anuncios/chevrolet-aveo-sedan-1-4-16v-lt-gasolina-gris-cat_ma19mo18685-5df9bdd9-27ce-4647-b70f-976633b13f7a (__NEXT_DATA__ listingDetails) /home/user/Alopecia/buscador-coches/raw/autoscout24/b2dc71ccfcad6c3c.json</t>
        </is>
      </c>
      <c r="AU12" s="3">
        <f>MAX(ANIO_ACTUAL-M12,0)</f>
        <v/>
      </c>
      <c r="AV12" s="4">
        <f>N12/MAX(AU12,0.5)</f>
        <v/>
      </c>
      <c r="AW12" s="4">
        <f>F12</f>
        <v/>
      </c>
      <c r="AX12" s="3">
        <f>AW12&amp;"|"&amp;INT(M12/SEG_ANIO)*SEG_ANIO</f>
        <v/>
      </c>
      <c r="AY12" s="3">
        <f>AX12&amp;"|"&amp;INT(N12/SEG_KM)*SEG_KM</f>
        <v/>
      </c>
      <c r="AZ12" s="4">
        <f>COUNTIF($AW$2:$AW$91,AW12)</f>
        <v/>
      </c>
      <c r="BA12" s="4">
        <f>COUNTIF($AX$2:$AX$91,AX12)</f>
        <v/>
      </c>
      <c r="BB12" s="4">
        <f>COUNTIF($AY$2:$AY$91,AY12)</f>
        <v/>
      </c>
      <c r="BC12" s="3">
        <f t="array" ref="BC12">IF(N(AO12)&gt;=MIN_N,AN12,IF(BB12&gt;=MIN_N,MEDIAN(IF($AY$2:$AY$91=AY12,$O$2:$O$91)),IF(BA12&gt;=MIN_N,MEDIAN(IF($AX$2:$AX$91=AX12,$O$2:$O$91)),MEDIAN(IF($AW$2:$AW$91=AW12,$O$2:$O$91)))))</f>
        <v/>
      </c>
      <c r="BD12" s="3">
        <f>IF(N(AO12)&gt;=MIN_N,"mercado "&amp;AP12,IF(BB12&gt;=MIN_N,"modelo+año+km",IF(BA12&gt;=MIN_N,"modelo+año","modelo")))</f>
        <v/>
      </c>
      <c r="BE12" s="4">
        <f>(BC12-O12)/BC12</f>
        <v/>
      </c>
      <c r="BF12" s="3">
        <f>IF(OR(K12="hibrido",K12="glp"),"ECO",IF(K12="electrico","CERO",IF(K12="gasolina",IF(M12&gt;=GAS_C,"C",IF(M12&gt;=GAS_B,"B","A")),IF(K12="diesel",IF(M12&gt;=DIE_C,"C",IF(M12&gt;=DIE_B,"B","A")),""))))</f>
        <v/>
      </c>
      <c r="BG12" s="3">
        <f>IFERROR(VLOOKUP(F12,MOD_TBL,11,0),IFERROR(VLOOKUP(E12,OCU_TBL,2,0),NEUTRO))</f>
        <v/>
      </c>
      <c r="BH12" s="3">
        <f>SUMIFS(MOT_AJUSTE,MOT_MOTOR,G12,MOT_MARCA,E12,MOT_DESDE,"&lt;="&amp;M12,MOT_HASTA,"&gt;="&amp;M12)+SUMIFS(MOT_AJUSTE,MOT_MOTOR,G12,MOT_MARCA,"(todas)",MOT_DESDE,"&lt;="&amp;M12,MOT_HASTA,"&gt;="&amp;M12)</f>
        <v/>
      </c>
      <c r="BI12" s="3">
        <f>SUMIFS(COMB_AJUSTE,COMB_COMB,K12)</f>
        <v/>
      </c>
      <c r="BJ12" s="4">
        <f>MAX(0,MIN(100,BG12+BH12+BI12))</f>
        <v/>
      </c>
      <c r="BK12" s="3">
        <f>MAX(0,MIN(100,50+BE12*PRECIO_PEND))</f>
        <v/>
      </c>
      <c r="BL12" s="3">
        <f>MAX(0,100*(1-N12/KM_MAX))</f>
        <v/>
      </c>
      <c r="BM12" s="3">
        <f>IF(AV12&lt;KMA_SOSP,IF(AA12="sí",100,KMA_PEN),IF(AV12&lt;=KMA_IDEAL_MAX,100,MAX(0,100*(KMA_CERO-AV12)/(KMA_CERO-KMA_IDEAL_MAX))))</f>
        <v/>
      </c>
      <c r="BN12" s="3">
        <f>MAX(0,MIN(100,100*(M12-ANIO_MIN)/(ANIO_ACTUAL-ANIO_MIN)))</f>
        <v/>
      </c>
      <c r="BO12" s="3">
        <f>W_KMT*BL12+W_KMA*BM12+W_EDAD*BN12</f>
        <v/>
      </c>
      <c r="BP12" s="3">
        <f>P_ITV*(V12="sí")+P_LIBRO*(W12="sí")+P_CORREA*(X12="sí")+P_PROP*(Y12=1)+P_GAR*(Z12="sí")+P_FOTOS*MIN(1,N(U12)/FOTOS_OBJ)</f>
        <v/>
      </c>
      <c r="BQ12" s="3">
        <f>IFERROR(VLOOKUP(BF12,ETQ_TBL,2,0),NEUTRO)</f>
        <v/>
      </c>
      <c r="BR12" s="3">
        <f>NEUTRO</f>
        <v/>
      </c>
      <c r="BS12" s="3">
        <f>IFERROR(VLOOKUP(L12,SEGURO_TBL,3,0),"")</f>
        <v/>
      </c>
      <c r="BT12" s="3">
        <f>IF(BS12="",NEUTRO,MAX(0,MIN(100,100*(SEG_REF_MAX-BS12)/(SEG_REF_MAX-SEG_REF_MIN))))</f>
        <v/>
      </c>
      <c r="BU12" s="3">
        <f>W_ET*BQ12+W_CONS*BR12+W_SEG*BT12</f>
        <v/>
      </c>
      <c r="BV12" s="3">
        <f>IF(N(AB12)&gt;0,AB12,IF(AND(R12="profesional",SG_LEGAL_ON=1),GAR_LEGAL,0))</f>
        <v/>
      </c>
      <c r="BW12" s="3">
        <f>SG_GAR*MIN(1,BV12/SG_GAR_FULL)+SG_AMPL*(AC12="sí")+SG_KMC*(AF12="sí")+SG_REV*(N(AE12)&gt;0)+SG_DEV*MIN(1,N(AG12)/SG_DEV_FULL)+SG_HIST*(W12="sí")</f>
        <v/>
      </c>
      <c r="BX12" s="3">
        <f>W_FIAB*BJ12+W_PRECIO*BK12+W_KMEDAD*BO12+W_ANUNCIO*BP12+W_USO*BU12+W_SEGURIDAD*BW12</f>
        <v/>
      </c>
      <c r="BY12" s="4">
        <f>IF(N(I12)&gt;0,I12,IFERROR(ROUND(_xlfn.NUMBERVALUE(LEFT(G12,FIND(" ",G12&amp;" ")-1),".")*1000,0),99999))</f>
        <v/>
      </c>
      <c r="BZ12" s="3">
        <f>IF(R12="profesional",0,IF(O12&lt;CUOTA_VALOR_MAX,IF(AU12&gt;ITP_TRAMO_ALTO,SUMIFS(CF_CUOTA,CF_MAS,ITP_TRAMO_ALTO,CF_CCMIN,"&lt;="&amp;BY12,CF_CCMAX,"&gt;="&amp;BY12),IF(AU12&gt;ITP_TRAMO_BAJO,SUMIFS(CF_CUOTA,CF_MAS,ITP_TRAMO_BAJO,CF_CCMIN,"&lt;="&amp;BY12,CF_CCMAX,"&gt;="&amp;BY12),O12*ITP_TIPO)),O12*ITP_TIPO))</f>
        <v/>
      </c>
      <c r="CA12" s="4">
        <f>IF(R12="profesional",N(AK12),0)</f>
        <v/>
      </c>
      <c r="CB12" s="3">
        <f>IF(AND(R12="profesional",ISNUMBER(AK12),AL12="sí"),0,TASA_DGT)</f>
        <v/>
      </c>
      <c r="CC12" s="3">
        <f>INFORME_DGT</f>
        <v/>
      </c>
      <c r="CD12" s="4">
        <f>O12+CA12+BZ12+CB12+CC12</f>
        <v/>
      </c>
      <c r="CE12" s="4">
        <f>CD12+N(BS12)</f>
        <v/>
      </c>
      <c r="CF12" s="3">
        <f>IF(CD12&lt;=TOTAL_MAX,"sí","no")</f>
        <v/>
      </c>
      <c r="CG12" s="4">
        <f>IF(CF12="sí",COUNTIFS($CF$2:$CF$91,"sí",$BX$2:$BX$91,"&gt;"&amp;BX12)+COUNTIFS($CF$2:CF12,"sí",$BX$2:BX12,BX12),"")</f>
        <v/>
      </c>
    </row>
    <row r="13">
      <c r="A13" s="2" t="inlineStr">
        <is>
          <t>autoscout24:10ad7f0c-c270-4daf-8b53-d4973d7d0201</t>
        </is>
      </c>
      <c r="B13" s="2" t="inlineStr">
        <is>
          <t>autoscout24</t>
        </is>
      </c>
      <c r="C13" s="2" t="inlineStr">
        <is>
          <t>https://www.autoscout24.es/anuncios/chevrolet-aveo-aveo-1-4-16v-ls-ls-gasolina-blanco-cat_ma19mo18685-10ad7f0c-c270-4daf-8b53-d4973d7d0201</t>
        </is>
      </c>
      <c r="D13" s="2" t="inlineStr">
        <is>
          <t>Chevrolet Aveo Aveo 1.4 16v LS LS</t>
        </is>
      </c>
      <c r="E13" s="2" t="inlineStr">
        <is>
          <t>Chevrolet</t>
        </is>
      </c>
      <c r="F13" s="2" t="inlineStr">
        <is>
          <t>Chevrolet Aveo</t>
        </is>
      </c>
      <c r="G13" s="2" t="inlineStr">
        <is>
          <t>1.4</t>
        </is>
      </c>
      <c r="H13" s="2" t="inlineStr">
        <is>
          <t>Aveo 1.4 16v LS LS 1.4</t>
        </is>
      </c>
      <c r="I13" s="2" t="n">
        <v>1399</v>
      </c>
      <c r="J13" s="2" t="n">
        <v>101</v>
      </c>
      <c r="K13" s="2" t="inlineStr">
        <is>
          <t>gasolina</t>
        </is>
      </c>
      <c r="L13" s="2" t="inlineStr">
        <is>
          <t>utilitario</t>
        </is>
      </c>
      <c r="M13" s="2" t="n">
        <v>2009</v>
      </c>
      <c r="N13" s="2" t="n">
        <v>121000</v>
      </c>
      <c r="O13" s="2" t="n">
        <v>3800</v>
      </c>
      <c r="P13" s="2" t="inlineStr">
        <is>
          <t>manual</t>
        </is>
      </c>
      <c r="Q13" s="2" t="inlineStr">
        <is>
          <t>no</t>
        </is>
      </c>
      <c r="R13" s="2" t="inlineStr">
        <is>
          <t>particular</t>
        </is>
      </c>
      <c r="S13" s="2" t="inlineStr">
        <is>
          <t>València (46006)</t>
        </is>
      </c>
      <c r="T13" s="2" t="n"/>
      <c r="U13" s="2" t="n">
        <v>5</v>
      </c>
      <c r="V13" s="2" t="inlineStr">
        <is>
          <t>sí</t>
        </is>
      </c>
      <c r="W13" s="2" t="inlineStr">
        <is>
          <t>sí</t>
        </is>
      </c>
      <c r="X13" s="2" t="n"/>
      <c r="Y13" s="2" t="n"/>
      <c r="Z13" s="2" t="n"/>
      <c r="AA13" s="2" t="n"/>
      <c r="AB13" s="2" t="n"/>
      <c r="AC13" s="2" t="n"/>
      <c r="AD13" s="2" t="n"/>
      <c r="AE13" s="2" t="n"/>
      <c r="AF13" s="2" t="n"/>
      <c r="AG13" s="2" t="n"/>
      <c r="AH13" s="2" t="n"/>
      <c r="AI13" s="2" t="n"/>
      <c r="AJ13" s="2" t="n"/>
      <c r="AK13" s="2" t="n"/>
      <c r="AL13" s="2" t="n"/>
      <c r="AM13" s="2" t="n">
        <v>1.4</v>
      </c>
      <c r="AN13" s="2" t="n">
        <v>3990</v>
      </c>
      <c r="AO13" s="2" t="n">
        <v>4</v>
      </c>
      <c r="AP13" s="2" t="inlineStr">
        <is>
          <t>modelo+año+km</t>
        </is>
      </c>
      <c r="AQ13" s="2" t="n"/>
      <c r="AR13" s="2" t="inlineStr">
        <is>
          <t>cuota fija ITP: &gt;12 años, hasta 1.500 cc; fiabilidad del modelo PENDIENTE de fuente (puntuación neutra)</t>
        </is>
      </c>
      <c r="AS13" s="2" t="inlineStr">
        <is>
          <t>ITV hasta enero del 2027, mantenimiento al día, impecable de todo tanto de pintura como de mecánica</t>
        </is>
      </c>
      <c r="AT13" s="2" t="inlineStr">
        <is>
          <t>https://www.autoscout24.es/anuncios/chevrolet-aveo-aveo-1-4-16v-ls-ls-gasolina-blanco-cat_ma19mo18685-10ad7f0c-c270-4daf-8b53-d4973d7d0201 (__NEXT_DATA__ listingDetails) /home/user/Alopecia/buscador-coches/raw/autoscout24/06ab9d01a2dbe980.json</t>
        </is>
      </c>
      <c r="AU13" s="3">
        <f>MAX(ANIO_ACTUAL-M13,0)</f>
        <v/>
      </c>
      <c r="AV13" s="4">
        <f>N13/MAX(AU13,0.5)</f>
        <v/>
      </c>
      <c r="AW13" s="4">
        <f>F13</f>
        <v/>
      </c>
      <c r="AX13" s="3">
        <f>AW13&amp;"|"&amp;INT(M13/SEG_ANIO)*SEG_ANIO</f>
        <v/>
      </c>
      <c r="AY13" s="3">
        <f>AX13&amp;"|"&amp;INT(N13/SEG_KM)*SEG_KM</f>
        <v/>
      </c>
      <c r="AZ13" s="4">
        <f>COUNTIF($AW$2:$AW$91,AW13)</f>
        <v/>
      </c>
      <c r="BA13" s="4">
        <f>COUNTIF($AX$2:$AX$91,AX13)</f>
        <v/>
      </c>
      <c r="BB13" s="4">
        <f>COUNTIF($AY$2:$AY$91,AY13)</f>
        <v/>
      </c>
      <c r="BC13" s="3">
        <f t="array" ref="BC13">IF(N(AO13)&gt;=MIN_N,AN13,IF(BB13&gt;=MIN_N,MEDIAN(IF($AY$2:$AY$91=AY13,$O$2:$O$91)),IF(BA13&gt;=MIN_N,MEDIAN(IF($AX$2:$AX$91=AX13,$O$2:$O$91)),MEDIAN(IF($AW$2:$AW$91=AW13,$O$2:$O$91)))))</f>
        <v/>
      </c>
      <c r="BD13" s="3">
        <f>IF(N(AO13)&gt;=MIN_N,"mercado "&amp;AP13,IF(BB13&gt;=MIN_N,"modelo+año+km",IF(BA13&gt;=MIN_N,"modelo+año","modelo")))</f>
        <v/>
      </c>
      <c r="BE13" s="4">
        <f>(BC13-O13)/BC13</f>
        <v/>
      </c>
      <c r="BF13" s="3">
        <f>IF(OR(K13="hibrido",K13="glp"),"ECO",IF(K13="electrico","CERO",IF(K13="gasolina",IF(M13&gt;=GAS_C,"C",IF(M13&gt;=GAS_B,"B","A")),IF(K13="diesel",IF(M13&gt;=DIE_C,"C",IF(M13&gt;=DIE_B,"B","A")),""))))</f>
        <v/>
      </c>
      <c r="BG13" s="3">
        <f>IFERROR(VLOOKUP(F13,MOD_TBL,11,0),IFERROR(VLOOKUP(E13,OCU_TBL,2,0),NEUTRO))</f>
        <v/>
      </c>
      <c r="BH13" s="3">
        <f>SUMIFS(MOT_AJUSTE,MOT_MOTOR,G13,MOT_MARCA,E13,MOT_DESDE,"&lt;="&amp;M13,MOT_HASTA,"&gt;="&amp;M13)+SUMIFS(MOT_AJUSTE,MOT_MOTOR,G13,MOT_MARCA,"(todas)",MOT_DESDE,"&lt;="&amp;M13,MOT_HASTA,"&gt;="&amp;M13)</f>
        <v/>
      </c>
      <c r="BI13" s="3">
        <f>SUMIFS(COMB_AJUSTE,COMB_COMB,K13)</f>
        <v/>
      </c>
      <c r="BJ13" s="4">
        <f>MAX(0,MIN(100,BG13+BH13+BI13))</f>
        <v/>
      </c>
      <c r="BK13" s="3">
        <f>MAX(0,MIN(100,50+BE13*PRECIO_PEND))</f>
        <v/>
      </c>
      <c r="BL13" s="3">
        <f>MAX(0,100*(1-N13/KM_MAX))</f>
        <v/>
      </c>
      <c r="BM13" s="3">
        <f>IF(AV13&lt;KMA_SOSP,IF(AA13="sí",100,KMA_PEN),IF(AV13&lt;=KMA_IDEAL_MAX,100,MAX(0,100*(KMA_CERO-AV13)/(KMA_CERO-KMA_IDEAL_MAX))))</f>
        <v/>
      </c>
      <c r="BN13" s="3">
        <f>MAX(0,MIN(100,100*(M13-ANIO_MIN)/(ANIO_ACTUAL-ANIO_MIN)))</f>
        <v/>
      </c>
      <c r="BO13" s="3">
        <f>W_KMT*BL13+W_KMA*BM13+W_EDAD*BN13</f>
        <v/>
      </c>
      <c r="BP13" s="3">
        <f>P_ITV*(V13="sí")+P_LIBRO*(W13="sí")+P_CORREA*(X13="sí")+P_PROP*(Y13=1)+P_GAR*(Z13="sí")+P_FOTOS*MIN(1,N(U13)/FOTOS_OBJ)</f>
        <v/>
      </c>
      <c r="BQ13" s="3">
        <f>IFERROR(VLOOKUP(BF13,ETQ_TBL,2,0),NEUTRO)</f>
        <v/>
      </c>
      <c r="BR13" s="3">
        <f>NEUTRO</f>
        <v/>
      </c>
      <c r="BS13" s="3">
        <f>IFERROR(VLOOKUP(L13,SEGURO_TBL,3,0),"")</f>
        <v/>
      </c>
      <c r="BT13" s="3">
        <f>IF(BS13="",NEUTRO,MAX(0,MIN(100,100*(SEG_REF_MAX-BS13)/(SEG_REF_MAX-SEG_REF_MIN))))</f>
        <v/>
      </c>
      <c r="BU13" s="3">
        <f>W_ET*BQ13+W_CONS*BR13+W_SEG*BT13</f>
        <v/>
      </c>
      <c r="BV13" s="3">
        <f>IF(N(AB13)&gt;0,AB13,IF(AND(R13="profesional",SG_LEGAL_ON=1),GAR_LEGAL,0))</f>
        <v/>
      </c>
      <c r="BW13" s="3">
        <f>SG_GAR*MIN(1,BV13/SG_GAR_FULL)+SG_AMPL*(AC13="sí")+SG_KMC*(AF13="sí")+SG_REV*(N(AE13)&gt;0)+SG_DEV*MIN(1,N(AG13)/SG_DEV_FULL)+SG_HIST*(W13="sí")</f>
        <v/>
      </c>
      <c r="BX13" s="3">
        <f>W_FIAB*BJ13+W_PRECIO*BK13+W_KMEDAD*BO13+W_ANUNCIO*BP13+W_USO*BU13+W_SEGURIDAD*BW13</f>
        <v/>
      </c>
      <c r="BY13" s="4">
        <f>IF(N(I13)&gt;0,I13,IFERROR(ROUND(_xlfn.NUMBERVALUE(LEFT(G13,FIND(" ",G13&amp;" ")-1),".")*1000,0),99999))</f>
        <v/>
      </c>
      <c r="BZ13" s="3">
        <f>IF(R13="profesional",0,IF(O13&lt;CUOTA_VALOR_MAX,IF(AU13&gt;ITP_TRAMO_ALTO,SUMIFS(CF_CUOTA,CF_MAS,ITP_TRAMO_ALTO,CF_CCMIN,"&lt;="&amp;BY13,CF_CCMAX,"&gt;="&amp;BY13),IF(AU13&gt;ITP_TRAMO_BAJO,SUMIFS(CF_CUOTA,CF_MAS,ITP_TRAMO_BAJO,CF_CCMIN,"&lt;="&amp;BY13,CF_CCMAX,"&gt;="&amp;BY13),O13*ITP_TIPO)),O13*ITP_TIPO))</f>
        <v/>
      </c>
      <c r="CA13" s="4">
        <f>IF(R13="profesional",N(AK13),0)</f>
        <v/>
      </c>
      <c r="CB13" s="3">
        <f>IF(AND(R13="profesional",ISNUMBER(AK13),AL13="sí"),0,TASA_DGT)</f>
        <v/>
      </c>
      <c r="CC13" s="3">
        <f>INFORME_DGT</f>
        <v/>
      </c>
      <c r="CD13" s="4">
        <f>O13+CA13+BZ13+CB13+CC13</f>
        <v/>
      </c>
      <c r="CE13" s="4">
        <f>CD13+N(BS13)</f>
        <v/>
      </c>
      <c r="CF13" s="3">
        <f>IF(CD13&lt;=TOTAL_MAX,"sí","no")</f>
        <v/>
      </c>
      <c r="CG13" s="4">
        <f>IF(CF13="sí",COUNTIFS($CF$2:$CF$91,"sí",$BX$2:$BX$91,"&gt;"&amp;BX13)+COUNTIFS($CF$2:CF13,"sí",$BX$2:BX13,BX13),"")</f>
        <v/>
      </c>
    </row>
    <row r="14">
      <c r="A14" s="2" t="inlineStr">
        <is>
          <t>wallapop:1254410344</t>
        </is>
      </c>
      <c r="B14" s="2" t="inlineStr">
        <is>
          <t>wallapop</t>
        </is>
      </c>
      <c r="C14" s="2" t="inlineStr">
        <is>
          <t>https://es.wallapop.com/item/toyota-prius-2009-1254410344</t>
        </is>
      </c>
      <c r="D14" s="2" t="inlineStr">
        <is>
          <t>Toyota Prius 2009</t>
        </is>
      </c>
      <c r="E14" s="2" t="inlineStr">
        <is>
          <t>Toyota</t>
        </is>
      </c>
      <c r="F14" s="2" t="inlineStr">
        <is>
          <t>Toyota Prius</t>
        </is>
      </c>
      <c r="G14" s="2" t="inlineStr">
        <is>
          <t>1.8 Hybrid</t>
        </is>
      </c>
      <c r="H14" s="2" t="inlineStr">
        <is>
          <t>1.8 136 HSD Advance 5p</t>
        </is>
      </c>
      <c r="I14" s="2" t="n"/>
      <c r="J14" s="2" t="n">
        <v>136</v>
      </c>
      <c r="K14" s="2" t="inlineStr">
        <is>
          <t>hibrido</t>
        </is>
      </c>
      <c r="L14" s="2" t="inlineStr">
        <is>
          <t>compacto</t>
        </is>
      </c>
      <c r="M14" s="2" t="n">
        <v>2009</v>
      </c>
      <c r="N14" s="2" t="n">
        <v>70000</v>
      </c>
      <c r="O14" s="2" t="n">
        <v>3999</v>
      </c>
      <c r="P14" s="2" t="inlineStr">
        <is>
          <t>automatico</t>
        </is>
      </c>
      <c r="Q14" s="2" t="inlineStr">
        <is>
          <t>sí</t>
        </is>
      </c>
      <c r="R14" s="2" t="inlineStr">
        <is>
          <t>particular</t>
        </is>
      </c>
      <c r="S14" s="2" t="inlineStr">
        <is>
          <t>Valencia (46002)</t>
        </is>
      </c>
      <c r="T14" s="2" t="inlineStr">
        <is>
          <t>2026-10-08T19:28:02</t>
        </is>
      </c>
      <c r="U14" s="2" t="n">
        <v>8</v>
      </c>
      <c r="V14" s="2" t="n"/>
      <c r="W14" s="2" t="n"/>
      <c r="X14" s="2" t="n"/>
      <c r="Y14" s="2" t="n"/>
      <c r="Z14" s="2" t="n"/>
      <c r="AA14" s="2" t="n"/>
      <c r="AB14" s="2" t="n"/>
      <c r="AC14" s="2" t="n"/>
      <c r="AD14" s="2" t="n"/>
      <c r="AE14" s="2" t="n"/>
      <c r="AF14" s="2" t="n"/>
      <c r="AG14" s="2" t="n"/>
      <c r="AH14" s="2" t="n"/>
      <c r="AI14" s="2" t="n"/>
      <c r="AJ14" s="2" t="n"/>
      <c r="AK14" s="2" t="n"/>
      <c r="AL14" s="2" t="n"/>
      <c r="AM14" s="2" t="n">
        <v>0.9</v>
      </c>
      <c r="AN14" s="2" t="n"/>
      <c r="AO14" s="2" t="n"/>
      <c r="AP14" s="2" t="n"/>
      <c r="AQ14" s="2" t="n"/>
      <c r="AR14" s="2" t="inlineStr">
        <is>
          <t>cuota fija ITP: &gt;12 años, 1.501-2.000 cc; mediana con solo 1 anuncio(s)</t>
        </is>
      </c>
      <c r="AS14" s="2" t="inlineStr">
        <is>
          <t xml:space="preserve">Sin catalizador.(350€ en desguace) Le falta la marca toyota delantera como se ve en la foto y parachoques delantero para reparar o cambiar de ( desguace 150€ )Por lo demás en perfecto estado. Sin problemas, con motor cambiado de 70.000 km carroceria 490.000 km y bateria hibrida cambiada. Fue taxi. Muy bien cuidado
</t>
        </is>
      </c>
      <c r="AT14" s="2" t="inlineStr">
        <is>
          <t>https://es.wallapop.com/item/toyota-prius-2009-1254410344 (__NEXT_DATA__ item) /home/user/Alopecia/buscador-coches/raw/wallapop/830f984b89666fd2.json</t>
        </is>
      </c>
      <c r="AU14" s="3">
        <f>MAX(ANIO_ACTUAL-M14,0)</f>
        <v/>
      </c>
      <c r="AV14" s="4">
        <f>N14/MAX(AU14,0.5)</f>
        <v/>
      </c>
      <c r="AW14" s="4">
        <f>F14</f>
        <v/>
      </c>
      <c r="AX14" s="3">
        <f>AW14&amp;"|"&amp;INT(M14/SEG_ANIO)*SEG_ANIO</f>
        <v/>
      </c>
      <c r="AY14" s="3">
        <f>AX14&amp;"|"&amp;INT(N14/SEG_KM)*SEG_KM</f>
        <v/>
      </c>
      <c r="AZ14" s="4">
        <f>COUNTIF($AW$2:$AW$91,AW14)</f>
        <v/>
      </c>
      <c r="BA14" s="4">
        <f>COUNTIF($AX$2:$AX$91,AX14)</f>
        <v/>
      </c>
      <c r="BB14" s="4">
        <f>COUNTIF($AY$2:$AY$91,AY14)</f>
        <v/>
      </c>
      <c r="BC14" s="3">
        <f t="array" ref="BC14">IF(N(AO14)&gt;=MIN_N,AN14,IF(BB14&gt;=MIN_N,MEDIAN(IF($AY$2:$AY$91=AY14,$O$2:$O$91)),IF(BA14&gt;=MIN_N,MEDIAN(IF($AX$2:$AX$91=AX14,$O$2:$O$91)),MEDIAN(IF($AW$2:$AW$91=AW14,$O$2:$O$91)))))</f>
        <v/>
      </c>
      <c r="BD14" s="3">
        <f>IF(N(AO14)&gt;=MIN_N,"mercado "&amp;AP14,IF(BB14&gt;=MIN_N,"modelo+año+km",IF(BA14&gt;=MIN_N,"modelo+año","modelo")))</f>
        <v/>
      </c>
      <c r="BE14" s="4">
        <f>(BC14-O14)/BC14</f>
        <v/>
      </c>
      <c r="BF14" s="3">
        <f>IF(OR(K14="hibrido",K14="glp"),"ECO",IF(K14="electrico","CERO",IF(K14="gasolina",IF(M14&gt;=GAS_C,"C",IF(M14&gt;=GAS_B,"B","A")),IF(K14="diesel",IF(M14&gt;=DIE_C,"C",IF(M14&gt;=DIE_B,"B","A")),""))))</f>
        <v/>
      </c>
      <c r="BG14" s="3">
        <f>IFERROR(VLOOKUP(F14,MOD_TBL,11,0),IFERROR(VLOOKUP(E14,OCU_TBL,2,0),NEUTRO))</f>
        <v/>
      </c>
      <c r="BH14" s="3">
        <f>SUMIFS(MOT_AJUSTE,MOT_MOTOR,G14,MOT_MARCA,E14,MOT_DESDE,"&lt;="&amp;M14,MOT_HASTA,"&gt;="&amp;M14)+SUMIFS(MOT_AJUSTE,MOT_MOTOR,G14,MOT_MARCA,"(todas)",MOT_DESDE,"&lt;="&amp;M14,MOT_HASTA,"&gt;="&amp;M14)</f>
        <v/>
      </c>
      <c r="BI14" s="3">
        <f>SUMIFS(COMB_AJUSTE,COMB_COMB,K14)</f>
        <v/>
      </c>
      <c r="BJ14" s="4">
        <f>MAX(0,MIN(100,BG14+BH14+BI14))</f>
        <v/>
      </c>
      <c r="BK14" s="3">
        <f>MAX(0,MIN(100,50+BE14*PRECIO_PEND))</f>
        <v/>
      </c>
      <c r="BL14" s="3">
        <f>MAX(0,100*(1-N14/KM_MAX))</f>
        <v/>
      </c>
      <c r="BM14" s="3">
        <f>IF(AV14&lt;KMA_SOSP,IF(AA14="sí",100,KMA_PEN),IF(AV14&lt;=KMA_IDEAL_MAX,100,MAX(0,100*(KMA_CERO-AV14)/(KMA_CERO-KMA_IDEAL_MAX))))</f>
        <v/>
      </c>
      <c r="BN14" s="3">
        <f>MAX(0,MIN(100,100*(M14-ANIO_MIN)/(ANIO_ACTUAL-ANIO_MIN)))</f>
        <v/>
      </c>
      <c r="BO14" s="3">
        <f>W_KMT*BL14+W_KMA*BM14+W_EDAD*BN14</f>
        <v/>
      </c>
      <c r="BP14" s="3">
        <f>P_ITV*(V14="sí")+P_LIBRO*(W14="sí")+P_CORREA*(X14="sí")+P_PROP*(Y14=1)+P_GAR*(Z14="sí")+P_FOTOS*MIN(1,N(U14)/FOTOS_OBJ)</f>
        <v/>
      </c>
      <c r="BQ14" s="3">
        <f>IFERROR(VLOOKUP(BF14,ETQ_TBL,2,0),NEUTRO)</f>
        <v/>
      </c>
      <c r="BR14" s="3">
        <f>NEUTRO</f>
        <v/>
      </c>
      <c r="BS14" s="3">
        <f>IFERROR(VLOOKUP(L14,SEGURO_TBL,3,0),"")</f>
        <v/>
      </c>
      <c r="BT14" s="3">
        <f>IF(BS14="",NEUTRO,MAX(0,MIN(100,100*(SEG_REF_MAX-BS14)/(SEG_REF_MAX-SEG_REF_MIN))))</f>
        <v/>
      </c>
      <c r="BU14" s="3">
        <f>W_ET*BQ14+W_CONS*BR14+W_SEG*BT14</f>
        <v/>
      </c>
      <c r="BV14" s="3">
        <f>IF(N(AB14)&gt;0,AB14,IF(AND(R14="profesional",SG_LEGAL_ON=1),GAR_LEGAL,0))</f>
        <v/>
      </c>
      <c r="BW14" s="3">
        <f>SG_GAR*MIN(1,BV14/SG_GAR_FULL)+SG_AMPL*(AC14="sí")+SG_KMC*(AF14="sí")+SG_REV*(N(AE14)&gt;0)+SG_DEV*MIN(1,N(AG14)/SG_DEV_FULL)+SG_HIST*(W14="sí")</f>
        <v/>
      </c>
      <c r="BX14" s="3">
        <f>W_FIAB*BJ14+W_PRECIO*BK14+W_KMEDAD*BO14+W_ANUNCIO*BP14+W_USO*BU14+W_SEGURIDAD*BW14</f>
        <v/>
      </c>
      <c r="BY14" s="4">
        <f>IF(N(I14)&gt;0,I14,IFERROR(ROUND(_xlfn.NUMBERVALUE(LEFT(G14,FIND(" ",G14&amp;" ")-1),".")*1000,0),99999))</f>
        <v/>
      </c>
      <c r="BZ14" s="3">
        <f>IF(R14="profesional",0,IF(O14&lt;CUOTA_VALOR_MAX,IF(AU14&gt;ITP_TRAMO_ALTO,SUMIFS(CF_CUOTA,CF_MAS,ITP_TRAMO_ALTO,CF_CCMIN,"&lt;="&amp;BY14,CF_CCMAX,"&gt;="&amp;BY14),IF(AU14&gt;ITP_TRAMO_BAJO,SUMIFS(CF_CUOTA,CF_MAS,ITP_TRAMO_BAJO,CF_CCMIN,"&lt;="&amp;BY14,CF_CCMAX,"&gt;="&amp;BY14),O14*ITP_TIPO)),O14*ITP_TIPO))</f>
        <v/>
      </c>
      <c r="CA14" s="4">
        <f>IF(R14="profesional",N(AK14),0)</f>
        <v/>
      </c>
      <c r="CB14" s="3">
        <f>IF(AND(R14="profesional",ISNUMBER(AK14),AL14="sí"),0,TASA_DGT)</f>
        <v/>
      </c>
      <c r="CC14" s="3">
        <f>INFORME_DGT</f>
        <v/>
      </c>
      <c r="CD14" s="4">
        <f>O14+CA14+BZ14+CB14+CC14</f>
        <v/>
      </c>
      <c r="CE14" s="4">
        <f>CD14+N(BS14)</f>
        <v/>
      </c>
      <c r="CF14" s="3">
        <f>IF(CD14&lt;=TOTAL_MAX,"sí","no")</f>
        <v/>
      </c>
      <c r="CG14" s="4">
        <f>IF(CF14="sí",COUNTIFS($CF$2:$CF$91,"sí",$BX$2:$BX$91,"&gt;"&amp;BX14)+COUNTIFS($CF$2:CF14,"sí",$BX$2:BX14,BX14),"")</f>
        <v/>
      </c>
    </row>
    <row r="15">
      <c r="A15" s="2" t="inlineStr">
        <is>
          <t>wallapop:1306889282</t>
        </is>
      </c>
      <c r="B15" s="2" t="inlineStr">
        <is>
          <t>wallapop</t>
        </is>
      </c>
      <c r="C15" s="2" t="inlineStr">
        <is>
          <t>https://es.wallapop.com/item/hyundai-i10-2008-1306889282</t>
        </is>
      </c>
      <c r="D15" s="2" t="inlineStr">
        <is>
          <t>Hyundai i10 2008</t>
        </is>
      </c>
      <c r="E15" s="2" t="inlineStr">
        <is>
          <t>Hyundai</t>
        </is>
      </c>
      <c r="F15" s="2" t="inlineStr">
        <is>
          <t>Hyundai i10</t>
        </is>
      </c>
      <c r="G15" s="2" t="inlineStr">
        <is>
          <t>1.1</t>
        </is>
      </c>
      <c r="H15" s="2" t="inlineStr">
        <is>
          <t>1.1 66 Classic 5p</t>
        </is>
      </c>
      <c r="I15" s="2" t="n"/>
      <c r="J15" s="2" t="n">
        <v>66</v>
      </c>
      <c r="K15" s="2" t="inlineStr">
        <is>
          <t>gasolina</t>
        </is>
      </c>
      <c r="L15" s="2" t="inlineStr">
        <is>
          <t>utilitario</t>
        </is>
      </c>
      <c r="M15" s="2" t="n">
        <v>2008</v>
      </c>
      <c r="N15" s="2" t="n">
        <v>133000</v>
      </c>
      <c r="O15" s="2" t="n">
        <v>3300</v>
      </c>
      <c r="P15" s="2" t="inlineStr">
        <is>
          <t>manual</t>
        </is>
      </c>
      <c r="Q15" s="2" t="inlineStr">
        <is>
          <t>no</t>
        </is>
      </c>
      <c r="R15" s="2" t="inlineStr">
        <is>
          <t>particular</t>
        </is>
      </c>
      <c r="S15" s="2" t="inlineStr">
        <is>
          <t>Valencia (46002)</t>
        </is>
      </c>
      <c r="T15" s="2" t="inlineStr">
        <is>
          <t>2026-10-22T18:44:25</t>
        </is>
      </c>
      <c r="U15" s="2" t="n">
        <v>4</v>
      </c>
      <c r="V15" s="2" t="n"/>
      <c r="W15" s="2" t="n"/>
      <c r="X15" s="2" t="inlineStr">
        <is>
          <t>sí</t>
        </is>
      </c>
      <c r="Y15" s="2" t="n"/>
      <c r="Z15" s="2" t="n"/>
      <c r="AA15" s="2" t="n"/>
      <c r="AB15" s="2" t="n"/>
      <c r="AC15" s="2" t="n"/>
      <c r="AD15" s="2" t="n"/>
      <c r="AE15" s="2" t="n"/>
      <c r="AF15" s="2" t="n"/>
      <c r="AG15" s="2" t="n"/>
      <c r="AH15" s="2" t="n"/>
      <c r="AI15" s="2" t="n"/>
      <c r="AJ15" s="2" t="n"/>
      <c r="AK15" s="2" t="n"/>
      <c r="AL15" s="2" t="n"/>
      <c r="AM15" s="2" t="n">
        <v>0.3</v>
      </c>
      <c r="AN15" s="2" t="n"/>
      <c r="AO15" s="2" t="n"/>
      <c r="AP15" s="2" t="n"/>
      <c r="AQ15" s="2" t="n"/>
      <c r="AR15" s="2" t="inlineStr">
        <is>
          <t>cuota fija ITP: &gt;12 años, hasta 1.500 cc; mediana con solo 3 anuncio(s)</t>
        </is>
      </c>
      <c r="AS15" s="2" t="inlineStr">
        <is>
          <t xml:space="preserve">Coche muy cuco, recién pasada la ITV, mecánica en perfecto estado. Correa distribución cambiada a los 130000km. Precio negociable, razonable. </t>
        </is>
      </c>
      <c r="AT15" s="2" t="inlineStr">
        <is>
          <t>https://es.wallapop.com/item/hyundai-i10-2008-1306889282 (__NEXT_DATA__ item) /home/user/Alopecia/buscador-coches/raw/wallapop/4d32262f32fcc6c8.json</t>
        </is>
      </c>
      <c r="AU15" s="3">
        <f>MAX(ANIO_ACTUAL-M15,0)</f>
        <v/>
      </c>
      <c r="AV15" s="4">
        <f>N15/MAX(AU15,0.5)</f>
        <v/>
      </c>
      <c r="AW15" s="4">
        <f>F15</f>
        <v/>
      </c>
      <c r="AX15" s="3">
        <f>AW15&amp;"|"&amp;INT(M15/SEG_ANIO)*SEG_ANIO</f>
        <v/>
      </c>
      <c r="AY15" s="3">
        <f>AX15&amp;"|"&amp;INT(N15/SEG_KM)*SEG_KM</f>
        <v/>
      </c>
      <c r="AZ15" s="4">
        <f>COUNTIF($AW$2:$AW$91,AW15)</f>
        <v/>
      </c>
      <c r="BA15" s="4">
        <f>COUNTIF($AX$2:$AX$91,AX15)</f>
        <v/>
      </c>
      <c r="BB15" s="4">
        <f>COUNTIF($AY$2:$AY$91,AY15)</f>
        <v/>
      </c>
      <c r="BC15" s="3">
        <f t="array" ref="BC15">IF(N(AO15)&gt;=MIN_N,AN15,IF(BB15&gt;=MIN_N,MEDIAN(IF($AY$2:$AY$91=AY15,$O$2:$O$91)),IF(BA15&gt;=MIN_N,MEDIAN(IF($AX$2:$AX$91=AX15,$O$2:$O$91)),MEDIAN(IF($AW$2:$AW$91=AW15,$O$2:$O$91)))))</f>
        <v/>
      </c>
      <c r="BD15" s="3">
        <f>IF(N(AO15)&gt;=MIN_N,"mercado "&amp;AP15,IF(BB15&gt;=MIN_N,"modelo+año+km",IF(BA15&gt;=MIN_N,"modelo+año","modelo")))</f>
        <v/>
      </c>
      <c r="BE15" s="4">
        <f>(BC15-O15)/BC15</f>
        <v/>
      </c>
      <c r="BF15" s="3">
        <f>IF(OR(K15="hibrido",K15="glp"),"ECO",IF(K15="electrico","CERO",IF(K15="gasolina",IF(M15&gt;=GAS_C,"C",IF(M15&gt;=GAS_B,"B","A")),IF(K15="diesel",IF(M15&gt;=DIE_C,"C",IF(M15&gt;=DIE_B,"B","A")),""))))</f>
        <v/>
      </c>
      <c r="BG15" s="3">
        <f>IFERROR(VLOOKUP(F15,MOD_TBL,11,0),IFERROR(VLOOKUP(E15,OCU_TBL,2,0),NEUTRO))</f>
        <v/>
      </c>
      <c r="BH15" s="3">
        <f>SUMIFS(MOT_AJUSTE,MOT_MOTOR,G15,MOT_MARCA,E15,MOT_DESDE,"&lt;="&amp;M15,MOT_HASTA,"&gt;="&amp;M15)+SUMIFS(MOT_AJUSTE,MOT_MOTOR,G15,MOT_MARCA,"(todas)",MOT_DESDE,"&lt;="&amp;M15,MOT_HASTA,"&gt;="&amp;M15)</f>
        <v/>
      </c>
      <c r="BI15" s="3">
        <f>SUMIFS(COMB_AJUSTE,COMB_COMB,K15)</f>
        <v/>
      </c>
      <c r="BJ15" s="4">
        <f>MAX(0,MIN(100,BG15+BH15+BI15))</f>
        <v/>
      </c>
      <c r="BK15" s="3">
        <f>MAX(0,MIN(100,50+BE15*PRECIO_PEND))</f>
        <v/>
      </c>
      <c r="BL15" s="3">
        <f>MAX(0,100*(1-N15/KM_MAX))</f>
        <v/>
      </c>
      <c r="BM15" s="3">
        <f>IF(AV15&lt;KMA_SOSP,IF(AA15="sí",100,KMA_PEN),IF(AV15&lt;=KMA_IDEAL_MAX,100,MAX(0,100*(KMA_CERO-AV15)/(KMA_CERO-KMA_IDEAL_MAX))))</f>
        <v/>
      </c>
      <c r="BN15" s="3">
        <f>MAX(0,MIN(100,100*(M15-ANIO_MIN)/(ANIO_ACTUAL-ANIO_MIN)))</f>
        <v/>
      </c>
      <c r="BO15" s="3">
        <f>W_KMT*BL15+W_KMA*BM15+W_EDAD*BN15</f>
        <v/>
      </c>
      <c r="BP15" s="3">
        <f>P_ITV*(V15="sí")+P_LIBRO*(W15="sí")+P_CORREA*(X15="sí")+P_PROP*(Y15=1)+P_GAR*(Z15="sí")+P_FOTOS*MIN(1,N(U15)/FOTOS_OBJ)</f>
        <v/>
      </c>
      <c r="BQ15" s="3">
        <f>IFERROR(VLOOKUP(BF15,ETQ_TBL,2,0),NEUTRO)</f>
        <v/>
      </c>
      <c r="BR15" s="3">
        <f>NEUTRO</f>
        <v/>
      </c>
      <c r="BS15" s="3">
        <f>IFERROR(VLOOKUP(L15,SEGURO_TBL,3,0),"")</f>
        <v/>
      </c>
      <c r="BT15" s="3">
        <f>IF(BS15="",NEUTRO,MAX(0,MIN(100,100*(SEG_REF_MAX-BS15)/(SEG_REF_MAX-SEG_REF_MIN))))</f>
        <v/>
      </c>
      <c r="BU15" s="3">
        <f>W_ET*BQ15+W_CONS*BR15+W_SEG*BT15</f>
        <v/>
      </c>
      <c r="BV15" s="3">
        <f>IF(N(AB15)&gt;0,AB15,IF(AND(R15="profesional",SG_LEGAL_ON=1),GAR_LEGAL,0))</f>
        <v/>
      </c>
      <c r="BW15" s="3">
        <f>SG_GAR*MIN(1,BV15/SG_GAR_FULL)+SG_AMPL*(AC15="sí")+SG_KMC*(AF15="sí")+SG_REV*(N(AE15)&gt;0)+SG_DEV*MIN(1,N(AG15)/SG_DEV_FULL)+SG_HIST*(W15="sí")</f>
        <v/>
      </c>
      <c r="BX15" s="3">
        <f>W_FIAB*BJ15+W_PRECIO*BK15+W_KMEDAD*BO15+W_ANUNCIO*BP15+W_USO*BU15+W_SEGURIDAD*BW15</f>
        <v/>
      </c>
      <c r="BY15" s="4">
        <f>IF(N(I15)&gt;0,I15,IFERROR(ROUND(_xlfn.NUMBERVALUE(LEFT(G15,FIND(" ",G15&amp;" ")-1),".")*1000,0),99999))</f>
        <v/>
      </c>
      <c r="BZ15" s="3">
        <f>IF(R15="profesional",0,IF(O15&lt;CUOTA_VALOR_MAX,IF(AU15&gt;ITP_TRAMO_ALTO,SUMIFS(CF_CUOTA,CF_MAS,ITP_TRAMO_ALTO,CF_CCMIN,"&lt;="&amp;BY15,CF_CCMAX,"&gt;="&amp;BY15),IF(AU15&gt;ITP_TRAMO_BAJO,SUMIFS(CF_CUOTA,CF_MAS,ITP_TRAMO_BAJO,CF_CCMIN,"&lt;="&amp;BY15,CF_CCMAX,"&gt;="&amp;BY15),O15*ITP_TIPO)),O15*ITP_TIPO))</f>
        <v/>
      </c>
      <c r="CA15" s="4">
        <f>IF(R15="profesional",N(AK15),0)</f>
        <v/>
      </c>
      <c r="CB15" s="3">
        <f>IF(AND(R15="profesional",ISNUMBER(AK15),AL15="sí"),0,TASA_DGT)</f>
        <v/>
      </c>
      <c r="CC15" s="3">
        <f>INFORME_DGT</f>
        <v/>
      </c>
      <c r="CD15" s="4">
        <f>O15+CA15+BZ15+CB15+CC15</f>
        <v/>
      </c>
      <c r="CE15" s="4">
        <f>CD15+N(BS15)</f>
        <v/>
      </c>
      <c r="CF15" s="3">
        <f>IF(CD15&lt;=TOTAL_MAX,"sí","no")</f>
        <v/>
      </c>
      <c r="CG15" s="4">
        <f>IF(CF15="sí",COUNTIFS($CF$2:$CF$91,"sí",$BX$2:$BX$91,"&gt;"&amp;BX15)+COUNTIFS($CF$2:CF15,"sí",$BX$2:BX15,BX15),"")</f>
        <v/>
      </c>
    </row>
    <row r="16">
      <c r="A16" s="2" t="inlineStr">
        <is>
          <t>wallapop:1303258356</t>
        </is>
      </c>
      <c r="B16" s="2" t="inlineStr">
        <is>
          <t>wallapop</t>
        </is>
      </c>
      <c r="C16" s="2" t="inlineStr">
        <is>
          <t>https://es.wallapop.com/item/hyundai-i30-2009-1303258356</t>
        </is>
      </c>
      <c r="D16" s="2" t="inlineStr">
        <is>
          <t>Hyundai i30 2009</t>
        </is>
      </c>
      <c r="E16" s="2" t="inlineStr">
        <is>
          <t>Hyundai</t>
        </is>
      </c>
      <c r="F16" s="2" t="inlineStr">
        <is>
          <t>Hyundai i30</t>
        </is>
      </c>
      <c r="G16" s="2" t="inlineStr">
        <is>
          <t>1.4</t>
        </is>
      </c>
      <c r="H16" s="2" t="inlineStr">
        <is>
          <t>1.4 109 Classic 5p</t>
        </is>
      </c>
      <c r="I16" s="2" t="n"/>
      <c r="J16" s="2" t="n">
        <v>109</v>
      </c>
      <c r="K16" s="2" t="inlineStr">
        <is>
          <t>gasolina</t>
        </is>
      </c>
      <c r="L16" s="2" t="inlineStr">
        <is>
          <t>compacto</t>
        </is>
      </c>
      <c r="M16" s="2" t="n">
        <v>2009</v>
      </c>
      <c r="N16" s="2" t="n">
        <v>177000</v>
      </c>
      <c r="O16" s="2" t="n">
        <v>4000</v>
      </c>
      <c r="P16" s="2" t="inlineStr">
        <is>
          <t>manual</t>
        </is>
      </c>
      <c r="Q16" s="2" t="inlineStr">
        <is>
          <t>no</t>
        </is>
      </c>
      <c r="R16" s="2" t="inlineStr">
        <is>
          <t>particular</t>
        </is>
      </c>
      <c r="S16" s="2" t="inlineStr">
        <is>
          <t>Valencia (46018)</t>
        </is>
      </c>
      <c r="T16" s="2" t="inlineStr">
        <is>
          <t>2026-10-21T07:05:34</t>
        </is>
      </c>
      <c r="U16" s="2" t="n">
        <v>3</v>
      </c>
      <c r="V16" s="2" t="n"/>
      <c r="W16" s="2" t="n"/>
      <c r="X16" s="2" t="n"/>
      <c r="Y16" s="2" t="n"/>
      <c r="Z16" s="2" t="n"/>
      <c r="AA16" s="2" t="n"/>
      <c r="AB16" s="2" t="n"/>
      <c r="AC16" s="2" t="n"/>
      <c r="AD16" s="2" t="n"/>
      <c r="AE16" s="2" t="n"/>
      <c r="AF16" s="2" t="n"/>
      <c r="AG16" s="2" t="n"/>
      <c r="AH16" s="2" t="n"/>
      <c r="AI16" s="2" t="n"/>
      <c r="AJ16" s="2" t="n"/>
      <c r="AK16" s="2" t="n"/>
      <c r="AL16" s="2" t="n"/>
      <c r="AM16" s="2" t="n">
        <v>1.2</v>
      </c>
      <c r="AN16" s="2" t="n">
        <v>6000</v>
      </c>
      <c r="AO16" s="2" t="n">
        <v>5</v>
      </c>
      <c r="AP16" s="2" t="inlineStr">
        <is>
          <t>modelo+año</t>
        </is>
      </c>
      <c r="AQ16" s="2" t="n"/>
      <c r="AR16" s="2" t="inlineStr">
        <is>
          <t>cuota fija ITP: &gt;12 años, hasta 1.500 cc</t>
        </is>
      </c>
      <c r="AS16" s="2" t="inlineStr">
        <is>
          <t xml:space="preserve">
Hyundai I30 en Valencia</t>
        </is>
      </c>
      <c r="AT16" s="2" t="inlineStr">
        <is>
          <t>https://es.wallapop.com/item/hyundai-i30-2009-1303258356 (__NEXT_DATA__ item) /home/user/Alopecia/buscador-coches/raw/wallapop/275a620999c29339.json</t>
        </is>
      </c>
      <c r="AU16" s="3">
        <f>MAX(ANIO_ACTUAL-M16,0)</f>
        <v/>
      </c>
      <c r="AV16" s="4">
        <f>N16/MAX(AU16,0.5)</f>
        <v/>
      </c>
      <c r="AW16" s="4">
        <f>F16</f>
        <v/>
      </c>
      <c r="AX16" s="3">
        <f>AW16&amp;"|"&amp;INT(M16/SEG_ANIO)*SEG_ANIO</f>
        <v/>
      </c>
      <c r="AY16" s="3">
        <f>AX16&amp;"|"&amp;INT(N16/SEG_KM)*SEG_KM</f>
        <v/>
      </c>
      <c r="AZ16" s="4">
        <f>COUNTIF($AW$2:$AW$91,AW16)</f>
        <v/>
      </c>
      <c r="BA16" s="4">
        <f>COUNTIF($AX$2:$AX$91,AX16)</f>
        <v/>
      </c>
      <c r="BB16" s="4">
        <f>COUNTIF($AY$2:$AY$91,AY16)</f>
        <v/>
      </c>
      <c r="BC16" s="3">
        <f t="array" ref="BC16">IF(N(AO16)&gt;=MIN_N,AN16,IF(BB16&gt;=MIN_N,MEDIAN(IF($AY$2:$AY$91=AY16,$O$2:$O$91)),IF(BA16&gt;=MIN_N,MEDIAN(IF($AX$2:$AX$91=AX16,$O$2:$O$91)),MEDIAN(IF($AW$2:$AW$91=AW16,$O$2:$O$91)))))</f>
        <v/>
      </c>
      <c r="BD16" s="3">
        <f>IF(N(AO16)&gt;=MIN_N,"mercado "&amp;AP16,IF(BB16&gt;=MIN_N,"modelo+año+km",IF(BA16&gt;=MIN_N,"modelo+año","modelo")))</f>
        <v/>
      </c>
      <c r="BE16" s="4">
        <f>(BC16-O16)/BC16</f>
        <v/>
      </c>
      <c r="BF16" s="3">
        <f>IF(OR(K16="hibrido",K16="glp"),"ECO",IF(K16="electrico","CERO",IF(K16="gasolina",IF(M16&gt;=GAS_C,"C",IF(M16&gt;=GAS_B,"B","A")),IF(K16="diesel",IF(M16&gt;=DIE_C,"C",IF(M16&gt;=DIE_B,"B","A")),""))))</f>
        <v/>
      </c>
      <c r="BG16" s="3">
        <f>IFERROR(VLOOKUP(F16,MOD_TBL,11,0),IFERROR(VLOOKUP(E16,OCU_TBL,2,0),NEUTRO))</f>
        <v/>
      </c>
      <c r="BH16" s="3">
        <f>SUMIFS(MOT_AJUSTE,MOT_MOTOR,G16,MOT_MARCA,E16,MOT_DESDE,"&lt;="&amp;M16,MOT_HASTA,"&gt;="&amp;M16)+SUMIFS(MOT_AJUSTE,MOT_MOTOR,G16,MOT_MARCA,"(todas)",MOT_DESDE,"&lt;="&amp;M16,MOT_HASTA,"&gt;="&amp;M16)</f>
        <v/>
      </c>
      <c r="BI16" s="3">
        <f>SUMIFS(COMB_AJUSTE,COMB_COMB,K16)</f>
        <v/>
      </c>
      <c r="BJ16" s="4">
        <f>MAX(0,MIN(100,BG16+BH16+BI16))</f>
        <v/>
      </c>
      <c r="BK16" s="3">
        <f>MAX(0,MIN(100,50+BE16*PRECIO_PEND))</f>
        <v/>
      </c>
      <c r="BL16" s="3">
        <f>MAX(0,100*(1-N16/KM_MAX))</f>
        <v/>
      </c>
      <c r="BM16" s="3">
        <f>IF(AV16&lt;KMA_SOSP,IF(AA16="sí",100,KMA_PEN),IF(AV16&lt;=KMA_IDEAL_MAX,100,MAX(0,100*(KMA_CERO-AV16)/(KMA_CERO-KMA_IDEAL_MAX))))</f>
        <v/>
      </c>
      <c r="BN16" s="3">
        <f>MAX(0,MIN(100,100*(M16-ANIO_MIN)/(ANIO_ACTUAL-ANIO_MIN)))</f>
        <v/>
      </c>
      <c r="BO16" s="3">
        <f>W_KMT*BL16+W_KMA*BM16+W_EDAD*BN16</f>
        <v/>
      </c>
      <c r="BP16" s="3">
        <f>P_ITV*(V16="sí")+P_LIBRO*(W16="sí")+P_CORREA*(X16="sí")+P_PROP*(Y16=1)+P_GAR*(Z16="sí")+P_FOTOS*MIN(1,N(U16)/FOTOS_OBJ)</f>
        <v/>
      </c>
      <c r="BQ16" s="3">
        <f>IFERROR(VLOOKUP(BF16,ETQ_TBL,2,0),NEUTRO)</f>
        <v/>
      </c>
      <c r="BR16" s="3">
        <f>NEUTRO</f>
        <v/>
      </c>
      <c r="BS16" s="3">
        <f>IFERROR(VLOOKUP(L16,SEGURO_TBL,3,0),"")</f>
        <v/>
      </c>
      <c r="BT16" s="3">
        <f>IF(BS16="",NEUTRO,MAX(0,MIN(100,100*(SEG_REF_MAX-BS16)/(SEG_REF_MAX-SEG_REF_MIN))))</f>
        <v/>
      </c>
      <c r="BU16" s="3">
        <f>W_ET*BQ16+W_CONS*BR16+W_SEG*BT16</f>
        <v/>
      </c>
      <c r="BV16" s="3">
        <f>IF(N(AB16)&gt;0,AB16,IF(AND(R16="profesional",SG_LEGAL_ON=1),GAR_LEGAL,0))</f>
        <v/>
      </c>
      <c r="BW16" s="3">
        <f>SG_GAR*MIN(1,BV16/SG_GAR_FULL)+SG_AMPL*(AC16="sí")+SG_KMC*(AF16="sí")+SG_REV*(N(AE16)&gt;0)+SG_DEV*MIN(1,N(AG16)/SG_DEV_FULL)+SG_HIST*(W16="sí")</f>
        <v/>
      </c>
      <c r="BX16" s="3">
        <f>W_FIAB*BJ16+W_PRECIO*BK16+W_KMEDAD*BO16+W_ANUNCIO*BP16+W_USO*BU16+W_SEGURIDAD*BW16</f>
        <v/>
      </c>
      <c r="BY16" s="4">
        <f>IF(N(I16)&gt;0,I16,IFERROR(ROUND(_xlfn.NUMBERVALUE(LEFT(G16,FIND(" ",G16&amp;" ")-1),".")*1000,0),99999))</f>
        <v/>
      </c>
      <c r="BZ16" s="3">
        <f>IF(R16="profesional",0,IF(O16&lt;CUOTA_VALOR_MAX,IF(AU16&gt;ITP_TRAMO_ALTO,SUMIFS(CF_CUOTA,CF_MAS,ITP_TRAMO_ALTO,CF_CCMIN,"&lt;="&amp;BY16,CF_CCMAX,"&gt;="&amp;BY16),IF(AU16&gt;ITP_TRAMO_BAJO,SUMIFS(CF_CUOTA,CF_MAS,ITP_TRAMO_BAJO,CF_CCMIN,"&lt;="&amp;BY16,CF_CCMAX,"&gt;="&amp;BY16),O16*ITP_TIPO)),O16*ITP_TIPO))</f>
        <v/>
      </c>
      <c r="CA16" s="4">
        <f>IF(R16="profesional",N(AK16),0)</f>
        <v/>
      </c>
      <c r="CB16" s="3">
        <f>IF(AND(R16="profesional",ISNUMBER(AK16),AL16="sí"),0,TASA_DGT)</f>
        <v/>
      </c>
      <c r="CC16" s="3">
        <f>INFORME_DGT</f>
        <v/>
      </c>
      <c r="CD16" s="4">
        <f>O16+CA16+BZ16+CB16+CC16</f>
        <v/>
      </c>
      <c r="CE16" s="4">
        <f>CD16+N(BS16)</f>
        <v/>
      </c>
      <c r="CF16" s="3">
        <f>IF(CD16&lt;=TOTAL_MAX,"sí","no")</f>
        <v/>
      </c>
      <c r="CG16" s="4">
        <f>IF(CF16="sí",COUNTIFS($CF$2:$CF$91,"sí",$BX$2:$BX$91,"&gt;"&amp;BX16)+COUNTIFS($CF$2:CF16,"sí",$BX$2:BX16,BX16),"")</f>
        <v/>
      </c>
    </row>
    <row r="17">
      <c r="A17" s="2" t="inlineStr">
        <is>
          <t>wallapop:1310385297</t>
        </is>
      </c>
      <c r="B17" s="2" t="inlineStr">
        <is>
          <t>wallapop</t>
        </is>
      </c>
      <c r="C17" s="2" t="inlineStr">
        <is>
          <t>https://es.wallapop.com/item/opel-corsa-2008-1310385297</t>
        </is>
      </c>
      <c r="D17" s="2" t="inlineStr">
        <is>
          <t>Opel Corsa 2008</t>
        </is>
      </c>
      <c r="E17" s="2" t="inlineStr">
        <is>
          <t>Opel</t>
        </is>
      </c>
      <c r="F17" s="2" t="inlineStr">
        <is>
          <t>Opel Corsa</t>
        </is>
      </c>
      <c r="G17" s="2" t="inlineStr">
        <is>
          <t>1.4</t>
        </is>
      </c>
      <c r="H17" s="2" t="inlineStr">
        <is>
          <t>1.4 90 C Mon 3p</t>
        </is>
      </c>
      <c r="I17" s="2" t="n"/>
      <c r="J17" s="2" t="n">
        <v>90</v>
      </c>
      <c r="K17" s="2" t="inlineStr">
        <is>
          <t>gasolina</t>
        </is>
      </c>
      <c r="L17" s="2" t="inlineStr">
        <is>
          <t>utilitario</t>
        </is>
      </c>
      <c r="M17" s="2" t="n">
        <v>2008</v>
      </c>
      <c r="N17" s="2" t="n">
        <v>185000</v>
      </c>
      <c r="O17" s="2" t="n">
        <v>2399</v>
      </c>
      <c r="P17" s="2" t="inlineStr">
        <is>
          <t>manual</t>
        </is>
      </c>
      <c r="Q17" s="2" t="inlineStr">
        <is>
          <t>no</t>
        </is>
      </c>
      <c r="R17" s="2" t="inlineStr">
        <is>
          <t>particular</t>
        </is>
      </c>
      <c r="S17" s="2" t="inlineStr">
        <is>
          <t>Valencia (46002)</t>
        </is>
      </c>
      <c r="T17" s="2" t="inlineStr">
        <is>
          <t>2026-10-13T09:25:00</t>
        </is>
      </c>
      <c r="U17" s="2" t="n">
        <v>10</v>
      </c>
      <c r="V17" s="2" t="inlineStr">
        <is>
          <t>sí</t>
        </is>
      </c>
      <c r="W17" s="2" t="n"/>
      <c r="X17" s="2" t="n"/>
      <c r="Y17" s="2" t="n"/>
      <c r="Z17" s="2" t="n"/>
      <c r="AA17" s="2" t="n"/>
      <c r="AB17" s="2" t="n"/>
      <c r="AC17" s="2" t="n"/>
      <c r="AD17" s="2" t="n"/>
      <c r="AE17" s="2" t="n"/>
      <c r="AF17" s="2" t="n"/>
      <c r="AG17" s="2" t="n"/>
      <c r="AH17" s="2" t="n"/>
      <c r="AI17" s="2" t="n"/>
      <c r="AJ17" s="2" t="n"/>
      <c r="AK17" s="2" t="n"/>
      <c r="AL17" s="2" t="n"/>
      <c r="AM17" s="2" t="n">
        <v>0</v>
      </c>
      <c r="AN17" s="2" t="n">
        <v>3099.5</v>
      </c>
      <c r="AO17" s="2" t="n">
        <v>4</v>
      </c>
      <c r="AP17" s="2" t="inlineStr">
        <is>
          <t>modelo+año+km</t>
        </is>
      </c>
      <c r="AQ17" s="2" t="n"/>
      <c r="AR17" s="2" t="inlineStr">
        <is>
          <t>cuota fija ITP: &gt;12 años, hasta 1.500 cc</t>
        </is>
      </c>
      <c r="AS17" s="2" t="inlineStr">
        <is>
          <t xml:space="preserve">Se vende opel corsa 1.4i coche fiable y robusto, itv hasta julio de 27 un utilitario para el dia dia, ya que tiene un consumo contenido y no tiene tendencia a las averias. 
Tiene techo solar, aire acondicionado, elevalunas electricos, control cruzero cierre centralizado. No es un coche de alta gama pero si un coche funcional.
Se encuentra en la poblacion de benifaio, cambio de nombre incluido en el precio.
Cualquier duda la respondere encantado.
Gancho:
Golf focus ford mondeo audi diesel gasolina dci tdi sdi cdti 1.9 2.0 meriva astra lupo polo clio megane a3 a4 fiesta </t>
        </is>
      </c>
      <c r="AT17" s="2" t="inlineStr">
        <is>
          <t>https://es.wallapop.com/item/opel-corsa-2008-1310385297 (__NEXT_DATA__ item) /home/user/Alopecia/buscador-coches/raw/wallapop/01eab1cf519f8463.json</t>
        </is>
      </c>
      <c r="AU17" s="3">
        <f>MAX(ANIO_ACTUAL-M17,0)</f>
        <v/>
      </c>
      <c r="AV17" s="4">
        <f>N17/MAX(AU17,0.5)</f>
        <v/>
      </c>
      <c r="AW17" s="4">
        <f>F17</f>
        <v/>
      </c>
      <c r="AX17" s="3">
        <f>AW17&amp;"|"&amp;INT(M17/SEG_ANIO)*SEG_ANIO</f>
        <v/>
      </c>
      <c r="AY17" s="3">
        <f>AX17&amp;"|"&amp;INT(N17/SEG_KM)*SEG_KM</f>
        <v/>
      </c>
      <c r="AZ17" s="4">
        <f>COUNTIF($AW$2:$AW$91,AW17)</f>
        <v/>
      </c>
      <c r="BA17" s="4">
        <f>COUNTIF($AX$2:$AX$91,AX17)</f>
        <v/>
      </c>
      <c r="BB17" s="4">
        <f>COUNTIF($AY$2:$AY$91,AY17)</f>
        <v/>
      </c>
      <c r="BC17" s="3">
        <f t="array" ref="BC17">IF(N(AO17)&gt;=MIN_N,AN17,IF(BB17&gt;=MIN_N,MEDIAN(IF($AY$2:$AY$91=AY17,$O$2:$O$91)),IF(BA17&gt;=MIN_N,MEDIAN(IF($AX$2:$AX$91=AX17,$O$2:$O$91)),MEDIAN(IF($AW$2:$AW$91=AW17,$O$2:$O$91)))))</f>
        <v/>
      </c>
      <c r="BD17" s="3">
        <f>IF(N(AO17)&gt;=MIN_N,"mercado "&amp;AP17,IF(BB17&gt;=MIN_N,"modelo+año+km",IF(BA17&gt;=MIN_N,"modelo+año","modelo")))</f>
        <v/>
      </c>
      <c r="BE17" s="4">
        <f>(BC17-O17)/BC17</f>
        <v/>
      </c>
      <c r="BF17" s="3">
        <f>IF(OR(K17="hibrido",K17="glp"),"ECO",IF(K17="electrico","CERO",IF(K17="gasolina",IF(M17&gt;=GAS_C,"C",IF(M17&gt;=GAS_B,"B","A")),IF(K17="diesel",IF(M17&gt;=DIE_C,"C",IF(M17&gt;=DIE_B,"B","A")),""))))</f>
        <v/>
      </c>
      <c r="BG17" s="3">
        <f>IFERROR(VLOOKUP(F17,MOD_TBL,11,0),IFERROR(VLOOKUP(E17,OCU_TBL,2,0),NEUTRO))</f>
        <v/>
      </c>
      <c r="BH17" s="3">
        <f>SUMIFS(MOT_AJUSTE,MOT_MOTOR,G17,MOT_MARCA,E17,MOT_DESDE,"&lt;="&amp;M17,MOT_HASTA,"&gt;="&amp;M17)+SUMIFS(MOT_AJUSTE,MOT_MOTOR,G17,MOT_MARCA,"(todas)",MOT_DESDE,"&lt;="&amp;M17,MOT_HASTA,"&gt;="&amp;M17)</f>
        <v/>
      </c>
      <c r="BI17" s="3">
        <f>SUMIFS(COMB_AJUSTE,COMB_COMB,K17)</f>
        <v/>
      </c>
      <c r="BJ17" s="4">
        <f>MAX(0,MIN(100,BG17+BH17+BI17))</f>
        <v/>
      </c>
      <c r="BK17" s="3">
        <f>MAX(0,MIN(100,50+BE17*PRECIO_PEND))</f>
        <v/>
      </c>
      <c r="BL17" s="3">
        <f>MAX(0,100*(1-N17/KM_MAX))</f>
        <v/>
      </c>
      <c r="BM17" s="3">
        <f>IF(AV17&lt;KMA_SOSP,IF(AA17="sí",100,KMA_PEN),IF(AV17&lt;=KMA_IDEAL_MAX,100,MAX(0,100*(KMA_CERO-AV17)/(KMA_CERO-KMA_IDEAL_MAX))))</f>
        <v/>
      </c>
      <c r="BN17" s="3">
        <f>MAX(0,MIN(100,100*(M17-ANIO_MIN)/(ANIO_ACTUAL-ANIO_MIN)))</f>
        <v/>
      </c>
      <c r="BO17" s="3">
        <f>W_KMT*BL17+W_KMA*BM17+W_EDAD*BN17</f>
        <v/>
      </c>
      <c r="BP17" s="3">
        <f>P_ITV*(V17="sí")+P_LIBRO*(W17="sí")+P_CORREA*(X17="sí")+P_PROP*(Y17=1)+P_GAR*(Z17="sí")+P_FOTOS*MIN(1,N(U17)/FOTOS_OBJ)</f>
        <v/>
      </c>
      <c r="BQ17" s="3">
        <f>IFERROR(VLOOKUP(BF17,ETQ_TBL,2,0),NEUTRO)</f>
        <v/>
      </c>
      <c r="BR17" s="3">
        <f>NEUTRO</f>
        <v/>
      </c>
      <c r="BS17" s="3">
        <f>IFERROR(VLOOKUP(L17,SEGURO_TBL,3,0),"")</f>
        <v/>
      </c>
      <c r="BT17" s="3">
        <f>IF(BS17="",NEUTRO,MAX(0,MIN(100,100*(SEG_REF_MAX-BS17)/(SEG_REF_MAX-SEG_REF_MIN))))</f>
        <v/>
      </c>
      <c r="BU17" s="3">
        <f>W_ET*BQ17+W_CONS*BR17+W_SEG*BT17</f>
        <v/>
      </c>
      <c r="BV17" s="3">
        <f>IF(N(AB17)&gt;0,AB17,IF(AND(R17="profesional",SG_LEGAL_ON=1),GAR_LEGAL,0))</f>
        <v/>
      </c>
      <c r="BW17" s="3">
        <f>SG_GAR*MIN(1,BV17/SG_GAR_FULL)+SG_AMPL*(AC17="sí")+SG_KMC*(AF17="sí")+SG_REV*(N(AE17)&gt;0)+SG_DEV*MIN(1,N(AG17)/SG_DEV_FULL)+SG_HIST*(W17="sí")</f>
        <v/>
      </c>
      <c r="BX17" s="3">
        <f>W_FIAB*BJ17+W_PRECIO*BK17+W_KMEDAD*BO17+W_ANUNCIO*BP17+W_USO*BU17+W_SEGURIDAD*BW17</f>
        <v/>
      </c>
      <c r="BY17" s="4">
        <f>IF(N(I17)&gt;0,I17,IFERROR(ROUND(_xlfn.NUMBERVALUE(LEFT(G17,FIND(" ",G17&amp;" ")-1),".")*1000,0),99999))</f>
        <v/>
      </c>
      <c r="BZ17" s="3">
        <f>IF(R17="profesional",0,IF(O17&lt;CUOTA_VALOR_MAX,IF(AU17&gt;ITP_TRAMO_ALTO,SUMIFS(CF_CUOTA,CF_MAS,ITP_TRAMO_ALTO,CF_CCMIN,"&lt;="&amp;BY17,CF_CCMAX,"&gt;="&amp;BY17),IF(AU17&gt;ITP_TRAMO_BAJO,SUMIFS(CF_CUOTA,CF_MAS,ITP_TRAMO_BAJO,CF_CCMIN,"&lt;="&amp;BY17,CF_CCMAX,"&gt;="&amp;BY17),O17*ITP_TIPO)),O17*ITP_TIPO))</f>
        <v/>
      </c>
      <c r="CA17" s="4">
        <f>IF(R17="profesional",N(AK17),0)</f>
        <v/>
      </c>
      <c r="CB17" s="3">
        <f>IF(AND(R17="profesional",ISNUMBER(AK17),AL17="sí"),0,TASA_DGT)</f>
        <v/>
      </c>
      <c r="CC17" s="3">
        <f>INFORME_DGT</f>
        <v/>
      </c>
      <c r="CD17" s="4">
        <f>O17+CA17+BZ17+CB17+CC17</f>
        <v/>
      </c>
      <c r="CE17" s="4">
        <f>CD17+N(BS17)</f>
        <v/>
      </c>
      <c r="CF17" s="3">
        <f>IF(CD17&lt;=TOTAL_MAX,"sí","no")</f>
        <v/>
      </c>
      <c r="CG17" s="4">
        <f>IF(CF17="sí",COUNTIFS($CF$2:$CF$91,"sí",$BX$2:$BX$91,"&gt;"&amp;BX17)+COUNTIFS($CF$2:CF17,"sí",$BX$2:BX17,BX17),"")</f>
        <v/>
      </c>
    </row>
    <row r="18">
      <c r="A18" s="2" t="inlineStr">
        <is>
          <t>wallapop:1318223085</t>
        </is>
      </c>
      <c r="B18" s="2" t="inlineStr">
        <is>
          <t>wallapop</t>
        </is>
      </c>
      <c r="C18" s="2" t="inlineStr">
        <is>
          <t>https://es.wallapop.com/item/opel-corsa-2009-1318223085</t>
        </is>
      </c>
      <c r="D18" s="2" t="inlineStr">
        <is>
          <t>Opel  Corsa 2009</t>
        </is>
      </c>
      <c r="E18" s="2" t="inlineStr">
        <is>
          <t>Opel</t>
        </is>
      </c>
      <c r="F18" s="2" t="inlineStr">
        <is>
          <t>Opel Corsa</t>
        </is>
      </c>
      <c r="G18" s="2" t="n"/>
      <c r="H18" s="2" t="n"/>
      <c r="I18" s="2" t="n"/>
      <c r="J18" s="2" t="n">
        <v>90</v>
      </c>
      <c r="K18" s="2" t="inlineStr">
        <is>
          <t>gasolina</t>
        </is>
      </c>
      <c r="L18" s="2" t="inlineStr">
        <is>
          <t>utilitario</t>
        </is>
      </c>
      <c r="M18" s="2" t="n">
        <v>2009</v>
      </c>
      <c r="N18" s="2" t="n">
        <v>118857</v>
      </c>
      <c r="O18" s="2" t="n">
        <v>3600</v>
      </c>
      <c r="P18" s="2" t="inlineStr">
        <is>
          <t>manual</t>
        </is>
      </c>
      <c r="Q18" s="2" t="inlineStr">
        <is>
          <t>no</t>
        </is>
      </c>
      <c r="R18" s="2" t="inlineStr">
        <is>
          <t>particular</t>
        </is>
      </c>
      <c r="S18" s="2" t="inlineStr">
        <is>
          <t>Valencia (46026)</t>
        </is>
      </c>
      <c r="T18" s="2" t="inlineStr">
        <is>
          <t>2026-10-28T18:33:29</t>
        </is>
      </c>
      <c r="U18" s="2" t="n">
        <v>8</v>
      </c>
      <c r="V18" s="2" t="n"/>
      <c r="W18" s="2" t="n"/>
      <c r="X18" s="2" t="n"/>
      <c r="Y18" s="2" t="n"/>
      <c r="Z18" s="2" t="n"/>
      <c r="AA18" s="2" t="n"/>
      <c r="AB18" s="2" t="n"/>
      <c r="AC18" s="2" t="n"/>
      <c r="AD18" s="2" t="n"/>
      <c r="AE18" s="2" t="n"/>
      <c r="AF18" s="2" t="n"/>
      <c r="AG18" s="2" t="n"/>
      <c r="AH18" s="2" t="n"/>
      <c r="AI18" s="2" t="n"/>
      <c r="AJ18" s="2" t="n"/>
      <c r="AK18" s="2" t="n"/>
      <c r="AL18" s="2" t="n"/>
      <c r="AM18" s="2" t="n">
        <v>2.8</v>
      </c>
      <c r="AN18" s="2" t="n">
        <v>3300</v>
      </c>
      <c r="AO18" s="2" t="n">
        <v>7</v>
      </c>
      <c r="AP18" s="2" t="inlineStr">
        <is>
          <t>modelo+año+km</t>
        </is>
      </c>
      <c r="AQ18" s="2" t="n"/>
      <c r="AR18" s="2" t="inlineStr">
        <is>
          <t>cilindrada desconocida: se aplica el tramo de cuota fija más alto; cuota fija ITP: &gt;12 años, más de 2.000 cc</t>
        </is>
      </c>
      <c r="AS18" s="2" t="inlineStr">
        <is>
          <t xml:space="preserve">Tiene bloqueo de volante, parrot para llamadas y control crucero </t>
        </is>
      </c>
      <c r="AT18" s="2" t="inlineStr">
        <is>
          <t>https://es.wallapop.com/item/opel-corsa-2009-1318223085 (__NEXT_DATA__ item) /home/user/Alopecia/buscador-coches/raw/wallapop/2a391b383404390b.json</t>
        </is>
      </c>
      <c r="AU18" s="3">
        <f>MAX(ANIO_ACTUAL-M18,0)</f>
        <v/>
      </c>
      <c r="AV18" s="4">
        <f>N18/MAX(AU18,0.5)</f>
        <v/>
      </c>
      <c r="AW18" s="4">
        <f>F18</f>
        <v/>
      </c>
      <c r="AX18" s="3">
        <f>AW18&amp;"|"&amp;INT(M18/SEG_ANIO)*SEG_ANIO</f>
        <v/>
      </c>
      <c r="AY18" s="3">
        <f>AX18&amp;"|"&amp;INT(N18/SEG_KM)*SEG_KM</f>
        <v/>
      </c>
      <c r="AZ18" s="4">
        <f>COUNTIF($AW$2:$AW$91,AW18)</f>
        <v/>
      </c>
      <c r="BA18" s="4">
        <f>COUNTIF($AX$2:$AX$91,AX18)</f>
        <v/>
      </c>
      <c r="BB18" s="4">
        <f>COUNTIF($AY$2:$AY$91,AY18)</f>
        <v/>
      </c>
      <c r="BC18" s="3">
        <f t="array" ref="BC18">IF(N(AO18)&gt;=MIN_N,AN18,IF(BB18&gt;=MIN_N,MEDIAN(IF($AY$2:$AY$91=AY18,$O$2:$O$91)),IF(BA18&gt;=MIN_N,MEDIAN(IF($AX$2:$AX$91=AX18,$O$2:$O$91)),MEDIAN(IF($AW$2:$AW$91=AW18,$O$2:$O$91)))))</f>
        <v/>
      </c>
      <c r="BD18" s="3">
        <f>IF(N(AO18)&gt;=MIN_N,"mercado "&amp;AP18,IF(BB18&gt;=MIN_N,"modelo+año+km",IF(BA18&gt;=MIN_N,"modelo+año","modelo")))</f>
        <v/>
      </c>
      <c r="BE18" s="4">
        <f>(BC18-O18)/BC18</f>
        <v/>
      </c>
      <c r="BF18" s="3">
        <f>IF(OR(K18="hibrido",K18="glp"),"ECO",IF(K18="electrico","CERO",IF(K18="gasolina",IF(M18&gt;=GAS_C,"C",IF(M18&gt;=GAS_B,"B","A")),IF(K18="diesel",IF(M18&gt;=DIE_C,"C",IF(M18&gt;=DIE_B,"B","A")),""))))</f>
        <v/>
      </c>
      <c r="BG18" s="3">
        <f>IFERROR(VLOOKUP(F18,MOD_TBL,11,0),IFERROR(VLOOKUP(E18,OCU_TBL,2,0),NEUTRO))</f>
        <v/>
      </c>
      <c r="BH18" s="3">
        <f>SUMIFS(MOT_AJUSTE,MOT_MOTOR,G18,MOT_MARCA,E18,MOT_DESDE,"&lt;="&amp;M18,MOT_HASTA,"&gt;="&amp;M18)+SUMIFS(MOT_AJUSTE,MOT_MOTOR,G18,MOT_MARCA,"(todas)",MOT_DESDE,"&lt;="&amp;M18,MOT_HASTA,"&gt;="&amp;M18)</f>
        <v/>
      </c>
      <c r="BI18" s="3">
        <f>SUMIFS(COMB_AJUSTE,COMB_COMB,K18)</f>
        <v/>
      </c>
      <c r="BJ18" s="4">
        <f>MAX(0,MIN(100,BG18+BH18+BI18))</f>
        <v/>
      </c>
      <c r="BK18" s="3">
        <f>MAX(0,MIN(100,50+BE18*PRECIO_PEND))</f>
        <v/>
      </c>
      <c r="BL18" s="3">
        <f>MAX(0,100*(1-N18/KM_MAX))</f>
        <v/>
      </c>
      <c r="BM18" s="3">
        <f>IF(AV18&lt;KMA_SOSP,IF(AA18="sí",100,KMA_PEN),IF(AV18&lt;=KMA_IDEAL_MAX,100,MAX(0,100*(KMA_CERO-AV18)/(KMA_CERO-KMA_IDEAL_MAX))))</f>
        <v/>
      </c>
      <c r="BN18" s="3">
        <f>MAX(0,MIN(100,100*(M18-ANIO_MIN)/(ANIO_ACTUAL-ANIO_MIN)))</f>
        <v/>
      </c>
      <c r="BO18" s="3">
        <f>W_KMT*BL18+W_KMA*BM18+W_EDAD*BN18</f>
        <v/>
      </c>
      <c r="BP18" s="3">
        <f>P_ITV*(V18="sí")+P_LIBRO*(W18="sí")+P_CORREA*(X18="sí")+P_PROP*(Y18=1)+P_GAR*(Z18="sí")+P_FOTOS*MIN(1,N(U18)/FOTOS_OBJ)</f>
        <v/>
      </c>
      <c r="BQ18" s="3">
        <f>IFERROR(VLOOKUP(BF18,ETQ_TBL,2,0),NEUTRO)</f>
        <v/>
      </c>
      <c r="BR18" s="3">
        <f>NEUTRO</f>
        <v/>
      </c>
      <c r="BS18" s="3">
        <f>IFERROR(VLOOKUP(L18,SEGURO_TBL,3,0),"")</f>
        <v/>
      </c>
      <c r="BT18" s="3">
        <f>IF(BS18="",NEUTRO,MAX(0,MIN(100,100*(SEG_REF_MAX-BS18)/(SEG_REF_MAX-SEG_REF_MIN))))</f>
        <v/>
      </c>
      <c r="BU18" s="3">
        <f>W_ET*BQ18+W_CONS*BR18+W_SEG*BT18</f>
        <v/>
      </c>
      <c r="BV18" s="3">
        <f>IF(N(AB18)&gt;0,AB18,IF(AND(R18="profesional",SG_LEGAL_ON=1),GAR_LEGAL,0))</f>
        <v/>
      </c>
      <c r="BW18" s="3">
        <f>SG_GAR*MIN(1,BV18/SG_GAR_FULL)+SG_AMPL*(AC18="sí")+SG_KMC*(AF18="sí")+SG_REV*(N(AE18)&gt;0)+SG_DEV*MIN(1,N(AG18)/SG_DEV_FULL)+SG_HIST*(W18="sí")</f>
        <v/>
      </c>
      <c r="BX18" s="3">
        <f>W_FIAB*BJ18+W_PRECIO*BK18+W_KMEDAD*BO18+W_ANUNCIO*BP18+W_USO*BU18+W_SEGURIDAD*BW18</f>
        <v/>
      </c>
      <c r="BY18" s="4">
        <f>IF(N(I18)&gt;0,I18,IFERROR(ROUND(_xlfn.NUMBERVALUE(LEFT(G18,FIND(" ",G18&amp;" ")-1),".")*1000,0),99999))</f>
        <v/>
      </c>
      <c r="BZ18" s="3">
        <f>IF(R18="profesional",0,IF(O18&lt;CUOTA_VALOR_MAX,IF(AU18&gt;ITP_TRAMO_ALTO,SUMIFS(CF_CUOTA,CF_MAS,ITP_TRAMO_ALTO,CF_CCMIN,"&lt;="&amp;BY18,CF_CCMAX,"&gt;="&amp;BY18),IF(AU18&gt;ITP_TRAMO_BAJO,SUMIFS(CF_CUOTA,CF_MAS,ITP_TRAMO_BAJO,CF_CCMIN,"&lt;="&amp;BY18,CF_CCMAX,"&gt;="&amp;BY18),O18*ITP_TIPO)),O18*ITP_TIPO))</f>
        <v/>
      </c>
      <c r="CA18" s="4">
        <f>IF(R18="profesional",N(AK18),0)</f>
        <v/>
      </c>
      <c r="CB18" s="3">
        <f>IF(AND(R18="profesional",ISNUMBER(AK18),AL18="sí"),0,TASA_DGT)</f>
        <v/>
      </c>
      <c r="CC18" s="3">
        <f>INFORME_DGT</f>
        <v/>
      </c>
      <c r="CD18" s="4">
        <f>O18+CA18+BZ18+CB18+CC18</f>
        <v/>
      </c>
      <c r="CE18" s="4">
        <f>CD18+N(BS18)</f>
        <v/>
      </c>
      <c r="CF18" s="3">
        <f>IF(CD18&lt;=TOTAL_MAX,"sí","no")</f>
        <v/>
      </c>
      <c r="CG18" s="4">
        <f>IF(CF18="sí",COUNTIFS($CF$2:$CF$91,"sí",$BX$2:$BX$91,"&gt;"&amp;BX18)+COUNTIFS($CF$2:CF18,"sí",$BX$2:BX18,BX18),"")</f>
        <v/>
      </c>
    </row>
    <row r="19">
      <c r="A19" s="2" t="inlineStr">
        <is>
          <t>wallapop:1316461365</t>
        </is>
      </c>
      <c r="B19" s="2" t="inlineStr">
        <is>
          <t>wallapop</t>
        </is>
      </c>
      <c r="C19" s="2" t="inlineStr">
        <is>
          <t>https://es.wallapop.com/item/opel-corsa-d-2013-1316461365</t>
        </is>
      </c>
      <c r="D19" s="2" t="inlineStr">
        <is>
          <t>Opel corsa d 2013</t>
        </is>
      </c>
      <c r="E19" s="2" t="inlineStr">
        <is>
          <t>Opel</t>
        </is>
      </c>
      <c r="F19" s="2" t="inlineStr">
        <is>
          <t>Opel Corsa</t>
        </is>
      </c>
      <c r="G19" s="2" t="n"/>
      <c r="H19" s="2" t="n"/>
      <c r="I19" s="2" t="n"/>
      <c r="J19" s="2" t="n">
        <v>90</v>
      </c>
      <c r="K19" s="2" t="inlineStr">
        <is>
          <t>gasolina</t>
        </is>
      </c>
      <c r="L19" s="2" t="inlineStr">
        <is>
          <t>utilitario</t>
        </is>
      </c>
      <c r="M19" s="2" t="n">
        <v>2013</v>
      </c>
      <c r="N19" s="2" t="n">
        <v>208000</v>
      </c>
      <c r="O19" s="2" t="n">
        <v>4000</v>
      </c>
      <c r="P19" s="2" t="inlineStr">
        <is>
          <t>manual</t>
        </is>
      </c>
      <c r="Q19" s="2" t="inlineStr">
        <is>
          <t>no</t>
        </is>
      </c>
      <c r="R19" s="2" t="inlineStr">
        <is>
          <t>particular</t>
        </is>
      </c>
      <c r="S19" s="2" t="inlineStr">
        <is>
          <t>Valencia (46002)</t>
        </is>
      </c>
      <c r="T19" s="2" t="inlineStr">
        <is>
          <t>2026-10-27T19:35:38</t>
        </is>
      </c>
      <c r="U19" s="2" t="n">
        <v>10</v>
      </c>
      <c r="V19" s="2" t="n"/>
      <c r="W19" s="2" t="n"/>
      <c r="X19" s="2" t="n"/>
      <c r="Y19" s="2" t="n"/>
      <c r="Z19" s="2" t="n"/>
      <c r="AA19" s="2" t="n"/>
      <c r="AB19" s="2" t="n"/>
      <c r="AC19" s="2" t="n"/>
      <c r="AD19" s="2" t="n"/>
      <c r="AE19" s="2" t="n"/>
      <c r="AF19" s="2" t="n"/>
      <c r="AG19" s="2" t="n"/>
      <c r="AH19" s="2" t="n"/>
      <c r="AI19" s="2" t="n"/>
      <c r="AJ19" s="2" t="n"/>
      <c r="AK19" s="2" t="n"/>
      <c r="AL19" s="2" t="n"/>
      <c r="AM19" s="2" t="n">
        <v>0.4</v>
      </c>
      <c r="AN19" s="2" t="n">
        <v>4490</v>
      </c>
      <c r="AO19" s="2" t="n">
        <v>7</v>
      </c>
      <c r="AP19" s="2" t="inlineStr">
        <is>
          <t>modelo+año+km</t>
        </is>
      </c>
      <c r="AQ19" s="2" t="n"/>
      <c r="AR19" s="2" t="inlineStr">
        <is>
          <t>cilindrada desconocida: se aplica el tramo de cuota fija más alto; antigüedad en el límite del tramo: depende de la fecha exacta de matriculación; cuota fija ITP: &gt;12 años, más de 2.000 cc</t>
        </is>
      </c>
      <c r="AS19" s="2" t="inlineStr">
        <is>
          <t>Vendo Opel corsa D del año 2013 , cuenta con 208.300 km , tiene recién cambiado el aceite , filtro de aire , filtro de aceite y filtro de habitáculo, se le cambiaron las 2 bieletas, el embrague lo cambié hace 5 meses más o menos unos 4.500 km de ruedas está bien , motor a cadena impuestos al día , algún que otro detalle por algún roce, no hay que hacerle nada , mejor ver y probar , precio negociable .</t>
        </is>
      </c>
      <c r="AT19" s="2" t="inlineStr">
        <is>
          <t>https://es.wallapop.com/item/opel-corsa-d-2013-1316461365 (__NEXT_DATA__ item) /home/user/Alopecia/buscador-coches/raw/wallapop/15045070d8c7f62b.json</t>
        </is>
      </c>
      <c r="AU19" s="3">
        <f>MAX(ANIO_ACTUAL-M19,0)</f>
        <v/>
      </c>
      <c r="AV19" s="4">
        <f>N19/MAX(AU19,0.5)</f>
        <v/>
      </c>
      <c r="AW19" s="4">
        <f>F19</f>
        <v/>
      </c>
      <c r="AX19" s="3">
        <f>AW19&amp;"|"&amp;INT(M19/SEG_ANIO)*SEG_ANIO</f>
        <v/>
      </c>
      <c r="AY19" s="3">
        <f>AX19&amp;"|"&amp;INT(N19/SEG_KM)*SEG_KM</f>
        <v/>
      </c>
      <c r="AZ19" s="4">
        <f>COUNTIF($AW$2:$AW$91,AW19)</f>
        <v/>
      </c>
      <c r="BA19" s="4">
        <f>COUNTIF($AX$2:$AX$91,AX19)</f>
        <v/>
      </c>
      <c r="BB19" s="4">
        <f>COUNTIF($AY$2:$AY$91,AY19)</f>
        <v/>
      </c>
      <c r="BC19" s="3">
        <f t="array" ref="BC19">IF(N(AO19)&gt;=MIN_N,AN19,IF(BB19&gt;=MIN_N,MEDIAN(IF($AY$2:$AY$91=AY19,$O$2:$O$91)),IF(BA19&gt;=MIN_N,MEDIAN(IF($AX$2:$AX$91=AX19,$O$2:$O$91)),MEDIAN(IF($AW$2:$AW$91=AW19,$O$2:$O$91)))))</f>
        <v/>
      </c>
      <c r="BD19" s="3">
        <f>IF(N(AO19)&gt;=MIN_N,"mercado "&amp;AP19,IF(BB19&gt;=MIN_N,"modelo+año+km",IF(BA19&gt;=MIN_N,"modelo+año","modelo")))</f>
        <v/>
      </c>
      <c r="BE19" s="4">
        <f>(BC19-O19)/BC19</f>
        <v/>
      </c>
      <c r="BF19" s="3">
        <f>IF(OR(K19="hibrido",K19="glp"),"ECO",IF(K19="electrico","CERO",IF(K19="gasolina",IF(M19&gt;=GAS_C,"C",IF(M19&gt;=GAS_B,"B","A")),IF(K19="diesel",IF(M19&gt;=DIE_C,"C",IF(M19&gt;=DIE_B,"B","A")),""))))</f>
        <v/>
      </c>
      <c r="BG19" s="3">
        <f>IFERROR(VLOOKUP(F19,MOD_TBL,11,0),IFERROR(VLOOKUP(E19,OCU_TBL,2,0),NEUTRO))</f>
        <v/>
      </c>
      <c r="BH19" s="3">
        <f>SUMIFS(MOT_AJUSTE,MOT_MOTOR,G19,MOT_MARCA,E19,MOT_DESDE,"&lt;="&amp;M19,MOT_HASTA,"&gt;="&amp;M19)+SUMIFS(MOT_AJUSTE,MOT_MOTOR,G19,MOT_MARCA,"(todas)",MOT_DESDE,"&lt;="&amp;M19,MOT_HASTA,"&gt;="&amp;M19)</f>
        <v/>
      </c>
      <c r="BI19" s="3">
        <f>SUMIFS(COMB_AJUSTE,COMB_COMB,K19)</f>
        <v/>
      </c>
      <c r="BJ19" s="4">
        <f>MAX(0,MIN(100,BG19+BH19+BI19))</f>
        <v/>
      </c>
      <c r="BK19" s="3">
        <f>MAX(0,MIN(100,50+BE19*PRECIO_PEND))</f>
        <v/>
      </c>
      <c r="BL19" s="3">
        <f>MAX(0,100*(1-N19/KM_MAX))</f>
        <v/>
      </c>
      <c r="BM19" s="3">
        <f>IF(AV19&lt;KMA_SOSP,IF(AA19="sí",100,KMA_PEN),IF(AV19&lt;=KMA_IDEAL_MAX,100,MAX(0,100*(KMA_CERO-AV19)/(KMA_CERO-KMA_IDEAL_MAX))))</f>
        <v/>
      </c>
      <c r="BN19" s="3">
        <f>MAX(0,MIN(100,100*(M19-ANIO_MIN)/(ANIO_ACTUAL-ANIO_MIN)))</f>
        <v/>
      </c>
      <c r="BO19" s="3">
        <f>W_KMT*BL19+W_KMA*BM19+W_EDAD*BN19</f>
        <v/>
      </c>
      <c r="BP19" s="3">
        <f>P_ITV*(V19="sí")+P_LIBRO*(W19="sí")+P_CORREA*(X19="sí")+P_PROP*(Y19=1)+P_GAR*(Z19="sí")+P_FOTOS*MIN(1,N(U19)/FOTOS_OBJ)</f>
        <v/>
      </c>
      <c r="BQ19" s="3">
        <f>IFERROR(VLOOKUP(BF19,ETQ_TBL,2,0),NEUTRO)</f>
        <v/>
      </c>
      <c r="BR19" s="3">
        <f>NEUTRO</f>
        <v/>
      </c>
      <c r="BS19" s="3">
        <f>IFERROR(VLOOKUP(L19,SEGURO_TBL,3,0),"")</f>
        <v/>
      </c>
      <c r="BT19" s="3">
        <f>IF(BS19="",NEUTRO,MAX(0,MIN(100,100*(SEG_REF_MAX-BS19)/(SEG_REF_MAX-SEG_REF_MIN))))</f>
        <v/>
      </c>
      <c r="BU19" s="3">
        <f>W_ET*BQ19+W_CONS*BR19+W_SEG*BT19</f>
        <v/>
      </c>
      <c r="BV19" s="3">
        <f>IF(N(AB19)&gt;0,AB19,IF(AND(R19="profesional",SG_LEGAL_ON=1),GAR_LEGAL,0))</f>
        <v/>
      </c>
      <c r="BW19" s="3">
        <f>SG_GAR*MIN(1,BV19/SG_GAR_FULL)+SG_AMPL*(AC19="sí")+SG_KMC*(AF19="sí")+SG_REV*(N(AE19)&gt;0)+SG_DEV*MIN(1,N(AG19)/SG_DEV_FULL)+SG_HIST*(W19="sí")</f>
        <v/>
      </c>
      <c r="BX19" s="3">
        <f>W_FIAB*BJ19+W_PRECIO*BK19+W_KMEDAD*BO19+W_ANUNCIO*BP19+W_USO*BU19+W_SEGURIDAD*BW19</f>
        <v/>
      </c>
      <c r="BY19" s="4">
        <f>IF(N(I19)&gt;0,I19,IFERROR(ROUND(_xlfn.NUMBERVALUE(LEFT(G19,FIND(" ",G19&amp;" ")-1),".")*1000,0),99999))</f>
        <v/>
      </c>
      <c r="BZ19" s="3">
        <f>IF(R19="profesional",0,IF(O19&lt;CUOTA_VALOR_MAX,IF(AU19&gt;ITP_TRAMO_ALTO,SUMIFS(CF_CUOTA,CF_MAS,ITP_TRAMO_ALTO,CF_CCMIN,"&lt;="&amp;BY19,CF_CCMAX,"&gt;="&amp;BY19),IF(AU19&gt;ITP_TRAMO_BAJO,SUMIFS(CF_CUOTA,CF_MAS,ITP_TRAMO_BAJO,CF_CCMIN,"&lt;="&amp;BY19,CF_CCMAX,"&gt;="&amp;BY19),O19*ITP_TIPO)),O19*ITP_TIPO))</f>
        <v/>
      </c>
      <c r="CA19" s="4">
        <f>IF(R19="profesional",N(AK19),0)</f>
        <v/>
      </c>
      <c r="CB19" s="3">
        <f>IF(AND(R19="profesional",ISNUMBER(AK19),AL19="sí"),0,TASA_DGT)</f>
        <v/>
      </c>
      <c r="CC19" s="3">
        <f>INFORME_DGT</f>
        <v/>
      </c>
      <c r="CD19" s="4">
        <f>O19+CA19+BZ19+CB19+CC19</f>
        <v/>
      </c>
      <c r="CE19" s="4">
        <f>CD19+N(BS19)</f>
        <v/>
      </c>
      <c r="CF19" s="3">
        <f>IF(CD19&lt;=TOTAL_MAX,"sí","no")</f>
        <v/>
      </c>
      <c r="CG19" s="4">
        <f>IF(CF19="sí",COUNTIFS($CF$2:$CF$91,"sí",$BX$2:$BX$91,"&gt;"&amp;BX19)+COUNTIFS($CF$2:CF19,"sí",$BX$2:BX19,BX19),"")</f>
        <v/>
      </c>
    </row>
    <row r="20">
      <c r="A20" s="2" t="inlineStr">
        <is>
          <t>wallapop:1282088556</t>
        </is>
      </c>
      <c r="B20" s="2" t="inlineStr">
        <is>
          <t>wallapop</t>
        </is>
      </c>
      <c r="C20" s="2" t="inlineStr">
        <is>
          <t>https://es.wallapop.com/item/opel-agila-2009-1282088556</t>
        </is>
      </c>
      <c r="D20" s="2" t="inlineStr">
        <is>
          <t>Opel Agila 2009</t>
        </is>
      </c>
      <c r="E20" s="2" t="inlineStr">
        <is>
          <t>Opel</t>
        </is>
      </c>
      <c r="F20" s="2" t="inlineStr">
        <is>
          <t>Opel Agila</t>
        </is>
      </c>
      <c r="G20" s="2" t="inlineStr">
        <is>
          <t>1.0</t>
        </is>
      </c>
      <c r="H20" s="2" t="inlineStr">
        <is>
          <t>1.0 12v 65 Enjoy 5p</t>
        </is>
      </c>
      <c r="I20" s="2" t="n"/>
      <c r="J20" s="2" t="n">
        <v>65</v>
      </c>
      <c r="K20" s="2" t="inlineStr">
        <is>
          <t>gasolina</t>
        </is>
      </c>
      <c r="L20" s="2" t="inlineStr">
        <is>
          <t>utilitario</t>
        </is>
      </c>
      <c r="M20" s="2" t="n">
        <v>2009</v>
      </c>
      <c r="N20" s="2" t="n">
        <v>134000</v>
      </c>
      <c r="O20" s="2" t="n">
        <v>3300</v>
      </c>
      <c r="P20" s="2" t="inlineStr">
        <is>
          <t>manual</t>
        </is>
      </c>
      <c r="Q20" s="2" t="inlineStr">
        <is>
          <t>no</t>
        </is>
      </c>
      <c r="R20" s="2" t="inlineStr">
        <is>
          <t>particular</t>
        </is>
      </c>
      <c r="S20" s="2" t="inlineStr">
        <is>
          <t>Valencia (46018)</t>
        </is>
      </c>
      <c r="T20" s="2" t="inlineStr">
        <is>
          <t>2026-10-06T12:43:20</t>
        </is>
      </c>
      <c r="U20" s="2" t="n">
        <v>9</v>
      </c>
      <c r="V20" s="2" t="inlineStr">
        <is>
          <t>sí</t>
        </is>
      </c>
      <c r="W20" s="2" t="n"/>
      <c r="X20" s="2" t="n"/>
      <c r="Y20" s="2" t="n"/>
      <c r="Z20" s="2" t="n"/>
      <c r="AA20" s="2" t="n"/>
      <c r="AB20" s="2" t="n"/>
      <c r="AC20" s="2" t="n"/>
      <c r="AD20" s="2" t="n"/>
      <c r="AE20" s="2" t="n"/>
      <c r="AF20" s="2" t="n"/>
      <c r="AG20" s="2" t="n"/>
      <c r="AH20" s="2" t="n"/>
      <c r="AI20" s="2" t="n"/>
      <c r="AJ20" s="2" t="n"/>
      <c r="AK20" s="2" t="n"/>
      <c r="AL20" s="2" t="n"/>
      <c r="AM20" s="2" t="n">
        <v>1.5</v>
      </c>
      <c r="AN20" s="2" t="n"/>
      <c r="AO20" s="2" t="n"/>
      <c r="AP20" s="2" t="n"/>
      <c r="AQ20" s="2" t="n"/>
      <c r="AR20" s="2" t="inlineStr">
        <is>
          <t>cuota fija ITP: &gt;12 años, hasta 1.500 cc; fiabilidad del modelo PENDIENTE de fuente (puntuación neutra); mediana con solo 1 anuncio(s)</t>
        </is>
      </c>
      <c r="AS20" s="2" t="inlineStr">
        <is>
          <t>Opel Agila con tan solo 134.000km
Itv recien pasada y con todos los mantenimientos al dia
El coche se encuentra en buen estado pero con algunos roces por el paso de los años
Mecánicamente revisado y sin ningun problema 
Coche ideal para el dia a dia con etiqueta C</t>
        </is>
      </c>
      <c r="AT20" s="2" t="inlineStr">
        <is>
          <t>https://es.wallapop.com/item/opel-agila-2009-1282088556 (__NEXT_DATA__ item) /home/user/Alopecia/buscador-coches/raw/wallapop/1758bdcff44eb808.json</t>
        </is>
      </c>
      <c r="AU20" s="3">
        <f>MAX(ANIO_ACTUAL-M20,0)</f>
        <v/>
      </c>
      <c r="AV20" s="4">
        <f>N20/MAX(AU20,0.5)</f>
        <v/>
      </c>
      <c r="AW20" s="4">
        <f>F20</f>
        <v/>
      </c>
      <c r="AX20" s="3">
        <f>AW20&amp;"|"&amp;INT(M20/SEG_ANIO)*SEG_ANIO</f>
        <v/>
      </c>
      <c r="AY20" s="3">
        <f>AX20&amp;"|"&amp;INT(N20/SEG_KM)*SEG_KM</f>
        <v/>
      </c>
      <c r="AZ20" s="4">
        <f>COUNTIF($AW$2:$AW$91,AW20)</f>
        <v/>
      </c>
      <c r="BA20" s="4">
        <f>COUNTIF($AX$2:$AX$91,AX20)</f>
        <v/>
      </c>
      <c r="BB20" s="4">
        <f>COUNTIF($AY$2:$AY$91,AY20)</f>
        <v/>
      </c>
      <c r="BC20" s="3">
        <f t="array" ref="BC20">IF(N(AO20)&gt;=MIN_N,AN20,IF(BB20&gt;=MIN_N,MEDIAN(IF($AY$2:$AY$91=AY20,$O$2:$O$91)),IF(BA20&gt;=MIN_N,MEDIAN(IF($AX$2:$AX$91=AX20,$O$2:$O$91)),MEDIAN(IF($AW$2:$AW$91=AW20,$O$2:$O$91)))))</f>
        <v/>
      </c>
      <c r="BD20" s="3">
        <f>IF(N(AO20)&gt;=MIN_N,"mercado "&amp;AP20,IF(BB20&gt;=MIN_N,"modelo+año+km",IF(BA20&gt;=MIN_N,"modelo+año","modelo")))</f>
        <v/>
      </c>
      <c r="BE20" s="4">
        <f>(BC20-O20)/BC20</f>
        <v/>
      </c>
      <c r="BF20" s="3">
        <f>IF(OR(K20="hibrido",K20="glp"),"ECO",IF(K20="electrico","CERO",IF(K20="gasolina",IF(M20&gt;=GAS_C,"C",IF(M20&gt;=GAS_B,"B","A")),IF(K20="diesel",IF(M20&gt;=DIE_C,"C",IF(M20&gt;=DIE_B,"B","A")),""))))</f>
        <v/>
      </c>
      <c r="BG20" s="3">
        <f>IFERROR(VLOOKUP(F20,MOD_TBL,11,0),IFERROR(VLOOKUP(E20,OCU_TBL,2,0),NEUTRO))</f>
        <v/>
      </c>
      <c r="BH20" s="3">
        <f>SUMIFS(MOT_AJUSTE,MOT_MOTOR,G20,MOT_MARCA,E20,MOT_DESDE,"&lt;="&amp;M20,MOT_HASTA,"&gt;="&amp;M20)+SUMIFS(MOT_AJUSTE,MOT_MOTOR,G20,MOT_MARCA,"(todas)",MOT_DESDE,"&lt;="&amp;M20,MOT_HASTA,"&gt;="&amp;M20)</f>
        <v/>
      </c>
      <c r="BI20" s="3">
        <f>SUMIFS(COMB_AJUSTE,COMB_COMB,K20)</f>
        <v/>
      </c>
      <c r="BJ20" s="4">
        <f>MAX(0,MIN(100,BG20+BH20+BI20))</f>
        <v/>
      </c>
      <c r="BK20" s="3">
        <f>MAX(0,MIN(100,50+BE20*PRECIO_PEND))</f>
        <v/>
      </c>
      <c r="BL20" s="3">
        <f>MAX(0,100*(1-N20/KM_MAX))</f>
        <v/>
      </c>
      <c r="BM20" s="3">
        <f>IF(AV20&lt;KMA_SOSP,IF(AA20="sí",100,KMA_PEN),IF(AV20&lt;=KMA_IDEAL_MAX,100,MAX(0,100*(KMA_CERO-AV20)/(KMA_CERO-KMA_IDEAL_MAX))))</f>
        <v/>
      </c>
      <c r="BN20" s="3">
        <f>MAX(0,MIN(100,100*(M20-ANIO_MIN)/(ANIO_ACTUAL-ANIO_MIN)))</f>
        <v/>
      </c>
      <c r="BO20" s="3">
        <f>W_KMT*BL20+W_KMA*BM20+W_EDAD*BN20</f>
        <v/>
      </c>
      <c r="BP20" s="3">
        <f>P_ITV*(V20="sí")+P_LIBRO*(W20="sí")+P_CORREA*(X20="sí")+P_PROP*(Y20=1)+P_GAR*(Z20="sí")+P_FOTOS*MIN(1,N(U20)/FOTOS_OBJ)</f>
        <v/>
      </c>
      <c r="BQ20" s="3">
        <f>IFERROR(VLOOKUP(BF20,ETQ_TBL,2,0),NEUTRO)</f>
        <v/>
      </c>
      <c r="BR20" s="3">
        <f>NEUTRO</f>
        <v/>
      </c>
      <c r="BS20" s="3">
        <f>IFERROR(VLOOKUP(L20,SEGURO_TBL,3,0),"")</f>
        <v/>
      </c>
      <c r="BT20" s="3">
        <f>IF(BS20="",NEUTRO,MAX(0,MIN(100,100*(SEG_REF_MAX-BS20)/(SEG_REF_MAX-SEG_REF_MIN))))</f>
        <v/>
      </c>
      <c r="BU20" s="3">
        <f>W_ET*BQ20+W_CONS*BR20+W_SEG*BT20</f>
        <v/>
      </c>
      <c r="BV20" s="3">
        <f>IF(N(AB20)&gt;0,AB20,IF(AND(R20="profesional",SG_LEGAL_ON=1),GAR_LEGAL,0))</f>
        <v/>
      </c>
      <c r="BW20" s="3">
        <f>SG_GAR*MIN(1,BV20/SG_GAR_FULL)+SG_AMPL*(AC20="sí")+SG_KMC*(AF20="sí")+SG_REV*(N(AE20)&gt;0)+SG_DEV*MIN(1,N(AG20)/SG_DEV_FULL)+SG_HIST*(W20="sí")</f>
        <v/>
      </c>
      <c r="BX20" s="3">
        <f>W_FIAB*BJ20+W_PRECIO*BK20+W_KMEDAD*BO20+W_ANUNCIO*BP20+W_USO*BU20+W_SEGURIDAD*BW20</f>
        <v/>
      </c>
      <c r="BY20" s="4">
        <f>IF(N(I20)&gt;0,I20,IFERROR(ROUND(_xlfn.NUMBERVALUE(LEFT(G20,FIND(" ",G20&amp;" ")-1),".")*1000,0),99999))</f>
        <v/>
      </c>
      <c r="BZ20" s="3">
        <f>IF(R20="profesional",0,IF(O20&lt;CUOTA_VALOR_MAX,IF(AU20&gt;ITP_TRAMO_ALTO,SUMIFS(CF_CUOTA,CF_MAS,ITP_TRAMO_ALTO,CF_CCMIN,"&lt;="&amp;BY20,CF_CCMAX,"&gt;="&amp;BY20),IF(AU20&gt;ITP_TRAMO_BAJO,SUMIFS(CF_CUOTA,CF_MAS,ITP_TRAMO_BAJO,CF_CCMIN,"&lt;="&amp;BY20,CF_CCMAX,"&gt;="&amp;BY20),O20*ITP_TIPO)),O20*ITP_TIPO))</f>
        <v/>
      </c>
      <c r="CA20" s="4">
        <f>IF(R20="profesional",N(AK20),0)</f>
        <v/>
      </c>
      <c r="CB20" s="3">
        <f>IF(AND(R20="profesional",ISNUMBER(AK20),AL20="sí"),0,TASA_DGT)</f>
        <v/>
      </c>
      <c r="CC20" s="3">
        <f>INFORME_DGT</f>
        <v/>
      </c>
      <c r="CD20" s="4">
        <f>O20+CA20+BZ20+CB20+CC20</f>
        <v/>
      </c>
      <c r="CE20" s="4">
        <f>CD20+N(BS20)</f>
        <v/>
      </c>
      <c r="CF20" s="3">
        <f>IF(CD20&lt;=TOTAL_MAX,"sí","no")</f>
        <v/>
      </c>
      <c r="CG20" s="4">
        <f>IF(CF20="sí",COUNTIFS($CF$2:$CF$91,"sí",$BX$2:$BX$91,"&gt;"&amp;BX20)+COUNTIFS($CF$2:CF20,"sí",$BX$2:BX20,BX20),"")</f>
        <v/>
      </c>
    </row>
    <row r="21">
      <c r="A21" s="2" t="inlineStr">
        <is>
          <t>wallapop:1311131743</t>
        </is>
      </c>
      <c r="B21" s="2" t="inlineStr">
        <is>
          <t>wallapop</t>
        </is>
      </c>
      <c r="C21" s="2" t="inlineStr">
        <is>
          <t>https://es.wallapop.com/item/renault-twingo-2009-1311131743</t>
        </is>
      </c>
      <c r="D21" s="2" t="inlineStr">
        <is>
          <t>Renault Twingo 2009</t>
        </is>
      </c>
      <c r="E21" s="2" t="inlineStr">
        <is>
          <t>Renault</t>
        </is>
      </c>
      <c r="F21" s="2" t="inlineStr">
        <is>
          <t>Renault Twingo</t>
        </is>
      </c>
      <c r="G21" s="2" t="inlineStr">
        <is>
          <t>1.2</t>
        </is>
      </c>
      <c r="H21" s="2" t="inlineStr">
        <is>
          <t>1.2 16v 75 eco2 dynamique 3p quickshift</t>
        </is>
      </c>
      <c r="I21" s="2" t="n"/>
      <c r="J21" s="2" t="n">
        <v>75</v>
      </c>
      <c r="K21" s="2" t="inlineStr">
        <is>
          <t>gasolina</t>
        </is>
      </c>
      <c r="L21" s="2" t="inlineStr">
        <is>
          <t>utilitario</t>
        </is>
      </c>
      <c r="M21" s="2" t="n">
        <v>2009</v>
      </c>
      <c r="N21" s="2" t="n">
        <v>85000</v>
      </c>
      <c r="O21" s="2" t="n">
        <v>4500</v>
      </c>
      <c r="P21" s="2" t="inlineStr">
        <is>
          <t>automatico</t>
        </is>
      </c>
      <c r="Q21" s="2" t="inlineStr">
        <is>
          <t>sí</t>
        </is>
      </c>
      <c r="R21" s="2" t="inlineStr">
        <is>
          <t>particular</t>
        </is>
      </c>
      <c r="S21" s="2" t="inlineStr">
        <is>
          <t>Valencia (46003)</t>
        </is>
      </c>
      <c r="T21" s="2" t="inlineStr">
        <is>
          <t>2026-10-09T21:15:55</t>
        </is>
      </c>
      <c r="U21" s="2" t="n">
        <v>9</v>
      </c>
      <c r="V21" s="2" t="n"/>
      <c r="W21" s="2" t="n"/>
      <c r="X21" s="2" t="n"/>
      <c r="Y21" s="2" t="n"/>
      <c r="Z21" s="2" t="n"/>
      <c r="AA21" s="2" t="n"/>
      <c r="AB21" s="2" t="n"/>
      <c r="AC21" s="2" t="n"/>
      <c r="AD21" s="2" t="n"/>
      <c r="AE21" s="2" t="n"/>
      <c r="AF21" s="2" t="n"/>
      <c r="AG21" s="2" t="n"/>
      <c r="AH21" s="2" t="n"/>
      <c r="AI21" s="2" t="n"/>
      <c r="AJ21" s="2" t="n"/>
      <c r="AK21" s="2" t="n"/>
      <c r="AL21" s="2" t="n"/>
      <c r="AM21" s="2" t="n">
        <v>1.6</v>
      </c>
      <c r="AN21" s="2" t="n"/>
      <c r="AO21" s="2" t="n"/>
      <c r="AP21" s="2" t="n"/>
      <c r="AQ21" s="2" t="n"/>
      <c r="AR21" s="2" t="inlineStr">
        <is>
          <t>cuota fija ITP: &gt;12 años, hasta 1.500 cc; fiabilidad del modelo PENDIENTE de fuente (puntuación neutra); mediana con solo 1 anuncio(s)</t>
        </is>
      </c>
      <c r="AS21" s="2" t="inlineStr">
        <is>
          <t xml:space="preserve">Se vende recién revisado </t>
        </is>
      </c>
      <c r="AT21" s="2" t="inlineStr">
        <is>
          <t>https://es.wallapop.com/item/renault-twingo-2009-1311131743 (__NEXT_DATA__ item) /home/user/Alopecia/buscador-coches/raw/wallapop/0cb3d92209fa0e19.json</t>
        </is>
      </c>
      <c r="AU21" s="3">
        <f>MAX(ANIO_ACTUAL-M21,0)</f>
        <v/>
      </c>
      <c r="AV21" s="4">
        <f>N21/MAX(AU21,0.5)</f>
        <v/>
      </c>
      <c r="AW21" s="4">
        <f>F21</f>
        <v/>
      </c>
      <c r="AX21" s="3">
        <f>AW21&amp;"|"&amp;INT(M21/SEG_ANIO)*SEG_ANIO</f>
        <v/>
      </c>
      <c r="AY21" s="3">
        <f>AX21&amp;"|"&amp;INT(N21/SEG_KM)*SEG_KM</f>
        <v/>
      </c>
      <c r="AZ21" s="4">
        <f>COUNTIF($AW$2:$AW$91,AW21)</f>
        <v/>
      </c>
      <c r="BA21" s="4">
        <f>COUNTIF($AX$2:$AX$91,AX21)</f>
        <v/>
      </c>
      <c r="BB21" s="4">
        <f>COUNTIF($AY$2:$AY$91,AY21)</f>
        <v/>
      </c>
      <c r="BC21" s="3">
        <f t="array" ref="BC21">IF(N(AO21)&gt;=MIN_N,AN21,IF(BB21&gt;=MIN_N,MEDIAN(IF($AY$2:$AY$91=AY21,$O$2:$O$91)),IF(BA21&gt;=MIN_N,MEDIAN(IF($AX$2:$AX$91=AX21,$O$2:$O$91)),MEDIAN(IF($AW$2:$AW$91=AW21,$O$2:$O$91)))))</f>
        <v/>
      </c>
      <c r="BD21" s="3">
        <f>IF(N(AO21)&gt;=MIN_N,"mercado "&amp;AP21,IF(BB21&gt;=MIN_N,"modelo+año+km",IF(BA21&gt;=MIN_N,"modelo+año","modelo")))</f>
        <v/>
      </c>
      <c r="BE21" s="4">
        <f>(BC21-O21)/BC21</f>
        <v/>
      </c>
      <c r="BF21" s="3">
        <f>IF(OR(K21="hibrido",K21="glp"),"ECO",IF(K21="electrico","CERO",IF(K21="gasolina",IF(M21&gt;=GAS_C,"C",IF(M21&gt;=GAS_B,"B","A")),IF(K21="diesel",IF(M21&gt;=DIE_C,"C",IF(M21&gt;=DIE_B,"B","A")),""))))</f>
        <v/>
      </c>
      <c r="BG21" s="3">
        <f>IFERROR(VLOOKUP(F21,MOD_TBL,11,0),IFERROR(VLOOKUP(E21,OCU_TBL,2,0),NEUTRO))</f>
        <v/>
      </c>
      <c r="BH21" s="3">
        <f>SUMIFS(MOT_AJUSTE,MOT_MOTOR,G21,MOT_MARCA,E21,MOT_DESDE,"&lt;="&amp;M21,MOT_HASTA,"&gt;="&amp;M21)+SUMIFS(MOT_AJUSTE,MOT_MOTOR,G21,MOT_MARCA,"(todas)",MOT_DESDE,"&lt;="&amp;M21,MOT_HASTA,"&gt;="&amp;M21)</f>
        <v/>
      </c>
      <c r="BI21" s="3">
        <f>SUMIFS(COMB_AJUSTE,COMB_COMB,K21)</f>
        <v/>
      </c>
      <c r="BJ21" s="4">
        <f>MAX(0,MIN(100,BG21+BH21+BI21))</f>
        <v/>
      </c>
      <c r="BK21" s="3">
        <f>MAX(0,MIN(100,50+BE21*PRECIO_PEND))</f>
        <v/>
      </c>
      <c r="BL21" s="3">
        <f>MAX(0,100*(1-N21/KM_MAX))</f>
        <v/>
      </c>
      <c r="BM21" s="3">
        <f>IF(AV21&lt;KMA_SOSP,IF(AA21="sí",100,KMA_PEN),IF(AV21&lt;=KMA_IDEAL_MAX,100,MAX(0,100*(KMA_CERO-AV21)/(KMA_CERO-KMA_IDEAL_MAX))))</f>
        <v/>
      </c>
      <c r="BN21" s="3">
        <f>MAX(0,MIN(100,100*(M21-ANIO_MIN)/(ANIO_ACTUAL-ANIO_MIN)))</f>
        <v/>
      </c>
      <c r="BO21" s="3">
        <f>W_KMT*BL21+W_KMA*BM21+W_EDAD*BN21</f>
        <v/>
      </c>
      <c r="BP21" s="3">
        <f>P_ITV*(V21="sí")+P_LIBRO*(W21="sí")+P_CORREA*(X21="sí")+P_PROP*(Y21=1)+P_GAR*(Z21="sí")+P_FOTOS*MIN(1,N(U21)/FOTOS_OBJ)</f>
        <v/>
      </c>
      <c r="BQ21" s="3">
        <f>IFERROR(VLOOKUP(BF21,ETQ_TBL,2,0),NEUTRO)</f>
        <v/>
      </c>
      <c r="BR21" s="3">
        <f>NEUTRO</f>
        <v/>
      </c>
      <c r="BS21" s="3">
        <f>IFERROR(VLOOKUP(L21,SEGURO_TBL,3,0),"")</f>
        <v/>
      </c>
      <c r="BT21" s="3">
        <f>IF(BS21="",NEUTRO,MAX(0,MIN(100,100*(SEG_REF_MAX-BS21)/(SEG_REF_MAX-SEG_REF_MIN))))</f>
        <v/>
      </c>
      <c r="BU21" s="3">
        <f>W_ET*BQ21+W_CONS*BR21+W_SEG*BT21</f>
        <v/>
      </c>
      <c r="BV21" s="3">
        <f>IF(N(AB21)&gt;0,AB21,IF(AND(R21="profesional",SG_LEGAL_ON=1),GAR_LEGAL,0))</f>
        <v/>
      </c>
      <c r="BW21" s="3">
        <f>SG_GAR*MIN(1,BV21/SG_GAR_FULL)+SG_AMPL*(AC21="sí")+SG_KMC*(AF21="sí")+SG_REV*(N(AE21)&gt;0)+SG_DEV*MIN(1,N(AG21)/SG_DEV_FULL)+SG_HIST*(W21="sí")</f>
        <v/>
      </c>
      <c r="BX21" s="3">
        <f>W_FIAB*BJ21+W_PRECIO*BK21+W_KMEDAD*BO21+W_ANUNCIO*BP21+W_USO*BU21+W_SEGURIDAD*BW21</f>
        <v/>
      </c>
      <c r="BY21" s="4">
        <f>IF(N(I21)&gt;0,I21,IFERROR(ROUND(_xlfn.NUMBERVALUE(LEFT(G21,FIND(" ",G21&amp;" ")-1),".")*1000,0),99999))</f>
        <v/>
      </c>
      <c r="BZ21" s="3">
        <f>IF(R21="profesional",0,IF(O21&lt;CUOTA_VALOR_MAX,IF(AU21&gt;ITP_TRAMO_ALTO,SUMIFS(CF_CUOTA,CF_MAS,ITP_TRAMO_ALTO,CF_CCMIN,"&lt;="&amp;BY21,CF_CCMAX,"&gt;="&amp;BY21),IF(AU21&gt;ITP_TRAMO_BAJO,SUMIFS(CF_CUOTA,CF_MAS,ITP_TRAMO_BAJO,CF_CCMIN,"&lt;="&amp;BY21,CF_CCMAX,"&gt;="&amp;BY21),O21*ITP_TIPO)),O21*ITP_TIPO))</f>
        <v/>
      </c>
      <c r="CA21" s="4">
        <f>IF(R21="profesional",N(AK21),0)</f>
        <v/>
      </c>
      <c r="CB21" s="3">
        <f>IF(AND(R21="profesional",ISNUMBER(AK21),AL21="sí"),0,TASA_DGT)</f>
        <v/>
      </c>
      <c r="CC21" s="3">
        <f>INFORME_DGT</f>
        <v/>
      </c>
      <c r="CD21" s="4">
        <f>O21+CA21+BZ21+CB21+CC21</f>
        <v/>
      </c>
      <c r="CE21" s="4">
        <f>CD21+N(BS21)</f>
        <v/>
      </c>
      <c r="CF21" s="3">
        <f>IF(CD21&lt;=TOTAL_MAX,"sí","no")</f>
        <v/>
      </c>
      <c r="CG21" s="4">
        <f>IF(CF21="sí",COUNTIFS($CF$2:$CF$91,"sí",$BX$2:$BX$91,"&gt;"&amp;BX21)+COUNTIFS($CF$2:CF21,"sí",$BX$2:BX21,BX21),"")</f>
        <v/>
      </c>
    </row>
    <row r="22">
      <c r="A22" s="2" t="inlineStr">
        <is>
          <t>wallapop:1310485042</t>
        </is>
      </c>
      <c r="B22" s="2" t="inlineStr">
        <is>
          <t>wallapop</t>
        </is>
      </c>
      <c r="C22" s="2" t="inlineStr">
        <is>
          <t>https://es.wallapop.com/item/dacia-sandero-2009-1310485042</t>
        </is>
      </c>
      <c r="D22" s="2" t="inlineStr">
        <is>
          <t>Dacia Sandero 2009</t>
        </is>
      </c>
      <c r="E22" s="2" t="inlineStr">
        <is>
          <t>Dacia</t>
        </is>
      </c>
      <c r="F22" s="2" t="inlineStr">
        <is>
          <t>Dacia Sandero</t>
        </is>
      </c>
      <c r="G22" s="2" t="inlineStr">
        <is>
          <t>1.4</t>
        </is>
      </c>
      <c r="H22" s="2" t="inlineStr">
        <is>
          <t>1.4 75 Base 5p</t>
        </is>
      </c>
      <c r="I22" s="2" t="n"/>
      <c r="J22" s="2" t="n">
        <v>75</v>
      </c>
      <c r="K22" s="2" t="inlineStr">
        <is>
          <t>gasolina</t>
        </is>
      </c>
      <c r="L22" s="2" t="inlineStr">
        <is>
          <t>utilitario</t>
        </is>
      </c>
      <c r="M22" s="2" t="n">
        <v>2009</v>
      </c>
      <c r="N22" s="2" t="n">
        <v>183000</v>
      </c>
      <c r="O22" s="2" t="n">
        <v>3800</v>
      </c>
      <c r="P22" s="2" t="inlineStr">
        <is>
          <t>manual</t>
        </is>
      </c>
      <c r="Q22" s="2" t="inlineStr">
        <is>
          <t>no</t>
        </is>
      </c>
      <c r="R22" s="2" t="inlineStr">
        <is>
          <t>particular</t>
        </is>
      </c>
      <c r="S22" s="2" t="inlineStr">
        <is>
          <t>Valencia (46014)</t>
        </is>
      </c>
      <c r="T22" s="2" t="inlineStr">
        <is>
          <t>2026-10-07T18:41:29</t>
        </is>
      </c>
      <c r="U22" s="2" t="n">
        <v>10</v>
      </c>
      <c r="V22" s="2" t="n"/>
      <c r="W22" s="2" t="n"/>
      <c r="X22" s="2" t="n"/>
      <c r="Y22" s="2" t="n"/>
      <c r="Z22" s="2" t="n"/>
      <c r="AA22" s="2" t="n"/>
      <c r="AB22" s="2" t="n"/>
      <c r="AC22" s="2" t="n"/>
      <c r="AD22" s="2" t="n"/>
      <c r="AE22" s="2" t="n"/>
      <c r="AF22" s="2" t="n"/>
      <c r="AG22" s="2" t="n"/>
      <c r="AH22" s="2" t="n"/>
      <c r="AI22" s="2" t="n"/>
      <c r="AJ22" s="2" t="n"/>
      <c r="AK22" s="2" t="n"/>
      <c r="AL22" s="2" t="n"/>
      <c r="AM22" s="2" t="n">
        <v>2.8</v>
      </c>
      <c r="AN22" s="2" t="n"/>
      <c r="AO22" s="2" t="n"/>
      <c r="AP22" s="2" t="n"/>
      <c r="AQ22" s="2" t="n"/>
      <c r="AR22" s="2" t="inlineStr">
        <is>
          <t>cuota fija ITP: &gt;12 años, hasta 1.500 cc</t>
        </is>
      </c>
      <c r="AS22" s="2" t="inlineStr">
        <is>
          <t xml:space="preserve">Dacia sandero en muy buen estado se le cambio correa de distribución y bomba de agua embrague en buen estado aire funcionando la itv la tiene para marzo del próximo año coche en muy buena condiciones listo para usar discos y pastillas delanteras cambiadas </t>
        </is>
      </c>
      <c r="AT22" s="2" t="inlineStr">
        <is>
          <t>https://es.wallapop.com/item/dacia-sandero-2009-1310485042 (__NEXT_DATA__ item) /home/user/Alopecia/buscador-coches/raw/wallapop/33f6bc963392d242.json</t>
        </is>
      </c>
      <c r="AU22" s="3">
        <f>MAX(ANIO_ACTUAL-M22,0)</f>
        <v/>
      </c>
      <c r="AV22" s="4">
        <f>N22/MAX(AU22,0.5)</f>
        <v/>
      </c>
      <c r="AW22" s="4">
        <f>F22</f>
        <v/>
      </c>
      <c r="AX22" s="3">
        <f>AW22&amp;"|"&amp;INT(M22/SEG_ANIO)*SEG_ANIO</f>
        <v/>
      </c>
      <c r="AY22" s="3">
        <f>AX22&amp;"|"&amp;INT(N22/SEG_KM)*SEG_KM</f>
        <v/>
      </c>
      <c r="AZ22" s="4">
        <f>COUNTIF($AW$2:$AW$91,AW22)</f>
        <v/>
      </c>
      <c r="BA22" s="4">
        <f>COUNTIF($AX$2:$AX$91,AX22)</f>
        <v/>
      </c>
      <c r="BB22" s="4">
        <f>COUNTIF($AY$2:$AY$91,AY22)</f>
        <v/>
      </c>
      <c r="BC22" s="3">
        <f t="array" ref="BC22">IF(N(AO22)&gt;=MIN_N,AN22,IF(BB22&gt;=MIN_N,MEDIAN(IF($AY$2:$AY$91=AY22,$O$2:$O$91)),IF(BA22&gt;=MIN_N,MEDIAN(IF($AX$2:$AX$91=AX22,$O$2:$O$91)),MEDIAN(IF($AW$2:$AW$91=AW22,$O$2:$O$91)))))</f>
        <v/>
      </c>
      <c r="BD22" s="3">
        <f>IF(N(AO22)&gt;=MIN_N,"mercado "&amp;AP22,IF(BB22&gt;=MIN_N,"modelo+año+km",IF(BA22&gt;=MIN_N,"modelo+año","modelo")))</f>
        <v/>
      </c>
      <c r="BE22" s="4">
        <f>(BC22-O22)/BC22</f>
        <v/>
      </c>
      <c r="BF22" s="3">
        <f>IF(OR(K22="hibrido",K22="glp"),"ECO",IF(K22="electrico","CERO",IF(K22="gasolina",IF(M22&gt;=GAS_C,"C",IF(M22&gt;=GAS_B,"B","A")),IF(K22="diesel",IF(M22&gt;=DIE_C,"C",IF(M22&gt;=DIE_B,"B","A")),""))))</f>
        <v/>
      </c>
      <c r="BG22" s="3">
        <f>IFERROR(VLOOKUP(F22,MOD_TBL,11,0),IFERROR(VLOOKUP(E22,OCU_TBL,2,0),NEUTRO))</f>
        <v/>
      </c>
      <c r="BH22" s="3">
        <f>SUMIFS(MOT_AJUSTE,MOT_MOTOR,G22,MOT_MARCA,E22,MOT_DESDE,"&lt;="&amp;M22,MOT_HASTA,"&gt;="&amp;M22)+SUMIFS(MOT_AJUSTE,MOT_MOTOR,G22,MOT_MARCA,"(todas)",MOT_DESDE,"&lt;="&amp;M22,MOT_HASTA,"&gt;="&amp;M22)</f>
        <v/>
      </c>
      <c r="BI22" s="3">
        <f>SUMIFS(COMB_AJUSTE,COMB_COMB,K22)</f>
        <v/>
      </c>
      <c r="BJ22" s="4">
        <f>MAX(0,MIN(100,BG22+BH22+BI22))</f>
        <v/>
      </c>
      <c r="BK22" s="3">
        <f>MAX(0,MIN(100,50+BE22*PRECIO_PEND))</f>
        <v/>
      </c>
      <c r="BL22" s="3">
        <f>MAX(0,100*(1-N22/KM_MAX))</f>
        <v/>
      </c>
      <c r="BM22" s="3">
        <f>IF(AV22&lt;KMA_SOSP,IF(AA22="sí",100,KMA_PEN),IF(AV22&lt;=KMA_IDEAL_MAX,100,MAX(0,100*(KMA_CERO-AV22)/(KMA_CERO-KMA_IDEAL_MAX))))</f>
        <v/>
      </c>
      <c r="BN22" s="3">
        <f>MAX(0,MIN(100,100*(M22-ANIO_MIN)/(ANIO_ACTUAL-ANIO_MIN)))</f>
        <v/>
      </c>
      <c r="BO22" s="3">
        <f>W_KMT*BL22+W_KMA*BM22+W_EDAD*BN22</f>
        <v/>
      </c>
      <c r="BP22" s="3">
        <f>P_ITV*(V22="sí")+P_LIBRO*(W22="sí")+P_CORREA*(X22="sí")+P_PROP*(Y22=1)+P_GAR*(Z22="sí")+P_FOTOS*MIN(1,N(U22)/FOTOS_OBJ)</f>
        <v/>
      </c>
      <c r="BQ22" s="3">
        <f>IFERROR(VLOOKUP(BF22,ETQ_TBL,2,0),NEUTRO)</f>
        <v/>
      </c>
      <c r="BR22" s="3">
        <f>NEUTRO</f>
        <v/>
      </c>
      <c r="BS22" s="3">
        <f>IFERROR(VLOOKUP(L22,SEGURO_TBL,3,0),"")</f>
        <v/>
      </c>
      <c r="BT22" s="3">
        <f>IF(BS22="",NEUTRO,MAX(0,MIN(100,100*(SEG_REF_MAX-BS22)/(SEG_REF_MAX-SEG_REF_MIN))))</f>
        <v/>
      </c>
      <c r="BU22" s="3">
        <f>W_ET*BQ22+W_CONS*BR22+W_SEG*BT22</f>
        <v/>
      </c>
      <c r="BV22" s="3">
        <f>IF(N(AB22)&gt;0,AB22,IF(AND(R22="profesional",SG_LEGAL_ON=1),GAR_LEGAL,0))</f>
        <v/>
      </c>
      <c r="BW22" s="3">
        <f>SG_GAR*MIN(1,BV22/SG_GAR_FULL)+SG_AMPL*(AC22="sí")+SG_KMC*(AF22="sí")+SG_REV*(N(AE22)&gt;0)+SG_DEV*MIN(1,N(AG22)/SG_DEV_FULL)+SG_HIST*(W22="sí")</f>
        <v/>
      </c>
      <c r="BX22" s="3">
        <f>W_FIAB*BJ22+W_PRECIO*BK22+W_KMEDAD*BO22+W_ANUNCIO*BP22+W_USO*BU22+W_SEGURIDAD*BW22</f>
        <v/>
      </c>
      <c r="BY22" s="4">
        <f>IF(N(I22)&gt;0,I22,IFERROR(ROUND(_xlfn.NUMBERVALUE(LEFT(G22,FIND(" ",G22&amp;" ")-1),".")*1000,0),99999))</f>
        <v/>
      </c>
      <c r="BZ22" s="3">
        <f>IF(R22="profesional",0,IF(O22&lt;CUOTA_VALOR_MAX,IF(AU22&gt;ITP_TRAMO_ALTO,SUMIFS(CF_CUOTA,CF_MAS,ITP_TRAMO_ALTO,CF_CCMIN,"&lt;="&amp;BY22,CF_CCMAX,"&gt;="&amp;BY22),IF(AU22&gt;ITP_TRAMO_BAJO,SUMIFS(CF_CUOTA,CF_MAS,ITP_TRAMO_BAJO,CF_CCMIN,"&lt;="&amp;BY22,CF_CCMAX,"&gt;="&amp;BY22),O22*ITP_TIPO)),O22*ITP_TIPO))</f>
        <v/>
      </c>
      <c r="CA22" s="4">
        <f>IF(R22="profesional",N(AK22),0)</f>
        <v/>
      </c>
      <c r="CB22" s="3">
        <f>IF(AND(R22="profesional",ISNUMBER(AK22),AL22="sí"),0,TASA_DGT)</f>
        <v/>
      </c>
      <c r="CC22" s="3">
        <f>INFORME_DGT</f>
        <v/>
      </c>
      <c r="CD22" s="4">
        <f>O22+CA22+BZ22+CB22+CC22</f>
        <v/>
      </c>
      <c r="CE22" s="4">
        <f>CD22+N(BS22)</f>
        <v/>
      </c>
      <c r="CF22" s="3">
        <f>IF(CD22&lt;=TOTAL_MAX,"sí","no")</f>
        <v/>
      </c>
      <c r="CG22" s="4">
        <f>IF(CF22="sí",COUNTIFS($CF$2:$CF$91,"sí",$BX$2:$BX$91,"&gt;"&amp;BX22)+COUNTIFS($CF$2:CF22,"sí",$BX$2:BX22,BX22),"")</f>
        <v/>
      </c>
    </row>
    <row r="23">
      <c r="A23" s="2" t="inlineStr">
        <is>
          <t>wallapop:1318790630</t>
        </is>
      </c>
      <c r="B23" s="2" t="inlineStr">
        <is>
          <t>wallapop</t>
        </is>
      </c>
      <c r="C23" s="2" t="inlineStr">
        <is>
          <t>https://es.wallapop.com/item/peugeot-207-2008-1318790630</t>
        </is>
      </c>
      <c r="D23" s="2" t="inlineStr">
        <is>
          <t>Peugeot 207 2008</t>
        </is>
      </c>
      <c r="E23" s="2" t="inlineStr">
        <is>
          <t>Peugeot</t>
        </is>
      </c>
      <c r="F23" s="2" t="inlineStr">
        <is>
          <t>Peugeot 207</t>
        </is>
      </c>
      <c r="G23" s="2" t="n"/>
      <c r="H23" s="2" t="n"/>
      <c r="I23" s="2" t="n"/>
      <c r="J23" s="2" t="n"/>
      <c r="K23" s="2" t="inlineStr">
        <is>
          <t>gasolina</t>
        </is>
      </c>
      <c r="L23" s="2" t="inlineStr">
        <is>
          <t>utilitario</t>
        </is>
      </c>
      <c r="M23" s="2" t="n">
        <v>2008</v>
      </c>
      <c r="N23" s="2" t="n">
        <v>107433</v>
      </c>
      <c r="O23" s="2" t="n">
        <v>3000</v>
      </c>
      <c r="P23" s="2" t="inlineStr">
        <is>
          <t>manual</t>
        </is>
      </c>
      <c r="Q23" s="2" t="inlineStr">
        <is>
          <t>no</t>
        </is>
      </c>
      <c r="R23" s="2" t="inlineStr">
        <is>
          <t>particular</t>
        </is>
      </c>
      <c r="S23" s="2" t="inlineStr">
        <is>
          <t>Valencia (46003)</t>
        </is>
      </c>
      <c r="T23" s="2" t="inlineStr">
        <is>
          <t>2026-10-31T06:34:24</t>
        </is>
      </c>
      <c r="U23" s="2" t="n">
        <v>1</v>
      </c>
      <c r="V23" s="2" t="inlineStr">
        <is>
          <t>sí</t>
        </is>
      </c>
      <c r="W23" s="2" t="n"/>
      <c r="X23" s="2" t="n"/>
      <c r="Y23" s="2" t="n"/>
      <c r="Z23" s="2" t="n"/>
      <c r="AA23" s="2" t="n"/>
      <c r="AB23" s="2" t="n"/>
      <c r="AC23" s="2" t="n"/>
      <c r="AD23" s="2" t="n"/>
      <c r="AE23" s="2" t="n"/>
      <c r="AF23" s="2" t="n"/>
      <c r="AG23" s="2" t="n"/>
      <c r="AH23" s="2" t="n"/>
      <c r="AI23" s="2" t="n"/>
      <c r="AJ23" s="2" t="n"/>
      <c r="AK23" s="2" t="n"/>
      <c r="AL23" s="2" t="n"/>
      <c r="AM23" s="2" t="n">
        <v>0.9</v>
      </c>
      <c r="AN23" s="2" t="n">
        <v>3500</v>
      </c>
      <c r="AO23" s="2" t="n">
        <v>28</v>
      </c>
      <c r="AP23" s="2" t="inlineStr">
        <is>
          <t>modelo+año+km</t>
        </is>
      </c>
      <c r="AQ23" s="2" t="n"/>
      <c r="AR23" s="2" t="inlineStr">
        <is>
          <t>cilindrada desconocida: se aplica el tramo de cuota fija más alto; cuota fija ITP: &gt;12 años, más de 2.000 cc; fiabilidad del modelo PENDIENTE de fuente (puntuación neutra)</t>
        </is>
      </c>
      <c r="AS23" s="2" t="inlineStr">
        <is>
          <t>Se vende coche por 3000€ con fallo en el cilindro 4 baja compresión. Embrague nuevo ,caja de cambios nueva, filtros recién cambiados y las 4 bobinas nuevas . ITV hasta mayo.</t>
        </is>
      </c>
      <c r="AT23" s="2" t="inlineStr">
        <is>
          <t>https://es.wallapop.com/item/peugeot-207-2008-1318790630 (__NEXT_DATA__ item) /home/user/Alopecia/buscador-coches/raw/wallapop/2849de789c65555b.json</t>
        </is>
      </c>
      <c r="AU23" s="3">
        <f>MAX(ANIO_ACTUAL-M23,0)</f>
        <v/>
      </c>
      <c r="AV23" s="4">
        <f>N23/MAX(AU23,0.5)</f>
        <v/>
      </c>
      <c r="AW23" s="4">
        <f>F23</f>
        <v/>
      </c>
      <c r="AX23" s="3">
        <f>AW23&amp;"|"&amp;INT(M23/SEG_ANIO)*SEG_ANIO</f>
        <v/>
      </c>
      <c r="AY23" s="3">
        <f>AX23&amp;"|"&amp;INT(N23/SEG_KM)*SEG_KM</f>
        <v/>
      </c>
      <c r="AZ23" s="4">
        <f>COUNTIF($AW$2:$AW$91,AW23)</f>
        <v/>
      </c>
      <c r="BA23" s="4">
        <f>COUNTIF($AX$2:$AX$91,AX23)</f>
        <v/>
      </c>
      <c r="BB23" s="4">
        <f>COUNTIF($AY$2:$AY$91,AY23)</f>
        <v/>
      </c>
      <c r="BC23" s="3">
        <f t="array" ref="BC23">IF(N(AO23)&gt;=MIN_N,AN23,IF(BB23&gt;=MIN_N,MEDIAN(IF($AY$2:$AY$91=AY23,$O$2:$O$91)),IF(BA23&gt;=MIN_N,MEDIAN(IF($AX$2:$AX$91=AX23,$O$2:$O$91)),MEDIAN(IF($AW$2:$AW$91=AW23,$O$2:$O$91)))))</f>
        <v/>
      </c>
      <c r="BD23" s="3">
        <f>IF(N(AO23)&gt;=MIN_N,"mercado "&amp;AP23,IF(BB23&gt;=MIN_N,"modelo+año+km",IF(BA23&gt;=MIN_N,"modelo+año","modelo")))</f>
        <v/>
      </c>
      <c r="BE23" s="4">
        <f>(BC23-O23)/BC23</f>
        <v/>
      </c>
      <c r="BF23" s="3">
        <f>IF(OR(K23="hibrido",K23="glp"),"ECO",IF(K23="electrico","CERO",IF(K23="gasolina",IF(M23&gt;=GAS_C,"C",IF(M23&gt;=GAS_B,"B","A")),IF(K23="diesel",IF(M23&gt;=DIE_C,"C",IF(M23&gt;=DIE_B,"B","A")),""))))</f>
        <v/>
      </c>
      <c r="BG23" s="3">
        <f>IFERROR(VLOOKUP(F23,MOD_TBL,11,0),IFERROR(VLOOKUP(E23,OCU_TBL,2,0),NEUTRO))</f>
        <v/>
      </c>
      <c r="BH23" s="3">
        <f>SUMIFS(MOT_AJUSTE,MOT_MOTOR,G23,MOT_MARCA,E23,MOT_DESDE,"&lt;="&amp;M23,MOT_HASTA,"&gt;="&amp;M23)+SUMIFS(MOT_AJUSTE,MOT_MOTOR,G23,MOT_MARCA,"(todas)",MOT_DESDE,"&lt;="&amp;M23,MOT_HASTA,"&gt;="&amp;M23)</f>
        <v/>
      </c>
      <c r="BI23" s="3">
        <f>SUMIFS(COMB_AJUSTE,COMB_COMB,K23)</f>
        <v/>
      </c>
      <c r="BJ23" s="4">
        <f>MAX(0,MIN(100,BG23+BH23+BI23))</f>
        <v/>
      </c>
      <c r="BK23" s="3">
        <f>MAX(0,MIN(100,50+BE23*PRECIO_PEND))</f>
        <v/>
      </c>
      <c r="BL23" s="3">
        <f>MAX(0,100*(1-N23/KM_MAX))</f>
        <v/>
      </c>
      <c r="BM23" s="3">
        <f>IF(AV23&lt;KMA_SOSP,IF(AA23="sí",100,KMA_PEN),IF(AV23&lt;=KMA_IDEAL_MAX,100,MAX(0,100*(KMA_CERO-AV23)/(KMA_CERO-KMA_IDEAL_MAX))))</f>
        <v/>
      </c>
      <c r="BN23" s="3">
        <f>MAX(0,MIN(100,100*(M23-ANIO_MIN)/(ANIO_ACTUAL-ANIO_MIN)))</f>
        <v/>
      </c>
      <c r="BO23" s="3">
        <f>W_KMT*BL23+W_KMA*BM23+W_EDAD*BN23</f>
        <v/>
      </c>
      <c r="BP23" s="3">
        <f>P_ITV*(V23="sí")+P_LIBRO*(W23="sí")+P_CORREA*(X23="sí")+P_PROP*(Y23=1)+P_GAR*(Z23="sí")+P_FOTOS*MIN(1,N(U23)/FOTOS_OBJ)</f>
        <v/>
      </c>
      <c r="BQ23" s="3">
        <f>IFERROR(VLOOKUP(BF23,ETQ_TBL,2,0),NEUTRO)</f>
        <v/>
      </c>
      <c r="BR23" s="3">
        <f>NEUTRO</f>
        <v/>
      </c>
      <c r="BS23" s="3">
        <f>IFERROR(VLOOKUP(L23,SEGURO_TBL,3,0),"")</f>
        <v/>
      </c>
      <c r="BT23" s="3">
        <f>IF(BS23="",NEUTRO,MAX(0,MIN(100,100*(SEG_REF_MAX-BS23)/(SEG_REF_MAX-SEG_REF_MIN))))</f>
        <v/>
      </c>
      <c r="BU23" s="3">
        <f>W_ET*BQ23+W_CONS*BR23+W_SEG*BT23</f>
        <v/>
      </c>
      <c r="BV23" s="3">
        <f>IF(N(AB23)&gt;0,AB23,IF(AND(R23="profesional",SG_LEGAL_ON=1),GAR_LEGAL,0))</f>
        <v/>
      </c>
      <c r="BW23" s="3">
        <f>SG_GAR*MIN(1,BV23/SG_GAR_FULL)+SG_AMPL*(AC23="sí")+SG_KMC*(AF23="sí")+SG_REV*(N(AE23)&gt;0)+SG_DEV*MIN(1,N(AG23)/SG_DEV_FULL)+SG_HIST*(W23="sí")</f>
        <v/>
      </c>
      <c r="BX23" s="3">
        <f>W_FIAB*BJ23+W_PRECIO*BK23+W_KMEDAD*BO23+W_ANUNCIO*BP23+W_USO*BU23+W_SEGURIDAD*BW23</f>
        <v/>
      </c>
      <c r="BY23" s="4">
        <f>IF(N(I23)&gt;0,I23,IFERROR(ROUND(_xlfn.NUMBERVALUE(LEFT(G23,FIND(" ",G23&amp;" ")-1),".")*1000,0),99999))</f>
        <v/>
      </c>
      <c r="BZ23" s="3">
        <f>IF(R23="profesional",0,IF(O23&lt;CUOTA_VALOR_MAX,IF(AU23&gt;ITP_TRAMO_ALTO,SUMIFS(CF_CUOTA,CF_MAS,ITP_TRAMO_ALTO,CF_CCMIN,"&lt;="&amp;BY23,CF_CCMAX,"&gt;="&amp;BY23),IF(AU23&gt;ITP_TRAMO_BAJO,SUMIFS(CF_CUOTA,CF_MAS,ITP_TRAMO_BAJO,CF_CCMIN,"&lt;="&amp;BY23,CF_CCMAX,"&gt;="&amp;BY23),O23*ITP_TIPO)),O23*ITP_TIPO))</f>
        <v/>
      </c>
      <c r="CA23" s="4">
        <f>IF(R23="profesional",N(AK23),0)</f>
        <v/>
      </c>
      <c r="CB23" s="3">
        <f>IF(AND(R23="profesional",ISNUMBER(AK23),AL23="sí"),0,TASA_DGT)</f>
        <v/>
      </c>
      <c r="CC23" s="3">
        <f>INFORME_DGT</f>
        <v/>
      </c>
      <c r="CD23" s="4">
        <f>O23+CA23+BZ23+CB23+CC23</f>
        <v/>
      </c>
      <c r="CE23" s="4">
        <f>CD23+N(BS23)</f>
        <v/>
      </c>
      <c r="CF23" s="3">
        <f>IF(CD23&lt;=TOTAL_MAX,"sí","no")</f>
        <v/>
      </c>
      <c r="CG23" s="4">
        <f>IF(CF23="sí",COUNTIFS($CF$2:$CF$91,"sí",$BX$2:$BX$91,"&gt;"&amp;BX23)+COUNTIFS($CF$2:CF23,"sí",$BX$2:BX23,BX23),"")</f>
        <v/>
      </c>
    </row>
    <row r="24">
      <c r="A24" s="2" t="inlineStr">
        <is>
          <t>wallapop:1309416714</t>
        </is>
      </c>
      <c r="B24" s="2" t="inlineStr">
        <is>
          <t>wallapop</t>
        </is>
      </c>
      <c r="C24" s="2" t="inlineStr">
        <is>
          <t>https://es.wallapop.com/item/peugeot-207-2012-1309416714</t>
        </is>
      </c>
      <c r="D24" s="2" t="inlineStr">
        <is>
          <t>Peugeot 207 2012 pocos KM</t>
        </is>
      </c>
      <c r="E24" s="2" t="inlineStr">
        <is>
          <t>Peugeot</t>
        </is>
      </c>
      <c r="F24" s="2" t="inlineStr">
        <is>
          <t>Peugeot 207</t>
        </is>
      </c>
      <c r="G24" s="2" t="inlineStr">
        <is>
          <t>1.4</t>
        </is>
      </c>
      <c r="H24" s="2" t="inlineStr">
        <is>
          <t>1.4i 75 Access 5p AM80</t>
        </is>
      </c>
      <c r="I24" s="2" t="n"/>
      <c r="J24" s="2" t="n">
        <v>75</v>
      </c>
      <c r="K24" s="2" t="inlineStr">
        <is>
          <t>gasolina</t>
        </is>
      </c>
      <c r="L24" s="2" t="inlineStr">
        <is>
          <t>utilitario</t>
        </is>
      </c>
      <c r="M24" s="2" t="n">
        <v>2012</v>
      </c>
      <c r="N24" s="2" t="n">
        <v>145000</v>
      </c>
      <c r="O24" s="2" t="n">
        <v>4200</v>
      </c>
      <c r="P24" s="2" t="inlineStr">
        <is>
          <t>manual</t>
        </is>
      </c>
      <c r="Q24" s="2" t="inlineStr">
        <is>
          <t>no</t>
        </is>
      </c>
      <c r="R24" s="2" t="inlineStr">
        <is>
          <t>particular</t>
        </is>
      </c>
      <c r="S24" s="2" t="inlineStr">
        <is>
          <t>Valencia (46002)</t>
        </is>
      </c>
      <c r="T24" s="2" t="inlineStr">
        <is>
          <t>2026-10-26T10:28:41</t>
        </is>
      </c>
      <c r="U24" s="2" t="n">
        <v>7</v>
      </c>
      <c r="V24" s="2" t="inlineStr">
        <is>
          <t>sí</t>
        </is>
      </c>
      <c r="W24" s="2" t="n"/>
      <c r="X24" s="2" t="inlineStr">
        <is>
          <t>sí</t>
        </is>
      </c>
      <c r="Y24" s="2" t="n"/>
      <c r="Z24" s="2" t="n"/>
      <c r="AA24" s="2" t="n"/>
      <c r="AB24" s="2" t="n"/>
      <c r="AC24" s="2" t="n"/>
      <c r="AD24" s="2" t="n"/>
      <c r="AE24" s="2" t="n"/>
      <c r="AF24" s="2" t="n"/>
      <c r="AG24" s="2" t="n"/>
      <c r="AH24" s="2" t="n"/>
      <c r="AI24" s="2" t="n"/>
      <c r="AJ24" s="2" t="n"/>
      <c r="AK24" s="2" t="n"/>
      <c r="AL24" s="2" t="n"/>
      <c r="AM24" s="2" t="n">
        <v>0</v>
      </c>
      <c r="AN24" s="2" t="n">
        <v>4000</v>
      </c>
      <c r="AO24" s="2" t="n">
        <v>12</v>
      </c>
      <c r="AP24" s="2" t="inlineStr">
        <is>
          <t>modelo+año+km</t>
        </is>
      </c>
      <c r="AQ24" s="2" t="n"/>
      <c r="AR24" s="2" t="inlineStr">
        <is>
          <t>cuota fija ITP: &gt;12 años, hasta 1.500 cc; fiabilidad del modelo PENDIENTE de fuente (puntuación neutra)</t>
        </is>
      </c>
      <c r="AS24" s="2" t="inlineStr">
        <is>
          <t>Se vende Peugeot 207 del año 2012 y con tan solo 145.000 km. Motor 1.4i  poco consumo.
Distribución cambiada.
El coche esta cuidado y va fino.
Itv hasta junio 27.
Revisión de aceite y filtros reciente.
2 llaves.
Se puede ver y probar</t>
        </is>
      </c>
      <c r="AT24" s="2" t="inlineStr">
        <is>
          <t>https://es.wallapop.com/item/peugeot-207-2012-1309416714 (__NEXT_DATA__ item) /home/user/Alopecia/buscador-coches/raw/wallapop/65f9534ea3b1df77.json</t>
        </is>
      </c>
      <c r="AU24" s="3">
        <f>MAX(ANIO_ACTUAL-M24,0)</f>
        <v/>
      </c>
      <c r="AV24" s="4">
        <f>N24/MAX(AU24,0.5)</f>
        <v/>
      </c>
      <c r="AW24" s="4">
        <f>F24</f>
        <v/>
      </c>
      <c r="AX24" s="3">
        <f>AW24&amp;"|"&amp;INT(M24/SEG_ANIO)*SEG_ANIO</f>
        <v/>
      </c>
      <c r="AY24" s="3">
        <f>AX24&amp;"|"&amp;INT(N24/SEG_KM)*SEG_KM</f>
        <v/>
      </c>
      <c r="AZ24" s="4">
        <f>COUNTIF($AW$2:$AW$91,AW24)</f>
        <v/>
      </c>
      <c r="BA24" s="4">
        <f>COUNTIF($AX$2:$AX$91,AX24)</f>
        <v/>
      </c>
      <c r="BB24" s="4">
        <f>COUNTIF($AY$2:$AY$91,AY24)</f>
        <v/>
      </c>
      <c r="BC24" s="3">
        <f t="array" ref="BC24">IF(N(AO24)&gt;=MIN_N,AN24,IF(BB24&gt;=MIN_N,MEDIAN(IF($AY$2:$AY$91=AY24,$O$2:$O$91)),IF(BA24&gt;=MIN_N,MEDIAN(IF($AX$2:$AX$91=AX24,$O$2:$O$91)),MEDIAN(IF($AW$2:$AW$91=AW24,$O$2:$O$91)))))</f>
        <v/>
      </c>
      <c r="BD24" s="3">
        <f>IF(N(AO24)&gt;=MIN_N,"mercado "&amp;AP24,IF(BB24&gt;=MIN_N,"modelo+año+km",IF(BA24&gt;=MIN_N,"modelo+año","modelo")))</f>
        <v/>
      </c>
      <c r="BE24" s="4">
        <f>(BC24-O24)/BC24</f>
        <v/>
      </c>
      <c r="BF24" s="3">
        <f>IF(OR(K24="hibrido",K24="glp"),"ECO",IF(K24="electrico","CERO",IF(K24="gasolina",IF(M24&gt;=GAS_C,"C",IF(M24&gt;=GAS_B,"B","A")),IF(K24="diesel",IF(M24&gt;=DIE_C,"C",IF(M24&gt;=DIE_B,"B","A")),""))))</f>
        <v/>
      </c>
      <c r="BG24" s="3">
        <f>IFERROR(VLOOKUP(F24,MOD_TBL,11,0),IFERROR(VLOOKUP(E24,OCU_TBL,2,0),NEUTRO))</f>
        <v/>
      </c>
      <c r="BH24" s="3">
        <f>SUMIFS(MOT_AJUSTE,MOT_MOTOR,G24,MOT_MARCA,E24,MOT_DESDE,"&lt;="&amp;M24,MOT_HASTA,"&gt;="&amp;M24)+SUMIFS(MOT_AJUSTE,MOT_MOTOR,G24,MOT_MARCA,"(todas)",MOT_DESDE,"&lt;="&amp;M24,MOT_HASTA,"&gt;="&amp;M24)</f>
        <v/>
      </c>
      <c r="BI24" s="3">
        <f>SUMIFS(COMB_AJUSTE,COMB_COMB,K24)</f>
        <v/>
      </c>
      <c r="BJ24" s="4">
        <f>MAX(0,MIN(100,BG24+BH24+BI24))</f>
        <v/>
      </c>
      <c r="BK24" s="3">
        <f>MAX(0,MIN(100,50+BE24*PRECIO_PEND))</f>
        <v/>
      </c>
      <c r="BL24" s="3">
        <f>MAX(0,100*(1-N24/KM_MAX))</f>
        <v/>
      </c>
      <c r="BM24" s="3">
        <f>IF(AV24&lt;KMA_SOSP,IF(AA24="sí",100,KMA_PEN),IF(AV24&lt;=KMA_IDEAL_MAX,100,MAX(0,100*(KMA_CERO-AV24)/(KMA_CERO-KMA_IDEAL_MAX))))</f>
        <v/>
      </c>
      <c r="BN24" s="3">
        <f>MAX(0,MIN(100,100*(M24-ANIO_MIN)/(ANIO_ACTUAL-ANIO_MIN)))</f>
        <v/>
      </c>
      <c r="BO24" s="3">
        <f>W_KMT*BL24+W_KMA*BM24+W_EDAD*BN24</f>
        <v/>
      </c>
      <c r="BP24" s="3">
        <f>P_ITV*(V24="sí")+P_LIBRO*(W24="sí")+P_CORREA*(X24="sí")+P_PROP*(Y24=1)+P_GAR*(Z24="sí")+P_FOTOS*MIN(1,N(U24)/FOTOS_OBJ)</f>
        <v/>
      </c>
      <c r="BQ24" s="3">
        <f>IFERROR(VLOOKUP(BF24,ETQ_TBL,2,0),NEUTRO)</f>
        <v/>
      </c>
      <c r="BR24" s="3">
        <f>NEUTRO</f>
        <v/>
      </c>
      <c r="BS24" s="3">
        <f>IFERROR(VLOOKUP(L24,SEGURO_TBL,3,0),"")</f>
        <v/>
      </c>
      <c r="BT24" s="3">
        <f>IF(BS24="",NEUTRO,MAX(0,MIN(100,100*(SEG_REF_MAX-BS24)/(SEG_REF_MAX-SEG_REF_MIN))))</f>
        <v/>
      </c>
      <c r="BU24" s="3">
        <f>W_ET*BQ24+W_CONS*BR24+W_SEG*BT24</f>
        <v/>
      </c>
      <c r="BV24" s="3">
        <f>IF(N(AB24)&gt;0,AB24,IF(AND(R24="profesional",SG_LEGAL_ON=1),GAR_LEGAL,0))</f>
        <v/>
      </c>
      <c r="BW24" s="3">
        <f>SG_GAR*MIN(1,BV24/SG_GAR_FULL)+SG_AMPL*(AC24="sí")+SG_KMC*(AF24="sí")+SG_REV*(N(AE24)&gt;0)+SG_DEV*MIN(1,N(AG24)/SG_DEV_FULL)+SG_HIST*(W24="sí")</f>
        <v/>
      </c>
      <c r="BX24" s="3">
        <f>W_FIAB*BJ24+W_PRECIO*BK24+W_KMEDAD*BO24+W_ANUNCIO*BP24+W_USO*BU24+W_SEGURIDAD*BW24</f>
        <v/>
      </c>
      <c r="BY24" s="4">
        <f>IF(N(I24)&gt;0,I24,IFERROR(ROUND(_xlfn.NUMBERVALUE(LEFT(G24,FIND(" ",G24&amp;" ")-1),".")*1000,0),99999))</f>
        <v/>
      </c>
      <c r="BZ24" s="3">
        <f>IF(R24="profesional",0,IF(O24&lt;CUOTA_VALOR_MAX,IF(AU24&gt;ITP_TRAMO_ALTO,SUMIFS(CF_CUOTA,CF_MAS,ITP_TRAMO_ALTO,CF_CCMIN,"&lt;="&amp;BY24,CF_CCMAX,"&gt;="&amp;BY24),IF(AU24&gt;ITP_TRAMO_BAJO,SUMIFS(CF_CUOTA,CF_MAS,ITP_TRAMO_BAJO,CF_CCMIN,"&lt;="&amp;BY24,CF_CCMAX,"&gt;="&amp;BY24),O24*ITP_TIPO)),O24*ITP_TIPO))</f>
        <v/>
      </c>
      <c r="CA24" s="4">
        <f>IF(R24="profesional",N(AK24),0)</f>
        <v/>
      </c>
      <c r="CB24" s="3">
        <f>IF(AND(R24="profesional",ISNUMBER(AK24),AL24="sí"),0,TASA_DGT)</f>
        <v/>
      </c>
      <c r="CC24" s="3">
        <f>INFORME_DGT</f>
        <v/>
      </c>
      <c r="CD24" s="4">
        <f>O24+CA24+BZ24+CB24+CC24</f>
        <v/>
      </c>
      <c r="CE24" s="4">
        <f>CD24+N(BS24)</f>
        <v/>
      </c>
      <c r="CF24" s="3">
        <f>IF(CD24&lt;=TOTAL_MAX,"sí","no")</f>
        <v/>
      </c>
      <c r="CG24" s="4">
        <f>IF(CF24="sí",COUNTIFS($CF$2:$CF$91,"sí",$BX$2:$BX$91,"&gt;"&amp;BX24)+COUNTIFS($CF$2:CF24,"sí",$BX$2:BX24,BX24),"")</f>
        <v/>
      </c>
    </row>
    <row r="25">
      <c r="A25" s="2" t="inlineStr">
        <is>
          <t>wallapop:1295140251</t>
        </is>
      </c>
      <c r="B25" s="2" t="inlineStr">
        <is>
          <t>wallapop</t>
        </is>
      </c>
      <c r="C25" s="2" t="inlineStr">
        <is>
          <t>https://es.wallapop.com/item/peugeot-207-2010-1295140251</t>
        </is>
      </c>
      <c r="D25" s="2" t="inlineStr">
        <is>
          <t>Peugeot 207 2010</t>
        </is>
      </c>
      <c r="E25" s="2" t="inlineStr">
        <is>
          <t>Peugeot</t>
        </is>
      </c>
      <c r="F25" s="2" t="inlineStr">
        <is>
          <t>Peugeot 207</t>
        </is>
      </c>
      <c r="G25" s="2" t="inlineStr">
        <is>
          <t>1.4 VTi</t>
        </is>
      </c>
      <c r="H25" s="2" t="inlineStr">
        <is>
          <t>1.4 VTi 95 Confort 5p AM70</t>
        </is>
      </c>
      <c r="I25" s="2" t="n"/>
      <c r="J25" s="2" t="n">
        <v>95</v>
      </c>
      <c r="K25" s="2" t="inlineStr">
        <is>
          <t>gasolina</t>
        </is>
      </c>
      <c r="L25" s="2" t="inlineStr">
        <is>
          <t>utilitario</t>
        </is>
      </c>
      <c r="M25" s="2" t="n">
        <v>2010</v>
      </c>
      <c r="N25" s="2" t="n">
        <v>140000</v>
      </c>
      <c r="O25" s="2" t="n">
        <v>3200</v>
      </c>
      <c r="P25" s="2" t="inlineStr">
        <is>
          <t>manual</t>
        </is>
      </c>
      <c r="Q25" s="2" t="inlineStr">
        <is>
          <t>no</t>
        </is>
      </c>
      <c r="R25" s="2" t="inlineStr">
        <is>
          <t>particular</t>
        </is>
      </c>
      <c r="S25" s="2" t="inlineStr">
        <is>
          <t>Valencia (46002)</t>
        </is>
      </c>
      <c r="T25" s="2" t="inlineStr">
        <is>
          <t>2026-09-24T08:57:29</t>
        </is>
      </c>
      <c r="U25" s="2" t="n">
        <v>5</v>
      </c>
      <c r="V25" s="2" t="n"/>
      <c r="W25" s="2" t="n"/>
      <c r="X25" s="2" t="n"/>
      <c r="Y25" s="2" t="n"/>
      <c r="Z25" s="2" t="n"/>
      <c r="AA25" s="2" t="n"/>
      <c r="AB25" s="2" t="n"/>
      <c r="AC25" s="2" t="n"/>
      <c r="AD25" s="2" t="n"/>
      <c r="AE25" s="2" t="n"/>
      <c r="AF25" s="2" t="n"/>
      <c r="AG25" s="2" t="n"/>
      <c r="AH25" s="2" t="n"/>
      <c r="AI25" s="2" t="n"/>
      <c r="AJ25" s="2" t="n"/>
      <c r="AK25" s="2" t="n"/>
      <c r="AL25" s="2" t="n"/>
      <c r="AM25" s="2" t="n">
        <v>0.5</v>
      </c>
      <c r="AN25" s="2" t="n">
        <v>4000</v>
      </c>
      <c r="AO25" s="2" t="n">
        <v>12</v>
      </c>
      <c r="AP25" s="2" t="inlineStr">
        <is>
          <t>modelo+año+km</t>
        </is>
      </c>
      <c r="AQ25" s="2" t="n"/>
      <c r="AR25" s="2" t="inlineStr">
        <is>
          <t>cuota fija ITP: &gt;12 años, hasta 1.500 cc; fiabilidad del modelo PENDIENTE de fuente (puntuación neutra)</t>
        </is>
      </c>
      <c r="AS25" s="2" t="inlineStr">
        <is>
          <t xml:space="preserve">Se le acaba de hacer distribución, aceite y filtros, bujías, junta de culata nueva, válvulas nuevas, 
Lo probáis y sacáis conclusión.  </t>
        </is>
      </c>
      <c r="AT25" s="2" t="inlineStr">
        <is>
          <t>https://es.wallapop.com/item/peugeot-207-2010-1295140251 (__NEXT_DATA__ item) /home/user/Alopecia/buscador-coches/raw/wallapop/4e14ec4c538561fc.json</t>
        </is>
      </c>
      <c r="AU25" s="3">
        <f>MAX(ANIO_ACTUAL-M25,0)</f>
        <v/>
      </c>
      <c r="AV25" s="4">
        <f>N25/MAX(AU25,0.5)</f>
        <v/>
      </c>
      <c r="AW25" s="4">
        <f>F25</f>
        <v/>
      </c>
      <c r="AX25" s="3">
        <f>AW25&amp;"|"&amp;INT(M25/SEG_ANIO)*SEG_ANIO</f>
        <v/>
      </c>
      <c r="AY25" s="3">
        <f>AX25&amp;"|"&amp;INT(N25/SEG_KM)*SEG_KM</f>
        <v/>
      </c>
      <c r="AZ25" s="4">
        <f>COUNTIF($AW$2:$AW$91,AW25)</f>
        <v/>
      </c>
      <c r="BA25" s="4">
        <f>COUNTIF($AX$2:$AX$91,AX25)</f>
        <v/>
      </c>
      <c r="BB25" s="4">
        <f>COUNTIF($AY$2:$AY$91,AY25)</f>
        <v/>
      </c>
      <c r="BC25" s="3">
        <f t="array" ref="BC25">IF(N(AO25)&gt;=MIN_N,AN25,IF(BB25&gt;=MIN_N,MEDIAN(IF($AY$2:$AY$91=AY25,$O$2:$O$91)),IF(BA25&gt;=MIN_N,MEDIAN(IF($AX$2:$AX$91=AX25,$O$2:$O$91)),MEDIAN(IF($AW$2:$AW$91=AW25,$O$2:$O$91)))))</f>
        <v/>
      </c>
      <c r="BD25" s="3">
        <f>IF(N(AO25)&gt;=MIN_N,"mercado "&amp;AP25,IF(BB25&gt;=MIN_N,"modelo+año+km",IF(BA25&gt;=MIN_N,"modelo+año","modelo")))</f>
        <v/>
      </c>
      <c r="BE25" s="4">
        <f>(BC25-O25)/BC25</f>
        <v/>
      </c>
      <c r="BF25" s="3">
        <f>IF(OR(K25="hibrido",K25="glp"),"ECO",IF(K25="electrico","CERO",IF(K25="gasolina",IF(M25&gt;=GAS_C,"C",IF(M25&gt;=GAS_B,"B","A")),IF(K25="diesel",IF(M25&gt;=DIE_C,"C",IF(M25&gt;=DIE_B,"B","A")),""))))</f>
        <v/>
      </c>
      <c r="BG25" s="3">
        <f>IFERROR(VLOOKUP(F25,MOD_TBL,11,0),IFERROR(VLOOKUP(E25,OCU_TBL,2,0),NEUTRO))</f>
        <v/>
      </c>
      <c r="BH25" s="3">
        <f>SUMIFS(MOT_AJUSTE,MOT_MOTOR,G25,MOT_MARCA,E25,MOT_DESDE,"&lt;="&amp;M25,MOT_HASTA,"&gt;="&amp;M25)+SUMIFS(MOT_AJUSTE,MOT_MOTOR,G25,MOT_MARCA,"(todas)",MOT_DESDE,"&lt;="&amp;M25,MOT_HASTA,"&gt;="&amp;M25)</f>
        <v/>
      </c>
      <c r="BI25" s="3">
        <f>SUMIFS(COMB_AJUSTE,COMB_COMB,K25)</f>
        <v/>
      </c>
      <c r="BJ25" s="4">
        <f>MAX(0,MIN(100,BG25+BH25+BI25))</f>
        <v/>
      </c>
      <c r="BK25" s="3">
        <f>MAX(0,MIN(100,50+BE25*PRECIO_PEND))</f>
        <v/>
      </c>
      <c r="BL25" s="3">
        <f>MAX(0,100*(1-N25/KM_MAX))</f>
        <v/>
      </c>
      <c r="BM25" s="3">
        <f>IF(AV25&lt;KMA_SOSP,IF(AA25="sí",100,KMA_PEN),IF(AV25&lt;=KMA_IDEAL_MAX,100,MAX(0,100*(KMA_CERO-AV25)/(KMA_CERO-KMA_IDEAL_MAX))))</f>
        <v/>
      </c>
      <c r="BN25" s="3">
        <f>MAX(0,MIN(100,100*(M25-ANIO_MIN)/(ANIO_ACTUAL-ANIO_MIN)))</f>
        <v/>
      </c>
      <c r="BO25" s="3">
        <f>W_KMT*BL25+W_KMA*BM25+W_EDAD*BN25</f>
        <v/>
      </c>
      <c r="BP25" s="3">
        <f>P_ITV*(V25="sí")+P_LIBRO*(W25="sí")+P_CORREA*(X25="sí")+P_PROP*(Y25=1)+P_GAR*(Z25="sí")+P_FOTOS*MIN(1,N(U25)/FOTOS_OBJ)</f>
        <v/>
      </c>
      <c r="BQ25" s="3">
        <f>IFERROR(VLOOKUP(BF25,ETQ_TBL,2,0),NEUTRO)</f>
        <v/>
      </c>
      <c r="BR25" s="3">
        <f>NEUTRO</f>
        <v/>
      </c>
      <c r="BS25" s="3">
        <f>IFERROR(VLOOKUP(L25,SEGURO_TBL,3,0),"")</f>
        <v/>
      </c>
      <c r="BT25" s="3">
        <f>IF(BS25="",NEUTRO,MAX(0,MIN(100,100*(SEG_REF_MAX-BS25)/(SEG_REF_MAX-SEG_REF_MIN))))</f>
        <v/>
      </c>
      <c r="BU25" s="3">
        <f>W_ET*BQ25+W_CONS*BR25+W_SEG*BT25</f>
        <v/>
      </c>
      <c r="BV25" s="3">
        <f>IF(N(AB25)&gt;0,AB25,IF(AND(R25="profesional",SG_LEGAL_ON=1),GAR_LEGAL,0))</f>
        <v/>
      </c>
      <c r="BW25" s="3">
        <f>SG_GAR*MIN(1,BV25/SG_GAR_FULL)+SG_AMPL*(AC25="sí")+SG_KMC*(AF25="sí")+SG_REV*(N(AE25)&gt;0)+SG_DEV*MIN(1,N(AG25)/SG_DEV_FULL)+SG_HIST*(W25="sí")</f>
        <v/>
      </c>
      <c r="BX25" s="3">
        <f>W_FIAB*BJ25+W_PRECIO*BK25+W_KMEDAD*BO25+W_ANUNCIO*BP25+W_USO*BU25+W_SEGURIDAD*BW25</f>
        <v/>
      </c>
      <c r="BY25" s="4">
        <f>IF(N(I25)&gt;0,I25,IFERROR(ROUND(_xlfn.NUMBERVALUE(LEFT(G25,FIND(" ",G25&amp;" ")-1),".")*1000,0),99999))</f>
        <v/>
      </c>
      <c r="BZ25" s="3">
        <f>IF(R25="profesional",0,IF(O25&lt;CUOTA_VALOR_MAX,IF(AU25&gt;ITP_TRAMO_ALTO,SUMIFS(CF_CUOTA,CF_MAS,ITP_TRAMO_ALTO,CF_CCMIN,"&lt;="&amp;BY25,CF_CCMAX,"&gt;="&amp;BY25),IF(AU25&gt;ITP_TRAMO_BAJO,SUMIFS(CF_CUOTA,CF_MAS,ITP_TRAMO_BAJO,CF_CCMIN,"&lt;="&amp;BY25,CF_CCMAX,"&gt;="&amp;BY25),O25*ITP_TIPO)),O25*ITP_TIPO))</f>
        <v/>
      </c>
      <c r="CA25" s="4">
        <f>IF(R25="profesional",N(AK25),0)</f>
        <v/>
      </c>
      <c r="CB25" s="3">
        <f>IF(AND(R25="profesional",ISNUMBER(AK25),AL25="sí"),0,TASA_DGT)</f>
        <v/>
      </c>
      <c r="CC25" s="3">
        <f>INFORME_DGT</f>
        <v/>
      </c>
      <c r="CD25" s="4">
        <f>O25+CA25+BZ25+CB25+CC25</f>
        <v/>
      </c>
      <c r="CE25" s="4">
        <f>CD25+N(BS25)</f>
        <v/>
      </c>
      <c r="CF25" s="3">
        <f>IF(CD25&lt;=TOTAL_MAX,"sí","no")</f>
        <v/>
      </c>
      <c r="CG25" s="4">
        <f>IF(CF25="sí",COUNTIFS($CF$2:$CF$91,"sí",$BX$2:$BX$91,"&gt;"&amp;BX25)+COUNTIFS($CF$2:CF25,"sí",$BX$2:BX25,BX25),"")</f>
        <v/>
      </c>
    </row>
    <row r="26">
      <c r="A26" s="2" t="inlineStr">
        <is>
          <t>wallapop:1288549890</t>
        </is>
      </c>
      <c r="B26" s="2" t="inlineStr">
        <is>
          <t>wallapop</t>
        </is>
      </c>
      <c r="C26" s="2" t="inlineStr">
        <is>
          <t>https://es.wallapop.com/item/peugeot-207-2008-1288549890</t>
        </is>
      </c>
      <c r="D26" s="2" t="inlineStr">
        <is>
          <t>Peugeot 207 2008</t>
        </is>
      </c>
      <c r="E26" s="2" t="inlineStr">
        <is>
          <t>Peugeot</t>
        </is>
      </c>
      <c r="F26" s="2" t="inlineStr">
        <is>
          <t>Peugeot 207</t>
        </is>
      </c>
      <c r="G26" s="2" t="inlineStr">
        <is>
          <t>1.6 THP</t>
        </is>
      </c>
      <c r="H26" s="2" t="inlineStr">
        <is>
          <t>1.6 THP 175 RC 3p AM62</t>
        </is>
      </c>
      <c r="I26" s="2" t="n"/>
      <c r="J26" s="2" t="n">
        <v>175</v>
      </c>
      <c r="K26" s="2" t="inlineStr">
        <is>
          <t>gasolina</t>
        </is>
      </c>
      <c r="L26" s="2" t="inlineStr">
        <is>
          <t>utilitario</t>
        </is>
      </c>
      <c r="M26" s="2" t="n">
        <v>2008</v>
      </c>
      <c r="N26" s="2" t="n">
        <v>195400</v>
      </c>
      <c r="O26" s="2" t="n">
        <v>3900</v>
      </c>
      <c r="P26" s="2" t="inlineStr">
        <is>
          <t>manual</t>
        </is>
      </c>
      <c r="Q26" s="2" t="inlineStr">
        <is>
          <t>no</t>
        </is>
      </c>
      <c r="R26" s="2" t="inlineStr">
        <is>
          <t>particular</t>
        </is>
      </c>
      <c r="S26" s="2" t="inlineStr">
        <is>
          <t>Valencia (46002)</t>
        </is>
      </c>
      <c r="T26" s="2" t="inlineStr">
        <is>
          <t>2026-10-13T12:48:33</t>
        </is>
      </c>
      <c r="U26" s="2" t="n">
        <v>10</v>
      </c>
      <c r="V26" s="2" t="n"/>
      <c r="W26" s="2" t="n"/>
      <c r="X26" s="2" t="n"/>
      <c r="Y26" s="2" t="n"/>
      <c r="Z26" s="2" t="n"/>
      <c r="AA26" s="2" t="n"/>
      <c r="AB26" s="2" t="n"/>
      <c r="AC26" s="2" t="n"/>
      <c r="AD26" s="2" t="n"/>
      <c r="AE26" s="2" t="n"/>
      <c r="AF26" s="2" t="n"/>
      <c r="AG26" s="2" t="n"/>
      <c r="AH26" s="2" t="n"/>
      <c r="AI26" s="2" t="n"/>
      <c r="AJ26" s="2" t="n"/>
      <c r="AK26" s="2" t="n"/>
      <c r="AL26" s="2" t="n"/>
      <c r="AM26" s="2" t="n">
        <v>0.5</v>
      </c>
      <c r="AN26" s="2" t="n">
        <v>3500</v>
      </c>
      <c r="AO26" s="2" t="n">
        <v>19</v>
      </c>
      <c r="AP26" s="2" t="inlineStr">
        <is>
          <t>modelo+año+km</t>
        </is>
      </c>
      <c r="AQ26" s="2" t="n"/>
      <c r="AR26" s="2" t="inlineStr">
        <is>
          <t>cuota fija ITP: &gt;12 años, 1.501-2.000 cc; fiabilidad del modelo PENDIENTE de fuente (puntuación neutra)</t>
        </is>
      </c>
      <c r="AS26" s="2" t="inlineStr">
        <is>
          <t xml:space="preserve">PEUGEOT 207, TECHO SOLAR, ASIENTOS DE CUERO. 5 PLAZAS 175 CV COLOR NEGRO, 3 PUERTAS.  PARA MÁS INFO MI NÚMERO ES 691623801 </t>
        </is>
      </c>
      <c r="AT26" s="2" t="inlineStr">
        <is>
          <t>https://es.wallapop.com/item/peugeot-207-2008-1288549890 (__NEXT_DATA__ item) /home/user/Alopecia/buscador-coches/raw/wallapop/9eb03b1c190a17fe.json</t>
        </is>
      </c>
      <c r="AU26" s="3">
        <f>MAX(ANIO_ACTUAL-M26,0)</f>
        <v/>
      </c>
      <c r="AV26" s="4">
        <f>N26/MAX(AU26,0.5)</f>
        <v/>
      </c>
      <c r="AW26" s="4">
        <f>F26</f>
        <v/>
      </c>
      <c r="AX26" s="3">
        <f>AW26&amp;"|"&amp;INT(M26/SEG_ANIO)*SEG_ANIO</f>
        <v/>
      </c>
      <c r="AY26" s="3">
        <f>AX26&amp;"|"&amp;INT(N26/SEG_KM)*SEG_KM</f>
        <v/>
      </c>
      <c r="AZ26" s="4">
        <f>COUNTIF($AW$2:$AW$91,AW26)</f>
        <v/>
      </c>
      <c r="BA26" s="4">
        <f>COUNTIF($AX$2:$AX$91,AX26)</f>
        <v/>
      </c>
      <c r="BB26" s="4">
        <f>COUNTIF($AY$2:$AY$91,AY26)</f>
        <v/>
      </c>
      <c r="BC26" s="3">
        <f t="array" ref="BC26">IF(N(AO26)&gt;=MIN_N,AN26,IF(BB26&gt;=MIN_N,MEDIAN(IF($AY$2:$AY$91=AY26,$O$2:$O$91)),IF(BA26&gt;=MIN_N,MEDIAN(IF($AX$2:$AX$91=AX26,$O$2:$O$91)),MEDIAN(IF($AW$2:$AW$91=AW26,$O$2:$O$91)))))</f>
        <v/>
      </c>
      <c r="BD26" s="3">
        <f>IF(N(AO26)&gt;=MIN_N,"mercado "&amp;AP26,IF(BB26&gt;=MIN_N,"modelo+año+km",IF(BA26&gt;=MIN_N,"modelo+año","modelo")))</f>
        <v/>
      </c>
      <c r="BE26" s="4">
        <f>(BC26-O26)/BC26</f>
        <v/>
      </c>
      <c r="BF26" s="3">
        <f>IF(OR(K26="hibrido",K26="glp"),"ECO",IF(K26="electrico","CERO",IF(K26="gasolina",IF(M26&gt;=GAS_C,"C",IF(M26&gt;=GAS_B,"B","A")),IF(K26="diesel",IF(M26&gt;=DIE_C,"C",IF(M26&gt;=DIE_B,"B","A")),""))))</f>
        <v/>
      </c>
      <c r="BG26" s="3">
        <f>IFERROR(VLOOKUP(F26,MOD_TBL,11,0),IFERROR(VLOOKUP(E26,OCU_TBL,2,0),NEUTRO))</f>
        <v/>
      </c>
      <c r="BH26" s="3">
        <f>SUMIFS(MOT_AJUSTE,MOT_MOTOR,G26,MOT_MARCA,E26,MOT_DESDE,"&lt;="&amp;M26,MOT_HASTA,"&gt;="&amp;M26)+SUMIFS(MOT_AJUSTE,MOT_MOTOR,G26,MOT_MARCA,"(todas)",MOT_DESDE,"&lt;="&amp;M26,MOT_HASTA,"&gt;="&amp;M26)</f>
        <v/>
      </c>
      <c r="BI26" s="3">
        <f>SUMIFS(COMB_AJUSTE,COMB_COMB,K26)</f>
        <v/>
      </c>
      <c r="BJ26" s="4">
        <f>MAX(0,MIN(100,BG26+BH26+BI26))</f>
        <v/>
      </c>
      <c r="BK26" s="3">
        <f>MAX(0,MIN(100,50+BE26*PRECIO_PEND))</f>
        <v/>
      </c>
      <c r="BL26" s="3">
        <f>MAX(0,100*(1-N26/KM_MAX))</f>
        <v/>
      </c>
      <c r="BM26" s="3">
        <f>IF(AV26&lt;KMA_SOSP,IF(AA26="sí",100,KMA_PEN),IF(AV26&lt;=KMA_IDEAL_MAX,100,MAX(0,100*(KMA_CERO-AV26)/(KMA_CERO-KMA_IDEAL_MAX))))</f>
        <v/>
      </c>
      <c r="BN26" s="3">
        <f>MAX(0,MIN(100,100*(M26-ANIO_MIN)/(ANIO_ACTUAL-ANIO_MIN)))</f>
        <v/>
      </c>
      <c r="BO26" s="3">
        <f>W_KMT*BL26+W_KMA*BM26+W_EDAD*BN26</f>
        <v/>
      </c>
      <c r="BP26" s="3">
        <f>P_ITV*(V26="sí")+P_LIBRO*(W26="sí")+P_CORREA*(X26="sí")+P_PROP*(Y26=1)+P_GAR*(Z26="sí")+P_FOTOS*MIN(1,N(U26)/FOTOS_OBJ)</f>
        <v/>
      </c>
      <c r="BQ26" s="3">
        <f>IFERROR(VLOOKUP(BF26,ETQ_TBL,2,0),NEUTRO)</f>
        <v/>
      </c>
      <c r="BR26" s="3">
        <f>NEUTRO</f>
        <v/>
      </c>
      <c r="BS26" s="3">
        <f>IFERROR(VLOOKUP(L26,SEGURO_TBL,3,0),"")</f>
        <v/>
      </c>
      <c r="BT26" s="3">
        <f>IF(BS26="",NEUTRO,MAX(0,MIN(100,100*(SEG_REF_MAX-BS26)/(SEG_REF_MAX-SEG_REF_MIN))))</f>
        <v/>
      </c>
      <c r="BU26" s="3">
        <f>W_ET*BQ26+W_CONS*BR26+W_SEG*BT26</f>
        <v/>
      </c>
      <c r="BV26" s="3">
        <f>IF(N(AB26)&gt;0,AB26,IF(AND(R26="profesional",SG_LEGAL_ON=1),GAR_LEGAL,0))</f>
        <v/>
      </c>
      <c r="BW26" s="3">
        <f>SG_GAR*MIN(1,BV26/SG_GAR_FULL)+SG_AMPL*(AC26="sí")+SG_KMC*(AF26="sí")+SG_REV*(N(AE26)&gt;0)+SG_DEV*MIN(1,N(AG26)/SG_DEV_FULL)+SG_HIST*(W26="sí")</f>
        <v/>
      </c>
      <c r="BX26" s="3">
        <f>W_FIAB*BJ26+W_PRECIO*BK26+W_KMEDAD*BO26+W_ANUNCIO*BP26+W_USO*BU26+W_SEGURIDAD*BW26</f>
        <v/>
      </c>
      <c r="BY26" s="4">
        <f>IF(N(I26)&gt;0,I26,IFERROR(ROUND(_xlfn.NUMBERVALUE(LEFT(G26,FIND(" ",G26&amp;" ")-1),".")*1000,0),99999))</f>
        <v/>
      </c>
      <c r="BZ26" s="3">
        <f>IF(R26="profesional",0,IF(O26&lt;CUOTA_VALOR_MAX,IF(AU26&gt;ITP_TRAMO_ALTO,SUMIFS(CF_CUOTA,CF_MAS,ITP_TRAMO_ALTO,CF_CCMIN,"&lt;="&amp;BY26,CF_CCMAX,"&gt;="&amp;BY26),IF(AU26&gt;ITP_TRAMO_BAJO,SUMIFS(CF_CUOTA,CF_MAS,ITP_TRAMO_BAJO,CF_CCMIN,"&lt;="&amp;BY26,CF_CCMAX,"&gt;="&amp;BY26),O26*ITP_TIPO)),O26*ITP_TIPO))</f>
        <v/>
      </c>
      <c r="CA26" s="4">
        <f>IF(R26="profesional",N(AK26),0)</f>
        <v/>
      </c>
      <c r="CB26" s="3">
        <f>IF(AND(R26="profesional",ISNUMBER(AK26),AL26="sí"),0,TASA_DGT)</f>
        <v/>
      </c>
      <c r="CC26" s="3">
        <f>INFORME_DGT</f>
        <v/>
      </c>
      <c r="CD26" s="4">
        <f>O26+CA26+BZ26+CB26+CC26</f>
        <v/>
      </c>
      <c r="CE26" s="4">
        <f>CD26+N(BS26)</f>
        <v/>
      </c>
      <c r="CF26" s="3">
        <f>IF(CD26&lt;=TOTAL_MAX,"sí","no")</f>
        <v/>
      </c>
      <c r="CG26" s="4">
        <f>IF(CF26="sí",COUNTIFS($CF$2:$CF$91,"sí",$BX$2:$BX$91,"&gt;"&amp;BX26)+COUNTIFS($CF$2:CF26,"sí",$BX$2:BX26,BX26),"")</f>
        <v/>
      </c>
    </row>
    <row r="27">
      <c r="A27" s="2" t="inlineStr">
        <is>
          <t>wallapop:1280300367</t>
        </is>
      </c>
      <c r="B27" s="2" t="inlineStr">
        <is>
          <t>wallapop</t>
        </is>
      </c>
      <c r="C27" s="2" t="inlineStr">
        <is>
          <t>https://es.wallapop.com/item/peugeot-207-2008-1280300367</t>
        </is>
      </c>
      <c r="D27" s="2" t="inlineStr">
        <is>
          <t>Peugeot 207 2008</t>
        </is>
      </c>
      <c r="E27" s="2" t="inlineStr">
        <is>
          <t>Peugeot</t>
        </is>
      </c>
      <c r="F27" s="2" t="inlineStr">
        <is>
          <t>Peugeot 207</t>
        </is>
      </c>
      <c r="G27" s="2" t="inlineStr">
        <is>
          <t>1.6 HDi</t>
        </is>
      </c>
      <c r="H27" s="2" t="inlineStr">
        <is>
          <t>1.6 HDi 110 Sport 5p</t>
        </is>
      </c>
      <c r="I27" s="2" t="n"/>
      <c r="J27" s="2" t="n">
        <v>110</v>
      </c>
      <c r="K27" s="2" t="inlineStr">
        <is>
          <t>gasolina</t>
        </is>
      </c>
      <c r="L27" s="2" t="inlineStr">
        <is>
          <t>utilitario</t>
        </is>
      </c>
      <c r="M27" s="2" t="n">
        <v>2008</v>
      </c>
      <c r="N27" s="2" t="n">
        <v>207000</v>
      </c>
      <c r="O27" s="2" t="n">
        <v>2950</v>
      </c>
      <c r="P27" s="2" t="inlineStr">
        <is>
          <t>manual</t>
        </is>
      </c>
      <c r="Q27" s="2" t="inlineStr">
        <is>
          <t>no</t>
        </is>
      </c>
      <c r="R27" s="2" t="inlineStr">
        <is>
          <t>particular</t>
        </is>
      </c>
      <c r="S27" s="2" t="inlineStr">
        <is>
          <t>Valencia (46002)</t>
        </is>
      </c>
      <c r="T27" s="2" t="inlineStr">
        <is>
          <t>2026-10-29T08:27:38</t>
        </is>
      </c>
      <c r="U27" s="2" t="n">
        <v>7</v>
      </c>
      <c r="V27" s="2" t="inlineStr">
        <is>
          <t>sí</t>
        </is>
      </c>
      <c r="W27" s="2" t="n"/>
      <c r="X27" s="2" t="n"/>
      <c r="Y27" s="2" t="n"/>
      <c r="Z27" s="2" t="n"/>
      <c r="AA27" s="2" t="n"/>
      <c r="AB27" s="2" t="n"/>
      <c r="AC27" s="2" t="n"/>
      <c r="AD27" s="2" t="n"/>
      <c r="AE27" s="2" t="n"/>
      <c r="AF27" s="2" t="n"/>
      <c r="AG27" s="2" t="n"/>
      <c r="AH27" s="2" t="n"/>
      <c r="AI27" s="2" t="n"/>
      <c r="AJ27" s="2" t="n"/>
      <c r="AK27" s="2" t="n"/>
      <c r="AL27" s="2" t="n"/>
      <c r="AM27" s="2" t="n">
        <v>0.6</v>
      </c>
      <c r="AN27" s="2" t="n">
        <v>2950</v>
      </c>
      <c r="AO27" s="2" t="n">
        <v>13</v>
      </c>
      <c r="AP27" s="2" t="inlineStr">
        <is>
          <t>modelo+año+km</t>
        </is>
      </c>
      <c r="AQ27" s="2" t="n"/>
      <c r="AR27" s="2" t="inlineStr">
        <is>
          <t>cuota fija ITP: &gt;12 años, 1.501-2.000 cc; fiabilidad del modelo PENDIENTE de fuente (puntuación neutra)</t>
        </is>
      </c>
      <c r="AS27" s="2" t="inlineStr">
        <is>
          <t>Muy buen estado, todas la evalunas son eléctricas, funcionando todas . Cambio de aceite reciente. Ver sin Compromiso 
ITV hasta sept 2027</t>
        </is>
      </c>
      <c r="AT27" s="2" t="inlineStr">
        <is>
          <t>https://es.wallapop.com/item/peugeot-207-2008-1280300367 (__NEXT_DATA__ item) /home/user/Alopecia/buscador-coches/raw/wallapop/e1785a7cbe3be93c.json</t>
        </is>
      </c>
      <c r="AU27" s="3">
        <f>MAX(ANIO_ACTUAL-M27,0)</f>
        <v/>
      </c>
      <c r="AV27" s="4">
        <f>N27/MAX(AU27,0.5)</f>
        <v/>
      </c>
      <c r="AW27" s="4">
        <f>F27</f>
        <v/>
      </c>
      <c r="AX27" s="3">
        <f>AW27&amp;"|"&amp;INT(M27/SEG_ANIO)*SEG_ANIO</f>
        <v/>
      </c>
      <c r="AY27" s="3">
        <f>AX27&amp;"|"&amp;INT(N27/SEG_KM)*SEG_KM</f>
        <v/>
      </c>
      <c r="AZ27" s="4">
        <f>COUNTIF($AW$2:$AW$91,AW27)</f>
        <v/>
      </c>
      <c r="BA27" s="4">
        <f>COUNTIF($AX$2:$AX$91,AX27)</f>
        <v/>
      </c>
      <c r="BB27" s="4">
        <f>COUNTIF($AY$2:$AY$91,AY27)</f>
        <v/>
      </c>
      <c r="BC27" s="3">
        <f t="array" ref="BC27">IF(N(AO27)&gt;=MIN_N,AN27,IF(BB27&gt;=MIN_N,MEDIAN(IF($AY$2:$AY$91=AY27,$O$2:$O$91)),IF(BA27&gt;=MIN_N,MEDIAN(IF($AX$2:$AX$91=AX27,$O$2:$O$91)),MEDIAN(IF($AW$2:$AW$91=AW27,$O$2:$O$91)))))</f>
        <v/>
      </c>
      <c r="BD27" s="3">
        <f>IF(N(AO27)&gt;=MIN_N,"mercado "&amp;AP27,IF(BB27&gt;=MIN_N,"modelo+año+km",IF(BA27&gt;=MIN_N,"modelo+año","modelo")))</f>
        <v/>
      </c>
      <c r="BE27" s="4">
        <f>(BC27-O27)/BC27</f>
        <v/>
      </c>
      <c r="BF27" s="3">
        <f>IF(OR(K27="hibrido",K27="glp"),"ECO",IF(K27="electrico","CERO",IF(K27="gasolina",IF(M27&gt;=GAS_C,"C",IF(M27&gt;=GAS_B,"B","A")),IF(K27="diesel",IF(M27&gt;=DIE_C,"C",IF(M27&gt;=DIE_B,"B","A")),""))))</f>
        <v/>
      </c>
      <c r="BG27" s="3">
        <f>IFERROR(VLOOKUP(F27,MOD_TBL,11,0),IFERROR(VLOOKUP(E27,OCU_TBL,2,0),NEUTRO))</f>
        <v/>
      </c>
      <c r="BH27" s="3">
        <f>SUMIFS(MOT_AJUSTE,MOT_MOTOR,G27,MOT_MARCA,E27,MOT_DESDE,"&lt;="&amp;M27,MOT_HASTA,"&gt;="&amp;M27)+SUMIFS(MOT_AJUSTE,MOT_MOTOR,G27,MOT_MARCA,"(todas)",MOT_DESDE,"&lt;="&amp;M27,MOT_HASTA,"&gt;="&amp;M27)</f>
        <v/>
      </c>
      <c r="BI27" s="3">
        <f>SUMIFS(COMB_AJUSTE,COMB_COMB,K27)</f>
        <v/>
      </c>
      <c r="BJ27" s="4">
        <f>MAX(0,MIN(100,BG27+BH27+BI27))</f>
        <v/>
      </c>
      <c r="BK27" s="3">
        <f>MAX(0,MIN(100,50+BE27*PRECIO_PEND))</f>
        <v/>
      </c>
      <c r="BL27" s="3">
        <f>MAX(0,100*(1-N27/KM_MAX))</f>
        <v/>
      </c>
      <c r="BM27" s="3">
        <f>IF(AV27&lt;KMA_SOSP,IF(AA27="sí",100,KMA_PEN),IF(AV27&lt;=KMA_IDEAL_MAX,100,MAX(0,100*(KMA_CERO-AV27)/(KMA_CERO-KMA_IDEAL_MAX))))</f>
        <v/>
      </c>
      <c r="BN27" s="3">
        <f>MAX(0,MIN(100,100*(M27-ANIO_MIN)/(ANIO_ACTUAL-ANIO_MIN)))</f>
        <v/>
      </c>
      <c r="BO27" s="3">
        <f>W_KMT*BL27+W_KMA*BM27+W_EDAD*BN27</f>
        <v/>
      </c>
      <c r="BP27" s="3">
        <f>P_ITV*(V27="sí")+P_LIBRO*(W27="sí")+P_CORREA*(X27="sí")+P_PROP*(Y27=1)+P_GAR*(Z27="sí")+P_FOTOS*MIN(1,N(U27)/FOTOS_OBJ)</f>
        <v/>
      </c>
      <c r="BQ27" s="3">
        <f>IFERROR(VLOOKUP(BF27,ETQ_TBL,2,0),NEUTRO)</f>
        <v/>
      </c>
      <c r="BR27" s="3">
        <f>NEUTRO</f>
        <v/>
      </c>
      <c r="BS27" s="3">
        <f>IFERROR(VLOOKUP(L27,SEGURO_TBL,3,0),"")</f>
        <v/>
      </c>
      <c r="BT27" s="3">
        <f>IF(BS27="",NEUTRO,MAX(0,MIN(100,100*(SEG_REF_MAX-BS27)/(SEG_REF_MAX-SEG_REF_MIN))))</f>
        <v/>
      </c>
      <c r="BU27" s="3">
        <f>W_ET*BQ27+W_CONS*BR27+W_SEG*BT27</f>
        <v/>
      </c>
      <c r="BV27" s="3">
        <f>IF(N(AB27)&gt;0,AB27,IF(AND(R27="profesional",SG_LEGAL_ON=1),GAR_LEGAL,0))</f>
        <v/>
      </c>
      <c r="BW27" s="3">
        <f>SG_GAR*MIN(1,BV27/SG_GAR_FULL)+SG_AMPL*(AC27="sí")+SG_KMC*(AF27="sí")+SG_REV*(N(AE27)&gt;0)+SG_DEV*MIN(1,N(AG27)/SG_DEV_FULL)+SG_HIST*(W27="sí")</f>
        <v/>
      </c>
      <c r="BX27" s="3">
        <f>W_FIAB*BJ27+W_PRECIO*BK27+W_KMEDAD*BO27+W_ANUNCIO*BP27+W_USO*BU27+W_SEGURIDAD*BW27</f>
        <v/>
      </c>
      <c r="BY27" s="4">
        <f>IF(N(I27)&gt;0,I27,IFERROR(ROUND(_xlfn.NUMBERVALUE(LEFT(G27,FIND(" ",G27&amp;" ")-1),".")*1000,0),99999))</f>
        <v/>
      </c>
      <c r="BZ27" s="3">
        <f>IF(R27="profesional",0,IF(O27&lt;CUOTA_VALOR_MAX,IF(AU27&gt;ITP_TRAMO_ALTO,SUMIFS(CF_CUOTA,CF_MAS,ITP_TRAMO_ALTO,CF_CCMIN,"&lt;="&amp;BY27,CF_CCMAX,"&gt;="&amp;BY27),IF(AU27&gt;ITP_TRAMO_BAJO,SUMIFS(CF_CUOTA,CF_MAS,ITP_TRAMO_BAJO,CF_CCMIN,"&lt;="&amp;BY27,CF_CCMAX,"&gt;="&amp;BY27),O27*ITP_TIPO)),O27*ITP_TIPO))</f>
        <v/>
      </c>
      <c r="CA27" s="4">
        <f>IF(R27="profesional",N(AK27),0)</f>
        <v/>
      </c>
      <c r="CB27" s="3">
        <f>IF(AND(R27="profesional",ISNUMBER(AK27),AL27="sí"),0,TASA_DGT)</f>
        <v/>
      </c>
      <c r="CC27" s="3">
        <f>INFORME_DGT</f>
        <v/>
      </c>
      <c r="CD27" s="4">
        <f>O27+CA27+BZ27+CB27+CC27</f>
        <v/>
      </c>
      <c r="CE27" s="4">
        <f>CD27+N(BS27)</f>
        <v/>
      </c>
      <c r="CF27" s="3">
        <f>IF(CD27&lt;=TOTAL_MAX,"sí","no")</f>
        <v/>
      </c>
      <c r="CG27" s="4">
        <f>IF(CF27="sí",COUNTIFS($CF$2:$CF$91,"sí",$BX$2:$BX$91,"&gt;"&amp;BX27)+COUNTIFS($CF$2:CF27,"sí",$BX$2:BX27,BX27),"")</f>
        <v/>
      </c>
    </row>
    <row r="28">
      <c r="A28" s="2" t="inlineStr">
        <is>
          <t>wallapop:1266639855</t>
        </is>
      </c>
      <c r="B28" s="2" t="inlineStr">
        <is>
          <t>wallapop</t>
        </is>
      </c>
      <c r="C28" s="2" t="inlineStr">
        <is>
          <t>https://es.wallapop.com/item/peugeot-207-2008-1266639855</t>
        </is>
      </c>
      <c r="D28" s="2" t="inlineStr">
        <is>
          <t>Peugeot 207 2008</t>
        </is>
      </c>
      <c r="E28" s="2" t="inlineStr">
        <is>
          <t>Peugeot</t>
        </is>
      </c>
      <c r="F28" s="2" t="inlineStr">
        <is>
          <t>Peugeot 207</t>
        </is>
      </c>
      <c r="G28" s="2" t="inlineStr">
        <is>
          <t>1.4 HDi</t>
        </is>
      </c>
      <c r="H28" s="2" t="inlineStr">
        <is>
          <t>1.4 HDi 70 Urban 5p</t>
        </is>
      </c>
      <c r="I28" s="2" t="n"/>
      <c r="J28" s="2" t="n">
        <v>70</v>
      </c>
      <c r="K28" s="2" t="inlineStr">
        <is>
          <t>gasolina</t>
        </is>
      </c>
      <c r="L28" s="2" t="inlineStr">
        <is>
          <t>utilitario</t>
        </is>
      </c>
      <c r="M28" s="2" t="n">
        <v>2008</v>
      </c>
      <c r="N28" s="2" t="n">
        <v>143000</v>
      </c>
      <c r="O28" s="2" t="n">
        <v>3000</v>
      </c>
      <c r="P28" s="2" t="inlineStr">
        <is>
          <t>manual</t>
        </is>
      </c>
      <c r="Q28" s="2" t="inlineStr">
        <is>
          <t>no</t>
        </is>
      </c>
      <c r="R28" s="2" t="inlineStr">
        <is>
          <t>particular</t>
        </is>
      </c>
      <c r="S28" s="2" t="inlineStr">
        <is>
          <t>Valencia (46002)</t>
        </is>
      </c>
      <c r="T28" s="2" t="inlineStr">
        <is>
          <t>2026-09-30T21:36:51</t>
        </is>
      </c>
      <c r="U28" s="2" t="n">
        <v>7</v>
      </c>
      <c r="V28" s="2" t="n"/>
      <c r="W28" s="2" t="n"/>
      <c r="X28" s="2" t="n"/>
      <c r="Y28" s="2" t="n"/>
      <c r="Z28" s="2" t="n"/>
      <c r="AA28" s="2" t="n"/>
      <c r="AB28" s="2" t="n"/>
      <c r="AC28" s="2" t="n"/>
      <c r="AD28" s="2" t="n"/>
      <c r="AE28" s="2" t="n"/>
      <c r="AF28" s="2" t="n"/>
      <c r="AG28" s="2" t="n"/>
      <c r="AH28" s="2" t="n"/>
      <c r="AI28" s="2" t="n"/>
      <c r="AJ28" s="2" t="n"/>
      <c r="AK28" s="2" t="n"/>
      <c r="AL28" s="2" t="n"/>
      <c r="AM28" s="2" t="n">
        <v>0.7</v>
      </c>
      <c r="AN28" s="2" t="n">
        <v>3500</v>
      </c>
      <c r="AO28" s="2" t="n">
        <v>28</v>
      </c>
      <c r="AP28" s="2" t="inlineStr">
        <is>
          <t>modelo+año+km</t>
        </is>
      </c>
      <c r="AQ28" s="2" t="n"/>
      <c r="AR28" s="2" t="inlineStr">
        <is>
          <t>cuota fija ITP: &gt;12 años, hasta 1.500 cc; fiabilidad del modelo PENDIENTE de fuente (puntuación neutra)</t>
        </is>
      </c>
      <c r="AS28" s="2" t="inlineStr">
        <is>
          <t xml:space="preserve">Se vende Peugeot 207 1.4 gasolina 70 CV.
Se encuentra en excelente estado , tanto el interior como el exterior . 
Coche perfecto y cómodo para uso diario por carretera . 
Dispone de distribución mediante cadena .
</t>
        </is>
      </c>
      <c r="AT28" s="2" t="inlineStr">
        <is>
          <t>https://es.wallapop.com/item/peugeot-207-2008-1266639855 (__NEXT_DATA__ item) /home/user/Alopecia/buscador-coches/raw/wallapop/938350f1b3e3ae0b.json</t>
        </is>
      </c>
      <c r="AU28" s="3">
        <f>MAX(ANIO_ACTUAL-M28,0)</f>
        <v/>
      </c>
      <c r="AV28" s="4">
        <f>N28/MAX(AU28,0.5)</f>
        <v/>
      </c>
      <c r="AW28" s="4">
        <f>F28</f>
        <v/>
      </c>
      <c r="AX28" s="3">
        <f>AW28&amp;"|"&amp;INT(M28/SEG_ANIO)*SEG_ANIO</f>
        <v/>
      </c>
      <c r="AY28" s="3">
        <f>AX28&amp;"|"&amp;INT(N28/SEG_KM)*SEG_KM</f>
        <v/>
      </c>
      <c r="AZ28" s="4">
        <f>COUNTIF($AW$2:$AW$91,AW28)</f>
        <v/>
      </c>
      <c r="BA28" s="4">
        <f>COUNTIF($AX$2:$AX$91,AX28)</f>
        <v/>
      </c>
      <c r="BB28" s="4">
        <f>COUNTIF($AY$2:$AY$91,AY28)</f>
        <v/>
      </c>
      <c r="BC28" s="3">
        <f t="array" ref="BC28">IF(N(AO28)&gt;=MIN_N,AN28,IF(BB28&gt;=MIN_N,MEDIAN(IF($AY$2:$AY$91=AY28,$O$2:$O$91)),IF(BA28&gt;=MIN_N,MEDIAN(IF($AX$2:$AX$91=AX28,$O$2:$O$91)),MEDIAN(IF($AW$2:$AW$91=AW28,$O$2:$O$91)))))</f>
        <v/>
      </c>
      <c r="BD28" s="3">
        <f>IF(N(AO28)&gt;=MIN_N,"mercado "&amp;AP28,IF(BB28&gt;=MIN_N,"modelo+año+km",IF(BA28&gt;=MIN_N,"modelo+año","modelo")))</f>
        <v/>
      </c>
      <c r="BE28" s="4">
        <f>(BC28-O28)/BC28</f>
        <v/>
      </c>
      <c r="BF28" s="3">
        <f>IF(OR(K28="hibrido",K28="glp"),"ECO",IF(K28="electrico","CERO",IF(K28="gasolina",IF(M28&gt;=GAS_C,"C",IF(M28&gt;=GAS_B,"B","A")),IF(K28="diesel",IF(M28&gt;=DIE_C,"C",IF(M28&gt;=DIE_B,"B","A")),""))))</f>
        <v/>
      </c>
      <c r="BG28" s="3">
        <f>IFERROR(VLOOKUP(F28,MOD_TBL,11,0),IFERROR(VLOOKUP(E28,OCU_TBL,2,0),NEUTRO))</f>
        <v/>
      </c>
      <c r="BH28" s="3">
        <f>SUMIFS(MOT_AJUSTE,MOT_MOTOR,G28,MOT_MARCA,E28,MOT_DESDE,"&lt;="&amp;M28,MOT_HASTA,"&gt;="&amp;M28)+SUMIFS(MOT_AJUSTE,MOT_MOTOR,G28,MOT_MARCA,"(todas)",MOT_DESDE,"&lt;="&amp;M28,MOT_HASTA,"&gt;="&amp;M28)</f>
        <v/>
      </c>
      <c r="BI28" s="3">
        <f>SUMIFS(COMB_AJUSTE,COMB_COMB,K28)</f>
        <v/>
      </c>
      <c r="BJ28" s="4">
        <f>MAX(0,MIN(100,BG28+BH28+BI28))</f>
        <v/>
      </c>
      <c r="BK28" s="3">
        <f>MAX(0,MIN(100,50+BE28*PRECIO_PEND))</f>
        <v/>
      </c>
      <c r="BL28" s="3">
        <f>MAX(0,100*(1-N28/KM_MAX))</f>
        <v/>
      </c>
      <c r="BM28" s="3">
        <f>IF(AV28&lt;KMA_SOSP,IF(AA28="sí",100,KMA_PEN),IF(AV28&lt;=KMA_IDEAL_MAX,100,MAX(0,100*(KMA_CERO-AV28)/(KMA_CERO-KMA_IDEAL_MAX))))</f>
        <v/>
      </c>
      <c r="BN28" s="3">
        <f>MAX(0,MIN(100,100*(M28-ANIO_MIN)/(ANIO_ACTUAL-ANIO_MIN)))</f>
        <v/>
      </c>
      <c r="BO28" s="3">
        <f>W_KMT*BL28+W_KMA*BM28+W_EDAD*BN28</f>
        <v/>
      </c>
      <c r="BP28" s="3">
        <f>P_ITV*(V28="sí")+P_LIBRO*(W28="sí")+P_CORREA*(X28="sí")+P_PROP*(Y28=1)+P_GAR*(Z28="sí")+P_FOTOS*MIN(1,N(U28)/FOTOS_OBJ)</f>
        <v/>
      </c>
      <c r="BQ28" s="3">
        <f>IFERROR(VLOOKUP(BF28,ETQ_TBL,2,0),NEUTRO)</f>
        <v/>
      </c>
      <c r="BR28" s="3">
        <f>NEUTRO</f>
        <v/>
      </c>
      <c r="BS28" s="3">
        <f>IFERROR(VLOOKUP(L28,SEGURO_TBL,3,0),"")</f>
        <v/>
      </c>
      <c r="BT28" s="3">
        <f>IF(BS28="",NEUTRO,MAX(0,MIN(100,100*(SEG_REF_MAX-BS28)/(SEG_REF_MAX-SEG_REF_MIN))))</f>
        <v/>
      </c>
      <c r="BU28" s="3">
        <f>W_ET*BQ28+W_CONS*BR28+W_SEG*BT28</f>
        <v/>
      </c>
      <c r="BV28" s="3">
        <f>IF(N(AB28)&gt;0,AB28,IF(AND(R28="profesional",SG_LEGAL_ON=1),GAR_LEGAL,0))</f>
        <v/>
      </c>
      <c r="BW28" s="3">
        <f>SG_GAR*MIN(1,BV28/SG_GAR_FULL)+SG_AMPL*(AC28="sí")+SG_KMC*(AF28="sí")+SG_REV*(N(AE28)&gt;0)+SG_DEV*MIN(1,N(AG28)/SG_DEV_FULL)+SG_HIST*(W28="sí")</f>
        <v/>
      </c>
      <c r="BX28" s="3">
        <f>W_FIAB*BJ28+W_PRECIO*BK28+W_KMEDAD*BO28+W_ANUNCIO*BP28+W_USO*BU28+W_SEGURIDAD*BW28</f>
        <v/>
      </c>
      <c r="BY28" s="4">
        <f>IF(N(I28)&gt;0,I28,IFERROR(ROUND(_xlfn.NUMBERVALUE(LEFT(G28,FIND(" ",G28&amp;" ")-1),".")*1000,0),99999))</f>
        <v/>
      </c>
      <c r="BZ28" s="3">
        <f>IF(R28="profesional",0,IF(O28&lt;CUOTA_VALOR_MAX,IF(AU28&gt;ITP_TRAMO_ALTO,SUMIFS(CF_CUOTA,CF_MAS,ITP_TRAMO_ALTO,CF_CCMIN,"&lt;="&amp;BY28,CF_CCMAX,"&gt;="&amp;BY28),IF(AU28&gt;ITP_TRAMO_BAJO,SUMIFS(CF_CUOTA,CF_MAS,ITP_TRAMO_BAJO,CF_CCMIN,"&lt;="&amp;BY28,CF_CCMAX,"&gt;="&amp;BY28),O28*ITP_TIPO)),O28*ITP_TIPO))</f>
        <v/>
      </c>
      <c r="CA28" s="4">
        <f>IF(R28="profesional",N(AK28),0)</f>
        <v/>
      </c>
      <c r="CB28" s="3">
        <f>IF(AND(R28="profesional",ISNUMBER(AK28),AL28="sí"),0,TASA_DGT)</f>
        <v/>
      </c>
      <c r="CC28" s="3">
        <f>INFORME_DGT</f>
        <v/>
      </c>
      <c r="CD28" s="4">
        <f>O28+CA28+BZ28+CB28+CC28</f>
        <v/>
      </c>
      <c r="CE28" s="4">
        <f>CD28+N(BS28)</f>
        <v/>
      </c>
      <c r="CF28" s="3">
        <f>IF(CD28&lt;=TOTAL_MAX,"sí","no")</f>
        <v/>
      </c>
      <c r="CG28" s="4">
        <f>IF(CF28="sí",COUNTIFS($CF$2:$CF$91,"sí",$BX$2:$BX$91,"&gt;"&amp;BX28)+COUNTIFS($CF$2:CF28,"sí",$BX$2:BX28,BX28),"")</f>
        <v/>
      </c>
    </row>
    <row r="29">
      <c r="A29" s="2" t="inlineStr">
        <is>
          <t>wallapop:1303500233</t>
        </is>
      </c>
      <c r="B29" s="2" t="inlineStr">
        <is>
          <t>wallapop</t>
        </is>
      </c>
      <c r="C29" s="2" t="inlineStr">
        <is>
          <t>https://es.wallapop.com/item/peugeot-207-2009-1303500233</t>
        </is>
      </c>
      <c r="D29" s="2" t="inlineStr">
        <is>
          <t>Peugeot 207 2009</t>
        </is>
      </c>
      <c r="E29" s="2" t="inlineStr">
        <is>
          <t>Peugeot</t>
        </is>
      </c>
      <c r="F29" s="2" t="inlineStr">
        <is>
          <t>Peugeot 207</t>
        </is>
      </c>
      <c r="G29" s="2" t="inlineStr">
        <is>
          <t>1.4 VTi</t>
        </is>
      </c>
      <c r="H29" s="2" t="inlineStr">
        <is>
          <t>1.4 VTi 95 Confort 5p AM61</t>
        </is>
      </c>
      <c r="I29" s="2" t="n"/>
      <c r="J29" s="2" t="n">
        <v>95</v>
      </c>
      <c r="K29" s="2" t="inlineStr">
        <is>
          <t>gasolina</t>
        </is>
      </c>
      <c r="L29" s="2" t="inlineStr">
        <is>
          <t>utilitario</t>
        </is>
      </c>
      <c r="M29" s="2" t="n">
        <v>2009</v>
      </c>
      <c r="N29" s="2" t="n">
        <v>92750</v>
      </c>
      <c r="O29" s="2" t="n">
        <v>4500</v>
      </c>
      <c r="P29" s="2" t="inlineStr">
        <is>
          <t>manual</t>
        </is>
      </c>
      <c r="Q29" s="2" t="inlineStr">
        <is>
          <t>no</t>
        </is>
      </c>
      <c r="R29" s="2" t="inlineStr">
        <is>
          <t>particular</t>
        </is>
      </c>
      <c r="S29" s="2" t="inlineStr">
        <is>
          <t>Valencia (46010)</t>
        </is>
      </c>
      <c r="T29" s="2" t="inlineStr">
        <is>
          <t>2026-09-19T21:49:25</t>
        </is>
      </c>
      <c r="U29" s="2" t="n">
        <v>8</v>
      </c>
      <c r="V29" s="2" t="n"/>
      <c r="W29" s="2" t="inlineStr">
        <is>
          <t>sí</t>
        </is>
      </c>
      <c r="X29" s="2" t="n"/>
      <c r="Y29" s="2" t="n"/>
      <c r="Z29" s="2" t="n"/>
      <c r="AA29" s="2" t="n"/>
      <c r="AB29" s="2" t="n"/>
      <c r="AC29" s="2" t="n"/>
      <c r="AD29" s="2" t="n"/>
      <c r="AE29" s="2" t="n"/>
      <c r="AF29" s="2" t="n"/>
      <c r="AG29" s="2" t="n"/>
      <c r="AH29" s="2" t="n"/>
      <c r="AI29" s="2" t="n"/>
      <c r="AJ29" s="2" t="n"/>
      <c r="AK29" s="2" t="n"/>
      <c r="AL29" s="2" t="n"/>
      <c r="AM29" s="2" t="n">
        <v>1.1</v>
      </c>
      <c r="AN29" s="2" t="n">
        <v>4750</v>
      </c>
      <c r="AO29" s="2" t="n">
        <v>13</v>
      </c>
      <c r="AP29" s="2" t="inlineStr">
        <is>
          <t>modelo+año+km</t>
        </is>
      </c>
      <c r="AQ29" s="2" t="n"/>
      <c r="AR29" s="2" t="inlineStr">
        <is>
          <t>cuota fija ITP: &gt;12 años, hasta 1.500 cc; fiabilidad del modelo PENDIENTE de fuente (puntuación neutra)</t>
        </is>
      </c>
      <c r="AS29" s="2" t="inlineStr">
        <is>
          <t>Coche en buenas condiciones , mantenimiento al dia 
Itv para Diciembre</t>
        </is>
      </c>
      <c r="AT29" s="2" t="inlineStr">
        <is>
          <t>https://es.wallapop.com/item/peugeot-207-2009-1303500233 (__NEXT_DATA__ item) /home/user/Alopecia/buscador-coches/raw/wallapop/5e5123f265e8bc99.json</t>
        </is>
      </c>
      <c r="AU29" s="3">
        <f>MAX(ANIO_ACTUAL-M29,0)</f>
        <v/>
      </c>
      <c r="AV29" s="4">
        <f>N29/MAX(AU29,0.5)</f>
        <v/>
      </c>
      <c r="AW29" s="4">
        <f>F29</f>
        <v/>
      </c>
      <c r="AX29" s="3">
        <f>AW29&amp;"|"&amp;INT(M29/SEG_ANIO)*SEG_ANIO</f>
        <v/>
      </c>
      <c r="AY29" s="3">
        <f>AX29&amp;"|"&amp;INT(N29/SEG_KM)*SEG_KM</f>
        <v/>
      </c>
      <c r="AZ29" s="4">
        <f>COUNTIF($AW$2:$AW$91,AW29)</f>
        <v/>
      </c>
      <c r="BA29" s="4">
        <f>COUNTIF($AX$2:$AX$91,AX29)</f>
        <v/>
      </c>
      <c r="BB29" s="4">
        <f>COUNTIF($AY$2:$AY$91,AY29)</f>
        <v/>
      </c>
      <c r="BC29" s="3">
        <f t="array" ref="BC29">IF(N(AO29)&gt;=MIN_N,AN29,IF(BB29&gt;=MIN_N,MEDIAN(IF($AY$2:$AY$91=AY29,$O$2:$O$91)),IF(BA29&gt;=MIN_N,MEDIAN(IF($AX$2:$AX$91=AX29,$O$2:$O$91)),MEDIAN(IF($AW$2:$AW$91=AW29,$O$2:$O$91)))))</f>
        <v/>
      </c>
      <c r="BD29" s="3">
        <f>IF(N(AO29)&gt;=MIN_N,"mercado "&amp;AP29,IF(BB29&gt;=MIN_N,"modelo+año+km",IF(BA29&gt;=MIN_N,"modelo+año","modelo")))</f>
        <v/>
      </c>
      <c r="BE29" s="4">
        <f>(BC29-O29)/BC29</f>
        <v/>
      </c>
      <c r="BF29" s="3">
        <f>IF(OR(K29="hibrido",K29="glp"),"ECO",IF(K29="electrico","CERO",IF(K29="gasolina",IF(M29&gt;=GAS_C,"C",IF(M29&gt;=GAS_B,"B","A")),IF(K29="diesel",IF(M29&gt;=DIE_C,"C",IF(M29&gt;=DIE_B,"B","A")),""))))</f>
        <v/>
      </c>
      <c r="BG29" s="3">
        <f>IFERROR(VLOOKUP(F29,MOD_TBL,11,0),IFERROR(VLOOKUP(E29,OCU_TBL,2,0),NEUTRO))</f>
        <v/>
      </c>
      <c r="BH29" s="3">
        <f>SUMIFS(MOT_AJUSTE,MOT_MOTOR,G29,MOT_MARCA,E29,MOT_DESDE,"&lt;="&amp;M29,MOT_HASTA,"&gt;="&amp;M29)+SUMIFS(MOT_AJUSTE,MOT_MOTOR,G29,MOT_MARCA,"(todas)",MOT_DESDE,"&lt;="&amp;M29,MOT_HASTA,"&gt;="&amp;M29)</f>
        <v/>
      </c>
      <c r="BI29" s="3">
        <f>SUMIFS(COMB_AJUSTE,COMB_COMB,K29)</f>
        <v/>
      </c>
      <c r="BJ29" s="4">
        <f>MAX(0,MIN(100,BG29+BH29+BI29))</f>
        <v/>
      </c>
      <c r="BK29" s="3">
        <f>MAX(0,MIN(100,50+BE29*PRECIO_PEND))</f>
        <v/>
      </c>
      <c r="BL29" s="3">
        <f>MAX(0,100*(1-N29/KM_MAX))</f>
        <v/>
      </c>
      <c r="BM29" s="3">
        <f>IF(AV29&lt;KMA_SOSP,IF(AA29="sí",100,KMA_PEN),IF(AV29&lt;=KMA_IDEAL_MAX,100,MAX(0,100*(KMA_CERO-AV29)/(KMA_CERO-KMA_IDEAL_MAX))))</f>
        <v/>
      </c>
      <c r="BN29" s="3">
        <f>MAX(0,MIN(100,100*(M29-ANIO_MIN)/(ANIO_ACTUAL-ANIO_MIN)))</f>
        <v/>
      </c>
      <c r="BO29" s="3">
        <f>W_KMT*BL29+W_KMA*BM29+W_EDAD*BN29</f>
        <v/>
      </c>
      <c r="BP29" s="3">
        <f>P_ITV*(V29="sí")+P_LIBRO*(W29="sí")+P_CORREA*(X29="sí")+P_PROP*(Y29=1)+P_GAR*(Z29="sí")+P_FOTOS*MIN(1,N(U29)/FOTOS_OBJ)</f>
        <v/>
      </c>
      <c r="BQ29" s="3">
        <f>IFERROR(VLOOKUP(BF29,ETQ_TBL,2,0),NEUTRO)</f>
        <v/>
      </c>
      <c r="BR29" s="3">
        <f>NEUTRO</f>
        <v/>
      </c>
      <c r="BS29" s="3">
        <f>IFERROR(VLOOKUP(L29,SEGURO_TBL,3,0),"")</f>
        <v/>
      </c>
      <c r="BT29" s="3">
        <f>IF(BS29="",NEUTRO,MAX(0,MIN(100,100*(SEG_REF_MAX-BS29)/(SEG_REF_MAX-SEG_REF_MIN))))</f>
        <v/>
      </c>
      <c r="BU29" s="3">
        <f>W_ET*BQ29+W_CONS*BR29+W_SEG*BT29</f>
        <v/>
      </c>
      <c r="BV29" s="3">
        <f>IF(N(AB29)&gt;0,AB29,IF(AND(R29="profesional",SG_LEGAL_ON=1),GAR_LEGAL,0))</f>
        <v/>
      </c>
      <c r="BW29" s="3">
        <f>SG_GAR*MIN(1,BV29/SG_GAR_FULL)+SG_AMPL*(AC29="sí")+SG_KMC*(AF29="sí")+SG_REV*(N(AE29)&gt;0)+SG_DEV*MIN(1,N(AG29)/SG_DEV_FULL)+SG_HIST*(W29="sí")</f>
        <v/>
      </c>
      <c r="BX29" s="3">
        <f>W_FIAB*BJ29+W_PRECIO*BK29+W_KMEDAD*BO29+W_ANUNCIO*BP29+W_USO*BU29+W_SEGURIDAD*BW29</f>
        <v/>
      </c>
      <c r="BY29" s="4">
        <f>IF(N(I29)&gt;0,I29,IFERROR(ROUND(_xlfn.NUMBERVALUE(LEFT(G29,FIND(" ",G29&amp;" ")-1),".")*1000,0),99999))</f>
        <v/>
      </c>
      <c r="BZ29" s="3">
        <f>IF(R29="profesional",0,IF(O29&lt;CUOTA_VALOR_MAX,IF(AU29&gt;ITP_TRAMO_ALTO,SUMIFS(CF_CUOTA,CF_MAS,ITP_TRAMO_ALTO,CF_CCMIN,"&lt;="&amp;BY29,CF_CCMAX,"&gt;="&amp;BY29),IF(AU29&gt;ITP_TRAMO_BAJO,SUMIFS(CF_CUOTA,CF_MAS,ITP_TRAMO_BAJO,CF_CCMIN,"&lt;="&amp;BY29,CF_CCMAX,"&gt;="&amp;BY29),O29*ITP_TIPO)),O29*ITP_TIPO))</f>
        <v/>
      </c>
      <c r="CA29" s="4">
        <f>IF(R29="profesional",N(AK29),0)</f>
        <v/>
      </c>
      <c r="CB29" s="3">
        <f>IF(AND(R29="profesional",ISNUMBER(AK29),AL29="sí"),0,TASA_DGT)</f>
        <v/>
      </c>
      <c r="CC29" s="3">
        <f>INFORME_DGT</f>
        <v/>
      </c>
      <c r="CD29" s="4">
        <f>O29+CA29+BZ29+CB29+CC29</f>
        <v/>
      </c>
      <c r="CE29" s="4">
        <f>CD29+N(BS29)</f>
        <v/>
      </c>
      <c r="CF29" s="3">
        <f>IF(CD29&lt;=TOTAL_MAX,"sí","no")</f>
        <v/>
      </c>
      <c r="CG29" s="4">
        <f>IF(CF29="sí",COUNTIFS($CF$2:$CF$91,"sí",$BX$2:$BX$91,"&gt;"&amp;BX29)+COUNTIFS($CF$2:CF29,"sí",$BX$2:BX29,BX29),"")</f>
        <v/>
      </c>
    </row>
    <row r="30">
      <c r="A30" s="2" t="inlineStr">
        <is>
          <t>wallapop:1318834980</t>
        </is>
      </c>
      <c r="B30" s="2" t="inlineStr">
        <is>
          <t>wallapop</t>
        </is>
      </c>
      <c r="C30" s="2" t="inlineStr">
        <is>
          <t>https://es.wallapop.com/item/peugeot-308-2008-1318834980</t>
        </is>
      </c>
      <c r="D30" s="2" t="inlineStr">
        <is>
          <t>Peugeot 308 2008</t>
        </is>
      </c>
      <c r="E30" s="2" t="inlineStr">
        <is>
          <t>Peugeot</t>
        </is>
      </c>
      <c r="F30" s="2" t="inlineStr">
        <is>
          <t>Peugeot 308</t>
        </is>
      </c>
      <c r="G30" s="2" t="inlineStr">
        <is>
          <t>1.6 VTi</t>
        </is>
      </c>
      <c r="H30" s="2" t="inlineStr">
        <is>
          <t>1.6 VTi 120 Sport 5p</t>
        </is>
      </c>
      <c r="I30" s="2" t="n"/>
      <c r="J30" s="2" t="n">
        <v>120</v>
      </c>
      <c r="K30" s="2" t="inlineStr">
        <is>
          <t>gasolina</t>
        </is>
      </c>
      <c r="L30" s="2" t="inlineStr">
        <is>
          <t>compacto</t>
        </is>
      </c>
      <c r="M30" s="2" t="n">
        <v>2008</v>
      </c>
      <c r="N30" s="2" t="n">
        <v>140000</v>
      </c>
      <c r="O30" s="2" t="n">
        <v>3500</v>
      </c>
      <c r="P30" s="2" t="inlineStr">
        <is>
          <t>manual</t>
        </is>
      </c>
      <c r="Q30" s="2" t="inlineStr">
        <is>
          <t>no</t>
        </is>
      </c>
      <c r="R30" s="2" t="inlineStr">
        <is>
          <t>profesional</t>
        </is>
      </c>
      <c r="S30" s="2" t="inlineStr">
        <is>
          <t>Valencia (46014)</t>
        </is>
      </c>
      <c r="T30" s="2" t="inlineStr">
        <is>
          <t>2026-10-30T17:14:43</t>
        </is>
      </c>
      <c r="U30" s="2" t="n">
        <v>14</v>
      </c>
      <c r="V30" s="2" t="n"/>
      <c r="W30" s="2" t="n"/>
      <c r="X30" s="2" t="n"/>
      <c r="Y30" s="2" t="n">
        <v>1</v>
      </c>
      <c r="Z30" s="2" t="n"/>
      <c r="AA30" s="2" t="n"/>
      <c r="AB30" s="2" t="n"/>
      <c r="AC30" s="2" t="n"/>
      <c r="AD30" s="2" t="n"/>
      <c r="AE30" s="2" t="n"/>
      <c r="AF30" s="2" t="n"/>
      <c r="AG30" s="2" t="n"/>
      <c r="AH30" s="2" t="n"/>
      <c r="AI30" s="2" t="n"/>
      <c r="AJ30" s="2" t="n"/>
      <c r="AK30" s="2" t="n"/>
      <c r="AL30" s="2" t="n"/>
      <c r="AM30" s="2" t="n">
        <v>3.3</v>
      </c>
      <c r="AN30" s="2" t="n">
        <v>4000</v>
      </c>
      <c r="AO30" s="2" t="n">
        <v>7</v>
      </c>
      <c r="AP30" s="2" t="inlineStr">
        <is>
          <t>modelo+año+km</t>
        </is>
      </c>
      <c r="AQ30" s="2" t="n"/>
      <c r="AR30" s="2" t="inlineStr">
        <is>
          <t>vendedor profesional: sin ITP (operación con IVA/REBU, confirmar en factura); gastos de gestión del vendedor no indicados: se suma la tasa DGT; preguntar el precio final</t>
        </is>
      </c>
      <c r="AS30" s="2" t="inlineStr">
        <is>
          <t xml:space="preserve">Hermoso 308 sport muy cuidado y con mantenimientos al día
Motor potente de 120cv 1.6cc gasolina sin turbo y con distribución por cadena, tan solo con 140mil kms, etiqueta C , único propietario 2 llaves, batería nueva </t>
        </is>
      </c>
      <c r="AT30" s="2" t="inlineStr">
        <is>
          <t>https://es.wallapop.com/item/peugeot-308-2008-1318834980 (__NEXT_DATA__ item) /home/user/Alopecia/buscador-coches/raw/wallapop/3b63e46021db0664.json</t>
        </is>
      </c>
      <c r="AU30" s="3">
        <f>MAX(ANIO_ACTUAL-M30,0)</f>
        <v/>
      </c>
      <c r="AV30" s="4">
        <f>N30/MAX(AU30,0.5)</f>
        <v/>
      </c>
      <c r="AW30" s="4">
        <f>F30</f>
        <v/>
      </c>
      <c r="AX30" s="3">
        <f>AW30&amp;"|"&amp;INT(M30/SEG_ANIO)*SEG_ANIO</f>
        <v/>
      </c>
      <c r="AY30" s="3">
        <f>AX30&amp;"|"&amp;INT(N30/SEG_KM)*SEG_KM</f>
        <v/>
      </c>
      <c r="AZ30" s="4">
        <f>COUNTIF($AW$2:$AW$91,AW30)</f>
        <v/>
      </c>
      <c r="BA30" s="4">
        <f>COUNTIF($AX$2:$AX$91,AX30)</f>
        <v/>
      </c>
      <c r="BB30" s="4">
        <f>COUNTIF($AY$2:$AY$91,AY30)</f>
        <v/>
      </c>
      <c r="BC30" s="3">
        <f t="array" ref="BC30">IF(N(AO30)&gt;=MIN_N,AN30,IF(BB30&gt;=MIN_N,MEDIAN(IF($AY$2:$AY$91=AY30,$O$2:$O$91)),IF(BA30&gt;=MIN_N,MEDIAN(IF($AX$2:$AX$91=AX30,$O$2:$O$91)),MEDIAN(IF($AW$2:$AW$91=AW30,$O$2:$O$91)))))</f>
        <v/>
      </c>
      <c r="BD30" s="3">
        <f>IF(N(AO30)&gt;=MIN_N,"mercado "&amp;AP30,IF(BB30&gt;=MIN_N,"modelo+año+km",IF(BA30&gt;=MIN_N,"modelo+año","modelo")))</f>
        <v/>
      </c>
      <c r="BE30" s="4">
        <f>(BC30-O30)/BC30</f>
        <v/>
      </c>
      <c r="BF30" s="3">
        <f>IF(OR(K30="hibrido",K30="glp"),"ECO",IF(K30="electrico","CERO",IF(K30="gasolina",IF(M30&gt;=GAS_C,"C",IF(M30&gt;=GAS_B,"B","A")),IF(K30="diesel",IF(M30&gt;=DIE_C,"C",IF(M30&gt;=DIE_B,"B","A")),""))))</f>
        <v/>
      </c>
      <c r="BG30" s="3">
        <f>IFERROR(VLOOKUP(F30,MOD_TBL,11,0),IFERROR(VLOOKUP(E30,OCU_TBL,2,0),NEUTRO))</f>
        <v/>
      </c>
      <c r="BH30" s="3">
        <f>SUMIFS(MOT_AJUSTE,MOT_MOTOR,G30,MOT_MARCA,E30,MOT_DESDE,"&lt;="&amp;M30,MOT_HASTA,"&gt;="&amp;M30)+SUMIFS(MOT_AJUSTE,MOT_MOTOR,G30,MOT_MARCA,"(todas)",MOT_DESDE,"&lt;="&amp;M30,MOT_HASTA,"&gt;="&amp;M30)</f>
        <v/>
      </c>
      <c r="BI30" s="3">
        <f>SUMIFS(COMB_AJUSTE,COMB_COMB,K30)</f>
        <v/>
      </c>
      <c r="BJ30" s="4">
        <f>MAX(0,MIN(100,BG30+BH30+BI30))</f>
        <v/>
      </c>
      <c r="BK30" s="3">
        <f>MAX(0,MIN(100,50+BE30*PRECIO_PEND))</f>
        <v/>
      </c>
      <c r="BL30" s="3">
        <f>MAX(0,100*(1-N30/KM_MAX))</f>
        <v/>
      </c>
      <c r="BM30" s="3">
        <f>IF(AV30&lt;KMA_SOSP,IF(AA30="sí",100,KMA_PEN),IF(AV30&lt;=KMA_IDEAL_MAX,100,MAX(0,100*(KMA_CERO-AV30)/(KMA_CERO-KMA_IDEAL_MAX))))</f>
        <v/>
      </c>
      <c r="BN30" s="3">
        <f>MAX(0,MIN(100,100*(M30-ANIO_MIN)/(ANIO_ACTUAL-ANIO_MIN)))</f>
        <v/>
      </c>
      <c r="BO30" s="3">
        <f>W_KMT*BL30+W_KMA*BM30+W_EDAD*BN30</f>
        <v/>
      </c>
      <c r="BP30" s="3">
        <f>P_ITV*(V30="sí")+P_LIBRO*(W30="sí")+P_CORREA*(X30="sí")+P_PROP*(Y30=1)+P_GAR*(Z30="sí")+P_FOTOS*MIN(1,N(U30)/FOTOS_OBJ)</f>
        <v/>
      </c>
      <c r="BQ30" s="3">
        <f>IFERROR(VLOOKUP(BF30,ETQ_TBL,2,0),NEUTRO)</f>
        <v/>
      </c>
      <c r="BR30" s="3">
        <f>NEUTRO</f>
        <v/>
      </c>
      <c r="BS30" s="3">
        <f>IFERROR(VLOOKUP(L30,SEGURO_TBL,3,0),"")</f>
        <v/>
      </c>
      <c r="BT30" s="3">
        <f>IF(BS30="",NEUTRO,MAX(0,MIN(100,100*(SEG_REF_MAX-BS30)/(SEG_REF_MAX-SEG_REF_MIN))))</f>
        <v/>
      </c>
      <c r="BU30" s="3">
        <f>W_ET*BQ30+W_CONS*BR30+W_SEG*BT30</f>
        <v/>
      </c>
      <c r="BV30" s="3">
        <f>IF(N(AB30)&gt;0,AB30,IF(AND(R30="profesional",SG_LEGAL_ON=1),GAR_LEGAL,0))</f>
        <v/>
      </c>
      <c r="BW30" s="3">
        <f>SG_GAR*MIN(1,BV30/SG_GAR_FULL)+SG_AMPL*(AC30="sí")+SG_KMC*(AF30="sí")+SG_REV*(N(AE30)&gt;0)+SG_DEV*MIN(1,N(AG30)/SG_DEV_FULL)+SG_HIST*(W30="sí")</f>
        <v/>
      </c>
      <c r="BX30" s="3">
        <f>W_FIAB*BJ30+W_PRECIO*BK30+W_KMEDAD*BO30+W_ANUNCIO*BP30+W_USO*BU30+W_SEGURIDAD*BW30</f>
        <v/>
      </c>
      <c r="BY30" s="4">
        <f>IF(N(I30)&gt;0,I30,IFERROR(ROUND(_xlfn.NUMBERVALUE(LEFT(G30,FIND(" ",G30&amp;" ")-1),".")*1000,0),99999))</f>
        <v/>
      </c>
      <c r="BZ30" s="3">
        <f>IF(R30="profesional",0,IF(O30&lt;CUOTA_VALOR_MAX,IF(AU30&gt;ITP_TRAMO_ALTO,SUMIFS(CF_CUOTA,CF_MAS,ITP_TRAMO_ALTO,CF_CCMIN,"&lt;="&amp;BY30,CF_CCMAX,"&gt;="&amp;BY30),IF(AU30&gt;ITP_TRAMO_BAJO,SUMIFS(CF_CUOTA,CF_MAS,ITP_TRAMO_BAJO,CF_CCMIN,"&lt;="&amp;BY30,CF_CCMAX,"&gt;="&amp;BY30),O30*ITP_TIPO)),O30*ITP_TIPO))</f>
        <v/>
      </c>
      <c r="CA30" s="4">
        <f>IF(R30="profesional",N(AK30),0)</f>
        <v/>
      </c>
      <c r="CB30" s="3">
        <f>IF(AND(R30="profesional",ISNUMBER(AK30),AL30="sí"),0,TASA_DGT)</f>
        <v/>
      </c>
      <c r="CC30" s="3">
        <f>INFORME_DGT</f>
        <v/>
      </c>
      <c r="CD30" s="4">
        <f>O30+CA30+BZ30+CB30+CC30</f>
        <v/>
      </c>
      <c r="CE30" s="4">
        <f>CD30+N(BS30)</f>
        <v/>
      </c>
      <c r="CF30" s="3">
        <f>IF(CD30&lt;=TOTAL_MAX,"sí","no")</f>
        <v/>
      </c>
      <c r="CG30" s="4">
        <f>IF(CF30="sí",COUNTIFS($CF$2:$CF$91,"sí",$BX$2:$BX$91,"&gt;"&amp;BX30)+COUNTIFS($CF$2:CF30,"sí",$BX$2:BX30,BX30),"")</f>
        <v/>
      </c>
    </row>
    <row r="31">
      <c r="A31" s="2" t="inlineStr">
        <is>
          <t>wallapop:1313565029</t>
        </is>
      </c>
      <c r="B31" s="2" t="inlineStr">
        <is>
          <t>wallapop</t>
        </is>
      </c>
      <c r="C31" s="2" t="inlineStr">
        <is>
          <t>https://es.wallapop.com/item/peugeot-308-1-6-vti-120cv-solo-126-000-km-itv-1313565029</t>
        </is>
      </c>
      <c r="D31" s="2" t="inlineStr">
        <is>
          <t>Peugeot 308 1.6 VTi 120cv | ¡Solo 126.000 km! ITV</t>
        </is>
      </c>
      <c r="E31" s="2" t="inlineStr">
        <is>
          <t>Peugeot</t>
        </is>
      </c>
      <c r="F31" s="2" t="inlineStr">
        <is>
          <t>Peugeot 308</t>
        </is>
      </c>
      <c r="G31" s="2" t="inlineStr">
        <is>
          <t>1.6 VTi</t>
        </is>
      </c>
      <c r="H31" s="2" t="inlineStr">
        <is>
          <t>1.6 VTi 120 Confort 5p</t>
        </is>
      </c>
      <c r="I31" s="2" t="n"/>
      <c r="J31" s="2" t="n">
        <v>120</v>
      </c>
      <c r="K31" s="2" t="inlineStr">
        <is>
          <t>gasolina</t>
        </is>
      </c>
      <c r="L31" s="2" t="inlineStr">
        <is>
          <t>compacto</t>
        </is>
      </c>
      <c r="M31" s="2" t="n">
        <v>2008</v>
      </c>
      <c r="N31" s="2" t="n">
        <v>126000</v>
      </c>
      <c r="O31" s="2" t="n">
        <v>2999</v>
      </c>
      <c r="P31" s="2" t="inlineStr">
        <is>
          <t>manual</t>
        </is>
      </c>
      <c r="Q31" s="2" t="inlineStr">
        <is>
          <t>no</t>
        </is>
      </c>
      <c r="R31" s="2" t="inlineStr">
        <is>
          <t>particular</t>
        </is>
      </c>
      <c r="S31" s="2" t="inlineStr">
        <is>
          <t>Valencia (46021)</t>
        </is>
      </c>
      <c r="T31" s="2" t="inlineStr">
        <is>
          <t>2026-10-29T09:07:31</t>
        </is>
      </c>
      <c r="U31" s="2" t="n">
        <v>10</v>
      </c>
      <c r="V31" s="2" t="inlineStr">
        <is>
          <t>sí</t>
        </is>
      </c>
      <c r="W31" s="2" t="n"/>
      <c r="X31" s="2" t="n"/>
      <c r="Y31" s="2" t="n"/>
      <c r="Z31" s="2" t="n"/>
      <c r="AA31" s="2" t="n"/>
      <c r="AB31" s="2" t="n"/>
      <c r="AC31" s="2" t="n"/>
      <c r="AD31" s="2" t="n"/>
      <c r="AE31" s="2" t="n"/>
      <c r="AF31" s="2" t="n"/>
      <c r="AG31" s="2" t="n"/>
      <c r="AH31" s="2" t="n"/>
      <c r="AI31" s="2" t="n"/>
      <c r="AJ31" s="2" t="n"/>
      <c r="AK31" s="2" t="n"/>
      <c r="AL31" s="2" t="n"/>
      <c r="AM31" s="2" t="n">
        <v>2.5</v>
      </c>
      <c r="AN31" s="2" t="n">
        <v>4000</v>
      </c>
      <c r="AO31" s="2" t="n">
        <v>7</v>
      </c>
      <c r="AP31" s="2" t="inlineStr">
        <is>
          <t>modelo+año+km</t>
        </is>
      </c>
      <c r="AQ31" s="2" t="inlineStr">
        <is>
          <t>cochesnet:71804396 (https://www.coches.net/peugeot-308-premium-16-vti-120-5p-gasolina-2008-en-valencia-71804396-covo.aspx)</t>
        </is>
      </c>
      <c r="AR31" s="2" t="inlineStr">
        <is>
          <t>cuota fija ITP: &gt;12 años, 1.501-2.000 cc</t>
        </is>
      </c>
      <c r="AS31" s="2" t="inlineStr">
        <is>
          <t xml:space="preserve">Vendo Peugeot 308 1.6 VTi de gasolina con 120 cv y solo 120.000 kilómetros reales y certificados. Yo soy segundo propietario. ITV hasta marzo de 2026. Neumaticos delanteros de marzo 2026 y traseros en excelente estado. El coche mecánicamente está impecable, va finísimo y tiene los mantenimientos totalmente al día. Lleva motor con distribución por cadena (muy fiable, te olvidas de cambiar la correa).
Coche totalmente libre de inundaciones o siniestros (DANA). Siempre resguardado.
* Etiqueta C (Verde): Sin restricciones para circular por la ZBE de Valencia.
* Kilometraje: 120.000 km reales. Año 2008 (Matrícula GBS).
* Estado mecánico: ITV en vigor, neumáticos en buen estado y revisiones al día. Listo para llevar y usar desde el primer día sin gastar nada.
* Estado estético: El interior está muy limpio y cuidado. Por fuera tiene algunos rayones típicos del uso diario y de aparcar (nada grave, se ve en las fotos), de ahí que el precio esté ajustado.
* Equipamiento: Climatizador, control de crucero/velocidad, elevalunas eléctricos, ordenador de a bordo.
Se puede ver en Valencia capital y acepto cualquier tipo de prueba mecánica para verificar su excelente estado de motor. Disponibilidad inmediata para transferir. No cambios. </t>
        </is>
      </c>
      <c r="AT31" s="2" t="inlineStr">
        <is>
          <t>https://es.wallapop.com/item/peugeot-308-1-6-vti-120cv-solo-126-000-km-itv-1313565029 (__NEXT_DATA__ item) /home/user/Alopecia/buscador-coches/raw/wallapop/ffa1b5093b40cc76.json</t>
        </is>
      </c>
      <c r="AU31" s="3">
        <f>MAX(ANIO_ACTUAL-M31,0)</f>
        <v/>
      </c>
      <c r="AV31" s="4">
        <f>N31/MAX(AU31,0.5)</f>
        <v/>
      </c>
      <c r="AW31" s="4">
        <f>F31</f>
        <v/>
      </c>
      <c r="AX31" s="3">
        <f>AW31&amp;"|"&amp;INT(M31/SEG_ANIO)*SEG_ANIO</f>
        <v/>
      </c>
      <c r="AY31" s="3">
        <f>AX31&amp;"|"&amp;INT(N31/SEG_KM)*SEG_KM</f>
        <v/>
      </c>
      <c r="AZ31" s="4">
        <f>COUNTIF($AW$2:$AW$91,AW31)</f>
        <v/>
      </c>
      <c r="BA31" s="4">
        <f>COUNTIF($AX$2:$AX$91,AX31)</f>
        <v/>
      </c>
      <c r="BB31" s="4">
        <f>COUNTIF($AY$2:$AY$91,AY31)</f>
        <v/>
      </c>
      <c r="BC31" s="3">
        <f t="array" ref="BC31">IF(N(AO31)&gt;=MIN_N,AN31,IF(BB31&gt;=MIN_N,MEDIAN(IF($AY$2:$AY$91=AY31,$O$2:$O$91)),IF(BA31&gt;=MIN_N,MEDIAN(IF($AX$2:$AX$91=AX31,$O$2:$O$91)),MEDIAN(IF($AW$2:$AW$91=AW31,$O$2:$O$91)))))</f>
        <v/>
      </c>
      <c r="BD31" s="3">
        <f>IF(N(AO31)&gt;=MIN_N,"mercado "&amp;AP31,IF(BB31&gt;=MIN_N,"modelo+año+km",IF(BA31&gt;=MIN_N,"modelo+año","modelo")))</f>
        <v/>
      </c>
      <c r="BE31" s="4">
        <f>(BC31-O31)/BC31</f>
        <v/>
      </c>
      <c r="BF31" s="3">
        <f>IF(OR(K31="hibrido",K31="glp"),"ECO",IF(K31="electrico","CERO",IF(K31="gasolina",IF(M31&gt;=GAS_C,"C",IF(M31&gt;=GAS_B,"B","A")),IF(K31="diesel",IF(M31&gt;=DIE_C,"C",IF(M31&gt;=DIE_B,"B","A")),""))))</f>
        <v/>
      </c>
      <c r="BG31" s="3">
        <f>IFERROR(VLOOKUP(F31,MOD_TBL,11,0),IFERROR(VLOOKUP(E31,OCU_TBL,2,0),NEUTRO))</f>
        <v/>
      </c>
      <c r="BH31" s="3">
        <f>SUMIFS(MOT_AJUSTE,MOT_MOTOR,G31,MOT_MARCA,E31,MOT_DESDE,"&lt;="&amp;M31,MOT_HASTA,"&gt;="&amp;M31)+SUMIFS(MOT_AJUSTE,MOT_MOTOR,G31,MOT_MARCA,"(todas)",MOT_DESDE,"&lt;="&amp;M31,MOT_HASTA,"&gt;="&amp;M31)</f>
        <v/>
      </c>
      <c r="BI31" s="3">
        <f>SUMIFS(COMB_AJUSTE,COMB_COMB,K31)</f>
        <v/>
      </c>
      <c r="BJ31" s="4">
        <f>MAX(0,MIN(100,BG31+BH31+BI31))</f>
        <v/>
      </c>
      <c r="BK31" s="3">
        <f>MAX(0,MIN(100,50+BE31*PRECIO_PEND))</f>
        <v/>
      </c>
      <c r="BL31" s="3">
        <f>MAX(0,100*(1-N31/KM_MAX))</f>
        <v/>
      </c>
      <c r="BM31" s="3">
        <f>IF(AV31&lt;KMA_SOSP,IF(AA31="sí",100,KMA_PEN),IF(AV31&lt;=KMA_IDEAL_MAX,100,MAX(0,100*(KMA_CERO-AV31)/(KMA_CERO-KMA_IDEAL_MAX))))</f>
        <v/>
      </c>
      <c r="BN31" s="3">
        <f>MAX(0,MIN(100,100*(M31-ANIO_MIN)/(ANIO_ACTUAL-ANIO_MIN)))</f>
        <v/>
      </c>
      <c r="BO31" s="3">
        <f>W_KMT*BL31+W_KMA*BM31+W_EDAD*BN31</f>
        <v/>
      </c>
      <c r="BP31" s="3">
        <f>P_ITV*(V31="sí")+P_LIBRO*(W31="sí")+P_CORREA*(X31="sí")+P_PROP*(Y31=1)+P_GAR*(Z31="sí")+P_FOTOS*MIN(1,N(U31)/FOTOS_OBJ)</f>
        <v/>
      </c>
      <c r="BQ31" s="3">
        <f>IFERROR(VLOOKUP(BF31,ETQ_TBL,2,0),NEUTRO)</f>
        <v/>
      </c>
      <c r="BR31" s="3">
        <f>NEUTRO</f>
        <v/>
      </c>
      <c r="BS31" s="3">
        <f>IFERROR(VLOOKUP(L31,SEGURO_TBL,3,0),"")</f>
        <v/>
      </c>
      <c r="BT31" s="3">
        <f>IF(BS31="",NEUTRO,MAX(0,MIN(100,100*(SEG_REF_MAX-BS31)/(SEG_REF_MAX-SEG_REF_MIN))))</f>
        <v/>
      </c>
      <c r="BU31" s="3">
        <f>W_ET*BQ31+W_CONS*BR31+W_SEG*BT31</f>
        <v/>
      </c>
      <c r="BV31" s="3">
        <f>IF(N(AB31)&gt;0,AB31,IF(AND(R31="profesional",SG_LEGAL_ON=1),GAR_LEGAL,0))</f>
        <v/>
      </c>
      <c r="BW31" s="3">
        <f>SG_GAR*MIN(1,BV31/SG_GAR_FULL)+SG_AMPL*(AC31="sí")+SG_KMC*(AF31="sí")+SG_REV*(N(AE31)&gt;0)+SG_DEV*MIN(1,N(AG31)/SG_DEV_FULL)+SG_HIST*(W31="sí")</f>
        <v/>
      </c>
      <c r="BX31" s="3">
        <f>W_FIAB*BJ31+W_PRECIO*BK31+W_KMEDAD*BO31+W_ANUNCIO*BP31+W_USO*BU31+W_SEGURIDAD*BW31</f>
        <v/>
      </c>
      <c r="BY31" s="4">
        <f>IF(N(I31)&gt;0,I31,IFERROR(ROUND(_xlfn.NUMBERVALUE(LEFT(G31,FIND(" ",G31&amp;" ")-1),".")*1000,0),99999))</f>
        <v/>
      </c>
      <c r="BZ31" s="3">
        <f>IF(R31="profesional",0,IF(O31&lt;CUOTA_VALOR_MAX,IF(AU31&gt;ITP_TRAMO_ALTO,SUMIFS(CF_CUOTA,CF_MAS,ITP_TRAMO_ALTO,CF_CCMIN,"&lt;="&amp;BY31,CF_CCMAX,"&gt;="&amp;BY31),IF(AU31&gt;ITP_TRAMO_BAJO,SUMIFS(CF_CUOTA,CF_MAS,ITP_TRAMO_BAJO,CF_CCMIN,"&lt;="&amp;BY31,CF_CCMAX,"&gt;="&amp;BY31),O31*ITP_TIPO)),O31*ITP_TIPO))</f>
        <v/>
      </c>
      <c r="CA31" s="4">
        <f>IF(R31="profesional",N(AK31),0)</f>
        <v/>
      </c>
      <c r="CB31" s="3">
        <f>IF(AND(R31="profesional",ISNUMBER(AK31),AL31="sí"),0,TASA_DGT)</f>
        <v/>
      </c>
      <c r="CC31" s="3">
        <f>INFORME_DGT</f>
        <v/>
      </c>
      <c r="CD31" s="4">
        <f>O31+CA31+BZ31+CB31+CC31</f>
        <v/>
      </c>
      <c r="CE31" s="4">
        <f>CD31+N(BS31)</f>
        <v/>
      </c>
      <c r="CF31" s="3">
        <f>IF(CD31&lt;=TOTAL_MAX,"sí","no")</f>
        <v/>
      </c>
      <c r="CG31" s="4">
        <f>IF(CF31="sí",COUNTIFS($CF$2:$CF$91,"sí",$BX$2:$BX$91,"&gt;"&amp;BX31)+COUNTIFS($CF$2:CF31,"sí",$BX$2:BX31,BX31),"")</f>
        <v/>
      </c>
    </row>
    <row r="32">
      <c r="A32" s="2" t="inlineStr">
        <is>
          <t>wallapop:1311163176</t>
        </is>
      </c>
      <c r="B32" s="2" t="inlineStr">
        <is>
          <t>wallapop</t>
        </is>
      </c>
      <c r="C32" s="2" t="inlineStr">
        <is>
          <t>https://es.wallapop.com/item/ford-ka-2014-1311163176</t>
        </is>
      </c>
      <c r="D32" s="2" t="inlineStr">
        <is>
          <t>Ford Ka 2014</t>
        </is>
      </c>
      <c r="E32" s="2" t="inlineStr">
        <is>
          <t>Ford</t>
        </is>
      </c>
      <c r="F32" s="2" t="inlineStr">
        <is>
          <t>Ford Ka</t>
        </is>
      </c>
      <c r="G32" s="2" t="inlineStr">
        <is>
          <t>1.2</t>
        </is>
      </c>
      <c r="H32" s="2" t="inlineStr">
        <is>
          <t>1.2 69 Urban 3p S/S</t>
        </is>
      </c>
      <c r="I32" s="2" t="n"/>
      <c r="J32" s="2" t="n">
        <v>69</v>
      </c>
      <c r="K32" s="2" t="inlineStr">
        <is>
          <t>gasolina</t>
        </is>
      </c>
      <c r="L32" s="2" t="inlineStr">
        <is>
          <t>utilitario</t>
        </is>
      </c>
      <c r="M32" s="2" t="n">
        <v>2014</v>
      </c>
      <c r="N32" s="2" t="n">
        <v>177000</v>
      </c>
      <c r="O32" s="2" t="n">
        <v>4200</v>
      </c>
      <c r="P32" s="2" t="inlineStr">
        <is>
          <t>manual</t>
        </is>
      </c>
      <c r="Q32" s="2" t="inlineStr">
        <is>
          <t>no</t>
        </is>
      </c>
      <c r="R32" s="2" t="inlineStr">
        <is>
          <t>particular</t>
        </is>
      </c>
      <c r="S32" s="2" t="inlineStr">
        <is>
          <t>Valencia (46002)</t>
        </is>
      </c>
      <c r="T32" s="2" t="inlineStr">
        <is>
          <t>2026-10-13T00:21:09</t>
        </is>
      </c>
      <c r="U32" s="2" t="n">
        <v>7</v>
      </c>
      <c r="V32" s="2" t="inlineStr">
        <is>
          <t>sí</t>
        </is>
      </c>
      <c r="W32" s="2" t="n"/>
      <c r="X32" s="2" t="inlineStr">
        <is>
          <t>sí</t>
        </is>
      </c>
      <c r="Y32" s="2" t="n"/>
      <c r="Z32" s="2" t="n"/>
      <c r="AA32" s="2" t="n"/>
      <c r="AB32" s="2" t="n"/>
      <c r="AC32" s="2" t="n"/>
      <c r="AD32" s="2" t="n"/>
      <c r="AE32" s="2" t="n"/>
      <c r="AF32" s="2" t="n"/>
      <c r="AG32" s="2" t="n"/>
      <c r="AH32" s="2" t="n"/>
      <c r="AI32" s="2" t="n"/>
      <c r="AJ32" s="2" t="n"/>
      <c r="AK32" s="2" t="n"/>
      <c r="AL32" s="2" t="n"/>
      <c r="AM32" s="2" t="n">
        <v>0.8</v>
      </c>
      <c r="AN32" s="2" t="n">
        <v>4990</v>
      </c>
      <c r="AO32" s="2" t="n">
        <v>6</v>
      </c>
      <c r="AP32" s="2" t="inlineStr">
        <is>
          <t>modelo+año</t>
        </is>
      </c>
      <c r="AQ32" s="2" t="n"/>
      <c r="AR32" s="2" t="inlineStr">
        <is>
          <t>cuota fija ITP: &gt;5 y &lt;=12 años, hasta 1.500 cc; fiabilidad del modelo PENDIENTE de fuente (puntuación neutra)</t>
        </is>
      </c>
      <c r="AS32" s="2" t="inlineStr">
        <is>
          <t xml:space="preserve">Coche en perfecto estado, ITV al dia, funciona todo, aire acondicionado, Navegador GPS, elevalunas eléctrico, star and stop, se usa todos los días, gasta poco, el seguro es barato y se aparca fácil, muy bien de chapa y pintura. Ruedas traser nuevas hace 2.000 kms, delanteras bastante nuevas, aceite y mantenimientos todo al dia, correa distribucion hecha hace 30.0000 kms, listo para rodar muchos Kilometros. </t>
        </is>
      </c>
      <c r="AT32" s="2" t="inlineStr">
        <is>
          <t>https://es.wallapop.com/item/ford-ka-2014-1311163176 (__NEXT_DATA__ item) /home/user/Alopecia/buscador-coches/raw/wallapop/ab3adf6bda39cb9c.json</t>
        </is>
      </c>
      <c r="AU32" s="3">
        <f>MAX(ANIO_ACTUAL-M32,0)</f>
        <v/>
      </c>
      <c r="AV32" s="4">
        <f>N32/MAX(AU32,0.5)</f>
        <v/>
      </c>
      <c r="AW32" s="4">
        <f>F32</f>
        <v/>
      </c>
      <c r="AX32" s="3">
        <f>AW32&amp;"|"&amp;INT(M32/SEG_ANIO)*SEG_ANIO</f>
        <v/>
      </c>
      <c r="AY32" s="3">
        <f>AX32&amp;"|"&amp;INT(N32/SEG_KM)*SEG_KM</f>
        <v/>
      </c>
      <c r="AZ32" s="4">
        <f>COUNTIF($AW$2:$AW$91,AW32)</f>
        <v/>
      </c>
      <c r="BA32" s="4">
        <f>COUNTIF($AX$2:$AX$91,AX32)</f>
        <v/>
      </c>
      <c r="BB32" s="4">
        <f>COUNTIF($AY$2:$AY$91,AY32)</f>
        <v/>
      </c>
      <c r="BC32" s="3">
        <f t="array" ref="BC32">IF(N(AO32)&gt;=MIN_N,AN32,IF(BB32&gt;=MIN_N,MEDIAN(IF($AY$2:$AY$91=AY32,$O$2:$O$91)),IF(BA32&gt;=MIN_N,MEDIAN(IF($AX$2:$AX$91=AX32,$O$2:$O$91)),MEDIAN(IF($AW$2:$AW$91=AW32,$O$2:$O$91)))))</f>
        <v/>
      </c>
      <c r="BD32" s="3">
        <f>IF(N(AO32)&gt;=MIN_N,"mercado "&amp;AP32,IF(BB32&gt;=MIN_N,"modelo+año+km",IF(BA32&gt;=MIN_N,"modelo+año","modelo")))</f>
        <v/>
      </c>
      <c r="BE32" s="4">
        <f>(BC32-O32)/BC32</f>
        <v/>
      </c>
      <c r="BF32" s="3">
        <f>IF(OR(K32="hibrido",K32="glp"),"ECO",IF(K32="electrico","CERO",IF(K32="gasolina",IF(M32&gt;=GAS_C,"C",IF(M32&gt;=GAS_B,"B","A")),IF(K32="diesel",IF(M32&gt;=DIE_C,"C",IF(M32&gt;=DIE_B,"B","A")),""))))</f>
        <v/>
      </c>
      <c r="BG32" s="3">
        <f>IFERROR(VLOOKUP(F32,MOD_TBL,11,0),IFERROR(VLOOKUP(E32,OCU_TBL,2,0),NEUTRO))</f>
        <v/>
      </c>
      <c r="BH32" s="3">
        <f>SUMIFS(MOT_AJUSTE,MOT_MOTOR,G32,MOT_MARCA,E32,MOT_DESDE,"&lt;="&amp;M32,MOT_HASTA,"&gt;="&amp;M32)+SUMIFS(MOT_AJUSTE,MOT_MOTOR,G32,MOT_MARCA,"(todas)",MOT_DESDE,"&lt;="&amp;M32,MOT_HASTA,"&gt;="&amp;M32)</f>
        <v/>
      </c>
      <c r="BI32" s="3">
        <f>SUMIFS(COMB_AJUSTE,COMB_COMB,K32)</f>
        <v/>
      </c>
      <c r="BJ32" s="4">
        <f>MAX(0,MIN(100,BG32+BH32+BI32))</f>
        <v/>
      </c>
      <c r="BK32" s="3">
        <f>MAX(0,MIN(100,50+BE32*PRECIO_PEND))</f>
        <v/>
      </c>
      <c r="BL32" s="3">
        <f>MAX(0,100*(1-N32/KM_MAX))</f>
        <v/>
      </c>
      <c r="BM32" s="3">
        <f>IF(AV32&lt;KMA_SOSP,IF(AA32="sí",100,KMA_PEN),IF(AV32&lt;=KMA_IDEAL_MAX,100,MAX(0,100*(KMA_CERO-AV32)/(KMA_CERO-KMA_IDEAL_MAX))))</f>
        <v/>
      </c>
      <c r="BN32" s="3">
        <f>MAX(0,MIN(100,100*(M32-ANIO_MIN)/(ANIO_ACTUAL-ANIO_MIN)))</f>
        <v/>
      </c>
      <c r="BO32" s="3">
        <f>W_KMT*BL32+W_KMA*BM32+W_EDAD*BN32</f>
        <v/>
      </c>
      <c r="BP32" s="3">
        <f>P_ITV*(V32="sí")+P_LIBRO*(W32="sí")+P_CORREA*(X32="sí")+P_PROP*(Y32=1)+P_GAR*(Z32="sí")+P_FOTOS*MIN(1,N(U32)/FOTOS_OBJ)</f>
        <v/>
      </c>
      <c r="BQ32" s="3">
        <f>IFERROR(VLOOKUP(BF32,ETQ_TBL,2,0),NEUTRO)</f>
        <v/>
      </c>
      <c r="BR32" s="3">
        <f>NEUTRO</f>
        <v/>
      </c>
      <c r="BS32" s="3">
        <f>IFERROR(VLOOKUP(L32,SEGURO_TBL,3,0),"")</f>
        <v/>
      </c>
      <c r="BT32" s="3">
        <f>IF(BS32="",NEUTRO,MAX(0,MIN(100,100*(SEG_REF_MAX-BS32)/(SEG_REF_MAX-SEG_REF_MIN))))</f>
        <v/>
      </c>
      <c r="BU32" s="3">
        <f>W_ET*BQ32+W_CONS*BR32+W_SEG*BT32</f>
        <v/>
      </c>
      <c r="BV32" s="3">
        <f>IF(N(AB32)&gt;0,AB32,IF(AND(R32="profesional",SG_LEGAL_ON=1),GAR_LEGAL,0))</f>
        <v/>
      </c>
      <c r="BW32" s="3">
        <f>SG_GAR*MIN(1,BV32/SG_GAR_FULL)+SG_AMPL*(AC32="sí")+SG_KMC*(AF32="sí")+SG_REV*(N(AE32)&gt;0)+SG_DEV*MIN(1,N(AG32)/SG_DEV_FULL)+SG_HIST*(W32="sí")</f>
        <v/>
      </c>
      <c r="BX32" s="3">
        <f>W_FIAB*BJ32+W_PRECIO*BK32+W_KMEDAD*BO32+W_ANUNCIO*BP32+W_USO*BU32+W_SEGURIDAD*BW32</f>
        <v/>
      </c>
      <c r="BY32" s="4">
        <f>IF(N(I32)&gt;0,I32,IFERROR(ROUND(_xlfn.NUMBERVALUE(LEFT(G32,FIND(" ",G32&amp;" ")-1),".")*1000,0),99999))</f>
        <v/>
      </c>
      <c r="BZ32" s="3">
        <f>IF(R32="profesional",0,IF(O32&lt;CUOTA_VALOR_MAX,IF(AU32&gt;ITP_TRAMO_ALTO,SUMIFS(CF_CUOTA,CF_MAS,ITP_TRAMO_ALTO,CF_CCMIN,"&lt;="&amp;BY32,CF_CCMAX,"&gt;="&amp;BY32),IF(AU32&gt;ITP_TRAMO_BAJO,SUMIFS(CF_CUOTA,CF_MAS,ITP_TRAMO_BAJO,CF_CCMIN,"&lt;="&amp;BY32,CF_CCMAX,"&gt;="&amp;BY32),O32*ITP_TIPO)),O32*ITP_TIPO))</f>
        <v/>
      </c>
      <c r="CA32" s="4">
        <f>IF(R32="profesional",N(AK32),0)</f>
        <v/>
      </c>
      <c r="CB32" s="3">
        <f>IF(AND(R32="profesional",ISNUMBER(AK32),AL32="sí"),0,TASA_DGT)</f>
        <v/>
      </c>
      <c r="CC32" s="3">
        <f>INFORME_DGT</f>
        <v/>
      </c>
      <c r="CD32" s="4">
        <f>O32+CA32+BZ32+CB32+CC32</f>
        <v/>
      </c>
      <c r="CE32" s="4">
        <f>CD32+N(BS32)</f>
        <v/>
      </c>
      <c r="CF32" s="3">
        <f>IF(CD32&lt;=TOTAL_MAX,"sí","no")</f>
        <v/>
      </c>
      <c r="CG32" s="4">
        <f>IF(CF32="sí",COUNTIFS($CF$2:$CF$91,"sí",$BX$2:$BX$91,"&gt;"&amp;BX32)+COUNTIFS($CF$2:CF32,"sí",$BX$2:BX32,BX32),"")</f>
        <v/>
      </c>
    </row>
    <row r="33">
      <c r="A33" s="2" t="inlineStr">
        <is>
          <t>wallapop:1294034931</t>
        </is>
      </c>
      <c r="B33" s="2" t="inlineStr">
        <is>
          <t>wallapop</t>
        </is>
      </c>
      <c r="C33" s="2" t="inlineStr">
        <is>
          <t>https://es.wallapop.com/item/ford-ka-2010-en-muy-buen-estado-1294034931</t>
        </is>
      </c>
      <c r="D33" s="2" t="inlineStr">
        <is>
          <t>Ford Ka 2010 en muy buen estado</t>
        </is>
      </c>
      <c r="E33" s="2" t="inlineStr">
        <is>
          <t>Ford</t>
        </is>
      </c>
      <c r="F33" s="2" t="inlineStr">
        <is>
          <t>Ford Ka</t>
        </is>
      </c>
      <c r="G33" s="2" t="inlineStr">
        <is>
          <t>1.2</t>
        </is>
      </c>
      <c r="H33" s="2" t="inlineStr">
        <is>
          <t>1.2 69 Trend+ 3p</t>
        </is>
      </c>
      <c r="I33" s="2" t="n"/>
      <c r="J33" s="2" t="n">
        <v>69</v>
      </c>
      <c r="K33" s="2" t="inlineStr">
        <is>
          <t>gasolina</t>
        </is>
      </c>
      <c r="L33" s="2" t="inlineStr">
        <is>
          <t>utilitario</t>
        </is>
      </c>
      <c r="M33" s="2" t="n">
        <v>2010</v>
      </c>
      <c r="N33" s="2" t="n">
        <v>159000</v>
      </c>
      <c r="O33" s="2" t="n">
        <v>2500</v>
      </c>
      <c r="P33" s="2" t="inlineStr">
        <is>
          <t>manual</t>
        </is>
      </c>
      <c r="Q33" s="2" t="inlineStr">
        <is>
          <t>no</t>
        </is>
      </c>
      <c r="R33" s="2" t="inlineStr">
        <is>
          <t>particular</t>
        </is>
      </c>
      <c r="S33" s="2" t="inlineStr">
        <is>
          <t>Valencia (46025)</t>
        </is>
      </c>
      <c r="T33" s="2" t="inlineStr">
        <is>
          <t>2026-10-08T20:08:31</t>
        </is>
      </c>
      <c r="U33" s="2" t="n">
        <v>6</v>
      </c>
      <c r="V33" s="2" t="inlineStr">
        <is>
          <t>sí</t>
        </is>
      </c>
      <c r="W33" s="2" t="n"/>
      <c r="X33" s="2" t="n"/>
      <c r="Y33" s="2" t="n"/>
      <c r="Z33" s="2" t="n"/>
      <c r="AA33" s="2" t="n"/>
      <c r="AB33" s="2" t="n"/>
      <c r="AC33" s="2" t="n"/>
      <c r="AD33" s="2" t="n"/>
      <c r="AE33" s="2" t="n"/>
      <c r="AF33" s="2" t="n"/>
      <c r="AG33" s="2" t="n"/>
      <c r="AH33" s="2" t="n"/>
      <c r="AI33" s="2" t="n"/>
      <c r="AJ33" s="2" t="n"/>
      <c r="AK33" s="2" t="n"/>
      <c r="AL33" s="2" t="n"/>
      <c r="AM33" s="2" t="n">
        <v>3.1</v>
      </c>
      <c r="AN33" s="2" t="n">
        <v>3000</v>
      </c>
      <c r="AO33" s="2" t="n">
        <v>9</v>
      </c>
      <c r="AP33" s="2" t="inlineStr">
        <is>
          <t>modelo+año</t>
        </is>
      </c>
      <c r="AQ33" s="2" t="n"/>
      <c r="AR33" s="2" t="inlineStr">
        <is>
          <t>cuota fija ITP: &gt;12 años, hasta 1.500 cc; fiabilidad del modelo PENDIENTE de fuente (puntuación neutra)</t>
        </is>
      </c>
      <c r="AS33" s="2" t="inlineStr">
        <is>
          <t>ITV pasada
Neumáticos cambiados
Revisión pasada
Correa distribución y kit de correa de servicio cambiada
Interior y exterior en muy buen estado (ver fotos)</t>
        </is>
      </c>
      <c r="AT33" s="2" t="inlineStr">
        <is>
          <t>https://es.wallapop.com/item/ford-ka-2010-en-muy-buen-estado-1294034931 (__NEXT_DATA__ item) /home/user/Alopecia/buscador-coches/raw/wallapop/ddaaf5d76c445008.json</t>
        </is>
      </c>
      <c r="AU33" s="3">
        <f>MAX(ANIO_ACTUAL-M33,0)</f>
        <v/>
      </c>
      <c r="AV33" s="4">
        <f>N33/MAX(AU33,0.5)</f>
        <v/>
      </c>
      <c r="AW33" s="4">
        <f>F33</f>
        <v/>
      </c>
      <c r="AX33" s="3">
        <f>AW33&amp;"|"&amp;INT(M33/SEG_ANIO)*SEG_ANIO</f>
        <v/>
      </c>
      <c r="AY33" s="3">
        <f>AX33&amp;"|"&amp;INT(N33/SEG_KM)*SEG_KM</f>
        <v/>
      </c>
      <c r="AZ33" s="4">
        <f>COUNTIF($AW$2:$AW$91,AW33)</f>
        <v/>
      </c>
      <c r="BA33" s="4">
        <f>COUNTIF($AX$2:$AX$91,AX33)</f>
        <v/>
      </c>
      <c r="BB33" s="4">
        <f>COUNTIF($AY$2:$AY$91,AY33)</f>
        <v/>
      </c>
      <c r="BC33" s="3">
        <f t="array" ref="BC33">IF(N(AO33)&gt;=MIN_N,AN33,IF(BB33&gt;=MIN_N,MEDIAN(IF($AY$2:$AY$91=AY33,$O$2:$O$91)),IF(BA33&gt;=MIN_N,MEDIAN(IF($AX$2:$AX$91=AX33,$O$2:$O$91)),MEDIAN(IF($AW$2:$AW$91=AW33,$O$2:$O$91)))))</f>
        <v/>
      </c>
      <c r="BD33" s="3">
        <f>IF(N(AO33)&gt;=MIN_N,"mercado "&amp;AP33,IF(BB33&gt;=MIN_N,"modelo+año+km",IF(BA33&gt;=MIN_N,"modelo+año","modelo")))</f>
        <v/>
      </c>
      <c r="BE33" s="4">
        <f>(BC33-O33)/BC33</f>
        <v/>
      </c>
      <c r="BF33" s="3">
        <f>IF(OR(K33="hibrido",K33="glp"),"ECO",IF(K33="electrico","CERO",IF(K33="gasolina",IF(M33&gt;=GAS_C,"C",IF(M33&gt;=GAS_B,"B","A")),IF(K33="diesel",IF(M33&gt;=DIE_C,"C",IF(M33&gt;=DIE_B,"B","A")),""))))</f>
        <v/>
      </c>
      <c r="BG33" s="3">
        <f>IFERROR(VLOOKUP(F33,MOD_TBL,11,0),IFERROR(VLOOKUP(E33,OCU_TBL,2,0),NEUTRO))</f>
        <v/>
      </c>
      <c r="BH33" s="3">
        <f>SUMIFS(MOT_AJUSTE,MOT_MOTOR,G33,MOT_MARCA,E33,MOT_DESDE,"&lt;="&amp;M33,MOT_HASTA,"&gt;="&amp;M33)+SUMIFS(MOT_AJUSTE,MOT_MOTOR,G33,MOT_MARCA,"(todas)",MOT_DESDE,"&lt;="&amp;M33,MOT_HASTA,"&gt;="&amp;M33)</f>
        <v/>
      </c>
      <c r="BI33" s="3">
        <f>SUMIFS(COMB_AJUSTE,COMB_COMB,K33)</f>
        <v/>
      </c>
      <c r="BJ33" s="4">
        <f>MAX(0,MIN(100,BG33+BH33+BI33))</f>
        <v/>
      </c>
      <c r="BK33" s="3">
        <f>MAX(0,MIN(100,50+BE33*PRECIO_PEND))</f>
        <v/>
      </c>
      <c r="BL33" s="3">
        <f>MAX(0,100*(1-N33/KM_MAX))</f>
        <v/>
      </c>
      <c r="BM33" s="3">
        <f>IF(AV33&lt;KMA_SOSP,IF(AA33="sí",100,KMA_PEN),IF(AV33&lt;=KMA_IDEAL_MAX,100,MAX(0,100*(KMA_CERO-AV33)/(KMA_CERO-KMA_IDEAL_MAX))))</f>
        <v/>
      </c>
      <c r="BN33" s="3">
        <f>MAX(0,MIN(100,100*(M33-ANIO_MIN)/(ANIO_ACTUAL-ANIO_MIN)))</f>
        <v/>
      </c>
      <c r="BO33" s="3">
        <f>W_KMT*BL33+W_KMA*BM33+W_EDAD*BN33</f>
        <v/>
      </c>
      <c r="BP33" s="3">
        <f>P_ITV*(V33="sí")+P_LIBRO*(W33="sí")+P_CORREA*(X33="sí")+P_PROP*(Y33=1)+P_GAR*(Z33="sí")+P_FOTOS*MIN(1,N(U33)/FOTOS_OBJ)</f>
        <v/>
      </c>
      <c r="BQ33" s="3">
        <f>IFERROR(VLOOKUP(BF33,ETQ_TBL,2,0),NEUTRO)</f>
        <v/>
      </c>
      <c r="BR33" s="3">
        <f>NEUTRO</f>
        <v/>
      </c>
      <c r="BS33" s="3">
        <f>IFERROR(VLOOKUP(L33,SEGURO_TBL,3,0),"")</f>
        <v/>
      </c>
      <c r="BT33" s="3">
        <f>IF(BS33="",NEUTRO,MAX(0,MIN(100,100*(SEG_REF_MAX-BS33)/(SEG_REF_MAX-SEG_REF_MIN))))</f>
        <v/>
      </c>
      <c r="BU33" s="3">
        <f>W_ET*BQ33+W_CONS*BR33+W_SEG*BT33</f>
        <v/>
      </c>
      <c r="BV33" s="3">
        <f>IF(N(AB33)&gt;0,AB33,IF(AND(R33="profesional",SG_LEGAL_ON=1),GAR_LEGAL,0))</f>
        <v/>
      </c>
      <c r="BW33" s="3">
        <f>SG_GAR*MIN(1,BV33/SG_GAR_FULL)+SG_AMPL*(AC33="sí")+SG_KMC*(AF33="sí")+SG_REV*(N(AE33)&gt;0)+SG_DEV*MIN(1,N(AG33)/SG_DEV_FULL)+SG_HIST*(W33="sí")</f>
        <v/>
      </c>
      <c r="BX33" s="3">
        <f>W_FIAB*BJ33+W_PRECIO*BK33+W_KMEDAD*BO33+W_ANUNCIO*BP33+W_USO*BU33+W_SEGURIDAD*BW33</f>
        <v/>
      </c>
      <c r="BY33" s="4">
        <f>IF(N(I33)&gt;0,I33,IFERROR(ROUND(_xlfn.NUMBERVALUE(LEFT(G33,FIND(" ",G33&amp;" ")-1),".")*1000,0),99999))</f>
        <v/>
      </c>
      <c r="BZ33" s="3">
        <f>IF(R33="profesional",0,IF(O33&lt;CUOTA_VALOR_MAX,IF(AU33&gt;ITP_TRAMO_ALTO,SUMIFS(CF_CUOTA,CF_MAS,ITP_TRAMO_ALTO,CF_CCMIN,"&lt;="&amp;BY33,CF_CCMAX,"&gt;="&amp;BY33),IF(AU33&gt;ITP_TRAMO_BAJO,SUMIFS(CF_CUOTA,CF_MAS,ITP_TRAMO_BAJO,CF_CCMIN,"&lt;="&amp;BY33,CF_CCMAX,"&gt;="&amp;BY33),O33*ITP_TIPO)),O33*ITP_TIPO))</f>
        <v/>
      </c>
      <c r="CA33" s="4">
        <f>IF(R33="profesional",N(AK33),0)</f>
        <v/>
      </c>
      <c r="CB33" s="3">
        <f>IF(AND(R33="profesional",ISNUMBER(AK33),AL33="sí"),0,TASA_DGT)</f>
        <v/>
      </c>
      <c r="CC33" s="3">
        <f>INFORME_DGT</f>
        <v/>
      </c>
      <c r="CD33" s="4">
        <f>O33+CA33+BZ33+CB33+CC33</f>
        <v/>
      </c>
      <c r="CE33" s="4">
        <f>CD33+N(BS33)</f>
        <v/>
      </c>
      <c r="CF33" s="3">
        <f>IF(CD33&lt;=TOTAL_MAX,"sí","no")</f>
        <v/>
      </c>
      <c r="CG33" s="4">
        <f>IF(CF33="sí",COUNTIFS($CF$2:$CF$91,"sí",$BX$2:$BX$91,"&gt;"&amp;BX33)+COUNTIFS($CF$2:CF33,"sí",$BX$2:BX33,BX33),"")</f>
        <v/>
      </c>
    </row>
    <row r="34">
      <c r="A34" s="2" t="inlineStr">
        <is>
          <t>wallapop:1299179562</t>
        </is>
      </c>
      <c r="B34" s="2" t="inlineStr">
        <is>
          <t>wallapop</t>
        </is>
      </c>
      <c r="C34" s="2" t="inlineStr">
        <is>
          <t>https://es.wallapop.com/item/ford-fiesta-2009-1299179562</t>
        </is>
      </c>
      <c r="D34" s="2" t="inlineStr">
        <is>
          <t>Ford Fiesta 2009</t>
        </is>
      </c>
      <c r="E34" s="2" t="inlineStr">
        <is>
          <t>Ford</t>
        </is>
      </c>
      <c r="F34" s="2" t="inlineStr">
        <is>
          <t>Ford Fiesta</t>
        </is>
      </c>
      <c r="G34" s="2" t="inlineStr">
        <is>
          <t>1.2</t>
        </is>
      </c>
      <c r="H34" s="2" t="inlineStr">
        <is>
          <t>1.25 82 Trend 5p</t>
        </is>
      </c>
      <c r="I34" s="2" t="n"/>
      <c r="J34" s="2" t="n">
        <v>82</v>
      </c>
      <c r="K34" s="2" t="inlineStr">
        <is>
          <t>gasolina</t>
        </is>
      </c>
      <c r="L34" s="2" t="inlineStr">
        <is>
          <t>utilitario</t>
        </is>
      </c>
      <c r="M34" s="2" t="n">
        <v>2009</v>
      </c>
      <c r="N34" s="2" t="n">
        <v>175000</v>
      </c>
      <c r="O34" s="2" t="n">
        <v>3449</v>
      </c>
      <c r="P34" s="2" t="inlineStr">
        <is>
          <t>manual</t>
        </is>
      </c>
      <c r="Q34" s="2" t="inlineStr">
        <is>
          <t>no</t>
        </is>
      </c>
      <c r="R34" s="2" t="inlineStr">
        <is>
          <t>particular</t>
        </is>
      </c>
      <c r="S34" s="2" t="inlineStr">
        <is>
          <t>Valencia (46003)</t>
        </is>
      </c>
      <c r="T34" s="2" t="inlineStr">
        <is>
          <t>2026-10-30T13:25:02</t>
        </is>
      </c>
      <c r="U34" s="2" t="n">
        <v>10</v>
      </c>
      <c r="V34" s="2" t="inlineStr">
        <is>
          <t>sí</t>
        </is>
      </c>
      <c r="W34" s="2" t="n"/>
      <c r="X34" s="2" t="n"/>
      <c r="Y34" s="2" t="n"/>
      <c r="Z34" s="2" t="n"/>
      <c r="AA34" s="2" t="n"/>
      <c r="AB34" s="2" t="n"/>
      <c r="AC34" s="2" t="n"/>
      <c r="AD34" s="2" t="n"/>
      <c r="AE34" s="2" t="n"/>
      <c r="AF34" s="2" t="n"/>
      <c r="AG34" s="2" t="n"/>
      <c r="AH34" s="2" t="n"/>
      <c r="AI34" s="2" t="n"/>
      <c r="AJ34" s="2" t="n"/>
      <c r="AK34" s="2" t="n"/>
      <c r="AL34" s="2" t="n"/>
      <c r="AM34" s="2" t="n">
        <v>0.2</v>
      </c>
      <c r="AN34" s="2" t="n">
        <v>4125</v>
      </c>
      <c r="AO34" s="2" t="n">
        <v>14</v>
      </c>
      <c r="AP34" s="2" t="inlineStr">
        <is>
          <t>modelo+año+km</t>
        </is>
      </c>
      <c r="AQ34" s="2" t="n"/>
      <c r="AR34" s="2" t="inlineStr">
        <is>
          <t>cuota fija ITP: &gt;12 años, hasta 1.500 cc</t>
        </is>
      </c>
      <c r="AS34" s="2" t="inlineStr">
        <is>
          <t>Los gastos de cambio de nombre corren a mi cargo. ITV en vigor hasta Noviembre de 2026. Funciona perfectamente, se puede probar sin problema. Tiene los dos juegos de llaves. El interior está muy bien cuidado. Lo vendo porque ya no lo necesito.
Cualquier foto o información adicional consultar sin problema.</t>
        </is>
      </c>
      <c r="AT34" s="2" t="inlineStr">
        <is>
          <t>https://es.wallapop.com/item/ford-fiesta-2009-1299179562 (__NEXT_DATA__ item) /home/user/Alopecia/buscador-coches/raw/wallapop/56b4c3f695254080.json</t>
        </is>
      </c>
      <c r="AU34" s="3">
        <f>MAX(ANIO_ACTUAL-M34,0)</f>
        <v/>
      </c>
      <c r="AV34" s="4">
        <f>N34/MAX(AU34,0.5)</f>
        <v/>
      </c>
      <c r="AW34" s="4">
        <f>F34</f>
        <v/>
      </c>
      <c r="AX34" s="3">
        <f>AW34&amp;"|"&amp;INT(M34/SEG_ANIO)*SEG_ANIO</f>
        <v/>
      </c>
      <c r="AY34" s="3">
        <f>AX34&amp;"|"&amp;INT(N34/SEG_KM)*SEG_KM</f>
        <v/>
      </c>
      <c r="AZ34" s="4">
        <f>COUNTIF($AW$2:$AW$91,AW34)</f>
        <v/>
      </c>
      <c r="BA34" s="4">
        <f>COUNTIF($AX$2:$AX$91,AX34)</f>
        <v/>
      </c>
      <c r="BB34" s="4">
        <f>COUNTIF($AY$2:$AY$91,AY34)</f>
        <v/>
      </c>
      <c r="BC34" s="3">
        <f t="array" ref="BC34">IF(N(AO34)&gt;=MIN_N,AN34,IF(BB34&gt;=MIN_N,MEDIAN(IF($AY$2:$AY$91=AY34,$O$2:$O$91)),IF(BA34&gt;=MIN_N,MEDIAN(IF($AX$2:$AX$91=AX34,$O$2:$O$91)),MEDIAN(IF($AW$2:$AW$91=AW34,$O$2:$O$91)))))</f>
        <v/>
      </c>
      <c r="BD34" s="3">
        <f>IF(N(AO34)&gt;=MIN_N,"mercado "&amp;AP34,IF(BB34&gt;=MIN_N,"modelo+año+km",IF(BA34&gt;=MIN_N,"modelo+año","modelo")))</f>
        <v/>
      </c>
      <c r="BE34" s="4">
        <f>(BC34-O34)/BC34</f>
        <v/>
      </c>
      <c r="BF34" s="3">
        <f>IF(OR(K34="hibrido",K34="glp"),"ECO",IF(K34="electrico","CERO",IF(K34="gasolina",IF(M34&gt;=GAS_C,"C",IF(M34&gt;=GAS_B,"B","A")),IF(K34="diesel",IF(M34&gt;=DIE_C,"C",IF(M34&gt;=DIE_B,"B","A")),""))))</f>
        <v/>
      </c>
      <c r="BG34" s="3">
        <f>IFERROR(VLOOKUP(F34,MOD_TBL,11,0),IFERROR(VLOOKUP(E34,OCU_TBL,2,0),NEUTRO))</f>
        <v/>
      </c>
      <c r="BH34" s="3">
        <f>SUMIFS(MOT_AJUSTE,MOT_MOTOR,G34,MOT_MARCA,E34,MOT_DESDE,"&lt;="&amp;M34,MOT_HASTA,"&gt;="&amp;M34)+SUMIFS(MOT_AJUSTE,MOT_MOTOR,G34,MOT_MARCA,"(todas)",MOT_DESDE,"&lt;="&amp;M34,MOT_HASTA,"&gt;="&amp;M34)</f>
        <v/>
      </c>
      <c r="BI34" s="3">
        <f>SUMIFS(COMB_AJUSTE,COMB_COMB,K34)</f>
        <v/>
      </c>
      <c r="BJ34" s="4">
        <f>MAX(0,MIN(100,BG34+BH34+BI34))</f>
        <v/>
      </c>
      <c r="BK34" s="3">
        <f>MAX(0,MIN(100,50+BE34*PRECIO_PEND))</f>
        <v/>
      </c>
      <c r="BL34" s="3">
        <f>MAX(0,100*(1-N34/KM_MAX))</f>
        <v/>
      </c>
      <c r="BM34" s="3">
        <f>IF(AV34&lt;KMA_SOSP,IF(AA34="sí",100,KMA_PEN),IF(AV34&lt;=KMA_IDEAL_MAX,100,MAX(0,100*(KMA_CERO-AV34)/(KMA_CERO-KMA_IDEAL_MAX))))</f>
        <v/>
      </c>
      <c r="BN34" s="3">
        <f>MAX(0,MIN(100,100*(M34-ANIO_MIN)/(ANIO_ACTUAL-ANIO_MIN)))</f>
        <v/>
      </c>
      <c r="BO34" s="3">
        <f>W_KMT*BL34+W_KMA*BM34+W_EDAD*BN34</f>
        <v/>
      </c>
      <c r="BP34" s="3">
        <f>P_ITV*(V34="sí")+P_LIBRO*(W34="sí")+P_CORREA*(X34="sí")+P_PROP*(Y34=1)+P_GAR*(Z34="sí")+P_FOTOS*MIN(1,N(U34)/FOTOS_OBJ)</f>
        <v/>
      </c>
      <c r="BQ34" s="3">
        <f>IFERROR(VLOOKUP(BF34,ETQ_TBL,2,0),NEUTRO)</f>
        <v/>
      </c>
      <c r="BR34" s="3">
        <f>NEUTRO</f>
        <v/>
      </c>
      <c r="BS34" s="3">
        <f>IFERROR(VLOOKUP(L34,SEGURO_TBL,3,0),"")</f>
        <v/>
      </c>
      <c r="BT34" s="3">
        <f>IF(BS34="",NEUTRO,MAX(0,MIN(100,100*(SEG_REF_MAX-BS34)/(SEG_REF_MAX-SEG_REF_MIN))))</f>
        <v/>
      </c>
      <c r="BU34" s="3">
        <f>W_ET*BQ34+W_CONS*BR34+W_SEG*BT34</f>
        <v/>
      </c>
      <c r="BV34" s="3">
        <f>IF(N(AB34)&gt;0,AB34,IF(AND(R34="profesional",SG_LEGAL_ON=1),GAR_LEGAL,0))</f>
        <v/>
      </c>
      <c r="BW34" s="3">
        <f>SG_GAR*MIN(1,BV34/SG_GAR_FULL)+SG_AMPL*(AC34="sí")+SG_KMC*(AF34="sí")+SG_REV*(N(AE34)&gt;0)+SG_DEV*MIN(1,N(AG34)/SG_DEV_FULL)+SG_HIST*(W34="sí")</f>
        <v/>
      </c>
      <c r="BX34" s="3">
        <f>W_FIAB*BJ34+W_PRECIO*BK34+W_KMEDAD*BO34+W_ANUNCIO*BP34+W_USO*BU34+W_SEGURIDAD*BW34</f>
        <v/>
      </c>
      <c r="BY34" s="4">
        <f>IF(N(I34)&gt;0,I34,IFERROR(ROUND(_xlfn.NUMBERVALUE(LEFT(G34,FIND(" ",G34&amp;" ")-1),".")*1000,0),99999))</f>
        <v/>
      </c>
      <c r="BZ34" s="3">
        <f>IF(R34="profesional",0,IF(O34&lt;CUOTA_VALOR_MAX,IF(AU34&gt;ITP_TRAMO_ALTO,SUMIFS(CF_CUOTA,CF_MAS,ITP_TRAMO_ALTO,CF_CCMIN,"&lt;="&amp;BY34,CF_CCMAX,"&gt;="&amp;BY34),IF(AU34&gt;ITP_TRAMO_BAJO,SUMIFS(CF_CUOTA,CF_MAS,ITP_TRAMO_BAJO,CF_CCMIN,"&lt;="&amp;BY34,CF_CCMAX,"&gt;="&amp;BY34),O34*ITP_TIPO)),O34*ITP_TIPO))</f>
        <v/>
      </c>
      <c r="CA34" s="4">
        <f>IF(R34="profesional",N(AK34),0)</f>
        <v/>
      </c>
      <c r="CB34" s="3">
        <f>IF(AND(R34="profesional",ISNUMBER(AK34),AL34="sí"),0,TASA_DGT)</f>
        <v/>
      </c>
      <c r="CC34" s="3">
        <f>INFORME_DGT</f>
        <v/>
      </c>
      <c r="CD34" s="4">
        <f>O34+CA34+BZ34+CB34+CC34</f>
        <v/>
      </c>
      <c r="CE34" s="4">
        <f>CD34+N(BS34)</f>
        <v/>
      </c>
      <c r="CF34" s="3">
        <f>IF(CD34&lt;=TOTAL_MAX,"sí","no")</f>
        <v/>
      </c>
      <c r="CG34" s="4">
        <f>IF(CF34="sí",COUNTIFS($CF$2:$CF$91,"sí",$BX$2:$BX$91,"&gt;"&amp;BX34)+COUNTIFS($CF$2:CF34,"sí",$BX$2:BX34,BX34),"")</f>
        <v/>
      </c>
    </row>
    <row r="35">
      <c r="A35" s="2" t="inlineStr">
        <is>
          <t>wallapop:1312378329</t>
        </is>
      </c>
      <c r="B35" s="2" t="inlineStr">
        <is>
          <t>wallapop</t>
        </is>
      </c>
      <c r="C35" s="2" t="inlineStr">
        <is>
          <t>https://es.wallapop.com/item/chevrolet-aveo-2009-1312378329</t>
        </is>
      </c>
      <c r="D35" s="2" t="inlineStr">
        <is>
          <t>Chevrolet Aveo 2009</t>
        </is>
      </c>
      <c r="E35" s="2" t="inlineStr">
        <is>
          <t>Chevrolet</t>
        </is>
      </c>
      <c r="F35" s="2" t="inlineStr">
        <is>
          <t>Chevrolet Aveo</t>
        </is>
      </c>
      <c r="G35" s="2" t="inlineStr">
        <is>
          <t>1.4</t>
        </is>
      </c>
      <c r="H35" s="2" t="inlineStr">
        <is>
          <t>1.4 16v 100 LS 4p MY09</t>
        </is>
      </c>
      <c r="I35" s="2" t="n"/>
      <c r="J35" s="2" t="n">
        <v>100</v>
      </c>
      <c r="K35" s="2" t="inlineStr">
        <is>
          <t>gasolina</t>
        </is>
      </c>
      <c r="L35" s="2" t="inlineStr">
        <is>
          <t>utilitario</t>
        </is>
      </c>
      <c r="M35" s="2" t="n">
        <v>2009</v>
      </c>
      <c r="N35" s="2" t="n">
        <v>124</v>
      </c>
      <c r="O35" s="2" t="n">
        <v>3500</v>
      </c>
      <c r="P35" s="2" t="inlineStr">
        <is>
          <t>manual</t>
        </is>
      </c>
      <c r="Q35" s="2" t="inlineStr">
        <is>
          <t>no</t>
        </is>
      </c>
      <c r="R35" s="2" t="inlineStr">
        <is>
          <t>particular</t>
        </is>
      </c>
      <c r="S35" s="2" t="inlineStr">
        <is>
          <t>Valencia (46010)</t>
        </is>
      </c>
      <c r="T35" s="2" t="inlineStr">
        <is>
          <t>2026-10-12T16:21:22</t>
        </is>
      </c>
      <c r="U35" s="2" t="n">
        <v>1</v>
      </c>
      <c r="V35" s="2" t="n"/>
      <c r="W35" s="2" t="n"/>
      <c r="X35" s="2" t="n"/>
      <c r="Y35" s="2" t="n"/>
      <c r="Z35" s="2" t="n"/>
      <c r="AA35" s="2" t="n"/>
      <c r="AB35" s="2" t="n"/>
      <c r="AC35" s="2" t="n"/>
      <c r="AD35" s="2" t="n"/>
      <c r="AE35" s="2" t="n"/>
      <c r="AF35" s="2" t="n"/>
      <c r="AG35" s="2" t="n"/>
      <c r="AH35" s="2" t="n"/>
      <c r="AI35" s="2" t="n"/>
      <c r="AJ35" s="2" t="n"/>
      <c r="AK35" s="2" t="n"/>
      <c r="AL35" s="2" t="n"/>
      <c r="AM35" s="2" t="n">
        <v>1.6</v>
      </c>
      <c r="AN35" s="2" t="n">
        <v>3800</v>
      </c>
      <c r="AO35" s="2" t="n">
        <v>8</v>
      </c>
      <c r="AP35" s="2" t="inlineStr">
        <is>
          <t>modelo+año</t>
        </is>
      </c>
      <c r="AQ35" s="2" t="n"/>
      <c r="AR35" s="2" t="inlineStr">
        <is>
          <t>cuota fija ITP: &gt;12 años, hasta 1.500 cc; fiabilidad del modelo PENDIENTE de fuente (puntuación neutra)</t>
        </is>
      </c>
      <c r="AS35" s="2" t="inlineStr">
        <is>
          <t xml:space="preserve">Con cambio de motor, factura demostrable </t>
        </is>
      </c>
      <c r="AT35" s="2" t="inlineStr">
        <is>
          <t>https://es.wallapop.com/item/chevrolet-aveo-2009-1312378329 (__NEXT_DATA__ item) /home/user/Alopecia/buscador-coches/raw/wallapop/ae81fb9c9faf351a.json</t>
        </is>
      </c>
      <c r="AU35" s="3">
        <f>MAX(ANIO_ACTUAL-M35,0)</f>
        <v/>
      </c>
      <c r="AV35" s="4">
        <f>N35/MAX(AU35,0.5)</f>
        <v/>
      </c>
      <c r="AW35" s="4">
        <f>F35</f>
        <v/>
      </c>
      <c r="AX35" s="3">
        <f>AW35&amp;"|"&amp;INT(M35/SEG_ANIO)*SEG_ANIO</f>
        <v/>
      </c>
      <c r="AY35" s="3">
        <f>AX35&amp;"|"&amp;INT(N35/SEG_KM)*SEG_KM</f>
        <v/>
      </c>
      <c r="AZ35" s="4">
        <f>COUNTIF($AW$2:$AW$91,AW35)</f>
        <v/>
      </c>
      <c r="BA35" s="4">
        <f>COUNTIF($AX$2:$AX$91,AX35)</f>
        <v/>
      </c>
      <c r="BB35" s="4">
        <f>COUNTIF($AY$2:$AY$91,AY35)</f>
        <v/>
      </c>
      <c r="BC35" s="3">
        <f t="array" ref="BC35">IF(N(AO35)&gt;=MIN_N,AN35,IF(BB35&gt;=MIN_N,MEDIAN(IF($AY$2:$AY$91=AY35,$O$2:$O$91)),IF(BA35&gt;=MIN_N,MEDIAN(IF($AX$2:$AX$91=AX35,$O$2:$O$91)),MEDIAN(IF($AW$2:$AW$91=AW35,$O$2:$O$91)))))</f>
        <v/>
      </c>
      <c r="BD35" s="3">
        <f>IF(N(AO35)&gt;=MIN_N,"mercado "&amp;AP35,IF(BB35&gt;=MIN_N,"modelo+año+km",IF(BA35&gt;=MIN_N,"modelo+año","modelo")))</f>
        <v/>
      </c>
      <c r="BE35" s="4">
        <f>(BC35-O35)/BC35</f>
        <v/>
      </c>
      <c r="BF35" s="3">
        <f>IF(OR(K35="hibrido",K35="glp"),"ECO",IF(K35="electrico","CERO",IF(K35="gasolina",IF(M35&gt;=GAS_C,"C",IF(M35&gt;=GAS_B,"B","A")),IF(K35="diesel",IF(M35&gt;=DIE_C,"C",IF(M35&gt;=DIE_B,"B","A")),""))))</f>
        <v/>
      </c>
      <c r="BG35" s="3">
        <f>IFERROR(VLOOKUP(F35,MOD_TBL,11,0),IFERROR(VLOOKUP(E35,OCU_TBL,2,0),NEUTRO))</f>
        <v/>
      </c>
      <c r="BH35" s="3">
        <f>SUMIFS(MOT_AJUSTE,MOT_MOTOR,G35,MOT_MARCA,E35,MOT_DESDE,"&lt;="&amp;M35,MOT_HASTA,"&gt;="&amp;M35)+SUMIFS(MOT_AJUSTE,MOT_MOTOR,G35,MOT_MARCA,"(todas)",MOT_DESDE,"&lt;="&amp;M35,MOT_HASTA,"&gt;="&amp;M35)</f>
        <v/>
      </c>
      <c r="BI35" s="3">
        <f>SUMIFS(COMB_AJUSTE,COMB_COMB,K35)</f>
        <v/>
      </c>
      <c r="BJ35" s="4">
        <f>MAX(0,MIN(100,BG35+BH35+BI35))</f>
        <v/>
      </c>
      <c r="BK35" s="3">
        <f>MAX(0,MIN(100,50+BE35*PRECIO_PEND))</f>
        <v/>
      </c>
      <c r="BL35" s="3">
        <f>MAX(0,100*(1-N35/KM_MAX))</f>
        <v/>
      </c>
      <c r="BM35" s="3">
        <f>IF(AV35&lt;KMA_SOSP,IF(AA35="sí",100,KMA_PEN),IF(AV35&lt;=KMA_IDEAL_MAX,100,MAX(0,100*(KMA_CERO-AV35)/(KMA_CERO-KMA_IDEAL_MAX))))</f>
        <v/>
      </c>
      <c r="BN35" s="3">
        <f>MAX(0,MIN(100,100*(M35-ANIO_MIN)/(ANIO_ACTUAL-ANIO_MIN)))</f>
        <v/>
      </c>
      <c r="BO35" s="3">
        <f>W_KMT*BL35+W_KMA*BM35+W_EDAD*BN35</f>
        <v/>
      </c>
      <c r="BP35" s="3">
        <f>P_ITV*(V35="sí")+P_LIBRO*(W35="sí")+P_CORREA*(X35="sí")+P_PROP*(Y35=1)+P_GAR*(Z35="sí")+P_FOTOS*MIN(1,N(U35)/FOTOS_OBJ)</f>
        <v/>
      </c>
      <c r="BQ35" s="3">
        <f>IFERROR(VLOOKUP(BF35,ETQ_TBL,2,0),NEUTRO)</f>
        <v/>
      </c>
      <c r="BR35" s="3">
        <f>NEUTRO</f>
        <v/>
      </c>
      <c r="BS35" s="3">
        <f>IFERROR(VLOOKUP(L35,SEGURO_TBL,3,0),"")</f>
        <v/>
      </c>
      <c r="BT35" s="3">
        <f>IF(BS35="",NEUTRO,MAX(0,MIN(100,100*(SEG_REF_MAX-BS35)/(SEG_REF_MAX-SEG_REF_MIN))))</f>
        <v/>
      </c>
      <c r="BU35" s="3">
        <f>W_ET*BQ35+W_CONS*BR35+W_SEG*BT35</f>
        <v/>
      </c>
      <c r="BV35" s="3">
        <f>IF(N(AB35)&gt;0,AB35,IF(AND(R35="profesional",SG_LEGAL_ON=1),GAR_LEGAL,0))</f>
        <v/>
      </c>
      <c r="BW35" s="3">
        <f>SG_GAR*MIN(1,BV35/SG_GAR_FULL)+SG_AMPL*(AC35="sí")+SG_KMC*(AF35="sí")+SG_REV*(N(AE35)&gt;0)+SG_DEV*MIN(1,N(AG35)/SG_DEV_FULL)+SG_HIST*(W35="sí")</f>
        <v/>
      </c>
      <c r="BX35" s="3">
        <f>W_FIAB*BJ35+W_PRECIO*BK35+W_KMEDAD*BO35+W_ANUNCIO*BP35+W_USO*BU35+W_SEGURIDAD*BW35</f>
        <v/>
      </c>
      <c r="BY35" s="4">
        <f>IF(N(I35)&gt;0,I35,IFERROR(ROUND(_xlfn.NUMBERVALUE(LEFT(G35,FIND(" ",G35&amp;" ")-1),".")*1000,0),99999))</f>
        <v/>
      </c>
      <c r="BZ35" s="3">
        <f>IF(R35="profesional",0,IF(O35&lt;CUOTA_VALOR_MAX,IF(AU35&gt;ITP_TRAMO_ALTO,SUMIFS(CF_CUOTA,CF_MAS,ITP_TRAMO_ALTO,CF_CCMIN,"&lt;="&amp;BY35,CF_CCMAX,"&gt;="&amp;BY35),IF(AU35&gt;ITP_TRAMO_BAJO,SUMIFS(CF_CUOTA,CF_MAS,ITP_TRAMO_BAJO,CF_CCMIN,"&lt;="&amp;BY35,CF_CCMAX,"&gt;="&amp;BY35),O35*ITP_TIPO)),O35*ITP_TIPO))</f>
        <v/>
      </c>
      <c r="CA35" s="4">
        <f>IF(R35="profesional",N(AK35),0)</f>
        <v/>
      </c>
      <c r="CB35" s="3">
        <f>IF(AND(R35="profesional",ISNUMBER(AK35),AL35="sí"),0,TASA_DGT)</f>
        <v/>
      </c>
      <c r="CC35" s="3">
        <f>INFORME_DGT</f>
        <v/>
      </c>
      <c r="CD35" s="4">
        <f>O35+CA35+BZ35+CB35+CC35</f>
        <v/>
      </c>
      <c r="CE35" s="4">
        <f>CD35+N(BS35)</f>
        <v/>
      </c>
      <c r="CF35" s="3">
        <f>IF(CD35&lt;=TOTAL_MAX,"sí","no")</f>
        <v/>
      </c>
      <c r="CG35" s="4">
        <f>IF(CF35="sí",COUNTIFS($CF$2:$CF$91,"sí",$BX$2:$BX$91,"&gt;"&amp;BX35)+COUNTIFS($CF$2:CF35,"sí",$BX$2:BX35,BX35),"")</f>
        <v/>
      </c>
    </row>
    <row r="36">
      <c r="A36" s="2" t="inlineStr">
        <is>
          <t>wallapop:1308111570</t>
        </is>
      </c>
      <c r="B36" s="2" t="inlineStr">
        <is>
          <t>wallapop</t>
        </is>
      </c>
      <c r="C36" s="2" t="inlineStr">
        <is>
          <t>https://es.wallapop.com/item/chevrolet-aveo-2009-1308111570</t>
        </is>
      </c>
      <c r="D36" s="2" t="inlineStr">
        <is>
          <t>Chevrolet Aveo 2009</t>
        </is>
      </c>
      <c r="E36" s="2" t="inlineStr">
        <is>
          <t>Chevrolet</t>
        </is>
      </c>
      <c r="F36" s="2" t="inlineStr">
        <is>
          <t>Chevrolet Aveo</t>
        </is>
      </c>
      <c r="G36" s="2" t="inlineStr">
        <is>
          <t>1.4</t>
        </is>
      </c>
      <c r="H36" s="2" t="inlineStr">
        <is>
          <t>1.4 16v 101 LS 5p MY08</t>
        </is>
      </c>
      <c r="I36" s="2" t="n"/>
      <c r="J36" s="2" t="n">
        <v>101</v>
      </c>
      <c r="K36" s="2" t="inlineStr">
        <is>
          <t>gasolina</t>
        </is>
      </c>
      <c r="L36" s="2" t="inlineStr">
        <is>
          <t>utilitario</t>
        </is>
      </c>
      <c r="M36" s="2" t="n">
        <v>2009</v>
      </c>
      <c r="N36" s="2" t="n">
        <v>124</v>
      </c>
      <c r="O36" s="2" t="n">
        <v>3800</v>
      </c>
      <c r="P36" s="2" t="inlineStr">
        <is>
          <t>manual</t>
        </is>
      </c>
      <c r="Q36" s="2" t="inlineStr">
        <is>
          <t>no</t>
        </is>
      </c>
      <c r="R36" s="2" t="inlineStr">
        <is>
          <t>particular</t>
        </is>
      </c>
      <c r="S36" s="2" t="inlineStr">
        <is>
          <t>Valencia (46010)</t>
        </is>
      </c>
      <c r="T36" s="2" t="inlineStr">
        <is>
          <t>2026-10-12T16:21:22</t>
        </is>
      </c>
      <c r="U36" s="2" t="n">
        <v>1</v>
      </c>
      <c r="V36" s="2" t="n"/>
      <c r="W36" s="2" t="n"/>
      <c r="X36" s="2" t="n"/>
      <c r="Y36" s="2" t="n"/>
      <c r="Z36" s="2" t="n"/>
      <c r="AA36" s="2" t="n"/>
      <c r="AB36" s="2" t="n"/>
      <c r="AC36" s="2" t="n"/>
      <c r="AD36" s="2" t="n"/>
      <c r="AE36" s="2" t="n"/>
      <c r="AF36" s="2" t="n"/>
      <c r="AG36" s="2" t="n"/>
      <c r="AH36" s="2" t="n"/>
      <c r="AI36" s="2" t="n"/>
      <c r="AJ36" s="2" t="n"/>
      <c r="AK36" s="2" t="n"/>
      <c r="AL36" s="2" t="n"/>
      <c r="AM36" s="2" t="n">
        <v>1.6</v>
      </c>
      <c r="AN36" s="2" t="n">
        <v>3800</v>
      </c>
      <c r="AO36" s="2" t="n">
        <v>8</v>
      </c>
      <c r="AP36" s="2" t="inlineStr">
        <is>
          <t>modelo+año</t>
        </is>
      </c>
      <c r="AQ36" s="2" t="n"/>
      <c r="AR36" s="2" t="inlineStr">
        <is>
          <t>cuota fija ITP: &gt;12 años, hasta 1.500 cc; fiabilidad del modelo PENDIENTE de fuente (puntuación neutra)</t>
        </is>
      </c>
      <c r="AS36" s="2" t="inlineStr">
        <is>
          <t>Lo vendo por no usar, cambio motor completo con factura.
Buen estado
El precio no incluye el traspaso.</t>
        </is>
      </c>
      <c r="AT36" s="2" t="inlineStr">
        <is>
          <t>https://es.wallapop.com/item/chevrolet-aveo-2009-1308111570 (__NEXT_DATA__ item) /home/user/Alopecia/buscador-coches/raw/wallapop/6103f5261139217f.json</t>
        </is>
      </c>
      <c r="AU36" s="3">
        <f>MAX(ANIO_ACTUAL-M36,0)</f>
        <v/>
      </c>
      <c r="AV36" s="4">
        <f>N36/MAX(AU36,0.5)</f>
        <v/>
      </c>
      <c r="AW36" s="4">
        <f>F36</f>
        <v/>
      </c>
      <c r="AX36" s="3">
        <f>AW36&amp;"|"&amp;INT(M36/SEG_ANIO)*SEG_ANIO</f>
        <v/>
      </c>
      <c r="AY36" s="3">
        <f>AX36&amp;"|"&amp;INT(N36/SEG_KM)*SEG_KM</f>
        <v/>
      </c>
      <c r="AZ36" s="4">
        <f>COUNTIF($AW$2:$AW$91,AW36)</f>
        <v/>
      </c>
      <c r="BA36" s="4">
        <f>COUNTIF($AX$2:$AX$91,AX36)</f>
        <v/>
      </c>
      <c r="BB36" s="4">
        <f>COUNTIF($AY$2:$AY$91,AY36)</f>
        <v/>
      </c>
      <c r="BC36" s="3">
        <f t="array" ref="BC36">IF(N(AO36)&gt;=MIN_N,AN36,IF(BB36&gt;=MIN_N,MEDIAN(IF($AY$2:$AY$91=AY36,$O$2:$O$91)),IF(BA36&gt;=MIN_N,MEDIAN(IF($AX$2:$AX$91=AX36,$O$2:$O$91)),MEDIAN(IF($AW$2:$AW$91=AW36,$O$2:$O$91)))))</f>
        <v/>
      </c>
      <c r="BD36" s="3">
        <f>IF(N(AO36)&gt;=MIN_N,"mercado "&amp;AP36,IF(BB36&gt;=MIN_N,"modelo+año+km",IF(BA36&gt;=MIN_N,"modelo+año","modelo")))</f>
        <v/>
      </c>
      <c r="BE36" s="4">
        <f>(BC36-O36)/BC36</f>
        <v/>
      </c>
      <c r="BF36" s="3">
        <f>IF(OR(K36="hibrido",K36="glp"),"ECO",IF(K36="electrico","CERO",IF(K36="gasolina",IF(M36&gt;=GAS_C,"C",IF(M36&gt;=GAS_B,"B","A")),IF(K36="diesel",IF(M36&gt;=DIE_C,"C",IF(M36&gt;=DIE_B,"B","A")),""))))</f>
        <v/>
      </c>
      <c r="BG36" s="3">
        <f>IFERROR(VLOOKUP(F36,MOD_TBL,11,0),IFERROR(VLOOKUP(E36,OCU_TBL,2,0),NEUTRO))</f>
        <v/>
      </c>
      <c r="BH36" s="3">
        <f>SUMIFS(MOT_AJUSTE,MOT_MOTOR,G36,MOT_MARCA,E36,MOT_DESDE,"&lt;="&amp;M36,MOT_HASTA,"&gt;="&amp;M36)+SUMIFS(MOT_AJUSTE,MOT_MOTOR,G36,MOT_MARCA,"(todas)",MOT_DESDE,"&lt;="&amp;M36,MOT_HASTA,"&gt;="&amp;M36)</f>
        <v/>
      </c>
      <c r="BI36" s="3">
        <f>SUMIFS(COMB_AJUSTE,COMB_COMB,K36)</f>
        <v/>
      </c>
      <c r="BJ36" s="4">
        <f>MAX(0,MIN(100,BG36+BH36+BI36))</f>
        <v/>
      </c>
      <c r="BK36" s="3">
        <f>MAX(0,MIN(100,50+BE36*PRECIO_PEND))</f>
        <v/>
      </c>
      <c r="BL36" s="3">
        <f>MAX(0,100*(1-N36/KM_MAX))</f>
        <v/>
      </c>
      <c r="BM36" s="3">
        <f>IF(AV36&lt;KMA_SOSP,IF(AA36="sí",100,KMA_PEN),IF(AV36&lt;=KMA_IDEAL_MAX,100,MAX(0,100*(KMA_CERO-AV36)/(KMA_CERO-KMA_IDEAL_MAX))))</f>
        <v/>
      </c>
      <c r="BN36" s="3">
        <f>MAX(0,MIN(100,100*(M36-ANIO_MIN)/(ANIO_ACTUAL-ANIO_MIN)))</f>
        <v/>
      </c>
      <c r="BO36" s="3">
        <f>W_KMT*BL36+W_KMA*BM36+W_EDAD*BN36</f>
        <v/>
      </c>
      <c r="BP36" s="3">
        <f>P_ITV*(V36="sí")+P_LIBRO*(W36="sí")+P_CORREA*(X36="sí")+P_PROP*(Y36=1)+P_GAR*(Z36="sí")+P_FOTOS*MIN(1,N(U36)/FOTOS_OBJ)</f>
        <v/>
      </c>
      <c r="BQ36" s="3">
        <f>IFERROR(VLOOKUP(BF36,ETQ_TBL,2,0),NEUTRO)</f>
        <v/>
      </c>
      <c r="BR36" s="3">
        <f>NEUTRO</f>
        <v/>
      </c>
      <c r="BS36" s="3">
        <f>IFERROR(VLOOKUP(L36,SEGURO_TBL,3,0),"")</f>
        <v/>
      </c>
      <c r="BT36" s="3">
        <f>IF(BS36="",NEUTRO,MAX(0,MIN(100,100*(SEG_REF_MAX-BS36)/(SEG_REF_MAX-SEG_REF_MIN))))</f>
        <v/>
      </c>
      <c r="BU36" s="3">
        <f>W_ET*BQ36+W_CONS*BR36+W_SEG*BT36</f>
        <v/>
      </c>
      <c r="BV36" s="3">
        <f>IF(N(AB36)&gt;0,AB36,IF(AND(R36="profesional",SG_LEGAL_ON=1),GAR_LEGAL,0))</f>
        <v/>
      </c>
      <c r="BW36" s="3">
        <f>SG_GAR*MIN(1,BV36/SG_GAR_FULL)+SG_AMPL*(AC36="sí")+SG_KMC*(AF36="sí")+SG_REV*(N(AE36)&gt;0)+SG_DEV*MIN(1,N(AG36)/SG_DEV_FULL)+SG_HIST*(W36="sí")</f>
        <v/>
      </c>
      <c r="BX36" s="3">
        <f>W_FIAB*BJ36+W_PRECIO*BK36+W_KMEDAD*BO36+W_ANUNCIO*BP36+W_USO*BU36+W_SEGURIDAD*BW36</f>
        <v/>
      </c>
      <c r="BY36" s="4">
        <f>IF(N(I36)&gt;0,I36,IFERROR(ROUND(_xlfn.NUMBERVALUE(LEFT(G36,FIND(" ",G36&amp;" ")-1),".")*1000,0),99999))</f>
        <v/>
      </c>
      <c r="BZ36" s="3">
        <f>IF(R36="profesional",0,IF(O36&lt;CUOTA_VALOR_MAX,IF(AU36&gt;ITP_TRAMO_ALTO,SUMIFS(CF_CUOTA,CF_MAS,ITP_TRAMO_ALTO,CF_CCMIN,"&lt;="&amp;BY36,CF_CCMAX,"&gt;="&amp;BY36),IF(AU36&gt;ITP_TRAMO_BAJO,SUMIFS(CF_CUOTA,CF_MAS,ITP_TRAMO_BAJO,CF_CCMIN,"&lt;="&amp;BY36,CF_CCMAX,"&gt;="&amp;BY36),O36*ITP_TIPO)),O36*ITP_TIPO))</f>
        <v/>
      </c>
      <c r="CA36" s="4">
        <f>IF(R36="profesional",N(AK36),0)</f>
        <v/>
      </c>
      <c r="CB36" s="3">
        <f>IF(AND(R36="profesional",ISNUMBER(AK36),AL36="sí"),0,TASA_DGT)</f>
        <v/>
      </c>
      <c r="CC36" s="3">
        <f>INFORME_DGT</f>
        <v/>
      </c>
      <c r="CD36" s="4">
        <f>O36+CA36+BZ36+CB36+CC36</f>
        <v/>
      </c>
      <c r="CE36" s="4">
        <f>CD36+N(BS36)</f>
        <v/>
      </c>
      <c r="CF36" s="3">
        <f>IF(CD36&lt;=TOTAL_MAX,"sí","no")</f>
        <v/>
      </c>
      <c r="CG36" s="4">
        <f>IF(CF36="sí",COUNTIFS($CF$2:$CF$91,"sí",$BX$2:$BX$91,"&gt;"&amp;BX36)+COUNTIFS($CF$2:CF36,"sí",$BX$2:BX36,BX36),"")</f>
        <v/>
      </c>
    </row>
    <row r="37">
      <c r="A37" s="2" t="inlineStr">
        <is>
          <t>wallapop:1290605393</t>
        </is>
      </c>
      <c r="B37" s="2" t="inlineStr">
        <is>
          <t>wallapop</t>
        </is>
      </c>
      <c r="C37" s="2" t="inlineStr">
        <is>
          <t>https://es.wallapop.com/item/chevrolet-aveo-2012-1290605393</t>
        </is>
      </c>
      <c r="D37" s="2" t="inlineStr">
        <is>
          <t>SE VENDE Chevrolet Aveo 1.4 2012 - Etiqueta C</t>
        </is>
      </c>
      <c r="E37" s="2" t="inlineStr">
        <is>
          <t>Chevrolet</t>
        </is>
      </c>
      <c r="F37" s="2" t="inlineStr">
        <is>
          <t>Chevrolet Aveo</t>
        </is>
      </c>
      <c r="G37" s="2" t="inlineStr">
        <is>
          <t>1.4</t>
        </is>
      </c>
      <c r="H37" s="2" t="inlineStr">
        <is>
          <t>1.4 100 LT+ 5p MY12</t>
        </is>
      </c>
      <c r="I37" s="2" t="n"/>
      <c r="J37" s="2" t="n">
        <v>100</v>
      </c>
      <c r="K37" s="2" t="inlineStr">
        <is>
          <t>gasolina</t>
        </is>
      </c>
      <c r="L37" s="2" t="inlineStr">
        <is>
          <t>utilitario</t>
        </is>
      </c>
      <c r="M37" s="2" t="n">
        <v>2012</v>
      </c>
      <c r="N37" s="2" t="n">
        <v>211000</v>
      </c>
      <c r="O37" s="2" t="n">
        <v>4000</v>
      </c>
      <c r="P37" s="2" t="inlineStr">
        <is>
          <t>manual</t>
        </is>
      </c>
      <c r="Q37" s="2" t="inlineStr">
        <is>
          <t>no</t>
        </is>
      </c>
      <c r="R37" s="2" t="inlineStr">
        <is>
          <t>particular</t>
        </is>
      </c>
      <c r="S37" s="2" t="inlineStr">
        <is>
          <t>Valencia (46007)</t>
        </is>
      </c>
      <c r="T37" s="2" t="inlineStr">
        <is>
          <t>2026-09-10T11:16:51</t>
        </is>
      </c>
      <c r="U37" s="2" t="n">
        <v>10</v>
      </c>
      <c r="V37" s="2" t="n"/>
      <c r="W37" s="2" t="n"/>
      <c r="X37" s="2" t="n"/>
      <c r="Y37" s="2" t="n"/>
      <c r="Z37" s="2" t="n"/>
      <c r="AA37" s="2" t="n"/>
      <c r="AB37" s="2" t="n"/>
      <c r="AC37" s="2" t="n"/>
      <c r="AD37" s="2" t="n"/>
      <c r="AE37" s="2" t="n"/>
      <c r="AF37" s="2" t="n"/>
      <c r="AG37" s="2" t="n"/>
      <c r="AH37" s="2" t="n"/>
      <c r="AI37" s="2" t="n"/>
      <c r="AJ37" s="2" t="n"/>
      <c r="AK37" s="2" t="n"/>
      <c r="AL37" s="2" t="n"/>
      <c r="AM37" s="2" t="n">
        <v>1</v>
      </c>
      <c r="AN37" s="2" t="n">
        <v>3700</v>
      </c>
      <c r="AO37" s="2" t="n">
        <v>10</v>
      </c>
      <c r="AP37" s="2" t="inlineStr">
        <is>
          <t>modelo+año</t>
        </is>
      </c>
      <c r="AQ37" s="2" t="n"/>
      <c r="AR37" s="2" t="inlineStr">
        <is>
          <t>cuota fija ITP: &gt;12 años, hasta 1.500 cc; fiabilidad del modelo PENDIENTE de fuente (puntuación neutra)</t>
        </is>
      </c>
      <c r="AS37" s="2" t="inlineStr">
        <is>
          <t>Vendo mi Chevrolet Aveo 1.4 gasolina del año 2012 itv 2027 todos los impuestos pagados.
Un coche muy fiable y súper económico, ideal para diario. Se aceptan cambios por moto y oro...</t>
        </is>
      </c>
      <c r="AT37" s="2" t="inlineStr">
        <is>
          <t>https://es.wallapop.com/item/chevrolet-aveo-2012-1290605393 (__NEXT_DATA__ item) /home/user/Alopecia/buscador-coches/raw/wallapop/10a13ec19628f129.json</t>
        </is>
      </c>
      <c r="AU37" s="3">
        <f>MAX(ANIO_ACTUAL-M37,0)</f>
        <v/>
      </c>
      <c r="AV37" s="4">
        <f>N37/MAX(AU37,0.5)</f>
        <v/>
      </c>
      <c r="AW37" s="4">
        <f>F37</f>
        <v/>
      </c>
      <c r="AX37" s="3">
        <f>AW37&amp;"|"&amp;INT(M37/SEG_ANIO)*SEG_ANIO</f>
        <v/>
      </c>
      <c r="AY37" s="3">
        <f>AX37&amp;"|"&amp;INT(N37/SEG_KM)*SEG_KM</f>
        <v/>
      </c>
      <c r="AZ37" s="4">
        <f>COUNTIF($AW$2:$AW$91,AW37)</f>
        <v/>
      </c>
      <c r="BA37" s="4">
        <f>COUNTIF($AX$2:$AX$91,AX37)</f>
        <v/>
      </c>
      <c r="BB37" s="4">
        <f>COUNTIF($AY$2:$AY$91,AY37)</f>
        <v/>
      </c>
      <c r="BC37" s="3">
        <f t="array" ref="BC37">IF(N(AO37)&gt;=MIN_N,AN37,IF(BB37&gt;=MIN_N,MEDIAN(IF($AY$2:$AY$91=AY37,$O$2:$O$91)),IF(BA37&gt;=MIN_N,MEDIAN(IF($AX$2:$AX$91=AX37,$O$2:$O$91)),MEDIAN(IF($AW$2:$AW$91=AW37,$O$2:$O$91)))))</f>
        <v/>
      </c>
      <c r="BD37" s="3">
        <f>IF(N(AO37)&gt;=MIN_N,"mercado "&amp;AP37,IF(BB37&gt;=MIN_N,"modelo+año+km",IF(BA37&gt;=MIN_N,"modelo+año","modelo")))</f>
        <v/>
      </c>
      <c r="BE37" s="4">
        <f>(BC37-O37)/BC37</f>
        <v/>
      </c>
      <c r="BF37" s="3">
        <f>IF(OR(K37="hibrido",K37="glp"),"ECO",IF(K37="electrico","CERO",IF(K37="gasolina",IF(M37&gt;=GAS_C,"C",IF(M37&gt;=GAS_B,"B","A")),IF(K37="diesel",IF(M37&gt;=DIE_C,"C",IF(M37&gt;=DIE_B,"B","A")),""))))</f>
        <v/>
      </c>
      <c r="BG37" s="3">
        <f>IFERROR(VLOOKUP(F37,MOD_TBL,11,0),IFERROR(VLOOKUP(E37,OCU_TBL,2,0),NEUTRO))</f>
        <v/>
      </c>
      <c r="BH37" s="3">
        <f>SUMIFS(MOT_AJUSTE,MOT_MOTOR,G37,MOT_MARCA,E37,MOT_DESDE,"&lt;="&amp;M37,MOT_HASTA,"&gt;="&amp;M37)+SUMIFS(MOT_AJUSTE,MOT_MOTOR,G37,MOT_MARCA,"(todas)",MOT_DESDE,"&lt;="&amp;M37,MOT_HASTA,"&gt;="&amp;M37)</f>
        <v/>
      </c>
      <c r="BI37" s="3">
        <f>SUMIFS(COMB_AJUSTE,COMB_COMB,K37)</f>
        <v/>
      </c>
      <c r="BJ37" s="4">
        <f>MAX(0,MIN(100,BG37+BH37+BI37))</f>
        <v/>
      </c>
      <c r="BK37" s="3">
        <f>MAX(0,MIN(100,50+BE37*PRECIO_PEND))</f>
        <v/>
      </c>
      <c r="BL37" s="3">
        <f>MAX(0,100*(1-N37/KM_MAX))</f>
        <v/>
      </c>
      <c r="BM37" s="3">
        <f>IF(AV37&lt;KMA_SOSP,IF(AA37="sí",100,KMA_PEN),IF(AV37&lt;=KMA_IDEAL_MAX,100,MAX(0,100*(KMA_CERO-AV37)/(KMA_CERO-KMA_IDEAL_MAX))))</f>
        <v/>
      </c>
      <c r="BN37" s="3">
        <f>MAX(0,MIN(100,100*(M37-ANIO_MIN)/(ANIO_ACTUAL-ANIO_MIN)))</f>
        <v/>
      </c>
      <c r="BO37" s="3">
        <f>W_KMT*BL37+W_KMA*BM37+W_EDAD*BN37</f>
        <v/>
      </c>
      <c r="BP37" s="3">
        <f>P_ITV*(V37="sí")+P_LIBRO*(W37="sí")+P_CORREA*(X37="sí")+P_PROP*(Y37=1)+P_GAR*(Z37="sí")+P_FOTOS*MIN(1,N(U37)/FOTOS_OBJ)</f>
        <v/>
      </c>
      <c r="BQ37" s="3">
        <f>IFERROR(VLOOKUP(BF37,ETQ_TBL,2,0),NEUTRO)</f>
        <v/>
      </c>
      <c r="BR37" s="3">
        <f>NEUTRO</f>
        <v/>
      </c>
      <c r="BS37" s="3">
        <f>IFERROR(VLOOKUP(L37,SEGURO_TBL,3,0),"")</f>
        <v/>
      </c>
      <c r="BT37" s="3">
        <f>IF(BS37="",NEUTRO,MAX(0,MIN(100,100*(SEG_REF_MAX-BS37)/(SEG_REF_MAX-SEG_REF_MIN))))</f>
        <v/>
      </c>
      <c r="BU37" s="3">
        <f>W_ET*BQ37+W_CONS*BR37+W_SEG*BT37</f>
        <v/>
      </c>
      <c r="BV37" s="3">
        <f>IF(N(AB37)&gt;0,AB37,IF(AND(R37="profesional",SG_LEGAL_ON=1),GAR_LEGAL,0))</f>
        <v/>
      </c>
      <c r="BW37" s="3">
        <f>SG_GAR*MIN(1,BV37/SG_GAR_FULL)+SG_AMPL*(AC37="sí")+SG_KMC*(AF37="sí")+SG_REV*(N(AE37)&gt;0)+SG_DEV*MIN(1,N(AG37)/SG_DEV_FULL)+SG_HIST*(W37="sí")</f>
        <v/>
      </c>
      <c r="BX37" s="3">
        <f>W_FIAB*BJ37+W_PRECIO*BK37+W_KMEDAD*BO37+W_ANUNCIO*BP37+W_USO*BU37+W_SEGURIDAD*BW37</f>
        <v/>
      </c>
      <c r="BY37" s="4">
        <f>IF(N(I37)&gt;0,I37,IFERROR(ROUND(_xlfn.NUMBERVALUE(LEFT(G37,FIND(" ",G37&amp;" ")-1),".")*1000,0),99999))</f>
        <v/>
      </c>
      <c r="BZ37" s="3">
        <f>IF(R37="profesional",0,IF(O37&lt;CUOTA_VALOR_MAX,IF(AU37&gt;ITP_TRAMO_ALTO,SUMIFS(CF_CUOTA,CF_MAS,ITP_TRAMO_ALTO,CF_CCMIN,"&lt;="&amp;BY37,CF_CCMAX,"&gt;="&amp;BY37),IF(AU37&gt;ITP_TRAMO_BAJO,SUMIFS(CF_CUOTA,CF_MAS,ITP_TRAMO_BAJO,CF_CCMIN,"&lt;="&amp;BY37,CF_CCMAX,"&gt;="&amp;BY37),O37*ITP_TIPO)),O37*ITP_TIPO))</f>
        <v/>
      </c>
      <c r="CA37" s="4">
        <f>IF(R37="profesional",N(AK37),0)</f>
        <v/>
      </c>
      <c r="CB37" s="3">
        <f>IF(AND(R37="profesional",ISNUMBER(AK37),AL37="sí"),0,TASA_DGT)</f>
        <v/>
      </c>
      <c r="CC37" s="3">
        <f>INFORME_DGT</f>
        <v/>
      </c>
      <c r="CD37" s="4">
        <f>O37+CA37+BZ37+CB37+CC37</f>
        <v/>
      </c>
      <c r="CE37" s="4">
        <f>CD37+N(BS37)</f>
        <v/>
      </c>
      <c r="CF37" s="3">
        <f>IF(CD37&lt;=TOTAL_MAX,"sí","no")</f>
        <v/>
      </c>
      <c r="CG37" s="4">
        <f>IF(CF37="sí",COUNTIFS($CF$2:$CF$91,"sí",$BX$2:$BX$91,"&gt;"&amp;BX37)+COUNTIFS($CF$2:CF37,"sí",$BX$2:BX37,BX37),"")</f>
        <v/>
      </c>
    </row>
    <row r="38">
      <c r="A38" s="2" t="inlineStr">
        <is>
          <t>wallapop:1235670974</t>
        </is>
      </c>
      <c r="B38" s="2" t="inlineStr">
        <is>
          <t>wallapop</t>
        </is>
      </c>
      <c r="C38" s="2" t="inlineStr">
        <is>
          <t>https://es.wallapop.com/item/chevrolet-cruze-2012-1235670974</t>
        </is>
      </c>
      <c r="D38" s="2" t="inlineStr">
        <is>
          <t>Chevrolet Cruze 2012</t>
        </is>
      </c>
      <c r="E38" s="2" t="inlineStr">
        <is>
          <t>Chevrolet</t>
        </is>
      </c>
      <c r="F38" s="2" t="inlineStr">
        <is>
          <t>Chevrolet Cruze</t>
        </is>
      </c>
      <c r="G38" s="2" t="inlineStr">
        <is>
          <t>1.6</t>
        </is>
      </c>
      <c r="H38" s="2" t="inlineStr">
        <is>
          <t>1.6 16v 124 LS+ A/A 5p MY12</t>
        </is>
      </c>
      <c r="I38" s="2" t="n"/>
      <c r="J38" s="2" t="n">
        <v>124</v>
      </c>
      <c r="K38" s="2" t="inlineStr">
        <is>
          <t>gasolina</t>
        </is>
      </c>
      <c r="L38" s="2" t="inlineStr">
        <is>
          <t>compacto</t>
        </is>
      </c>
      <c r="M38" s="2" t="n">
        <v>2012</v>
      </c>
      <c r="N38" s="2" t="n">
        <v>210000</v>
      </c>
      <c r="O38" s="2" t="n">
        <v>2800</v>
      </c>
      <c r="P38" s="2" t="inlineStr">
        <is>
          <t>manual</t>
        </is>
      </c>
      <c r="Q38" s="2" t="inlineStr">
        <is>
          <t>no</t>
        </is>
      </c>
      <c r="R38" s="2" t="inlineStr">
        <is>
          <t>particular</t>
        </is>
      </c>
      <c r="S38" s="2" t="inlineStr">
        <is>
          <t>Valencia (46002)</t>
        </is>
      </c>
      <c r="T38" s="2" t="inlineStr">
        <is>
          <t>2026-10-06T11:49:40</t>
        </is>
      </c>
      <c r="U38" s="2" t="n">
        <v>9</v>
      </c>
      <c r="V38" s="2" t="n"/>
      <c r="W38" s="2" t="n"/>
      <c r="X38" s="2" t="n"/>
      <c r="Y38" s="2" t="n"/>
      <c r="Z38" s="2" t="n"/>
      <c r="AA38" s="2" t="n"/>
      <c r="AB38" s="2" t="n"/>
      <c r="AC38" s="2" t="n"/>
      <c r="AD38" s="2" t="n"/>
      <c r="AE38" s="2" t="n"/>
      <c r="AF38" s="2" t="n"/>
      <c r="AG38" s="2" t="n"/>
      <c r="AH38" s="2" t="n"/>
      <c r="AI38" s="2" t="n"/>
      <c r="AJ38" s="2" t="n"/>
      <c r="AK38" s="2" t="n"/>
      <c r="AL38" s="2" t="n"/>
      <c r="AM38" s="2" t="n">
        <v>0.5</v>
      </c>
      <c r="AN38" s="2" t="n">
        <v>3100</v>
      </c>
      <c r="AO38" s="2" t="n">
        <v>6</v>
      </c>
      <c r="AP38" s="2" t="inlineStr">
        <is>
          <t>modelo+año+km</t>
        </is>
      </c>
      <c r="AQ38" s="2" t="n"/>
      <c r="AR38" s="2" t="inlineStr">
        <is>
          <t>cuota fija ITP: &gt;12 años, 1.501-2.000 cc; fiabilidad del modelo PENDIENTE de fuente (puntuación neutra)</t>
        </is>
      </c>
      <c r="AS38" s="2" t="inlineStr">
        <is>
          <t xml:space="preserve">Chevrolet cruz en buen estado, con desgaste de sus años </t>
        </is>
      </c>
      <c r="AT38" s="2" t="inlineStr">
        <is>
          <t>https://es.wallapop.com/item/chevrolet-cruze-2012-1235670974 (__NEXT_DATA__ item) /home/user/Alopecia/buscador-coches/raw/wallapop/4875f2fdeb0eb4fc.json</t>
        </is>
      </c>
      <c r="AU38" s="3">
        <f>MAX(ANIO_ACTUAL-M38,0)</f>
        <v/>
      </c>
      <c r="AV38" s="4">
        <f>N38/MAX(AU38,0.5)</f>
        <v/>
      </c>
      <c r="AW38" s="4">
        <f>F38</f>
        <v/>
      </c>
      <c r="AX38" s="3">
        <f>AW38&amp;"|"&amp;INT(M38/SEG_ANIO)*SEG_ANIO</f>
        <v/>
      </c>
      <c r="AY38" s="3">
        <f>AX38&amp;"|"&amp;INT(N38/SEG_KM)*SEG_KM</f>
        <v/>
      </c>
      <c r="AZ38" s="4">
        <f>COUNTIF($AW$2:$AW$91,AW38)</f>
        <v/>
      </c>
      <c r="BA38" s="4">
        <f>COUNTIF($AX$2:$AX$91,AX38)</f>
        <v/>
      </c>
      <c r="BB38" s="4">
        <f>COUNTIF($AY$2:$AY$91,AY38)</f>
        <v/>
      </c>
      <c r="BC38" s="3">
        <f t="array" ref="BC38">IF(N(AO38)&gt;=MIN_N,AN38,IF(BB38&gt;=MIN_N,MEDIAN(IF($AY$2:$AY$91=AY38,$O$2:$O$91)),IF(BA38&gt;=MIN_N,MEDIAN(IF($AX$2:$AX$91=AX38,$O$2:$O$91)),MEDIAN(IF($AW$2:$AW$91=AW38,$O$2:$O$91)))))</f>
        <v/>
      </c>
      <c r="BD38" s="3">
        <f>IF(N(AO38)&gt;=MIN_N,"mercado "&amp;AP38,IF(BB38&gt;=MIN_N,"modelo+año+km",IF(BA38&gt;=MIN_N,"modelo+año","modelo")))</f>
        <v/>
      </c>
      <c r="BE38" s="4">
        <f>(BC38-O38)/BC38</f>
        <v/>
      </c>
      <c r="BF38" s="3">
        <f>IF(OR(K38="hibrido",K38="glp"),"ECO",IF(K38="electrico","CERO",IF(K38="gasolina",IF(M38&gt;=GAS_C,"C",IF(M38&gt;=GAS_B,"B","A")),IF(K38="diesel",IF(M38&gt;=DIE_C,"C",IF(M38&gt;=DIE_B,"B","A")),""))))</f>
        <v/>
      </c>
      <c r="BG38" s="3">
        <f>IFERROR(VLOOKUP(F38,MOD_TBL,11,0),IFERROR(VLOOKUP(E38,OCU_TBL,2,0),NEUTRO))</f>
        <v/>
      </c>
      <c r="BH38" s="3">
        <f>SUMIFS(MOT_AJUSTE,MOT_MOTOR,G38,MOT_MARCA,E38,MOT_DESDE,"&lt;="&amp;M38,MOT_HASTA,"&gt;="&amp;M38)+SUMIFS(MOT_AJUSTE,MOT_MOTOR,G38,MOT_MARCA,"(todas)",MOT_DESDE,"&lt;="&amp;M38,MOT_HASTA,"&gt;="&amp;M38)</f>
        <v/>
      </c>
      <c r="BI38" s="3">
        <f>SUMIFS(COMB_AJUSTE,COMB_COMB,K38)</f>
        <v/>
      </c>
      <c r="BJ38" s="4">
        <f>MAX(0,MIN(100,BG38+BH38+BI38))</f>
        <v/>
      </c>
      <c r="BK38" s="3">
        <f>MAX(0,MIN(100,50+BE38*PRECIO_PEND))</f>
        <v/>
      </c>
      <c r="BL38" s="3">
        <f>MAX(0,100*(1-N38/KM_MAX))</f>
        <v/>
      </c>
      <c r="BM38" s="3">
        <f>IF(AV38&lt;KMA_SOSP,IF(AA38="sí",100,KMA_PEN),IF(AV38&lt;=KMA_IDEAL_MAX,100,MAX(0,100*(KMA_CERO-AV38)/(KMA_CERO-KMA_IDEAL_MAX))))</f>
        <v/>
      </c>
      <c r="BN38" s="3">
        <f>MAX(0,MIN(100,100*(M38-ANIO_MIN)/(ANIO_ACTUAL-ANIO_MIN)))</f>
        <v/>
      </c>
      <c r="BO38" s="3">
        <f>W_KMT*BL38+W_KMA*BM38+W_EDAD*BN38</f>
        <v/>
      </c>
      <c r="BP38" s="3">
        <f>P_ITV*(V38="sí")+P_LIBRO*(W38="sí")+P_CORREA*(X38="sí")+P_PROP*(Y38=1)+P_GAR*(Z38="sí")+P_FOTOS*MIN(1,N(U38)/FOTOS_OBJ)</f>
        <v/>
      </c>
      <c r="BQ38" s="3">
        <f>IFERROR(VLOOKUP(BF38,ETQ_TBL,2,0),NEUTRO)</f>
        <v/>
      </c>
      <c r="BR38" s="3">
        <f>NEUTRO</f>
        <v/>
      </c>
      <c r="BS38" s="3">
        <f>IFERROR(VLOOKUP(L38,SEGURO_TBL,3,0),"")</f>
        <v/>
      </c>
      <c r="BT38" s="3">
        <f>IF(BS38="",NEUTRO,MAX(0,MIN(100,100*(SEG_REF_MAX-BS38)/(SEG_REF_MAX-SEG_REF_MIN))))</f>
        <v/>
      </c>
      <c r="BU38" s="3">
        <f>W_ET*BQ38+W_CONS*BR38+W_SEG*BT38</f>
        <v/>
      </c>
      <c r="BV38" s="3">
        <f>IF(N(AB38)&gt;0,AB38,IF(AND(R38="profesional",SG_LEGAL_ON=1),GAR_LEGAL,0))</f>
        <v/>
      </c>
      <c r="BW38" s="3">
        <f>SG_GAR*MIN(1,BV38/SG_GAR_FULL)+SG_AMPL*(AC38="sí")+SG_KMC*(AF38="sí")+SG_REV*(N(AE38)&gt;0)+SG_DEV*MIN(1,N(AG38)/SG_DEV_FULL)+SG_HIST*(W38="sí")</f>
        <v/>
      </c>
      <c r="BX38" s="3">
        <f>W_FIAB*BJ38+W_PRECIO*BK38+W_KMEDAD*BO38+W_ANUNCIO*BP38+W_USO*BU38+W_SEGURIDAD*BW38</f>
        <v/>
      </c>
      <c r="BY38" s="4">
        <f>IF(N(I38)&gt;0,I38,IFERROR(ROUND(_xlfn.NUMBERVALUE(LEFT(G38,FIND(" ",G38&amp;" ")-1),".")*1000,0),99999))</f>
        <v/>
      </c>
      <c r="BZ38" s="3">
        <f>IF(R38="profesional",0,IF(O38&lt;CUOTA_VALOR_MAX,IF(AU38&gt;ITP_TRAMO_ALTO,SUMIFS(CF_CUOTA,CF_MAS,ITP_TRAMO_ALTO,CF_CCMIN,"&lt;="&amp;BY38,CF_CCMAX,"&gt;="&amp;BY38),IF(AU38&gt;ITP_TRAMO_BAJO,SUMIFS(CF_CUOTA,CF_MAS,ITP_TRAMO_BAJO,CF_CCMIN,"&lt;="&amp;BY38,CF_CCMAX,"&gt;="&amp;BY38),O38*ITP_TIPO)),O38*ITP_TIPO))</f>
        <v/>
      </c>
      <c r="CA38" s="4">
        <f>IF(R38="profesional",N(AK38),0)</f>
        <v/>
      </c>
      <c r="CB38" s="3">
        <f>IF(AND(R38="profesional",ISNUMBER(AK38),AL38="sí"),0,TASA_DGT)</f>
        <v/>
      </c>
      <c r="CC38" s="3">
        <f>INFORME_DGT</f>
        <v/>
      </c>
      <c r="CD38" s="4">
        <f>O38+CA38+BZ38+CB38+CC38</f>
        <v/>
      </c>
      <c r="CE38" s="4">
        <f>CD38+N(BS38)</f>
        <v/>
      </c>
      <c r="CF38" s="3">
        <f>IF(CD38&lt;=TOTAL_MAX,"sí","no")</f>
        <v/>
      </c>
      <c r="CG38" s="4">
        <f>IF(CF38="sí",COUNTIFS($CF$2:$CF$91,"sí",$BX$2:$BX$91,"&gt;"&amp;BX38)+COUNTIFS($CF$2:CF38,"sí",$BX$2:BX38,BX38),"")</f>
        <v/>
      </c>
    </row>
    <row r="39">
      <c r="A39" s="2" t="inlineStr">
        <is>
          <t>cochesnet:71691745</t>
        </is>
      </c>
      <c r="B39" s="2" t="inlineStr">
        <is>
          <t>cochesnet</t>
        </is>
      </c>
      <c r="C39" s="2" t="inlineStr">
        <is>
          <t>https://www.coches.net/toyota-aygo-10-vvti-live-5p-gasolina-2010-en-valencia-71691745-covo.aspx</t>
        </is>
      </c>
      <c r="D39" s="2" t="inlineStr">
        <is>
          <t>TOYOTA Aygo 1.0 VVTi Live</t>
        </is>
      </c>
      <c r="E39" s="2" t="inlineStr">
        <is>
          <t>Toyota</t>
        </is>
      </c>
      <c r="F39" s="2" t="inlineStr">
        <is>
          <t>Toyota Aygo</t>
        </is>
      </c>
      <c r="G39" s="2" t="inlineStr">
        <is>
          <t>1.0 VVT-i</t>
        </is>
      </c>
      <c r="H39" s="2" t="inlineStr">
        <is>
          <t>1.0 VVTi Live</t>
        </is>
      </c>
      <c r="I39" s="2" t="n"/>
      <c r="J39" s="2" t="n"/>
      <c r="K39" s="2" t="inlineStr">
        <is>
          <t>gasolina</t>
        </is>
      </c>
      <c r="L39" s="2" t="inlineStr">
        <is>
          <t>utilitario</t>
        </is>
      </c>
      <c r="M39" s="2" t="n">
        <v>2010</v>
      </c>
      <c r="N39" s="2" t="n">
        <v>166000</v>
      </c>
      <c r="O39" s="2" t="n">
        <v>4450</v>
      </c>
      <c r="P39" s="2" t="inlineStr">
        <is>
          <t>manual</t>
        </is>
      </c>
      <c r="Q39" s="2" t="inlineStr">
        <is>
          <t>no</t>
        </is>
      </c>
      <c r="R39" s="2" t="inlineStr">
        <is>
          <t>profesional</t>
        </is>
      </c>
      <c r="S39" s="2" t="inlineStr">
        <is>
          <t>GO! autos Sagunto (Sagunt)</t>
        </is>
      </c>
      <c r="T39" s="2" t="inlineStr">
        <is>
          <t>2026-10-07T09:35:00Z</t>
        </is>
      </c>
      <c r="U39" s="2" t="n">
        <v>14</v>
      </c>
      <c r="V39" s="2" t="inlineStr">
        <is>
          <t>sí</t>
        </is>
      </c>
      <c r="W39" s="2" t="n"/>
      <c r="X39" s="2" t="n"/>
      <c r="Y39" s="2" t="n"/>
      <c r="Z39" s="2" t="inlineStr">
        <is>
          <t>sí</t>
        </is>
      </c>
      <c r="AA39" s="2" t="n"/>
      <c r="AB39" s="2" t="n">
        <v>12</v>
      </c>
      <c r="AC39" s="2" t="n"/>
      <c r="AD39" s="2" t="n"/>
      <c r="AE39" s="2" t="n"/>
      <c r="AF39" s="2" t="n"/>
      <c r="AG39" s="2" t="n"/>
      <c r="AH39" s="2" t="n">
        <v>4450</v>
      </c>
      <c r="AI39" s="2" t="n">
        <v>4450</v>
      </c>
      <c r="AJ39" s="2" t="n"/>
      <c r="AK39" s="2" t="n"/>
      <c r="AL39" s="2" t="n"/>
      <c r="AM39" s="2" t="n"/>
      <c r="AN39" s="2" t="n"/>
      <c r="AO39" s="2" t="n"/>
      <c r="AP39" s="2" t="n"/>
      <c r="AQ39" s="2" t="n"/>
      <c r="AR39" s="2" t="inlineStr">
        <is>
          <t>vendedor profesional: sin ITP (operación con IVA/REBU, confirmar en factura); gastos de gestión del vendedor no indicados: se suma la tasa DGT; preguntar el precio final; distancia no verificable (el anuncio solo indica la provincia): confirmar que está a &lt;= 50 km; mediana con solo 1 anuncio(s)</t>
        </is>
      </c>
      <c r="AS39" s="2" t="inlineStr">
        <is>
          <t>TOYOTA AYGO 1.0 LIVE | 2010 | 165.000 KM | GARANTÍA 1 AÑO
Toyota Aygo 1.0 Live del año 2010, con 165.000 km, motor gasolina 1.0 y cambio manual.
Vehículo económico, fiable y muy práctico, ideal para ciudad y desplazamientos diarios. Un coche con un mantenimiento sencillo y un consumo reducido.
EQUIPAMIENTO
Aire acondicionado ??
Cierre centralizado
Elevalunas eléctricos
2 llaves
Cambio manual
SE ENTREGA
? ITV en vigor
? Todos los mantenimientos realizados
? Revisado y listo para entregar
? 1 AÑO DE GARANTÍA
Una opción ideal para quien busca un coche económico, fiable y fácil de mantener, con garantía y listo para circular.
Consulte sin compromiso para más información, fotos o para concertar una visita y probarlo.</t>
        </is>
      </c>
      <c r="AT39" s="2" t="inlineStr">
        <is>
          <t>https://www.coches.net/toyota-aygo-10-vvti-live-5p-gasolina-2010-en-valencia-71691745-covo.aspx (window.__INITIAL_PROPS__.ad) /home/user/Alopecia/buscador-coches/raw/cochesnet/680c32fd6cdc2d9a.json</t>
        </is>
      </c>
      <c r="AU39" s="3">
        <f>MAX(ANIO_ACTUAL-M39,0)</f>
        <v/>
      </c>
      <c r="AV39" s="4">
        <f>N39/MAX(AU39,0.5)</f>
        <v/>
      </c>
      <c r="AW39" s="4">
        <f>F39</f>
        <v/>
      </c>
      <c r="AX39" s="3">
        <f>AW39&amp;"|"&amp;INT(M39/SEG_ANIO)*SEG_ANIO</f>
        <v/>
      </c>
      <c r="AY39" s="3">
        <f>AX39&amp;"|"&amp;INT(N39/SEG_KM)*SEG_KM</f>
        <v/>
      </c>
      <c r="AZ39" s="4">
        <f>COUNTIF($AW$2:$AW$91,AW39)</f>
        <v/>
      </c>
      <c r="BA39" s="4">
        <f>COUNTIF($AX$2:$AX$91,AX39)</f>
        <v/>
      </c>
      <c r="BB39" s="4">
        <f>COUNTIF($AY$2:$AY$91,AY39)</f>
        <v/>
      </c>
      <c r="BC39" s="3">
        <f t="array" ref="BC39">IF(N(AO39)&gt;=MIN_N,AN39,IF(BB39&gt;=MIN_N,MEDIAN(IF($AY$2:$AY$91=AY39,$O$2:$O$91)),IF(BA39&gt;=MIN_N,MEDIAN(IF($AX$2:$AX$91=AX39,$O$2:$O$91)),MEDIAN(IF($AW$2:$AW$91=AW39,$O$2:$O$91)))))</f>
        <v/>
      </c>
      <c r="BD39" s="3">
        <f>IF(N(AO39)&gt;=MIN_N,"mercado "&amp;AP39,IF(BB39&gt;=MIN_N,"modelo+año+km",IF(BA39&gt;=MIN_N,"modelo+año","modelo")))</f>
        <v/>
      </c>
      <c r="BE39" s="4">
        <f>(BC39-O39)/BC39</f>
        <v/>
      </c>
      <c r="BF39" s="3">
        <f>IF(OR(K39="hibrido",K39="glp"),"ECO",IF(K39="electrico","CERO",IF(K39="gasolina",IF(M39&gt;=GAS_C,"C",IF(M39&gt;=GAS_B,"B","A")),IF(K39="diesel",IF(M39&gt;=DIE_C,"C",IF(M39&gt;=DIE_B,"B","A")),""))))</f>
        <v/>
      </c>
      <c r="BG39" s="3">
        <f>IFERROR(VLOOKUP(F39,MOD_TBL,11,0),IFERROR(VLOOKUP(E39,OCU_TBL,2,0),NEUTRO))</f>
        <v/>
      </c>
      <c r="BH39" s="3">
        <f>SUMIFS(MOT_AJUSTE,MOT_MOTOR,G39,MOT_MARCA,E39,MOT_DESDE,"&lt;="&amp;M39,MOT_HASTA,"&gt;="&amp;M39)+SUMIFS(MOT_AJUSTE,MOT_MOTOR,G39,MOT_MARCA,"(todas)",MOT_DESDE,"&lt;="&amp;M39,MOT_HASTA,"&gt;="&amp;M39)</f>
        <v/>
      </c>
      <c r="BI39" s="3">
        <f>SUMIFS(COMB_AJUSTE,COMB_COMB,K39)</f>
        <v/>
      </c>
      <c r="BJ39" s="4">
        <f>MAX(0,MIN(100,BG39+BH39+BI39))</f>
        <v/>
      </c>
      <c r="BK39" s="3">
        <f>MAX(0,MIN(100,50+BE39*PRECIO_PEND))</f>
        <v/>
      </c>
      <c r="BL39" s="3">
        <f>MAX(0,100*(1-N39/KM_MAX))</f>
        <v/>
      </c>
      <c r="BM39" s="3">
        <f>IF(AV39&lt;KMA_SOSP,IF(AA39="sí",100,KMA_PEN),IF(AV39&lt;=KMA_IDEAL_MAX,100,MAX(0,100*(KMA_CERO-AV39)/(KMA_CERO-KMA_IDEAL_MAX))))</f>
        <v/>
      </c>
      <c r="BN39" s="3">
        <f>MAX(0,MIN(100,100*(M39-ANIO_MIN)/(ANIO_ACTUAL-ANIO_MIN)))</f>
        <v/>
      </c>
      <c r="BO39" s="3">
        <f>W_KMT*BL39+W_KMA*BM39+W_EDAD*BN39</f>
        <v/>
      </c>
      <c r="BP39" s="3">
        <f>P_ITV*(V39="sí")+P_LIBRO*(W39="sí")+P_CORREA*(X39="sí")+P_PROP*(Y39=1)+P_GAR*(Z39="sí")+P_FOTOS*MIN(1,N(U39)/FOTOS_OBJ)</f>
        <v/>
      </c>
      <c r="BQ39" s="3">
        <f>IFERROR(VLOOKUP(BF39,ETQ_TBL,2,0),NEUTRO)</f>
        <v/>
      </c>
      <c r="BR39" s="3">
        <f>NEUTRO</f>
        <v/>
      </c>
      <c r="BS39" s="3">
        <f>IFERROR(VLOOKUP(L39,SEGURO_TBL,3,0),"")</f>
        <v/>
      </c>
      <c r="BT39" s="3">
        <f>IF(BS39="",NEUTRO,MAX(0,MIN(100,100*(SEG_REF_MAX-BS39)/(SEG_REF_MAX-SEG_REF_MIN))))</f>
        <v/>
      </c>
      <c r="BU39" s="3">
        <f>W_ET*BQ39+W_CONS*BR39+W_SEG*BT39</f>
        <v/>
      </c>
      <c r="BV39" s="3">
        <f>IF(N(AB39)&gt;0,AB39,IF(AND(R39="profesional",SG_LEGAL_ON=1),GAR_LEGAL,0))</f>
        <v/>
      </c>
      <c r="BW39" s="3">
        <f>SG_GAR*MIN(1,BV39/SG_GAR_FULL)+SG_AMPL*(AC39="sí")+SG_KMC*(AF39="sí")+SG_REV*(N(AE39)&gt;0)+SG_DEV*MIN(1,N(AG39)/SG_DEV_FULL)+SG_HIST*(W39="sí")</f>
        <v/>
      </c>
      <c r="BX39" s="3">
        <f>W_FIAB*BJ39+W_PRECIO*BK39+W_KMEDAD*BO39+W_ANUNCIO*BP39+W_USO*BU39+W_SEGURIDAD*BW39</f>
        <v/>
      </c>
      <c r="BY39" s="4">
        <f>IF(N(I39)&gt;0,I39,IFERROR(ROUND(_xlfn.NUMBERVALUE(LEFT(G39,FIND(" ",G39&amp;" ")-1),".")*1000,0),99999))</f>
        <v/>
      </c>
      <c r="BZ39" s="3">
        <f>IF(R39="profesional",0,IF(O39&lt;CUOTA_VALOR_MAX,IF(AU39&gt;ITP_TRAMO_ALTO,SUMIFS(CF_CUOTA,CF_MAS,ITP_TRAMO_ALTO,CF_CCMIN,"&lt;="&amp;BY39,CF_CCMAX,"&gt;="&amp;BY39),IF(AU39&gt;ITP_TRAMO_BAJO,SUMIFS(CF_CUOTA,CF_MAS,ITP_TRAMO_BAJO,CF_CCMIN,"&lt;="&amp;BY39,CF_CCMAX,"&gt;="&amp;BY39),O39*ITP_TIPO)),O39*ITP_TIPO))</f>
        <v/>
      </c>
      <c r="CA39" s="4">
        <f>IF(R39="profesional",N(AK39),0)</f>
        <v/>
      </c>
      <c r="CB39" s="3">
        <f>IF(AND(R39="profesional",ISNUMBER(AK39),AL39="sí"),0,TASA_DGT)</f>
        <v/>
      </c>
      <c r="CC39" s="3">
        <f>INFORME_DGT</f>
        <v/>
      </c>
      <c r="CD39" s="4">
        <f>O39+CA39+BZ39+CB39+CC39</f>
        <v/>
      </c>
      <c r="CE39" s="4">
        <f>CD39+N(BS39)</f>
        <v/>
      </c>
      <c r="CF39" s="3">
        <f>IF(CD39&lt;=TOTAL_MAX,"sí","no")</f>
        <v/>
      </c>
      <c r="CG39" s="4">
        <f>IF(CF39="sí",COUNTIFS($CF$2:$CF$91,"sí",$BX$2:$BX$91,"&gt;"&amp;BX39)+COUNTIFS($CF$2:CF39,"sí",$BX$2:BX39,BX39),"")</f>
        <v/>
      </c>
    </row>
    <row r="40">
      <c r="A40" s="2" t="inlineStr">
        <is>
          <t>cochesnet:71817386</t>
        </is>
      </c>
      <c r="B40" s="2" t="inlineStr">
        <is>
          <t>cochesnet</t>
        </is>
      </c>
      <c r="C40" s="2" t="inlineStr">
        <is>
          <t>https://www.coches.net/kia-picanto-10-sohc-concept-5p-gasolina-2010-en-valencia-71817386-covo.aspx</t>
        </is>
      </c>
      <c r="D40" s="2" t="inlineStr">
        <is>
          <t>KIA Picanto 1.0 SOHC Concept</t>
        </is>
      </c>
      <c r="E40" s="2" t="inlineStr">
        <is>
          <t>Kia</t>
        </is>
      </c>
      <c r="F40" s="2" t="inlineStr">
        <is>
          <t>Kia Picanto</t>
        </is>
      </c>
      <c r="G40" s="2" t="inlineStr">
        <is>
          <t>1.0</t>
        </is>
      </c>
      <c r="H40" s="2" t="inlineStr">
        <is>
          <t>1.0 SOHC Concept</t>
        </is>
      </c>
      <c r="I40" s="2" t="n"/>
      <c r="J40" s="2" t="n"/>
      <c r="K40" s="2" t="inlineStr">
        <is>
          <t>gasolina</t>
        </is>
      </c>
      <c r="L40" s="2" t="inlineStr">
        <is>
          <t>utilitario</t>
        </is>
      </c>
      <c r="M40" s="2" t="n">
        <v>2010</v>
      </c>
      <c r="N40" s="2" t="n">
        <v>99500</v>
      </c>
      <c r="O40" s="2" t="n">
        <v>4490</v>
      </c>
      <c r="P40" s="2" t="inlineStr">
        <is>
          <t>manual</t>
        </is>
      </c>
      <c r="Q40" s="2" t="inlineStr">
        <is>
          <t>no</t>
        </is>
      </c>
      <c r="R40" s="2" t="inlineStr">
        <is>
          <t>profesional</t>
        </is>
      </c>
      <c r="S40" s="2" t="inlineStr">
        <is>
          <t>JM Automóviles Alboraya</t>
        </is>
      </c>
      <c r="T40" s="2" t="inlineStr">
        <is>
          <t>2026-10-23T14:17:23Z</t>
        </is>
      </c>
      <c r="U40" s="2" t="n">
        <v>17</v>
      </c>
      <c r="V40" s="2" t="n"/>
      <c r="W40" s="2" t="n"/>
      <c r="X40" s="2" t="n"/>
      <c r="Y40" s="2" t="n"/>
      <c r="Z40" s="2" t="inlineStr">
        <is>
          <t>sí</t>
        </is>
      </c>
      <c r="AA40" s="2" t="n"/>
      <c r="AB40" s="2" t="n">
        <v>12</v>
      </c>
      <c r="AC40" s="2" t="n"/>
      <c r="AD40" s="2" t="n"/>
      <c r="AE40" s="2" t="n"/>
      <c r="AF40" s="2" t="n"/>
      <c r="AG40" s="2" t="n"/>
      <c r="AH40" s="2" t="n">
        <v>4490</v>
      </c>
      <c r="AI40" s="2" t="n">
        <v>4490</v>
      </c>
      <c r="AJ40" s="2" t="n"/>
      <c r="AK40" s="2" t="n"/>
      <c r="AL40" s="2" t="n"/>
      <c r="AM40" s="2" t="n">
        <v>4</v>
      </c>
      <c r="AN40" s="2" t="n"/>
      <c r="AO40" s="2" t="n"/>
      <c r="AP40" s="2" t="n"/>
      <c r="AQ40" s="2" t="n"/>
      <c r="AR40" s="2" t="inlineStr">
        <is>
          <t>vendedor profesional: sin ITP (operación con IVA/REBU, confirmar en factura); gastos de gestión del vendedor no indicados: se suma la tasa DGT; preguntar el precio final; mediana con solo 2 anuncio(s)</t>
        </is>
      </c>
      <c r="AS40"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AT40" s="2" t="inlineStr">
        <is>
          <t>https://www.coches.net/kia-picanto-10-sohc-concept-5p-gasolina-2010-en-valencia-71817386-covo.aspx (window.__INITIAL_PROPS__.ad) /home/user/Alopecia/buscador-coches/raw/cochesnet/7d779d6ecf209f81.json</t>
        </is>
      </c>
      <c r="AU40" s="3">
        <f>MAX(ANIO_ACTUAL-M40,0)</f>
        <v/>
      </c>
      <c r="AV40" s="4">
        <f>N40/MAX(AU40,0.5)</f>
        <v/>
      </c>
      <c r="AW40" s="4">
        <f>F40</f>
        <v/>
      </c>
      <c r="AX40" s="3">
        <f>AW40&amp;"|"&amp;INT(M40/SEG_ANIO)*SEG_ANIO</f>
        <v/>
      </c>
      <c r="AY40" s="3">
        <f>AX40&amp;"|"&amp;INT(N40/SEG_KM)*SEG_KM</f>
        <v/>
      </c>
      <c r="AZ40" s="4">
        <f>COUNTIF($AW$2:$AW$91,AW40)</f>
        <v/>
      </c>
      <c r="BA40" s="4">
        <f>COUNTIF($AX$2:$AX$91,AX40)</f>
        <v/>
      </c>
      <c r="BB40" s="4">
        <f>COUNTIF($AY$2:$AY$91,AY40)</f>
        <v/>
      </c>
      <c r="BC40" s="3">
        <f t="array" ref="BC40">IF(N(AO40)&gt;=MIN_N,AN40,IF(BB40&gt;=MIN_N,MEDIAN(IF($AY$2:$AY$91=AY40,$O$2:$O$91)),IF(BA40&gt;=MIN_N,MEDIAN(IF($AX$2:$AX$91=AX40,$O$2:$O$91)),MEDIAN(IF($AW$2:$AW$91=AW40,$O$2:$O$91)))))</f>
        <v/>
      </c>
      <c r="BD40" s="3">
        <f>IF(N(AO40)&gt;=MIN_N,"mercado "&amp;AP40,IF(BB40&gt;=MIN_N,"modelo+año+km",IF(BA40&gt;=MIN_N,"modelo+año","modelo")))</f>
        <v/>
      </c>
      <c r="BE40" s="4">
        <f>(BC40-O40)/BC40</f>
        <v/>
      </c>
      <c r="BF40" s="3">
        <f>IF(OR(K40="hibrido",K40="glp"),"ECO",IF(K40="electrico","CERO",IF(K40="gasolina",IF(M40&gt;=GAS_C,"C",IF(M40&gt;=GAS_B,"B","A")),IF(K40="diesel",IF(M40&gt;=DIE_C,"C",IF(M40&gt;=DIE_B,"B","A")),""))))</f>
        <v/>
      </c>
      <c r="BG40" s="3">
        <f>IFERROR(VLOOKUP(F40,MOD_TBL,11,0),IFERROR(VLOOKUP(E40,OCU_TBL,2,0),NEUTRO))</f>
        <v/>
      </c>
      <c r="BH40" s="3">
        <f>SUMIFS(MOT_AJUSTE,MOT_MOTOR,G40,MOT_MARCA,E40,MOT_DESDE,"&lt;="&amp;M40,MOT_HASTA,"&gt;="&amp;M40)+SUMIFS(MOT_AJUSTE,MOT_MOTOR,G40,MOT_MARCA,"(todas)",MOT_DESDE,"&lt;="&amp;M40,MOT_HASTA,"&gt;="&amp;M40)</f>
        <v/>
      </c>
      <c r="BI40" s="3">
        <f>SUMIFS(COMB_AJUSTE,COMB_COMB,K40)</f>
        <v/>
      </c>
      <c r="BJ40" s="4">
        <f>MAX(0,MIN(100,BG40+BH40+BI40))</f>
        <v/>
      </c>
      <c r="BK40" s="3">
        <f>MAX(0,MIN(100,50+BE40*PRECIO_PEND))</f>
        <v/>
      </c>
      <c r="BL40" s="3">
        <f>MAX(0,100*(1-N40/KM_MAX))</f>
        <v/>
      </c>
      <c r="BM40" s="3">
        <f>IF(AV40&lt;KMA_SOSP,IF(AA40="sí",100,KMA_PEN),IF(AV40&lt;=KMA_IDEAL_MAX,100,MAX(0,100*(KMA_CERO-AV40)/(KMA_CERO-KMA_IDEAL_MAX))))</f>
        <v/>
      </c>
      <c r="BN40" s="3">
        <f>MAX(0,MIN(100,100*(M40-ANIO_MIN)/(ANIO_ACTUAL-ANIO_MIN)))</f>
        <v/>
      </c>
      <c r="BO40" s="3">
        <f>W_KMT*BL40+W_KMA*BM40+W_EDAD*BN40</f>
        <v/>
      </c>
      <c r="BP40" s="3">
        <f>P_ITV*(V40="sí")+P_LIBRO*(W40="sí")+P_CORREA*(X40="sí")+P_PROP*(Y40=1)+P_GAR*(Z40="sí")+P_FOTOS*MIN(1,N(U40)/FOTOS_OBJ)</f>
        <v/>
      </c>
      <c r="BQ40" s="3">
        <f>IFERROR(VLOOKUP(BF40,ETQ_TBL,2,0),NEUTRO)</f>
        <v/>
      </c>
      <c r="BR40" s="3">
        <f>NEUTRO</f>
        <v/>
      </c>
      <c r="BS40" s="3">
        <f>IFERROR(VLOOKUP(L40,SEGURO_TBL,3,0),"")</f>
        <v/>
      </c>
      <c r="BT40" s="3">
        <f>IF(BS40="",NEUTRO,MAX(0,MIN(100,100*(SEG_REF_MAX-BS40)/(SEG_REF_MAX-SEG_REF_MIN))))</f>
        <v/>
      </c>
      <c r="BU40" s="3">
        <f>W_ET*BQ40+W_CONS*BR40+W_SEG*BT40</f>
        <v/>
      </c>
      <c r="BV40" s="3">
        <f>IF(N(AB40)&gt;0,AB40,IF(AND(R40="profesional",SG_LEGAL_ON=1),GAR_LEGAL,0))</f>
        <v/>
      </c>
      <c r="BW40" s="3">
        <f>SG_GAR*MIN(1,BV40/SG_GAR_FULL)+SG_AMPL*(AC40="sí")+SG_KMC*(AF40="sí")+SG_REV*(N(AE40)&gt;0)+SG_DEV*MIN(1,N(AG40)/SG_DEV_FULL)+SG_HIST*(W40="sí")</f>
        <v/>
      </c>
      <c r="BX40" s="3">
        <f>W_FIAB*BJ40+W_PRECIO*BK40+W_KMEDAD*BO40+W_ANUNCIO*BP40+W_USO*BU40+W_SEGURIDAD*BW40</f>
        <v/>
      </c>
      <c r="BY40" s="4">
        <f>IF(N(I40)&gt;0,I40,IFERROR(ROUND(_xlfn.NUMBERVALUE(LEFT(G40,FIND(" ",G40&amp;" ")-1),".")*1000,0),99999))</f>
        <v/>
      </c>
      <c r="BZ40" s="3">
        <f>IF(R40="profesional",0,IF(O40&lt;CUOTA_VALOR_MAX,IF(AU40&gt;ITP_TRAMO_ALTO,SUMIFS(CF_CUOTA,CF_MAS,ITP_TRAMO_ALTO,CF_CCMIN,"&lt;="&amp;BY40,CF_CCMAX,"&gt;="&amp;BY40),IF(AU40&gt;ITP_TRAMO_BAJO,SUMIFS(CF_CUOTA,CF_MAS,ITP_TRAMO_BAJO,CF_CCMIN,"&lt;="&amp;BY40,CF_CCMAX,"&gt;="&amp;BY40),O40*ITP_TIPO)),O40*ITP_TIPO))</f>
        <v/>
      </c>
      <c r="CA40" s="4">
        <f>IF(R40="profesional",N(AK40),0)</f>
        <v/>
      </c>
      <c r="CB40" s="3">
        <f>IF(AND(R40="profesional",ISNUMBER(AK40),AL40="sí"),0,TASA_DGT)</f>
        <v/>
      </c>
      <c r="CC40" s="3">
        <f>INFORME_DGT</f>
        <v/>
      </c>
      <c r="CD40" s="4">
        <f>O40+CA40+BZ40+CB40+CC40</f>
        <v/>
      </c>
      <c r="CE40" s="4">
        <f>CD40+N(BS40)</f>
        <v/>
      </c>
      <c r="CF40" s="3">
        <f>IF(CD40&lt;=TOTAL_MAX,"sí","no")</f>
        <v/>
      </c>
      <c r="CG40" s="4">
        <f>IF(CF40="sí",COUNTIFS($CF$2:$CF$91,"sí",$BX$2:$BX$91,"&gt;"&amp;BX40)+COUNTIFS($CF$2:CF40,"sí",$BX$2:BX40,BX40),"")</f>
        <v/>
      </c>
    </row>
    <row r="41">
      <c r="A41" s="2" t="inlineStr">
        <is>
          <t>cochesnet:71336745</t>
        </is>
      </c>
      <c r="B41" s="2" t="inlineStr">
        <is>
          <t>cochesnet</t>
        </is>
      </c>
      <c r="C41" s="2" t="inlineStr">
        <is>
          <t>https://www.coches.net/kia-picanto-11-sohc-emotion-5p-gasolina-2008-en-valencia-71336745-covo.aspx</t>
        </is>
      </c>
      <c r="D41" s="2" t="inlineStr">
        <is>
          <t>KIA Picanto 1.1 SOHC Emotion</t>
        </is>
      </c>
      <c r="E41" s="2" t="inlineStr">
        <is>
          <t>Kia</t>
        </is>
      </c>
      <c r="F41" s="2" t="inlineStr">
        <is>
          <t>Kia Picanto</t>
        </is>
      </c>
      <c r="G41" s="2" t="inlineStr">
        <is>
          <t>1.1</t>
        </is>
      </c>
      <c r="H41" s="2" t="inlineStr">
        <is>
          <t>1.1 SOHC Emotion</t>
        </is>
      </c>
      <c r="I41" s="2" t="n"/>
      <c r="J41" s="2" t="n"/>
      <c r="K41" s="2" t="inlineStr">
        <is>
          <t>gasolina</t>
        </is>
      </c>
      <c r="L41" s="2" t="inlineStr">
        <is>
          <t>utilitario</t>
        </is>
      </c>
      <c r="M41" s="2" t="n">
        <v>2008</v>
      </c>
      <c r="N41" s="2" t="n">
        <v>180000</v>
      </c>
      <c r="O41" s="2" t="n">
        <v>2450</v>
      </c>
      <c r="P41" s="2" t="inlineStr">
        <is>
          <t>manual</t>
        </is>
      </c>
      <c r="Q41" s="2" t="inlineStr">
        <is>
          <t>no</t>
        </is>
      </c>
      <c r="R41" s="2" t="inlineStr">
        <is>
          <t>particular</t>
        </is>
      </c>
      <c r="S41" s="2" t="inlineStr">
        <is>
          <t>Alboraya</t>
        </is>
      </c>
      <c r="T41" s="2" t="inlineStr">
        <is>
          <t>2026-08-21T10:31:08Z</t>
        </is>
      </c>
      <c r="U41" s="2" t="n">
        <v>5</v>
      </c>
      <c r="V41" s="2" t="n"/>
      <c r="W41" s="2" t="n"/>
      <c r="X41" s="2" t="n"/>
      <c r="Y41" s="2" t="n"/>
      <c r="Z41" s="2" t="inlineStr">
        <is>
          <t>no</t>
        </is>
      </c>
      <c r="AA41" s="2" t="n"/>
      <c r="AB41" s="2" t="n"/>
      <c r="AC41" s="2" t="n"/>
      <c r="AD41" s="2" t="n"/>
      <c r="AE41" s="2" t="n"/>
      <c r="AF41" s="2" t="n"/>
      <c r="AG41" s="2" t="n"/>
      <c r="AH41" s="2" t="n">
        <v>2450</v>
      </c>
      <c r="AI41" s="2" t="n"/>
      <c r="AJ41" s="2" t="n"/>
      <c r="AK41" s="2" t="n"/>
      <c r="AL41" s="2" t="n"/>
      <c r="AM41" s="2" t="n">
        <v>4</v>
      </c>
      <c r="AN41" s="2" t="n"/>
      <c r="AO41" s="2" t="n"/>
      <c r="AP41" s="2" t="n"/>
      <c r="AQ41" s="2" t="n"/>
      <c r="AR41" s="2" t="inlineStr">
        <is>
          <t>cuota fija ITP: &gt;12 años, hasta 1.500 cc; mediana con solo 2 anuncio(s)</t>
        </is>
      </c>
      <c r="AS41" s="2" t="inlineStr">
        <is>
          <t>Perfecto para quienes buscan fiabilidad, estilo y buen rendimiento a un precio justo. Te presento mi KIA Picanto 1.1 SOHC Emotion, un utilitario versátil que combina lo mejor de la conducción urbana con la practicidad que necesitas en tu día a día.
Este Picanto destaca por su excelente relación entre consumo y potencia. Con un motor de 1086 cc y 65 CV, ofrece una conducción ágil y eficiente, perfecta tanto para moverte por la ciudad como para trayectos más largos. Su cambio manual garantiza un control total y una experiencia de conducción directa y responsiva.
El estado general del vehículo es bueno, tanto interior como exterior. Se trata de un coche berlina de cinco puertas y cinco plazas, ideal para familias o para quien necesite espacio y versatilidad sin renunciar a la maniobrabilidad en espacios reducidos. Su color amarillo le da un toque diferente y fácil de localizar en el aparcamiento.
Este modelo destaca por su fiabilidad característica de la marca KIA, con un motor robusto que ha demostrado su durabilidad a lo largo de los años. Es un vehículo sin pretensiones pero efectivo, pensado para quien valora la practicidad y el buen funcionamiento por encima de las modas pasajeras.
Estoy disponible para resolver cualquier duda específica que tengas sobre el vehículo. Puedes contactarme tanto por chat como por teléfono para ampliar la información o concertar una cita para verlo en persona.
¡No lo dejes escapar! Contacta hoy mismo y descubre por qué este Picanto puede se</t>
        </is>
      </c>
      <c r="AT41" s="2" t="inlineStr">
        <is>
          <t>https://www.coches.net/kia-picanto-11-sohc-emotion-5p-gasolina-2008-en-valencia-71336745-covo.aspx (window.__INITIAL_PROPS__.ad) /home/user/Alopecia/buscador-coches/raw/cochesnet/7b36e2eae2b2420f.json</t>
        </is>
      </c>
      <c r="AU41" s="3">
        <f>MAX(ANIO_ACTUAL-M41,0)</f>
        <v/>
      </c>
      <c r="AV41" s="4">
        <f>N41/MAX(AU41,0.5)</f>
        <v/>
      </c>
      <c r="AW41" s="4">
        <f>F41</f>
        <v/>
      </c>
      <c r="AX41" s="3">
        <f>AW41&amp;"|"&amp;INT(M41/SEG_ANIO)*SEG_ANIO</f>
        <v/>
      </c>
      <c r="AY41" s="3">
        <f>AX41&amp;"|"&amp;INT(N41/SEG_KM)*SEG_KM</f>
        <v/>
      </c>
      <c r="AZ41" s="4">
        <f>COUNTIF($AW$2:$AW$91,AW41)</f>
        <v/>
      </c>
      <c r="BA41" s="4">
        <f>COUNTIF($AX$2:$AX$91,AX41)</f>
        <v/>
      </c>
      <c r="BB41" s="4">
        <f>COUNTIF($AY$2:$AY$91,AY41)</f>
        <v/>
      </c>
      <c r="BC41" s="3">
        <f t="array" ref="BC41">IF(N(AO41)&gt;=MIN_N,AN41,IF(BB41&gt;=MIN_N,MEDIAN(IF($AY$2:$AY$91=AY41,$O$2:$O$91)),IF(BA41&gt;=MIN_N,MEDIAN(IF($AX$2:$AX$91=AX41,$O$2:$O$91)),MEDIAN(IF($AW$2:$AW$91=AW41,$O$2:$O$91)))))</f>
        <v/>
      </c>
      <c r="BD41" s="3">
        <f>IF(N(AO41)&gt;=MIN_N,"mercado "&amp;AP41,IF(BB41&gt;=MIN_N,"modelo+año+km",IF(BA41&gt;=MIN_N,"modelo+año","modelo")))</f>
        <v/>
      </c>
      <c r="BE41" s="4">
        <f>(BC41-O41)/BC41</f>
        <v/>
      </c>
      <c r="BF41" s="3">
        <f>IF(OR(K41="hibrido",K41="glp"),"ECO",IF(K41="electrico","CERO",IF(K41="gasolina",IF(M41&gt;=GAS_C,"C",IF(M41&gt;=GAS_B,"B","A")),IF(K41="diesel",IF(M41&gt;=DIE_C,"C",IF(M41&gt;=DIE_B,"B","A")),""))))</f>
        <v/>
      </c>
      <c r="BG41" s="3">
        <f>IFERROR(VLOOKUP(F41,MOD_TBL,11,0),IFERROR(VLOOKUP(E41,OCU_TBL,2,0),NEUTRO))</f>
        <v/>
      </c>
      <c r="BH41" s="3">
        <f>SUMIFS(MOT_AJUSTE,MOT_MOTOR,G41,MOT_MARCA,E41,MOT_DESDE,"&lt;="&amp;M41,MOT_HASTA,"&gt;="&amp;M41)+SUMIFS(MOT_AJUSTE,MOT_MOTOR,G41,MOT_MARCA,"(todas)",MOT_DESDE,"&lt;="&amp;M41,MOT_HASTA,"&gt;="&amp;M41)</f>
        <v/>
      </c>
      <c r="BI41" s="3">
        <f>SUMIFS(COMB_AJUSTE,COMB_COMB,K41)</f>
        <v/>
      </c>
      <c r="BJ41" s="4">
        <f>MAX(0,MIN(100,BG41+BH41+BI41))</f>
        <v/>
      </c>
      <c r="BK41" s="3">
        <f>MAX(0,MIN(100,50+BE41*PRECIO_PEND))</f>
        <v/>
      </c>
      <c r="BL41" s="3">
        <f>MAX(0,100*(1-N41/KM_MAX))</f>
        <v/>
      </c>
      <c r="BM41" s="3">
        <f>IF(AV41&lt;KMA_SOSP,IF(AA41="sí",100,KMA_PEN),IF(AV41&lt;=KMA_IDEAL_MAX,100,MAX(0,100*(KMA_CERO-AV41)/(KMA_CERO-KMA_IDEAL_MAX))))</f>
        <v/>
      </c>
      <c r="BN41" s="3">
        <f>MAX(0,MIN(100,100*(M41-ANIO_MIN)/(ANIO_ACTUAL-ANIO_MIN)))</f>
        <v/>
      </c>
      <c r="BO41" s="3">
        <f>W_KMT*BL41+W_KMA*BM41+W_EDAD*BN41</f>
        <v/>
      </c>
      <c r="BP41" s="3">
        <f>P_ITV*(V41="sí")+P_LIBRO*(W41="sí")+P_CORREA*(X41="sí")+P_PROP*(Y41=1)+P_GAR*(Z41="sí")+P_FOTOS*MIN(1,N(U41)/FOTOS_OBJ)</f>
        <v/>
      </c>
      <c r="BQ41" s="3">
        <f>IFERROR(VLOOKUP(BF41,ETQ_TBL,2,0),NEUTRO)</f>
        <v/>
      </c>
      <c r="BR41" s="3">
        <f>NEUTRO</f>
        <v/>
      </c>
      <c r="BS41" s="3">
        <f>IFERROR(VLOOKUP(L41,SEGURO_TBL,3,0),"")</f>
        <v/>
      </c>
      <c r="BT41" s="3">
        <f>IF(BS41="",NEUTRO,MAX(0,MIN(100,100*(SEG_REF_MAX-BS41)/(SEG_REF_MAX-SEG_REF_MIN))))</f>
        <v/>
      </c>
      <c r="BU41" s="3">
        <f>W_ET*BQ41+W_CONS*BR41+W_SEG*BT41</f>
        <v/>
      </c>
      <c r="BV41" s="3">
        <f>IF(N(AB41)&gt;0,AB41,IF(AND(R41="profesional",SG_LEGAL_ON=1),GAR_LEGAL,0))</f>
        <v/>
      </c>
      <c r="BW41" s="3">
        <f>SG_GAR*MIN(1,BV41/SG_GAR_FULL)+SG_AMPL*(AC41="sí")+SG_KMC*(AF41="sí")+SG_REV*(N(AE41)&gt;0)+SG_DEV*MIN(1,N(AG41)/SG_DEV_FULL)+SG_HIST*(W41="sí")</f>
        <v/>
      </c>
      <c r="BX41" s="3">
        <f>W_FIAB*BJ41+W_PRECIO*BK41+W_KMEDAD*BO41+W_ANUNCIO*BP41+W_USO*BU41+W_SEGURIDAD*BW41</f>
        <v/>
      </c>
      <c r="BY41" s="4">
        <f>IF(N(I41)&gt;0,I41,IFERROR(ROUND(_xlfn.NUMBERVALUE(LEFT(G41,FIND(" ",G41&amp;" ")-1),".")*1000,0),99999))</f>
        <v/>
      </c>
      <c r="BZ41" s="3">
        <f>IF(R41="profesional",0,IF(O41&lt;CUOTA_VALOR_MAX,IF(AU41&gt;ITP_TRAMO_ALTO,SUMIFS(CF_CUOTA,CF_MAS,ITP_TRAMO_ALTO,CF_CCMIN,"&lt;="&amp;BY41,CF_CCMAX,"&gt;="&amp;BY41),IF(AU41&gt;ITP_TRAMO_BAJO,SUMIFS(CF_CUOTA,CF_MAS,ITP_TRAMO_BAJO,CF_CCMIN,"&lt;="&amp;BY41,CF_CCMAX,"&gt;="&amp;BY41),O41*ITP_TIPO)),O41*ITP_TIPO))</f>
        <v/>
      </c>
      <c r="CA41" s="4">
        <f>IF(R41="profesional",N(AK41),0)</f>
        <v/>
      </c>
      <c r="CB41" s="3">
        <f>IF(AND(R41="profesional",ISNUMBER(AK41),AL41="sí"),0,TASA_DGT)</f>
        <v/>
      </c>
      <c r="CC41" s="3">
        <f>INFORME_DGT</f>
        <v/>
      </c>
      <c r="CD41" s="4">
        <f>O41+CA41+BZ41+CB41+CC41</f>
        <v/>
      </c>
      <c r="CE41" s="4">
        <f>CD41+N(BS41)</f>
        <v/>
      </c>
      <c r="CF41" s="3">
        <f>IF(CD41&lt;=TOTAL_MAX,"sí","no")</f>
        <v/>
      </c>
      <c r="CG41" s="4">
        <f>IF(CF41="sí",COUNTIFS($CF$2:$CF$91,"sí",$BX$2:$BX$91,"&gt;"&amp;BX41)+COUNTIFS($CF$2:CF41,"sí",$BX$2:BX41,BX41),"")</f>
        <v/>
      </c>
    </row>
    <row r="42">
      <c r="A42" s="2" t="inlineStr">
        <is>
          <t>cochesnet:71571543</t>
        </is>
      </c>
      <c r="B42" s="2" t="inlineStr">
        <is>
          <t>cochesnet</t>
        </is>
      </c>
      <c r="C42" s="2" t="inlineStr">
        <is>
          <t>https://www.coches.net/hyundai-i10-11-comfort-5p-gasolina-2008-en-valencia-71571543-covo.aspx</t>
        </is>
      </c>
      <c r="D42" s="2" t="inlineStr">
        <is>
          <t>HYUNDAI i10 1.1 Comfort</t>
        </is>
      </c>
      <c r="E42" s="2" t="inlineStr">
        <is>
          <t>Hyundai</t>
        </is>
      </c>
      <c r="F42" s="2" t="inlineStr">
        <is>
          <t>Hyundai i10</t>
        </is>
      </c>
      <c r="G42" s="2" t="inlineStr">
        <is>
          <t>1.1</t>
        </is>
      </c>
      <c r="H42" s="2" t="inlineStr">
        <is>
          <t>1.1 Comfort</t>
        </is>
      </c>
      <c r="I42" s="2" t="n"/>
      <c r="J42" s="2" t="n"/>
      <c r="K42" s="2" t="inlineStr">
        <is>
          <t>gasolina</t>
        </is>
      </c>
      <c r="L42" s="2" t="inlineStr">
        <is>
          <t>utilitario</t>
        </is>
      </c>
      <c r="M42" s="2" t="n">
        <v>2009</v>
      </c>
      <c r="N42" s="2" t="n">
        <v>156200</v>
      </c>
      <c r="O42" s="2" t="n">
        <v>3990</v>
      </c>
      <c r="P42" s="2" t="inlineStr">
        <is>
          <t>manual</t>
        </is>
      </c>
      <c r="Q42" s="2" t="inlineStr">
        <is>
          <t>no</t>
        </is>
      </c>
      <c r="R42" s="2" t="inlineStr">
        <is>
          <t>profesional</t>
        </is>
      </c>
      <c r="S42" s="2" t="inlineStr">
        <is>
          <t>AUTOSCOL Torrent</t>
        </is>
      </c>
      <c r="T42" s="2" t="inlineStr">
        <is>
          <t>2026-09-22T15:23:36Z</t>
        </is>
      </c>
      <c r="U42" s="2" t="n">
        <v>14</v>
      </c>
      <c r="V42" s="2" t="n"/>
      <c r="W42" s="2" t="n"/>
      <c r="X42" s="2" t="n"/>
      <c r="Y42" s="2" t="n"/>
      <c r="Z42" s="2" t="inlineStr">
        <is>
          <t>sí</t>
        </is>
      </c>
      <c r="AA42" s="2" t="n"/>
      <c r="AB42" s="2" t="n">
        <v>12</v>
      </c>
      <c r="AC42" s="2" t="n"/>
      <c r="AD42" s="2" t="n"/>
      <c r="AE42" s="2" t="n"/>
      <c r="AF42" s="2" t="n"/>
      <c r="AG42" s="2" t="n"/>
      <c r="AH42" s="2" t="n">
        <v>3990</v>
      </c>
      <c r="AI42" s="2" t="n"/>
      <c r="AJ42" s="2" t="n"/>
      <c r="AK42" s="2" t="n"/>
      <c r="AL42" s="2" t="n"/>
      <c r="AM42" s="2" t="n">
        <v>8.800000000000001</v>
      </c>
      <c r="AN42" s="2" t="n"/>
      <c r="AO42" s="2" t="n"/>
      <c r="AP42" s="2" t="n"/>
      <c r="AQ42" s="2" t="n"/>
      <c r="AR42" s="2" t="inlineStr">
        <is>
          <t>vendedor profesional: sin ITP (operación con IVA/REBU, confirmar en factura); gastos de gestión del vendedor no indicados: se suma la tasa DGT; preguntar el precio final; mediana con solo 3 anuncio(s)</t>
        </is>
      </c>
      <c r="AS42" s="2" t="inlineStr">
        <is>
          <t>HYUNDAI i10 1.1 67 CV – AÑO 2009
156.200 km reales
Gasolina | Cambio manual | 5 puertas
Color negro
Distintivo ambiental: Etiqueta C
Sin daños ni accidentes
2 llaves
Coche revisado y preparado en nuestras instalaciones antes de la venta. Motor 1.1 muy económico en consumo, fiable y barato de mantener, con recambios asequibles.
Compacto, fácil de aparcar y muy ágil en ciudad. Ideal como primer coche o para uso diario.
PRECIO: 4.100 €
Garantía de 12 meses
Cambio de nombre: 180 €
Somos profesionales del sector, compraventa de vehículos de ocasión en Valencia. Facturamos y entregamos toda la documentación en regla.
Escríbenos para más fotos o para venir a verlo y probarlo sin compromiso.
También compramos y tasamos tu coche.
Hyundai I10 en Torrent</t>
        </is>
      </c>
      <c r="AT42" s="2" t="inlineStr">
        <is>
          <t>https://www.coches.net/hyundai-i10-11-comfort-5p-gasolina-2008-en-valencia-71571543-covo.aspx (window.__INITIAL_PROPS__.ad) /home/user/Alopecia/buscador-coches/raw/cochesnet/c455b74c0156ef32.json</t>
        </is>
      </c>
      <c r="AU42" s="3">
        <f>MAX(ANIO_ACTUAL-M42,0)</f>
        <v/>
      </c>
      <c r="AV42" s="4">
        <f>N42/MAX(AU42,0.5)</f>
        <v/>
      </c>
      <c r="AW42" s="4">
        <f>F42</f>
        <v/>
      </c>
      <c r="AX42" s="3">
        <f>AW42&amp;"|"&amp;INT(M42/SEG_ANIO)*SEG_ANIO</f>
        <v/>
      </c>
      <c r="AY42" s="3">
        <f>AX42&amp;"|"&amp;INT(N42/SEG_KM)*SEG_KM</f>
        <v/>
      </c>
      <c r="AZ42" s="4">
        <f>COUNTIF($AW$2:$AW$91,AW42)</f>
        <v/>
      </c>
      <c r="BA42" s="4">
        <f>COUNTIF($AX$2:$AX$91,AX42)</f>
        <v/>
      </c>
      <c r="BB42" s="4">
        <f>COUNTIF($AY$2:$AY$91,AY42)</f>
        <v/>
      </c>
      <c r="BC42" s="3">
        <f t="array" ref="BC42">IF(N(AO42)&gt;=MIN_N,AN42,IF(BB42&gt;=MIN_N,MEDIAN(IF($AY$2:$AY$91=AY42,$O$2:$O$91)),IF(BA42&gt;=MIN_N,MEDIAN(IF($AX$2:$AX$91=AX42,$O$2:$O$91)),MEDIAN(IF($AW$2:$AW$91=AW42,$O$2:$O$91)))))</f>
        <v/>
      </c>
      <c r="BD42" s="3">
        <f>IF(N(AO42)&gt;=MIN_N,"mercado "&amp;AP42,IF(BB42&gt;=MIN_N,"modelo+año+km",IF(BA42&gt;=MIN_N,"modelo+año","modelo")))</f>
        <v/>
      </c>
      <c r="BE42" s="4">
        <f>(BC42-O42)/BC42</f>
        <v/>
      </c>
      <c r="BF42" s="3">
        <f>IF(OR(K42="hibrido",K42="glp"),"ECO",IF(K42="electrico","CERO",IF(K42="gasolina",IF(M42&gt;=GAS_C,"C",IF(M42&gt;=GAS_B,"B","A")),IF(K42="diesel",IF(M42&gt;=DIE_C,"C",IF(M42&gt;=DIE_B,"B","A")),""))))</f>
        <v/>
      </c>
      <c r="BG42" s="3">
        <f>IFERROR(VLOOKUP(F42,MOD_TBL,11,0),IFERROR(VLOOKUP(E42,OCU_TBL,2,0),NEUTRO))</f>
        <v/>
      </c>
      <c r="BH42" s="3">
        <f>SUMIFS(MOT_AJUSTE,MOT_MOTOR,G42,MOT_MARCA,E42,MOT_DESDE,"&lt;="&amp;M42,MOT_HASTA,"&gt;="&amp;M42)+SUMIFS(MOT_AJUSTE,MOT_MOTOR,G42,MOT_MARCA,"(todas)",MOT_DESDE,"&lt;="&amp;M42,MOT_HASTA,"&gt;="&amp;M42)</f>
        <v/>
      </c>
      <c r="BI42" s="3">
        <f>SUMIFS(COMB_AJUSTE,COMB_COMB,K42)</f>
        <v/>
      </c>
      <c r="BJ42" s="4">
        <f>MAX(0,MIN(100,BG42+BH42+BI42))</f>
        <v/>
      </c>
      <c r="BK42" s="3">
        <f>MAX(0,MIN(100,50+BE42*PRECIO_PEND))</f>
        <v/>
      </c>
      <c r="BL42" s="3">
        <f>MAX(0,100*(1-N42/KM_MAX))</f>
        <v/>
      </c>
      <c r="BM42" s="3">
        <f>IF(AV42&lt;KMA_SOSP,IF(AA42="sí",100,KMA_PEN),IF(AV42&lt;=KMA_IDEAL_MAX,100,MAX(0,100*(KMA_CERO-AV42)/(KMA_CERO-KMA_IDEAL_MAX))))</f>
        <v/>
      </c>
      <c r="BN42" s="3">
        <f>MAX(0,MIN(100,100*(M42-ANIO_MIN)/(ANIO_ACTUAL-ANIO_MIN)))</f>
        <v/>
      </c>
      <c r="BO42" s="3">
        <f>W_KMT*BL42+W_KMA*BM42+W_EDAD*BN42</f>
        <v/>
      </c>
      <c r="BP42" s="3">
        <f>P_ITV*(V42="sí")+P_LIBRO*(W42="sí")+P_CORREA*(X42="sí")+P_PROP*(Y42=1)+P_GAR*(Z42="sí")+P_FOTOS*MIN(1,N(U42)/FOTOS_OBJ)</f>
        <v/>
      </c>
      <c r="BQ42" s="3">
        <f>IFERROR(VLOOKUP(BF42,ETQ_TBL,2,0),NEUTRO)</f>
        <v/>
      </c>
      <c r="BR42" s="3">
        <f>NEUTRO</f>
        <v/>
      </c>
      <c r="BS42" s="3">
        <f>IFERROR(VLOOKUP(L42,SEGURO_TBL,3,0),"")</f>
        <v/>
      </c>
      <c r="BT42" s="3">
        <f>IF(BS42="",NEUTRO,MAX(0,MIN(100,100*(SEG_REF_MAX-BS42)/(SEG_REF_MAX-SEG_REF_MIN))))</f>
        <v/>
      </c>
      <c r="BU42" s="3">
        <f>W_ET*BQ42+W_CONS*BR42+W_SEG*BT42</f>
        <v/>
      </c>
      <c r="BV42" s="3">
        <f>IF(N(AB42)&gt;0,AB42,IF(AND(R42="profesional",SG_LEGAL_ON=1),GAR_LEGAL,0))</f>
        <v/>
      </c>
      <c r="BW42" s="3">
        <f>SG_GAR*MIN(1,BV42/SG_GAR_FULL)+SG_AMPL*(AC42="sí")+SG_KMC*(AF42="sí")+SG_REV*(N(AE42)&gt;0)+SG_DEV*MIN(1,N(AG42)/SG_DEV_FULL)+SG_HIST*(W42="sí")</f>
        <v/>
      </c>
      <c r="BX42" s="3">
        <f>W_FIAB*BJ42+W_PRECIO*BK42+W_KMEDAD*BO42+W_ANUNCIO*BP42+W_USO*BU42+W_SEGURIDAD*BW42</f>
        <v/>
      </c>
      <c r="BY42" s="4">
        <f>IF(N(I42)&gt;0,I42,IFERROR(ROUND(_xlfn.NUMBERVALUE(LEFT(G42,FIND(" ",G42&amp;" ")-1),".")*1000,0),99999))</f>
        <v/>
      </c>
      <c r="BZ42" s="3">
        <f>IF(R42="profesional",0,IF(O42&lt;CUOTA_VALOR_MAX,IF(AU42&gt;ITP_TRAMO_ALTO,SUMIFS(CF_CUOTA,CF_MAS,ITP_TRAMO_ALTO,CF_CCMIN,"&lt;="&amp;BY42,CF_CCMAX,"&gt;="&amp;BY42),IF(AU42&gt;ITP_TRAMO_BAJO,SUMIFS(CF_CUOTA,CF_MAS,ITP_TRAMO_BAJO,CF_CCMIN,"&lt;="&amp;BY42,CF_CCMAX,"&gt;="&amp;BY42),O42*ITP_TIPO)),O42*ITP_TIPO))</f>
        <v/>
      </c>
      <c r="CA42" s="4">
        <f>IF(R42="profesional",N(AK42),0)</f>
        <v/>
      </c>
      <c r="CB42" s="3">
        <f>IF(AND(R42="profesional",ISNUMBER(AK42),AL42="sí"),0,TASA_DGT)</f>
        <v/>
      </c>
      <c r="CC42" s="3">
        <f>INFORME_DGT</f>
        <v/>
      </c>
      <c r="CD42" s="4">
        <f>O42+CA42+BZ42+CB42+CC42</f>
        <v/>
      </c>
      <c r="CE42" s="4">
        <f>CD42+N(BS42)</f>
        <v/>
      </c>
      <c r="CF42" s="3">
        <f>IF(CD42&lt;=TOTAL_MAX,"sí","no")</f>
        <v/>
      </c>
      <c r="CG42" s="4">
        <f>IF(CF42="sí",COUNTIFS($CF$2:$CF$91,"sí",$BX$2:$BX$91,"&gt;"&amp;BX42)+COUNTIFS($CF$2:CF42,"sí",$BX$2:BX42,BX42),"")</f>
        <v/>
      </c>
    </row>
    <row r="43">
      <c r="A43" s="2" t="inlineStr">
        <is>
          <t>cochesnet:71828688</t>
        </is>
      </c>
      <c r="B43" s="2" t="inlineStr">
        <is>
          <t>cochesnet</t>
        </is>
      </c>
      <c r="C43" s="2" t="inlineStr">
        <is>
          <t>https://www.coches.net/hyundai-i10-10-essence-5p-gasolina-2014-en-valencia-71828688-covo.aspx</t>
        </is>
      </c>
      <c r="D43" s="2" t="inlineStr">
        <is>
          <t>HYUNDAI i10 1.0 Essence</t>
        </is>
      </c>
      <c r="E43" s="2" t="inlineStr">
        <is>
          <t>Hyundai</t>
        </is>
      </c>
      <c r="F43" s="2" t="inlineStr">
        <is>
          <t>Hyundai i10</t>
        </is>
      </c>
      <c r="G43" s="2" t="inlineStr">
        <is>
          <t>1.0</t>
        </is>
      </c>
      <c r="H43" s="2" t="inlineStr">
        <is>
          <t>1.0 Essence</t>
        </is>
      </c>
      <c r="I43" s="2" t="n"/>
      <c r="J43" s="2" t="n"/>
      <c r="K43" s="2" t="inlineStr">
        <is>
          <t>gasolina</t>
        </is>
      </c>
      <c r="L43" s="2" t="inlineStr">
        <is>
          <t>utilitario</t>
        </is>
      </c>
      <c r="M43" s="2" t="n">
        <v>2014</v>
      </c>
      <c r="N43" s="2" t="n">
        <v>212000</v>
      </c>
      <c r="O43" s="2" t="n">
        <v>4500</v>
      </c>
      <c r="P43" s="2" t="inlineStr">
        <is>
          <t>manual</t>
        </is>
      </c>
      <c r="Q43" s="2" t="inlineStr">
        <is>
          <t>no</t>
        </is>
      </c>
      <c r="R43" s="2" t="inlineStr">
        <is>
          <t>particular</t>
        </is>
      </c>
      <c r="S43" s="2" t="n"/>
      <c r="T43" s="2" t="inlineStr">
        <is>
          <t>2026-10-25T13:38:31Z</t>
        </is>
      </c>
      <c r="U43" s="2" t="n">
        <v>8</v>
      </c>
      <c r="V43" s="2" t="inlineStr">
        <is>
          <t>sí</t>
        </is>
      </c>
      <c r="W43" s="2" t="n"/>
      <c r="X43" s="2" t="n"/>
      <c r="Y43" s="2" t="n"/>
      <c r="Z43" s="2" t="inlineStr">
        <is>
          <t>no</t>
        </is>
      </c>
      <c r="AA43" s="2" t="n"/>
      <c r="AB43" s="2" t="n"/>
      <c r="AC43" s="2" t="n"/>
      <c r="AD43" s="2" t="n"/>
      <c r="AE43" s="2" t="n"/>
      <c r="AF43" s="2" t="n"/>
      <c r="AG43" s="2" t="n"/>
      <c r="AH43" s="2" t="n">
        <v>4500</v>
      </c>
      <c r="AI43" s="2" t="n"/>
      <c r="AJ43" s="2" t="n"/>
      <c r="AK43" s="2" t="n"/>
      <c r="AL43" s="2" t="n"/>
      <c r="AM43" s="2" t="n"/>
      <c r="AN43" s="2" t="n"/>
      <c r="AO43" s="2" t="n"/>
      <c r="AP43" s="2" t="n"/>
      <c r="AQ43" s="2" t="inlineStr">
        <is>
          <t>cochesnet:71870097 (https://www.coches.net/hyundai-i10-10-essence-5p-gasolina-2014-en-valencia-71870097-covo.aspx)</t>
        </is>
      </c>
      <c r="AR43" s="2" t="inlineStr">
        <is>
          <t>cuota fija ITP: &gt;5 y &lt;=12 años, hasta 1.500 cc; distancia no verificable (el anuncio solo indica la provincia): confirmar que está a &lt;= 50 km; mediana con solo 3 anuncio(s)</t>
        </is>
      </c>
      <c r="AS43" s="2" t="inlineStr">
        <is>
          <t>Vendo mi coche i10 2014
ITV hasta mayo 2027.
Abstenerse ofertas absurdas. Solo se atenderán ofertas serias y razonables.</t>
        </is>
      </c>
      <c r="AT43" s="2" t="inlineStr">
        <is>
          <t>https://www.coches.net/hyundai-i10-10-essence-5p-gasolina-2014-en-valencia-71828688-covo.aspx (window.__INITIAL_PROPS__.ad) /home/user/Alopecia/buscador-coches/raw/cochesnet/d4f88055edb6a139.json</t>
        </is>
      </c>
      <c r="AU43" s="3">
        <f>MAX(ANIO_ACTUAL-M43,0)</f>
        <v/>
      </c>
      <c r="AV43" s="4">
        <f>N43/MAX(AU43,0.5)</f>
        <v/>
      </c>
      <c r="AW43" s="4">
        <f>F43</f>
        <v/>
      </c>
      <c r="AX43" s="3">
        <f>AW43&amp;"|"&amp;INT(M43/SEG_ANIO)*SEG_ANIO</f>
        <v/>
      </c>
      <c r="AY43" s="3">
        <f>AX43&amp;"|"&amp;INT(N43/SEG_KM)*SEG_KM</f>
        <v/>
      </c>
      <c r="AZ43" s="4">
        <f>COUNTIF($AW$2:$AW$91,AW43)</f>
        <v/>
      </c>
      <c r="BA43" s="4">
        <f>COUNTIF($AX$2:$AX$91,AX43)</f>
        <v/>
      </c>
      <c r="BB43" s="4">
        <f>COUNTIF($AY$2:$AY$91,AY43)</f>
        <v/>
      </c>
      <c r="BC43" s="3">
        <f t="array" ref="BC43">IF(N(AO43)&gt;=MIN_N,AN43,IF(BB43&gt;=MIN_N,MEDIAN(IF($AY$2:$AY$91=AY43,$O$2:$O$91)),IF(BA43&gt;=MIN_N,MEDIAN(IF($AX$2:$AX$91=AX43,$O$2:$O$91)),MEDIAN(IF($AW$2:$AW$91=AW43,$O$2:$O$91)))))</f>
        <v/>
      </c>
      <c r="BD43" s="3">
        <f>IF(N(AO43)&gt;=MIN_N,"mercado "&amp;AP43,IF(BB43&gt;=MIN_N,"modelo+año+km",IF(BA43&gt;=MIN_N,"modelo+año","modelo")))</f>
        <v/>
      </c>
      <c r="BE43" s="4">
        <f>(BC43-O43)/BC43</f>
        <v/>
      </c>
      <c r="BF43" s="3">
        <f>IF(OR(K43="hibrido",K43="glp"),"ECO",IF(K43="electrico","CERO",IF(K43="gasolina",IF(M43&gt;=GAS_C,"C",IF(M43&gt;=GAS_B,"B","A")),IF(K43="diesel",IF(M43&gt;=DIE_C,"C",IF(M43&gt;=DIE_B,"B","A")),""))))</f>
        <v/>
      </c>
      <c r="BG43" s="3">
        <f>IFERROR(VLOOKUP(F43,MOD_TBL,11,0),IFERROR(VLOOKUP(E43,OCU_TBL,2,0),NEUTRO))</f>
        <v/>
      </c>
      <c r="BH43" s="3">
        <f>SUMIFS(MOT_AJUSTE,MOT_MOTOR,G43,MOT_MARCA,E43,MOT_DESDE,"&lt;="&amp;M43,MOT_HASTA,"&gt;="&amp;M43)+SUMIFS(MOT_AJUSTE,MOT_MOTOR,G43,MOT_MARCA,"(todas)",MOT_DESDE,"&lt;="&amp;M43,MOT_HASTA,"&gt;="&amp;M43)</f>
        <v/>
      </c>
      <c r="BI43" s="3">
        <f>SUMIFS(COMB_AJUSTE,COMB_COMB,K43)</f>
        <v/>
      </c>
      <c r="BJ43" s="4">
        <f>MAX(0,MIN(100,BG43+BH43+BI43))</f>
        <v/>
      </c>
      <c r="BK43" s="3">
        <f>MAX(0,MIN(100,50+BE43*PRECIO_PEND))</f>
        <v/>
      </c>
      <c r="BL43" s="3">
        <f>MAX(0,100*(1-N43/KM_MAX))</f>
        <v/>
      </c>
      <c r="BM43" s="3">
        <f>IF(AV43&lt;KMA_SOSP,IF(AA43="sí",100,KMA_PEN),IF(AV43&lt;=KMA_IDEAL_MAX,100,MAX(0,100*(KMA_CERO-AV43)/(KMA_CERO-KMA_IDEAL_MAX))))</f>
        <v/>
      </c>
      <c r="BN43" s="3">
        <f>MAX(0,MIN(100,100*(M43-ANIO_MIN)/(ANIO_ACTUAL-ANIO_MIN)))</f>
        <v/>
      </c>
      <c r="BO43" s="3">
        <f>W_KMT*BL43+W_KMA*BM43+W_EDAD*BN43</f>
        <v/>
      </c>
      <c r="BP43" s="3">
        <f>P_ITV*(V43="sí")+P_LIBRO*(W43="sí")+P_CORREA*(X43="sí")+P_PROP*(Y43=1)+P_GAR*(Z43="sí")+P_FOTOS*MIN(1,N(U43)/FOTOS_OBJ)</f>
        <v/>
      </c>
      <c r="BQ43" s="3">
        <f>IFERROR(VLOOKUP(BF43,ETQ_TBL,2,0),NEUTRO)</f>
        <v/>
      </c>
      <c r="BR43" s="3">
        <f>NEUTRO</f>
        <v/>
      </c>
      <c r="BS43" s="3">
        <f>IFERROR(VLOOKUP(L43,SEGURO_TBL,3,0),"")</f>
        <v/>
      </c>
      <c r="BT43" s="3">
        <f>IF(BS43="",NEUTRO,MAX(0,MIN(100,100*(SEG_REF_MAX-BS43)/(SEG_REF_MAX-SEG_REF_MIN))))</f>
        <v/>
      </c>
      <c r="BU43" s="3">
        <f>W_ET*BQ43+W_CONS*BR43+W_SEG*BT43</f>
        <v/>
      </c>
      <c r="BV43" s="3">
        <f>IF(N(AB43)&gt;0,AB43,IF(AND(R43="profesional",SG_LEGAL_ON=1),GAR_LEGAL,0))</f>
        <v/>
      </c>
      <c r="BW43" s="3">
        <f>SG_GAR*MIN(1,BV43/SG_GAR_FULL)+SG_AMPL*(AC43="sí")+SG_KMC*(AF43="sí")+SG_REV*(N(AE43)&gt;0)+SG_DEV*MIN(1,N(AG43)/SG_DEV_FULL)+SG_HIST*(W43="sí")</f>
        <v/>
      </c>
      <c r="BX43" s="3">
        <f>W_FIAB*BJ43+W_PRECIO*BK43+W_KMEDAD*BO43+W_ANUNCIO*BP43+W_USO*BU43+W_SEGURIDAD*BW43</f>
        <v/>
      </c>
      <c r="BY43" s="4">
        <f>IF(N(I43)&gt;0,I43,IFERROR(ROUND(_xlfn.NUMBERVALUE(LEFT(G43,FIND(" ",G43&amp;" ")-1),".")*1000,0),99999))</f>
        <v/>
      </c>
      <c r="BZ43" s="3">
        <f>IF(R43="profesional",0,IF(O43&lt;CUOTA_VALOR_MAX,IF(AU43&gt;ITP_TRAMO_ALTO,SUMIFS(CF_CUOTA,CF_MAS,ITP_TRAMO_ALTO,CF_CCMIN,"&lt;="&amp;BY43,CF_CCMAX,"&gt;="&amp;BY43),IF(AU43&gt;ITP_TRAMO_BAJO,SUMIFS(CF_CUOTA,CF_MAS,ITP_TRAMO_BAJO,CF_CCMIN,"&lt;="&amp;BY43,CF_CCMAX,"&gt;="&amp;BY43),O43*ITP_TIPO)),O43*ITP_TIPO))</f>
        <v/>
      </c>
      <c r="CA43" s="4">
        <f>IF(R43="profesional",N(AK43),0)</f>
        <v/>
      </c>
      <c r="CB43" s="3">
        <f>IF(AND(R43="profesional",ISNUMBER(AK43),AL43="sí"),0,TASA_DGT)</f>
        <v/>
      </c>
      <c r="CC43" s="3">
        <f>INFORME_DGT</f>
        <v/>
      </c>
      <c r="CD43" s="4">
        <f>O43+CA43+BZ43+CB43+CC43</f>
        <v/>
      </c>
      <c r="CE43" s="4">
        <f>CD43+N(BS43)</f>
        <v/>
      </c>
      <c r="CF43" s="3">
        <f>IF(CD43&lt;=TOTAL_MAX,"sí","no")</f>
        <v/>
      </c>
      <c r="CG43" s="4">
        <f>IF(CF43="sí",COUNTIFS($CF$2:$CF$91,"sí",$BX$2:$BX$91,"&gt;"&amp;BX43)+COUNTIFS($CF$2:CF43,"sí",$BX$2:BX43,BX43),"")</f>
        <v/>
      </c>
    </row>
    <row r="44">
      <c r="A44" s="2" t="inlineStr">
        <is>
          <t>cochesnet:71863369</t>
        </is>
      </c>
      <c r="B44" s="2" t="inlineStr">
        <is>
          <t>cochesnet</t>
        </is>
      </c>
      <c r="C44" s="2" t="inlineStr">
        <is>
          <t>https://www.coches.net/hyundai-i20-i20-12-l-pbt-classic-aa-key-5p-gasolina-2012-en-valencia-71863369-covo.aspx</t>
        </is>
      </c>
      <c r="D44" s="2" t="inlineStr">
        <is>
          <t>HYUNDAI i20 i20 1.2 L PBT Classic AA Key</t>
        </is>
      </c>
      <c r="E44" s="2" t="inlineStr">
        <is>
          <t>Hyundai</t>
        </is>
      </c>
      <c r="F44" s="2" t="inlineStr">
        <is>
          <t>Hyundai i20</t>
        </is>
      </c>
      <c r="G44" s="2" t="inlineStr">
        <is>
          <t>1.2</t>
        </is>
      </c>
      <c r="H44" s="2" t="inlineStr">
        <is>
          <t>i20 1.2 L PBT Classic AA Key</t>
        </is>
      </c>
      <c r="I44" s="2" t="n"/>
      <c r="J44" s="2" t="n"/>
      <c r="K44" s="2" t="inlineStr">
        <is>
          <t>gasolina</t>
        </is>
      </c>
      <c r="L44" s="2" t="inlineStr">
        <is>
          <t>utilitario</t>
        </is>
      </c>
      <c r="M44" s="2" t="n">
        <v>2012</v>
      </c>
      <c r="N44" s="2" t="n">
        <v>178000</v>
      </c>
      <c r="O44" s="2" t="n">
        <v>3650</v>
      </c>
      <c r="P44" s="2" t="inlineStr">
        <is>
          <t>manual</t>
        </is>
      </c>
      <c r="Q44" s="2" t="inlineStr">
        <is>
          <t>no</t>
        </is>
      </c>
      <c r="R44" s="2" t="inlineStr">
        <is>
          <t>particular</t>
        </is>
      </c>
      <c r="S44" s="2" t="inlineStr">
        <is>
          <t>Valencia</t>
        </is>
      </c>
      <c r="T44" s="2" t="inlineStr">
        <is>
          <t>2026-10-29T16:35:39Z</t>
        </is>
      </c>
      <c r="U44" s="2" t="n">
        <v>5</v>
      </c>
      <c r="V44" s="2" t="n"/>
      <c r="W44" s="2" t="n"/>
      <c r="X44" s="2" t="n"/>
      <c r="Y44" s="2" t="n"/>
      <c r="Z44" s="2" t="inlineStr">
        <is>
          <t>no</t>
        </is>
      </c>
      <c r="AA44" s="2" t="n"/>
      <c r="AB44" s="2" t="n"/>
      <c r="AC44" s="2" t="n"/>
      <c r="AD44" s="2" t="n"/>
      <c r="AE44" s="2" t="n"/>
      <c r="AF44" s="2" t="n"/>
      <c r="AG44" s="2" t="n"/>
      <c r="AH44" s="2" t="n">
        <v>3650</v>
      </c>
      <c r="AI44" s="2" t="n"/>
      <c r="AJ44" s="2" t="n"/>
      <c r="AK44" s="2" t="n"/>
      <c r="AL44" s="2" t="n"/>
      <c r="AM44" s="2" t="n">
        <v>0.1</v>
      </c>
      <c r="AN44" s="2" t="n"/>
      <c r="AO44" s="2" t="n"/>
      <c r="AP44" s="2" t="n"/>
      <c r="AQ44" s="2" t="n"/>
      <c r="AR44" s="2" t="inlineStr">
        <is>
          <t>cuota fija ITP: &gt;12 años, hasta 1.500 cc; mediana con solo 1 anuncio(s)</t>
        </is>
      </c>
      <c r="AS44" s="2" t="inlineStr">
        <is>
          <t>El coche está recién sacado del taller, tiene algunos desperfectos en pintura, nunca ha sido accidentado y tiene un par de desperfectos en los asientos.
Etiqueta C
Recién pasada revisión y batería nueva.
Se dispone de 2 llaves.</t>
        </is>
      </c>
      <c r="AT44" s="2" t="inlineStr">
        <is>
          <t>https://www.coches.net/hyundai-i20-i20-12-l-pbt-classic-aa-key-5p-gasolina-2012-en-valencia-71863369-covo.aspx (window.__INITIAL_PROPS__.ad) /home/user/Alopecia/buscador-coches/raw/cochesnet/ed852685a2f5189d.json</t>
        </is>
      </c>
      <c r="AU44" s="3">
        <f>MAX(ANIO_ACTUAL-M44,0)</f>
        <v/>
      </c>
      <c r="AV44" s="4">
        <f>N44/MAX(AU44,0.5)</f>
        <v/>
      </c>
      <c r="AW44" s="4">
        <f>F44</f>
        <v/>
      </c>
      <c r="AX44" s="3">
        <f>AW44&amp;"|"&amp;INT(M44/SEG_ANIO)*SEG_ANIO</f>
        <v/>
      </c>
      <c r="AY44" s="3">
        <f>AX44&amp;"|"&amp;INT(N44/SEG_KM)*SEG_KM</f>
        <v/>
      </c>
      <c r="AZ44" s="4">
        <f>COUNTIF($AW$2:$AW$91,AW44)</f>
        <v/>
      </c>
      <c r="BA44" s="4">
        <f>COUNTIF($AX$2:$AX$91,AX44)</f>
        <v/>
      </c>
      <c r="BB44" s="4">
        <f>COUNTIF($AY$2:$AY$91,AY44)</f>
        <v/>
      </c>
      <c r="BC44" s="3">
        <f t="array" ref="BC44">IF(N(AO44)&gt;=MIN_N,AN44,IF(BB44&gt;=MIN_N,MEDIAN(IF($AY$2:$AY$91=AY44,$O$2:$O$91)),IF(BA44&gt;=MIN_N,MEDIAN(IF($AX$2:$AX$91=AX44,$O$2:$O$91)),MEDIAN(IF($AW$2:$AW$91=AW44,$O$2:$O$91)))))</f>
        <v/>
      </c>
      <c r="BD44" s="3">
        <f>IF(N(AO44)&gt;=MIN_N,"mercado "&amp;AP44,IF(BB44&gt;=MIN_N,"modelo+año+km",IF(BA44&gt;=MIN_N,"modelo+año","modelo")))</f>
        <v/>
      </c>
      <c r="BE44" s="4">
        <f>(BC44-O44)/BC44</f>
        <v/>
      </c>
      <c r="BF44" s="3">
        <f>IF(OR(K44="hibrido",K44="glp"),"ECO",IF(K44="electrico","CERO",IF(K44="gasolina",IF(M44&gt;=GAS_C,"C",IF(M44&gt;=GAS_B,"B","A")),IF(K44="diesel",IF(M44&gt;=DIE_C,"C",IF(M44&gt;=DIE_B,"B","A")),""))))</f>
        <v/>
      </c>
      <c r="BG44" s="3">
        <f>IFERROR(VLOOKUP(F44,MOD_TBL,11,0),IFERROR(VLOOKUP(E44,OCU_TBL,2,0),NEUTRO))</f>
        <v/>
      </c>
      <c r="BH44" s="3">
        <f>SUMIFS(MOT_AJUSTE,MOT_MOTOR,G44,MOT_MARCA,E44,MOT_DESDE,"&lt;="&amp;M44,MOT_HASTA,"&gt;="&amp;M44)+SUMIFS(MOT_AJUSTE,MOT_MOTOR,G44,MOT_MARCA,"(todas)",MOT_DESDE,"&lt;="&amp;M44,MOT_HASTA,"&gt;="&amp;M44)</f>
        <v/>
      </c>
      <c r="BI44" s="3">
        <f>SUMIFS(COMB_AJUSTE,COMB_COMB,K44)</f>
        <v/>
      </c>
      <c r="BJ44" s="4">
        <f>MAX(0,MIN(100,BG44+BH44+BI44))</f>
        <v/>
      </c>
      <c r="BK44" s="3">
        <f>MAX(0,MIN(100,50+BE44*PRECIO_PEND))</f>
        <v/>
      </c>
      <c r="BL44" s="3">
        <f>MAX(0,100*(1-N44/KM_MAX))</f>
        <v/>
      </c>
      <c r="BM44" s="3">
        <f>IF(AV44&lt;KMA_SOSP,IF(AA44="sí",100,KMA_PEN),IF(AV44&lt;=KMA_IDEAL_MAX,100,MAX(0,100*(KMA_CERO-AV44)/(KMA_CERO-KMA_IDEAL_MAX))))</f>
        <v/>
      </c>
      <c r="BN44" s="3">
        <f>MAX(0,MIN(100,100*(M44-ANIO_MIN)/(ANIO_ACTUAL-ANIO_MIN)))</f>
        <v/>
      </c>
      <c r="BO44" s="3">
        <f>W_KMT*BL44+W_KMA*BM44+W_EDAD*BN44</f>
        <v/>
      </c>
      <c r="BP44" s="3">
        <f>P_ITV*(V44="sí")+P_LIBRO*(W44="sí")+P_CORREA*(X44="sí")+P_PROP*(Y44=1)+P_GAR*(Z44="sí")+P_FOTOS*MIN(1,N(U44)/FOTOS_OBJ)</f>
        <v/>
      </c>
      <c r="BQ44" s="3">
        <f>IFERROR(VLOOKUP(BF44,ETQ_TBL,2,0),NEUTRO)</f>
        <v/>
      </c>
      <c r="BR44" s="3">
        <f>NEUTRO</f>
        <v/>
      </c>
      <c r="BS44" s="3">
        <f>IFERROR(VLOOKUP(L44,SEGURO_TBL,3,0),"")</f>
        <v/>
      </c>
      <c r="BT44" s="3">
        <f>IF(BS44="",NEUTRO,MAX(0,MIN(100,100*(SEG_REF_MAX-BS44)/(SEG_REF_MAX-SEG_REF_MIN))))</f>
        <v/>
      </c>
      <c r="BU44" s="3">
        <f>W_ET*BQ44+W_CONS*BR44+W_SEG*BT44</f>
        <v/>
      </c>
      <c r="BV44" s="3">
        <f>IF(N(AB44)&gt;0,AB44,IF(AND(R44="profesional",SG_LEGAL_ON=1),GAR_LEGAL,0))</f>
        <v/>
      </c>
      <c r="BW44" s="3">
        <f>SG_GAR*MIN(1,BV44/SG_GAR_FULL)+SG_AMPL*(AC44="sí")+SG_KMC*(AF44="sí")+SG_REV*(N(AE44)&gt;0)+SG_DEV*MIN(1,N(AG44)/SG_DEV_FULL)+SG_HIST*(W44="sí")</f>
        <v/>
      </c>
      <c r="BX44" s="3">
        <f>W_FIAB*BJ44+W_PRECIO*BK44+W_KMEDAD*BO44+W_ANUNCIO*BP44+W_USO*BU44+W_SEGURIDAD*BW44</f>
        <v/>
      </c>
      <c r="BY44" s="4">
        <f>IF(N(I44)&gt;0,I44,IFERROR(ROUND(_xlfn.NUMBERVALUE(LEFT(G44,FIND(" ",G44&amp;" ")-1),".")*1000,0),99999))</f>
        <v/>
      </c>
      <c r="BZ44" s="3">
        <f>IF(R44="profesional",0,IF(O44&lt;CUOTA_VALOR_MAX,IF(AU44&gt;ITP_TRAMO_ALTO,SUMIFS(CF_CUOTA,CF_MAS,ITP_TRAMO_ALTO,CF_CCMIN,"&lt;="&amp;BY44,CF_CCMAX,"&gt;="&amp;BY44),IF(AU44&gt;ITP_TRAMO_BAJO,SUMIFS(CF_CUOTA,CF_MAS,ITP_TRAMO_BAJO,CF_CCMIN,"&lt;="&amp;BY44,CF_CCMAX,"&gt;="&amp;BY44),O44*ITP_TIPO)),O44*ITP_TIPO))</f>
        <v/>
      </c>
      <c r="CA44" s="4">
        <f>IF(R44="profesional",N(AK44),0)</f>
        <v/>
      </c>
      <c r="CB44" s="3">
        <f>IF(AND(R44="profesional",ISNUMBER(AK44),AL44="sí"),0,TASA_DGT)</f>
        <v/>
      </c>
      <c r="CC44" s="3">
        <f>INFORME_DGT</f>
        <v/>
      </c>
      <c r="CD44" s="4">
        <f>O44+CA44+BZ44+CB44+CC44</f>
        <v/>
      </c>
      <c r="CE44" s="4">
        <f>CD44+N(BS44)</f>
        <v/>
      </c>
      <c r="CF44" s="3">
        <f>IF(CD44&lt;=TOTAL_MAX,"sí","no")</f>
        <v/>
      </c>
      <c r="CG44" s="4">
        <f>IF(CF44="sí",COUNTIFS($CF$2:$CF$91,"sí",$BX$2:$BX$91,"&gt;"&amp;BX44)+COUNTIFS($CF$2:CF44,"sí",$BX$2:BX44,BX44),"")</f>
        <v/>
      </c>
    </row>
    <row r="45">
      <c r="A45" s="2" t="inlineStr">
        <is>
          <t>cochesnet:71752263</t>
        </is>
      </c>
      <c r="B45" s="2" t="inlineStr">
        <is>
          <t>cochesnet</t>
        </is>
      </c>
      <c r="C45" s="2" t="inlineStr">
        <is>
          <t>https://www.coches.net/skoda-fabia-12-70cv-young-5p-gasolina-2010-en-valencia-71752263-covo.aspx</t>
        </is>
      </c>
      <c r="D45" s="2" t="inlineStr">
        <is>
          <t>SKODA Fabia 1.2 Young</t>
        </is>
      </c>
      <c r="E45" s="2" t="inlineStr">
        <is>
          <t>Skoda</t>
        </is>
      </c>
      <c r="F45" s="2" t="inlineStr">
        <is>
          <t>Skoda Fabia</t>
        </is>
      </c>
      <c r="G45" s="2" t="inlineStr">
        <is>
          <t>1.2</t>
        </is>
      </c>
      <c r="H45" s="2" t="inlineStr">
        <is>
          <t>1.2 70cv Young</t>
        </is>
      </c>
      <c r="I45" s="2" t="n"/>
      <c r="J45" s="2" t="n">
        <v>70</v>
      </c>
      <c r="K45" s="2" t="inlineStr">
        <is>
          <t>gasolina</t>
        </is>
      </c>
      <c r="L45" s="2" t="inlineStr">
        <is>
          <t>utilitario</t>
        </is>
      </c>
      <c r="M45" s="2" t="n">
        <v>2010</v>
      </c>
      <c r="N45" s="2" t="n">
        <v>155000</v>
      </c>
      <c r="O45" s="2" t="n">
        <v>3350</v>
      </c>
      <c r="P45" s="2" t="inlineStr">
        <is>
          <t>manual</t>
        </is>
      </c>
      <c r="Q45" s="2" t="inlineStr">
        <is>
          <t>no</t>
        </is>
      </c>
      <c r="R45" s="2" t="inlineStr">
        <is>
          <t>particular</t>
        </is>
      </c>
      <c r="S45" s="2" t="n"/>
      <c r="T45" s="2" t="inlineStr">
        <is>
          <t>2026-10-15T10:39:22Z</t>
        </is>
      </c>
      <c r="U45" s="2" t="n">
        <v>9</v>
      </c>
      <c r="V45" s="2" t="inlineStr">
        <is>
          <t>sí</t>
        </is>
      </c>
      <c r="W45" s="2" t="n"/>
      <c r="X45" s="2" t="n"/>
      <c r="Y45" s="2" t="n"/>
      <c r="Z45" s="2" t="inlineStr">
        <is>
          <t>no</t>
        </is>
      </c>
      <c r="AA45" s="2" t="n"/>
      <c r="AB45" s="2" t="n"/>
      <c r="AC45" s="2" t="n"/>
      <c r="AD45" s="2" t="n"/>
      <c r="AE45" s="2" t="n"/>
      <c r="AF45" s="2" t="n"/>
      <c r="AG45" s="2" t="n"/>
      <c r="AH45" s="2" t="n">
        <v>3350</v>
      </c>
      <c r="AI45" s="2" t="n"/>
      <c r="AJ45" s="2" t="n"/>
      <c r="AK45" s="2" t="n"/>
      <c r="AL45" s="2" t="n"/>
      <c r="AM45" s="2" t="n"/>
      <c r="AN45" s="2" t="n"/>
      <c r="AO45" s="2" t="n"/>
      <c r="AP45" s="2" t="n"/>
      <c r="AQ45" s="2" t="n"/>
      <c r="AR45" s="2" t="inlineStr">
        <is>
          <t>cuota fija ITP: &gt;12 años, hasta 1.500 cc; distancia no verificable (el anuncio solo indica la provincia): confirmar que está a &lt;= 50 km; mediana con solo 1 anuncio(s)</t>
        </is>
      </c>
      <c r="AS45" s="2" t="inlineStr">
        <is>
          <t xml:space="preserve">Se vende skoda motor 1200 gasolina 75 cv coche con itv recien  pasada sin fallos ni averias precio no negociable se puede vet y probar sin comoromiso </t>
        </is>
      </c>
      <c r="AT45" s="2" t="inlineStr">
        <is>
          <t>https://www.coches.net/skoda-fabia-12-70cv-young-5p-gasolina-2010-en-valencia-71752263-covo.aspx (window.__INITIAL_PROPS__.ad) /home/user/Alopecia/buscador-coches/raw/cochesnet/2b9a77ae66fbb07e.json</t>
        </is>
      </c>
      <c r="AU45" s="3">
        <f>MAX(ANIO_ACTUAL-M45,0)</f>
        <v/>
      </c>
      <c r="AV45" s="4">
        <f>N45/MAX(AU45,0.5)</f>
        <v/>
      </c>
      <c r="AW45" s="4">
        <f>F45</f>
        <v/>
      </c>
      <c r="AX45" s="3">
        <f>AW45&amp;"|"&amp;INT(M45/SEG_ANIO)*SEG_ANIO</f>
        <v/>
      </c>
      <c r="AY45" s="3">
        <f>AX45&amp;"|"&amp;INT(N45/SEG_KM)*SEG_KM</f>
        <v/>
      </c>
      <c r="AZ45" s="4">
        <f>COUNTIF($AW$2:$AW$91,AW45)</f>
        <v/>
      </c>
      <c r="BA45" s="4">
        <f>COUNTIF($AX$2:$AX$91,AX45)</f>
        <v/>
      </c>
      <c r="BB45" s="4">
        <f>COUNTIF($AY$2:$AY$91,AY45)</f>
        <v/>
      </c>
      <c r="BC45" s="3">
        <f t="array" ref="BC45">IF(N(AO45)&gt;=MIN_N,AN45,IF(BB45&gt;=MIN_N,MEDIAN(IF($AY$2:$AY$91=AY45,$O$2:$O$91)),IF(BA45&gt;=MIN_N,MEDIAN(IF($AX$2:$AX$91=AX45,$O$2:$O$91)),MEDIAN(IF($AW$2:$AW$91=AW45,$O$2:$O$91)))))</f>
        <v/>
      </c>
      <c r="BD45" s="3">
        <f>IF(N(AO45)&gt;=MIN_N,"mercado "&amp;AP45,IF(BB45&gt;=MIN_N,"modelo+año+km",IF(BA45&gt;=MIN_N,"modelo+año","modelo")))</f>
        <v/>
      </c>
      <c r="BE45" s="4">
        <f>(BC45-O45)/BC45</f>
        <v/>
      </c>
      <c r="BF45" s="3">
        <f>IF(OR(K45="hibrido",K45="glp"),"ECO",IF(K45="electrico","CERO",IF(K45="gasolina",IF(M45&gt;=GAS_C,"C",IF(M45&gt;=GAS_B,"B","A")),IF(K45="diesel",IF(M45&gt;=DIE_C,"C",IF(M45&gt;=DIE_B,"B","A")),""))))</f>
        <v/>
      </c>
      <c r="BG45" s="3">
        <f>IFERROR(VLOOKUP(F45,MOD_TBL,11,0),IFERROR(VLOOKUP(E45,OCU_TBL,2,0),NEUTRO))</f>
        <v/>
      </c>
      <c r="BH45" s="3">
        <f>SUMIFS(MOT_AJUSTE,MOT_MOTOR,G45,MOT_MARCA,E45,MOT_DESDE,"&lt;="&amp;M45,MOT_HASTA,"&gt;="&amp;M45)+SUMIFS(MOT_AJUSTE,MOT_MOTOR,G45,MOT_MARCA,"(todas)",MOT_DESDE,"&lt;="&amp;M45,MOT_HASTA,"&gt;="&amp;M45)</f>
        <v/>
      </c>
      <c r="BI45" s="3">
        <f>SUMIFS(COMB_AJUSTE,COMB_COMB,K45)</f>
        <v/>
      </c>
      <c r="BJ45" s="4">
        <f>MAX(0,MIN(100,BG45+BH45+BI45))</f>
        <v/>
      </c>
      <c r="BK45" s="3">
        <f>MAX(0,MIN(100,50+BE45*PRECIO_PEND))</f>
        <v/>
      </c>
      <c r="BL45" s="3">
        <f>MAX(0,100*(1-N45/KM_MAX))</f>
        <v/>
      </c>
      <c r="BM45" s="3">
        <f>IF(AV45&lt;KMA_SOSP,IF(AA45="sí",100,KMA_PEN),IF(AV45&lt;=KMA_IDEAL_MAX,100,MAX(0,100*(KMA_CERO-AV45)/(KMA_CERO-KMA_IDEAL_MAX))))</f>
        <v/>
      </c>
      <c r="BN45" s="3">
        <f>MAX(0,MIN(100,100*(M45-ANIO_MIN)/(ANIO_ACTUAL-ANIO_MIN)))</f>
        <v/>
      </c>
      <c r="BO45" s="3">
        <f>W_KMT*BL45+W_KMA*BM45+W_EDAD*BN45</f>
        <v/>
      </c>
      <c r="BP45" s="3">
        <f>P_ITV*(V45="sí")+P_LIBRO*(W45="sí")+P_CORREA*(X45="sí")+P_PROP*(Y45=1)+P_GAR*(Z45="sí")+P_FOTOS*MIN(1,N(U45)/FOTOS_OBJ)</f>
        <v/>
      </c>
      <c r="BQ45" s="3">
        <f>IFERROR(VLOOKUP(BF45,ETQ_TBL,2,0),NEUTRO)</f>
        <v/>
      </c>
      <c r="BR45" s="3">
        <f>NEUTRO</f>
        <v/>
      </c>
      <c r="BS45" s="3">
        <f>IFERROR(VLOOKUP(L45,SEGURO_TBL,3,0),"")</f>
        <v/>
      </c>
      <c r="BT45" s="3">
        <f>IF(BS45="",NEUTRO,MAX(0,MIN(100,100*(SEG_REF_MAX-BS45)/(SEG_REF_MAX-SEG_REF_MIN))))</f>
        <v/>
      </c>
      <c r="BU45" s="3">
        <f>W_ET*BQ45+W_CONS*BR45+W_SEG*BT45</f>
        <v/>
      </c>
      <c r="BV45" s="3">
        <f>IF(N(AB45)&gt;0,AB45,IF(AND(R45="profesional",SG_LEGAL_ON=1),GAR_LEGAL,0))</f>
        <v/>
      </c>
      <c r="BW45" s="3">
        <f>SG_GAR*MIN(1,BV45/SG_GAR_FULL)+SG_AMPL*(AC45="sí")+SG_KMC*(AF45="sí")+SG_REV*(N(AE45)&gt;0)+SG_DEV*MIN(1,N(AG45)/SG_DEV_FULL)+SG_HIST*(W45="sí")</f>
        <v/>
      </c>
      <c r="BX45" s="3">
        <f>W_FIAB*BJ45+W_PRECIO*BK45+W_KMEDAD*BO45+W_ANUNCIO*BP45+W_USO*BU45+W_SEGURIDAD*BW45</f>
        <v/>
      </c>
      <c r="BY45" s="4">
        <f>IF(N(I45)&gt;0,I45,IFERROR(ROUND(_xlfn.NUMBERVALUE(LEFT(G45,FIND(" ",G45&amp;" ")-1),".")*1000,0),99999))</f>
        <v/>
      </c>
      <c r="BZ45" s="3">
        <f>IF(R45="profesional",0,IF(O45&lt;CUOTA_VALOR_MAX,IF(AU45&gt;ITP_TRAMO_ALTO,SUMIFS(CF_CUOTA,CF_MAS,ITP_TRAMO_ALTO,CF_CCMIN,"&lt;="&amp;BY45,CF_CCMAX,"&gt;="&amp;BY45),IF(AU45&gt;ITP_TRAMO_BAJO,SUMIFS(CF_CUOTA,CF_MAS,ITP_TRAMO_BAJO,CF_CCMIN,"&lt;="&amp;BY45,CF_CCMAX,"&gt;="&amp;BY45),O45*ITP_TIPO)),O45*ITP_TIPO))</f>
        <v/>
      </c>
      <c r="CA45" s="4">
        <f>IF(R45="profesional",N(AK45),0)</f>
        <v/>
      </c>
      <c r="CB45" s="3">
        <f>IF(AND(R45="profesional",ISNUMBER(AK45),AL45="sí"),0,TASA_DGT)</f>
        <v/>
      </c>
      <c r="CC45" s="3">
        <f>INFORME_DGT</f>
        <v/>
      </c>
      <c r="CD45" s="4">
        <f>O45+CA45+BZ45+CB45+CC45</f>
        <v/>
      </c>
      <c r="CE45" s="4">
        <f>CD45+N(BS45)</f>
        <v/>
      </c>
      <c r="CF45" s="3">
        <f>IF(CD45&lt;=TOTAL_MAX,"sí","no")</f>
        <v/>
      </c>
      <c r="CG45" s="4">
        <f>IF(CF45="sí",COUNTIFS($CF$2:$CF$91,"sí",$BX$2:$BX$91,"&gt;"&amp;BX45)+COUNTIFS($CF$2:CF45,"sí",$BX$2:BX45,BX45),"")</f>
        <v/>
      </c>
    </row>
    <row r="46">
      <c r="A46" s="2" t="inlineStr">
        <is>
          <t>cochesnet:71876716</t>
        </is>
      </c>
      <c r="B46" s="2" t="inlineStr">
        <is>
          <t>cochesnet</t>
        </is>
      </c>
      <c r="C46" s="2" t="inlineStr">
        <is>
          <t>https://www.coches.net/seat-ibiza-14-16v-85cv-rockroll-3p-gasolina-2009-en-valencia-71876716-covo.aspx</t>
        </is>
      </c>
      <c r="D46" s="2" t="inlineStr">
        <is>
          <t>SEAT Ibiza 1.4 16v RockRoll</t>
        </is>
      </c>
      <c r="E46" s="2" t="inlineStr">
        <is>
          <t>Seat</t>
        </is>
      </c>
      <c r="F46" s="2" t="inlineStr">
        <is>
          <t>Seat Ibiza</t>
        </is>
      </c>
      <c r="G46" s="2" t="inlineStr">
        <is>
          <t>1.4</t>
        </is>
      </c>
      <c r="H46" s="2" t="inlineStr">
        <is>
          <t>1.4 16v 85cv RockRoll</t>
        </is>
      </c>
      <c r="I46" s="2" t="n"/>
      <c r="J46" s="2" t="n">
        <v>85</v>
      </c>
      <c r="K46" s="2" t="inlineStr">
        <is>
          <t>gasolina</t>
        </is>
      </c>
      <c r="L46" s="2" t="inlineStr">
        <is>
          <t>utilitario</t>
        </is>
      </c>
      <c r="M46" s="2" t="n">
        <v>2009</v>
      </c>
      <c r="N46" s="2" t="n">
        <v>200000</v>
      </c>
      <c r="O46" s="2" t="n">
        <v>3000</v>
      </c>
      <c r="P46" s="2" t="inlineStr">
        <is>
          <t>manual</t>
        </is>
      </c>
      <c r="Q46" s="2" t="inlineStr">
        <is>
          <t>no</t>
        </is>
      </c>
      <c r="R46" s="2" t="inlineStr">
        <is>
          <t>particular</t>
        </is>
      </c>
      <c r="S46" s="2" t="inlineStr">
        <is>
          <t>Paterna</t>
        </is>
      </c>
      <c r="T46" s="2" t="inlineStr">
        <is>
          <t>2026-10-31T09:21:30Z</t>
        </is>
      </c>
      <c r="U46" s="2" t="n"/>
      <c r="V46" s="2" t="inlineStr">
        <is>
          <t>sí</t>
        </is>
      </c>
      <c r="W46" s="2" t="n"/>
      <c r="X46" s="2" t="n"/>
      <c r="Y46" s="2" t="n"/>
      <c r="Z46" s="2" t="inlineStr">
        <is>
          <t>no</t>
        </is>
      </c>
      <c r="AA46" s="2" t="n"/>
      <c r="AB46" s="2" t="n"/>
      <c r="AC46" s="2" t="n"/>
      <c r="AD46" s="2" t="n"/>
      <c r="AE46" s="2" t="n"/>
      <c r="AF46" s="2" t="n"/>
      <c r="AG46" s="2" t="n"/>
      <c r="AH46" s="2" t="n">
        <v>3000</v>
      </c>
      <c r="AI46" s="2" t="n"/>
      <c r="AJ46" s="2" t="n"/>
      <c r="AK46" s="2" t="n"/>
      <c r="AL46" s="2" t="n"/>
      <c r="AM46" s="2" t="n">
        <v>6.8</v>
      </c>
      <c r="AN46" s="2" t="n">
        <v>3000</v>
      </c>
      <c r="AO46" s="2" t="n">
        <v>8</v>
      </c>
      <c r="AP46" s="2" t="inlineStr">
        <is>
          <t>modelo+año+km</t>
        </is>
      </c>
      <c r="AQ46" s="2" t="n"/>
      <c r="AR46" s="2" t="inlineStr">
        <is>
          <t>cuota fija ITP: &gt;12 años, hasta 1.500 cc</t>
        </is>
      </c>
      <c r="AS46" s="2" t="inlineStr">
        <is>
          <t>SEAT IBIZA 1.4 ROCK &amp; ROLL – AÑO 2009 – 200.000 KM
Se vende Seat Ibiza 1.4 Rock &amp; Roll del año 2009, con 200.000 km.
Coche compacto, práctico y económico, ideal para ciudad y desplazamientos diarios.
- Motor gasolina 1.4
- Año 2009
- 205.000 km
- Acabado Rock &amp; Roll
- ITV en vigor hasta abril de 2027
Para más información o concertar una visita, contactar sin compromiso.
¡Ven a verlo y pruébalo!</t>
        </is>
      </c>
      <c r="AT46" s="2" t="inlineStr">
        <is>
          <t>https://www.coches.net/seat-ibiza-14-16v-85cv-rockroll-3p-gasolina-2009-en-valencia-71876716-covo.aspx (window.__INITIAL_PROPS__.ad) /home/user/Alopecia/buscador-coches/raw/cochesnet/d48709c648711d4c.json</t>
        </is>
      </c>
      <c r="AU46" s="3">
        <f>MAX(ANIO_ACTUAL-M46,0)</f>
        <v/>
      </c>
      <c r="AV46" s="4">
        <f>N46/MAX(AU46,0.5)</f>
        <v/>
      </c>
      <c r="AW46" s="4">
        <f>F46</f>
        <v/>
      </c>
      <c r="AX46" s="3">
        <f>AW46&amp;"|"&amp;INT(M46/SEG_ANIO)*SEG_ANIO</f>
        <v/>
      </c>
      <c r="AY46" s="3">
        <f>AX46&amp;"|"&amp;INT(N46/SEG_KM)*SEG_KM</f>
        <v/>
      </c>
      <c r="AZ46" s="4">
        <f>COUNTIF($AW$2:$AW$91,AW46)</f>
        <v/>
      </c>
      <c r="BA46" s="4">
        <f>COUNTIF($AX$2:$AX$91,AX46)</f>
        <v/>
      </c>
      <c r="BB46" s="4">
        <f>COUNTIF($AY$2:$AY$91,AY46)</f>
        <v/>
      </c>
      <c r="BC46" s="3">
        <f t="array" ref="BC46">IF(N(AO46)&gt;=MIN_N,AN46,IF(BB46&gt;=MIN_N,MEDIAN(IF($AY$2:$AY$91=AY46,$O$2:$O$91)),IF(BA46&gt;=MIN_N,MEDIAN(IF($AX$2:$AX$91=AX46,$O$2:$O$91)),MEDIAN(IF($AW$2:$AW$91=AW46,$O$2:$O$91)))))</f>
        <v/>
      </c>
      <c r="BD46" s="3">
        <f>IF(N(AO46)&gt;=MIN_N,"mercado "&amp;AP46,IF(BB46&gt;=MIN_N,"modelo+año+km",IF(BA46&gt;=MIN_N,"modelo+año","modelo")))</f>
        <v/>
      </c>
      <c r="BE46" s="4">
        <f>(BC46-O46)/BC46</f>
        <v/>
      </c>
      <c r="BF46" s="3">
        <f>IF(OR(K46="hibrido",K46="glp"),"ECO",IF(K46="electrico","CERO",IF(K46="gasolina",IF(M46&gt;=GAS_C,"C",IF(M46&gt;=GAS_B,"B","A")),IF(K46="diesel",IF(M46&gt;=DIE_C,"C",IF(M46&gt;=DIE_B,"B","A")),""))))</f>
        <v/>
      </c>
      <c r="BG46" s="3">
        <f>IFERROR(VLOOKUP(F46,MOD_TBL,11,0),IFERROR(VLOOKUP(E46,OCU_TBL,2,0),NEUTRO))</f>
        <v/>
      </c>
      <c r="BH46" s="3">
        <f>SUMIFS(MOT_AJUSTE,MOT_MOTOR,G46,MOT_MARCA,E46,MOT_DESDE,"&lt;="&amp;M46,MOT_HASTA,"&gt;="&amp;M46)+SUMIFS(MOT_AJUSTE,MOT_MOTOR,G46,MOT_MARCA,"(todas)",MOT_DESDE,"&lt;="&amp;M46,MOT_HASTA,"&gt;="&amp;M46)</f>
        <v/>
      </c>
      <c r="BI46" s="3">
        <f>SUMIFS(COMB_AJUSTE,COMB_COMB,K46)</f>
        <v/>
      </c>
      <c r="BJ46" s="4">
        <f>MAX(0,MIN(100,BG46+BH46+BI46))</f>
        <v/>
      </c>
      <c r="BK46" s="3">
        <f>MAX(0,MIN(100,50+BE46*PRECIO_PEND))</f>
        <v/>
      </c>
      <c r="BL46" s="3">
        <f>MAX(0,100*(1-N46/KM_MAX))</f>
        <v/>
      </c>
      <c r="BM46" s="3">
        <f>IF(AV46&lt;KMA_SOSP,IF(AA46="sí",100,KMA_PEN),IF(AV46&lt;=KMA_IDEAL_MAX,100,MAX(0,100*(KMA_CERO-AV46)/(KMA_CERO-KMA_IDEAL_MAX))))</f>
        <v/>
      </c>
      <c r="BN46" s="3">
        <f>MAX(0,MIN(100,100*(M46-ANIO_MIN)/(ANIO_ACTUAL-ANIO_MIN)))</f>
        <v/>
      </c>
      <c r="BO46" s="3">
        <f>W_KMT*BL46+W_KMA*BM46+W_EDAD*BN46</f>
        <v/>
      </c>
      <c r="BP46" s="3">
        <f>P_ITV*(V46="sí")+P_LIBRO*(W46="sí")+P_CORREA*(X46="sí")+P_PROP*(Y46=1)+P_GAR*(Z46="sí")+P_FOTOS*MIN(1,N(U46)/FOTOS_OBJ)</f>
        <v/>
      </c>
      <c r="BQ46" s="3">
        <f>IFERROR(VLOOKUP(BF46,ETQ_TBL,2,0),NEUTRO)</f>
        <v/>
      </c>
      <c r="BR46" s="3">
        <f>NEUTRO</f>
        <v/>
      </c>
      <c r="BS46" s="3">
        <f>IFERROR(VLOOKUP(L46,SEGURO_TBL,3,0),"")</f>
        <v/>
      </c>
      <c r="BT46" s="3">
        <f>IF(BS46="",NEUTRO,MAX(0,MIN(100,100*(SEG_REF_MAX-BS46)/(SEG_REF_MAX-SEG_REF_MIN))))</f>
        <v/>
      </c>
      <c r="BU46" s="3">
        <f>W_ET*BQ46+W_CONS*BR46+W_SEG*BT46</f>
        <v/>
      </c>
      <c r="BV46" s="3">
        <f>IF(N(AB46)&gt;0,AB46,IF(AND(R46="profesional",SG_LEGAL_ON=1),GAR_LEGAL,0))</f>
        <v/>
      </c>
      <c r="BW46" s="3">
        <f>SG_GAR*MIN(1,BV46/SG_GAR_FULL)+SG_AMPL*(AC46="sí")+SG_KMC*(AF46="sí")+SG_REV*(N(AE46)&gt;0)+SG_DEV*MIN(1,N(AG46)/SG_DEV_FULL)+SG_HIST*(W46="sí")</f>
        <v/>
      </c>
      <c r="BX46" s="3">
        <f>W_FIAB*BJ46+W_PRECIO*BK46+W_KMEDAD*BO46+W_ANUNCIO*BP46+W_USO*BU46+W_SEGURIDAD*BW46</f>
        <v/>
      </c>
      <c r="BY46" s="4">
        <f>IF(N(I46)&gt;0,I46,IFERROR(ROUND(_xlfn.NUMBERVALUE(LEFT(G46,FIND(" ",G46&amp;" ")-1),".")*1000,0),99999))</f>
        <v/>
      </c>
      <c r="BZ46" s="3">
        <f>IF(R46="profesional",0,IF(O46&lt;CUOTA_VALOR_MAX,IF(AU46&gt;ITP_TRAMO_ALTO,SUMIFS(CF_CUOTA,CF_MAS,ITP_TRAMO_ALTO,CF_CCMIN,"&lt;="&amp;BY46,CF_CCMAX,"&gt;="&amp;BY46),IF(AU46&gt;ITP_TRAMO_BAJO,SUMIFS(CF_CUOTA,CF_MAS,ITP_TRAMO_BAJO,CF_CCMIN,"&lt;="&amp;BY46,CF_CCMAX,"&gt;="&amp;BY46),O46*ITP_TIPO)),O46*ITP_TIPO))</f>
        <v/>
      </c>
      <c r="CA46" s="4">
        <f>IF(R46="profesional",N(AK46),0)</f>
        <v/>
      </c>
      <c r="CB46" s="3">
        <f>IF(AND(R46="profesional",ISNUMBER(AK46),AL46="sí"),0,TASA_DGT)</f>
        <v/>
      </c>
      <c r="CC46" s="3">
        <f>INFORME_DGT</f>
        <v/>
      </c>
      <c r="CD46" s="4">
        <f>O46+CA46+BZ46+CB46+CC46</f>
        <v/>
      </c>
      <c r="CE46" s="4">
        <f>CD46+N(BS46)</f>
        <v/>
      </c>
      <c r="CF46" s="3">
        <f>IF(CD46&lt;=TOTAL_MAX,"sí","no")</f>
        <v/>
      </c>
      <c r="CG46" s="4">
        <f>IF(CF46="sí",COUNTIFS($CF$2:$CF$91,"sí",$BX$2:$BX$91,"&gt;"&amp;BX46)+COUNTIFS($CF$2:CF46,"sí",$BX$2:BX46,BX46),"")</f>
        <v/>
      </c>
    </row>
    <row r="47">
      <c r="A47" s="2" t="inlineStr">
        <is>
          <t>cochesnet:71874130</t>
        </is>
      </c>
      <c r="B47" s="2" t="inlineStr">
        <is>
          <t>cochesnet</t>
        </is>
      </c>
      <c r="C47" s="2" t="inlineStr">
        <is>
          <t>https://www.coches.net/volkswagen-polo-12-70cv-advance-5p-gasolina-2010-en-valencia-71874130-covo.aspx</t>
        </is>
      </c>
      <c r="D47" s="2" t="inlineStr">
        <is>
          <t>VOLKSWAGEN Polo 1.2 Advance</t>
        </is>
      </c>
      <c r="E47" s="2" t="inlineStr">
        <is>
          <t>Volkswagen</t>
        </is>
      </c>
      <c r="F47" s="2" t="inlineStr">
        <is>
          <t>Volkswagen Polo</t>
        </is>
      </c>
      <c r="G47" s="2" t="inlineStr">
        <is>
          <t>1.2</t>
        </is>
      </c>
      <c r="H47" s="2" t="inlineStr">
        <is>
          <t>1.2 70cv Advance</t>
        </is>
      </c>
      <c r="I47" s="2" t="n"/>
      <c r="J47" s="2" t="n">
        <v>70</v>
      </c>
      <c r="K47" s="2" t="inlineStr">
        <is>
          <t>gasolina</t>
        </is>
      </c>
      <c r="L47" s="2" t="inlineStr">
        <is>
          <t>utilitario</t>
        </is>
      </c>
      <c r="M47" s="2" t="n">
        <v>2010</v>
      </c>
      <c r="N47" s="2" t="n">
        <v>210000</v>
      </c>
      <c r="O47" s="2" t="n">
        <v>4200</v>
      </c>
      <c r="P47" s="2" t="inlineStr">
        <is>
          <t>manual</t>
        </is>
      </c>
      <c r="Q47" s="2" t="inlineStr">
        <is>
          <t>no</t>
        </is>
      </c>
      <c r="R47" s="2" t="inlineStr">
        <is>
          <t>particular</t>
        </is>
      </c>
      <c r="S47" s="2" t="inlineStr">
        <is>
          <t>Torrent</t>
        </is>
      </c>
      <c r="T47" s="2" t="inlineStr">
        <is>
          <t>2026-10-30T15:29:38Z</t>
        </is>
      </c>
      <c r="U47" s="2" t="n">
        <v>7</v>
      </c>
      <c r="V47" s="2" t="inlineStr">
        <is>
          <t>sí</t>
        </is>
      </c>
      <c r="W47" s="2" t="inlineStr">
        <is>
          <t>sí</t>
        </is>
      </c>
      <c r="X47" s="2" t="n"/>
      <c r="Y47" s="2" t="n"/>
      <c r="Z47" s="2" t="inlineStr">
        <is>
          <t>no</t>
        </is>
      </c>
      <c r="AA47" s="2" t="n"/>
      <c r="AB47" s="2" t="n"/>
      <c r="AC47" s="2" t="n"/>
      <c r="AD47" s="2" t="n"/>
      <c r="AE47" s="2" t="n"/>
      <c r="AF47" s="2" t="n"/>
      <c r="AG47" s="2" t="n"/>
      <c r="AH47" s="2" t="n">
        <v>4200</v>
      </c>
      <c r="AI47" s="2" t="n"/>
      <c r="AJ47" s="2" t="n"/>
      <c r="AK47" s="2" t="n"/>
      <c r="AL47" s="2" t="n"/>
      <c r="AM47" s="2" t="n">
        <v>8.800000000000001</v>
      </c>
      <c r="AN47" s="2" t="n">
        <v>4300</v>
      </c>
      <c r="AO47" s="2" t="n">
        <v>4</v>
      </c>
      <c r="AP47" s="2" t="inlineStr">
        <is>
          <t>modelo+año+km</t>
        </is>
      </c>
      <c r="AQ47" s="2" t="n"/>
      <c r="AR47" s="2" t="inlineStr">
        <is>
          <t>cuota fija ITP: &gt;12 años, hasta 1.500 cc</t>
        </is>
      </c>
      <c r="AS47" s="2" t="inlineStr">
        <is>
          <t>Volkswagen Polo 1.2 Gasolina 70 CV | Económico y Fiable | ITV 2027
?¿Buscas un utilitario urbano práctico, fácil de aparcar, de bajo consumo y con la fiabilidad de Volkswagen? Este Polo 1.2 Gasolina con cambio manual es perfecto tanto para el día a día en ciudad como para conductores noveles o segundo coche familiar.
?? Puntos clave del vehículo:
• Motor 1.2 Gasolina (70 CV): mecánico, ágil, de mantenimiento económico y muy bajo consumo.
• 1ª Matriculación: 02/2011
• Kilometraje: 211.407 km
• ITV en vigor: Pasada hasta 01/2027.
• Mantenimiento al día recién realizado, listo para llevarte a donde quieras sin invertir más.
• Entrega inmediata.</t>
        </is>
      </c>
      <c r="AT47" s="2" t="inlineStr">
        <is>
          <t>https://www.coches.net/volkswagen-polo-12-70cv-advance-5p-gasolina-2010-en-valencia-71874130-covo.aspx (window.__INITIAL_PROPS__.ad) /home/user/Alopecia/buscador-coches/raw/cochesnet/6a7fc55baa18c560.json</t>
        </is>
      </c>
      <c r="AU47" s="3">
        <f>MAX(ANIO_ACTUAL-M47,0)</f>
        <v/>
      </c>
      <c r="AV47" s="4">
        <f>N47/MAX(AU47,0.5)</f>
        <v/>
      </c>
      <c r="AW47" s="4">
        <f>F47</f>
        <v/>
      </c>
      <c r="AX47" s="3">
        <f>AW47&amp;"|"&amp;INT(M47/SEG_ANIO)*SEG_ANIO</f>
        <v/>
      </c>
      <c r="AY47" s="3">
        <f>AX47&amp;"|"&amp;INT(N47/SEG_KM)*SEG_KM</f>
        <v/>
      </c>
      <c r="AZ47" s="4">
        <f>COUNTIF($AW$2:$AW$91,AW47)</f>
        <v/>
      </c>
      <c r="BA47" s="4">
        <f>COUNTIF($AX$2:$AX$91,AX47)</f>
        <v/>
      </c>
      <c r="BB47" s="4">
        <f>COUNTIF($AY$2:$AY$91,AY47)</f>
        <v/>
      </c>
      <c r="BC47" s="3">
        <f t="array" ref="BC47">IF(N(AO47)&gt;=MIN_N,AN47,IF(BB47&gt;=MIN_N,MEDIAN(IF($AY$2:$AY$91=AY47,$O$2:$O$91)),IF(BA47&gt;=MIN_N,MEDIAN(IF($AX$2:$AX$91=AX47,$O$2:$O$91)),MEDIAN(IF($AW$2:$AW$91=AW47,$O$2:$O$91)))))</f>
        <v/>
      </c>
      <c r="BD47" s="3">
        <f>IF(N(AO47)&gt;=MIN_N,"mercado "&amp;AP47,IF(BB47&gt;=MIN_N,"modelo+año+km",IF(BA47&gt;=MIN_N,"modelo+año","modelo")))</f>
        <v/>
      </c>
      <c r="BE47" s="4">
        <f>(BC47-O47)/BC47</f>
        <v/>
      </c>
      <c r="BF47" s="3">
        <f>IF(OR(K47="hibrido",K47="glp"),"ECO",IF(K47="electrico","CERO",IF(K47="gasolina",IF(M47&gt;=GAS_C,"C",IF(M47&gt;=GAS_B,"B","A")),IF(K47="diesel",IF(M47&gt;=DIE_C,"C",IF(M47&gt;=DIE_B,"B","A")),""))))</f>
        <v/>
      </c>
      <c r="BG47" s="3">
        <f>IFERROR(VLOOKUP(F47,MOD_TBL,11,0),IFERROR(VLOOKUP(E47,OCU_TBL,2,0),NEUTRO))</f>
        <v/>
      </c>
      <c r="BH47" s="3">
        <f>SUMIFS(MOT_AJUSTE,MOT_MOTOR,G47,MOT_MARCA,E47,MOT_DESDE,"&lt;="&amp;M47,MOT_HASTA,"&gt;="&amp;M47)+SUMIFS(MOT_AJUSTE,MOT_MOTOR,G47,MOT_MARCA,"(todas)",MOT_DESDE,"&lt;="&amp;M47,MOT_HASTA,"&gt;="&amp;M47)</f>
        <v/>
      </c>
      <c r="BI47" s="3">
        <f>SUMIFS(COMB_AJUSTE,COMB_COMB,K47)</f>
        <v/>
      </c>
      <c r="BJ47" s="4">
        <f>MAX(0,MIN(100,BG47+BH47+BI47))</f>
        <v/>
      </c>
      <c r="BK47" s="3">
        <f>MAX(0,MIN(100,50+BE47*PRECIO_PEND))</f>
        <v/>
      </c>
      <c r="BL47" s="3">
        <f>MAX(0,100*(1-N47/KM_MAX))</f>
        <v/>
      </c>
      <c r="BM47" s="3">
        <f>IF(AV47&lt;KMA_SOSP,IF(AA47="sí",100,KMA_PEN),IF(AV47&lt;=KMA_IDEAL_MAX,100,MAX(0,100*(KMA_CERO-AV47)/(KMA_CERO-KMA_IDEAL_MAX))))</f>
        <v/>
      </c>
      <c r="BN47" s="3">
        <f>MAX(0,MIN(100,100*(M47-ANIO_MIN)/(ANIO_ACTUAL-ANIO_MIN)))</f>
        <v/>
      </c>
      <c r="BO47" s="3">
        <f>W_KMT*BL47+W_KMA*BM47+W_EDAD*BN47</f>
        <v/>
      </c>
      <c r="BP47" s="3">
        <f>P_ITV*(V47="sí")+P_LIBRO*(W47="sí")+P_CORREA*(X47="sí")+P_PROP*(Y47=1)+P_GAR*(Z47="sí")+P_FOTOS*MIN(1,N(U47)/FOTOS_OBJ)</f>
        <v/>
      </c>
      <c r="BQ47" s="3">
        <f>IFERROR(VLOOKUP(BF47,ETQ_TBL,2,0),NEUTRO)</f>
        <v/>
      </c>
      <c r="BR47" s="3">
        <f>NEUTRO</f>
        <v/>
      </c>
      <c r="BS47" s="3">
        <f>IFERROR(VLOOKUP(L47,SEGURO_TBL,3,0),"")</f>
        <v/>
      </c>
      <c r="BT47" s="3">
        <f>IF(BS47="",NEUTRO,MAX(0,MIN(100,100*(SEG_REF_MAX-BS47)/(SEG_REF_MAX-SEG_REF_MIN))))</f>
        <v/>
      </c>
      <c r="BU47" s="3">
        <f>W_ET*BQ47+W_CONS*BR47+W_SEG*BT47</f>
        <v/>
      </c>
      <c r="BV47" s="3">
        <f>IF(N(AB47)&gt;0,AB47,IF(AND(R47="profesional",SG_LEGAL_ON=1),GAR_LEGAL,0))</f>
        <v/>
      </c>
      <c r="BW47" s="3">
        <f>SG_GAR*MIN(1,BV47/SG_GAR_FULL)+SG_AMPL*(AC47="sí")+SG_KMC*(AF47="sí")+SG_REV*(N(AE47)&gt;0)+SG_DEV*MIN(1,N(AG47)/SG_DEV_FULL)+SG_HIST*(W47="sí")</f>
        <v/>
      </c>
      <c r="BX47" s="3">
        <f>W_FIAB*BJ47+W_PRECIO*BK47+W_KMEDAD*BO47+W_ANUNCIO*BP47+W_USO*BU47+W_SEGURIDAD*BW47</f>
        <v/>
      </c>
      <c r="BY47" s="4">
        <f>IF(N(I47)&gt;0,I47,IFERROR(ROUND(_xlfn.NUMBERVALUE(LEFT(G47,FIND(" ",G47&amp;" ")-1),".")*1000,0),99999))</f>
        <v/>
      </c>
      <c r="BZ47" s="3">
        <f>IF(R47="profesional",0,IF(O47&lt;CUOTA_VALOR_MAX,IF(AU47&gt;ITP_TRAMO_ALTO,SUMIFS(CF_CUOTA,CF_MAS,ITP_TRAMO_ALTO,CF_CCMIN,"&lt;="&amp;BY47,CF_CCMAX,"&gt;="&amp;BY47),IF(AU47&gt;ITP_TRAMO_BAJO,SUMIFS(CF_CUOTA,CF_MAS,ITP_TRAMO_BAJO,CF_CCMIN,"&lt;="&amp;BY47,CF_CCMAX,"&gt;="&amp;BY47),O47*ITP_TIPO)),O47*ITP_TIPO))</f>
        <v/>
      </c>
      <c r="CA47" s="4">
        <f>IF(R47="profesional",N(AK47),0)</f>
        <v/>
      </c>
      <c r="CB47" s="3">
        <f>IF(AND(R47="profesional",ISNUMBER(AK47),AL47="sí"),0,TASA_DGT)</f>
        <v/>
      </c>
      <c r="CC47" s="3">
        <f>INFORME_DGT</f>
        <v/>
      </c>
      <c r="CD47" s="4">
        <f>O47+CA47+BZ47+CB47+CC47</f>
        <v/>
      </c>
      <c r="CE47" s="4">
        <f>CD47+N(BS47)</f>
        <v/>
      </c>
      <c r="CF47" s="3">
        <f>IF(CD47&lt;=TOTAL_MAX,"sí","no")</f>
        <v/>
      </c>
      <c r="CG47" s="4">
        <f>IF(CF47="sí",COUNTIFS($CF$2:$CF$91,"sí",$BX$2:$BX$91,"&gt;"&amp;BX47)+COUNTIFS($CF$2:CF47,"sí",$BX$2:BX47,BX47),"")</f>
        <v/>
      </c>
    </row>
    <row r="48">
      <c r="A48" s="2" t="inlineStr">
        <is>
          <t>cochesnet:71666559</t>
        </is>
      </c>
      <c r="B48" s="2" t="inlineStr">
        <is>
          <t>cochesnet</t>
        </is>
      </c>
      <c r="C48" s="2" t="inlineStr">
        <is>
          <t>https://www.coches.net/volkswagen-polo-12-edition-60cv-5p-gasolina-2009-en-valencia-71666559-covo.aspx</t>
        </is>
      </c>
      <c r="D48" s="2" t="inlineStr">
        <is>
          <t>VOLKSWAGEN Polo 1.2 Edition</t>
        </is>
      </c>
      <c r="E48" s="2" t="inlineStr">
        <is>
          <t>Volkswagen</t>
        </is>
      </c>
      <c r="F48" s="2" t="inlineStr">
        <is>
          <t>Volkswagen Polo</t>
        </is>
      </c>
      <c r="G48" s="2" t="inlineStr">
        <is>
          <t>1.2</t>
        </is>
      </c>
      <c r="H48" s="2" t="n"/>
      <c r="I48" s="2" t="n"/>
      <c r="J48" s="2" t="n"/>
      <c r="K48" s="2" t="inlineStr">
        <is>
          <t>gasolina</t>
        </is>
      </c>
      <c r="L48" s="2" t="inlineStr">
        <is>
          <t>utilitario</t>
        </is>
      </c>
      <c r="M48" s="2" t="n">
        <v>2009</v>
      </c>
      <c r="N48" s="2" t="n">
        <v>128680</v>
      </c>
      <c r="O48" s="2" t="n">
        <v>3300</v>
      </c>
      <c r="P48" s="2" t="n"/>
      <c r="Q48" s="2" t="n"/>
      <c r="R48" s="2" t="inlineStr">
        <is>
          <t>particular</t>
        </is>
      </c>
      <c r="S48" s="2" t="inlineStr">
        <is>
          <t>Torrent</t>
        </is>
      </c>
      <c r="T48" s="2" t="inlineStr">
        <is>
          <t>2026-10-03T20:18:16Z</t>
        </is>
      </c>
      <c r="U48" s="2" t="n">
        <v>10</v>
      </c>
      <c r="V48" s="2" t="n"/>
      <c r="W48" s="2" t="n"/>
      <c r="X48" s="2" t="n"/>
      <c r="Y48" s="2" t="n"/>
      <c r="Z48" s="2" t="inlineStr">
        <is>
          <t>no</t>
        </is>
      </c>
      <c r="AA48" s="2" t="n"/>
      <c r="AB48" s="2" t="n"/>
      <c r="AC48" s="2" t="n"/>
      <c r="AD48" s="2" t="n"/>
      <c r="AE48" s="2" t="n"/>
      <c r="AF48" s="2" t="n"/>
      <c r="AG48" s="2" t="n"/>
      <c r="AH48" s="2" t="n">
        <v>3300</v>
      </c>
      <c r="AI48" s="2" t="n"/>
      <c r="AJ48" s="2" t="n"/>
      <c r="AK48" s="2" t="n"/>
      <c r="AL48" s="2" t="n"/>
      <c r="AM48" s="2" t="n"/>
      <c r="AN48" s="2" t="n">
        <v>4990</v>
      </c>
      <c r="AO48" s="2" t="n">
        <v>6</v>
      </c>
      <c r="AP48" s="2" t="inlineStr">
        <is>
          <t>modelo+año+km</t>
        </is>
      </c>
      <c r="AQ48" s="2" t="n"/>
      <c r="AR48" s="2" t="inlineStr">
        <is>
          <t>cuota fija ITP: &gt;12 años, hasta 1.500 cc; distancia no verificable (el anuncio solo indica la provincia): confirmar que está a &lt;= 50 km</t>
        </is>
      </c>
      <c r="AS48" s="2" t="inlineStr"/>
      <c r="AT48" s="2" t="inlineStr">
        <is>
          <t>https://www.coches.net/volkswagen/polo/segunda-mano/valencia/?pg=4 /home/user/Alopecia/buscador-coches/raw/cochesnet/aad67ad27b5970b2.json</t>
        </is>
      </c>
      <c r="AU48" s="3">
        <f>MAX(ANIO_ACTUAL-M48,0)</f>
        <v/>
      </c>
      <c r="AV48" s="4">
        <f>N48/MAX(AU48,0.5)</f>
        <v/>
      </c>
      <c r="AW48" s="4">
        <f>F48</f>
        <v/>
      </c>
      <c r="AX48" s="3">
        <f>AW48&amp;"|"&amp;INT(M48/SEG_ANIO)*SEG_ANIO</f>
        <v/>
      </c>
      <c r="AY48" s="3">
        <f>AX48&amp;"|"&amp;INT(N48/SEG_KM)*SEG_KM</f>
        <v/>
      </c>
      <c r="AZ48" s="4">
        <f>COUNTIF($AW$2:$AW$91,AW48)</f>
        <v/>
      </c>
      <c r="BA48" s="4">
        <f>COUNTIF($AX$2:$AX$91,AX48)</f>
        <v/>
      </c>
      <c r="BB48" s="4">
        <f>COUNTIF($AY$2:$AY$91,AY48)</f>
        <v/>
      </c>
      <c r="BC48" s="3">
        <f t="array" ref="BC48">IF(N(AO48)&gt;=MIN_N,AN48,IF(BB48&gt;=MIN_N,MEDIAN(IF($AY$2:$AY$91=AY48,$O$2:$O$91)),IF(BA48&gt;=MIN_N,MEDIAN(IF($AX$2:$AX$91=AX48,$O$2:$O$91)),MEDIAN(IF($AW$2:$AW$91=AW48,$O$2:$O$91)))))</f>
        <v/>
      </c>
      <c r="BD48" s="3">
        <f>IF(N(AO48)&gt;=MIN_N,"mercado "&amp;AP48,IF(BB48&gt;=MIN_N,"modelo+año+km",IF(BA48&gt;=MIN_N,"modelo+año","modelo")))</f>
        <v/>
      </c>
      <c r="BE48" s="4">
        <f>(BC48-O48)/BC48</f>
        <v/>
      </c>
      <c r="BF48" s="3">
        <f>IF(OR(K48="hibrido",K48="glp"),"ECO",IF(K48="electrico","CERO",IF(K48="gasolina",IF(M48&gt;=GAS_C,"C",IF(M48&gt;=GAS_B,"B","A")),IF(K48="diesel",IF(M48&gt;=DIE_C,"C",IF(M48&gt;=DIE_B,"B","A")),""))))</f>
        <v/>
      </c>
      <c r="BG48" s="3">
        <f>IFERROR(VLOOKUP(F48,MOD_TBL,11,0),IFERROR(VLOOKUP(E48,OCU_TBL,2,0),NEUTRO))</f>
        <v/>
      </c>
      <c r="BH48" s="3">
        <f>SUMIFS(MOT_AJUSTE,MOT_MOTOR,G48,MOT_MARCA,E48,MOT_DESDE,"&lt;="&amp;M48,MOT_HASTA,"&gt;="&amp;M48)+SUMIFS(MOT_AJUSTE,MOT_MOTOR,G48,MOT_MARCA,"(todas)",MOT_DESDE,"&lt;="&amp;M48,MOT_HASTA,"&gt;="&amp;M48)</f>
        <v/>
      </c>
      <c r="BI48" s="3">
        <f>SUMIFS(COMB_AJUSTE,COMB_COMB,K48)</f>
        <v/>
      </c>
      <c r="BJ48" s="4">
        <f>MAX(0,MIN(100,BG48+BH48+BI48))</f>
        <v/>
      </c>
      <c r="BK48" s="3">
        <f>MAX(0,MIN(100,50+BE48*PRECIO_PEND))</f>
        <v/>
      </c>
      <c r="BL48" s="3">
        <f>MAX(0,100*(1-N48/KM_MAX))</f>
        <v/>
      </c>
      <c r="BM48" s="3">
        <f>IF(AV48&lt;KMA_SOSP,IF(AA48="sí",100,KMA_PEN),IF(AV48&lt;=KMA_IDEAL_MAX,100,MAX(0,100*(KMA_CERO-AV48)/(KMA_CERO-KMA_IDEAL_MAX))))</f>
        <v/>
      </c>
      <c r="BN48" s="3">
        <f>MAX(0,MIN(100,100*(M48-ANIO_MIN)/(ANIO_ACTUAL-ANIO_MIN)))</f>
        <v/>
      </c>
      <c r="BO48" s="3">
        <f>W_KMT*BL48+W_KMA*BM48+W_EDAD*BN48</f>
        <v/>
      </c>
      <c r="BP48" s="3">
        <f>P_ITV*(V48="sí")+P_LIBRO*(W48="sí")+P_CORREA*(X48="sí")+P_PROP*(Y48=1)+P_GAR*(Z48="sí")+P_FOTOS*MIN(1,N(U48)/FOTOS_OBJ)</f>
        <v/>
      </c>
      <c r="BQ48" s="3">
        <f>IFERROR(VLOOKUP(BF48,ETQ_TBL,2,0),NEUTRO)</f>
        <v/>
      </c>
      <c r="BR48" s="3">
        <f>NEUTRO</f>
        <v/>
      </c>
      <c r="BS48" s="3">
        <f>IFERROR(VLOOKUP(L48,SEGURO_TBL,3,0),"")</f>
        <v/>
      </c>
      <c r="BT48" s="3">
        <f>IF(BS48="",NEUTRO,MAX(0,MIN(100,100*(SEG_REF_MAX-BS48)/(SEG_REF_MAX-SEG_REF_MIN))))</f>
        <v/>
      </c>
      <c r="BU48" s="3">
        <f>W_ET*BQ48+W_CONS*BR48+W_SEG*BT48</f>
        <v/>
      </c>
      <c r="BV48" s="3">
        <f>IF(N(AB48)&gt;0,AB48,IF(AND(R48="profesional",SG_LEGAL_ON=1),GAR_LEGAL,0))</f>
        <v/>
      </c>
      <c r="BW48" s="3">
        <f>SG_GAR*MIN(1,BV48/SG_GAR_FULL)+SG_AMPL*(AC48="sí")+SG_KMC*(AF48="sí")+SG_REV*(N(AE48)&gt;0)+SG_DEV*MIN(1,N(AG48)/SG_DEV_FULL)+SG_HIST*(W48="sí")</f>
        <v/>
      </c>
      <c r="BX48" s="3">
        <f>W_FIAB*BJ48+W_PRECIO*BK48+W_KMEDAD*BO48+W_ANUNCIO*BP48+W_USO*BU48+W_SEGURIDAD*BW48</f>
        <v/>
      </c>
      <c r="BY48" s="4">
        <f>IF(N(I48)&gt;0,I48,IFERROR(ROUND(_xlfn.NUMBERVALUE(LEFT(G48,FIND(" ",G48&amp;" ")-1),".")*1000,0),99999))</f>
        <v/>
      </c>
      <c r="BZ48" s="3">
        <f>IF(R48="profesional",0,IF(O48&lt;CUOTA_VALOR_MAX,IF(AU48&gt;ITP_TRAMO_ALTO,SUMIFS(CF_CUOTA,CF_MAS,ITP_TRAMO_ALTO,CF_CCMIN,"&lt;="&amp;BY48,CF_CCMAX,"&gt;="&amp;BY48),IF(AU48&gt;ITP_TRAMO_BAJO,SUMIFS(CF_CUOTA,CF_MAS,ITP_TRAMO_BAJO,CF_CCMIN,"&lt;="&amp;BY48,CF_CCMAX,"&gt;="&amp;BY48),O48*ITP_TIPO)),O48*ITP_TIPO))</f>
        <v/>
      </c>
      <c r="CA48" s="4">
        <f>IF(R48="profesional",N(AK48),0)</f>
        <v/>
      </c>
      <c r="CB48" s="3">
        <f>IF(AND(R48="profesional",ISNUMBER(AK48),AL48="sí"),0,TASA_DGT)</f>
        <v/>
      </c>
      <c r="CC48" s="3">
        <f>INFORME_DGT</f>
        <v/>
      </c>
      <c r="CD48" s="4">
        <f>O48+CA48+BZ48+CB48+CC48</f>
        <v/>
      </c>
      <c r="CE48" s="4">
        <f>CD48+N(BS48)</f>
        <v/>
      </c>
      <c r="CF48" s="3">
        <f>IF(CD48&lt;=TOTAL_MAX,"sí","no")</f>
        <v/>
      </c>
      <c r="CG48" s="4">
        <f>IF(CF48="sí",COUNTIFS($CF$2:$CF$91,"sí",$BX$2:$BX$91,"&gt;"&amp;BX48)+COUNTIFS($CF$2:CF48,"sí",$BX$2:BX48,BX48),"")</f>
        <v/>
      </c>
    </row>
    <row r="49">
      <c r="A49" s="2" t="inlineStr">
        <is>
          <t>cochesnet:71536489</t>
        </is>
      </c>
      <c r="B49" s="2" t="inlineStr">
        <is>
          <t>cochesnet</t>
        </is>
      </c>
      <c r="C49" s="2" t="inlineStr">
        <is>
          <t>https://www.coches.net/volkswagen-polo-gasolina-2010-en-valencia-71536489-covo.aspx</t>
        </is>
      </c>
      <c r="D49" s="2" t="inlineStr">
        <is>
          <t>VOLKSWAGEN Polo 1.4 Advance DSG 7</t>
        </is>
      </c>
      <c r="E49" s="2" t="inlineStr">
        <is>
          <t>Volkswagen</t>
        </is>
      </c>
      <c r="F49" s="2" t="inlineStr">
        <is>
          <t>Volkswagen Polo</t>
        </is>
      </c>
      <c r="G49" s="2" t="inlineStr">
        <is>
          <t>1.4</t>
        </is>
      </c>
      <c r="H49" s="2" t="inlineStr">
        <is>
          <t>1.4 Advance 85cv DSG 7</t>
        </is>
      </c>
      <c r="I49" s="2" t="n"/>
      <c r="J49" s="2" t="n">
        <v>85</v>
      </c>
      <c r="K49" s="2" t="inlineStr">
        <is>
          <t>gasolina</t>
        </is>
      </c>
      <c r="L49" s="2" t="inlineStr">
        <is>
          <t>utilitario</t>
        </is>
      </c>
      <c r="M49" s="2" t="n">
        <v>2010</v>
      </c>
      <c r="N49" s="2" t="n">
        <v>177000</v>
      </c>
      <c r="O49" s="2" t="n">
        <v>4400</v>
      </c>
      <c r="P49" s="2" t="inlineStr">
        <is>
          <t>automatico</t>
        </is>
      </c>
      <c r="Q49" s="2" t="inlineStr">
        <is>
          <t>sí</t>
        </is>
      </c>
      <c r="R49" s="2" t="inlineStr">
        <is>
          <t>particular</t>
        </is>
      </c>
      <c r="S49" s="2" t="inlineStr">
        <is>
          <t>Alboraya</t>
        </is>
      </c>
      <c r="T49" s="2" t="inlineStr">
        <is>
          <t>2026-09-17T11:20:30Z</t>
        </is>
      </c>
      <c r="U49" s="2" t="n">
        <v>5</v>
      </c>
      <c r="V49" s="2" t="n"/>
      <c r="W49" s="2" t="n"/>
      <c r="X49" s="2" t="inlineStr">
        <is>
          <t>sí</t>
        </is>
      </c>
      <c r="Y49" s="2" t="n"/>
      <c r="Z49" s="2" t="inlineStr">
        <is>
          <t>no</t>
        </is>
      </c>
      <c r="AA49" s="2" t="n"/>
      <c r="AB49" s="2" t="n"/>
      <c r="AC49" s="2" t="n"/>
      <c r="AD49" s="2" t="n"/>
      <c r="AE49" s="2" t="n"/>
      <c r="AF49" s="2" t="n"/>
      <c r="AG49" s="2" t="n"/>
      <c r="AH49" s="2" t="n">
        <v>4400</v>
      </c>
      <c r="AI49" s="2" t="n"/>
      <c r="AJ49" s="2" t="n"/>
      <c r="AK49" s="2" t="n"/>
      <c r="AL49" s="2" t="n"/>
      <c r="AM49" s="2" t="n">
        <v>4</v>
      </c>
      <c r="AN49" s="2" t="n">
        <v>5675</v>
      </c>
      <c r="AO49" s="2" t="n">
        <v>10</v>
      </c>
      <c r="AP49" s="2" t="inlineStr">
        <is>
          <t>modelo+año+km</t>
        </is>
      </c>
      <c r="AQ49" s="2" t="n"/>
      <c r="AR49" s="2" t="inlineStr">
        <is>
          <t>cuota fija ITP: &gt;12 años, hasta 1.500 cc</t>
        </is>
      </c>
      <c r="AS49" s="2" t="inlineStr">
        <is>
          <t>Se vende Volkswagen Polo 1.4 gasolina con cambio automático DSG, año 2010, con aproximadamente 177.000 km.
Coche cómodo, práctico y fácil de conducir, ideal tanto para ciudad como para carretera.
Cambio automático DSG
Motor 1.4 gasolina
3 puertas
Dirección asistida
Cierre centralizado
Elevalunas eléctricos
Airbags
ABS
Radio/equipo de sonido
Asientos traseros abatibles
Ordenador/display de a bordo
Color rojo
Llantas negras
Tiene la distribución hecha, mantenimiento de motor realizado con aceite y filtros cambiados, y también mantenimiento de la caja DSG con cambio de aceite y filtro.
Carrocería roja, 3 puertas y buen estado general.
Se puede ver y probar sin compromiso.
Un coche listo para seguir haciendo kilómetros con su próximo dueño. ??</t>
        </is>
      </c>
      <c r="AT49" s="2" t="inlineStr">
        <is>
          <t>https://www.coches.net/volkswagen-polo-gasolina-2010-en-valencia-71536489-covo.aspx (window.__INITIAL_PROPS__.ad) /home/user/Alopecia/buscador-coches/raw/cochesnet/6d557d81e74b839f.json</t>
        </is>
      </c>
      <c r="AU49" s="3">
        <f>MAX(ANIO_ACTUAL-M49,0)</f>
        <v/>
      </c>
      <c r="AV49" s="4">
        <f>N49/MAX(AU49,0.5)</f>
        <v/>
      </c>
      <c r="AW49" s="4">
        <f>F49</f>
        <v/>
      </c>
      <c r="AX49" s="3">
        <f>AW49&amp;"|"&amp;INT(M49/SEG_ANIO)*SEG_ANIO</f>
        <v/>
      </c>
      <c r="AY49" s="3">
        <f>AX49&amp;"|"&amp;INT(N49/SEG_KM)*SEG_KM</f>
        <v/>
      </c>
      <c r="AZ49" s="4">
        <f>COUNTIF($AW$2:$AW$91,AW49)</f>
        <v/>
      </c>
      <c r="BA49" s="4">
        <f>COUNTIF($AX$2:$AX$91,AX49)</f>
        <v/>
      </c>
      <c r="BB49" s="4">
        <f>COUNTIF($AY$2:$AY$91,AY49)</f>
        <v/>
      </c>
      <c r="BC49" s="3">
        <f t="array" ref="BC49">IF(N(AO49)&gt;=MIN_N,AN49,IF(BB49&gt;=MIN_N,MEDIAN(IF($AY$2:$AY$91=AY49,$O$2:$O$91)),IF(BA49&gt;=MIN_N,MEDIAN(IF($AX$2:$AX$91=AX49,$O$2:$O$91)),MEDIAN(IF($AW$2:$AW$91=AW49,$O$2:$O$91)))))</f>
        <v/>
      </c>
      <c r="BD49" s="3">
        <f>IF(N(AO49)&gt;=MIN_N,"mercado "&amp;AP49,IF(BB49&gt;=MIN_N,"modelo+año+km",IF(BA49&gt;=MIN_N,"modelo+año","modelo")))</f>
        <v/>
      </c>
      <c r="BE49" s="4">
        <f>(BC49-O49)/BC49</f>
        <v/>
      </c>
      <c r="BF49" s="3">
        <f>IF(OR(K49="hibrido",K49="glp"),"ECO",IF(K49="electrico","CERO",IF(K49="gasolina",IF(M49&gt;=GAS_C,"C",IF(M49&gt;=GAS_B,"B","A")),IF(K49="diesel",IF(M49&gt;=DIE_C,"C",IF(M49&gt;=DIE_B,"B","A")),""))))</f>
        <v/>
      </c>
      <c r="BG49" s="3">
        <f>IFERROR(VLOOKUP(F49,MOD_TBL,11,0),IFERROR(VLOOKUP(E49,OCU_TBL,2,0),NEUTRO))</f>
        <v/>
      </c>
      <c r="BH49" s="3">
        <f>SUMIFS(MOT_AJUSTE,MOT_MOTOR,G49,MOT_MARCA,E49,MOT_DESDE,"&lt;="&amp;M49,MOT_HASTA,"&gt;="&amp;M49)+SUMIFS(MOT_AJUSTE,MOT_MOTOR,G49,MOT_MARCA,"(todas)",MOT_DESDE,"&lt;="&amp;M49,MOT_HASTA,"&gt;="&amp;M49)</f>
        <v/>
      </c>
      <c r="BI49" s="3">
        <f>SUMIFS(COMB_AJUSTE,COMB_COMB,K49)</f>
        <v/>
      </c>
      <c r="BJ49" s="4">
        <f>MAX(0,MIN(100,BG49+BH49+BI49))</f>
        <v/>
      </c>
      <c r="BK49" s="3">
        <f>MAX(0,MIN(100,50+BE49*PRECIO_PEND))</f>
        <v/>
      </c>
      <c r="BL49" s="3">
        <f>MAX(0,100*(1-N49/KM_MAX))</f>
        <v/>
      </c>
      <c r="BM49" s="3">
        <f>IF(AV49&lt;KMA_SOSP,IF(AA49="sí",100,KMA_PEN),IF(AV49&lt;=KMA_IDEAL_MAX,100,MAX(0,100*(KMA_CERO-AV49)/(KMA_CERO-KMA_IDEAL_MAX))))</f>
        <v/>
      </c>
      <c r="BN49" s="3">
        <f>MAX(0,MIN(100,100*(M49-ANIO_MIN)/(ANIO_ACTUAL-ANIO_MIN)))</f>
        <v/>
      </c>
      <c r="BO49" s="3">
        <f>W_KMT*BL49+W_KMA*BM49+W_EDAD*BN49</f>
        <v/>
      </c>
      <c r="BP49" s="3">
        <f>P_ITV*(V49="sí")+P_LIBRO*(W49="sí")+P_CORREA*(X49="sí")+P_PROP*(Y49=1)+P_GAR*(Z49="sí")+P_FOTOS*MIN(1,N(U49)/FOTOS_OBJ)</f>
        <v/>
      </c>
      <c r="BQ49" s="3">
        <f>IFERROR(VLOOKUP(BF49,ETQ_TBL,2,0),NEUTRO)</f>
        <v/>
      </c>
      <c r="BR49" s="3">
        <f>NEUTRO</f>
        <v/>
      </c>
      <c r="BS49" s="3">
        <f>IFERROR(VLOOKUP(L49,SEGURO_TBL,3,0),"")</f>
        <v/>
      </c>
      <c r="BT49" s="3">
        <f>IF(BS49="",NEUTRO,MAX(0,MIN(100,100*(SEG_REF_MAX-BS49)/(SEG_REF_MAX-SEG_REF_MIN))))</f>
        <v/>
      </c>
      <c r="BU49" s="3">
        <f>W_ET*BQ49+W_CONS*BR49+W_SEG*BT49</f>
        <v/>
      </c>
      <c r="BV49" s="3">
        <f>IF(N(AB49)&gt;0,AB49,IF(AND(R49="profesional",SG_LEGAL_ON=1),GAR_LEGAL,0))</f>
        <v/>
      </c>
      <c r="BW49" s="3">
        <f>SG_GAR*MIN(1,BV49/SG_GAR_FULL)+SG_AMPL*(AC49="sí")+SG_KMC*(AF49="sí")+SG_REV*(N(AE49)&gt;0)+SG_DEV*MIN(1,N(AG49)/SG_DEV_FULL)+SG_HIST*(W49="sí")</f>
        <v/>
      </c>
      <c r="BX49" s="3">
        <f>W_FIAB*BJ49+W_PRECIO*BK49+W_KMEDAD*BO49+W_ANUNCIO*BP49+W_USO*BU49+W_SEGURIDAD*BW49</f>
        <v/>
      </c>
      <c r="BY49" s="4">
        <f>IF(N(I49)&gt;0,I49,IFERROR(ROUND(_xlfn.NUMBERVALUE(LEFT(G49,FIND(" ",G49&amp;" ")-1),".")*1000,0),99999))</f>
        <v/>
      </c>
      <c r="BZ49" s="3">
        <f>IF(R49="profesional",0,IF(O49&lt;CUOTA_VALOR_MAX,IF(AU49&gt;ITP_TRAMO_ALTO,SUMIFS(CF_CUOTA,CF_MAS,ITP_TRAMO_ALTO,CF_CCMIN,"&lt;="&amp;BY49,CF_CCMAX,"&gt;="&amp;BY49),IF(AU49&gt;ITP_TRAMO_BAJO,SUMIFS(CF_CUOTA,CF_MAS,ITP_TRAMO_BAJO,CF_CCMIN,"&lt;="&amp;BY49,CF_CCMAX,"&gt;="&amp;BY49),O49*ITP_TIPO)),O49*ITP_TIPO))</f>
        <v/>
      </c>
      <c r="CA49" s="4">
        <f>IF(R49="profesional",N(AK49),0)</f>
        <v/>
      </c>
      <c r="CB49" s="3">
        <f>IF(AND(R49="profesional",ISNUMBER(AK49),AL49="sí"),0,TASA_DGT)</f>
        <v/>
      </c>
      <c r="CC49" s="3">
        <f>INFORME_DGT</f>
        <v/>
      </c>
      <c r="CD49" s="4">
        <f>O49+CA49+BZ49+CB49+CC49</f>
        <v/>
      </c>
      <c r="CE49" s="4">
        <f>CD49+N(BS49)</f>
        <v/>
      </c>
      <c r="CF49" s="3">
        <f>IF(CD49&lt;=TOTAL_MAX,"sí","no")</f>
        <v/>
      </c>
      <c r="CG49" s="4">
        <f>IF(CF49="sí",COUNTIFS($CF$2:$CF$91,"sí",$BX$2:$BX$91,"&gt;"&amp;BX49)+COUNTIFS($CF$2:CF49,"sí",$BX$2:BX49,BX49),"")</f>
        <v/>
      </c>
    </row>
    <row r="50">
      <c r="A50" s="2" t="inlineStr">
        <is>
          <t>cochesnet:71512620</t>
        </is>
      </c>
      <c r="B50" s="2" t="inlineStr">
        <is>
          <t>cochesnet</t>
        </is>
      </c>
      <c r="C50" s="2" t="inlineStr">
        <is>
          <t>https://www.coches.net/volkswagen-polo-gasolina-2008-en-valencia-71512620-covo.aspx</t>
        </is>
      </c>
      <c r="D50" s="2" t="inlineStr">
        <is>
          <t>VOLKSWAGEN Polo</t>
        </is>
      </c>
      <c r="E50" s="2" t="inlineStr">
        <is>
          <t>Volkswagen</t>
        </is>
      </c>
      <c r="F50" s="2" t="inlineStr">
        <is>
          <t>Volkswagen Polo</t>
        </is>
      </c>
      <c r="G50" s="2" t="n"/>
      <c r="H50" s="2" t="n"/>
      <c r="I50" s="2" t="n"/>
      <c r="J50" s="2" t="n"/>
      <c r="K50" s="2" t="inlineStr">
        <is>
          <t>gasolina</t>
        </is>
      </c>
      <c r="L50" s="2" t="inlineStr">
        <is>
          <t>utilitario</t>
        </is>
      </c>
      <c r="M50" s="2" t="n">
        <v>2008</v>
      </c>
      <c r="N50" s="2" t="n">
        <v>219000</v>
      </c>
      <c r="O50" s="2" t="n">
        <v>3700</v>
      </c>
      <c r="P50" s="2" t="inlineStr">
        <is>
          <t>manual</t>
        </is>
      </c>
      <c r="Q50" s="2" t="inlineStr">
        <is>
          <t>no</t>
        </is>
      </c>
      <c r="R50" s="2" t="inlineStr">
        <is>
          <t>particular</t>
        </is>
      </c>
      <c r="S50" s="2" t="n"/>
      <c r="T50" s="2" t="inlineStr">
        <is>
          <t>2026-09-14T16:21:38Z</t>
        </is>
      </c>
      <c r="U50" s="2" t="n">
        <v>1</v>
      </c>
      <c r="V50" s="2" t="n"/>
      <c r="W50" s="2" t="n"/>
      <c r="X50" s="2" t="n"/>
      <c r="Y50" s="2" t="n"/>
      <c r="Z50" s="2" t="inlineStr">
        <is>
          <t>no</t>
        </is>
      </c>
      <c r="AA50" s="2" t="n"/>
      <c r="AB50" s="2" t="n"/>
      <c r="AC50" s="2" t="n"/>
      <c r="AD50" s="2" t="n"/>
      <c r="AE50" s="2" t="n"/>
      <c r="AF50" s="2" t="n"/>
      <c r="AG50" s="2" t="n"/>
      <c r="AH50" s="2" t="n">
        <v>3700</v>
      </c>
      <c r="AI50" s="2" t="n"/>
      <c r="AJ50" s="2" t="n"/>
      <c r="AK50" s="2" t="n"/>
      <c r="AL50" s="2" t="n"/>
      <c r="AM50" s="2" t="n"/>
      <c r="AN50" s="2" t="n">
        <v>3700</v>
      </c>
      <c r="AO50" s="2" t="n">
        <v>5</v>
      </c>
      <c r="AP50" s="2" t="inlineStr">
        <is>
          <t>modelo+año+km</t>
        </is>
      </c>
      <c r="AQ50" s="2" t="n"/>
      <c r="AR50" s="2" t="inlineStr">
        <is>
          <t>cilindrada desconocida: se aplica el tramo de cuota fija más alto; cuota fija ITP: &gt;12 años, más de 2.000 cc; distancia no verificable (el anuncio solo indica la provincia): confirmar que está a &lt;= 50 km</t>
        </is>
      </c>
      <c r="AS50" s="2" t="inlineStr">
        <is>
          <t xml:space="preserve">el auto está impecable , lo vendo porque me regreso a mi país, está todo al día, listo para trasferir .. ! </t>
        </is>
      </c>
      <c r="AT50" s="2" t="inlineStr">
        <is>
          <t>https://www.coches.net/volkswagen-polo-gasolina-2008-en-valencia-71512620-covo.aspx (window.__INITIAL_PROPS__.ad) /home/user/Alopecia/buscador-coches/raw/cochesnet/4757b288d8103f20.json</t>
        </is>
      </c>
      <c r="AU50" s="3">
        <f>MAX(ANIO_ACTUAL-M50,0)</f>
        <v/>
      </c>
      <c r="AV50" s="4">
        <f>N50/MAX(AU50,0.5)</f>
        <v/>
      </c>
      <c r="AW50" s="4">
        <f>F50</f>
        <v/>
      </c>
      <c r="AX50" s="3">
        <f>AW50&amp;"|"&amp;INT(M50/SEG_ANIO)*SEG_ANIO</f>
        <v/>
      </c>
      <c r="AY50" s="3">
        <f>AX50&amp;"|"&amp;INT(N50/SEG_KM)*SEG_KM</f>
        <v/>
      </c>
      <c r="AZ50" s="4">
        <f>COUNTIF($AW$2:$AW$91,AW50)</f>
        <v/>
      </c>
      <c r="BA50" s="4">
        <f>COUNTIF($AX$2:$AX$91,AX50)</f>
        <v/>
      </c>
      <c r="BB50" s="4">
        <f>COUNTIF($AY$2:$AY$91,AY50)</f>
        <v/>
      </c>
      <c r="BC50" s="3">
        <f t="array" ref="BC50">IF(N(AO50)&gt;=MIN_N,AN50,IF(BB50&gt;=MIN_N,MEDIAN(IF($AY$2:$AY$91=AY50,$O$2:$O$91)),IF(BA50&gt;=MIN_N,MEDIAN(IF($AX$2:$AX$91=AX50,$O$2:$O$91)),MEDIAN(IF($AW$2:$AW$91=AW50,$O$2:$O$91)))))</f>
        <v/>
      </c>
      <c r="BD50" s="3">
        <f>IF(N(AO50)&gt;=MIN_N,"mercado "&amp;AP50,IF(BB50&gt;=MIN_N,"modelo+año+km",IF(BA50&gt;=MIN_N,"modelo+año","modelo")))</f>
        <v/>
      </c>
      <c r="BE50" s="4">
        <f>(BC50-O50)/BC50</f>
        <v/>
      </c>
      <c r="BF50" s="3">
        <f>IF(OR(K50="hibrido",K50="glp"),"ECO",IF(K50="electrico","CERO",IF(K50="gasolina",IF(M50&gt;=GAS_C,"C",IF(M50&gt;=GAS_B,"B","A")),IF(K50="diesel",IF(M50&gt;=DIE_C,"C",IF(M50&gt;=DIE_B,"B","A")),""))))</f>
        <v/>
      </c>
      <c r="BG50" s="3">
        <f>IFERROR(VLOOKUP(F50,MOD_TBL,11,0),IFERROR(VLOOKUP(E50,OCU_TBL,2,0),NEUTRO))</f>
        <v/>
      </c>
      <c r="BH50" s="3">
        <f>SUMIFS(MOT_AJUSTE,MOT_MOTOR,G50,MOT_MARCA,E50,MOT_DESDE,"&lt;="&amp;M50,MOT_HASTA,"&gt;="&amp;M50)+SUMIFS(MOT_AJUSTE,MOT_MOTOR,G50,MOT_MARCA,"(todas)",MOT_DESDE,"&lt;="&amp;M50,MOT_HASTA,"&gt;="&amp;M50)</f>
        <v/>
      </c>
      <c r="BI50" s="3">
        <f>SUMIFS(COMB_AJUSTE,COMB_COMB,K50)</f>
        <v/>
      </c>
      <c r="BJ50" s="4">
        <f>MAX(0,MIN(100,BG50+BH50+BI50))</f>
        <v/>
      </c>
      <c r="BK50" s="3">
        <f>MAX(0,MIN(100,50+BE50*PRECIO_PEND))</f>
        <v/>
      </c>
      <c r="BL50" s="3">
        <f>MAX(0,100*(1-N50/KM_MAX))</f>
        <v/>
      </c>
      <c r="BM50" s="3">
        <f>IF(AV50&lt;KMA_SOSP,IF(AA50="sí",100,KMA_PEN),IF(AV50&lt;=KMA_IDEAL_MAX,100,MAX(0,100*(KMA_CERO-AV50)/(KMA_CERO-KMA_IDEAL_MAX))))</f>
        <v/>
      </c>
      <c r="BN50" s="3">
        <f>MAX(0,MIN(100,100*(M50-ANIO_MIN)/(ANIO_ACTUAL-ANIO_MIN)))</f>
        <v/>
      </c>
      <c r="BO50" s="3">
        <f>W_KMT*BL50+W_KMA*BM50+W_EDAD*BN50</f>
        <v/>
      </c>
      <c r="BP50" s="3">
        <f>P_ITV*(V50="sí")+P_LIBRO*(W50="sí")+P_CORREA*(X50="sí")+P_PROP*(Y50=1)+P_GAR*(Z50="sí")+P_FOTOS*MIN(1,N(U50)/FOTOS_OBJ)</f>
        <v/>
      </c>
      <c r="BQ50" s="3">
        <f>IFERROR(VLOOKUP(BF50,ETQ_TBL,2,0),NEUTRO)</f>
        <v/>
      </c>
      <c r="BR50" s="3">
        <f>NEUTRO</f>
        <v/>
      </c>
      <c r="BS50" s="3">
        <f>IFERROR(VLOOKUP(L50,SEGURO_TBL,3,0),"")</f>
        <v/>
      </c>
      <c r="BT50" s="3">
        <f>IF(BS50="",NEUTRO,MAX(0,MIN(100,100*(SEG_REF_MAX-BS50)/(SEG_REF_MAX-SEG_REF_MIN))))</f>
        <v/>
      </c>
      <c r="BU50" s="3">
        <f>W_ET*BQ50+W_CONS*BR50+W_SEG*BT50</f>
        <v/>
      </c>
      <c r="BV50" s="3">
        <f>IF(N(AB50)&gt;0,AB50,IF(AND(R50="profesional",SG_LEGAL_ON=1),GAR_LEGAL,0))</f>
        <v/>
      </c>
      <c r="BW50" s="3">
        <f>SG_GAR*MIN(1,BV50/SG_GAR_FULL)+SG_AMPL*(AC50="sí")+SG_KMC*(AF50="sí")+SG_REV*(N(AE50)&gt;0)+SG_DEV*MIN(1,N(AG50)/SG_DEV_FULL)+SG_HIST*(W50="sí")</f>
        <v/>
      </c>
      <c r="BX50" s="3">
        <f>W_FIAB*BJ50+W_PRECIO*BK50+W_KMEDAD*BO50+W_ANUNCIO*BP50+W_USO*BU50+W_SEGURIDAD*BW50</f>
        <v/>
      </c>
      <c r="BY50" s="4">
        <f>IF(N(I50)&gt;0,I50,IFERROR(ROUND(_xlfn.NUMBERVALUE(LEFT(G50,FIND(" ",G50&amp;" ")-1),".")*1000,0),99999))</f>
        <v/>
      </c>
      <c r="BZ50" s="3">
        <f>IF(R50="profesional",0,IF(O50&lt;CUOTA_VALOR_MAX,IF(AU50&gt;ITP_TRAMO_ALTO,SUMIFS(CF_CUOTA,CF_MAS,ITP_TRAMO_ALTO,CF_CCMIN,"&lt;="&amp;BY50,CF_CCMAX,"&gt;="&amp;BY50),IF(AU50&gt;ITP_TRAMO_BAJO,SUMIFS(CF_CUOTA,CF_MAS,ITP_TRAMO_BAJO,CF_CCMIN,"&lt;="&amp;BY50,CF_CCMAX,"&gt;="&amp;BY50),O50*ITP_TIPO)),O50*ITP_TIPO))</f>
        <v/>
      </c>
      <c r="CA50" s="4">
        <f>IF(R50="profesional",N(AK50),0)</f>
        <v/>
      </c>
      <c r="CB50" s="3">
        <f>IF(AND(R50="profesional",ISNUMBER(AK50),AL50="sí"),0,TASA_DGT)</f>
        <v/>
      </c>
      <c r="CC50" s="3">
        <f>INFORME_DGT</f>
        <v/>
      </c>
      <c r="CD50" s="4">
        <f>O50+CA50+BZ50+CB50+CC50</f>
        <v/>
      </c>
      <c r="CE50" s="4">
        <f>CD50+N(BS50)</f>
        <v/>
      </c>
      <c r="CF50" s="3">
        <f>IF(CD50&lt;=TOTAL_MAX,"sí","no")</f>
        <v/>
      </c>
      <c r="CG50" s="4">
        <f>IF(CF50="sí",COUNTIFS($CF$2:$CF$91,"sí",$BX$2:$BX$91,"&gt;"&amp;BX50)+COUNTIFS($CF$2:CF50,"sí",$BX$2:BX50,BX50),"")</f>
        <v/>
      </c>
    </row>
    <row r="51">
      <c r="A51" s="2" t="inlineStr">
        <is>
          <t>cochesnet:71818405</t>
        </is>
      </c>
      <c r="B51" s="2" t="inlineStr">
        <is>
          <t>cochesnet</t>
        </is>
      </c>
      <c r="C51" s="2" t="inlineStr">
        <is>
          <t>https://www.coches.net/opel-corsa-cosmo-14-5p-gasolina-2010-en-valencia-71818405-covo.aspx</t>
        </is>
      </c>
      <c r="D51" s="2" t="inlineStr">
        <is>
          <t>OPEL Corsa Cosmo 1.4</t>
        </is>
      </c>
      <c r="E51" s="2" t="inlineStr">
        <is>
          <t>Opel</t>
        </is>
      </c>
      <c r="F51" s="2" t="inlineStr">
        <is>
          <t>Opel Corsa</t>
        </is>
      </c>
      <c r="G51" s="2" t="inlineStr">
        <is>
          <t>1.4</t>
        </is>
      </c>
      <c r="H51" s="2" t="inlineStr">
        <is>
          <t>Cosmo 1.4</t>
        </is>
      </c>
      <c r="I51" s="2" t="n"/>
      <c r="J51" s="2" t="n"/>
      <c r="K51" s="2" t="inlineStr">
        <is>
          <t>gasolina</t>
        </is>
      </c>
      <c r="L51" s="2" t="inlineStr">
        <is>
          <t>utilitario</t>
        </is>
      </c>
      <c r="M51" s="2" t="n">
        <v>2010</v>
      </c>
      <c r="N51" s="2" t="n">
        <v>118857</v>
      </c>
      <c r="O51" s="2" t="n">
        <v>3700</v>
      </c>
      <c r="P51" s="2" t="inlineStr">
        <is>
          <t>manual</t>
        </is>
      </c>
      <c r="Q51" s="2" t="inlineStr">
        <is>
          <t>no</t>
        </is>
      </c>
      <c r="R51" s="2" t="inlineStr">
        <is>
          <t>particular</t>
        </is>
      </c>
      <c r="S51" s="2" t="inlineStr">
        <is>
          <t>Valencia</t>
        </is>
      </c>
      <c r="T51" s="2" t="inlineStr">
        <is>
          <t>2026-10-23T16:57:52Z</t>
        </is>
      </c>
      <c r="U51" s="2" t="n">
        <v>12</v>
      </c>
      <c r="V51" s="2" t="inlineStr">
        <is>
          <t>sí</t>
        </is>
      </c>
      <c r="W51" s="2" t="n"/>
      <c r="X51" s="2" t="n"/>
      <c r="Y51" s="2" t="n"/>
      <c r="Z51" s="2" t="inlineStr">
        <is>
          <t>no</t>
        </is>
      </c>
      <c r="AA51" s="2" t="n"/>
      <c r="AB51" s="2" t="n"/>
      <c r="AC51" s="2" t="n"/>
      <c r="AD51" s="2" t="n"/>
      <c r="AE51" s="2" t="n"/>
      <c r="AF51" s="2" t="n"/>
      <c r="AG51" s="2" t="n"/>
      <c r="AH51" s="2" t="n">
        <v>3700</v>
      </c>
      <c r="AI51" s="2" t="n"/>
      <c r="AJ51" s="2" t="n"/>
      <c r="AK51" s="2" t="n"/>
      <c r="AL51" s="2" t="n"/>
      <c r="AM51" s="2" t="n">
        <v>0.1</v>
      </c>
      <c r="AN51" s="2" t="n">
        <v>4650</v>
      </c>
      <c r="AO51" s="2" t="n">
        <v>6</v>
      </c>
      <c r="AP51" s="2" t="inlineStr">
        <is>
          <t>modelo+año+km</t>
        </is>
      </c>
      <c r="AQ51" s="2" t="n"/>
      <c r="AR51" s="2" t="inlineStr">
        <is>
          <t>cuota fija ITP: &gt;12 años, hasta 1.500 cc</t>
        </is>
      </c>
      <c r="AS51" s="2" t="inlineStr">
        <is>
          <t>Lleva incorporado el parrot, perfecto para llamar por teléfonos.
ITV pasada, bloqueo de volante y etiqueta C.</t>
        </is>
      </c>
      <c r="AT51" s="2" t="inlineStr">
        <is>
          <t>https://www.coches.net/opel-corsa-cosmo-14-5p-gasolina-2010-en-valencia-71818405-covo.aspx (window.__INITIAL_PROPS__.ad) /home/user/Alopecia/buscador-coches/raw/cochesnet/7bc0a8d4e9ae401c.json</t>
        </is>
      </c>
      <c r="AU51" s="3">
        <f>MAX(ANIO_ACTUAL-M51,0)</f>
        <v/>
      </c>
      <c r="AV51" s="4">
        <f>N51/MAX(AU51,0.5)</f>
        <v/>
      </c>
      <c r="AW51" s="4">
        <f>F51</f>
        <v/>
      </c>
      <c r="AX51" s="3">
        <f>AW51&amp;"|"&amp;INT(M51/SEG_ANIO)*SEG_ANIO</f>
        <v/>
      </c>
      <c r="AY51" s="3">
        <f>AX51&amp;"|"&amp;INT(N51/SEG_KM)*SEG_KM</f>
        <v/>
      </c>
      <c r="AZ51" s="4">
        <f>COUNTIF($AW$2:$AW$91,AW51)</f>
        <v/>
      </c>
      <c r="BA51" s="4">
        <f>COUNTIF($AX$2:$AX$91,AX51)</f>
        <v/>
      </c>
      <c r="BB51" s="4">
        <f>COUNTIF($AY$2:$AY$91,AY51)</f>
        <v/>
      </c>
      <c r="BC51" s="3">
        <f t="array" ref="BC51">IF(N(AO51)&gt;=MIN_N,AN51,IF(BB51&gt;=MIN_N,MEDIAN(IF($AY$2:$AY$91=AY51,$O$2:$O$91)),IF(BA51&gt;=MIN_N,MEDIAN(IF($AX$2:$AX$91=AX51,$O$2:$O$91)),MEDIAN(IF($AW$2:$AW$91=AW51,$O$2:$O$91)))))</f>
        <v/>
      </c>
      <c r="BD51" s="3">
        <f>IF(N(AO51)&gt;=MIN_N,"mercado "&amp;AP51,IF(BB51&gt;=MIN_N,"modelo+año+km",IF(BA51&gt;=MIN_N,"modelo+año","modelo")))</f>
        <v/>
      </c>
      <c r="BE51" s="4">
        <f>(BC51-O51)/BC51</f>
        <v/>
      </c>
      <c r="BF51" s="3">
        <f>IF(OR(K51="hibrido",K51="glp"),"ECO",IF(K51="electrico","CERO",IF(K51="gasolina",IF(M51&gt;=GAS_C,"C",IF(M51&gt;=GAS_B,"B","A")),IF(K51="diesel",IF(M51&gt;=DIE_C,"C",IF(M51&gt;=DIE_B,"B","A")),""))))</f>
        <v/>
      </c>
      <c r="BG51" s="3">
        <f>IFERROR(VLOOKUP(F51,MOD_TBL,11,0),IFERROR(VLOOKUP(E51,OCU_TBL,2,0),NEUTRO))</f>
        <v/>
      </c>
      <c r="BH51" s="3">
        <f>SUMIFS(MOT_AJUSTE,MOT_MOTOR,G51,MOT_MARCA,E51,MOT_DESDE,"&lt;="&amp;M51,MOT_HASTA,"&gt;="&amp;M51)+SUMIFS(MOT_AJUSTE,MOT_MOTOR,G51,MOT_MARCA,"(todas)",MOT_DESDE,"&lt;="&amp;M51,MOT_HASTA,"&gt;="&amp;M51)</f>
        <v/>
      </c>
      <c r="BI51" s="3">
        <f>SUMIFS(COMB_AJUSTE,COMB_COMB,K51)</f>
        <v/>
      </c>
      <c r="BJ51" s="4">
        <f>MAX(0,MIN(100,BG51+BH51+BI51))</f>
        <v/>
      </c>
      <c r="BK51" s="3">
        <f>MAX(0,MIN(100,50+BE51*PRECIO_PEND))</f>
        <v/>
      </c>
      <c r="BL51" s="3">
        <f>MAX(0,100*(1-N51/KM_MAX))</f>
        <v/>
      </c>
      <c r="BM51" s="3">
        <f>IF(AV51&lt;KMA_SOSP,IF(AA51="sí",100,KMA_PEN),IF(AV51&lt;=KMA_IDEAL_MAX,100,MAX(0,100*(KMA_CERO-AV51)/(KMA_CERO-KMA_IDEAL_MAX))))</f>
        <v/>
      </c>
      <c r="BN51" s="3">
        <f>MAX(0,MIN(100,100*(M51-ANIO_MIN)/(ANIO_ACTUAL-ANIO_MIN)))</f>
        <v/>
      </c>
      <c r="BO51" s="3">
        <f>W_KMT*BL51+W_KMA*BM51+W_EDAD*BN51</f>
        <v/>
      </c>
      <c r="BP51" s="3">
        <f>P_ITV*(V51="sí")+P_LIBRO*(W51="sí")+P_CORREA*(X51="sí")+P_PROP*(Y51=1)+P_GAR*(Z51="sí")+P_FOTOS*MIN(1,N(U51)/FOTOS_OBJ)</f>
        <v/>
      </c>
      <c r="BQ51" s="3">
        <f>IFERROR(VLOOKUP(BF51,ETQ_TBL,2,0),NEUTRO)</f>
        <v/>
      </c>
      <c r="BR51" s="3">
        <f>NEUTRO</f>
        <v/>
      </c>
      <c r="BS51" s="3">
        <f>IFERROR(VLOOKUP(L51,SEGURO_TBL,3,0),"")</f>
        <v/>
      </c>
      <c r="BT51" s="3">
        <f>IF(BS51="",NEUTRO,MAX(0,MIN(100,100*(SEG_REF_MAX-BS51)/(SEG_REF_MAX-SEG_REF_MIN))))</f>
        <v/>
      </c>
      <c r="BU51" s="3">
        <f>W_ET*BQ51+W_CONS*BR51+W_SEG*BT51</f>
        <v/>
      </c>
      <c r="BV51" s="3">
        <f>IF(N(AB51)&gt;0,AB51,IF(AND(R51="profesional",SG_LEGAL_ON=1),GAR_LEGAL,0))</f>
        <v/>
      </c>
      <c r="BW51" s="3">
        <f>SG_GAR*MIN(1,BV51/SG_GAR_FULL)+SG_AMPL*(AC51="sí")+SG_KMC*(AF51="sí")+SG_REV*(N(AE51)&gt;0)+SG_DEV*MIN(1,N(AG51)/SG_DEV_FULL)+SG_HIST*(W51="sí")</f>
        <v/>
      </c>
      <c r="BX51" s="3">
        <f>W_FIAB*BJ51+W_PRECIO*BK51+W_KMEDAD*BO51+W_ANUNCIO*BP51+W_USO*BU51+W_SEGURIDAD*BW51</f>
        <v/>
      </c>
      <c r="BY51" s="4">
        <f>IF(N(I51)&gt;0,I51,IFERROR(ROUND(_xlfn.NUMBERVALUE(LEFT(G51,FIND(" ",G51&amp;" ")-1),".")*1000,0),99999))</f>
        <v/>
      </c>
      <c r="BZ51" s="3">
        <f>IF(R51="profesional",0,IF(O51&lt;CUOTA_VALOR_MAX,IF(AU51&gt;ITP_TRAMO_ALTO,SUMIFS(CF_CUOTA,CF_MAS,ITP_TRAMO_ALTO,CF_CCMIN,"&lt;="&amp;BY51,CF_CCMAX,"&gt;="&amp;BY51),IF(AU51&gt;ITP_TRAMO_BAJO,SUMIFS(CF_CUOTA,CF_MAS,ITP_TRAMO_BAJO,CF_CCMIN,"&lt;="&amp;BY51,CF_CCMAX,"&gt;="&amp;BY51),O51*ITP_TIPO)),O51*ITP_TIPO))</f>
        <v/>
      </c>
      <c r="CA51" s="4">
        <f>IF(R51="profesional",N(AK51),0)</f>
        <v/>
      </c>
      <c r="CB51" s="3">
        <f>IF(AND(R51="profesional",ISNUMBER(AK51),AL51="sí"),0,TASA_DGT)</f>
        <v/>
      </c>
      <c r="CC51" s="3">
        <f>INFORME_DGT</f>
        <v/>
      </c>
      <c r="CD51" s="4">
        <f>O51+CA51+BZ51+CB51+CC51</f>
        <v/>
      </c>
      <c r="CE51" s="4">
        <f>CD51+N(BS51)</f>
        <v/>
      </c>
      <c r="CF51" s="3">
        <f>IF(CD51&lt;=TOTAL_MAX,"sí","no")</f>
        <v/>
      </c>
      <c r="CG51" s="4">
        <f>IF(CF51="sí",COUNTIFS($CF$2:$CF$91,"sí",$BX$2:$BX$91,"&gt;"&amp;BX51)+COUNTIFS($CF$2:CF51,"sí",$BX$2:BX51,BX51),"")</f>
        <v/>
      </c>
    </row>
    <row r="52">
      <c r="A52" s="2" t="inlineStr">
        <is>
          <t>cochesnet:71729834</t>
        </is>
      </c>
      <c r="B52" s="2" t="inlineStr">
        <is>
          <t>cochesnet</t>
        </is>
      </c>
      <c r="C52" s="2" t="inlineStr">
        <is>
          <t>https://www.coches.net/opel-corsa-12-expression-start--stop-5p-gasolina-2012-en-valencia-71729834-covo.aspx</t>
        </is>
      </c>
      <c r="D52" s="2" t="inlineStr">
        <is>
          <t>OPEL Corsa 1.2 Expression Start Stop</t>
        </is>
      </c>
      <c r="E52" s="2" t="inlineStr">
        <is>
          <t>Opel</t>
        </is>
      </c>
      <c r="F52" s="2" t="inlineStr">
        <is>
          <t>Opel Corsa</t>
        </is>
      </c>
      <c r="G52" s="2" t="inlineStr">
        <is>
          <t>1.2</t>
        </is>
      </c>
      <c r="H52" s="2" t="inlineStr">
        <is>
          <t>1.2 Expression Start  Stop</t>
        </is>
      </c>
      <c r="I52" s="2" t="n"/>
      <c r="J52" s="2" t="n"/>
      <c r="K52" s="2" t="inlineStr">
        <is>
          <t>gasolina</t>
        </is>
      </c>
      <c r="L52" s="2" t="inlineStr">
        <is>
          <t>utilitario</t>
        </is>
      </c>
      <c r="M52" s="2" t="n">
        <v>2012</v>
      </c>
      <c r="N52" s="2" t="n">
        <v>166000</v>
      </c>
      <c r="O52" s="2" t="n">
        <v>4300</v>
      </c>
      <c r="P52" s="2" t="inlineStr">
        <is>
          <t>manual</t>
        </is>
      </c>
      <c r="Q52" s="2" t="inlineStr">
        <is>
          <t>no</t>
        </is>
      </c>
      <c r="R52" s="2" t="inlineStr">
        <is>
          <t>particular</t>
        </is>
      </c>
      <c r="S52" s="2" t="inlineStr">
        <is>
          <t>Valencia</t>
        </is>
      </c>
      <c r="T52" s="2" t="inlineStr">
        <is>
          <t>2026-10-13T07:31:22Z</t>
        </is>
      </c>
      <c r="U52" s="2" t="n">
        <v>4</v>
      </c>
      <c r="V52" s="2" t="n"/>
      <c r="W52" s="2" t="n"/>
      <c r="X52" s="2" t="n"/>
      <c r="Y52" s="2" t="n"/>
      <c r="Z52" s="2" t="inlineStr">
        <is>
          <t>no</t>
        </is>
      </c>
      <c r="AA52" s="2" t="n"/>
      <c r="AB52" s="2" t="n"/>
      <c r="AC52" s="2" t="n"/>
      <c r="AD52" s="2" t="n"/>
      <c r="AE52" s="2" t="n"/>
      <c r="AF52" s="2" t="n"/>
      <c r="AG52" s="2" t="n"/>
      <c r="AH52" s="2" t="n">
        <v>4300</v>
      </c>
      <c r="AI52" s="2" t="n"/>
      <c r="AJ52" s="2" t="n"/>
      <c r="AK52" s="2" t="n"/>
      <c r="AL52" s="2" t="n"/>
      <c r="AM52" s="2" t="n">
        <v>0.1</v>
      </c>
      <c r="AN52" s="2" t="n">
        <v>3500</v>
      </c>
      <c r="AO52" s="2" t="n">
        <v>7</v>
      </c>
      <c r="AP52" s="2" t="inlineStr">
        <is>
          <t>modelo+año+km</t>
        </is>
      </c>
      <c r="AQ52" s="2" t="n"/>
      <c r="AR52" s="2" t="inlineStr">
        <is>
          <t>cuota fija ITP: &gt;12 años, hasta 1.500 cc</t>
        </is>
      </c>
      <c r="AS52" s="2" t="inlineStr">
        <is>
          <t>Revisión mecánica al día yneumáticos cambiados recientemente</t>
        </is>
      </c>
      <c r="AT52" s="2" t="inlineStr">
        <is>
          <t>https://www.coches.net/opel-corsa-12-expression-start--stop-5p-gasolina-2012-en-valencia-71729834-covo.aspx (window.__INITIAL_PROPS__.ad) /home/user/Alopecia/buscador-coches/raw/cochesnet/3b6a5f8f4f22e958.json</t>
        </is>
      </c>
      <c r="AU52" s="3">
        <f>MAX(ANIO_ACTUAL-M52,0)</f>
        <v/>
      </c>
      <c r="AV52" s="4">
        <f>N52/MAX(AU52,0.5)</f>
        <v/>
      </c>
      <c r="AW52" s="4">
        <f>F52</f>
        <v/>
      </c>
      <c r="AX52" s="3">
        <f>AW52&amp;"|"&amp;INT(M52/SEG_ANIO)*SEG_ANIO</f>
        <v/>
      </c>
      <c r="AY52" s="3">
        <f>AX52&amp;"|"&amp;INT(N52/SEG_KM)*SEG_KM</f>
        <v/>
      </c>
      <c r="AZ52" s="4">
        <f>COUNTIF($AW$2:$AW$91,AW52)</f>
        <v/>
      </c>
      <c r="BA52" s="4">
        <f>COUNTIF($AX$2:$AX$91,AX52)</f>
        <v/>
      </c>
      <c r="BB52" s="4">
        <f>COUNTIF($AY$2:$AY$91,AY52)</f>
        <v/>
      </c>
      <c r="BC52" s="3">
        <f t="array" ref="BC52">IF(N(AO52)&gt;=MIN_N,AN52,IF(BB52&gt;=MIN_N,MEDIAN(IF($AY$2:$AY$91=AY52,$O$2:$O$91)),IF(BA52&gt;=MIN_N,MEDIAN(IF($AX$2:$AX$91=AX52,$O$2:$O$91)),MEDIAN(IF($AW$2:$AW$91=AW52,$O$2:$O$91)))))</f>
        <v/>
      </c>
      <c r="BD52" s="3">
        <f>IF(N(AO52)&gt;=MIN_N,"mercado "&amp;AP52,IF(BB52&gt;=MIN_N,"modelo+año+km",IF(BA52&gt;=MIN_N,"modelo+año","modelo")))</f>
        <v/>
      </c>
      <c r="BE52" s="4">
        <f>(BC52-O52)/BC52</f>
        <v/>
      </c>
      <c r="BF52" s="3">
        <f>IF(OR(K52="hibrido",K52="glp"),"ECO",IF(K52="electrico","CERO",IF(K52="gasolina",IF(M52&gt;=GAS_C,"C",IF(M52&gt;=GAS_B,"B","A")),IF(K52="diesel",IF(M52&gt;=DIE_C,"C",IF(M52&gt;=DIE_B,"B","A")),""))))</f>
        <v/>
      </c>
      <c r="BG52" s="3">
        <f>IFERROR(VLOOKUP(F52,MOD_TBL,11,0),IFERROR(VLOOKUP(E52,OCU_TBL,2,0),NEUTRO))</f>
        <v/>
      </c>
      <c r="BH52" s="3">
        <f>SUMIFS(MOT_AJUSTE,MOT_MOTOR,G52,MOT_MARCA,E52,MOT_DESDE,"&lt;="&amp;M52,MOT_HASTA,"&gt;="&amp;M52)+SUMIFS(MOT_AJUSTE,MOT_MOTOR,G52,MOT_MARCA,"(todas)",MOT_DESDE,"&lt;="&amp;M52,MOT_HASTA,"&gt;="&amp;M52)</f>
        <v/>
      </c>
      <c r="BI52" s="3">
        <f>SUMIFS(COMB_AJUSTE,COMB_COMB,K52)</f>
        <v/>
      </c>
      <c r="BJ52" s="4">
        <f>MAX(0,MIN(100,BG52+BH52+BI52))</f>
        <v/>
      </c>
      <c r="BK52" s="3">
        <f>MAX(0,MIN(100,50+BE52*PRECIO_PEND))</f>
        <v/>
      </c>
      <c r="BL52" s="3">
        <f>MAX(0,100*(1-N52/KM_MAX))</f>
        <v/>
      </c>
      <c r="BM52" s="3">
        <f>IF(AV52&lt;KMA_SOSP,IF(AA52="sí",100,KMA_PEN),IF(AV52&lt;=KMA_IDEAL_MAX,100,MAX(0,100*(KMA_CERO-AV52)/(KMA_CERO-KMA_IDEAL_MAX))))</f>
        <v/>
      </c>
      <c r="BN52" s="3">
        <f>MAX(0,MIN(100,100*(M52-ANIO_MIN)/(ANIO_ACTUAL-ANIO_MIN)))</f>
        <v/>
      </c>
      <c r="BO52" s="3">
        <f>W_KMT*BL52+W_KMA*BM52+W_EDAD*BN52</f>
        <v/>
      </c>
      <c r="BP52" s="3">
        <f>P_ITV*(V52="sí")+P_LIBRO*(W52="sí")+P_CORREA*(X52="sí")+P_PROP*(Y52=1)+P_GAR*(Z52="sí")+P_FOTOS*MIN(1,N(U52)/FOTOS_OBJ)</f>
        <v/>
      </c>
      <c r="BQ52" s="3">
        <f>IFERROR(VLOOKUP(BF52,ETQ_TBL,2,0),NEUTRO)</f>
        <v/>
      </c>
      <c r="BR52" s="3">
        <f>NEUTRO</f>
        <v/>
      </c>
      <c r="BS52" s="3">
        <f>IFERROR(VLOOKUP(L52,SEGURO_TBL,3,0),"")</f>
        <v/>
      </c>
      <c r="BT52" s="3">
        <f>IF(BS52="",NEUTRO,MAX(0,MIN(100,100*(SEG_REF_MAX-BS52)/(SEG_REF_MAX-SEG_REF_MIN))))</f>
        <v/>
      </c>
      <c r="BU52" s="3">
        <f>W_ET*BQ52+W_CONS*BR52+W_SEG*BT52</f>
        <v/>
      </c>
      <c r="BV52" s="3">
        <f>IF(N(AB52)&gt;0,AB52,IF(AND(R52="profesional",SG_LEGAL_ON=1),GAR_LEGAL,0))</f>
        <v/>
      </c>
      <c r="BW52" s="3">
        <f>SG_GAR*MIN(1,BV52/SG_GAR_FULL)+SG_AMPL*(AC52="sí")+SG_KMC*(AF52="sí")+SG_REV*(N(AE52)&gt;0)+SG_DEV*MIN(1,N(AG52)/SG_DEV_FULL)+SG_HIST*(W52="sí")</f>
        <v/>
      </c>
      <c r="BX52" s="3">
        <f>W_FIAB*BJ52+W_PRECIO*BK52+W_KMEDAD*BO52+W_ANUNCIO*BP52+W_USO*BU52+W_SEGURIDAD*BW52</f>
        <v/>
      </c>
      <c r="BY52" s="4">
        <f>IF(N(I52)&gt;0,I52,IFERROR(ROUND(_xlfn.NUMBERVALUE(LEFT(G52,FIND(" ",G52&amp;" ")-1),".")*1000,0),99999))</f>
        <v/>
      </c>
      <c r="BZ52" s="3">
        <f>IF(R52="profesional",0,IF(O52&lt;CUOTA_VALOR_MAX,IF(AU52&gt;ITP_TRAMO_ALTO,SUMIFS(CF_CUOTA,CF_MAS,ITP_TRAMO_ALTO,CF_CCMIN,"&lt;="&amp;BY52,CF_CCMAX,"&gt;="&amp;BY52),IF(AU52&gt;ITP_TRAMO_BAJO,SUMIFS(CF_CUOTA,CF_MAS,ITP_TRAMO_BAJO,CF_CCMIN,"&lt;="&amp;BY52,CF_CCMAX,"&gt;="&amp;BY52),O52*ITP_TIPO)),O52*ITP_TIPO))</f>
        <v/>
      </c>
      <c r="CA52" s="4">
        <f>IF(R52="profesional",N(AK52),0)</f>
        <v/>
      </c>
      <c r="CB52" s="3">
        <f>IF(AND(R52="profesional",ISNUMBER(AK52),AL52="sí"),0,TASA_DGT)</f>
        <v/>
      </c>
      <c r="CC52" s="3">
        <f>INFORME_DGT</f>
        <v/>
      </c>
      <c r="CD52" s="4">
        <f>O52+CA52+BZ52+CB52+CC52</f>
        <v/>
      </c>
      <c r="CE52" s="4">
        <f>CD52+N(BS52)</f>
        <v/>
      </c>
      <c r="CF52" s="3">
        <f>IF(CD52&lt;=TOTAL_MAX,"sí","no")</f>
        <v/>
      </c>
      <c r="CG52" s="4">
        <f>IF(CF52="sí",COUNTIFS($CF$2:$CF$91,"sí",$BX$2:$BX$91,"&gt;"&amp;BX52)+COUNTIFS($CF$2:CF52,"sí",$BX$2:BX52,BX52),"")</f>
        <v/>
      </c>
    </row>
    <row r="53">
      <c r="A53" s="2" t="inlineStr">
        <is>
          <t>cochesnet:71625576</t>
        </is>
      </c>
      <c r="B53" s="2" t="inlineStr">
        <is>
          <t>cochesnet</t>
        </is>
      </c>
      <c r="C53" s="2" t="inlineStr">
        <is>
          <t>https://www.coches.net/opel-corsa-10-essentia-3p-gasolina-2011-en-valencia-71625576-covo.aspx</t>
        </is>
      </c>
      <c r="D53" s="2" t="inlineStr">
        <is>
          <t>OPEL Corsa 1.0 Essentia</t>
        </is>
      </c>
      <c r="E53" s="2" t="inlineStr">
        <is>
          <t>Opel</t>
        </is>
      </c>
      <c r="F53" s="2" t="inlineStr">
        <is>
          <t>Opel Corsa</t>
        </is>
      </c>
      <c r="G53" s="2" t="inlineStr">
        <is>
          <t>1.0</t>
        </is>
      </c>
      <c r="H53" s="2" t="inlineStr">
        <is>
          <t>1.0 Essentia</t>
        </is>
      </c>
      <c r="I53" s="2" t="n"/>
      <c r="J53" s="2" t="n"/>
      <c r="K53" s="2" t="inlineStr">
        <is>
          <t>gasolina</t>
        </is>
      </c>
      <c r="L53" s="2" t="inlineStr">
        <is>
          <t>utilitario</t>
        </is>
      </c>
      <c r="M53" s="2" t="n">
        <v>2010</v>
      </c>
      <c r="N53" s="2" t="n">
        <v>205000</v>
      </c>
      <c r="O53" s="2" t="n">
        <v>3990</v>
      </c>
      <c r="P53" s="2" t="inlineStr">
        <is>
          <t>manual</t>
        </is>
      </c>
      <c r="Q53" s="2" t="inlineStr">
        <is>
          <t>no</t>
        </is>
      </c>
      <c r="R53" s="2" t="inlineStr">
        <is>
          <t>profesional</t>
        </is>
      </c>
      <c r="S53" s="2" t="inlineStr">
        <is>
          <t>Fos Motor Valencia</t>
        </is>
      </c>
      <c r="T53" s="2" t="inlineStr">
        <is>
          <t>2026-09-29T16:17:21Z</t>
        </is>
      </c>
      <c r="U53" s="2" t="n">
        <v>11</v>
      </c>
      <c r="V53" s="2" t="n"/>
      <c r="W53" s="2" t="n"/>
      <c r="X53" s="2" t="n"/>
      <c r="Y53" s="2" t="n"/>
      <c r="Z53" s="2" t="inlineStr">
        <is>
          <t>sí</t>
        </is>
      </c>
      <c r="AA53" s="2" t="n"/>
      <c r="AB53" s="2" t="n">
        <v>12</v>
      </c>
      <c r="AC53" s="2" t="n"/>
      <c r="AD53" s="2" t="n"/>
      <c r="AE53" s="2" t="n"/>
      <c r="AF53" s="2" t="inlineStr">
        <is>
          <t>sí</t>
        </is>
      </c>
      <c r="AG53" s="2" t="n"/>
      <c r="AH53" s="2" t="n">
        <v>3990</v>
      </c>
      <c r="AI53" s="2" t="n">
        <v>3990</v>
      </c>
      <c r="AJ53" s="2" t="n"/>
      <c r="AK53" s="2" t="n"/>
      <c r="AL53" s="2" t="n"/>
      <c r="AM53" s="2" t="n">
        <v>0.1</v>
      </c>
      <c r="AN53" s="2" t="n">
        <v>2990</v>
      </c>
      <c r="AO53" s="2" t="n">
        <v>4</v>
      </c>
      <c r="AP53" s="2" t="inlineStr">
        <is>
          <t>modelo+año+km</t>
        </is>
      </c>
      <c r="AQ53" s="2" t="n"/>
      <c r="AR53" s="2" t="inlineStr">
        <is>
          <t>vendedor profesional: sin ITP (operación con IVA/REBU, confirmar en factura); gastos de gestión del vendedor no indicados: se suma la tasa DGT; preguntar el precio final</t>
        </is>
      </c>
      <c r="AS53"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AT53" s="2" t="inlineStr">
        <is>
          <t>https://www.coches.net/opel-corsa-10-essentia-3p-gasolina-2011-en-valencia-71625576-covo.aspx (window.__INITIAL_PROPS__.ad) /home/user/Alopecia/buscador-coches/raw/cochesnet/25f38d7266968fd1.json</t>
        </is>
      </c>
      <c r="AU53" s="3">
        <f>MAX(ANIO_ACTUAL-M53,0)</f>
        <v/>
      </c>
      <c r="AV53" s="4">
        <f>N53/MAX(AU53,0.5)</f>
        <v/>
      </c>
      <c r="AW53" s="4">
        <f>F53</f>
        <v/>
      </c>
      <c r="AX53" s="3">
        <f>AW53&amp;"|"&amp;INT(M53/SEG_ANIO)*SEG_ANIO</f>
        <v/>
      </c>
      <c r="AY53" s="3">
        <f>AX53&amp;"|"&amp;INT(N53/SEG_KM)*SEG_KM</f>
        <v/>
      </c>
      <c r="AZ53" s="4">
        <f>COUNTIF($AW$2:$AW$91,AW53)</f>
        <v/>
      </c>
      <c r="BA53" s="4">
        <f>COUNTIF($AX$2:$AX$91,AX53)</f>
        <v/>
      </c>
      <c r="BB53" s="4">
        <f>COUNTIF($AY$2:$AY$91,AY53)</f>
        <v/>
      </c>
      <c r="BC53" s="3">
        <f t="array" ref="BC53">IF(N(AO53)&gt;=MIN_N,AN53,IF(BB53&gt;=MIN_N,MEDIAN(IF($AY$2:$AY$91=AY53,$O$2:$O$91)),IF(BA53&gt;=MIN_N,MEDIAN(IF($AX$2:$AX$91=AX53,$O$2:$O$91)),MEDIAN(IF($AW$2:$AW$91=AW53,$O$2:$O$91)))))</f>
        <v/>
      </c>
      <c r="BD53" s="3">
        <f>IF(N(AO53)&gt;=MIN_N,"mercado "&amp;AP53,IF(BB53&gt;=MIN_N,"modelo+año+km",IF(BA53&gt;=MIN_N,"modelo+año","modelo")))</f>
        <v/>
      </c>
      <c r="BE53" s="4">
        <f>(BC53-O53)/BC53</f>
        <v/>
      </c>
      <c r="BF53" s="3">
        <f>IF(OR(K53="hibrido",K53="glp"),"ECO",IF(K53="electrico","CERO",IF(K53="gasolina",IF(M53&gt;=GAS_C,"C",IF(M53&gt;=GAS_B,"B","A")),IF(K53="diesel",IF(M53&gt;=DIE_C,"C",IF(M53&gt;=DIE_B,"B","A")),""))))</f>
        <v/>
      </c>
      <c r="BG53" s="3">
        <f>IFERROR(VLOOKUP(F53,MOD_TBL,11,0),IFERROR(VLOOKUP(E53,OCU_TBL,2,0),NEUTRO))</f>
        <v/>
      </c>
      <c r="BH53" s="3">
        <f>SUMIFS(MOT_AJUSTE,MOT_MOTOR,G53,MOT_MARCA,E53,MOT_DESDE,"&lt;="&amp;M53,MOT_HASTA,"&gt;="&amp;M53)+SUMIFS(MOT_AJUSTE,MOT_MOTOR,G53,MOT_MARCA,"(todas)",MOT_DESDE,"&lt;="&amp;M53,MOT_HASTA,"&gt;="&amp;M53)</f>
        <v/>
      </c>
      <c r="BI53" s="3">
        <f>SUMIFS(COMB_AJUSTE,COMB_COMB,K53)</f>
        <v/>
      </c>
      <c r="BJ53" s="4">
        <f>MAX(0,MIN(100,BG53+BH53+BI53))</f>
        <v/>
      </c>
      <c r="BK53" s="3">
        <f>MAX(0,MIN(100,50+BE53*PRECIO_PEND))</f>
        <v/>
      </c>
      <c r="BL53" s="3">
        <f>MAX(0,100*(1-N53/KM_MAX))</f>
        <v/>
      </c>
      <c r="BM53" s="3">
        <f>IF(AV53&lt;KMA_SOSP,IF(AA53="sí",100,KMA_PEN),IF(AV53&lt;=KMA_IDEAL_MAX,100,MAX(0,100*(KMA_CERO-AV53)/(KMA_CERO-KMA_IDEAL_MAX))))</f>
        <v/>
      </c>
      <c r="BN53" s="3">
        <f>MAX(0,MIN(100,100*(M53-ANIO_MIN)/(ANIO_ACTUAL-ANIO_MIN)))</f>
        <v/>
      </c>
      <c r="BO53" s="3">
        <f>W_KMT*BL53+W_KMA*BM53+W_EDAD*BN53</f>
        <v/>
      </c>
      <c r="BP53" s="3">
        <f>P_ITV*(V53="sí")+P_LIBRO*(W53="sí")+P_CORREA*(X53="sí")+P_PROP*(Y53=1)+P_GAR*(Z53="sí")+P_FOTOS*MIN(1,N(U53)/FOTOS_OBJ)</f>
        <v/>
      </c>
      <c r="BQ53" s="3">
        <f>IFERROR(VLOOKUP(BF53,ETQ_TBL,2,0),NEUTRO)</f>
        <v/>
      </c>
      <c r="BR53" s="3">
        <f>NEUTRO</f>
        <v/>
      </c>
      <c r="BS53" s="3">
        <f>IFERROR(VLOOKUP(L53,SEGURO_TBL,3,0),"")</f>
        <v/>
      </c>
      <c r="BT53" s="3">
        <f>IF(BS53="",NEUTRO,MAX(0,MIN(100,100*(SEG_REF_MAX-BS53)/(SEG_REF_MAX-SEG_REF_MIN))))</f>
        <v/>
      </c>
      <c r="BU53" s="3">
        <f>W_ET*BQ53+W_CONS*BR53+W_SEG*BT53</f>
        <v/>
      </c>
      <c r="BV53" s="3">
        <f>IF(N(AB53)&gt;0,AB53,IF(AND(R53="profesional",SG_LEGAL_ON=1),GAR_LEGAL,0))</f>
        <v/>
      </c>
      <c r="BW53" s="3">
        <f>SG_GAR*MIN(1,BV53/SG_GAR_FULL)+SG_AMPL*(AC53="sí")+SG_KMC*(AF53="sí")+SG_REV*(N(AE53)&gt;0)+SG_DEV*MIN(1,N(AG53)/SG_DEV_FULL)+SG_HIST*(W53="sí")</f>
        <v/>
      </c>
      <c r="BX53" s="3">
        <f>W_FIAB*BJ53+W_PRECIO*BK53+W_KMEDAD*BO53+W_ANUNCIO*BP53+W_USO*BU53+W_SEGURIDAD*BW53</f>
        <v/>
      </c>
      <c r="BY53" s="4">
        <f>IF(N(I53)&gt;0,I53,IFERROR(ROUND(_xlfn.NUMBERVALUE(LEFT(G53,FIND(" ",G53&amp;" ")-1),".")*1000,0),99999))</f>
        <v/>
      </c>
      <c r="BZ53" s="3">
        <f>IF(R53="profesional",0,IF(O53&lt;CUOTA_VALOR_MAX,IF(AU53&gt;ITP_TRAMO_ALTO,SUMIFS(CF_CUOTA,CF_MAS,ITP_TRAMO_ALTO,CF_CCMIN,"&lt;="&amp;BY53,CF_CCMAX,"&gt;="&amp;BY53),IF(AU53&gt;ITP_TRAMO_BAJO,SUMIFS(CF_CUOTA,CF_MAS,ITP_TRAMO_BAJO,CF_CCMIN,"&lt;="&amp;BY53,CF_CCMAX,"&gt;="&amp;BY53),O53*ITP_TIPO)),O53*ITP_TIPO))</f>
        <v/>
      </c>
      <c r="CA53" s="4">
        <f>IF(R53="profesional",N(AK53),0)</f>
        <v/>
      </c>
      <c r="CB53" s="3">
        <f>IF(AND(R53="profesional",ISNUMBER(AK53),AL53="sí"),0,TASA_DGT)</f>
        <v/>
      </c>
      <c r="CC53" s="3">
        <f>INFORME_DGT</f>
        <v/>
      </c>
      <c r="CD53" s="4">
        <f>O53+CA53+BZ53+CB53+CC53</f>
        <v/>
      </c>
      <c r="CE53" s="4">
        <f>CD53+N(BS53)</f>
        <v/>
      </c>
      <c r="CF53" s="3">
        <f>IF(CD53&lt;=TOTAL_MAX,"sí","no")</f>
        <v/>
      </c>
      <c r="CG53" s="4">
        <f>IF(CF53="sí",COUNTIFS($CF$2:$CF$91,"sí",$BX$2:$BX$91,"&gt;"&amp;BX53)+COUNTIFS($CF$2:CF53,"sí",$BX$2:BX53,BX53),"")</f>
        <v/>
      </c>
    </row>
    <row r="54">
      <c r="A54" s="2" t="inlineStr">
        <is>
          <t>cochesnet:71686433</t>
        </is>
      </c>
      <c r="B54" s="2" t="inlineStr">
        <is>
          <t>cochesnet</t>
        </is>
      </c>
      <c r="C54" s="2" t="inlineStr">
        <is>
          <t>https://www.coches.net/opel-corsa-14-selective-start--stop-5p-gasolina-2014-en-valencia-71686433-covo.aspx</t>
        </is>
      </c>
      <c r="D54" s="2" t="inlineStr">
        <is>
          <t>OPEL Corsa 1.4 Selective Start Stop</t>
        </is>
      </c>
      <c r="E54" s="2" t="inlineStr">
        <is>
          <t>Opel</t>
        </is>
      </c>
      <c r="F54" s="2" t="inlineStr">
        <is>
          <t>Opel Corsa</t>
        </is>
      </c>
      <c r="G54" s="2" t="inlineStr">
        <is>
          <t>1.4</t>
        </is>
      </c>
      <c r="H54" s="2" t="inlineStr">
        <is>
          <t>1.4 Selective Start  Stop</t>
        </is>
      </c>
      <c r="I54" s="2" t="n"/>
      <c r="J54" s="2" t="n"/>
      <c r="K54" s="2" t="inlineStr">
        <is>
          <t>gasolina</t>
        </is>
      </c>
      <c r="L54" s="2" t="inlineStr">
        <is>
          <t>utilitario</t>
        </is>
      </c>
      <c r="M54" s="2" t="n">
        <v>2014</v>
      </c>
      <c r="N54" s="2" t="n">
        <v>215000</v>
      </c>
      <c r="O54" s="2" t="n">
        <v>3950</v>
      </c>
      <c r="P54" s="2" t="inlineStr">
        <is>
          <t>manual</t>
        </is>
      </c>
      <c r="Q54" s="2" t="inlineStr">
        <is>
          <t>no</t>
        </is>
      </c>
      <c r="R54" s="2" t="inlineStr">
        <is>
          <t>particular</t>
        </is>
      </c>
      <c r="S54" s="2" t="inlineStr">
        <is>
          <t>Paterna</t>
        </is>
      </c>
      <c r="T54" s="2" t="inlineStr">
        <is>
          <t>2026-10-06T15:44:23Z</t>
        </is>
      </c>
      <c r="U54" s="2" t="n">
        <v>9</v>
      </c>
      <c r="V54" s="2" t="inlineStr">
        <is>
          <t>sí</t>
        </is>
      </c>
      <c r="W54" s="2" t="inlineStr">
        <is>
          <t>sí</t>
        </is>
      </c>
      <c r="X54" s="2" t="n"/>
      <c r="Y54" s="2" t="n"/>
      <c r="Z54" s="2" t="inlineStr">
        <is>
          <t>no</t>
        </is>
      </c>
      <c r="AA54" s="2" t="n"/>
      <c r="AB54" s="2" t="n"/>
      <c r="AC54" s="2" t="n"/>
      <c r="AD54" s="2" t="n"/>
      <c r="AE54" s="2" t="n"/>
      <c r="AF54" s="2" t="n"/>
      <c r="AG54" s="2" t="n"/>
      <c r="AH54" s="2" t="n">
        <v>3950</v>
      </c>
      <c r="AI54" s="2" t="n"/>
      <c r="AJ54" s="2" t="n"/>
      <c r="AK54" s="2" t="n"/>
      <c r="AL54" s="2" t="n"/>
      <c r="AM54" s="2" t="n">
        <v>6.8</v>
      </c>
      <c r="AN54" s="2" t="n">
        <v>4490</v>
      </c>
      <c r="AO54" s="2" t="n">
        <v>7</v>
      </c>
      <c r="AP54" s="2" t="inlineStr">
        <is>
          <t>modelo+año+km</t>
        </is>
      </c>
      <c r="AQ54" s="2" t="n"/>
      <c r="AR54" s="2" t="inlineStr">
        <is>
          <t>cuota fija ITP: &gt;5 y &lt;=12 años, hasta 1.500 cc</t>
        </is>
      </c>
      <c r="AS54" s="2" t="inlineStr">
        <is>
          <t>OPEL CORSA 2014 – PERSONALIZADO Y CON MANTENIMIENTO AL DÍA ??
¿Buscas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
?? MANTENIMIENTO COMPLETO Y RECIENTE:
El coche se ha mantenido rigurosamente al día. Cuenta con:
• ITV RECIÉN PASADA: Totalmente al día y válida hasta junio del año que viene.
• Revisión mecánica reciente: Aceite y todos los filtros recién cambiados.
• Frenos: Pastillas de freno totalmente nuevas.
• Renovación de ópticas: Todas las luces de los faros, tanto delanteras como traseras, se acaban de cambiar por completo.
• Estética: Matrículas recién cambiadas de las antiguas metálicas a unas nuevas de metacrilato, mucho más modernas.
?? EXTRAS EXCLUSIVOS AÑADIDOS:
Este coche destaca por su personalización tanto en rendimiento como en estética:
• ILUMINACIÓN: Faros delanteros con bombillas LED H7 HOMOLOGADAS (pasan ITV sin problemas y ofrecen una visibilidad nocturna espectacular).
• MULTIMEDIA Y SONIDO: Pantalla con conexión Bluetooth instantánea (conecta al momento). Además, se ha cambiado y mejorado por completo el equipo de música y los altavoces para una calidad de audio limpia y potente.
• RENDIMIENTO: Filtro de aire cilíndrico de alto flujo y tubo de escape especial que le da un toque extra de personalidad.
• E</t>
        </is>
      </c>
      <c r="AT54" s="2" t="inlineStr">
        <is>
          <t>https://www.coches.net/opel-corsa-14-selective-start--stop-5p-gasolina-2014-en-valencia-71686433-covo.aspx (window.__INITIAL_PROPS__.ad) /home/user/Alopecia/buscador-coches/raw/cochesnet/0f18ff75809ca372.json</t>
        </is>
      </c>
      <c r="AU54" s="3">
        <f>MAX(ANIO_ACTUAL-M54,0)</f>
        <v/>
      </c>
      <c r="AV54" s="4">
        <f>N54/MAX(AU54,0.5)</f>
        <v/>
      </c>
      <c r="AW54" s="4">
        <f>F54</f>
        <v/>
      </c>
      <c r="AX54" s="3">
        <f>AW54&amp;"|"&amp;INT(M54/SEG_ANIO)*SEG_ANIO</f>
        <v/>
      </c>
      <c r="AY54" s="3">
        <f>AX54&amp;"|"&amp;INT(N54/SEG_KM)*SEG_KM</f>
        <v/>
      </c>
      <c r="AZ54" s="4">
        <f>COUNTIF($AW$2:$AW$91,AW54)</f>
        <v/>
      </c>
      <c r="BA54" s="4">
        <f>COUNTIF($AX$2:$AX$91,AX54)</f>
        <v/>
      </c>
      <c r="BB54" s="4">
        <f>COUNTIF($AY$2:$AY$91,AY54)</f>
        <v/>
      </c>
      <c r="BC54" s="3">
        <f t="array" ref="BC54">IF(N(AO54)&gt;=MIN_N,AN54,IF(BB54&gt;=MIN_N,MEDIAN(IF($AY$2:$AY$91=AY54,$O$2:$O$91)),IF(BA54&gt;=MIN_N,MEDIAN(IF($AX$2:$AX$91=AX54,$O$2:$O$91)),MEDIAN(IF($AW$2:$AW$91=AW54,$O$2:$O$91)))))</f>
        <v/>
      </c>
      <c r="BD54" s="3">
        <f>IF(N(AO54)&gt;=MIN_N,"mercado "&amp;AP54,IF(BB54&gt;=MIN_N,"modelo+año+km",IF(BA54&gt;=MIN_N,"modelo+año","modelo")))</f>
        <v/>
      </c>
      <c r="BE54" s="4">
        <f>(BC54-O54)/BC54</f>
        <v/>
      </c>
      <c r="BF54" s="3">
        <f>IF(OR(K54="hibrido",K54="glp"),"ECO",IF(K54="electrico","CERO",IF(K54="gasolina",IF(M54&gt;=GAS_C,"C",IF(M54&gt;=GAS_B,"B","A")),IF(K54="diesel",IF(M54&gt;=DIE_C,"C",IF(M54&gt;=DIE_B,"B","A")),""))))</f>
        <v/>
      </c>
      <c r="BG54" s="3">
        <f>IFERROR(VLOOKUP(F54,MOD_TBL,11,0),IFERROR(VLOOKUP(E54,OCU_TBL,2,0),NEUTRO))</f>
        <v/>
      </c>
      <c r="BH54" s="3">
        <f>SUMIFS(MOT_AJUSTE,MOT_MOTOR,G54,MOT_MARCA,E54,MOT_DESDE,"&lt;="&amp;M54,MOT_HASTA,"&gt;="&amp;M54)+SUMIFS(MOT_AJUSTE,MOT_MOTOR,G54,MOT_MARCA,"(todas)",MOT_DESDE,"&lt;="&amp;M54,MOT_HASTA,"&gt;="&amp;M54)</f>
        <v/>
      </c>
      <c r="BI54" s="3">
        <f>SUMIFS(COMB_AJUSTE,COMB_COMB,K54)</f>
        <v/>
      </c>
      <c r="BJ54" s="4">
        <f>MAX(0,MIN(100,BG54+BH54+BI54))</f>
        <v/>
      </c>
      <c r="BK54" s="3">
        <f>MAX(0,MIN(100,50+BE54*PRECIO_PEND))</f>
        <v/>
      </c>
      <c r="BL54" s="3">
        <f>MAX(0,100*(1-N54/KM_MAX))</f>
        <v/>
      </c>
      <c r="BM54" s="3">
        <f>IF(AV54&lt;KMA_SOSP,IF(AA54="sí",100,KMA_PEN),IF(AV54&lt;=KMA_IDEAL_MAX,100,MAX(0,100*(KMA_CERO-AV54)/(KMA_CERO-KMA_IDEAL_MAX))))</f>
        <v/>
      </c>
      <c r="BN54" s="3">
        <f>MAX(0,MIN(100,100*(M54-ANIO_MIN)/(ANIO_ACTUAL-ANIO_MIN)))</f>
        <v/>
      </c>
      <c r="BO54" s="3">
        <f>W_KMT*BL54+W_KMA*BM54+W_EDAD*BN54</f>
        <v/>
      </c>
      <c r="BP54" s="3">
        <f>P_ITV*(V54="sí")+P_LIBRO*(W54="sí")+P_CORREA*(X54="sí")+P_PROP*(Y54=1)+P_GAR*(Z54="sí")+P_FOTOS*MIN(1,N(U54)/FOTOS_OBJ)</f>
        <v/>
      </c>
      <c r="BQ54" s="3">
        <f>IFERROR(VLOOKUP(BF54,ETQ_TBL,2,0),NEUTRO)</f>
        <v/>
      </c>
      <c r="BR54" s="3">
        <f>NEUTRO</f>
        <v/>
      </c>
      <c r="BS54" s="3">
        <f>IFERROR(VLOOKUP(L54,SEGURO_TBL,3,0),"")</f>
        <v/>
      </c>
      <c r="BT54" s="3">
        <f>IF(BS54="",NEUTRO,MAX(0,MIN(100,100*(SEG_REF_MAX-BS54)/(SEG_REF_MAX-SEG_REF_MIN))))</f>
        <v/>
      </c>
      <c r="BU54" s="3">
        <f>W_ET*BQ54+W_CONS*BR54+W_SEG*BT54</f>
        <v/>
      </c>
      <c r="BV54" s="3">
        <f>IF(N(AB54)&gt;0,AB54,IF(AND(R54="profesional",SG_LEGAL_ON=1),GAR_LEGAL,0))</f>
        <v/>
      </c>
      <c r="BW54" s="3">
        <f>SG_GAR*MIN(1,BV54/SG_GAR_FULL)+SG_AMPL*(AC54="sí")+SG_KMC*(AF54="sí")+SG_REV*(N(AE54)&gt;0)+SG_DEV*MIN(1,N(AG54)/SG_DEV_FULL)+SG_HIST*(W54="sí")</f>
        <v/>
      </c>
      <c r="BX54" s="3">
        <f>W_FIAB*BJ54+W_PRECIO*BK54+W_KMEDAD*BO54+W_ANUNCIO*BP54+W_USO*BU54+W_SEGURIDAD*BW54</f>
        <v/>
      </c>
      <c r="BY54" s="4">
        <f>IF(N(I54)&gt;0,I54,IFERROR(ROUND(_xlfn.NUMBERVALUE(LEFT(G54,FIND(" ",G54&amp;" ")-1),".")*1000,0),99999))</f>
        <v/>
      </c>
      <c r="BZ54" s="3">
        <f>IF(R54="profesional",0,IF(O54&lt;CUOTA_VALOR_MAX,IF(AU54&gt;ITP_TRAMO_ALTO,SUMIFS(CF_CUOTA,CF_MAS,ITP_TRAMO_ALTO,CF_CCMIN,"&lt;="&amp;BY54,CF_CCMAX,"&gt;="&amp;BY54),IF(AU54&gt;ITP_TRAMO_BAJO,SUMIFS(CF_CUOTA,CF_MAS,ITP_TRAMO_BAJO,CF_CCMIN,"&lt;="&amp;BY54,CF_CCMAX,"&gt;="&amp;BY54),O54*ITP_TIPO)),O54*ITP_TIPO))</f>
        <v/>
      </c>
      <c r="CA54" s="4">
        <f>IF(R54="profesional",N(AK54),0)</f>
        <v/>
      </c>
      <c r="CB54" s="3">
        <f>IF(AND(R54="profesional",ISNUMBER(AK54),AL54="sí"),0,TASA_DGT)</f>
        <v/>
      </c>
      <c r="CC54" s="3">
        <f>INFORME_DGT</f>
        <v/>
      </c>
      <c r="CD54" s="4">
        <f>O54+CA54+BZ54+CB54+CC54</f>
        <v/>
      </c>
      <c r="CE54" s="4">
        <f>CD54+N(BS54)</f>
        <v/>
      </c>
      <c r="CF54" s="3">
        <f>IF(CD54&lt;=TOTAL_MAX,"sí","no")</f>
        <v/>
      </c>
      <c r="CG54" s="4">
        <f>IF(CF54="sí",COUNTIFS($CF$2:$CF$91,"sí",$BX$2:$BX$91,"&gt;"&amp;BX54)+COUNTIFS($CF$2:CF54,"sí",$BX$2:BX54,BX54),"")</f>
        <v/>
      </c>
    </row>
    <row r="55">
      <c r="A55" s="2" t="inlineStr">
        <is>
          <t>cochesnet:71531628</t>
        </is>
      </c>
      <c r="B55" s="2" t="inlineStr">
        <is>
          <t>cochesnet</t>
        </is>
      </c>
      <c r="C55" s="2" t="inlineStr">
        <is>
          <t>https://www.coches.net/opel-corsa-gasolina-2014-en-valencia-71531628-covo.aspx</t>
        </is>
      </c>
      <c r="D55" s="2" t="inlineStr">
        <is>
          <t>OPEL Corsa 1.4 Selective Start Stop</t>
        </is>
      </c>
      <c r="E55" s="2" t="inlineStr">
        <is>
          <t>Opel</t>
        </is>
      </c>
      <c r="F55" s="2" t="inlineStr">
        <is>
          <t>Opel Corsa</t>
        </is>
      </c>
      <c r="G55" s="2" t="inlineStr">
        <is>
          <t>1.4</t>
        </is>
      </c>
      <c r="H55" s="2" t="inlineStr">
        <is>
          <t>1.4 Selective Start  Stop</t>
        </is>
      </c>
      <c r="I55" s="2" t="n"/>
      <c r="J55" s="2" t="n"/>
      <c r="K55" s="2" t="inlineStr">
        <is>
          <t>gasolina</t>
        </is>
      </c>
      <c r="L55" s="2" t="inlineStr">
        <is>
          <t>utilitario</t>
        </is>
      </c>
      <c r="M55" s="2" t="n">
        <v>2014</v>
      </c>
      <c r="N55" s="2" t="n">
        <v>160000</v>
      </c>
      <c r="O55" s="2" t="n">
        <v>4000</v>
      </c>
      <c r="P55" s="2" t="inlineStr">
        <is>
          <t>manual</t>
        </is>
      </c>
      <c r="Q55" s="2" t="inlineStr">
        <is>
          <t>no</t>
        </is>
      </c>
      <c r="R55" s="2" t="inlineStr">
        <is>
          <t>particular</t>
        </is>
      </c>
      <c r="S55" s="2" t="inlineStr">
        <is>
          <t>Alzira</t>
        </is>
      </c>
      <c r="T55" s="2" t="inlineStr">
        <is>
          <t>2026-09-16T17:55:30Z</t>
        </is>
      </c>
      <c r="U55" s="2" t="n">
        <v>8</v>
      </c>
      <c r="V55" s="2" t="n"/>
      <c r="W55" s="2" t="n"/>
      <c r="X55" s="2" t="n"/>
      <c r="Y55" s="2" t="n"/>
      <c r="Z55" s="2" t="inlineStr">
        <is>
          <t>no</t>
        </is>
      </c>
      <c r="AA55" s="2" t="n"/>
      <c r="AB55" s="2" t="n"/>
      <c r="AC55" s="2" t="n"/>
      <c r="AD55" s="2" t="n"/>
      <c r="AE55" s="2" t="n"/>
      <c r="AF55" s="2" t="n"/>
      <c r="AG55" s="2" t="n"/>
      <c r="AH55" s="2" t="n">
        <v>4000</v>
      </c>
      <c r="AI55" s="2" t="n"/>
      <c r="AJ55" s="2" t="n"/>
      <c r="AK55" s="2" t="n"/>
      <c r="AL55" s="2" t="n"/>
      <c r="AM55" s="2" t="n">
        <v>35.7</v>
      </c>
      <c r="AN55" s="2" t="n">
        <v>4600</v>
      </c>
      <c r="AO55" s="2" t="n">
        <v>7</v>
      </c>
      <c r="AP55" s="2" t="inlineStr">
        <is>
          <t>modelo+año+km</t>
        </is>
      </c>
      <c r="AQ55" s="2" t="n"/>
      <c r="AR55" s="2" t="inlineStr">
        <is>
          <t>cuota fija ITP: &gt;5 y &lt;=12 años, hasta 1.500 cc</t>
        </is>
      </c>
      <c r="AS55" s="2" t="inlineStr">
        <is>
          <t>se vende por cambio de coche, 
perfecto para ir a trabajar
 no gasta casi nada de gasolina
6-7 es un mechero 
revisiones pasadas listo para 
conducir 
( NEGOCIABLE</t>
        </is>
      </c>
      <c r="AT55" s="2" t="inlineStr">
        <is>
          <t>https://www.coches.net/opel-corsa-gasolina-2014-en-valencia-71531628-covo.aspx (window.__INITIAL_PROPS__.ad) /home/user/Alopecia/buscador-coches/raw/cochesnet/d02eaf1dc9ab39c9.json</t>
        </is>
      </c>
      <c r="AU55" s="3">
        <f>MAX(ANIO_ACTUAL-M55,0)</f>
        <v/>
      </c>
      <c r="AV55" s="4">
        <f>N55/MAX(AU55,0.5)</f>
        <v/>
      </c>
      <c r="AW55" s="4">
        <f>F55</f>
        <v/>
      </c>
      <c r="AX55" s="3">
        <f>AW55&amp;"|"&amp;INT(M55/SEG_ANIO)*SEG_ANIO</f>
        <v/>
      </c>
      <c r="AY55" s="3">
        <f>AX55&amp;"|"&amp;INT(N55/SEG_KM)*SEG_KM</f>
        <v/>
      </c>
      <c r="AZ55" s="4">
        <f>COUNTIF($AW$2:$AW$91,AW55)</f>
        <v/>
      </c>
      <c r="BA55" s="4">
        <f>COUNTIF($AX$2:$AX$91,AX55)</f>
        <v/>
      </c>
      <c r="BB55" s="4">
        <f>COUNTIF($AY$2:$AY$91,AY55)</f>
        <v/>
      </c>
      <c r="BC55" s="3">
        <f t="array" ref="BC55">IF(N(AO55)&gt;=MIN_N,AN55,IF(BB55&gt;=MIN_N,MEDIAN(IF($AY$2:$AY$91=AY55,$O$2:$O$91)),IF(BA55&gt;=MIN_N,MEDIAN(IF($AX$2:$AX$91=AX55,$O$2:$O$91)),MEDIAN(IF($AW$2:$AW$91=AW55,$O$2:$O$91)))))</f>
        <v/>
      </c>
      <c r="BD55" s="3">
        <f>IF(N(AO55)&gt;=MIN_N,"mercado "&amp;AP55,IF(BB55&gt;=MIN_N,"modelo+año+km",IF(BA55&gt;=MIN_N,"modelo+año","modelo")))</f>
        <v/>
      </c>
      <c r="BE55" s="4">
        <f>(BC55-O55)/BC55</f>
        <v/>
      </c>
      <c r="BF55" s="3">
        <f>IF(OR(K55="hibrido",K55="glp"),"ECO",IF(K55="electrico","CERO",IF(K55="gasolina",IF(M55&gt;=GAS_C,"C",IF(M55&gt;=GAS_B,"B","A")),IF(K55="diesel",IF(M55&gt;=DIE_C,"C",IF(M55&gt;=DIE_B,"B","A")),""))))</f>
        <v/>
      </c>
      <c r="BG55" s="3">
        <f>IFERROR(VLOOKUP(F55,MOD_TBL,11,0),IFERROR(VLOOKUP(E55,OCU_TBL,2,0),NEUTRO))</f>
        <v/>
      </c>
      <c r="BH55" s="3">
        <f>SUMIFS(MOT_AJUSTE,MOT_MOTOR,G55,MOT_MARCA,E55,MOT_DESDE,"&lt;="&amp;M55,MOT_HASTA,"&gt;="&amp;M55)+SUMIFS(MOT_AJUSTE,MOT_MOTOR,G55,MOT_MARCA,"(todas)",MOT_DESDE,"&lt;="&amp;M55,MOT_HASTA,"&gt;="&amp;M55)</f>
        <v/>
      </c>
      <c r="BI55" s="3">
        <f>SUMIFS(COMB_AJUSTE,COMB_COMB,K55)</f>
        <v/>
      </c>
      <c r="BJ55" s="4">
        <f>MAX(0,MIN(100,BG55+BH55+BI55))</f>
        <v/>
      </c>
      <c r="BK55" s="3">
        <f>MAX(0,MIN(100,50+BE55*PRECIO_PEND))</f>
        <v/>
      </c>
      <c r="BL55" s="3">
        <f>MAX(0,100*(1-N55/KM_MAX))</f>
        <v/>
      </c>
      <c r="BM55" s="3">
        <f>IF(AV55&lt;KMA_SOSP,IF(AA55="sí",100,KMA_PEN),IF(AV55&lt;=KMA_IDEAL_MAX,100,MAX(0,100*(KMA_CERO-AV55)/(KMA_CERO-KMA_IDEAL_MAX))))</f>
        <v/>
      </c>
      <c r="BN55" s="3">
        <f>MAX(0,MIN(100,100*(M55-ANIO_MIN)/(ANIO_ACTUAL-ANIO_MIN)))</f>
        <v/>
      </c>
      <c r="BO55" s="3">
        <f>W_KMT*BL55+W_KMA*BM55+W_EDAD*BN55</f>
        <v/>
      </c>
      <c r="BP55" s="3">
        <f>P_ITV*(V55="sí")+P_LIBRO*(W55="sí")+P_CORREA*(X55="sí")+P_PROP*(Y55=1)+P_GAR*(Z55="sí")+P_FOTOS*MIN(1,N(U55)/FOTOS_OBJ)</f>
        <v/>
      </c>
      <c r="BQ55" s="3">
        <f>IFERROR(VLOOKUP(BF55,ETQ_TBL,2,0),NEUTRO)</f>
        <v/>
      </c>
      <c r="BR55" s="3">
        <f>NEUTRO</f>
        <v/>
      </c>
      <c r="BS55" s="3">
        <f>IFERROR(VLOOKUP(L55,SEGURO_TBL,3,0),"")</f>
        <v/>
      </c>
      <c r="BT55" s="3">
        <f>IF(BS55="",NEUTRO,MAX(0,MIN(100,100*(SEG_REF_MAX-BS55)/(SEG_REF_MAX-SEG_REF_MIN))))</f>
        <v/>
      </c>
      <c r="BU55" s="3">
        <f>W_ET*BQ55+W_CONS*BR55+W_SEG*BT55</f>
        <v/>
      </c>
      <c r="BV55" s="3">
        <f>IF(N(AB55)&gt;0,AB55,IF(AND(R55="profesional",SG_LEGAL_ON=1),GAR_LEGAL,0))</f>
        <v/>
      </c>
      <c r="BW55" s="3">
        <f>SG_GAR*MIN(1,BV55/SG_GAR_FULL)+SG_AMPL*(AC55="sí")+SG_KMC*(AF55="sí")+SG_REV*(N(AE55)&gt;0)+SG_DEV*MIN(1,N(AG55)/SG_DEV_FULL)+SG_HIST*(W55="sí")</f>
        <v/>
      </c>
      <c r="BX55" s="3">
        <f>W_FIAB*BJ55+W_PRECIO*BK55+W_KMEDAD*BO55+W_ANUNCIO*BP55+W_USO*BU55+W_SEGURIDAD*BW55</f>
        <v/>
      </c>
      <c r="BY55" s="4">
        <f>IF(N(I55)&gt;0,I55,IFERROR(ROUND(_xlfn.NUMBERVALUE(LEFT(G55,FIND(" ",G55&amp;" ")-1),".")*1000,0),99999))</f>
        <v/>
      </c>
      <c r="BZ55" s="3">
        <f>IF(R55="profesional",0,IF(O55&lt;CUOTA_VALOR_MAX,IF(AU55&gt;ITP_TRAMO_ALTO,SUMIFS(CF_CUOTA,CF_MAS,ITP_TRAMO_ALTO,CF_CCMIN,"&lt;="&amp;BY55,CF_CCMAX,"&gt;="&amp;BY55),IF(AU55&gt;ITP_TRAMO_BAJO,SUMIFS(CF_CUOTA,CF_MAS,ITP_TRAMO_BAJO,CF_CCMIN,"&lt;="&amp;BY55,CF_CCMAX,"&gt;="&amp;BY55),O55*ITP_TIPO)),O55*ITP_TIPO))</f>
        <v/>
      </c>
      <c r="CA55" s="4">
        <f>IF(R55="profesional",N(AK55),0)</f>
        <v/>
      </c>
      <c r="CB55" s="3">
        <f>IF(AND(R55="profesional",ISNUMBER(AK55),AL55="sí"),0,TASA_DGT)</f>
        <v/>
      </c>
      <c r="CC55" s="3">
        <f>INFORME_DGT</f>
        <v/>
      </c>
      <c r="CD55" s="4">
        <f>O55+CA55+BZ55+CB55+CC55</f>
        <v/>
      </c>
      <c r="CE55" s="4">
        <f>CD55+N(BS55)</f>
        <v/>
      </c>
      <c r="CF55" s="3">
        <f>IF(CD55&lt;=TOTAL_MAX,"sí","no")</f>
        <v/>
      </c>
      <c r="CG55" s="4">
        <f>IF(CF55="sí",COUNTIFS($CF$2:$CF$91,"sí",$BX$2:$BX$91,"&gt;"&amp;BX55)+COUNTIFS($CF$2:CF55,"sí",$BX$2:BX55,BX55),"")</f>
        <v/>
      </c>
    </row>
    <row r="56">
      <c r="A56" s="2" t="inlineStr">
        <is>
          <t>cochesnet:71442825</t>
        </is>
      </c>
      <c r="B56" s="2" t="inlineStr">
        <is>
          <t>cochesnet</t>
        </is>
      </c>
      <c r="C56" s="2" t="inlineStr">
        <is>
          <t>https://www.coches.net/opel-corsa-14-selective-start--stop-3p-gasolina-2014-en-valencia-71442825-covo.aspx</t>
        </is>
      </c>
      <c r="D56" s="2" t="inlineStr">
        <is>
          <t>OPEL Corsa 1.4 Selective Start Stop</t>
        </is>
      </c>
      <c r="E56" s="2" t="inlineStr">
        <is>
          <t>Opel</t>
        </is>
      </c>
      <c r="F56" s="2" t="inlineStr">
        <is>
          <t>Opel Corsa</t>
        </is>
      </c>
      <c r="G56" s="2" t="inlineStr">
        <is>
          <t>1.4</t>
        </is>
      </c>
      <c r="H56" s="2" t="inlineStr">
        <is>
          <t>1.4 Selective Start  Stop</t>
        </is>
      </c>
      <c r="I56" s="2" t="n"/>
      <c r="J56" s="2" t="n"/>
      <c r="K56" s="2" t="inlineStr">
        <is>
          <t>gasolina</t>
        </is>
      </c>
      <c r="L56" s="2" t="inlineStr">
        <is>
          <t>utilitario</t>
        </is>
      </c>
      <c r="M56" s="2" t="n">
        <v>2014</v>
      </c>
      <c r="N56" s="2" t="n">
        <v>163000</v>
      </c>
      <c r="O56" s="2" t="n">
        <v>4600</v>
      </c>
      <c r="P56" s="2" t="inlineStr">
        <is>
          <t>manual</t>
        </is>
      </c>
      <c r="Q56" s="2" t="inlineStr">
        <is>
          <t>no</t>
        </is>
      </c>
      <c r="R56" s="2" t="inlineStr">
        <is>
          <t>particular</t>
        </is>
      </c>
      <c r="S56" s="2" t="inlineStr">
        <is>
          <t>Alzira</t>
        </is>
      </c>
      <c r="T56" s="2" t="inlineStr">
        <is>
          <t>2026-09-04T16:01:22Z</t>
        </is>
      </c>
      <c r="U56" s="2" t="n">
        <v>3</v>
      </c>
      <c r="V56" s="2" t="n"/>
      <c r="W56" s="2" t="n"/>
      <c r="X56" s="2" t="n"/>
      <c r="Y56" s="2" t="n"/>
      <c r="Z56" s="2" t="inlineStr">
        <is>
          <t>no</t>
        </is>
      </c>
      <c r="AA56" s="2" t="n"/>
      <c r="AB56" s="2" t="n"/>
      <c r="AC56" s="2" t="n"/>
      <c r="AD56" s="2" t="n"/>
      <c r="AE56" s="2" t="n"/>
      <c r="AF56" s="2" t="n"/>
      <c r="AG56" s="2" t="n"/>
      <c r="AH56" s="2" t="n">
        <v>4600</v>
      </c>
      <c r="AI56" s="2" t="n"/>
      <c r="AJ56" s="2" t="n"/>
      <c r="AK56" s="2" t="n"/>
      <c r="AL56" s="2" t="n"/>
      <c r="AM56" s="2" t="n">
        <v>35.7</v>
      </c>
      <c r="AN56" s="2" t="n">
        <v>4600</v>
      </c>
      <c r="AO56" s="2" t="n">
        <v>7</v>
      </c>
      <c r="AP56" s="2" t="inlineStr">
        <is>
          <t>modelo+año+km</t>
        </is>
      </c>
      <c r="AQ56" s="2" t="n"/>
      <c r="AR56" s="2" t="inlineStr">
        <is>
          <t>cuota fija ITP: &gt;5 y &lt;=12 años, hasta 1.500 cc</t>
        </is>
      </c>
      <c r="AS56" s="2" t="inlineStr">
        <is>
          <t xml:space="preserve">coche en vigor se vende por cambio de coche, 
garantia  oficial  hasta diciembre
vehiculo en muy buen estado con consumos muy bajos, bien cuidado durmiendo en garaje
NEGOCIABLE VENTA URGENTE
</t>
        </is>
      </c>
      <c r="AT56" s="2" t="inlineStr">
        <is>
          <t>https://www.coches.net/opel-corsa-14-selective-start--stop-3p-gasolina-2014-en-valencia-71442825-covo.aspx (window.__INITIAL_PROPS__.ad) /home/user/Alopecia/buscador-coches/raw/cochesnet/1f34c95fd0f4f3f4.json</t>
        </is>
      </c>
      <c r="AU56" s="3">
        <f>MAX(ANIO_ACTUAL-M56,0)</f>
        <v/>
      </c>
      <c r="AV56" s="4">
        <f>N56/MAX(AU56,0.5)</f>
        <v/>
      </c>
      <c r="AW56" s="4">
        <f>F56</f>
        <v/>
      </c>
      <c r="AX56" s="3">
        <f>AW56&amp;"|"&amp;INT(M56/SEG_ANIO)*SEG_ANIO</f>
        <v/>
      </c>
      <c r="AY56" s="3">
        <f>AX56&amp;"|"&amp;INT(N56/SEG_KM)*SEG_KM</f>
        <v/>
      </c>
      <c r="AZ56" s="4">
        <f>COUNTIF($AW$2:$AW$91,AW56)</f>
        <v/>
      </c>
      <c r="BA56" s="4">
        <f>COUNTIF($AX$2:$AX$91,AX56)</f>
        <v/>
      </c>
      <c r="BB56" s="4">
        <f>COUNTIF($AY$2:$AY$91,AY56)</f>
        <v/>
      </c>
      <c r="BC56" s="3">
        <f t="array" ref="BC56">IF(N(AO56)&gt;=MIN_N,AN56,IF(BB56&gt;=MIN_N,MEDIAN(IF($AY$2:$AY$91=AY56,$O$2:$O$91)),IF(BA56&gt;=MIN_N,MEDIAN(IF($AX$2:$AX$91=AX56,$O$2:$O$91)),MEDIAN(IF($AW$2:$AW$91=AW56,$O$2:$O$91)))))</f>
        <v/>
      </c>
      <c r="BD56" s="3">
        <f>IF(N(AO56)&gt;=MIN_N,"mercado "&amp;AP56,IF(BB56&gt;=MIN_N,"modelo+año+km",IF(BA56&gt;=MIN_N,"modelo+año","modelo")))</f>
        <v/>
      </c>
      <c r="BE56" s="4">
        <f>(BC56-O56)/BC56</f>
        <v/>
      </c>
      <c r="BF56" s="3">
        <f>IF(OR(K56="hibrido",K56="glp"),"ECO",IF(K56="electrico","CERO",IF(K56="gasolina",IF(M56&gt;=GAS_C,"C",IF(M56&gt;=GAS_B,"B","A")),IF(K56="diesel",IF(M56&gt;=DIE_C,"C",IF(M56&gt;=DIE_B,"B","A")),""))))</f>
        <v/>
      </c>
      <c r="BG56" s="3">
        <f>IFERROR(VLOOKUP(F56,MOD_TBL,11,0),IFERROR(VLOOKUP(E56,OCU_TBL,2,0),NEUTRO))</f>
        <v/>
      </c>
      <c r="BH56" s="3">
        <f>SUMIFS(MOT_AJUSTE,MOT_MOTOR,G56,MOT_MARCA,E56,MOT_DESDE,"&lt;="&amp;M56,MOT_HASTA,"&gt;="&amp;M56)+SUMIFS(MOT_AJUSTE,MOT_MOTOR,G56,MOT_MARCA,"(todas)",MOT_DESDE,"&lt;="&amp;M56,MOT_HASTA,"&gt;="&amp;M56)</f>
        <v/>
      </c>
      <c r="BI56" s="3">
        <f>SUMIFS(COMB_AJUSTE,COMB_COMB,K56)</f>
        <v/>
      </c>
      <c r="BJ56" s="4">
        <f>MAX(0,MIN(100,BG56+BH56+BI56))</f>
        <v/>
      </c>
      <c r="BK56" s="3">
        <f>MAX(0,MIN(100,50+BE56*PRECIO_PEND))</f>
        <v/>
      </c>
      <c r="BL56" s="3">
        <f>MAX(0,100*(1-N56/KM_MAX))</f>
        <v/>
      </c>
      <c r="BM56" s="3">
        <f>IF(AV56&lt;KMA_SOSP,IF(AA56="sí",100,KMA_PEN),IF(AV56&lt;=KMA_IDEAL_MAX,100,MAX(0,100*(KMA_CERO-AV56)/(KMA_CERO-KMA_IDEAL_MAX))))</f>
        <v/>
      </c>
      <c r="BN56" s="3">
        <f>MAX(0,MIN(100,100*(M56-ANIO_MIN)/(ANIO_ACTUAL-ANIO_MIN)))</f>
        <v/>
      </c>
      <c r="BO56" s="3">
        <f>W_KMT*BL56+W_KMA*BM56+W_EDAD*BN56</f>
        <v/>
      </c>
      <c r="BP56" s="3">
        <f>P_ITV*(V56="sí")+P_LIBRO*(W56="sí")+P_CORREA*(X56="sí")+P_PROP*(Y56=1)+P_GAR*(Z56="sí")+P_FOTOS*MIN(1,N(U56)/FOTOS_OBJ)</f>
        <v/>
      </c>
      <c r="BQ56" s="3">
        <f>IFERROR(VLOOKUP(BF56,ETQ_TBL,2,0),NEUTRO)</f>
        <v/>
      </c>
      <c r="BR56" s="3">
        <f>NEUTRO</f>
        <v/>
      </c>
      <c r="BS56" s="3">
        <f>IFERROR(VLOOKUP(L56,SEGURO_TBL,3,0),"")</f>
        <v/>
      </c>
      <c r="BT56" s="3">
        <f>IF(BS56="",NEUTRO,MAX(0,MIN(100,100*(SEG_REF_MAX-BS56)/(SEG_REF_MAX-SEG_REF_MIN))))</f>
        <v/>
      </c>
      <c r="BU56" s="3">
        <f>W_ET*BQ56+W_CONS*BR56+W_SEG*BT56</f>
        <v/>
      </c>
      <c r="BV56" s="3">
        <f>IF(N(AB56)&gt;0,AB56,IF(AND(R56="profesional",SG_LEGAL_ON=1),GAR_LEGAL,0))</f>
        <v/>
      </c>
      <c r="BW56" s="3">
        <f>SG_GAR*MIN(1,BV56/SG_GAR_FULL)+SG_AMPL*(AC56="sí")+SG_KMC*(AF56="sí")+SG_REV*(N(AE56)&gt;0)+SG_DEV*MIN(1,N(AG56)/SG_DEV_FULL)+SG_HIST*(W56="sí")</f>
        <v/>
      </c>
      <c r="BX56" s="3">
        <f>W_FIAB*BJ56+W_PRECIO*BK56+W_KMEDAD*BO56+W_ANUNCIO*BP56+W_USO*BU56+W_SEGURIDAD*BW56</f>
        <v/>
      </c>
      <c r="BY56" s="4">
        <f>IF(N(I56)&gt;0,I56,IFERROR(ROUND(_xlfn.NUMBERVALUE(LEFT(G56,FIND(" ",G56&amp;" ")-1),".")*1000,0),99999))</f>
        <v/>
      </c>
      <c r="BZ56" s="3">
        <f>IF(R56="profesional",0,IF(O56&lt;CUOTA_VALOR_MAX,IF(AU56&gt;ITP_TRAMO_ALTO,SUMIFS(CF_CUOTA,CF_MAS,ITP_TRAMO_ALTO,CF_CCMIN,"&lt;="&amp;BY56,CF_CCMAX,"&gt;="&amp;BY56),IF(AU56&gt;ITP_TRAMO_BAJO,SUMIFS(CF_CUOTA,CF_MAS,ITP_TRAMO_BAJO,CF_CCMIN,"&lt;="&amp;BY56,CF_CCMAX,"&gt;="&amp;BY56),O56*ITP_TIPO)),O56*ITP_TIPO))</f>
        <v/>
      </c>
      <c r="CA56" s="4">
        <f>IF(R56="profesional",N(AK56),0)</f>
        <v/>
      </c>
      <c r="CB56" s="3">
        <f>IF(AND(R56="profesional",ISNUMBER(AK56),AL56="sí"),0,TASA_DGT)</f>
        <v/>
      </c>
      <c r="CC56" s="3">
        <f>INFORME_DGT</f>
        <v/>
      </c>
      <c r="CD56" s="4">
        <f>O56+CA56+BZ56+CB56+CC56</f>
        <v/>
      </c>
      <c r="CE56" s="4">
        <f>CD56+N(BS56)</f>
        <v/>
      </c>
      <c r="CF56" s="3">
        <f>IF(CD56&lt;=TOTAL_MAX,"sí","no")</f>
        <v/>
      </c>
      <c r="CG56" s="4">
        <f>IF(CF56="sí",COUNTIFS($CF$2:$CF$91,"sí",$BX$2:$BX$91,"&gt;"&amp;BX56)+COUNTIFS($CF$2:CF56,"sí",$BX$2:BX56,BX56),"")</f>
        <v/>
      </c>
    </row>
    <row r="57">
      <c r="A57" s="2" t="inlineStr">
        <is>
          <t>cochesnet:71876224</t>
        </is>
      </c>
      <c r="B57" s="2" t="inlineStr">
        <is>
          <t>cochesnet</t>
        </is>
      </c>
      <c r="C57" s="2" t="inlineStr">
        <is>
          <t>https://www.coches.net/opel-astra-gtc-14-16v-essentia-3p-gasolina-2009-en-valencia-71876224-covo.aspx</t>
        </is>
      </c>
      <c r="D57" s="2" t="inlineStr">
        <is>
          <t>OPEL Astra GTC 1.4 16v Essentia</t>
        </is>
      </c>
      <c r="E57" s="2" t="inlineStr">
        <is>
          <t>Opel</t>
        </is>
      </c>
      <c r="F57" s="2" t="inlineStr">
        <is>
          <t>Opel Astra</t>
        </is>
      </c>
      <c r="G57" s="2" t="inlineStr">
        <is>
          <t>1.4</t>
        </is>
      </c>
      <c r="H57" s="2" t="inlineStr">
        <is>
          <t>GTC 1.4 16v Essentia</t>
        </is>
      </c>
      <c r="I57" s="2" t="n"/>
      <c r="J57" s="2" t="n"/>
      <c r="K57" s="2" t="inlineStr">
        <is>
          <t>gasolina</t>
        </is>
      </c>
      <c r="L57" s="2" t="inlineStr">
        <is>
          <t>compacto</t>
        </is>
      </c>
      <c r="M57" s="2" t="n">
        <v>2009</v>
      </c>
      <c r="N57" s="2" t="n">
        <v>121000</v>
      </c>
      <c r="O57" s="2" t="n">
        <v>3990</v>
      </c>
      <c r="P57" s="2" t="inlineStr">
        <is>
          <t>manual</t>
        </is>
      </c>
      <c r="Q57" s="2" t="inlineStr">
        <is>
          <t>no</t>
        </is>
      </c>
      <c r="R57" s="2" t="inlineStr">
        <is>
          <t>profesional</t>
        </is>
      </c>
      <c r="S57" s="2" t="inlineStr">
        <is>
          <t>AutoEco Valencia</t>
        </is>
      </c>
      <c r="T57" s="2" t="inlineStr">
        <is>
          <t>2026-10-31T00:52:16Z</t>
        </is>
      </c>
      <c r="U57" s="2" t="n">
        <v>5</v>
      </c>
      <c r="V57" s="2" t="n"/>
      <c r="W57" s="2" t="inlineStr">
        <is>
          <t>sí</t>
        </is>
      </c>
      <c r="X57" s="2" t="n"/>
      <c r="Y57" s="2" t="n"/>
      <c r="Z57" s="2" t="inlineStr">
        <is>
          <t>sí</t>
        </is>
      </c>
      <c r="AA57" s="2" t="n"/>
      <c r="AB57" s="2" t="n">
        <v>12</v>
      </c>
      <c r="AC57" s="2" t="n"/>
      <c r="AD57" s="2" t="n"/>
      <c r="AE57" s="2" t="n"/>
      <c r="AF57" s="2" t="n"/>
      <c r="AG57" s="2" t="n"/>
      <c r="AH57" s="2" t="n">
        <v>3990</v>
      </c>
      <c r="AI57" s="2" t="n">
        <v>3990</v>
      </c>
      <c r="AJ57" s="2" t="n"/>
      <c r="AK57" s="2" t="n"/>
      <c r="AL57" s="2" t="n"/>
      <c r="AM57" s="2" t="n">
        <v>0.1</v>
      </c>
      <c r="AN57" s="2" t="n">
        <v>3990</v>
      </c>
      <c r="AO57" s="2" t="n">
        <v>5</v>
      </c>
      <c r="AP57" s="2" t="inlineStr">
        <is>
          <t>modelo+año+km</t>
        </is>
      </c>
      <c r="AQ57" s="2" t="n"/>
      <c r="AR57" s="2" t="inlineStr">
        <is>
          <t>vendedor profesional: sin ITP (operación con IVA/REBU, confirmar en factura); gastos de gestión del vendedor no indicados: se suma la tasa DGT; preguntar el precio final</t>
        </is>
      </c>
      <c r="AS57"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AT57" s="2" t="inlineStr">
        <is>
          <t>https://www.coches.net/opel-astra-gtc-14-16v-essentia-3p-gasolina-2009-en-valencia-71876224-covo.aspx (window.__INITIAL_PROPS__.ad) /home/user/Alopecia/buscador-coches/raw/cochesnet/6280a944348bcd0b.json</t>
        </is>
      </c>
      <c r="AU57" s="3">
        <f>MAX(ANIO_ACTUAL-M57,0)</f>
        <v/>
      </c>
      <c r="AV57" s="4">
        <f>N57/MAX(AU57,0.5)</f>
        <v/>
      </c>
      <c r="AW57" s="4">
        <f>F57</f>
        <v/>
      </c>
      <c r="AX57" s="3">
        <f>AW57&amp;"|"&amp;INT(M57/SEG_ANIO)*SEG_ANIO</f>
        <v/>
      </c>
      <c r="AY57" s="3">
        <f>AX57&amp;"|"&amp;INT(N57/SEG_KM)*SEG_KM</f>
        <v/>
      </c>
      <c r="AZ57" s="4">
        <f>COUNTIF($AW$2:$AW$91,AW57)</f>
        <v/>
      </c>
      <c r="BA57" s="4">
        <f>COUNTIF($AX$2:$AX$91,AX57)</f>
        <v/>
      </c>
      <c r="BB57" s="4">
        <f>COUNTIF($AY$2:$AY$91,AY57)</f>
        <v/>
      </c>
      <c r="BC57" s="3">
        <f t="array" ref="BC57">IF(N(AO57)&gt;=MIN_N,AN57,IF(BB57&gt;=MIN_N,MEDIAN(IF($AY$2:$AY$91=AY57,$O$2:$O$91)),IF(BA57&gt;=MIN_N,MEDIAN(IF($AX$2:$AX$91=AX57,$O$2:$O$91)),MEDIAN(IF($AW$2:$AW$91=AW57,$O$2:$O$91)))))</f>
        <v/>
      </c>
      <c r="BD57" s="3">
        <f>IF(N(AO57)&gt;=MIN_N,"mercado "&amp;AP57,IF(BB57&gt;=MIN_N,"modelo+año+km",IF(BA57&gt;=MIN_N,"modelo+año","modelo")))</f>
        <v/>
      </c>
      <c r="BE57" s="4">
        <f>(BC57-O57)/BC57</f>
        <v/>
      </c>
      <c r="BF57" s="3">
        <f>IF(OR(K57="hibrido",K57="glp"),"ECO",IF(K57="electrico","CERO",IF(K57="gasolina",IF(M57&gt;=GAS_C,"C",IF(M57&gt;=GAS_B,"B","A")),IF(K57="diesel",IF(M57&gt;=DIE_C,"C",IF(M57&gt;=DIE_B,"B","A")),""))))</f>
        <v/>
      </c>
      <c r="BG57" s="3">
        <f>IFERROR(VLOOKUP(F57,MOD_TBL,11,0),IFERROR(VLOOKUP(E57,OCU_TBL,2,0),NEUTRO))</f>
        <v/>
      </c>
      <c r="BH57" s="3">
        <f>SUMIFS(MOT_AJUSTE,MOT_MOTOR,G57,MOT_MARCA,E57,MOT_DESDE,"&lt;="&amp;M57,MOT_HASTA,"&gt;="&amp;M57)+SUMIFS(MOT_AJUSTE,MOT_MOTOR,G57,MOT_MARCA,"(todas)",MOT_DESDE,"&lt;="&amp;M57,MOT_HASTA,"&gt;="&amp;M57)</f>
        <v/>
      </c>
      <c r="BI57" s="3">
        <f>SUMIFS(COMB_AJUSTE,COMB_COMB,K57)</f>
        <v/>
      </c>
      <c r="BJ57" s="4">
        <f>MAX(0,MIN(100,BG57+BH57+BI57))</f>
        <v/>
      </c>
      <c r="BK57" s="3">
        <f>MAX(0,MIN(100,50+BE57*PRECIO_PEND))</f>
        <v/>
      </c>
      <c r="BL57" s="3">
        <f>MAX(0,100*(1-N57/KM_MAX))</f>
        <v/>
      </c>
      <c r="BM57" s="3">
        <f>IF(AV57&lt;KMA_SOSP,IF(AA57="sí",100,KMA_PEN),IF(AV57&lt;=KMA_IDEAL_MAX,100,MAX(0,100*(KMA_CERO-AV57)/(KMA_CERO-KMA_IDEAL_MAX))))</f>
        <v/>
      </c>
      <c r="BN57" s="3">
        <f>MAX(0,MIN(100,100*(M57-ANIO_MIN)/(ANIO_ACTUAL-ANIO_MIN)))</f>
        <v/>
      </c>
      <c r="BO57" s="3">
        <f>W_KMT*BL57+W_KMA*BM57+W_EDAD*BN57</f>
        <v/>
      </c>
      <c r="BP57" s="3">
        <f>P_ITV*(V57="sí")+P_LIBRO*(W57="sí")+P_CORREA*(X57="sí")+P_PROP*(Y57=1)+P_GAR*(Z57="sí")+P_FOTOS*MIN(1,N(U57)/FOTOS_OBJ)</f>
        <v/>
      </c>
      <c r="BQ57" s="3">
        <f>IFERROR(VLOOKUP(BF57,ETQ_TBL,2,0),NEUTRO)</f>
        <v/>
      </c>
      <c r="BR57" s="3">
        <f>NEUTRO</f>
        <v/>
      </c>
      <c r="BS57" s="3">
        <f>IFERROR(VLOOKUP(L57,SEGURO_TBL,3,0),"")</f>
        <v/>
      </c>
      <c r="BT57" s="3">
        <f>IF(BS57="",NEUTRO,MAX(0,MIN(100,100*(SEG_REF_MAX-BS57)/(SEG_REF_MAX-SEG_REF_MIN))))</f>
        <v/>
      </c>
      <c r="BU57" s="3">
        <f>W_ET*BQ57+W_CONS*BR57+W_SEG*BT57</f>
        <v/>
      </c>
      <c r="BV57" s="3">
        <f>IF(N(AB57)&gt;0,AB57,IF(AND(R57="profesional",SG_LEGAL_ON=1),GAR_LEGAL,0))</f>
        <v/>
      </c>
      <c r="BW57" s="3">
        <f>SG_GAR*MIN(1,BV57/SG_GAR_FULL)+SG_AMPL*(AC57="sí")+SG_KMC*(AF57="sí")+SG_REV*(N(AE57)&gt;0)+SG_DEV*MIN(1,N(AG57)/SG_DEV_FULL)+SG_HIST*(W57="sí")</f>
        <v/>
      </c>
      <c r="BX57" s="3">
        <f>W_FIAB*BJ57+W_PRECIO*BK57+W_KMEDAD*BO57+W_ANUNCIO*BP57+W_USO*BU57+W_SEGURIDAD*BW57</f>
        <v/>
      </c>
      <c r="BY57" s="4">
        <f>IF(N(I57)&gt;0,I57,IFERROR(ROUND(_xlfn.NUMBERVALUE(LEFT(G57,FIND(" ",G57&amp;" ")-1),".")*1000,0),99999))</f>
        <v/>
      </c>
      <c r="BZ57" s="3">
        <f>IF(R57="profesional",0,IF(O57&lt;CUOTA_VALOR_MAX,IF(AU57&gt;ITP_TRAMO_ALTO,SUMIFS(CF_CUOTA,CF_MAS,ITP_TRAMO_ALTO,CF_CCMIN,"&lt;="&amp;BY57,CF_CCMAX,"&gt;="&amp;BY57),IF(AU57&gt;ITP_TRAMO_BAJO,SUMIFS(CF_CUOTA,CF_MAS,ITP_TRAMO_BAJO,CF_CCMIN,"&lt;="&amp;BY57,CF_CCMAX,"&gt;="&amp;BY57),O57*ITP_TIPO)),O57*ITP_TIPO))</f>
        <v/>
      </c>
      <c r="CA57" s="4">
        <f>IF(R57="profesional",N(AK57),0)</f>
        <v/>
      </c>
      <c r="CB57" s="3">
        <f>IF(AND(R57="profesional",ISNUMBER(AK57),AL57="sí"),0,TASA_DGT)</f>
        <v/>
      </c>
      <c r="CC57" s="3">
        <f>INFORME_DGT</f>
        <v/>
      </c>
      <c r="CD57" s="4">
        <f>O57+CA57+BZ57+CB57+CC57</f>
        <v/>
      </c>
      <c r="CE57" s="4">
        <f>CD57+N(BS57)</f>
        <v/>
      </c>
      <c r="CF57" s="3">
        <f>IF(CD57&lt;=TOTAL_MAX,"sí","no")</f>
        <v/>
      </c>
      <c r="CG57" s="4">
        <f>IF(CF57="sí",COUNTIFS($CF$2:$CF$91,"sí",$BX$2:$BX$91,"&gt;"&amp;BX57)+COUNTIFS($CF$2:CF57,"sí",$BX$2:BX57,BX57),"")</f>
        <v/>
      </c>
    </row>
    <row r="58">
      <c r="A58" s="2" t="inlineStr">
        <is>
          <t>cochesnet:71331925</t>
        </is>
      </c>
      <c r="B58" s="2" t="inlineStr">
        <is>
          <t>cochesnet</t>
        </is>
      </c>
      <c r="C58" s="2" t="inlineStr">
        <is>
          <t>https://www.coches.net/opel-astra-14-turbo-sport-5p-gasolina-2010-en-valencia-71331925-covo.aspx</t>
        </is>
      </c>
      <c r="D58" s="2" t="inlineStr">
        <is>
          <t>OPEL Astra 1.4 Turbo Sport</t>
        </is>
      </c>
      <c r="E58" s="2" t="inlineStr">
        <is>
          <t>Opel</t>
        </is>
      </c>
      <c r="F58" s="2" t="inlineStr">
        <is>
          <t>Opel Astra</t>
        </is>
      </c>
      <c r="G58" s="2" t="inlineStr">
        <is>
          <t>1.4 Turbo</t>
        </is>
      </c>
      <c r="H58" s="2" t="inlineStr">
        <is>
          <t>1.4 Turbo Sport</t>
        </is>
      </c>
      <c r="I58" s="2" t="n"/>
      <c r="J58" s="2" t="n"/>
      <c r="K58" s="2" t="inlineStr">
        <is>
          <t>gasolina</t>
        </is>
      </c>
      <c r="L58" s="2" t="inlineStr">
        <is>
          <t>compacto</t>
        </is>
      </c>
      <c r="M58" s="2" t="n">
        <v>2010</v>
      </c>
      <c r="N58" s="2" t="n">
        <v>195000</v>
      </c>
      <c r="O58" s="2" t="n">
        <v>4500</v>
      </c>
      <c r="P58" s="2" t="inlineStr">
        <is>
          <t>manual</t>
        </is>
      </c>
      <c r="Q58" s="2" t="inlineStr">
        <is>
          <t>no</t>
        </is>
      </c>
      <c r="R58" s="2" t="inlineStr">
        <is>
          <t>particular</t>
        </is>
      </c>
      <c r="S58" s="2" t="inlineStr">
        <is>
          <t>Alzira</t>
        </is>
      </c>
      <c r="T58" s="2" t="inlineStr">
        <is>
          <t>2026-10-31T08:29:44Z</t>
        </is>
      </c>
      <c r="U58" s="2" t="n">
        <v>21</v>
      </c>
      <c r="V58" s="2" t="inlineStr">
        <is>
          <t>sí</t>
        </is>
      </c>
      <c r="W58" s="2" t="inlineStr">
        <is>
          <t>sí</t>
        </is>
      </c>
      <c r="X58" s="2" t="n"/>
      <c r="Y58" s="2" t="n">
        <v>1</v>
      </c>
      <c r="Z58" s="2" t="inlineStr">
        <is>
          <t>no</t>
        </is>
      </c>
      <c r="AA58" s="2" t="n"/>
      <c r="AB58" s="2" t="n"/>
      <c r="AC58" s="2" t="n"/>
      <c r="AD58" s="2" t="n"/>
      <c r="AE58" s="2" t="n"/>
      <c r="AF58" s="2" t="n"/>
      <c r="AG58" s="2" t="n"/>
      <c r="AH58" s="2" t="n">
        <v>4500</v>
      </c>
      <c r="AI58" s="2" t="n"/>
      <c r="AJ58" s="2" t="n"/>
      <c r="AK58" s="2" t="n"/>
      <c r="AL58" s="2" t="n"/>
      <c r="AM58" s="2" t="n">
        <v>35.7</v>
      </c>
      <c r="AN58" s="2" t="n">
        <v>4750</v>
      </c>
      <c r="AO58" s="2" t="n">
        <v>6</v>
      </c>
      <c r="AP58" s="2" t="inlineStr">
        <is>
          <t>modelo+año+km</t>
        </is>
      </c>
      <c r="AQ58" s="2" t="n"/>
      <c r="AR58" s="2" t="inlineStr">
        <is>
          <t>cuota fija ITP: &gt;12 años, hasta 1.500 cc</t>
        </is>
      </c>
      <c r="AS58" s="2" t="inlineStr">
        <is>
          <t>Opel Astra Sport 5 puertas, año 2010, motor 1.4 Turbo 140cv, color negro, con aproximadamente 195.000 km. 
Un solo dueño, no fumador. 
Equipado con faros de Xenón, luces automáticas y largas automáticas, limpiaparabrisas automático regulable en velocidad, climatizador bizona, navegador vía CD con pantalla a color, Bluetooth para llamadas, reproductor USB y compatible con iPod/iPhone, reposacabezas en plazas traseras, porta esquís, pack interior versatilidad, pack premium, elevalunas eléctricos traseros, asistente de aparcamiento delantero y trasero, retrovisores exteriores plegables y llantas de 18". 
Neumáticos Michelin Sport 5 en muy buen estado. Estado interior impecable. Dos arañazos en el paragolpes trasero y un desperfecto en la puerta trasera derecha. 
Historial de mantenimiento disponible. 
Factura original de compra disponible. 
ITV en vigor. 
Se vende por cambio a vehículo eléctrico.</t>
        </is>
      </c>
      <c r="AT58" s="2" t="inlineStr">
        <is>
          <t>https://www.coches.net/opel-astra-14-turbo-sport-5p-gasolina-2010-en-valencia-71331925-covo.aspx (window.__INITIAL_PROPS__.ad) /home/user/Alopecia/buscador-coches/raw/cochesnet/396a2396256ccd48.json</t>
        </is>
      </c>
      <c r="AU58" s="3">
        <f>MAX(ANIO_ACTUAL-M58,0)</f>
        <v/>
      </c>
      <c r="AV58" s="4">
        <f>N58/MAX(AU58,0.5)</f>
        <v/>
      </c>
      <c r="AW58" s="4">
        <f>F58</f>
        <v/>
      </c>
      <c r="AX58" s="3">
        <f>AW58&amp;"|"&amp;INT(M58/SEG_ANIO)*SEG_ANIO</f>
        <v/>
      </c>
      <c r="AY58" s="3">
        <f>AX58&amp;"|"&amp;INT(N58/SEG_KM)*SEG_KM</f>
        <v/>
      </c>
      <c r="AZ58" s="4">
        <f>COUNTIF($AW$2:$AW$91,AW58)</f>
        <v/>
      </c>
      <c r="BA58" s="4">
        <f>COUNTIF($AX$2:$AX$91,AX58)</f>
        <v/>
      </c>
      <c r="BB58" s="4">
        <f>COUNTIF($AY$2:$AY$91,AY58)</f>
        <v/>
      </c>
      <c r="BC58" s="3">
        <f t="array" ref="BC58">IF(N(AO58)&gt;=MIN_N,AN58,IF(BB58&gt;=MIN_N,MEDIAN(IF($AY$2:$AY$91=AY58,$O$2:$O$91)),IF(BA58&gt;=MIN_N,MEDIAN(IF($AX$2:$AX$91=AX58,$O$2:$O$91)),MEDIAN(IF($AW$2:$AW$91=AW58,$O$2:$O$91)))))</f>
        <v/>
      </c>
      <c r="BD58" s="3">
        <f>IF(N(AO58)&gt;=MIN_N,"mercado "&amp;AP58,IF(BB58&gt;=MIN_N,"modelo+año+km",IF(BA58&gt;=MIN_N,"modelo+año","modelo")))</f>
        <v/>
      </c>
      <c r="BE58" s="4">
        <f>(BC58-O58)/BC58</f>
        <v/>
      </c>
      <c r="BF58" s="3">
        <f>IF(OR(K58="hibrido",K58="glp"),"ECO",IF(K58="electrico","CERO",IF(K58="gasolina",IF(M58&gt;=GAS_C,"C",IF(M58&gt;=GAS_B,"B","A")),IF(K58="diesel",IF(M58&gt;=DIE_C,"C",IF(M58&gt;=DIE_B,"B","A")),""))))</f>
        <v/>
      </c>
      <c r="BG58" s="3">
        <f>IFERROR(VLOOKUP(F58,MOD_TBL,11,0),IFERROR(VLOOKUP(E58,OCU_TBL,2,0),NEUTRO))</f>
        <v/>
      </c>
      <c r="BH58" s="3">
        <f>SUMIFS(MOT_AJUSTE,MOT_MOTOR,G58,MOT_MARCA,E58,MOT_DESDE,"&lt;="&amp;M58,MOT_HASTA,"&gt;="&amp;M58)+SUMIFS(MOT_AJUSTE,MOT_MOTOR,G58,MOT_MARCA,"(todas)",MOT_DESDE,"&lt;="&amp;M58,MOT_HASTA,"&gt;="&amp;M58)</f>
        <v/>
      </c>
      <c r="BI58" s="3">
        <f>SUMIFS(COMB_AJUSTE,COMB_COMB,K58)</f>
        <v/>
      </c>
      <c r="BJ58" s="4">
        <f>MAX(0,MIN(100,BG58+BH58+BI58))</f>
        <v/>
      </c>
      <c r="BK58" s="3">
        <f>MAX(0,MIN(100,50+BE58*PRECIO_PEND))</f>
        <v/>
      </c>
      <c r="BL58" s="3">
        <f>MAX(0,100*(1-N58/KM_MAX))</f>
        <v/>
      </c>
      <c r="BM58" s="3">
        <f>IF(AV58&lt;KMA_SOSP,IF(AA58="sí",100,KMA_PEN),IF(AV58&lt;=KMA_IDEAL_MAX,100,MAX(0,100*(KMA_CERO-AV58)/(KMA_CERO-KMA_IDEAL_MAX))))</f>
        <v/>
      </c>
      <c r="BN58" s="3">
        <f>MAX(0,MIN(100,100*(M58-ANIO_MIN)/(ANIO_ACTUAL-ANIO_MIN)))</f>
        <v/>
      </c>
      <c r="BO58" s="3">
        <f>W_KMT*BL58+W_KMA*BM58+W_EDAD*BN58</f>
        <v/>
      </c>
      <c r="BP58" s="3">
        <f>P_ITV*(V58="sí")+P_LIBRO*(W58="sí")+P_CORREA*(X58="sí")+P_PROP*(Y58=1)+P_GAR*(Z58="sí")+P_FOTOS*MIN(1,N(U58)/FOTOS_OBJ)</f>
        <v/>
      </c>
      <c r="BQ58" s="3">
        <f>IFERROR(VLOOKUP(BF58,ETQ_TBL,2,0),NEUTRO)</f>
        <v/>
      </c>
      <c r="BR58" s="3">
        <f>NEUTRO</f>
        <v/>
      </c>
      <c r="BS58" s="3">
        <f>IFERROR(VLOOKUP(L58,SEGURO_TBL,3,0),"")</f>
        <v/>
      </c>
      <c r="BT58" s="3">
        <f>IF(BS58="",NEUTRO,MAX(0,MIN(100,100*(SEG_REF_MAX-BS58)/(SEG_REF_MAX-SEG_REF_MIN))))</f>
        <v/>
      </c>
      <c r="BU58" s="3">
        <f>W_ET*BQ58+W_CONS*BR58+W_SEG*BT58</f>
        <v/>
      </c>
      <c r="BV58" s="3">
        <f>IF(N(AB58)&gt;0,AB58,IF(AND(R58="profesional",SG_LEGAL_ON=1),GAR_LEGAL,0))</f>
        <v/>
      </c>
      <c r="BW58" s="3">
        <f>SG_GAR*MIN(1,BV58/SG_GAR_FULL)+SG_AMPL*(AC58="sí")+SG_KMC*(AF58="sí")+SG_REV*(N(AE58)&gt;0)+SG_DEV*MIN(1,N(AG58)/SG_DEV_FULL)+SG_HIST*(W58="sí")</f>
        <v/>
      </c>
      <c r="BX58" s="3">
        <f>W_FIAB*BJ58+W_PRECIO*BK58+W_KMEDAD*BO58+W_ANUNCIO*BP58+W_USO*BU58+W_SEGURIDAD*BW58</f>
        <v/>
      </c>
      <c r="BY58" s="4">
        <f>IF(N(I58)&gt;0,I58,IFERROR(ROUND(_xlfn.NUMBERVALUE(LEFT(G58,FIND(" ",G58&amp;" ")-1),".")*1000,0),99999))</f>
        <v/>
      </c>
      <c r="BZ58" s="3">
        <f>IF(R58="profesional",0,IF(O58&lt;CUOTA_VALOR_MAX,IF(AU58&gt;ITP_TRAMO_ALTO,SUMIFS(CF_CUOTA,CF_MAS,ITP_TRAMO_ALTO,CF_CCMIN,"&lt;="&amp;BY58,CF_CCMAX,"&gt;="&amp;BY58),IF(AU58&gt;ITP_TRAMO_BAJO,SUMIFS(CF_CUOTA,CF_MAS,ITP_TRAMO_BAJO,CF_CCMIN,"&lt;="&amp;BY58,CF_CCMAX,"&gt;="&amp;BY58),O58*ITP_TIPO)),O58*ITP_TIPO))</f>
        <v/>
      </c>
      <c r="CA58" s="4">
        <f>IF(R58="profesional",N(AK58),0)</f>
        <v/>
      </c>
      <c r="CB58" s="3">
        <f>IF(AND(R58="profesional",ISNUMBER(AK58),AL58="sí"),0,TASA_DGT)</f>
        <v/>
      </c>
      <c r="CC58" s="3">
        <f>INFORME_DGT</f>
        <v/>
      </c>
      <c r="CD58" s="4">
        <f>O58+CA58+BZ58+CB58+CC58</f>
        <v/>
      </c>
      <c r="CE58" s="4">
        <f>CD58+N(BS58)</f>
        <v/>
      </c>
      <c r="CF58" s="3">
        <f>IF(CD58&lt;=TOTAL_MAX,"sí","no")</f>
        <v/>
      </c>
      <c r="CG58" s="4">
        <f>IF(CF58="sí",COUNTIFS($CF$2:$CF$91,"sí",$BX$2:$BX$91,"&gt;"&amp;BX58)+COUNTIFS($CF$2:CF58,"sí",$BX$2:BX58,BX58),"")</f>
        <v/>
      </c>
    </row>
    <row r="59">
      <c r="A59" s="2" t="inlineStr">
        <is>
          <t>cochesnet:71612608</t>
        </is>
      </c>
      <c r="B59" s="2" t="inlineStr">
        <is>
          <t>cochesnet</t>
        </is>
      </c>
      <c r="C59" s="2" t="inlineStr">
        <is>
          <t>https://www.coches.net/renault-clio-authentique-12-16v-75cv-5p-eco2-5p-gasolina-2009-en-valencia-71612608-covo.aspx</t>
        </is>
      </c>
      <c r="D59" s="2" t="inlineStr">
        <is>
          <t>RENAULT Clio Authentique 1.2 16v eco2</t>
        </is>
      </c>
      <c r="E59" s="2" t="inlineStr">
        <is>
          <t>Renault</t>
        </is>
      </c>
      <c r="F59" s="2" t="inlineStr">
        <is>
          <t>Renault Clio</t>
        </is>
      </c>
      <c r="G59" s="2" t="inlineStr">
        <is>
          <t>1.2</t>
        </is>
      </c>
      <c r="H59" s="2" t="inlineStr">
        <is>
          <t>Authentique 1.2 16v 75cv 5p. eco2</t>
        </is>
      </c>
      <c r="I59" s="2" t="n"/>
      <c r="J59" s="2" t="n">
        <v>75</v>
      </c>
      <c r="K59" s="2" t="inlineStr">
        <is>
          <t>gasolina</t>
        </is>
      </c>
      <c r="L59" s="2" t="inlineStr">
        <is>
          <t>utilitario</t>
        </is>
      </c>
      <c r="M59" s="2" t="n">
        <v>2009</v>
      </c>
      <c r="N59" s="2" t="n">
        <v>200500</v>
      </c>
      <c r="O59" s="2" t="n">
        <v>2200</v>
      </c>
      <c r="P59" s="2" t="inlineStr">
        <is>
          <t>manual</t>
        </is>
      </c>
      <c r="Q59" s="2" t="inlineStr">
        <is>
          <t>no</t>
        </is>
      </c>
      <c r="R59" s="2" t="inlineStr">
        <is>
          <t>particular</t>
        </is>
      </c>
      <c r="S59" s="2" t="inlineStr">
        <is>
          <t>Valencia</t>
        </is>
      </c>
      <c r="T59" s="2" t="inlineStr">
        <is>
          <t>2026-09-28T10:46:30Z</t>
        </is>
      </c>
      <c r="U59" s="2" t="n">
        <v>10</v>
      </c>
      <c r="V59" s="2" t="n"/>
      <c r="W59" s="2" t="n"/>
      <c r="X59" s="2" t="n"/>
      <c r="Y59" s="2" t="n"/>
      <c r="Z59" s="2" t="inlineStr">
        <is>
          <t>no</t>
        </is>
      </c>
      <c r="AA59" s="2" t="n"/>
      <c r="AB59" s="2" t="n"/>
      <c r="AC59" s="2" t="n"/>
      <c r="AD59" s="2" t="n"/>
      <c r="AE59" s="2" t="n"/>
      <c r="AF59" s="2" t="n"/>
      <c r="AG59" s="2" t="n"/>
      <c r="AH59" s="2" t="n">
        <v>2200</v>
      </c>
      <c r="AI59" s="2" t="n"/>
      <c r="AJ59" s="2" t="n"/>
      <c r="AK59" s="2" t="n"/>
      <c r="AL59" s="2" t="n"/>
      <c r="AM59" s="2" t="n">
        <v>0.1</v>
      </c>
      <c r="AN59" s="2" t="n">
        <v>2200</v>
      </c>
      <c r="AO59" s="2" t="n">
        <v>5</v>
      </c>
      <c r="AP59" s="2" t="inlineStr">
        <is>
          <t>modelo+año+km</t>
        </is>
      </c>
      <c r="AQ59" s="2" t="n"/>
      <c r="AR59" s="2" t="inlineStr">
        <is>
          <t>cuota fija ITP: &gt;12 años, hasta 1.500 cc</t>
        </is>
      </c>
      <c r="AS59" s="2" t="inlineStr">
        <is>
          <t>Si buscas un coche funcional y económico para moverte por la ciudad, este Renault Clio es una opción práctica a tener en cuenta. Se trata de un berlina de cinco puertas con motor 1.2 de 75 CV que destaca por su eficiencia en consumo, ideal para quienes quieren mantener los gastos de combustible bajo control sin renunciar a la movilidad diaria.
Con cambio manual y cinco plazas, ofrece la versatilidad que necesitas para desplazamientos cotidianos. Su tamaño compacto lo hace especialmente ágil en tráfico urbano y fácil de aparcar, mientras que la tracción delantera garantiza una buena estabilidad en cualquier condición.
Este modelo cuenta con la etiqueta medioambiental, lo que te permite acceder a determinadas zonas de circulación restringida en ciudades. Además, el motor sin plomo es respetuoso con el medio ambiente, un punto a favor si te importa tu huella ecológica.
Se vende tal como se ve, con el historial de uso que refleja un vehículo que ha prestado servicio durante años. Si tienes dudas sobre aspectos específicos del estado, equipamiento o historial del coche, no dudes en contactarme. Estoy disponible tanto por chat como por teléfono para resolver cualquier pregunta que tengas.
Es una buena oportunidad para quien busca un transporte fiable y asequible. Contacta hoy mismo si te interesa conocer más detalles o concertar una cita para verlo en persona.</t>
        </is>
      </c>
      <c r="AT59" s="2" t="inlineStr">
        <is>
          <t>https://www.coches.net/renault-clio-authentique-12-16v-75cv-5p-eco2-5p-gasolina-2009-en-valencia-71612608-covo.aspx (window.__INITIAL_PROPS__.ad) /home/user/Alopecia/buscador-coches/raw/cochesnet/0089906f83d7fbfd.json</t>
        </is>
      </c>
      <c r="AU59" s="3">
        <f>MAX(ANIO_ACTUAL-M59,0)</f>
        <v/>
      </c>
      <c r="AV59" s="4">
        <f>N59/MAX(AU59,0.5)</f>
        <v/>
      </c>
      <c r="AW59" s="4">
        <f>F59</f>
        <v/>
      </c>
      <c r="AX59" s="3">
        <f>AW59&amp;"|"&amp;INT(M59/SEG_ANIO)*SEG_ANIO</f>
        <v/>
      </c>
      <c r="AY59" s="3">
        <f>AX59&amp;"|"&amp;INT(N59/SEG_KM)*SEG_KM</f>
        <v/>
      </c>
      <c r="AZ59" s="4">
        <f>COUNTIF($AW$2:$AW$91,AW59)</f>
        <v/>
      </c>
      <c r="BA59" s="4">
        <f>COUNTIF($AX$2:$AX$91,AX59)</f>
        <v/>
      </c>
      <c r="BB59" s="4">
        <f>COUNTIF($AY$2:$AY$91,AY59)</f>
        <v/>
      </c>
      <c r="BC59" s="3">
        <f t="array" ref="BC59">IF(N(AO59)&gt;=MIN_N,AN59,IF(BB59&gt;=MIN_N,MEDIAN(IF($AY$2:$AY$91=AY59,$O$2:$O$91)),IF(BA59&gt;=MIN_N,MEDIAN(IF($AX$2:$AX$91=AX59,$O$2:$O$91)),MEDIAN(IF($AW$2:$AW$91=AW59,$O$2:$O$91)))))</f>
        <v/>
      </c>
      <c r="BD59" s="3">
        <f>IF(N(AO59)&gt;=MIN_N,"mercado "&amp;AP59,IF(BB59&gt;=MIN_N,"modelo+año+km",IF(BA59&gt;=MIN_N,"modelo+año","modelo")))</f>
        <v/>
      </c>
      <c r="BE59" s="4">
        <f>(BC59-O59)/BC59</f>
        <v/>
      </c>
      <c r="BF59" s="3">
        <f>IF(OR(K59="hibrido",K59="glp"),"ECO",IF(K59="electrico","CERO",IF(K59="gasolina",IF(M59&gt;=GAS_C,"C",IF(M59&gt;=GAS_B,"B","A")),IF(K59="diesel",IF(M59&gt;=DIE_C,"C",IF(M59&gt;=DIE_B,"B","A")),""))))</f>
        <v/>
      </c>
      <c r="BG59" s="3">
        <f>IFERROR(VLOOKUP(F59,MOD_TBL,11,0),IFERROR(VLOOKUP(E59,OCU_TBL,2,0),NEUTRO))</f>
        <v/>
      </c>
      <c r="BH59" s="3">
        <f>SUMIFS(MOT_AJUSTE,MOT_MOTOR,G59,MOT_MARCA,E59,MOT_DESDE,"&lt;="&amp;M59,MOT_HASTA,"&gt;="&amp;M59)+SUMIFS(MOT_AJUSTE,MOT_MOTOR,G59,MOT_MARCA,"(todas)",MOT_DESDE,"&lt;="&amp;M59,MOT_HASTA,"&gt;="&amp;M59)</f>
        <v/>
      </c>
      <c r="BI59" s="3">
        <f>SUMIFS(COMB_AJUSTE,COMB_COMB,K59)</f>
        <v/>
      </c>
      <c r="BJ59" s="4">
        <f>MAX(0,MIN(100,BG59+BH59+BI59))</f>
        <v/>
      </c>
      <c r="BK59" s="3">
        <f>MAX(0,MIN(100,50+BE59*PRECIO_PEND))</f>
        <v/>
      </c>
      <c r="BL59" s="3">
        <f>MAX(0,100*(1-N59/KM_MAX))</f>
        <v/>
      </c>
      <c r="BM59" s="3">
        <f>IF(AV59&lt;KMA_SOSP,IF(AA59="sí",100,KMA_PEN),IF(AV59&lt;=KMA_IDEAL_MAX,100,MAX(0,100*(KMA_CERO-AV59)/(KMA_CERO-KMA_IDEAL_MAX))))</f>
        <v/>
      </c>
      <c r="BN59" s="3">
        <f>MAX(0,MIN(100,100*(M59-ANIO_MIN)/(ANIO_ACTUAL-ANIO_MIN)))</f>
        <v/>
      </c>
      <c r="BO59" s="3">
        <f>W_KMT*BL59+W_KMA*BM59+W_EDAD*BN59</f>
        <v/>
      </c>
      <c r="BP59" s="3">
        <f>P_ITV*(V59="sí")+P_LIBRO*(W59="sí")+P_CORREA*(X59="sí")+P_PROP*(Y59=1)+P_GAR*(Z59="sí")+P_FOTOS*MIN(1,N(U59)/FOTOS_OBJ)</f>
        <v/>
      </c>
      <c r="BQ59" s="3">
        <f>IFERROR(VLOOKUP(BF59,ETQ_TBL,2,0),NEUTRO)</f>
        <v/>
      </c>
      <c r="BR59" s="3">
        <f>NEUTRO</f>
        <v/>
      </c>
      <c r="BS59" s="3">
        <f>IFERROR(VLOOKUP(L59,SEGURO_TBL,3,0),"")</f>
        <v/>
      </c>
      <c r="BT59" s="3">
        <f>IF(BS59="",NEUTRO,MAX(0,MIN(100,100*(SEG_REF_MAX-BS59)/(SEG_REF_MAX-SEG_REF_MIN))))</f>
        <v/>
      </c>
      <c r="BU59" s="3">
        <f>W_ET*BQ59+W_CONS*BR59+W_SEG*BT59</f>
        <v/>
      </c>
      <c r="BV59" s="3">
        <f>IF(N(AB59)&gt;0,AB59,IF(AND(R59="profesional",SG_LEGAL_ON=1),GAR_LEGAL,0))</f>
        <v/>
      </c>
      <c r="BW59" s="3">
        <f>SG_GAR*MIN(1,BV59/SG_GAR_FULL)+SG_AMPL*(AC59="sí")+SG_KMC*(AF59="sí")+SG_REV*(N(AE59)&gt;0)+SG_DEV*MIN(1,N(AG59)/SG_DEV_FULL)+SG_HIST*(W59="sí")</f>
        <v/>
      </c>
      <c r="BX59" s="3">
        <f>W_FIAB*BJ59+W_PRECIO*BK59+W_KMEDAD*BO59+W_ANUNCIO*BP59+W_USO*BU59+W_SEGURIDAD*BW59</f>
        <v/>
      </c>
      <c r="BY59" s="4">
        <f>IF(N(I59)&gt;0,I59,IFERROR(ROUND(_xlfn.NUMBERVALUE(LEFT(G59,FIND(" ",G59&amp;" ")-1),".")*1000,0),99999))</f>
        <v/>
      </c>
      <c r="BZ59" s="3">
        <f>IF(R59="profesional",0,IF(O59&lt;CUOTA_VALOR_MAX,IF(AU59&gt;ITP_TRAMO_ALTO,SUMIFS(CF_CUOTA,CF_MAS,ITP_TRAMO_ALTO,CF_CCMIN,"&lt;="&amp;BY59,CF_CCMAX,"&gt;="&amp;BY59),IF(AU59&gt;ITP_TRAMO_BAJO,SUMIFS(CF_CUOTA,CF_MAS,ITP_TRAMO_BAJO,CF_CCMIN,"&lt;="&amp;BY59,CF_CCMAX,"&gt;="&amp;BY59),O59*ITP_TIPO)),O59*ITP_TIPO))</f>
        <v/>
      </c>
      <c r="CA59" s="4">
        <f>IF(R59="profesional",N(AK59),0)</f>
        <v/>
      </c>
      <c r="CB59" s="3">
        <f>IF(AND(R59="profesional",ISNUMBER(AK59),AL59="sí"),0,TASA_DGT)</f>
        <v/>
      </c>
      <c r="CC59" s="3">
        <f>INFORME_DGT</f>
        <v/>
      </c>
      <c r="CD59" s="4">
        <f>O59+CA59+BZ59+CB59+CC59</f>
        <v/>
      </c>
      <c r="CE59" s="4">
        <f>CD59+N(BS59)</f>
        <v/>
      </c>
      <c r="CF59" s="3">
        <f>IF(CD59&lt;=TOTAL_MAX,"sí","no")</f>
        <v/>
      </c>
      <c r="CG59" s="4">
        <f>IF(CF59="sí",COUNTIFS($CF$2:$CF$91,"sí",$BX$2:$BX$91,"&gt;"&amp;BX59)+COUNTIFS($CF$2:CF59,"sí",$BX$2:BX59,BX59),"")</f>
        <v/>
      </c>
    </row>
    <row r="60">
      <c r="A60" s="2" t="inlineStr">
        <is>
          <t>cochesnet:71581046</t>
        </is>
      </c>
      <c r="B60" s="2" t="inlineStr">
        <is>
          <t>cochesnet</t>
        </is>
      </c>
      <c r="C60" s="2" t="inlineStr">
        <is>
          <t>https://www.coches.net/renault-clio-20-aniversario-12-16v-75cv-5p-eco2-5p-gasolina-2010-en-valencia-71581046-covo.aspx</t>
        </is>
      </c>
      <c r="D60" s="2" t="inlineStr">
        <is>
          <t>RENAULT Clio 20 Aniversario 1.2 16v eco2</t>
        </is>
      </c>
      <c r="E60" s="2" t="inlineStr">
        <is>
          <t>Renault</t>
        </is>
      </c>
      <c r="F60" s="2" t="inlineStr">
        <is>
          <t>Renault Clio</t>
        </is>
      </c>
      <c r="G60" s="2" t="inlineStr">
        <is>
          <t>1.2</t>
        </is>
      </c>
      <c r="H60" s="2" t="inlineStr">
        <is>
          <t>20 Aniversario 1.2 16v 75cv 5p. eco2</t>
        </is>
      </c>
      <c r="I60" s="2" t="n"/>
      <c r="J60" s="2" t="n">
        <v>75</v>
      </c>
      <c r="K60" s="2" t="inlineStr">
        <is>
          <t>gasolina</t>
        </is>
      </c>
      <c r="L60" s="2" t="inlineStr">
        <is>
          <t>utilitario</t>
        </is>
      </c>
      <c r="M60" s="2" t="n">
        <v>2013</v>
      </c>
      <c r="N60" s="2" t="n">
        <v>173000</v>
      </c>
      <c r="O60" s="2" t="n">
        <v>4300</v>
      </c>
      <c r="P60" s="2" t="inlineStr">
        <is>
          <t>automatico</t>
        </is>
      </c>
      <c r="Q60" s="2" t="inlineStr">
        <is>
          <t>sí</t>
        </is>
      </c>
      <c r="R60" s="2" t="inlineStr">
        <is>
          <t>particular</t>
        </is>
      </c>
      <c r="S60" s="2" t="inlineStr">
        <is>
          <t>Valencia</t>
        </is>
      </c>
      <c r="T60" s="2" t="inlineStr">
        <is>
          <t>2026-09-23T20:06:01Z</t>
        </is>
      </c>
      <c r="U60" s="2" t="n"/>
      <c r="V60" s="2" t="inlineStr">
        <is>
          <t>sí</t>
        </is>
      </c>
      <c r="W60" s="2" t="n"/>
      <c r="X60" s="2" t="n"/>
      <c r="Y60" s="2" t="n"/>
      <c r="Z60" s="2" t="inlineStr">
        <is>
          <t>no</t>
        </is>
      </c>
      <c r="AA60" s="2" t="n"/>
      <c r="AB60" s="2" t="n"/>
      <c r="AC60" s="2" t="n"/>
      <c r="AD60" s="2" t="n"/>
      <c r="AE60" s="2" t="n"/>
      <c r="AF60" s="2" t="n"/>
      <c r="AG60" s="2" t="n"/>
      <c r="AH60" s="2" t="n">
        <v>4300</v>
      </c>
      <c r="AI60" s="2" t="n"/>
      <c r="AJ60" s="2" t="n"/>
      <c r="AK60" s="2" t="n"/>
      <c r="AL60" s="2" t="n"/>
      <c r="AM60" s="2" t="n">
        <v>0.1</v>
      </c>
      <c r="AN60" s="2" t="n">
        <v>5500</v>
      </c>
      <c r="AO60" s="2" t="n">
        <v>9</v>
      </c>
      <c r="AP60" s="2" t="inlineStr">
        <is>
          <t>modelo+año</t>
        </is>
      </c>
      <c r="AQ60" s="2" t="n"/>
      <c r="AR60" s="2" t="inlineStr">
        <is>
          <t>antigüedad en el límite del tramo: depende de la fecha exacta de matriculación; cuota fija ITP: &gt;12 años, hasta 1.500 cc</t>
        </is>
      </c>
      <c r="AS60" s="2" t="inlineStr">
        <is>
          <t>Renault Clio 1.6 Sport EDC 200 del año 2013 en excelente estado. Motor gasolina de 147 kW (200 CV) con cambio automático.
El coche cuenta con 173.000 km reales, ITV al día y todos los mantenimientos realizados a tiempo. Carrocería en color Gris Platino metalizado, impecable, y un interior limpio y bien cuidado.</t>
        </is>
      </c>
      <c r="AT60" s="2" t="inlineStr">
        <is>
          <t>https://www.coches.net/renault-clio-20-aniversario-12-16v-75cv-5p-eco2-5p-gasolina-2010-en-valencia-71581046-covo.aspx (window.__INITIAL_PROPS__.ad) /home/user/Alopecia/buscador-coches/raw/cochesnet/462b3dc17282dddb.json</t>
        </is>
      </c>
      <c r="AU60" s="3">
        <f>MAX(ANIO_ACTUAL-M60,0)</f>
        <v/>
      </c>
      <c r="AV60" s="4">
        <f>N60/MAX(AU60,0.5)</f>
        <v/>
      </c>
      <c r="AW60" s="4">
        <f>F60</f>
        <v/>
      </c>
      <c r="AX60" s="3">
        <f>AW60&amp;"|"&amp;INT(M60/SEG_ANIO)*SEG_ANIO</f>
        <v/>
      </c>
      <c r="AY60" s="3">
        <f>AX60&amp;"|"&amp;INT(N60/SEG_KM)*SEG_KM</f>
        <v/>
      </c>
      <c r="AZ60" s="4">
        <f>COUNTIF($AW$2:$AW$91,AW60)</f>
        <v/>
      </c>
      <c r="BA60" s="4">
        <f>COUNTIF($AX$2:$AX$91,AX60)</f>
        <v/>
      </c>
      <c r="BB60" s="4">
        <f>COUNTIF($AY$2:$AY$91,AY60)</f>
        <v/>
      </c>
      <c r="BC60" s="3">
        <f t="array" ref="BC60">IF(N(AO60)&gt;=MIN_N,AN60,IF(BB60&gt;=MIN_N,MEDIAN(IF($AY$2:$AY$91=AY60,$O$2:$O$91)),IF(BA60&gt;=MIN_N,MEDIAN(IF($AX$2:$AX$91=AX60,$O$2:$O$91)),MEDIAN(IF($AW$2:$AW$91=AW60,$O$2:$O$91)))))</f>
        <v/>
      </c>
      <c r="BD60" s="3">
        <f>IF(N(AO60)&gt;=MIN_N,"mercado "&amp;AP60,IF(BB60&gt;=MIN_N,"modelo+año+km",IF(BA60&gt;=MIN_N,"modelo+año","modelo")))</f>
        <v/>
      </c>
      <c r="BE60" s="4">
        <f>(BC60-O60)/BC60</f>
        <v/>
      </c>
      <c r="BF60" s="3">
        <f>IF(OR(K60="hibrido",K60="glp"),"ECO",IF(K60="electrico","CERO",IF(K60="gasolina",IF(M60&gt;=GAS_C,"C",IF(M60&gt;=GAS_B,"B","A")),IF(K60="diesel",IF(M60&gt;=DIE_C,"C",IF(M60&gt;=DIE_B,"B","A")),""))))</f>
        <v/>
      </c>
      <c r="BG60" s="3">
        <f>IFERROR(VLOOKUP(F60,MOD_TBL,11,0),IFERROR(VLOOKUP(E60,OCU_TBL,2,0),NEUTRO))</f>
        <v/>
      </c>
      <c r="BH60" s="3">
        <f>SUMIFS(MOT_AJUSTE,MOT_MOTOR,G60,MOT_MARCA,E60,MOT_DESDE,"&lt;="&amp;M60,MOT_HASTA,"&gt;="&amp;M60)+SUMIFS(MOT_AJUSTE,MOT_MOTOR,G60,MOT_MARCA,"(todas)",MOT_DESDE,"&lt;="&amp;M60,MOT_HASTA,"&gt;="&amp;M60)</f>
        <v/>
      </c>
      <c r="BI60" s="3">
        <f>SUMIFS(COMB_AJUSTE,COMB_COMB,K60)</f>
        <v/>
      </c>
      <c r="BJ60" s="4">
        <f>MAX(0,MIN(100,BG60+BH60+BI60))</f>
        <v/>
      </c>
      <c r="BK60" s="3">
        <f>MAX(0,MIN(100,50+BE60*PRECIO_PEND))</f>
        <v/>
      </c>
      <c r="BL60" s="3">
        <f>MAX(0,100*(1-N60/KM_MAX))</f>
        <v/>
      </c>
      <c r="BM60" s="3">
        <f>IF(AV60&lt;KMA_SOSP,IF(AA60="sí",100,KMA_PEN),IF(AV60&lt;=KMA_IDEAL_MAX,100,MAX(0,100*(KMA_CERO-AV60)/(KMA_CERO-KMA_IDEAL_MAX))))</f>
        <v/>
      </c>
      <c r="BN60" s="3">
        <f>MAX(0,MIN(100,100*(M60-ANIO_MIN)/(ANIO_ACTUAL-ANIO_MIN)))</f>
        <v/>
      </c>
      <c r="BO60" s="3">
        <f>W_KMT*BL60+W_KMA*BM60+W_EDAD*BN60</f>
        <v/>
      </c>
      <c r="BP60" s="3">
        <f>P_ITV*(V60="sí")+P_LIBRO*(W60="sí")+P_CORREA*(X60="sí")+P_PROP*(Y60=1)+P_GAR*(Z60="sí")+P_FOTOS*MIN(1,N(U60)/FOTOS_OBJ)</f>
        <v/>
      </c>
      <c r="BQ60" s="3">
        <f>IFERROR(VLOOKUP(BF60,ETQ_TBL,2,0),NEUTRO)</f>
        <v/>
      </c>
      <c r="BR60" s="3">
        <f>NEUTRO</f>
        <v/>
      </c>
      <c r="BS60" s="3">
        <f>IFERROR(VLOOKUP(L60,SEGURO_TBL,3,0),"")</f>
        <v/>
      </c>
      <c r="BT60" s="3">
        <f>IF(BS60="",NEUTRO,MAX(0,MIN(100,100*(SEG_REF_MAX-BS60)/(SEG_REF_MAX-SEG_REF_MIN))))</f>
        <v/>
      </c>
      <c r="BU60" s="3">
        <f>W_ET*BQ60+W_CONS*BR60+W_SEG*BT60</f>
        <v/>
      </c>
      <c r="BV60" s="3">
        <f>IF(N(AB60)&gt;0,AB60,IF(AND(R60="profesional",SG_LEGAL_ON=1),GAR_LEGAL,0))</f>
        <v/>
      </c>
      <c r="BW60" s="3">
        <f>SG_GAR*MIN(1,BV60/SG_GAR_FULL)+SG_AMPL*(AC60="sí")+SG_KMC*(AF60="sí")+SG_REV*(N(AE60)&gt;0)+SG_DEV*MIN(1,N(AG60)/SG_DEV_FULL)+SG_HIST*(W60="sí")</f>
        <v/>
      </c>
      <c r="BX60" s="3">
        <f>W_FIAB*BJ60+W_PRECIO*BK60+W_KMEDAD*BO60+W_ANUNCIO*BP60+W_USO*BU60+W_SEGURIDAD*BW60</f>
        <v/>
      </c>
      <c r="BY60" s="4">
        <f>IF(N(I60)&gt;0,I60,IFERROR(ROUND(_xlfn.NUMBERVALUE(LEFT(G60,FIND(" ",G60&amp;" ")-1),".")*1000,0),99999))</f>
        <v/>
      </c>
      <c r="BZ60" s="3">
        <f>IF(R60="profesional",0,IF(O60&lt;CUOTA_VALOR_MAX,IF(AU60&gt;ITP_TRAMO_ALTO,SUMIFS(CF_CUOTA,CF_MAS,ITP_TRAMO_ALTO,CF_CCMIN,"&lt;="&amp;BY60,CF_CCMAX,"&gt;="&amp;BY60),IF(AU60&gt;ITP_TRAMO_BAJO,SUMIFS(CF_CUOTA,CF_MAS,ITP_TRAMO_BAJO,CF_CCMIN,"&lt;="&amp;BY60,CF_CCMAX,"&gt;="&amp;BY60),O60*ITP_TIPO)),O60*ITP_TIPO))</f>
        <v/>
      </c>
      <c r="CA60" s="4">
        <f>IF(R60="profesional",N(AK60),0)</f>
        <v/>
      </c>
      <c r="CB60" s="3">
        <f>IF(AND(R60="profesional",ISNUMBER(AK60),AL60="sí"),0,TASA_DGT)</f>
        <v/>
      </c>
      <c r="CC60" s="3">
        <f>INFORME_DGT</f>
        <v/>
      </c>
      <c r="CD60" s="4">
        <f>O60+CA60+BZ60+CB60+CC60</f>
        <v/>
      </c>
      <c r="CE60" s="4">
        <f>CD60+N(BS60)</f>
        <v/>
      </c>
      <c r="CF60" s="3">
        <f>IF(CD60&lt;=TOTAL_MAX,"sí","no")</f>
        <v/>
      </c>
      <c r="CG60" s="4">
        <f>IF(CF60="sí",COUNTIFS($CF$2:$CF$91,"sí",$BX$2:$BX$91,"&gt;"&amp;BX60)+COUNTIFS($CF$2:CF60,"sí",$BX$2:BX60,BX60),"")</f>
        <v/>
      </c>
    </row>
    <row r="61">
      <c r="A61" s="2" t="inlineStr">
        <is>
          <t>cochesnet:71399209</t>
        </is>
      </c>
      <c r="B61" s="2" t="inlineStr">
        <is>
          <t>cochesnet</t>
        </is>
      </c>
      <c r="C61" s="2" t="inlineStr">
        <is>
          <t>https://www.coches.net/renault-megane-emotion-2008-14-16v-5p-gasolina-2008-en-valencia-71399209-covo.aspx</t>
        </is>
      </c>
      <c r="D61" s="2" t="inlineStr">
        <is>
          <t>RENAULT Mégane Emotion 2008 1.4 16V</t>
        </is>
      </c>
      <c r="E61" s="2" t="inlineStr">
        <is>
          <t>Renault</t>
        </is>
      </c>
      <c r="F61" s="2" t="inlineStr">
        <is>
          <t>Renault Mégane</t>
        </is>
      </c>
      <c r="G61" s="2" t="inlineStr">
        <is>
          <t>1.4</t>
        </is>
      </c>
      <c r="H61" s="2" t="inlineStr">
        <is>
          <t>Emotion 2008 1.4 16V</t>
        </is>
      </c>
      <c r="I61" s="2" t="n"/>
      <c r="J61" s="2" t="n"/>
      <c r="K61" s="2" t="inlineStr">
        <is>
          <t>gasolina</t>
        </is>
      </c>
      <c r="L61" s="2" t="inlineStr">
        <is>
          <t>compacto</t>
        </is>
      </c>
      <c r="M61" s="2" t="n">
        <v>2008</v>
      </c>
      <c r="N61" s="2" t="n">
        <v>134000</v>
      </c>
      <c r="O61" s="2" t="n">
        <v>4590</v>
      </c>
      <c r="P61" s="2" t="inlineStr">
        <is>
          <t>manual</t>
        </is>
      </c>
      <c r="Q61" s="2" t="inlineStr">
        <is>
          <t>no</t>
        </is>
      </c>
      <c r="R61" s="2" t="inlineStr">
        <is>
          <t>profesional</t>
        </is>
      </c>
      <c r="S61" s="2" t="inlineStr">
        <is>
          <t>Only Cars Valencia Aldaia</t>
        </is>
      </c>
      <c r="T61" s="2" t="inlineStr">
        <is>
          <t>2026-08-31T12:15:05Z</t>
        </is>
      </c>
      <c r="U61" s="2" t="n">
        <v>11</v>
      </c>
      <c r="V61" s="2" t="n"/>
      <c r="W61" s="2" t="n"/>
      <c r="X61" s="2" t="n"/>
      <c r="Y61" s="2" t="n">
        <v>1</v>
      </c>
      <c r="Z61" s="2" t="inlineStr">
        <is>
          <t>sí</t>
        </is>
      </c>
      <c r="AA61" s="2" t="n"/>
      <c r="AB61" s="2" t="n">
        <v>12</v>
      </c>
      <c r="AC61" s="2" t="n"/>
      <c r="AD61" s="2" t="n"/>
      <c r="AE61" s="2" t="n"/>
      <c r="AF61" s="2" t="n"/>
      <c r="AG61" s="2" t="n"/>
      <c r="AH61" s="2" t="n">
        <v>4590</v>
      </c>
      <c r="AI61" s="2" t="n"/>
      <c r="AJ61" s="2" t="n"/>
      <c r="AK61" s="2" t="n"/>
      <c r="AL61" s="2" t="n"/>
      <c r="AM61" s="2" t="n">
        <v>7.5</v>
      </c>
      <c r="AN61" s="2" t="n">
        <v>4545</v>
      </c>
      <c r="AO61" s="2" t="n">
        <v>4</v>
      </c>
      <c r="AP61" s="2" t="inlineStr">
        <is>
          <t>modelo+año+km</t>
        </is>
      </c>
      <c r="AQ61" s="2" t="n"/>
      <c r="AR61" s="2" t="inlineStr">
        <is>
          <t>vendedor profesional: sin ITP (operación con IVA/REBU, confirmar en factura); gastos de gestión del vendedor no indicados: se suma la tasa DGT; preguntar el precio final</t>
        </is>
      </c>
      <c r="AS61"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61" s="2" t="inlineStr">
        <is>
          <t>https://www.coches.net/renault-megane-emotion-2008-14-16v-5p-gasolina-2008-en-valencia-71399209-covo.aspx (window.__INITIAL_PROPS__.ad) /home/user/Alopecia/buscador-coches/raw/cochesnet/893afa53c262edfe.json</t>
        </is>
      </c>
      <c r="AU61" s="3">
        <f>MAX(ANIO_ACTUAL-M61,0)</f>
        <v/>
      </c>
      <c r="AV61" s="4">
        <f>N61/MAX(AU61,0.5)</f>
        <v/>
      </c>
      <c r="AW61" s="4">
        <f>F61</f>
        <v/>
      </c>
      <c r="AX61" s="3">
        <f>AW61&amp;"|"&amp;INT(M61/SEG_ANIO)*SEG_ANIO</f>
        <v/>
      </c>
      <c r="AY61" s="3">
        <f>AX61&amp;"|"&amp;INT(N61/SEG_KM)*SEG_KM</f>
        <v/>
      </c>
      <c r="AZ61" s="4">
        <f>COUNTIF($AW$2:$AW$91,AW61)</f>
        <v/>
      </c>
      <c r="BA61" s="4">
        <f>COUNTIF($AX$2:$AX$91,AX61)</f>
        <v/>
      </c>
      <c r="BB61" s="4">
        <f>COUNTIF($AY$2:$AY$91,AY61)</f>
        <v/>
      </c>
      <c r="BC61" s="3">
        <f t="array" ref="BC61">IF(N(AO61)&gt;=MIN_N,AN61,IF(BB61&gt;=MIN_N,MEDIAN(IF($AY$2:$AY$91=AY61,$O$2:$O$91)),IF(BA61&gt;=MIN_N,MEDIAN(IF($AX$2:$AX$91=AX61,$O$2:$O$91)),MEDIAN(IF($AW$2:$AW$91=AW61,$O$2:$O$91)))))</f>
        <v/>
      </c>
      <c r="BD61" s="3">
        <f>IF(N(AO61)&gt;=MIN_N,"mercado "&amp;AP61,IF(BB61&gt;=MIN_N,"modelo+año+km",IF(BA61&gt;=MIN_N,"modelo+año","modelo")))</f>
        <v/>
      </c>
      <c r="BE61" s="4">
        <f>(BC61-O61)/BC61</f>
        <v/>
      </c>
      <c r="BF61" s="3">
        <f>IF(OR(K61="hibrido",K61="glp"),"ECO",IF(K61="electrico","CERO",IF(K61="gasolina",IF(M61&gt;=GAS_C,"C",IF(M61&gt;=GAS_B,"B","A")),IF(K61="diesel",IF(M61&gt;=DIE_C,"C",IF(M61&gt;=DIE_B,"B","A")),""))))</f>
        <v/>
      </c>
      <c r="BG61" s="3">
        <f>IFERROR(VLOOKUP(F61,MOD_TBL,11,0),IFERROR(VLOOKUP(E61,OCU_TBL,2,0),NEUTRO))</f>
        <v/>
      </c>
      <c r="BH61" s="3">
        <f>SUMIFS(MOT_AJUSTE,MOT_MOTOR,G61,MOT_MARCA,E61,MOT_DESDE,"&lt;="&amp;M61,MOT_HASTA,"&gt;="&amp;M61)+SUMIFS(MOT_AJUSTE,MOT_MOTOR,G61,MOT_MARCA,"(todas)",MOT_DESDE,"&lt;="&amp;M61,MOT_HASTA,"&gt;="&amp;M61)</f>
        <v/>
      </c>
      <c r="BI61" s="3">
        <f>SUMIFS(COMB_AJUSTE,COMB_COMB,K61)</f>
        <v/>
      </c>
      <c r="BJ61" s="4">
        <f>MAX(0,MIN(100,BG61+BH61+BI61))</f>
        <v/>
      </c>
      <c r="BK61" s="3">
        <f>MAX(0,MIN(100,50+BE61*PRECIO_PEND))</f>
        <v/>
      </c>
      <c r="BL61" s="3">
        <f>MAX(0,100*(1-N61/KM_MAX))</f>
        <v/>
      </c>
      <c r="BM61" s="3">
        <f>IF(AV61&lt;KMA_SOSP,IF(AA61="sí",100,KMA_PEN),IF(AV61&lt;=KMA_IDEAL_MAX,100,MAX(0,100*(KMA_CERO-AV61)/(KMA_CERO-KMA_IDEAL_MAX))))</f>
        <v/>
      </c>
      <c r="BN61" s="3">
        <f>MAX(0,MIN(100,100*(M61-ANIO_MIN)/(ANIO_ACTUAL-ANIO_MIN)))</f>
        <v/>
      </c>
      <c r="BO61" s="3">
        <f>W_KMT*BL61+W_KMA*BM61+W_EDAD*BN61</f>
        <v/>
      </c>
      <c r="BP61" s="3">
        <f>P_ITV*(V61="sí")+P_LIBRO*(W61="sí")+P_CORREA*(X61="sí")+P_PROP*(Y61=1)+P_GAR*(Z61="sí")+P_FOTOS*MIN(1,N(U61)/FOTOS_OBJ)</f>
        <v/>
      </c>
      <c r="BQ61" s="3">
        <f>IFERROR(VLOOKUP(BF61,ETQ_TBL,2,0),NEUTRO)</f>
        <v/>
      </c>
      <c r="BR61" s="3">
        <f>NEUTRO</f>
        <v/>
      </c>
      <c r="BS61" s="3">
        <f>IFERROR(VLOOKUP(L61,SEGURO_TBL,3,0),"")</f>
        <v/>
      </c>
      <c r="BT61" s="3">
        <f>IF(BS61="",NEUTRO,MAX(0,MIN(100,100*(SEG_REF_MAX-BS61)/(SEG_REF_MAX-SEG_REF_MIN))))</f>
        <v/>
      </c>
      <c r="BU61" s="3">
        <f>W_ET*BQ61+W_CONS*BR61+W_SEG*BT61</f>
        <v/>
      </c>
      <c r="BV61" s="3">
        <f>IF(N(AB61)&gt;0,AB61,IF(AND(R61="profesional",SG_LEGAL_ON=1),GAR_LEGAL,0))</f>
        <v/>
      </c>
      <c r="BW61" s="3">
        <f>SG_GAR*MIN(1,BV61/SG_GAR_FULL)+SG_AMPL*(AC61="sí")+SG_KMC*(AF61="sí")+SG_REV*(N(AE61)&gt;0)+SG_DEV*MIN(1,N(AG61)/SG_DEV_FULL)+SG_HIST*(W61="sí")</f>
        <v/>
      </c>
      <c r="BX61" s="3">
        <f>W_FIAB*BJ61+W_PRECIO*BK61+W_KMEDAD*BO61+W_ANUNCIO*BP61+W_USO*BU61+W_SEGURIDAD*BW61</f>
        <v/>
      </c>
      <c r="BY61" s="4">
        <f>IF(N(I61)&gt;0,I61,IFERROR(ROUND(_xlfn.NUMBERVALUE(LEFT(G61,FIND(" ",G61&amp;" ")-1),".")*1000,0),99999))</f>
        <v/>
      </c>
      <c r="BZ61" s="3">
        <f>IF(R61="profesional",0,IF(O61&lt;CUOTA_VALOR_MAX,IF(AU61&gt;ITP_TRAMO_ALTO,SUMIFS(CF_CUOTA,CF_MAS,ITP_TRAMO_ALTO,CF_CCMIN,"&lt;="&amp;BY61,CF_CCMAX,"&gt;="&amp;BY61),IF(AU61&gt;ITP_TRAMO_BAJO,SUMIFS(CF_CUOTA,CF_MAS,ITP_TRAMO_BAJO,CF_CCMIN,"&lt;="&amp;BY61,CF_CCMAX,"&gt;="&amp;BY61),O61*ITP_TIPO)),O61*ITP_TIPO))</f>
        <v/>
      </c>
      <c r="CA61" s="4">
        <f>IF(R61="profesional",N(AK61),0)</f>
        <v/>
      </c>
      <c r="CB61" s="3">
        <f>IF(AND(R61="profesional",ISNUMBER(AK61),AL61="sí"),0,TASA_DGT)</f>
        <v/>
      </c>
      <c r="CC61" s="3">
        <f>INFORME_DGT</f>
        <v/>
      </c>
      <c r="CD61" s="4">
        <f>O61+CA61+BZ61+CB61+CC61</f>
        <v/>
      </c>
      <c r="CE61" s="4">
        <f>CD61+N(BS61)</f>
        <v/>
      </c>
      <c r="CF61" s="3">
        <f>IF(CD61&lt;=TOTAL_MAX,"sí","no")</f>
        <v/>
      </c>
      <c r="CG61" s="4">
        <f>IF(CF61="sí",COUNTIFS($CF$2:$CF$91,"sí",$BX$2:$BX$91,"&gt;"&amp;BX61)+COUNTIFS($CF$2:CF61,"sí",$BX$2:BX61,BX61),"")</f>
        <v/>
      </c>
    </row>
    <row r="62">
      <c r="A62" s="2" t="inlineStr">
        <is>
          <t>cochesnet:71224992</t>
        </is>
      </c>
      <c r="B62" s="2" t="inlineStr">
        <is>
          <t>cochesnet</t>
        </is>
      </c>
      <c r="C62" s="2" t="inlineStr">
        <is>
          <t>https://www.coches.net/renault-megane-dynamique-16-16v-110-e5-5p-gasolina-2010-en-valencia-71224992-covo.aspx</t>
        </is>
      </c>
      <c r="D62" s="2" t="inlineStr">
        <is>
          <t>RENAULT Mégane Dynamique 1.6 16v 110 E5</t>
        </is>
      </c>
      <c r="E62" s="2" t="inlineStr">
        <is>
          <t>Renault</t>
        </is>
      </c>
      <c r="F62" s="2" t="inlineStr">
        <is>
          <t>Renault Mégane</t>
        </is>
      </c>
      <c r="G62" s="2" t="inlineStr">
        <is>
          <t>1.6</t>
        </is>
      </c>
      <c r="H62" s="2" t="inlineStr">
        <is>
          <t>Dynamique 1.6 16v 110 E5</t>
        </is>
      </c>
      <c r="I62" s="2" t="n"/>
      <c r="J62" s="2" t="n"/>
      <c r="K62" s="2" t="inlineStr">
        <is>
          <t>gasolina</t>
        </is>
      </c>
      <c r="L62" s="2" t="inlineStr">
        <is>
          <t>compacto</t>
        </is>
      </c>
      <c r="M62" s="2" t="n">
        <v>2011</v>
      </c>
      <c r="N62" s="2" t="n">
        <v>170000</v>
      </c>
      <c r="O62" s="2" t="n">
        <v>4490</v>
      </c>
      <c r="P62" s="2" t="inlineStr">
        <is>
          <t>manual</t>
        </is>
      </c>
      <c r="Q62" s="2" t="inlineStr">
        <is>
          <t>no</t>
        </is>
      </c>
      <c r="R62" s="2" t="inlineStr">
        <is>
          <t>profesional</t>
        </is>
      </c>
      <c r="S62" s="2" t="inlineStr">
        <is>
          <t>Cullera</t>
        </is>
      </c>
      <c r="T62" s="2" t="inlineStr">
        <is>
          <t>2026-08-04T11:55:07Z</t>
        </is>
      </c>
      <c r="U62" s="2" t="n">
        <v>16</v>
      </c>
      <c r="V62" s="2" t="n"/>
      <c r="W62" s="2" t="n"/>
      <c r="X62" s="2" t="n"/>
      <c r="Y62" s="2" t="n"/>
      <c r="Z62" s="2" t="inlineStr">
        <is>
          <t>sí</t>
        </is>
      </c>
      <c r="AA62" s="2" t="n"/>
      <c r="AB62" s="2" t="n">
        <v>12</v>
      </c>
      <c r="AC62" s="2" t="n"/>
      <c r="AD62" s="2" t="n"/>
      <c r="AE62" s="2" t="n"/>
      <c r="AF62" s="2" t="n"/>
      <c r="AG62" s="2" t="n"/>
      <c r="AH62" s="2" t="n">
        <v>4490</v>
      </c>
      <c r="AI62" s="2" t="n"/>
      <c r="AJ62" s="2" t="n"/>
      <c r="AK62" s="2" t="n"/>
      <c r="AL62" s="2" t="n"/>
      <c r="AM62" s="2" t="n">
        <v>35.4</v>
      </c>
      <c r="AN62" s="2" t="n">
        <v>5045</v>
      </c>
      <c r="AO62" s="2" t="n">
        <v>6</v>
      </c>
      <c r="AP62" s="2" t="inlineStr">
        <is>
          <t>modelo+año+km</t>
        </is>
      </c>
      <c r="AQ62" s="2" t="n"/>
      <c r="AR62" s="2" t="inlineStr">
        <is>
          <t>vendedor profesional: sin ITP (operación con IVA/REBU, confirmar en factura); gastos de gestión del vendedor no indicados: se suma la tasa DGT; preguntar el precio final</t>
        </is>
      </c>
      <c r="AS62"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AT62" s="2" t="inlineStr">
        <is>
          <t>https://www.coches.net/renault-megane-dynamique-16-16v-110-e5-5p-gasolina-2010-en-valencia-71224992-covo.aspx (window.__INITIAL_PROPS__.ad) /home/user/Alopecia/buscador-coches/raw/cochesnet/b60848ab8e8cf1e1.json</t>
        </is>
      </c>
      <c r="AU62" s="3">
        <f>MAX(ANIO_ACTUAL-M62,0)</f>
        <v/>
      </c>
      <c r="AV62" s="4">
        <f>N62/MAX(AU62,0.5)</f>
        <v/>
      </c>
      <c r="AW62" s="4">
        <f>F62</f>
        <v/>
      </c>
      <c r="AX62" s="3">
        <f>AW62&amp;"|"&amp;INT(M62/SEG_ANIO)*SEG_ANIO</f>
        <v/>
      </c>
      <c r="AY62" s="3">
        <f>AX62&amp;"|"&amp;INT(N62/SEG_KM)*SEG_KM</f>
        <v/>
      </c>
      <c r="AZ62" s="4">
        <f>COUNTIF($AW$2:$AW$91,AW62)</f>
        <v/>
      </c>
      <c r="BA62" s="4">
        <f>COUNTIF($AX$2:$AX$91,AX62)</f>
        <v/>
      </c>
      <c r="BB62" s="4">
        <f>COUNTIF($AY$2:$AY$91,AY62)</f>
        <v/>
      </c>
      <c r="BC62" s="3">
        <f t="array" ref="BC62">IF(N(AO62)&gt;=MIN_N,AN62,IF(BB62&gt;=MIN_N,MEDIAN(IF($AY$2:$AY$91=AY62,$O$2:$O$91)),IF(BA62&gt;=MIN_N,MEDIAN(IF($AX$2:$AX$91=AX62,$O$2:$O$91)),MEDIAN(IF($AW$2:$AW$91=AW62,$O$2:$O$91)))))</f>
        <v/>
      </c>
      <c r="BD62" s="3">
        <f>IF(N(AO62)&gt;=MIN_N,"mercado "&amp;AP62,IF(BB62&gt;=MIN_N,"modelo+año+km",IF(BA62&gt;=MIN_N,"modelo+año","modelo")))</f>
        <v/>
      </c>
      <c r="BE62" s="4">
        <f>(BC62-O62)/BC62</f>
        <v/>
      </c>
      <c r="BF62" s="3">
        <f>IF(OR(K62="hibrido",K62="glp"),"ECO",IF(K62="electrico","CERO",IF(K62="gasolina",IF(M62&gt;=GAS_C,"C",IF(M62&gt;=GAS_B,"B","A")),IF(K62="diesel",IF(M62&gt;=DIE_C,"C",IF(M62&gt;=DIE_B,"B","A")),""))))</f>
        <v/>
      </c>
      <c r="BG62" s="3">
        <f>IFERROR(VLOOKUP(F62,MOD_TBL,11,0),IFERROR(VLOOKUP(E62,OCU_TBL,2,0),NEUTRO))</f>
        <v/>
      </c>
      <c r="BH62" s="3">
        <f>SUMIFS(MOT_AJUSTE,MOT_MOTOR,G62,MOT_MARCA,E62,MOT_DESDE,"&lt;="&amp;M62,MOT_HASTA,"&gt;="&amp;M62)+SUMIFS(MOT_AJUSTE,MOT_MOTOR,G62,MOT_MARCA,"(todas)",MOT_DESDE,"&lt;="&amp;M62,MOT_HASTA,"&gt;="&amp;M62)</f>
        <v/>
      </c>
      <c r="BI62" s="3">
        <f>SUMIFS(COMB_AJUSTE,COMB_COMB,K62)</f>
        <v/>
      </c>
      <c r="BJ62" s="4">
        <f>MAX(0,MIN(100,BG62+BH62+BI62))</f>
        <v/>
      </c>
      <c r="BK62" s="3">
        <f>MAX(0,MIN(100,50+BE62*PRECIO_PEND))</f>
        <v/>
      </c>
      <c r="BL62" s="3">
        <f>MAX(0,100*(1-N62/KM_MAX))</f>
        <v/>
      </c>
      <c r="BM62" s="3">
        <f>IF(AV62&lt;KMA_SOSP,IF(AA62="sí",100,KMA_PEN),IF(AV62&lt;=KMA_IDEAL_MAX,100,MAX(0,100*(KMA_CERO-AV62)/(KMA_CERO-KMA_IDEAL_MAX))))</f>
        <v/>
      </c>
      <c r="BN62" s="3">
        <f>MAX(0,MIN(100,100*(M62-ANIO_MIN)/(ANIO_ACTUAL-ANIO_MIN)))</f>
        <v/>
      </c>
      <c r="BO62" s="3">
        <f>W_KMT*BL62+W_KMA*BM62+W_EDAD*BN62</f>
        <v/>
      </c>
      <c r="BP62" s="3">
        <f>P_ITV*(V62="sí")+P_LIBRO*(W62="sí")+P_CORREA*(X62="sí")+P_PROP*(Y62=1)+P_GAR*(Z62="sí")+P_FOTOS*MIN(1,N(U62)/FOTOS_OBJ)</f>
        <v/>
      </c>
      <c r="BQ62" s="3">
        <f>IFERROR(VLOOKUP(BF62,ETQ_TBL,2,0),NEUTRO)</f>
        <v/>
      </c>
      <c r="BR62" s="3">
        <f>NEUTRO</f>
        <v/>
      </c>
      <c r="BS62" s="3">
        <f>IFERROR(VLOOKUP(L62,SEGURO_TBL,3,0),"")</f>
        <v/>
      </c>
      <c r="BT62" s="3">
        <f>IF(BS62="",NEUTRO,MAX(0,MIN(100,100*(SEG_REF_MAX-BS62)/(SEG_REF_MAX-SEG_REF_MIN))))</f>
        <v/>
      </c>
      <c r="BU62" s="3">
        <f>W_ET*BQ62+W_CONS*BR62+W_SEG*BT62</f>
        <v/>
      </c>
      <c r="BV62" s="3">
        <f>IF(N(AB62)&gt;0,AB62,IF(AND(R62="profesional",SG_LEGAL_ON=1),GAR_LEGAL,0))</f>
        <v/>
      </c>
      <c r="BW62" s="3">
        <f>SG_GAR*MIN(1,BV62/SG_GAR_FULL)+SG_AMPL*(AC62="sí")+SG_KMC*(AF62="sí")+SG_REV*(N(AE62)&gt;0)+SG_DEV*MIN(1,N(AG62)/SG_DEV_FULL)+SG_HIST*(W62="sí")</f>
        <v/>
      </c>
      <c r="BX62" s="3">
        <f>W_FIAB*BJ62+W_PRECIO*BK62+W_KMEDAD*BO62+W_ANUNCIO*BP62+W_USO*BU62+W_SEGURIDAD*BW62</f>
        <v/>
      </c>
      <c r="BY62" s="4">
        <f>IF(N(I62)&gt;0,I62,IFERROR(ROUND(_xlfn.NUMBERVALUE(LEFT(G62,FIND(" ",G62&amp;" ")-1),".")*1000,0),99999))</f>
        <v/>
      </c>
      <c r="BZ62" s="3">
        <f>IF(R62="profesional",0,IF(O62&lt;CUOTA_VALOR_MAX,IF(AU62&gt;ITP_TRAMO_ALTO,SUMIFS(CF_CUOTA,CF_MAS,ITP_TRAMO_ALTO,CF_CCMIN,"&lt;="&amp;BY62,CF_CCMAX,"&gt;="&amp;BY62),IF(AU62&gt;ITP_TRAMO_BAJO,SUMIFS(CF_CUOTA,CF_MAS,ITP_TRAMO_BAJO,CF_CCMIN,"&lt;="&amp;BY62,CF_CCMAX,"&gt;="&amp;BY62),O62*ITP_TIPO)),O62*ITP_TIPO))</f>
        <v/>
      </c>
      <c r="CA62" s="4">
        <f>IF(R62="profesional",N(AK62),0)</f>
        <v/>
      </c>
      <c r="CB62" s="3">
        <f>IF(AND(R62="profesional",ISNUMBER(AK62),AL62="sí"),0,TASA_DGT)</f>
        <v/>
      </c>
      <c r="CC62" s="3">
        <f>INFORME_DGT</f>
        <v/>
      </c>
      <c r="CD62" s="4">
        <f>O62+CA62+BZ62+CB62+CC62</f>
        <v/>
      </c>
      <c r="CE62" s="4">
        <f>CD62+N(BS62)</f>
        <v/>
      </c>
      <c r="CF62" s="3">
        <f>IF(CD62&lt;=TOTAL_MAX,"sí","no")</f>
        <v/>
      </c>
      <c r="CG62" s="4">
        <f>IF(CF62="sí",COUNTIFS($CF$2:$CF$91,"sí",$BX$2:$BX$91,"&gt;"&amp;BX62)+COUNTIFS($CF$2:CF62,"sí",$BX$2:BX62,BX62),"")</f>
        <v/>
      </c>
    </row>
    <row r="63">
      <c r="A63" s="2" t="inlineStr">
        <is>
          <t>cochesnet:71375913</t>
        </is>
      </c>
      <c r="B63" s="2" t="inlineStr">
        <is>
          <t>cochesnet</t>
        </is>
      </c>
      <c r="C63" s="2" t="inlineStr">
        <is>
          <t>https://www.coches.net/renault-megane-dynamique-16-16v-110cv-5p-gasolina-2008-en-valencia-71375913-covo.aspx</t>
        </is>
      </c>
      <c r="D63" s="2" t="inlineStr">
        <is>
          <t>RENAULT Megane Dynamique 1.6 16v</t>
        </is>
      </c>
      <c r="E63" s="2" t="inlineStr">
        <is>
          <t>Renault</t>
        </is>
      </c>
      <c r="F63" s="2" t="inlineStr">
        <is>
          <t>Renault Mégane</t>
        </is>
      </c>
      <c r="G63" s="2" t="inlineStr">
        <is>
          <t>1.6</t>
        </is>
      </c>
      <c r="H63" s="2" t="inlineStr">
        <is>
          <t>Dynamique 1.6 16v 110cv</t>
        </is>
      </c>
      <c r="I63" s="2" t="n"/>
      <c r="J63" s="2" t="n">
        <v>110</v>
      </c>
      <c r="K63" s="2" t="inlineStr">
        <is>
          <t>gasolina</t>
        </is>
      </c>
      <c r="L63" s="2" t="inlineStr">
        <is>
          <t>compacto</t>
        </is>
      </c>
      <c r="M63" s="2" t="n">
        <v>2008</v>
      </c>
      <c r="N63" s="2" t="n">
        <v>94500</v>
      </c>
      <c r="O63" s="2" t="n">
        <v>4400</v>
      </c>
      <c r="P63" s="2" t="inlineStr">
        <is>
          <t>manual</t>
        </is>
      </c>
      <c r="Q63" s="2" t="inlineStr">
        <is>
          <t>no</t>
        </is>
      </c>
      <c r="R63" s="2" t="inlineStr">
        <is>
          <t>particular</t>
        </is>
      </c>
      <c r="S63" s="2" t="inlineStr">
        <is>
          <t>Llíria</t>
        </is>
      </c>
      <c r="T63" s="2" t="inlineStr">
        <is>
          <t>2026-08-27T14:08:50Z</t>
        </is>
      </c>
      <c r="U63" s="2" t="n">
        <v>7</v>
      </c>
      <c r="V63" s="2" t="n"/>
      <c r="W63" s="2" t="n"/>
      <c r="X63" s="2" t="n"/>
      <c r="Y63" s="2" t="n"/>
      <c r="Z63" s="2" t="inlineStr">
        <is>
          <t>no</t>
        </is>
      </c>
      <c r="AA63" s="2" t="n"/>
      <c r="AB63" s="2" t="n"/>
      <c r="AC63" s="2" t="n"/>
      <c r="AD63" s="2" t="n"/>
      <c r="AE63" s="2" t="n"/>
      <c r="AF63" s="2" t="n"/>
      <c r="AG63" s="2" t="n"/>
      <c r="AH63" s="2" t="n">
        <v>4400</v>
      </c>
      <c r="AI63" s="2" t="n"/>
      <c r="AJ63" s="2" t="n"/>
      <c r="AK63" s="2" t="n"/>
      <c r="AL63" s="2" t="n"/>
      <c r="AM63" s="2" t="n">
        <v>26.4</v>
      </c>
      <c r="AN63" s="2" t="n">
        <v>3700</v>
      </c>
      <c r="AO63" s="2" t="n">
        <v>29</v>
      </c>
      <c r="AP63" s="2" t="inlineStr">
        <is>
          <t>modelo+año</t>
        </is>
      </c>
      <c r="AQ63" s="2" t="n"/>
      <c r="AR63" s="2" t="inlineStr">
        <is>
          <t>cuota fija ITP: &gt;12 años, 1.501-2.000 cc</t>
        </is>
      </c>
      <c r="AS63" s="2" t="inlineStr">
        <is>
          <t>Vendo mi Renault Mégane Dynamique, un berlina práctico y fiable que ha sido mi compañero de viajes durante estos años. Se trata de un vehículo perfecto para quien busca un coche versátil, económico y con un motor que responde bien en cualquier situación.
Este Mégane cuenta con un motor de 1.6 litros y 110 caballos de potencia que ofrece un excelente equilibrio entre rendimiento y consumo eficiente. Ideal tanto para desplazamientos urbanos como para carreteras, te proporciona la comodidad y seguridad que esperas en un berlina de cinco puertas y cinco plazas. Además, cuenta con etiqueta medioambiental B, lo que facilita tu circulación en cualquier zona.
El cambio manual garantiza una conducción directa y controlada, mientras que el estado general del vehículo te permite disfrutar de él sin preocupaciones. Con este precio de 4.900 euros, accedes a un transporte funcional y duradero que cumple perfectamente su cometido.
Si tienes dudas sobre aspectos específicos del vehículo o deseas conocer más detalles sobre su historial y estado, no dudes en contactarme a través del chat. Estaré encantada de resolver todas tus preguntas.
Contacta hoy mismo y comprueba por qué este Mégane es una gran oportunidad.</t>
        </is>
      </c>
      <c r="AT63" s="2" t="inlineStr">
        <is>
          <t>https://www.coches.net/renault-megane-dynamique-16-16v-110cv-5p-gasolina-2008-en-valencia-71375913-covo.aspx (window.__INITIAL_PROPS__.ad) /home/user/Alopecia/buscador-coches/raw/cochesnet/59f7f0221cac3ed6.json</t>
        </is>
      </c>
      <c r="AU63" s="3">
        <f>MAX(ANIO_ACTUAL-M63,0)</f>
        <v/>
      </c>
      <c r="AV63" s="4">
        <f>N63/MAX(AU63,0.5)</f>
        <v/>
      </c>
      <c r="AW63" s="4">
        <f>F63</f>
        <v/>
      </c>
      <c r="AX63" s="3">
        <f>AW63&amp;"|"&amp;INT(M63/SEG_ANIO)*SEG_ANIO</f>
        <v/>
      </c>
      <c r="AY63" s="3">
        <f>AX63&amp;"|"&amp;INT(N63/SEG_KM)*SEG_KM</f>
        <v/>
      </c>
      <c r="AZ63" s="4">
        <f>COUNTIF($AW$2:$AW$91,AW63)</f>
        <v/>
      </c>
      <c r="BA63" s="4">
        <f>COUNTIF($AX$2:$AX$91,AX63)</f>
        <v/>
      </c>
      <c r="BB63" s="4">
        <f>COUNTIF($AY$2:$AY$91,AY63)</f>
        <v/>
      </c>
      <c r="BC63" s="3">
        <f t="array" ref="BC63">IF(N(AO63)&gt;=MIN_N,AN63,IF(BB63&gt;=MIN_N,MEDIAN(IF($AY$2:$AY$91=AY63,$O$2:$O$91)),IF(BA63&gt;=MIN_N,MEDIAN(IF($AX$2:$AX$91=AX63,$O$2:$O$91)),MEDIAN(IF($AW$2:$AW$91=AW63,$O$2:$O$91)))))</f>
        <v/>
      </c>
      <c r="BD63" s="3">
        <f>IF(N(AO63)&gt;=MIN_N,"mercado "&amp;AP63,IF(BB63&gt;=MIN_N,"modelo+año+km",IF(BA63&gt;=MIN_N,"modelo+año","modelo")))</f>
        <v/>
      </c>
      <c r="BE63" s="4">
        <f>(BC63-O63)/BC63</f>
        <v/>
      </c>
      <c r="BF63" s="3">
        <f>IF(OR(K63="hibrido",K63="glp"),"ECO",IF(K63="electrico","CERO",IF(K63="gasolina",IF(M63&gt;=GAS_C,"C",IF(M63&gt;=GAS_B,"B","A")),IF(K63="diesel",IF(M63&gt;=DIE_C,"C",IF(M63&gt;=DIE_B,"B","A")),""))))</f>
        <v/>
      </c>
      <c r="BG63" s="3">
        <f>IFERROR(VLOOKUP(F63,MOD_TBL,11,0),IFERROR(VLOOKUP(E63,OCU_TBL,2,0),NEUTRO))</f>
        <v/>
      </c>
      <c r="BH63" s="3">
        <f>SUMIFS(MOT_AJUSTE,MOT_MOTOR,G63,MOT_MARCA,E63,MOT_DESDE,"&lt;="&amp;M63,MOT_HASTA,"&gt;="&amp;M63)+SUMIFS(MOT_AJUSTE,MOT_MOTOR,G63,MOT_MARCA,"(todas)",MOT_DESDE,"&lt;="&amp;M63,MOT_HASTA,"&gt;="&amp;M63)</f>
        <v/>
      </c>
      <c r="BI63" s="3">
        <f>SUMIFS(COMB_AJUSTE,COMB_COMB,K63)</f>
        <v/>
      </c>
      <c r="BJ63" s="4">
        <f>MAX(0,MIN(100,BG63+BH63+BI63))</f>
        <v/>
      </c>
      <c r="BK63" s="3">
        <f>MAX(0,MIN(100,50+BE63*PRECIO_PEND))</f>
        <v/>
      </c>
      <c r="BL63" s="3">
        <f>MAX(0,100*(1-N63/KM_MAX))</f>
        <v/>
      </c>
      <c r="BM63" s="3">
        <f>IF(AV63&lt;KMA_SOSP,IF(AA63="sí",100,KMA_PEN),IF(AV63&lt;=KMA_IDEAL_MAX,100,MAX(0,100*(KMA_CERO-AV63)/(KMA_CERO-KMA_IDEAL_MAX))))</f>
        <v/>
      </c>
      <c r="BN63" s="3">
        <f>MAX(0,MIN(100,100*(M63-ANIO_MIN)/(ANIO_ACTUAL-ANIO_MIN)))</f>
        <v/>
      </c>
      <c r="BO63" s="3">
        <f>W_KMT*BL63+W_KMA*BM63+W_EDAD*BN63</f>
        <v/>
      </c>
      <c r="BP63" s="3">
        <f>P_ITV*(V63="sí")+P_LIBRO*(W63="sí")+P_CORREA*(X63="sí")+P_PROP*(Y63=1)+P_GAR*(Z63="sí")+P_FOTOS*MIN(1,N(U63)/FOTOS_OBJ)</f>
        <v/>
      </c>
      <c r="BQ63" s="3">
        <f>IFERROR(VLOOKUP(BF63,ETQ_TBL,2,0),NEUTRO)</f>
        <v/>
      </c>
      <c r="BR63" s="3">
        <f>NEUTRO</f>
        <v/>
      </c>
      <c r="BS63" s="3">
        <f>IFERROR(VLOOKUP(L63,SEGURO_TBL,3,0),"")</f>
        <v/>
      </c>
      <c r="BT63" s="3">
        <f>IF(BS63="",NEUTRO,MAX(0,MIN(100,100*(SEG_REF_MAX-BS63)/(SEG_REF_MAX-SEG_REF_MIN))))</f>
        <v/>
      </c>
      <c r="BU63" s="3">
        <f>W_ET*BQ63+W_CONS*BR63+W_SEG*BT63</f>
        <v/>
      </c>
      <c r="BV63" s="3">
        <f>IF(N(AB63)&gt;0,AB63,IF(AND(R63="profesional",SG_LEGAL_ON=1),GAR_LEGAL,0))</f>
        <v/>
      </c>
      <c r="BW63" s="3">
        <f>SG_GAR*MIN(1,BV63/SG_GAR_FULL)+SG_AMPL*(AC63="sí")+SG_KMC*(AF63="sí")+SG_REV*(N(AE63)&gt;0)+SG_DEV*MIN(1,N(AG63)/SG_DEV_FULL)+SG_HIST*(W63="sí")</f>
        <v/>
      </c>
      <c r="BX63" s="3">
        <f>W_FIAB*BJ63+W_PRECIO*BK63+W_KMEDAD*BO63+W_ANUNCIO*BP63+W_USO*BU63+W_SEGURIDAD*BW63</f>
        <v/>
      </c>
      <c r="BY63" s="4">
        <f>IF(N(I63)&gt;0,I63,IFERROR(ROUND(_xlfn.NUMBERVALUE(LEFT(G63,FIND(" ",G63&amp;" ")-1),".")*1000,0),99999))</f>
        <v/>
      </c>
      <c r="BZ63" s="3">
        <f>IF(R63="profesional",0,IF(O63&lt;CUOTA_VALOR_MAX,IF(AU63&gt;ITP_TRAMO_ALTO,SUMIFS(CF_CUOTA,CF_MAS,ITP_TRAMO_ALTO,CF_CCMIN,"&lt;="&amp;BY63,CF_CCMAX,"&gt;="&amp;BY63),IF(AU63&gt;ITP_TRAMO_BAJO,SUMIFS(CF_CUOTA,CF_MAS,ITP_TRAMO_BAJO,CF_CCMIN,"&lt;="&amp;BY63,CF_CCMAX,"&gt;="&amp;BY63),O63*ITP_TIPO)),O63*ITP_TIPO))</f>
        <v/>
      </c>
      <c r="CA63" s="4">
        <f>IF(R63="profesional",N(AK63),0)</f>
        <v/>
      </c>
      <c r="CB63" s="3">
        <f>IF(AND(R63="profesional",ISNUMBER(AK63),AL63="sí"),0,TASA_DGT)</f>
        <v/>
      </c>
      <c r="CC63" s="3">
        <f>INFORME_DGT</f>
        <v/>
      </c>
      <c r="CD63" s="4">
        <f>O63+CA63+BZ63+CB63+CC63</f>
        <v/>
      </c>
      <c r="CE63" s="4">
        <f>CD63+N(BS63)</f>
        <v/>
      </c>
      <c r="CF63" s="3">
        <f>IF(CD63&lt;=TOTAL_MAX,"sí","no")</f>
        <v/>
      </c>
      <c r="CG63" s="4">
        <f>IF(CF63="sí",COUNTIFS($CF$2:$CF$91,"sí",$BX$2:$BX$91,"&gt;"&amp;BX63)+COUNTIFS($CF$2:CF63,"sí",$BX$2:BX63,BX63),"")</f>
        <v/>
      </c>
    </row>
    <row r="64">
      <c r="A64" s="2" t="inlineStr">
        <is>
          <t>cochesnet:71831034</t>
        </is>
      </c>
      <c r="B64" s="2" t="inlineStr">
        <is>
          <t>cochesnet</t>
        </is>
      </c>
      <c r="C64" s="2" t="inlineStr">
        <is>
          <t>https://www.coches.net/dacia-sandero-ambiance-12-16v-75cv-5p-gasolina-2010-en-valencia-71831034-covo.aspx</t>
        </is>
      </c>
      <c r="D64" s="2" t="inlineStr">
        <is>
          <t>DACIA Sandero Ambiance 1.2 16v</t>
        </is>
      </c>
      <c r="E64" s="2" t="inlineStr">
        <is>
          <t>Dacia</t>
        </is>
      </c>
      <c r="F64" s="2" t="inlineStr">
        <is>
          <t>Dacia Sandero</t>
        </is>
      </c>
      <c r="G64" s="2" t="inlineStr">
        <is>
          <t>1.2</t>
        </is>
      </c>
      <c r="H64" s="2" t="inlineStr">
        <is>
          <t>Ambiance 1.2 16v 75cv</t>
        </is>
      </c>
      <c r="I64" s="2" t="n"/>
      <c r="J64" s="2" t="n">
        <v>75</v>
      </c>
      <c r="K64" s="2" t="inlineStr">
        <is>
          <t>gasolina</t>
        </is>
      </c>
      <c r="L64" s="2" t="inlineStr">
        <is>
          <t>utilitario</t>
        </is>
      </c>
      <c r="M64" s="2" t="n">
        <v>2010</v>
      </c>
      <c r="N64" s="2" t="n">
        <v>99000</v>
      </c>
      <c r="O64" s="2" t="n">
        <v>3800</v>
      </c>
      <c r="P64" s="2" t="inlineStr">
        <is>
          <t>manual</t>
        </is>
      </c>
      <c r="Q64" s="2" t="inlineStr">
        <is>
          <t>no</t>
        </is>
      </c>
      <c r="R64" s="2" t="inlineStr">
        <is>
          <t>particular</t>
        </is>
      </c>
      <c r="S64" s="2" t="inlineStr">
        <is>
          <t>Valencia</t>
        </is>
      </c>
      <c r="T64" s="2" t="inlineStr">
        <is>
          <t>2026-10-26T09:55:46Z</t>
        </is>
      </c>
      <c r="U64" s="2" t="n">
        <v>46</v>
      </c>
      <c r="V64" s="2" t="n"/>
      <c r="W64" s="2" t="inlineStr">
        <is>
          <t>sí</t>
        </is>
      </c>
      <c r="X64" s="2" t="n"/>
      <c r="Y64" s="2" t="n"/>
      <c r="Z64" s="2" t="inlineStr">
        <is>
          <t>no</t>
        </is>
      </c>
      <c r="AA64" s="2" t="n"/>
      <c r="AB64" s="2" t="n"/>
      <c r="AC64" s="2" t="n"/>
      <c r="AD64" s="2" t="n"/>
      <c r="AE64" s="2" t="n"/>
      <c r="AF64" s="2" t="n"/>
      <c r="AG64" s="2" t="n"/>
      <c r="AH64" s="2" t="n">
        <v>3800</v>
      </c>
      <c r="AI64" s="2" t="n"/>
      <c r="AJ64" s="2" t="n"/>
      <c r="AK64" s="2" t="n"/>
      <c r="AL64" s="2" t="n"/>
      <c r="AM64" s="2" t="n">
        <v>0.1</v>
      </c>
      <c r="AN64" s="2" t="n">
        <v>3800</v>
      </c>
      <c r="AO64" s="2" t="n">
        <v>5</v>
      </c>
      <c r="AP64" s="2" t="inlineStr">
        <is>
          <t>modelo+año</t>
        </is>
      </c>
      <c r="AQ64" s="2" t="n"/>
      <c r="AR64" s="2" t="inlineStr">
        <is>
          <t>cuota fija ITP: &gt;12 años, hasta 1.500 cc</t>
        </is>
      </c>
      <c r="AS64" s="2" t="inlineStr">
        <is>
          <t xml:space="preserve">DACIA SANDERO 1.2 AMBIANCE 2010 - 99.000 KM - MUY BUEN ESTADO
Vendo Dacia Sandero Ambiance 1.2 gasolina, 5 puertas, año 2010, color gris, con aproximadamente 99.000 km.
MOTIVO DE VENTA: MUDANZA A ARGENTINA
Compré el vehículo en junio de 2024 con aproximadamente 75.000 km. Desde entonces, lo he utilizado de forma particular, recorriendo unos 24.000 km y realizando los mantenimientos y reparaciones necesarios, con sus correspondientes facturas.
Es un coche práctico, económico, de bajo consumo y mantenimiento sencillo. Ideal para uso diario, desplazamientos urbanos o como primer vehículo.
EQUIPAMIENTO
Motor 1.2 gasolina, cambio manual, 5 puertas, aire acondicionado funcionando perfectamente, elevalunas eléctricos, cierre centralizado, dirección asistida, radio original y llantas de aleación.
MANTENIMIENTO Y REPARACIONES DOCUMENTADAS
JULIO 2024 - 75.400 KM
Cambio de aceite y filtros. Sustitución del kit de distribución y bomba de agua. Cambio de discos y pastillas de freno. Otros componentes y mantenimiento general.
ENERO 2026 - 89.000 KM
Sustitución de los cuatro neumáticos por BFGoodrich nuevos, incluyendo montaje, equilibrado y válvulas.
Contratación de Master Garantía de Euromaster, con cobertura de tres años frente a pinchazos, roturas y vandalismo, conforme a sus condiciones y en centros asociados.
JULIO 2026 - 94.600 KM
Trabajos de mantenimiento y reparación del sistema de frenos traseros, sustitución de componentes y revisión en taller.
ITV Y DOCUMENTACIÓN
</t>
        </is>
      </c>
      <c r="AT64" s="2" t="inlineStr">
        <is>
          <t>https://www.coches.net/dacia-sandero-ambiance-12-16v-75cv-5p-gasolina-2010-en-valencia-71831034-covo.aspx (window.__INITIAL_PROPS__.ad) /home/user/Alopecia/buscador-coches/raw/cochesnet/33e686ccd017f9a5.json</t>
        </is>
      </c>
      <c r="AU64" s="3">
        <f>MAX(ANIO_ACTUAL-M64,0)</f>
        <v/>
      </c>
      <c r="AV64" s="4">
        <f>N64/MAX(AU64,0.5)</f>
        <v/>
      </c>
      <c r="AW64" s="4">
        <f>F64</f>
        <v/>
      </c>
      <c r="AX64" s="3">
        <f>AW64&amp;"|"&amp;INT(M64/SEG_ANIO)*SEG_ANIO</f>
        <v/>
      </c>
      <c r="AY64" s="3">
        <f>AX64&amp;"|"&amp;INT(N64/SEG_KM)*SEG_KM</f>
        <v/>
      </c>
      <c r="AZ64" s="4">
        <f>COUNTIF($AW$2:$AW$91,AW64)</f>
        <v/>
      </c>
      <c r="BA64" s="4">
        <f>COUNTIF($AX$2:$AX$91,AX64)</f>
        <v/>
      </c>
      <c r="BB64" s="4">
        <f>COUNTIF($AY$2:$AY$91,AY64)</f>
        <v/>
      </c>
      <c r="BC64" s="3">
        <f t="array" ref="BC64">IF(N(AO64)&gt;=MIN_N,AN64,IF(BB64&gt;=MIN_N,MEDIAN(IF($AY$2:$AY$91=AY64,$O$2:$O$91)),IF(BA64&gt;=MIN_N,MEDIAN(IF($AX$2:$AX$91=AX64,$O$2:$O$91)),MEDIAN(IF($AW$2:$AW$91=AW64,$O$2:$O$91)))))</f>
        <v/>
      </c>
      <c r="BD64" s="3">
        <f>IF(N(AO64)&gt;=MIN_N,"mercado "&amp;AP64,IF(BB64&gt;=MIN_N,"modelo+año+km",IF(BA64&gt;=MIN_N,"modelo+año","modelo")))</f>
        <v/>
      </c>
      <c r="BE64" s="4">
        <f>(BC64-O64)/BC64</f>
        <v/>
      </c>
      <c r="BF64" s="3">
        <f>IF(OR(K64="hibrido",K64="glp"),"ECO",IF(K64="electrico","CERO",IF(K64="gasolina",IF(M64&gt;=GAS_C,"C",IF(M64&gt;=GAS_B,"B","A")),IF(K64="diesel",IF(M64&gt;=DIE_C,"C",IF(M64&gt;=DIE_B,"B","A")),""))))</f>
        <v/>
      </c>
      <c r="BG64" s="3">
        <f>IFERROR(VLOOKUP(F64,MOD_TBL,11,0),IFERROR(VLOOKUP(E64,OCU_TBL,2,0),NEUTRO))</f>
        <v/>
      </c>
      <c r="BH64" s="3">
        <f>SUMIFS(MOT_AJUSTE,MOT_MOTOR,G64,MOT_MARCA,E64,MOT_DESDE,"&lt;="&amp;M64,MOT_HASTA,"&gt;="&amp;M64)+SUMIFS(MOT_AJUSTE,MOT_MOTOR,G64,MOT_MARCA,"(todas)",MOT_DESDE,"&lt;="&amp;M64,MOT_HASTA,"&gt;="&amp;M64)</f>
        <v/>
      </c>
      <c r="BI64" s="3">
        <f>SUMIFS(COMB_AJUSTE,COMB_COMB,K64)</f>
        <v/>
      </c>
      <c r="BJ64" s="4">
        <f>MAX(0,MIN(100,BG64+BH64+BI64))</f>
        <v/>
      </c>
      <c r="BK64" s="3">
        <f>MAX(0,MIN(100,50+BE64*PRECIO_PEND))</f>
        <v/>
      </c>
      <c r="BL64" s="3">
        <f>MAX(0,100*(1-N64/KM_MAX))</f>
        <v/>
      </c>
      <c r="BM64" s="3">
        <f>IF(AV64&lt;KMA_SOSP,IF(AA64="sí",100,KMA_PEN),IF(AV64&lt;=KMA_IDEAL_MAX,100,MAX(0,100*(KMA_CERO-AV64)/(KMA_CERO-KMA_IDEAL_MAX))))</f>
        <v/>
      </c>
      <c r="BN64" s="3">
        <f>MAX(0,MIN(100,100*(M64-ANIO_MIN)/(ANIO_ACTUAL-ANIO_MIN)))</f>
        <v/>
      </c>
      <c r="BO64" s="3">
        <f>W_KMT*BL64+W_KMA*BM64+W_EDAD*BN64</f>
        <v/>
      </c>
      <c r="BP64" s="3">
        <f>P_ITV*(V64="sí")+P_LIBRO*(W64="sí")+P_CORREA*(X64="sí")+P_PROP*(Y64=1)+P_GAR*(Z64="sí")+P_FOTOS*MIN(1,N(U64)/FOTOS_OBJ)</f>
        <v/>
      </c>
      <c r="BQ64" s="3">
        <f>IFERROR(VLOOKUP(BF64,ETQ_TBL,2,0),NEUTRO)</f>
        <v/>
      </c>
      <c r="BR64" s="3">
        <f>NEUTRO</f>
        <v/>
      </c>
      <c r="BS64" s="3">
        <f>IFERROR(VLOOKUP(L64,SEGURO_TBL,3,0),"")</f>
        <v/>
      </c>
      <c r="BT64" s="3">
        <f>IF(BS64="",NEUTRO,MAX(0,MIN(100,100*(SEG_REF_MAX-BS64)/(SEG_REF_MAX-SEG_REF_MIN))))</f>
        <v/>
      </c>
      <c r="BU64" s="3">
        <f>W_ET*BQ64+W_CONS*BR64+W_SEG*BT64</f>
        <v/>
      </c>
      <c r="BV64" s="3">
        <f>IF(N(AB64)&gt;0,AB64,IF(AND(R64="profesional",SG_LEGAL_ON=1),GAR_LEGAL,0))</f>
        <v/>
      </c>
      <c r="BW64" s="3">
        <f>SG_GAR*MIN(1,BV64/SG_GAR_FULL)+SG_AMPL*(AC64="sí")+SG_KMC*(AF64="sí")+SG_REV*(N(AE64)&gt;0)+SG_DEV*MIN(1,N(AG64)/SG_DEV_FULL)+SG_HIST*(W64="sí")</f>
        <v/>
      </c>
      <c r="BX64" s="3">
        <f>W_FIAB*BJ64+W_PRECIO*BK64+W_KMEDAD*BO64+W_ANUNCIO*BP64+W_USO*BU64+W_SEGURIDAD*BW64</f>
        <v/>
      </c>
      <c r="BY64" s="4">
        <f>IF(N(I64)&gt;0,I64,IFERROR(ROUND(_xlfn.NUMBERVALUE(LEFT(G64,FIND(" ",G64&amp;" ")-1),".")*1000,0),99999))</f>
        <v/>
      </c>
      <c r="BZ64" s="3">
        <f>IF(R64="profesional",0,IF(O64&lt;CUOTA_VALOR_MAX,IF(AU64&gt;ITP_TRAMO_ALTO,SUMIFS(CF_CUOTA,CF_MAS,ITP_TRAMO_ALTO,CF_CCMIN,"&lt;="&amp;BY64,CF_CCMAX,"&gt;="&amp;BY64),IF(AU64&gt;ITP_TRAMO_BAJO,SUMIFS(CF_CUOTA,CF_MAS,ITP_TRAMO_BAJO,CF_CCMIN,"&lt;="&amp;BY64,CF_CCMAX,"&gt;="&amp;BY64),O64*ITP_TIPO)),O64*ITP_TIPO))</f>
        <v/>
      </c>
      <c r="CA64" s="4">
        <f>IF(R64="profesional",N(AK64),0)</f>
        <v/>
      </c>
      <c r="CB64" s="3">
        <f>IF(AND(R64="profesional",ISNUMBER(AK64),AL64="sí"),0,TASA_DGT)</f>
        <v/>
      </c>
      <c r="CC64" s="3">
        <f>INFORME_DGT</f>
        <v/>
      </c>
      <c r="CD64" s="4">
        <f>O64+CA64+BZ64+CB64+CC64</f>
        <v/>
      </c>
      <c r="CE64" s="4">
        <f>CD64+N(BS64)</f>
        <v/>
      </c>
      <c r="CF64" s="3">
        <f>IF(CD64&lt;=TOTAL_MAX,"sí","no")</f>
        <v/>
      </c>
      <c r="CG64" s="4">
        <f>IF(CF64="sí",COUNTIFS($CF$2:$CF$91,"sí",$BX$2:$BX$91,"&gt;"&amp;BX64)+COUNTIFS($CF$2:CF64,"sí",$BX$2:BX64,BX64),"")</f>
        <v/>
      </c>
    </row>
    <row r="65">
      <c r="A65" s="2" t="inlineStr">
        <is>
          <t>cochesnet:71662297</t>
        </is>
      </c>
      <c r="B65" s="2" t="inlineStr">
        <is>
          <t>cochesnet</t>
        </is>
      </c>
      <c r="C65" s="2" t="inlineStr">
        <is>
          <t>https://www.coches.net/dacia-sandero-ambiance-14-5p-gasolina-2008-en-valencia-71662297-covo.aspx</t>
        </is>
      </c>
      <c r="D65" s="2" t="inlineStr">
        <is>
          <t>DACIA Sandero Ambiance 1.4</t>
        </is>
      </c>
      <c r="E65" s="2" t="inlineStr">
        <is>
          <t>Dacia</t>
        </is>
      </c>
      <c r="F65" s="2" t="inlineStr">
        <is>
          <t>Dacia Sandero</t>
        </is>
      </c>
      <c r="G65" s="2" t="inlineStr">
        <is>
          <t>1.4</t>
        </is>
      </c>
      <c r="H65" s="2" t="inlineStr">
        <is>
          <t>Ambiance 1.4</t>
        </is>
      </c>
      <c r="I65" s="2" t="n"/>
      <c r="J65" s="2" t="n"/>
      <c r="K65" s="2" t="inlineStr">
        <is>
          <t>gasolina</t>
        </is>
      </c>
      <c r="L65" s="2" t="inlineStr">
        <is>
          <t>utilitario</t>
        </is>
      </c>
      <c r="M65" s="2" t="n">
        <v>2008</v>
      </c>
      <c r="N65" s="2" t="n">
        <v>184000</v>
      </c>
      <c r="O65" s="2" t="n">
        <v>3200</v>
      </c>
      <c r="P65" s="2" t="inlineStr">
        <is>
          <t>manual</t>
        </is>
      </c>
      <c r="Q65" s="2" t="inlineStr">
        <is>
          <t>no</t>
        </is>
      </c>
      <c r="R65" s="2" t="inlineStr">
        <is>
          <t>particular</t>
        </is>
      </c>
      <c r="S65" s="2" t="inlineStr">
        <is>
          <t>Valencia</t>
        </is>
      </c>
      <c r="T65" s="2" t="inlineStr">
        <is>
          <t>2026-10-02T23:16:12Z</t>
        </is>
      </c>
      <c r="U65" s="2" t="n">
        <v>7</v>
      </c>
      <c r="V65" s="2" t="inlineStr">
        <is>
          <t>sí</t>
        </is>
      </c>
      <c r="W65" s="2" t="inlineStr">
        <is>
          <t>sí</t>
        </is>
      </c>
      <c r="X65" s="2" t="n"/>
      <c r="Y65" s="2" t="n"/>
      <c r="Z65" s="2" t="inlineStr">
        <is>
          <t>no</t>
        </is>
      </c>
      <c r="AA65" s="2" t="n"/>
      <c r="AB65" s="2" t="n"/>
      <c r="AC65" s="2" t="n"/>
      <c r="AD65" s="2" t="n"/>
      <c r="AE65" s="2" t="n"/>
      <c r="AF65" s="2" t="n"/>
      <c r="AG65" s="2" t="n"/>
      <c r="AH65" s="2" t="n">
        <v>3200</v>
      </c>
      <c r="AI65" s="2" t="n"/>
      <c r="AJ65" s="2" t="n"/>
      <c r="AK65" s="2" t="n"/>
      <c r="AL65" s="2" t="n"/>
      <c r="AM65" s="2" t="n">
        <v>0.1</v>
      </c>
      <c r="AN65" s="2" t="n"/>
      <c r="AO65" s="2" t="n"/>
      <c r="AP65" s="2" t="n"/>
      <c r="AQ65" s="2" t="n"/>
      <c r="AR65" s="2" t="inlineStr">
        <is>
          <t>cuota fija ITP: &gt;12 años, hasta 1.500 cc</t>
        </is>
      </c>
      <c r="AS65" s="2" t="inlineStr">
        <is>
          <t xml:space="preserve">Coche en muy buen estado, ITV hasta Febrero 2027, batería recién cambiada, etiqueta ambiental C, gasolina, mantenimiento al día.
Si desean mas fotos e informacion preguntar 
NEGOCIABLES </t>
        </is>
      </c>
      <c r="AT65" s="2" t="inlineStr">
        <is>
          <t>https://www.coches.net/dacia-sandero-ambiance-14-5p-gasolina-2008-en-valencia-71662297-covo.aspx (window.__INITIAL_PROPS__.ad) /home/user/Alopecia/buscador-coches/raw/cochesnet/83ce804c42af57db.json</t>
        </is>
      </c>
      <c r="AU65" s="3">
        <f>MAX(ANIO_ACTUAL-M65,0)</f>
        <v/>
      </c>
      <c r="AV65" s="4">
        <f>N65/MAX(AU65,0.5)</f>
        <v/>
      </c>
      <c r="AW65" s="4">
        <f>F65</f>
        <v/>
      </c>
      <c r="AX65" s="3">
        <f>AW65&amp;"|"&amp;INT(M65/SEG_ANIO)*SEG_ANIO</f>
        <v/>
      </c>
      <c r="AY65" s="3">
        <f>AX65&amp;"|"&amp;INT(N65/SEG_KM)*SEG_KM</f>
        <v/>
      </c>
      <c r="AZ65" s="4">
        <f>COUNTIF($AW$2:$AW$91,AW65)</f>
        <v/>
      </c>
      <c r="BA65" s="4">
        <f>COUNTIF($AX$2:$AX$91,AX65)</f>
        <v/>
      </c>
      <c r="BB65" s="4">
        <f>COUNTIF($AY$2:$AY$91,AY65)</f>
        <v/>
      </c>
      <c r="BC65" s="3">
        <f t="array" ref="BC65">IF(N(AO65)&gt;=MIN_N,AN65,IF(BB65&gt;=MIN_N,MEDIAN(IF($AY$2:$AY$91=AY65,$O$2:$O$91)),IF(BA65&gt;=MIN_N,MEDIAN(IF($AX$2:$AX$91=AX65,$O$2:$O$91)),MEDIAN(IF($AW$2:$AW$91=AW65,$O$2:$O$91)))))</f>
        <v/>
      </c>
      <c r="BD65" s="3">
        <f>IF(N(AO65)&gt;=MIN_N,"mercado "&amp;AP65,IF(BB65&gt;=MIN_N,"modelo+año+km",IF(BA65&gt;=MIN_N,"modelo+año","modelo")))</f>
        <v/>
      </c>
      <c r="BE65" s="4">
        <f>(BC65-O65)/BC65</f>
        <v/>
      </c>
      <c r="BF65" s="3">
        <f>IF(OR(K65="hibrido",K65="glp"),"ECO",IF(K65="electrico","CERO",IF(K65="gasolina",IF(M65&gt;=GAS_C,"C",IF(M65&gt;=GAS_B,"B","A")),IF(K65="diesel",IF(M65&gt;=DIE_C,"C",IF(M65&gt;=DIE_B,"B","A")),""))))</f>
        <v/>
      </c>
      <c r="BG65" s="3">
        <f>IFERROR(VLOOKUP(F65,MOD_TBL,11,0),IFERROR(VLOOKUP(E65,OCU_TBL,2,0),NEUTRO))</f>
        <v/>
      </c>
      <c r="BH65" s="3">
        <f>SUMIFS(MOT_AJUSTE,MOT_MOTOR,G65,MOT_MARCA,E65,MOT_DESDE,"&lt;="&amp;M65,MOT_HASTA,"&gt;="&amp;M65)+SUMIFS(MOT_AJUSTE,MOT_MOTOR,G65,MOT_MARCA,"(todas)",MOT_DESDE,"&lt;="&amp;M65,MOT_HASTA,"&gt;="&amp;M65)</f>
        <v/>
      </c>
      <c r="BI65" s="3">
        <f>SUMIFS(COMB_AJUSTE,COMB_COMB,K65)</f>
        <v/>
      </c>
      <c r="BJ65" s="4">
        <f>MAX(0,MIN(100,BG65+BH65+BI65))</f>
        <v/>
      </c>
      <c r="BK65" s="3">
        <f>MAX(0,MIN(100,50+BE65*PRECIO_PEND))</f>
        <v/>
      </c>
      <c r="BL65" s="3">
        <f>MAX(0,100*(1-N65/KM_MAX))</f>
        <v/>
      </c>
      <c r="BM65" s="3">
        <f>IF(AV65&lt;KMA_SOSP,IF(AA65="sí",100,KMA_PEN),IF(AV65&lt;=KMA_IDEAL_MAX,100,MAX(0,100*(KMA_CERO-AV65)/(KMA_CERO-KMA_IDEAL_MAX))))</f>
        <v/>
      </c>
      <c r="BN65" s="3">
        <f>MAX(0,MIN(100,100*(M65-ANIO_MIN)/(ANIO_ACTUAL-ANIO_MIN)))</f>
        <v/>
      </c>
      <c r="BO65" s="3">
        <f>W_KMT*BL65+W_KMA*BM65+W_EDAD*BN65</f>
        <v/>
      </c>
      <c r="BP65" s="3">
        <f>P_ITV*(V65="sí")+P_LIBRO*(W65="sí")+P_CORREA*(X65="sí")+P_PROP*(Y65=1)+P_GAR*(Z65="sí")+P_FOTOS*MIN(1,N(U65)/FOTOS_OBJ)</f>
        <v/>
      </c>
      <c r="BQ65" s="3">
        <f>IFERROR(VLOOKUP(BF65,ETQ_TBL,2,0),NEUTRO)</f>
        <v/>
      </c>
      <c r="BR65" s="3">
        <f>NEUTRO</f>
        <v/>
      </c>
      <c r="BS65" s="3">
        <f>IFERROR(VLOOKUP(L65,SEGURO_TBL,3,0),"")</f>
        <v/>
      </c>
      <c r="BT65" s="3">
        <f>IF(BS65="",NEUTRO,MAX(0,MIN(100,100*(SEG_REF_MAX-BS65)/(SEG_REF_MAX-SEG_REF_MIN))))</f>
        <v/>
      </c>
      <c r="BU65" s="3">
        <f>W_ET*BQ65+W_CONS*BR65+W_SEG*BT65</f>
        <v/>
      </c>
      <c r="BV65" s="3">
        <f>IF(N(AB65)&gt;0,AB65,IF(AND(R65="profesional",SG_LEGAL_ON=1),GAR_LEGAL,0))</f>
        <v/>
      </c>
      <c r="BW65" s="3">
        <f>SG_GAR*MIN(1,BV65/SG_GAR_FULL)+SG_AMPL*(AC65="sí")+SG_KMC*(AF65="sí")+SG_REV*(N(AE65)&gt;0)+SG_DEV*MIN(1,N(AG65)/SG_DEV_FULL)+SG_HIST*(W65="sí")</f>
        <v/>
      </c>
      <c r="BX65" s="3">
        <f>W_FIAB*BJ65+W_PRECIO*BK65+W_KMEDAD*BO65+W_ANUNCIO*BP65+W_USO*BU65+W_SEGURIDAD*BW65</f>
        <v/>
      </c>
      <c r="BY65" s="4">
        <f>IF(N(I65)&gt;0,I65,IFERROR(ROUND(_xlfn.NUMBERVALUE(LEFT(G65,FIND(" ",G65&amp;" ")-1),".")*1000,0),99999))</f>
        <v/>
      </c>
      <c r="BZ65" s="3">
        <f>IF(R65="profesional",0,IF(O65&lt;CUOTA_VALOR_MAX,IF(AU65&gt;ITP_TRAMO_ALTO,SUMIFS(CF_CUOTA,CF_MAS,ITP_TRAMO_ALTO,CF_CCMIN,"&lt;="&amp;BY65,CF_CCMAX,"&gt;="&amp;BY65),IF(AU65&gt;ITP_TRAMO_BAJO,SUMIFS(CF_CUOTA,CF_MAS,ITP_TRAMO_BAJO,CF_CCMIN,"&lt;="&amp;BY65,CF_CCMAX,"&gt;="&amp;BY65),O65*ITP_TIPO)),O65*ITP_TIPO))</f>
        <v/>
      </c>
      <c r="CA65" s="4">
        <f>IF(R65="profesional",N(AK65),0)</f>
        <v/>
      </c>
      <c r="CB65" s="3">
        <f>IF(AND(R65="profesional",ISNUMBER(AK65),AL65="sí"),0,TASA_DGT)</f>
        <v/>
      </c>
      <c r="CC65" s="3">
        <f>INFORME_DGT</f>
        <v/>
      </c>
      <c r="CD65" s="4">
        <f>O65+CA65+BZ65+CB65+CC65</f>
        <v/>
      </c>
      <c r="CE65" s="4">
        <f>CD65+N(BS65)</f>
        <v/>
      </c>
      <c r="CF65" s="3">
        <f>IF(CD65&lt;=TOTAL_MAX,"sí","no")</f>
        <v/>
      </c>
      <c r="CG65" s="4">
        <f>IF(CF65="sí",COUNTIFS($CF$2:$CF$91,"sí",$BX$2:$BX$91,"&gt;"&amp;BX65)+COUNTIFS($CF$2:CF65,"sí",$BX$2:BX65,BX65),"")</f>
        <v/>
      </c>
    </row>
    <row r="66">
      <c r="A66" s="2" t="inlineStr">
        <is>
          <t>cochesnet:71393663</t>
        </is>
      </c>
      <c r="B66" s="2" t="inlineStr">
        <is>
          <t>cochesnet</t>
        </is>
      </c>
      <c r="C66" s="2" t="inlineStr">
        <is>
          <t>https://www.coches.net/dacia-sandero-gasolina-2010-en-valencia-71393663-covo.aspx</t>
        </is>
      </c>
      <c r="D66" s="2" t="inlineStr">
        <is>
          <t>DACIA Sandero Laureate 1.2 16v</t>
        </is>
      </c>
      <c r="E66" s="2" t="inlineStr">
        <is>
          <t>Dacia</t>
        </is>
      </c>
      <c r="F66" s="2" t="inlineStr">
        <is>
          <t>Dacia Sandero</t>
        </is>
      </c>
      <c r="G66" s="2" t="inlineStr">
        <is>
          <t>1.2</t>
        </is>
      </c>
      <c r="H66" s="2" t="inlineStr">
        <is>
          <t>Laureate 1.2 16v 75cv</t>
        </is>
      </c>
      <c r="I66" s="2" t="n"/>
      <c r="J66" s="2" t="n">
        <v>75</v>
      </c>
      <c r="K66" s="2" t="inlineStr">
        <is>
          <t>gasolina</t>
        </is>
      </c>
      <c r="L66" s="2" t="inlineStr">
        <is>
          <t>utilitario</t>
        </is>
      </c>
      <c r="M66" s="2" t="n">
        <v>2010</v>
      </c>
      <c r="N66" s="2" t="n">
        <v>143000</v>
      </c>
      <c r="O66" s="2" t="n">
        <v>4000</v>
      </c>
      <c r="P66" s="2" t="inlineStr">
        <is>
          <t>manual</t>
        </is>
      </c>
      <c r="Q66" s="2" t="inlineStr">
        <is>
          <t>no</t>
        </is>
      </c>
      <c r="R66" s="2" t="inlineStr">
        <is>
          <t>particular</t>
        </is>
      </c>
      <c r="S66" s="2" t="n"/>
      <c r="T66" s="2" t="inlineStr">
        <is>
          <t>2026-08-30T09:47:21Z</t>
        </is>
      </c>
      <c r="U66" s="2" t="n">
        <v>9</v>
      </c>
      <c r="V66" s="2" t="n"/>
      <c r="W66" s="2" t="n"/>
      <c r="X66" s="2" t="n"/>
      <c r="Y66" s="2" t="n"/>
      <c r="Z66" s="2" t="inlineStr">
        <is>
          <t>no</t>
        </is>
      </c>
      <c r="AA66" s="2" t="n"/>
      <c r="AB66" s="2" t="n"/>
      <c r="AC66" s="2" t="n"/>
      <c r="AD66" s="2" t="n"/>
      <c r="AE66" s="2" t="n"/>
      <c r="AF66" s="2" t="n"/>
      <c r="AG66" s="2" t="n"/>
      <c r="AH66" s="2" t="n">
        <v>4000</v>
      </c>
      <c r="AI66" s="2" t="n"/>
      <c r="AJ66" s="2" t="n"/>
      <c r="AK66" s="2" t="n"/>
      <c r="AL66" s="2" t="n"/>
      <c r="AM66" s="2" t="n"/>
      <c r="AN66" s="2" t="n">
        <v>3800</v>
      </c>
      <c r="AO66" s="2" t="n">
        <v>5</v>
      </c>
      <c r="AP66" s="2" t="inlineStr">
        <is>
          <t>modelo+año</t>
        </is>
      </c>
      <c r="AQ66" s="2" t="n"/>
      <c r="AR66" s="2" t="inlineStr">
        <is>
          <t>cuota fija ITP: &gt;12 años, hasta 1.500 cc; distancia no verificable (el anuncio solo indica la provincia): confirmar que está a &lt;= 50 km</t>
        </is>
      </c>
      <c r="AS66" s="2" t="inlineStr">
        <is>
          <t xml:space="preserve">aceite, filtros, patillas de freno recién cambiados, itv hace un mes se le hizo, lo único el aire me dejó de enfriar hace una semana! del resto perfecto </t>
        </is>
      </c>
      <c r="AT66" s="2" t="inlineStr">
        <is>
          <t>https://www.coches.net/dacia-sandero-gasolina-2010-en-valencia-71393663-covo.aspx (window.__INITIAL_PROPS__.ad) /home/user/Alopecia/buscador-coches/raw/cochesnet/f15dade2dad63cd0.json</t>
        </is>
      </c>
      <c r="AU66" s="3">
        <f>MAX(ANIO_ACTUAL-M66,0)</f>
        <v/>
      </c>
      <c r="AV66" s="4">
        <f>N66/MAX(AU66,0.5)</f>
        <v/>
      </c>
      <c r="AW66" s="4">
        <f>F66</f>
        <v/>
      </c>
      <c r="AX66" s="3">
        <f>AW66&amp;"|"&amp;INT(M66/SEG_ANIO)*SEG_ANIO</f>
        <v/>
      </c>
      <c r="AY66" s="3">
        <f>AX66&amp;"|"&amp;INT(N66/SEG_KM)*SEG_KM</f>
        <v/>
      </c>
      <c r="AZ66" s="4">
        <f>COUNTIF($AW$2:$AW$91,AW66)</f>
        <v/>
      </c>
      <c r="BA66" s="4">
        <f>COUNTIF($AX$2:$AX$91,AX66)</f>
        <v/>
      </c>
      <c r="BB66" s="4">
        <f>COUNTIF($AY$2:$AY$91,AY66)</f>
        <v/>
      </c>
      <c r="BC66" s="3">
        <f t="array" ref="BC66">IF(N(AO66)&gt;=MIN_N,AN66,IF(BB66&gt;=MIN_N,MEDIAN(IF($AY$2:$AY$91=AY66,$O$2:$O$91)),IF(BA66&gt;=MIN_N,MEDIAN(IF($AX$2:$AX$91=AX66,$O$2:$O$91)),MEDIAN(IF($AW$2:$AW$91=AW66,$O$2:$O$91)))))</f>
        <v/>
      </c>
      <c r="BD66" s="3">
        <f>IF(N(AO66)&gt;=MIN_N,"mercado "&amp;AP66,IF(BB66&gt;=MIN_N,"modelo+año+km",IF(BA66&gt;=MIN_N,"modelo+año","modelo")))</f>
        <v/>
      </c>
      <c r="BE66" s="4">
        <f>(BC66-O66)/BC66</f>
        <v/>
      </c>
      <c r="BF66" s="3">
        <f>IF(OR(K66="hibrido",K66="glp"),"ECO",IF(K66="electrico","CERO",IF(K66="gasolina",IF(M66&gt;=GAS_C,"C",IF(M66&gt;=GAS_B,"B","A")),IF(K66="diesel",IF(M66&gt;=DIE_C,"C",IF(M66&gt;=DIE_B,"B","A")),""))))</f>
        <v/>
      </c>
      <c r="BG66" s="3">
        <f>IFERROR(VLOOKUP(F66,MOD_TBL,11,0),IFERROR(VLOOKUP(E66,OCU_TBL,2,0),NEUTRO))</f>
        <v/>
      </c>
      <c r="BH66" s="3">
        <f>SUMIFS(MOT_AJUSTE,MOT_MOTOR,G66,MOT_MARCA,E66,MOT_DESDE,"&lt;="&amp;M66,MOT_HASTA,"&gt;="&amp;M66)+SUMIFS(MOT_AJUSTE,MOT_MOTOR,G66,MOT_MARCA,"(todas)",MOT_DESDE,"&lt;="&amp;M66,MOT_HASTA,"&gt;="&amp;M66)</f>
        <v/>
      </c>
      <c r="BI66" s="3">
        <f>SUMIFS(COMB_AJUSTE,COMB_COMB,K66)</f>
        <v/>
      </c>
      <c r="BJ66" s="4">
        <f>MAX(0,MIN(100,BG66+BH66+BI66))</f>
        <v/>
      </c>
      <c r="BK66" s="3">
        <f>MAX(0,MIN(100,50+BE66*PRECIO_PEND))</f>
        <v/>
      </c>
      <c r="BL66" s="3">
        <f>MAX(0,100*(1-N66/KM_MAX))</f>
        <v/>
      </c>
      <c r="BM66" s="3">
        <f>IF(AV66&lt;KMA_SOSP,IF(AA66="sí",100,KMA_PEN),IF(AV66&lt;=KMA_IDEAL_MAX,100,MAX(0,100*(KMA_CERO-AV66)/(KMA_CERO-KMA_IDEAL_MAX))))</f>
        <v/>
      </c>
      <c r="BN66" s="3">
        <f>MAX(0,MIN(100,100*(M66-ANIO_MIN)/(ANIO_ACTUAL-ANIO_MIN)))</f>
        <v/>
      </c>
      <c r="BO66" s="3">
        <f>W_KMT*BL66+W_KMA*BM66+W_EDAD*BN66</f>
        <v/>
      </c>
      <c r="BP66" s="3">
        <f>P_ITV*(V66="sí")+P_LIBRO*(W66="sí")+P_CORREA*(X66="sí")+P_PROP*(Y66=1)+P_GAR*(Z66="sí")+P_FOTOS*MIN(1,N(U66)/FOTOS_OBJ)</f>
        <v/>
      </c>
      <c r="BQ66" s="3">
        <f>IFERROR(VLOOKUP(BF66,ETQ_TBL,2,0),NEUTRO)</f>
        <v/>
      </c>
      <c r="BR66" s="3">
        <f>NEUTRO</f>
        <v/>
      </c>
      <c r="BS66" s="3">
        <f>IFERROR(VLOOKUP(L66,SEGURO_TBL,3,0),"")</f>
        <v/>
      </c>
      <c r="BT66" s="3">
        <f>IF(BS66="",NEUTRO,MAX(0,MIN(100,100*(SEG_REF_MAX-BS66)/(SEG_REF_MAX-SEG_REF_MIN))))</f>
        <v/>
      </c>
      <c r="BU66" s="3">
        <f>W_ET*BQ66+W_CONS*BR66+W_SEG*BT66</f>
        <v/>
      </c>
      <c r="BV66" s="3">
        <f>IF(N(AB66)&gt;0,AB66,IF(AND(R66="profesional",SG_LEGAL_ON=1),GAR_LEGAL,0))</f>
        <v/>
      </c>
      <c r="BW66" s="3">
        <f>SG_GAR*MIN(1,BV66/SG_GAR_FULL)+SG_AMPL*(AC66="sí")+SG_KMC*(AF66="sí")+SG_REV*(N(AE66)&gt;0)+SG_DEV*MIN(1,N(AG66)/SG_DEV_FULL)+SG_HIST*(W66="sí")</f>
        <v/>
      </c>
      <c r="BX66" s="3">
        <f>W_FIAB*BJ66+W_PRECIO*BK66+W_KMEDAD*BO66+W_ANUNCIO*BP66+W_USO*BU66+W_SEGURIDAD*BW66</f>
        <v/>
      </c>
      <c r="BY66" s="4">
        <f>IF(N(I66)&gt;0,I66,IFERROR(ROUND(_xlfn.NUMBERVALUE(LEFT(G66,FIND(" ",G66&amp;" ")-1),".")*1000,0),99999))</f>
        <v/>
      </c>
      <c r="BZ66" s="3">
        <f>IF(R66="profesional",0,IF(O66&lt;CUOTA_VALOR_MAX,IF(AU66&gt;ITP_TRAMO_ALTO,SUMIFS(CF_CUOTA,CF_MAS,ITP_TRAMO_ALTO,CF_CCMIN,"&lt;="&amp;BY66,CF_CCMAX,"&gt;="&amp;BY66),IF(AU66&gt;ITP_TRAMO_BAJO,SUMIFS(CF_CUOTA,CF_MAS,ITP_TRAMO_BAJO,CF_CCMIN,"&lt;="&amp;BY66,CF_CCMAX,"&gt;="&amp;BY66),O66*ITP_TIPO)),O66*ITP_TIPO))</f>
        <v/>
      </c>
      <c r="CA66" s="4">
        <f>IF(R66="profesional",N(AK66),0)</f>
        <v/>
      </c>
      <c r="CB66" s="3">
        <f>IF(AND(R66="profesional",ISNUMBER(AK66),AL66="sí"),0,TASA_DGT)</f>
        <v/>
      </c>
      <c r="CC66" s="3">
        <f>INFORME_DGT</f>
        <v/>
      </c>
      <c r="CD66" s="4">
        <f>O66+CA66+BZ66+CB66+CC66</f>
        <v/>
      </c>
      <c r="CE66" s="4">
        <f>CD66+N(BS66)</f>
        <v/>
      </c>
      <c r="CF66" s="3">
        <f>IF(CD66&lt;=TOTAL_MAX,"sí","no")</f>
        <v/>
      </c>
      <c r="CG66" s="4">
        <f>IF(CF66="sí",COUNTIFS($CF$2:$CF$91,"sí",$BX$2:$BX$91,"&gt;"&amp;BX66)+COUNTIFS($CF$2:CF66,"sí",$BX$2:BX66,BX66),"")</f>
        <v/>
      </c>
    </row>
    <row r="67">
      <c r="A67" s="2" t="inlineStr">
        <is>
          <t>cochesnet:71571620</t>
        </is>
      </c>
      <c r="B67" s="2" t="inlineStr">
        <is>
          <t>cochesnet</t>
        </is>
      </c>
      <c r="C67" s="2" t="inlineStr">
        <is>
          <t>https://www.coches.net/dacia-logan-laureate-14-4p-gasolina-2007-en-valencia-71571620-covo.aspx</t>
        </is>
      </c>
      <c r="D67" s="2" t="inlineStr">
        <is>
          <t>DACIA Logan Laureate 1.4</t>
        </is>
      </c>
      <c r="E67" s="2" t="inlineStr">
        <is>
          <t>Dacia</t>
        </is>
      </c>
      <c r="F67" s="2" t="inlineStr">
        <is>
          <t>Dacia Logan</t>
        </is>
      </c>
      <c r="G67" s="2" t="inlineStr">
        <is>
          <t>1.4</t>
        </is>
      </c>
      <c r="H67" s="2" t="inlineStr">
        <is>
          <t>Laureate 1.4</t>
        </is>
      </c>
      <c r="I67" s="2" t="n"/>
      <c r="J67" s="2" t="n"/>
      <c r="K67" s="2" t="inlineStr">
        <is>
          <t>gasolina</t>
        </is>
      </c>
      <c r="L67" s="2" t="inlineStr">
        <is>
          <t>compacto</t>
        </is>
      </c>
      <c r="M67" s="2" t="n">
        <v>2008</v>
      </c>
      <c r="N67" s="2" t="n">
        <v>128293</v>
      </c>
      <c r="O67" s="2" t="n">
        <v>3490</v>
      </c>
      <c r="P67" s="2" t="inlineStr">
        <is>
          <t>manual</t>
        </is>
      </c>
      <c r="Q67" s="2" t="inlineStr">
        <is>
          <t>no</t>
        </is>
      </c>
      <c r="R67" s="2" t="inlineStr">
        <is>
          <t>profesional</t>
        </is>
      </c>
      <c r="S67" s="2" t="inlineStr">
        <is>
          <t>AUTOSCOL Torrent</t>
        </is>
      </c>
      <c r="T67" s="2" t="inlineStr">
        <is>
          <t>2026-09-22T15:40:22Z</t>
        </is>
      </c>
      <c r="U67" s="2" t="n">
        <v>18</v>
      </c>
      <c r="V67" s="2" t="n"/>
      <c r="W67" s="2" t="n"/>
      <c r="X67" s="2" t="n"/>
      <c r="Y67" s="2" t="n"/>
      <c r="Z67" s="2" t="inlineStr">
        <is>
          <t>sí</t>
        </is>
      </c>
      <c r="AA67" s="2" t="n"/>
      <c r="AB67" s="2" t="n">
        <v>12</v>
      </c>
      <c r="AC67" s="2" t="n"/>
      <c r="AD67" s="2" t="n"/>
      <c r="AE67" s="2" t="n"/>
      <c r="AF67" s="2" t="n"/>
      <c r="AG67" s="2" t="n"/>
      <c r="AH67" s="2" t="n">
        <v>3490</v>
      </c>
      <c r="AI67" s="2" t="n"/>
      <c r="AJ67" s="2" t="n"/>
      <c r="AK67" s="2" t="n">
        <v>180</v>
      </c>
      <c r="AL67" s="2" t="inlineStr">
        <is>
          <t>sí</t>
        </is>
      </c>
      <c r="AM67" s="2" t="n">
        <v>8.800000000000001</v>
      </c>
      <c r="AN67" s="2" t="n"/>
      <c r="AO67" s="2" t="n"/>
      <c r="AP67" s="2" t="n"/>
      <c r="AQ67" s="2" t="n"/>
      <c r="AR67" s="2" t="inlineStr">
        <is>
          <t>vendedor profesional: sin ITP (operación con IVA/REBU, confirmar en factura); mediana con solo 1 anuncio(s)</t>
        </is>
      </c>
      <c r="AS67"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AT67" s="2" t="inlineStr">
        <is>
          <t>https://www.coches.net/dacia-logan-laureate-14-4p-gasolina-2007-en-valencia-71571620-covo.aspx (window.__INITIAL_PROPS__.ad) /home/user/Alopecia/buscador-coches/raw/cochesnet/419db24ec45a6b74.json</t>
        </is>
      </c>
      <c r="AU67" s="3">
        <f>MAX(ANIO_ACTUAL-M67,0)</f>
        <v/>
      </c>
      <c r="AV67" s="4">
        <f>N67/MAX(AU67,0.5)</f>
        <v/>
      </c>
      <c r="AW67" s="4">
        <f>F67</f>
        <v/>
      </c>
      <c r="AX67" s="3">
        <f>AW67&amp;"|"&amp;INT(M67/SEG_ANIO)*SEG_ANIO</f>
        <v/>
      </c>
      <c r="AY67" s="3">
        <f>AX67&amp;"|"&amp;INT(N67/SEG_KM)*SEG_KM</f>
        <v/>
      </c>
      <c r="AZ67" s="4">
        <f>COUNTIF($AW$2:$AW$91,AW67)</f>
        <v/>
      </c>
      <c r="BA67" s="4">
        <f>COUNTIF($AX$2:$AX$91,AX67)</f>
        <v/>
      </c>
      <c r="BB67" s="4">
        <f>COUNTIF($AY$2:$AY$91,AY67)</f>
        <v/>
      </c>
      <c r="BC67" s="3">
        <f t="array" ref="BC67">IF(N(AO67)&gt;=MIN_N,AN67,IF(BB67&gt;=MIN_N,MEDIAN(IF($AY$2:$AY$91=AY67,$O$2:$O$91)),IF(BA67&gt;=MIN_N,MEDIAN(IF($AX$2:$AX$91=AX67,$O$2:$O$91)),MEDIAN(IF($AW$2:$AW$91=AW67,$O$2:$O$91)))))</f>
        <v/>
      </c>
      <c r="BD67" s="3">
        <f>IF(N(AO67)&gt;=MIN_N,"mercado "&amp;AP67,IF(BB67&gt;=MIN_N,"modelo+año+km",IF(BA67&gt;=MIN_N,"modelo+año","modelo")))</f>
        <v/>
      </c>
      <c r="BE67" s="4">
        <f>(BC67-O67)/BC67</f>
        <v/>
      </c>
      <c r="BF67" s="3">
        <f>IF(OR(K67="hibrido",K67="glp"),"ECO",IF(K67="electrico","CERO",IF(K67="gasolina",IF(M67&gt;=GAS_C,"C",IF(M67&gt;=GAS_B,"B","A")),IF(K67="diesel",IF(M67&gt;=DIE_C,"C",IF(M67&gt;=DIE_B,"B","A")),""))))</f>
        <v/>
      </c>
      <c r="BG67" s="3">
        <f>IFERROR(VLOOKUP(F67,MOD_TBL,11,0),IFERROR(VLOOKUP(E67,OCU_TBL,2,0),NEUTRO))</f>
        <v/>
      </c>
      <c r="BH67" s="3">
        <f>SUMIFS(MOT_AJUSTE,MOT_MOTOR,G67,MOT_MARCA,E67,MOT_DESDE,"&lt;="&amp;M67,MOT_HASTA,"&gt;="&amp;M67)+SUMIFS(MOT_AJUSTE,MOT_MOTOR,G67,MOT_MARCA,"(todas)",MOT_DESDE,"&lt;="&amp;M67,MOT_HASTA,"&gt;="&amp;M67)</f>
        <v/>
      </c>
      <c r="BI67" s="3">
        <f>SUMIFS(COMB_AJUSTE,COMB_COMB,K67)</f>
        <v/>
      </c>
      <c r="BJ67" s="4">
        <f>MAX(0,MIN(100,BG67+BH67+BI67))</f>
        <v/>
      </c>
      <c r="BK67" s="3">
        <f>MAX(0,MIN(100,50+BE67*PRECIO_PEND))</f>
        <v/>
      </c>
      <c r="BL67" s="3">
        <f>MAX(0,100*(1-N67/KM_MAX))</f>
        <v/>
      </c>
      <c r="BM67" s="3">
        <f>IF(AV67&lt;KMA_SOSP,IF(AA67="sí",100,KMA_PEN),IF(AV67&lt;=KMA_IDEAL_MAX,100,MAX(0,100*(KMA_CERO-AV67)/(KMA_CERO-KMA_IDEAL_MAX))))</f>
        <v/>
      </c>
      <c r="BN67" s="3">
        <f>MAX(0,MIN(100,100*(M67-ANIO_MIN)/(ANIO_ACTUAL-ANIO_MIN)))</f>
        <v/>
      </c>
      <c r="BO67" s="3">
        <f>W_KMT*BL67+W_KMA*BM67+W_EDAD*BN67</f>
        <v/>
      </c>
      <c r="BP67" s="3">
        <f>P_ITV*(V67="sí")+P_LIBRO*(W67="sí")+P_CORREA*(X67="sí")+P_PROP*(Y67=1)+P_GAR*(Z67="sí")+P_FOTOS*MIN(1,N(U67)/FOTOS_OBJ)</f>
        <v/>
      </c>
      <c r="BQ67" s="3">
        <f>IFERROR(VLOOKUP(BF67,ETQ_TBL,2,0),NEUTRO)</f>
        <v/>
      </c>
      <c r="BR67" s="3">
        <f>NEUTRO</f>
        <v/>
      </c>
      <c r="BS67" s="3">
        <f>IFERROR(VLOOKUP(L67,SEGURO_TBL,3,0),"")</f>
        <v/>
      </c>
      <c r="BT67" s="3">
        <f>IF(BS67="",NEUTRO,MAX(0,MIN(100,100*(SEG_REF_MAX-BS67)/(SEG_REF_MAX-SEG_REF_MIN))))</f>
        <v/>
      </c>
      <c r="BU67" s="3">
        <f>W_ET*BQ67+W_CONS*BR67+W_SEG*BT67</f>
        <v/>
      </c>
      <c r="BV67" s="3">
        <f>IF(N(AB67)&gt;0,AB67,IF(AND(R67="profesional",SG_LEGAL_ON=1),GAR_LEGAL,0))</f>
        <v/>
      </c>
      <c r="BW67" s="3">
        <f>SG_GAR*MIN(1,BV67/SG_GAR_FULL)+SG_AMPL*(AC67="sí")+SG_KMC*(AF67="sí")+SG_REV*(N(AE67)&gt;0)+SG_DEV*MIN(1,N(AG67)/SG_DEV_FULL)+SG_HIST*(W67="sí")</f>
        <v/>
      </c>
      <c r="BX67" s="3">
        <f>W_FIAB*BJ67+W_PRECIO*BK67+W_KMEDAD*BO67+W_ANUNCIO*BP67+W_USO*BU67+W_SEGURIDAD*BW67</f>
        <v/>
      </c>
      <c r="BY67" s="4">
        <f>IF(N(I67)&gt;0,I67,IFERROR(ROUND(_xlfn.NUMBERVALUE(LEFT(G67,FIND(" ",G67&amp;" ")-1),".")*1000,0),99999))</f>
        <v/>
      </c>
      <c r="BZ67" s="3">
        <f>IF(R67="profesional",0,IF(O67&lt;CUOTA_VALOR_MAX,IF(AU67&gt;ITP_TRAMO_ALTO,SUMIFS(CF_CUOTA,CF_MAS,ITP_TRAMO_ALTO,CF_CCMIN,"&lt;="&amp;BY67,CF_CCMAX,"&gt;="&amp;BY67),IF(AU67&gt;ITP_TRAMO_BAJO,SUMIFS(CF_CUOTA,CF_MAS,ITP_TRAMO_BAJO,CF_CCMIN,"&lt;="&amp;BY67,CF_CCMAX,"&gt;="&amp;BY67),O67*ITP_TIPO)),O67*ITP_TIPO))</f>
        <v/>
      </c>
      <c r="CA67" s="4">
        <f>IF(R67="profesional",N(AK67),0)</f>
        <v/>
      </c>
      <c r="CB67" s="3">
        <f>IF(AND(R67="profesional",ISNUMBER(AK67),AL67="sí"),0,TASA_DGT)</f>
        <v/>
      </c>
      <c r="CC67" s="3">
        <f>INFORME_DGT</f>
        <v/>
      </c>
      <c r="CD67" s="4">
        <f>O67+CA67+BZ67+CB67+CC67</f>
        <v/>
      </c>
      <c r="CE67" s="4">
        <f>CD67+N(BS67)</f>
        <v/>
      </c>
      <c r="CF67" s="3">
        <f>IF(CD67&lt;=TOTAL_MAX,"sí","no")</f>
        <v/>
      </c>
      <c r="CG67" s="4">
        <f>IF(CF67="sí",COUNTIFS($CF$2:$CF$91,"sí",$BX$2:$BX$91,"&gt;"&amp;BX67)+COUNTIFS($CF$2:CF67,"sí",$BX$2:BX67,BX67),"")</f>
        <v/>
      </c>
    </row>
    <row r="68">
      <c r="A68" s="2" t="inlineStr">
        <is>
          <t>cochesnet:71833160</t>
        </is>
      </c>
      <c r="B68" s="2" t="inlineStr">
        <is>
          <t>cochesnet</t>
        </is>
      </c>
      <c r="C68" s="2" t="inlineStr">
        <is>
          <t>https://www.coches.net/peugeot-207-confort-14-75-5p-gasolina-2009-en-valencia-71833160-covo.aspx</t>
        </is>
      </c>
      <c r="D68" s="2" t="inlineStr">
        <is>
          <t>PEUGEOT 207 Confort 1.4 75</t>
        </is>
      </c>
      <c r="E68" s="2" t="inlineStr">
        <is>
          <t>Peugeot</t>
        </is>
      </c>
      <c r="F68" s="2" t="inlineStr">
        <is>
          <t>Peugeot 207</t>
        </is>
      </c>
      <c r="G68" s="2" t="inlineStr">
        <is>
          <t>1.4</t>
        </is>
      </c>
      <c r="H68" s="2" t="inlineStr">
        <is>
          <t>Confort 1.4 75</t>
        </is>
      </c>
      <c r="I68" s="2" t="n"/>
      <c r="J68" s="2" t="n"/>
      <c r="K68" s="2" t="inlineStr">
        <is>
          <t>gasolina</t>
        </is>
      </c>
      <c r="L68" s="2" t="inlineStr">
        <is>
          <t>utilitario</t>
        </is>
      </c>
      <c r="M68" s="2" t="n">
        <v>2009</v>
      </c>
      <c r="N68" s="2" t="n">
        <v>95000</v>
      </c>
      <c r="O68" s="2" t="n">
        <v>3990</v>
      </c>
      <c r="P68" s="2" t="inlineStr">
        <is>
          <t>manual</t>
        </is>
      </c>
      <c r="Q68" s="2" t="inlineStr">
        <is>
          <t>no</t>
        </is>
      </c>
      <c r="R68" s="2" t="inlineStr">
        <is>
          <t>profesional</t>
        </is>
      </c>
      <c r="S68" s="2" t="inlineStr">
        <is>
          <t>Prime Cars Alzira Alzira</t>
        </is>
      </c>
      <c r="T68" s="2" t="inlineStr">
        <is>
          <t>2026-10-26T12:09:55Z</t>
        </is>
      </c>
      <c r="U68" s="2" t="n">
        <v>10</v>
      </c>
      <c r="V68" s="2" t="inlineStr">
        <is>
          <t>sí</t>
        </is>
      </c>
      <c r="W68" s="2" t="n"/>
      <c r="X68" s="2" t="inlineStr">
        <is>
          <t>sí</t>
        </is>
      </c>
      <c r="Y68" s="2" t="n"/>
      <c r="Z68" s="2" t="inlineStr">
        <is>
          <t>no</t>
        </is>
      </c>
      <c r="AA68" s="2" t="n"/>
      <c r="AB68" s="2" t="n"/>
      <c r="AC68" s="2" t="n"/>
      <c r="AD68" s="2" t="n"/>
      <c r="AE68" s="2" t="n"/>
      <c r="AF68" s="2" t="n"/>
      <c r="AG68" s="2" t="n"/>
      <c r="AH68" s="2" t="n">
        <v>3990</v>
      </c>
      <c r="AI68" s="2" t="n"/>
      <c r="AJ68" s="2" t="n"/>
      <c r="AK68" s="2" t="n"/>
      <c r="AL68" s="2" t="n"/>
      <c r="AM68" s="2" t="n">
        <v>35.7</v>
      </c>
      <c r="AN68" s="2" t="n">
        <v>4750</v>
      </c>
      <c r="AO68" s="2" t="n">
        <v>13</v>
      </c>
      <c r="AP68" s="2" t="inlineStr">
        <is>
          <t>modelo+año+km</t>
        </is>
      </c>
      <c r="AQ68" s="2" t="n"/>
      <c r="AR68" s="2" t="inlineStr">
        <is>
          <t>vendedor profesional: sin ITP (operación con IVA/REBU, confirmar en factura); gastos de gestión del vendedor no indicados: se suma la tasa DGT; preguntar el precio final; fiabilidad del modelo PENDIENTE de fuente (puntuación neutra)</t>
        </is>
      </c>
      <c r="AS68"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AT68" s="2" t="inlineStr">
        <is>
          <t>https://www.coches.net/peugeot-207-confort-14-75-5p-gasolina-2009-en-valencia-71833160-covo.aspx (window.__INITIAL_PROPS__.ad) /home/user/Alopecia/buscador-coches/raw/cochesnet/0b54a76ea589cdf3.json</t>
        </is>
      </c>
      <c r="AU68" s="3">
        <f>MAX(ANIO_ACTUAL-M68,0)</f>
        <v/>
      </c>
      <c r="AV68" s="4">
        <f>N68/MAX(AU68,0.5)</f>
        <v/>
      </c>
      <c r="AW68" s="4">
        <f>F68</f>
        <v/>
      </c>
      <c r="AX68" s="3">
        <f>AW68&amp;"|"&amp;INT(M68/SEG_ANIO)*SEG_ANIO</f>
        <v/>
      </c>
      <c r="AY68" s="3">
        <f>AX68&amp;"|"&amp;INT(N68/SEG_KM)*SEG_KM</f>
        <v/>
      </c>
      <c r="AZ68" s="4">
        <f>COUNTIF($AW$2:$AW$91,AW68)</f>
        <v/>
      </c>
      <c r="BA68" s="4">
        <f>COUNTIF($AX$2:$AX$91,AX68)</f>
        <v/>
      </c>
      <c r="BB68" s="4">
        <f>COUNTIF($AY$2:$AY$91,AY68)</f>
        <v/>
      </c>
      <c r="BC68" s="3">
        <f t="array" ref="BC68">IF(N(AO68)&gt;=MIN_N,AN68,IF(BB68&gt;=MIN_N,MEDIAN(IF($AY$2:$AY$91=AY68,$O$2:$O$91)),IF(BA68&gt;=MIN_N,MEDIAN(IF($AX$2:$AX$91=AX68,$O$2:$O$91)),MEDIAN(IF($AW$2:$AW$91=AW68,$O$2:$O$91)))))</f>
        <v/>
      </c>
      <c r="BD68" s="3">
        <f>IF(N(AO68)&gt;=MIN_N,"mercado "&amp;AP68,IF(BB68&gt;=MIN_N,"modelo+año+km",IF(BA68&gt;=MIN_N,"modelo+año","modelo")))</f>
        <v/>
      </c>
      <c r="BE68" s="4">
        <f>(BC68-O68)/BC68</f>
        <v/>
      </c>
      <c r="BF68" s="3">
        <f>IF(OR(K68="hibrido",K68="glp"),"ECO",IF(K68="electrico","CERO",IF(K68="gasolina",IF(M68&gt;=GAS_C,"C",IF(M68&gt;=GAS_B,"B","A")),IF(K68="diesel",IF(M68&gt;=DIE_C,"C",IF(M68&gt;=DIE_B,"B","A")),""))))</f>
        <v/>
      </c>
      <c r="BG68" s="3">
        <f>IFERROR(VLOOKUP(F68,MOD_TBL,11,0),IFERROR(VLOOKUP(E68,OCU_TBL,2,0),NEUTRO))</f>
        <v/>
      </c>
      <c r="BH68" s="3">
        <f>SUMIFS(MOT_AJUSTE,MOT_MOTOR,G68,MOT_MARCA,E68,MOT_DESDE,"&lt;="&amp;M68,MOT_HASTA,"&gt;="&amp;M68)+SUMIFS(MOT_AJUSTE,MOT_MOTOR,G68,MOT_MARCA,"(todas)",MOT_DESDE,"&lt;="&amp;M68,MOT_HASTA,"&gt;="&amp;M68)</f>
        <v/>
      </c>
      <c r="BI68" s="3">
        <f>SUMIFS(COMB_AJUSTE,COMB_COMB,K68)</f>
        <v/>
      </c>
      <c r="BJ68" s="4">
        <f>MAX(0,MIN(100,BG68+BH68+BI68))</f>
        <v/>
      </c>
      <c r="BK68" s="3">
        <f>MAX(0,MIN(100,50+BE68*PRECIO_PEND))</f>
        <v/>
      </c>
      <c r="BL68" s="3">
        <f>MAX(0,100*(1-N68/KM_MAX))</f>
        <v/>
      </c>
      <c r="BM68" s="3">
        <f>IF(AV68&lt;KMA_SOSP,IF(AA68="sí",100,KMA_PEN),IF(AV68&lt;=KMA_IDEAL_MAX,100,MAX(0,100*(KMA_CERO-AV68)/(KMA_CERO-KMA_IDEAL_MAX))))</f>
        <v/>
      </c>
      <c r="BN68" s="3">
        <f>MAX(0,MIN(100,100*(M68-ANIO_MIN)/(ANIO_ACTUAL-ANIO_MIN)))</f>
        <v/>
      </c>
      <c r="BO68" s="3">
        <f>W_KMT*BL68+W_KMA*BM68+W_EDAD*BN68</f>
        <v/>
      </c>
      <c r="BP68" s="3">
        <f>P_ITV*(V68="sí")+P_LIBRO*(W68="sí")+P_CORREA*(X68="sí")+P_PROP*(Y68=1)+P_GAR*(Z68="sí")+P_FOTOS*MIN(1,N(U68)/FOTOS_OBJ)</f>
        <v/>
      </c>
      <c r="BQ68" s="3">
        <f>IFERROR(VLOOKUP(BF68,ETQ_TBL,2,0),NEUTRO)</f>
        <v/>
      </c>
      <c r="BR68" s="3">
        <f>NEUTRO</f>
        <v/>
      </c>
      <c r="BS68" s="3">
        <f>IFERROR(VLOOKUP(L68,SEGURO_TBL,3,0),"")</f>
        <v/>
      </c>
      <c r="BT68" s="3">
        <f>IF(BS68="",NEUTRO,MAX(0,MIN(100,100*(SEG_REF_MAX-BS68)/(SEG_REF_MAX-SEG_REF_MIN))))</f>
        <v/>
      </c>
      <c r="BU68" s="3">
        <f>W_ET*BQ68+W_CONS*BR68+W_SEG*BT68</f>
        <v/>
      </c>
      <c r="BV68" s="3">
        <f>IF(N(AB68)&gt;0,AB68,IF(AND(R68="profesional",SG_LEGAL_ON=1),GAR_LEGAL,0))</f>
        <v/>
      </c>
      <c r="BW68" s="3">
        <f>SG_GAR*MIN(1,BV68/SG_GAR_FULL)+SG_AMPL*(AC68="sí")+SG_KMC*(AF68="sí")+SG_REV*(N(AE68)&gt;0)+SG_DEV*MIN(1,N(AG68)/SG_DEV_FULL)+SG_HIST*(W68="sí")</f>
        <v/>
      </c>
      <c r="BX68" s="3">
        <f>W_FIAB*BJ68+W_PRECIO*BK68+W_KMEDAD*BO68+W_ANUNCIO*BP68+W_USO*BU68+W_SEGURIDAD*BW68</f>
        <v/>
      </c>
      <c r="BY68" s="4">
        <f>IF(N(I68)&gt;0,I68,IFERROR(ROUND(_xlfn.NUMBERVALUE(LEFT(G68,FIND(" ",G68&amp;" ")-1),".")*1000,0),99999))</f>
        <v/>
      </c>
      <c r="BZ68" s="3">
        <f>IF(R68="profesional",0,IF(O68&lt;CUOTA_VALOR_MAX,IF(AU68&gt;ITP_TRAMO_ALTO,SUMIFS(CF_CUOTA,CF_MAS,ITP_TRAMO_ALTO,CF_CCMIN,"&lt;="&amp;BY68,CF_CCMAX,"&gt;="&amp;BY68),IF(AU68&gt;ITP_TRAMO_BAJO,SUMIFS(CF_CUOTA,CF_MAS,ITP_TRAMO_BAJO,CF_CCMIN,"&lt;="&amp;BY68,CF_CCMAX,"&gt;="&amp;BY68),O68*ITP_TIPO)),O68*ITP_TIPO))</f>
        <v/>
      </c>
      <c r="CA68" s="4">
        <f>IF(R68="profesional",N(AK68),0)</f>
        <v/>
      </c>
      <c r="CB68" s="3">
        <f>IF(AND(R68="profesional",ISNUMBER(AK68),AL68="sí"),0,TASA_DGT)</f>
        <v/>
      </c>
      <c r="CC68" s="3">
        <f>INFORME_DGT</f>
        <v/>
      </c>
      <c r="CD68" s="4">
        <f>O68+CA68+BZ68+CB68+CC68</f>
        <v/>
      </c>
      <c r="CE68" s="4">
        <f>CD68+N(BS68)</f>
        <v/>
      </c>
      <c r="CF68" s="3">
        <f>IF(CD68&lt;=TOTAL_MAX,"sí","no")</f>
        <v/>
      </c>
      <c r="CG68" s="4">
        <f>IF(CF68="sí",COUNTIFS($CF$2:$CF$91,"sí",$BX$2:$BX$91,"&gt;"&amp;BX68)+COUNTIFS($CF$2:CF68,"sí",$BX$2:BX68,BX68),"")</f>
        <v/>
      </c>
    </row>
    <row r="69">
      <c r="A69" s="2" t="inlineStr">
        <is>
          <t>cochesnet:71712964</t>
        </is>
      </c>
      <c r="B69" s="2" t="inlineStr">
        <is>
          <t>cochesnet</t>
        </is>
      </c>
      <c r="C69" s="2" t="inlineStr">
        <is>
          <t>https://www.coches.net/peugeot-207-gasolina-2009-en-valencia-71712964-covo.aspx</t>
        </is>
      </c>
      <c r="D69" s="2" t="inlineStr">
        <is>
          <t>PEUGEOT 207</t>
        </is>
      </c>
      <c r="E69" s="2" t="inlineStr">
        <is>
          <t>Peugeot</t>
        </is>
      </c>
      <c r="F69" s="2" t="inlineStr">
        <is>
          <t>Peugeot 207</t>
        </is>
      </c>
      <c r="G69" s="2" t="n"/>
      <c r="H69" s="2" t="n"/>
      <c r="I69" s="2" t="n"/>
      <c r="J69" s="2" t="n"/>
      <c r="K69" s="2" t="inlineStr">
        <is>
          <t>gasolina</t>
        </is>
      </c>
      <c r="L69" s="2" t="inlineStr">
        <is>
          <t>utilitario</t>
        </is>
      </c>
      <c r="M69" s="2" t="n">
        <v>2009</v>
      </c>
      <c r="N69" s="2" t="n">
        <v>133000</v>
      </c>
      <c r="O69" s="2" t="n">
        <v>3900</v>
      </c>
      <c r="P69" s="2" t="inlineStr">
        <is>
          <t>manual</t>
        </is>
      </c>
      <c r="Q69" s="2" t="inlineStr">
        <is>
          <t>no</t>
        </is>
      </c>
      <c r="R69" s="2" t="inlineStr">
        <is>
          <t>particular</t>
        </is>
      </c>
      <c r="S69" s="2" t="n"/>
      <c r="T69" s="2" t="inlineStr">
        <is>
          <t>2026-10-09T12:31:01Z</t>
        </is>
      </c>
      <c r="U69" s="2" t="n">
        <v>6</v>
      </c>
      <c r="V69" s="2" t="inlineStr">
        <is>
          <t>sí</t>
        </is>
      </c>
      <c r="W69" s="2" t="n"/>
      <c r="X69" s="2" t="n"/>
      <c r="Y69" s="2" t="n"/>
      <c r="Z69" s="2" t="inlineStr">
        <is>
          <t>no</t>
        </is>
      </c>
      <c r="AA69" s="2" t="n"/>
      <c r="AB69" s="2" t="n"/>
      <c r="AC69" s="2" t="n"/>
      <c r="AD69" s="2" t="n"/>
      <c r="AE69" s="2" t="n"/>
      <c r="AF69" s="2" t="n"/>
      <c r="AG69" s="2" t="n"/>
      <c r="AH69" s="2" t="n">
        <v>3900</v>
      </c>
      <c r="AI69" s="2" t="n"/>
      <c r="AJ69" s="2" t="n"/>
      <c r="AK69" s="2" t="n"/>
      <c r="AL69" s="2" t="n"/>
      <c r="AM69" s="2" t="n"/>
      <c r="AN69" s="2" t="n">
        <v>3500</v>
      </c>
      <c r="AO69" s="2" t="n">
        <v>28</v>
      </c>
      <c r="AP69" s="2" t="inlineStr">
        <is>
          <t>modelo+año+km</t>
        </is>
      </c>
      <c r="AQ69" s="2" t="n"/>
      <c r="AR69" s="2" t="inlineStr">
        <is>
          <t>cilindrada desconocida: se aplica el tramo de cuota fija más alto; cuota fija ITP: &gt;12 años, más de 2.000 cc; distancia no verificable (el anuncio solo indica la provincia): confirmar que está a &lt;= 50 km; fiabilidad del modelo PENDIENTE de fuente (puntuación neutra)</t>
        </is>
      </c>
      <c r="AS69" s="2" t="inlineStr">
        <is>
          <t xml:space="preserve">Peugeot 207 cabrio 1.6i 133.000km 
itv recién pasada 
Aire acondicionando funcionando
2 llaves 
Etiqueta C
</t>
        </is>
      </c>
      <c r="AT69" s="2" t="inlineStr">
        <is>
          <t>https://www.coches.net/peugeot-207-gasolina-2009-en-valencia-71712964-covo.aspx (window.__INITIAL_PROPS__.ad) /home/user/Alopecia/buscador-coches/raw/cochesnet/3e63472acf74901b.json</t>
        </is>
      </c>
      <c r="AU69" s="3">
        <f>MAX(ANIO_ACTUAL-M69,0)</f>
        <v/>
      </c>
      <c r="AV69" s="4">
        <f>N69/MAX(AU69,0.5)</f>
        <v/>
      </c>
      <c r="AW69" s="4">
        <f>F69</f>
        <v/>
      </c>
      <c r="AX69" s="3">
        <f>AW69&amp;"|"&amp;INT(M69/SEG_ANIO)*SEG_ANIO</f>
        <v/>
      </c>
      <c r="AY69" s="3">
        <f>AX69&amp;"|"&amp;INT(N69/SEG_KM)*SEG_KM</f>
        <v/>
      </c>
      <c r="AZ69" s="4">
        <f>COUNTIF($AW$2:$AW$91,AW69)</f>
        <v/>
      </c>
      <c r="BA69" s="4">
        <f>COUNTIF($AX$2:$AX$91,AX69)</f>
        <v/>
      </c>
      <c r="BB69" s="4">
        <f>COUNTIF($AY$2:$AY$91,AY69)</f>
        <v/>
      </c>
      <c r="BC69" s="3">
        <f t="array" ref="BC69">IF(N(AO69)&gt;=MIN_N,AN69,IF(BB69&gt;=MIN_N,MEDIAN(IF($AY$2:$AY$91=AY69,$O$2:$O$91)),IF(BA69&gt;=MIN_N,MEDIAN(IF($AX$2:$AX$91=AX69,$O$2:$O$91)),MEDIAN(IF($AW$2:$AW$91=AW69,$O$2:$O$91)))))</f>
        <v/>
      </c>
      <c r="BD69" s="3">
        <f>IF(N(AO69)&gt;=MIN_N,"mercado "&amp;AP69,IF(BB69&gt;=MIN_N,"modelo+año+km",IF(BA69&gt;=MIN_N,"modelo+año","modelo")))</f>
        <v/>
      </c>
      <c r="BE69" s="4">
        <f>(BC69-O69)/BC69</f>
        <v/>
      </c>
      <c r="BF69" s="3">
        <f>IF(OR(K69="hibrido",K69="glp"),"ECO",IF(K69="electrico","CERO",IF(K69="gasolina",IF(M69&gt;=GAS_C,"C",IF(M69&gt;=GAS_B,"B","A")),IF(K69="diesel",IF(M69&gt;=DIE_C,"C",IF(M69&gt;=DIE_B,"B","A")),""))))</f>
        <v/>
      </c>
      <c r="BG69" s="3">
        <f>IFERROR(VLOOKUP(F69,MOD_TBL,11,0),IFERROR(VLOOKUP(E69,OCU_TBL,2,0),NEUTRO))</f>
        <v/>
      </c>
      <c r="BH69" s="3">
        <f>SUMIFS(MOT_AJUSTE,MOT_MOTOR,G69,MOT_MARCA,E69,MOT_DESDE,"&lt;="&amp;M69,MOT_HASTA,"&gt;="&amp;M69)+SUMIFS(MOT_AJUSTE,MOT_MOTOR,G69,MOT_MARCA,"(todas)",MOT_DESDE,"&lt;="&amp;M69,MOT_HASTA,"&gt;="&amp;M69)</f>
        <v/>
      </c>
      <c r="BI69" s="3">
        <f>SUMIFS(COMB_AJUSTE,COMB_COMB,K69)</f>
        <v/>
      </c>
      <c r="BJ69" s="4">
        <f>MAX(0,MIN(100,BG69+BH69+BI69))</f>
        <v/>
      </c>
      <c r="BK69" s="3">
        <f>MAX(0,MIN(100,50+BE69*PRECIO_PEND))</f>
        <v/>
      </c>
      <c r="BL69" s="3">
        <f>MAX(0,100*(1-N69/KM_MAX))</f>
        <v/>
      </c>
      <c r="BM69" s="3">
        <f>IF(AV69&lt;KMA_SOSP,IF(AA69="sí",100,KMA_PEN),IF(AV69&lt;=KMA_IDEAL_MAX,100,MAX(0,100*(KMA_CERO-AV69)/(KMA_CERO-KMA_IDEAL_MAX))))</f>
        <v/>
      </c>
      <c r="BN69" s="3">
        <f>MAX(0,MIN(100,100*(M69-ANIO_MIN)/(ANIO_ACTUAL-ANIO_MIN)))</f>
        <v/>
      </c>
      <c r="BO69" s="3">
        <f>W_KMT*BL69+W_KMA*BM69+W_EDAD*BN69</f>
        <v/>
      </c>
      <c r="BP69" s="3">
        <f>P_ITV*(V69="sí")+P_LIBRO*(W69="sí")+P_CORREA*(X69="sí")+P_PROP*(Y69=1)+P_GAR*(Z69="sí")+P_FOTOS*MIN(1,N(U69)/FOTOS_OBJ)</f>
        <v/>
      </c>
      <c r="BQ69" s="3">
        <f>IFERROR(VLOOKUP(BF69,ETQ_TBL,2,0),NEUTRO)</f>
        <v/>
      </c>
      <c r="BR69" s="3">
        <f>NEUTRO</f>
        <v/>
      </c>
      <c r="BS69" s="3">
        <f>IFERROR(VLOOKUP(L69,SEGURO_TBL,3,0),"")</f>
        <v/>
      </c>
      <c r="BT69" s="3">
        <f>IF(BS69="",NEUTRO,MAX(0,MIN(100,100*(SEG_REF_MAX-BS69)/(SEG_REF_MAX-SEG_REF_MIN))))</f>
        <v/>
      </c>
      <c r="BU69" s="3">
        <f>W_ET*BQ69+W_CONS*BR69+W_SEG*BT69</f>
        <v/>
      </c>
      <c r="BV69" s="3">
        <f>IF(N(AB69)&gt;0,AB69,IF(AND(R69="profesional",SG_LEGAL_ON=1),GAR_LEGAL,0))</f>
        <v/>
      </c>
      <c r="BW69" s="3">
        <f>SG_GAR*MIN(1,BV69/SG_GAR_FULL)+SG_AMPL*(AC69="sí")+SG_KMC*(AF69="sí")+SG_REV*(N(AE69)&gt;0)+SG_DEV*MIN(1,N(AG69)/SG_DEV_FULL)+SG_HIST*(W69="sí")</f>
        <v/>
      </c>
      <c r="BX69" s="3">
        <f>W_FIAB*BJ69+W_PRECIO*BK69+W_KMEDAD*BO69+W_ANUNCIO*BP69+W_USO*BU69+W_SEGURIDAD*BW69</f>
        <v/>
      </c>
      <c r="BY69" s="4">
        <f>IF(N(I69)&gt;0,I69,IFERROR(ROUND(_xlfn.NUMBERVALUE(LEFT(G69,FIND(" ",G69&amp;" ")-1),".")*1000,0),99999))</f>
        <v/>
      </c>
      <c r="BZ69" s="3">
        <f>IF(R69="profesional",0,IF(O69&lt;CUOTA_VALOR_MAX,IF(AU69&gt;ITP_TRAMO_ALTO,SUMIFS(CF_CUOTA,CF_MAS,ITP_TRAMO_ALTO,CF_CCMIN,"&lt;="&amp;BY69,CF_CCMAX,"&gt;="&amp;BY69),IF(AU69&gt;ITP_TRAMO_BAJO,SUMIFS(CF_CUOTA,CF_MAS,ITP_TRAMO_BAJO,CF_CCMIN,"&lt;="&amp;BY69,CF_CCMAX,"&gt;="&amp;BY69),O69*ITP_TIPO)),O69*ITP_TIPO))</f>
        <v/>
      </c>
      <c r="CA69" s="4">
        <f>IF(R69="profesional",N(AK69),0)</f>
        <v/>
      </c>
      <c r="CB69" s="3">
        <f>IF(AND(R69="profesional",ISNUMBER(AK69),AL69="sí"),0,TASA_DGT)</f>
        <v/>
      </c>
      <c r="CC69" s="3">
        <f>INFORME_DGT</f>
        <v/>
      </c>
      <c r="CD69" s="4">
        <f>O69+CA69+BZ69+CB69+CC69</f>
        <v/>
      </c>
      <c r="CE69" s="4">
        <f>CD69+N(BS69)</f>
        <v/>
      </c>
      <c r="CF69" s="3">
        <f>IF(CD69&lt;=TOTAL_MAX,"sí","no")</f>
        <v/>
      </c>
      <c r="CG69" s="4">
        <f>IF(CF69="sí",COUNTIFS($CF$2:$CF$91,"sí",$BX$2:$BX$91,"&gt;"&amp;BX69)+COUNTIFS($CF$2:CF69,"sí",$BX$2:BX69,BX69),"")</f>
        <v/>
      </c>
    </row>
    <row r="70">
      <c r="A70" s="2" t="inlineStr">
        <is>
          <t>cochesnet:71674977</t>
        </is>
      </c>
      <c r="B70" s="2" t="inlineStr">
        <is>
          <t>cochesnet</t>
        </is>
      </c>
      <c r="C70" s="2" t="inlineStr">
        <is>
          <t>https://www.coches.net/peugeot-207-active-14i-75-5p-gasolina-2012-en-valencia-71674977-covo.aspx</t>
        </is>
      </c>
      <c r="D70" s="2" t="inlineStr">
        <is>
          <t>PEUGEOT 207 ACTIVE 1.4i 75</t>
        </is>
      </c>
      <c r="E70" s="2" t="inlineStr">
        <is>
          <t>Peugeot</t>
        </is>
      </c>
      <c r="F70" s="2" t="inlineStr">
        <is>
          <t>Peugeot 207</t>
        </is>
      </c>
      <c r="G70" s="2" t="inlineStr">
        <is>
          <t>1.4</t>
        </is>
      </c>
      <c r="H70" s="2" t="inlineStr">
        <is>
          <t>ACTIVE 1.4i 75</t>
        </is>
      </c>
      <c r="I70" s="2" t="n"/>
      <c r="J70" s="2" t="n"/>
      <c r="K70" s="2" t="inlineStr">
        <is>
          <t>gasolina</t>
        </is>
      </c>
      <c r="L70" s="2" t="inlineStr">
        <is>
          <t>utilitario</t>
        </is>
      </c>
      <c r="M70" s="2" t="n">
        <v>2012</v>
      </c>
      <c r="N70" s="2" t="n">
        <v>139000</v>
      </c>
      <c r="O70" s="2" t="n">
        <v>4500</v>
      </c>
      <c r="P70" s="2" t="inlineStr">
        <is>
          <t>manual</t>
        </is>
      </c>
      <c r="Q70" s="2" t="inlineStr">
        <is>
          <t>no</t>
        </is>
      </c>
      <c r="R70" s="2" t="inlineStr">
        <is>
          <t>particular</t>
        </is>
      </c>
      <c r="S70" s="2" t="inlineStr">
        <is>
          <t>Valencia</t>
        </is>
      </c>
      <c r="T70" s="2" t="inlineStr">
        <is>
          <t>2026-10-05T12:20:38Z</t>
        </is>
      </c>
      <c r="U70" s="2" t="n">
        <v>12</v>
      </c>
      <c r="V70" s="2" t="inlineStr">
        <is>
          <t>sí</t>
        </is>
      </c>
      <c r="W70" s="2" t="n"/>
      <c r="X70" s="2" t="n"/>
      <c r="Y70" s="2" t="n"/>
      <c r="Z70" s="2" t="inlineStr">
        <is>
          <t>no</t>
        </is>
      </c>
      <c r="AA70" s="2" t="n"/>
      <c r="AB70" s="2" t="n"/>
      <c r="AC70" s="2" t="n"/>
      <c r="AD70" s="2" t="n"/>
      <c r="AE70" s="2" t="n"/>
      <c r="AF70" s="2" t="n"/>
      <c r="AG70" s="2" t="n"/>
      <c r="AH70" s="2" t="n">
        <v>4500</v>
      </c>
      <c r="AI70" s="2" t="n"/>
      <c r="AJ70" s="2" t="n"/>
      <c r="AK70" s="2" t="n"/>
      <c r="AL70" s="2" t="n"/>
      <c r="AM70" s="2" t="n">
        <v>0.1</v>
      </c>
      <c r="AN70" s="2" t="n">
        <v>4000</v>
      </c>
      <c r="AO70" s="2" t="n">
        <v>12</v>
      </c>
      <c r="AP70" s="2" t="inlineStr">
        <is>
          <t>modelo+año+km</t>
        </is>
      </c>
      <c r="AQ70" s="2" t="n"/>
      <c r="AR70" s="2" t="inlineStr">
        <is>
          <t>cuota fija ITP: &gt;12 años, hasta 1.500 cc; fiabilidad del modelo PENDIENTE de fuente (puntuación neutra)</t>
        </is>
      </c>
      <c r="AS70" s="2" t="inlineStr">
        <is>
          <t>Peugeot 207 en muy buen estado, cuidado y listo para seguir disfrutando.
El coche funciona perfectamente, tanto de motor como de cambio y demás elementos, y tiene la ITV en vigor. Se han realizado sus mantenimientos correspondientes y dispongo de copias de los mantenimientos/facturas, para que el comprador pueda consultar su historial.
Se entrega con 2 llaves.
Cuenta con el equipamiento indicado en el anuncio, incluyendo Bluetooth y los diferentes elementos de confort y equipamiento de esta versión. Un coche práctico, cómodo y económico para el día a día, ideal tanto para ciudad como para carretera.
Se puede ver y probar sin compromiso. Venta seria y transparente; el coche se puede revisar con tranquilidad antes de la compra.
ITV en vigor · 2 llaves · Mantenimientos documentados · Bluetooth · Funciona perfectamente.</t>
        </is>
      </c>
      <c r="AT70" s="2" t="inlineStr">
        <is>
          <t>https://www.coches.net/peugeot-207-active-14i-75-5p-gasolina-2012-en-valencia-71674977-covo.aspx (window.__INITIAL_PROPS__.ad) /home/user/Alopecia/buscador-coches/raw/cochesnet/d1245cedf0895d79.json</t>
        </is>
      </c>
      <c r="AU70" s="3">
        <f>MAX(ANIO_ACTUAL-M70,0)</f>
        <v/>
      </c>
      <c r="AV70" s="4">
        <f>N70/MAX(AU70,0.5)</f>
        <v/>
      </c>
      <c r="AW70" s="4">
        <f>F70</f>
        <v/>
      </c>
      <c r="AX70" s="3">
        <f>AW70&amp;"|"&amp;INT(M70/SEG_ANIO)*SEG_ANIO</f>
        <v/>
      </c>
      <c r="AY70" s="3">
        <f>AX70&amp;"|"&amp;INT(N70/SEG_KM)*SEG_KM</f>
        <v/>
      </c>
      <c r="AZ70" s="4">
        <f>COUNTIF($AW$2:$AW$91,AW70)</f>
        <v/>
      </c>
      <c r="BA70" s="4">
        <f>COUNTIF($AX$2:$AX$91,AX70)</f>
        <v/>
      </c>
      <c r="BB70" s="4">
        <f>COUNTIF($AY$2:$AY$91,AY70)</f>
        <v/>
      </c>
      <c r="BC70" s="3">
        <f t="array" ref="BC70">IF(N(AO70)&gt;=MIN_N,AN70,IF(BB70&gt;=MIN_N,MEDIAN(IF($AY$2:$AY$91=AY70,$O$2:$O$91)),IF(BA70&gt;=MIN_N,MEDIAN(IF($AX$2:$AX$91=AX70,$O$2:$O$91)),MEDIAN(IF($AW$2:$AW$91=AW70,$O$2:$O$91)))))</f>
        <v/>
      </c>
      <c r="BD70" s="3">
        <f>IF(N(AO70)&gt;=MIN_N,"mercado "&amp;AP70,IF(BB70&gt;=MIN_N,"modelo+año+km",IF(BA70&gt;=MIN_N,"modelo+año","modelo")))</f>
        <v/>
      </c>
      <c r="BE70" s="4">
        <f>(BC70-O70)/BC70</f>
        <v/>
      </c>
      <c r="BF70" s="3">
        <f>IF(OR(K70="hibrido",K70="glp"),"ECO",IF(K70="electrico","CERO",IF(K70="gasolina",IF(M70&gt;=GAS_C,"C",IF(M70&gt;=GAS_B,"B","A")),IF(K70="diesel",IF(M70&gt;=DIE_C,"C",IF(M70&gt;=DIE_B,"B","A")),""))))</f>
        <v/>
      </c>
      <c r="BG70" s="3">
        <f>IFERROR(VLOOKUP(F70,MOD_TBL,11,0),IFERROR(VLOOKUP(E70,OCU_TBL,2,0),NEUTRO))</f>
        <v/>
      </c>
      <c r="BH70" s="3">
        <f>SUMIFS(MOT_AJUSTE,MOT_MOTOR,G70,MOT_MARCA,E70,MOT_DESDE,"&lt;="&amp;M70,MOT_HASTA,"&gt;="&amp;M70)+SUMIFS(MOT_AJUSTE,MOT_MOTOR,G70,MOT_MARCA,"(todas)",MOT_DESDE,"&lt;="&amp;M70,MOT_HASTA,"&gt;="&amp;M70)</f>
        <v/>
      </c>
      <c r="BI70" s="3">
        <f>SUMIFS(COMB_AJUSTE,COMB_COMB,K70)</f>
        <v/>
      </c>
      <c r="BJ70" s="4">
        <f>MAX(0,MIN(100,BG70+BH70+BI70))</f>
        <v/>
      </c>
      <c r="BK70" s="3">
        <f>MAX(0,MIN(100,50+BE70*PRECIO_PEND))</f>
        <v/>
      </c>
      <c r="BL70" s="3">
        <f>MAX(0,100*(1-N70/KM_MAX))</f>
        <v/>
      </c>
      <c r="BM70" s="3">
        <f>IF(AV70&lt;KMA_SOSP,IF(AA70="sí",100,KMA_PEN),IF(AV70&lt;=KMA_IDEAL_MAX,100,MAX(0,100*(KMA_CERO-AV70)/(KMA_CERO-KMA_IDEAL_MAX))))</f>
        <v/>
      </c>
      <c r="BN70" s="3">
        <f>MAX(0,MIN(100,100*(M70-ANIO_MIN)/(ANIO_ACTUAL-ANIO_MIN)))</f>
        <v/>
      </c>
      <c r="BO70" s="3">
        <f>W_KMT*BL70+W_KMA*BM70+W_EDAD*BN70</f>
        <v/>
      </c>
      <c r="BP70" s="3">
        <f>P_ITV*(V70="sí")+P_LIBRO*(W70="sí")+P_CORREA*(X70="sí")+P_PROP*(Y70=1)+P_GAR*(Z70="sí")+P_FOTOS*MIN(1,N(U70)/FOTOS_OBJ)</f>
        <v/>
      </c>
      <c r="BQ70" s="3">
        <f>IFERROR(VLOOKUP(BF70,ETQ_TBL,2,0),NEUTRO)</f>
        <v/>
      </c>
      <c r="BR70" s="3">
        <f>NEUTRO</f>
        <v/>
      </c>
      <c r="BS70" s="3">
        <f>IFERROR(VLOOKUP(L70,SEGURO_TBL,3,0),"")</f>
        <v/>
      </c>
      <c r="BT70" s="3">
        <f>IF(BS70="",NEUTRO,MAX(0,MIN(100,100*(SEG_REF_MAX-BS70)/(SEG_REF_MAX-SEG_REF_MIN))))</f>
        <v/>
      </c>
      <c r="BU70" s="3">
        <f>W_ET*BQ70+W_CONS*BR70+W_SEG*BT70</f>
        <v/>
      </c>
      <c r="BV70" s="3">
        <f>IF(N(AB70)&gt;0,AB70,IF(AND(R70="profesional",SG_LEGAL_ON=1),GAR_LEGAL,0))</f>
        <v/>
      </c>
      <c r="BW70" s="3">
        <f>SG_GAR*MIN(1,BV70/SG_GAR_FULL)+SG_AMPL*(AC70="sí")+SG_KMC*(AF70="sí")+SG_REV*(N(AE70)&gt;0)+SG_DEV*MIN(1,N(AG70)/SG_DEV_FULL)+SG_HIST*(W70="sí")</f>
        <v/>
      </c>
      <c r="BX70" s="3">
        <f>W_FIAB*BJ70+W_PRECIO*BK70+W_KMEDAD*BO70+W_ANUNCIO*BP70+W_USO*BU70+W_SEGURIDAD*BW70</f>
        <v/>
      </c>
      <c r="BY70" s="4">
        <f>IF(N(I70)&gt;0,I70,IFERROR(ROUND(_xlfn.NUMBERVALUE(LEFT(G70,FIND(" ",G70&amp;" ")-1),".")*1000,0),99999))</f>
        <v/>
      </c>
      <c r="BZ70" s="3">
        <f>IF(R70="profesional",0,IF(O70&lt;CUOTA_VALOR_MAX,IF(AU70&gt;ITP_TRAMO_ALTO,SUMIFS(CF_CUOTA,CF_MAS,ITP_TRAMO_ALTO,CF_CCMIN,"&lt;="&amp;BY70,CF_CCMAX,"&gt;="&amp;BY70),IF(AU70&gt;ITP_TRAMO_BAJO,SUMIFS(CF_CUOTA,CF_MAS,ITP_TRAMO_BAJO,CF_CCMIN,"&lt;="&amp;BY70,CF_CCMAX,"&gt;="&amp;BY70),O70*ITP_TIPO)),O70*ITP_TIPO))</f>
        <v/>
      </c>
      <c r="CA70" s="4">
        <f>IF(R70="profesional",N(AK70),0)</f>
        <v/>
      </c>
      <c r="CB70" s="3">
        <f>IF(AND(R70="profesional",ISNUMBER(AK70),AL70="sí"),0,TASA_DGT)</f>
        <v/>
      </c>
      <c r="CC70" s="3">
        <f>INFORME_DGT</f>
        <v/>
      </c>
      <c r="CD70" s="4">
        <f>O70+CA70+BZ70+CB70+CC70</f>
        <v/>
      </c>
      <c r="CE70" s="4">
        <f>CD70+N(BS70)</f>
        <v/>
      </c>
      <c r="CF70" s="3">
        <f>IF(CD70&lt;=TOTAL_MAX,"sí","no")</f>
        <v/>
      </c>
      <c r="CG70" s="4">
        <f>IF(CF70="sí",COUNTIFS($CF$2:$CF$91,"sí",$BX$2:$BX$91,"&gt;"&amp;BX70)+COUNTIFS($CF$2:CF70,"sí",$BX$2:BX70,BX70),"")</f>
        <v/>
      </c>
    </row>
    <row r="71">
      <c r="A71" s="2" t="inlineStr">
        <is>
          <t>cochesnet:71600206</t>
        </is>
      </c>
      <c r="B71" s="2" t="inlineStr">
        <is>
          <t>cochesnet</t>
        </is>
      </c>
      <c r="C71" s="2" t="inlineStr">
        <is>
          <t>https://www.coches.net/peugeot-207-14-75-urban-5p-gasolina-2008-en-valencia-71600206-covo.aspx</t>
        </is>
      </c>
      <c r="D71" s="2" t="inlineStr">
        <is>
          <t>PEUGEOT 207 1.4 75 Urban</t>
        </is>
      </c>
      <c r="E71" s="2" t="inlineStr">
        <is>
          <t>Peugeot</t>
        </is>
      </c>
      <c r="F71" s="2" t="inlineStr">
        <is>
          <t>Peugeot 207</t>
        </is>
      </c>
      <c r="G71" s="2" t="inlineStr">
        <is>
          <t>1.4</t>
        </is>
      </c>
      <c r="H71" s="2" t="inlineStr">
        <is>
          <t>1.4 75 Urban</t>
        </is>
      </c>
      <c r="I71" s="2" t="n"/>
      <c r="J71" s="2" t="n"/>
      <c r="K71" s="2" t="inlineStr">
        <is>
          <t>gasolina</t>
        </is>
      </c>
      <c r="L71" s="2" t="inlineStr">
        <is>
          <t>utilitario</t>
        </is>
      </c>
      <c r="M71" s="2" t="n">
        <v>2008</v>
      </c>
      <c r="N71" s="2" t="n">
        <v>95000</v>
      </c>
      <c r="O71" s="2" t="n">
        <v>4400</v>
      </c>
      <c r="P71" s="2" t="inlineStr">
        <is>
          <t>manual</t>
        </is>
      </c>
      <c r="Q71" s="2" t="inlineStr">
        <is>
          <t>no</t>
        </is>
      </c>
      <c r="R71" s="2" t="inlineStr">
        <is>
          <t>particular</t>
        </is>
      </c>
      <c r="S71" s="2" t="inlineStr">
        <is>
          <t>Alzira</t>
        </is>
      </c>
      <c r="T71" s="2" t="inlineStr">
        <is>
          <t>2026-09-25T18:49:00Z</t>
        </is>
      </c>
      <c r="U71" s="2" t="n">
        <v>8</v>
      </c>
      <c r="V71" s="2" t="n"/>
      <c r="W71" s="2" t="n"/>
      <c r="X71" s="2" t="n"/>
      <c r="Y71" s="2" t="n"/>
      <c r="Z71" s="2" t="inlineStr">
        <is>
          <t>no</t>
        </is>
      </c>
      <c r="AA71" s="2" t="n"/>
      <c r="AB71" s="2" t="n"/>
      <c r="AC71" s="2" t="n"/>
      <c r="AD71" s="2" t="n"/>
      <c r="AE71" s="2" t="n"/>
      <c r="AF71" s="2" t="n"/>
      <c r="AG71" s="2" t="n"/>
      <c r="AH71" s="2" t="n">
        <v>4400</v>
      </c>
      <c r="AI71" s="2" t="n"/>
      <c r="AJ71" s="2" t="n"/>
      <c r="AK71" s="2" t="n"/>
      <c r="AL71" s="2" t="n"/>
      <c r="AM71" s="2" t="n">
        <v>35.7</v>
      </c>
      <c r="AN71" s="2" t="n">
        <v>4750</v>
      </c>
      <c r="AO71" s="2" t="n">
        <v>13</v>
      </c>
      <c r="AP71" s="2" t="inlineStr">
        <is>
          <t>modelo+año+km</t>
        </is>
      </c>
      <c r="AQ71" s="2" t="inlineStr">
        <is>
          <t>cochesnet:71401447 (https://www.coches.net/peugeot-207-confort-14-75-5p-gasolina-2008-en-valencia-71401447-covo.aspx)</t>
        </is>
      </c>
      <c r="AR71" s="2" t="inlineStr">
        <is>
          <t>cuota fija ITP: &gt;12 años, hasta 1.500 cc; fiabilidad del modelo PENDIENTE de fuente (puntuación neutra)</t>
        </is>
      </c>
      <c r="AS71" s="2" t="inlineStr">
        <is>
          <t>Si buscas un coche práctico y asequible para el día a día, este Peugeot 207 es una opción a considerar. Se trata de un berlina de cinco puertas y cinco plazas, perfecta para la ciudad y los desplazamientos cotidianos.
El motor de 1.4 litros con 75 CV ofrece un consumo contenido, ideal si quieres mantener los gastos de combustible bajo control. Su cambio manual te da la flexibilidad que buscas en la conducción, y la carrocería gris plata es discreta y práctica.
Con casi una década de antigüedad, este vehículo ha demostrado la fiabilidad característica de la marca Peugeot. Es un coche que funciona, con una mecánica probada y accesible en mantenimiento y reparaciones.
Está ubicado en la zona de zipCode, lo que facilita su inspección antes de tomar una decisión. Te invito a que lo veas en persona para que compruebes su estado actual y resuelvas cualquier duda que tengas sobre su funcionamiento o historial.
Si tienes preguntas específicas sobre aspectos que no aparezcan en la ficha técnica, no dudes en contactarme a través del chat. Estoy disponible para conversar sobre el vehículo y ayudarte en el proceso.
Contacta hoy mismo y descubre si este 207 es lo que necesitas.</t>
        </is>
      </c>
      <c r="AT71" s="2" t="inlineStr">
        <is>
          <t>https://www.coches.net/peugeot-207-14-75-urban-5p-gasolina-2008-en-valencia-71600206-covo.aspx (window.__INITIAL_PROPS__.ad) /home/user/Alopecia/buscador-coches/raw/cochesnet/0289eb9bee6511f0.json</t>
        </is>
      </c>
      <c r="AU71" s="3">
        <f>MAX(ANIO_ACTUAL-M71,0)</f>
        <v/>
      </c>
      <c r="AV71" s="4">
        <f>N71/MAX(AU71,0.5)</f>
        <v/>
      </c>
      <c r="AW71" s="4">
        <f>F71</f>
        <v/>
      </c>
      <c r="AX71" s="3">
        <f>AW71&amp;"|"&amp;INT(M71/SEG_ANIO)*SEG_ANIO</f>
        <v/>
      </c>
      <c r="AY71" s="3">
        <f>AX71&amp;"|"&amp;INT(N71/SEG_KM)*SEG_KM</f>
        <v/>
      </c>
      <c r="AZ71" s="4">
        <f>COUNTIF($AW$2:$AW$91,AW71)</f>
        <v/>
      </c>
      <c r="BA71" s="4">
        <f>COUNTIF($AX$2:$AX$91,AX71)</f>
        <v/>
      </c>
      <c r="BB71" s="4">
        <f>COUNTIF($AY$2:$AY$91,AY71)</f>
        <v/>
      </c>
      <c r="BC71" s="3">
        <f t="array" ref="BC71">IF(N(AO71)&gt;=MIN_N,AN71,IF(BB71&gt;=MIN_N,MEDIAN(IF($AY$2:$AY$91=AY71,$O$2:$O$91)),IF(BA71&gt;=MIN_N,MEDIAN(IF($AX$2:$AX$91=AX71,$O$2:$O$91)),MEDIAN(IF($AW$2:$AW$91=AW71,$O$2:$O$91)))))</f>
        <v/>
      </c>
      <c r="BD71" s="3">
        <f>IF(N(AO71)&gt;=MIN_N,"mercado "&amp;AP71,IF(BB71&gt;=MIN_N,"modelo+año+km",IF(BA71&gt;=MIN_N,"modelo+año","modelo")))</f>
        <v/>
      </c>
      <c r="BE71" s="4">
        <f>(BC71-O71)/BC71</f>
        <v/>
      </c>
      <c r="BF71" s="3">
        <f>IF(OR(K71="hibrido",K71="glp"),"ECO",IF(K71="electrico","CERO",IF(K71="gasolina",IF(M71&gt;=GAS_C,"C",IF(M71&gt;=GAS_B,"B","A")),IF(K71="diesel",IF(M71&gt;=DIE_C,"C",IF(M71&gt;=DIE_B,"B","A")),""))))</f>
        <v/>
      </c>
      <c r="BG71" s="3">
        <f>IFERROR(VLOOKUP(F71,MOD_TBL,11,0),IFERROR(VLOOKUP(E71,OCU_TBL,2,0),NEUTRO))</f>
        <v/>
      </c>
      <c r="BH71" s="3">
        <f>SUMIFS(MOT_AJUSTE,MOT_MOTOR,G71,MOT_MARCA,E71,MOT_DESDE,"&lt;="&amp;M71,MOT_HASTA,"&gt;="&amp;M71)+SUMIFS(MOT_AJUSTE,MOT_MOTOR,G71,MOT_MARCA,"(todas)",MOT_DESDE,"&lt;="&amp;M71,MOT_HASTA,"&gt;="&amp;M71)</f>
        <v/>
      </c>
      <c r="BI71" s="3">
        <f>SUMIFS(COMB_AJUSTE,COMB_COMB,K71)</f>
        <v/>
      </c>
      <c r="BJ71" s="4">
        <f>MAX(0,MIN(100,BG71+BH71+BI71))</f>
        <v/>
      </c>
      <c r="BK71" s="3">
        <f>MAX(0,MIN(100,50+BE71*PRECIO_PEND))</f>
        <v/>
      </c>
      <c r="BL71" s="3">
        <f>MAX(0,100*(1-N71/KM_MAX))</f>
        <v/>
      </c>
      <c r="BM71" s="3">
        <f>IF(AV71&lt;KMA_SOSP,IF(AA71="sí",100,KMA_PEN),IF(AV71&lt;=KMA_IDEAL_MAX,100,MAX(0,100*(KMA_CERO-AV71)/(KMA_CERO-KMA_IDEAL_MAX))))</f>
        <v/>
      </c>
      <c r="BN71" s="3">
        <f>MAX(0,MIN(100,100*(M71-ANIO_MIN)/(ANIO_ACTUAL-ANIO_MIN)))</f>
        <v/>
      </c>
      <c r="BO71" s="3">
        <f>W_KMT*BL71+W_KMA*BM71+W_EDAD*BN71</f>
        <v/>
      </c>
      <c r="BP71" s="3">
        <f>P_ITV*(V71="sí")+P_LIBRO*(W71="sí")+P_CORREA*(X71="sí")+P_PROP*(Y71=1)+P_GAR*(Z71="sí")+P_FOTOS*MIN(1,N(U71)/FOTOS_OBJ)</f>
        <v/>
      </c>
      <c r="BQ71" s="3">
        <f>IFERROR(VLOOKUP(BF71,ETQ_TBL,2,0),NEUTRO)</f>
        <v/>
      </c>
      <c r="BR71" s="3">
        <f>NEUTRO</f>
        <v/>
      </c>
      <c r="BS71" s="3">
        <f>IFERROR(VLOOKUP(L71,SEGURO_TBL,3,0),"")</f>
        <v/>
      </c>
      <c r="BT71" s="3">
        <f>IF(BS71="",NEUTRO,MAX(0,MIN(100,100*(SEG_REF_MAX-BS71)/(SEG_REF_MAX-SEG_REF_MIN))))</f>
        <v/>
      </c>
      <c r="BU71" s="3">
        <f>W_ET*BQ71+W_CONS*BR71+W_SEG*BT71</f>
        <v/>
      </c>
      <c r="BV71" s="3">
        <f>IF(N(AB71)&gt;0,AB71,IF(AND(R71="profesional",SG_LEGAL_ON=1),GAR_LEGAL,0))</f>
        <v/>
      </c>
      <c r="BW71" s="3">
        <f>SG_GAR*MIN(1,BV71/SG_GAR_FULL)+SG_AMPL*(AC71="sí")+SG_KMC*(AF71="sí")+SG_REV*(N(AE71)&gt;0)+SG_DEV*MIN(1,N(AG71)/SG_DEV_FULL)+SG_HIST*(W71="sí")</f>
        <v/>
      </c>
      <c r="BX71" s="3">
        <f>W_FIAB*BJ71+W_PRECIO*BK71+W_KMEDAD*BO71+W_ANUNCIO*BP71+W_USO*BU71+W_SEGURIDAD*BW71</f>
        <v/>
      </c>
      <c r="BY71" s="4">
        <f>IF(N(I71)&gt;0,I71,IFERROR(ROUND(_xlfn.NUMBERVALUE(LEFT(G71,FIND(" ",G71&amp;" ")-1),".")*1000,0),99999))</f>
        <v/>
      </c>
      <c r="BZ71" s="3">
        <f>IF(R71="profesional",0,IF(O71&lt;CUOTA_VALOR_MAX,IF(AU71&gt;ITP_TRAMO_ALTO,SUMIFS(CF_CUOTA,CF_MAS,ITP_TRAMO_ALTO,CF_CCMIN,"&lt;="&amp;BY71,CF_CCMAX,"&gt;="&amp;BY71),IF(AU71&gt;ITP_TRAMO_BAJO,SUMIFS(CF_CUOTA,CF_MAS,ITP_TRAMO_BAJO,CF_CCMIN,"&lt;="&amp;BY71,CF_CCMAX,"&gt;="&amp;BY71),O71*ITP_TIPO)),O71*ITP_TIPO))</f>
        <v/>
      </c>
      <c r="CA71" s="4">
        <f>IF(R71="profesional",N(AK71),0)</f>
        <v/>
      </c>
      <c r="CB71" s="3">
        <f>IF(AND(R71="profesional",ISNUMBER(AK71),AL71="sí"),0,TASA_DGT)</f>
        <v/>
      </c>
      <c r="CC71" s="3">
        <f>INFORME_DGT</f>
        <v/>
      </c>
      <c r="CD71" s="4">
        <f>O71+CA71+BZ71+CB71+CC71</f>
        <v/>
      </c>
      <c r="CE71" s="4">
        <f>CD71+N(BS71)</f>
        <v/>
      </c>
      <c r="CF71" s="3">
        <f>IF(CD71&lt;=TOTAL_MAX,"sí","no")</f>
        <v/>
      </c>
      <c r="CG71" s="4">
        <f>IF(CF71="sí",COUNTIFS($CF$2:$CF$91,"sí",$BX$2:$BX$91,"&gt;"&amp;BX71)+COUNTIFS($CF$2:CF71,"sí",$BX$2:BX71,BX71),"")</f>
        <v/>
      </c>
    </row>
    <row r="72">
      <c r="A72" s="2" t="inlineStr">
        <is>
          <t>cochesnet:71658308</t>
        </is>
      </c>
      <c r="B72" s="2" t="inlineStr">
        <is>
          <t>cochesnet</t>
        </is>
      </c>
      <c r="C72" s="2" t="inlineStr">
        <is>
          <t>https://www.coches.net/peugeot-207-gasolina-2010-en-valencia-71658308-covo.aspx</t>
        </is>
      </c>
      <c r="D72" s="2" t="inlineStr">
        <is>
          <t>PEUGEOT 207</t>
        </is>
      </c>
      <c r="E72" s="2" t="inlineStr">
        <is>
          <t>Peugeot</t>
        </is>
      </c>
      <c r="F72" s="2" t="inlineStr">
        <is>
          <t>Peugeot 207</t>
        </is>
      </c>
      <c r="G72" s="2" t="n"/>
      <c r="H72" s="2" t="n"/>
      <c r="I72" s="2" t="n"/>
      <c r="J72" s="2" t="n"/>
      <c r="K72" s="2" t="inlineStr">
        <is>
          <t>gasolina</t>
        </is>
      </c>
      <c r="L72" s="2" t="inlineStr">
        <is>
          <t>utilitario</t>
        </is>
      </c>
      <c r="M72" s="2" t="n">
        <v>2010</v>
      </c>
      <c r="N72" s="2" t="n">
        <v>145000</v>
      </c>
      <c r="O72" s="2" t="n">
        <v>3500</v>
      </c>
      <c r="P72" s="2" t="inlineStr">
        <is>
          <t>manual</t>
        </is>
      </c>
      <c r="Q72" s="2" t="inlineStr">
        <is>
          <t>no</t>
        </is>
      </c>
      <c r="R72" s="2" t="inlineStr">
        <is>
          <t>particular</t>
        </is>
      </c>
      <c r="S72" s="2" t="inlineStr">
        <is>
          <t>Torrent</t>
        </is>
      </c>
      <c r="T72" s="2" t="inlineStr">
        <is>
          <t>2026-10-02T14:11:17Z</t>
        </is>
      </c>
      <c r="U72" s="2" t="n"/>
      <c r="V72" s="2" t="n"/>
      <c r="W72" s="2" t="n"/>
      <c r="X72" s="2" t="n"/>
      <c r="Y72" s="2" t="n"/>
      <c r="Z72" s="2" t="inlineStr">
        <is>
          <t>no</t>
        </is>
      </c>
      <c r="AA72" s="2" t="n"/>
      <c r="AB72" s="2" t="n"/>
      <c r="AC72" s="2" t="n"/>
      <c r="AD72" s="2" t="n"/>
      <c r="AE72" s="2" t="n"/>
      <c r="AF72" s="2" t="n"/>
      <c r="AG72" s="2" t="n"/>
      <c r="AH72" s="2" t="n">
        <v>3500</v>
      </c>
      <c r="AI72" s="2" t="n"/>
      <c r="AJ72" s="2" t="n"/>
      <c r="AK72" s="2" t="n"/>
      <c r="AL72" s="2" t="n"/>
      <c r="AM72" s="2" t="n">
        <v>8.800000000000001</v>
      </c>
      <c r="AN72" s="2" t="n">
        <v>4000</v>
      </c>
      <c r="AO72" s="2" t="n">
        <v>12</v>
      </c>
      <c r="AP72" s="2" t="inlineStr">
        <is>
          <t>modelo+año+km</t>
        </is>
      </c>
      <c r="AQ72" s="2" t="n"/>
      <c r="AR72" s="2" t="inlineStr">
        <is>
          <t>cilindrada desconocida: se aplica el tramo de cuota fija más alto; cuota fija ITP: &gt;12 años, más de 2.000 cc; fiabilidad del modelo PENDIENTE de fuente (puntuación neutra)</t>
        </is>
      </c>
      <c r="AS72" s="2" t="inlineStr">
        <is>
          <t xml:space="preserve">usado en buen estado </t>
        </is>
      </c>
      <c r="AT72" s="2" t="inlineStr">
        <is>
          <t>https://www.coches.net/peugeot-207-gasolina-2010-en-valencia-71658308-covo.aspx (window.__INITIAL_PROPS__.ad) /home/user/Alopecia/buscador-coches/raw/cochesnet/bdf4b3130f8a7ee9.json</t>
        </is>
      </c>
      <c r="AU72" s="3">
        <f>MAX(ANIO_ACTUAL-M72,0)</f>
        <v/>
      </c>
      <c r="AV72" s="4">
        <f>N72/MAX(AU72,0.5)</f>
        <v/>
      </c>
      <c r="AW72" s="4">
        <f>F72</f>
        <v/>
      </c>
      <c r="AX72" s="3">
        <f>AW72&amp;"|"&amp;INT(M72/SEG_ANIO)*SEG_ANIO</f>
        <v/>
      </c>
      <c r="AY72" s="3">
        <f>AX72&amp;"|"&amp;INT(N72/SEG_KM)*SEG_KM</f>
        <v/>
      </c>
      <c r="AZ72" s="4">
        <f>COUNTIF($AW$2:$AW$91,AW72)</f>
        <v/>
      </c>
      <c r="BA72" s="4">
        <f>COUNTIF($AX$2:$AX$91,AX72)</f>
        <v/>
      </c>
      <c r="BB72" s="4">
        <f>COUNTIF($AY$2:$AY$91,AY72)</f>
        <v/>
      </c>
      <c r="BC72" s="3">
        <f t="array" ref="BC72">IF(N(AO72)&gt;=MIN_N,AN72,IF(BB72&gt;=MIN_N,MEDIAN(IF($AY$2:$AY$91=AY72,$O$2:$O$91)),IF(BA72&gt;=MIN_N,MEDIAN(IF($AX$2:$AX$91=AX72,$O$2:$O$91)),MEDIAN(IF($AW$2:$AW$91=AW72,$O$2:$O$91)))))</f>
        <v/>
      </c>
      <c r="BD72" s="3">
        <f>IF(N(AO72)&gt;=MIN_N,"mercado "&amp;AP72,IF(BB72&gt;=MIN_N,"modelo+año+km",IF(BA72&gt;=MIN_N,"modelo+año","modelo")))</f>
        <v/>
      </c>
      <c r="BE72" s="4">
        <f>(BC72-O72)/BC72</f>
        <v/>
      </c>
      <c r="BF72" s="3">
        <f>IF(OR(K72="hibrido",K72="glp"),"ECO",IF(K72="electrico","CERO",IF(K72="gasolina",IF(M72&gt;=GAS_C,"C",IF(M72&gt;=GAS_B,"B","A")),IF(K72="diesel",IF(M72&gt;=DIE_C,"C",IF(M72&gt;=DIE_B,"B","A")),""))))</f>
        <v/>
      </c>
      <c r="BG72" s="3">
        <f>IFERROR(VLOOKUP(F72,MOD_TBL,11,0),IFERROR(VLOOKUP(E72,OCU_TBL,2,0),NEUTRO))</f>
        <v/>
      </c>
      <c r="BH72" s="3">
        <f>SUMIFS(MOT_AJUSTE,MOT_MOTOR,G72,MOT_MARCA,E72,MOT_DESDE,"&lt;="&amp;M72,MOT_HASTA,"&gt;="&amp;M72)+SUMIFS(MOT_AJUSTE,MOT_MOTOR,G72,MOT_MARCA,"(todas)",MOT_DESDE,"&lt;="&amp;M72,MOT_HASTA,"&gt;="&amp;M72)</f>
        <v/>
      </c>
      <c r="BI72" s="3">
        <f>SUMIFS(COMB_AJUSTE,COMB_COMB,K72)</f>
        <v/>
      </c>
      <c r="BJ72" s="4">
        <f>MAX(0,MIN(100,BG72+BH72+BI72))</f>
        <v/>
      </c>
      <c r="BK72" s="3">
        <f>MAX(0,MIN(100,50+BE72*PRECIO_PEND))</f>
        <v/>
      </c>
      <c r="BL72" s="3">
        <f>MAX(0,100*(1-N72/KM_MAX))</f>
        <v/>
      </c>
      <c r="BM72" s="3">
        <f>IF(AV72&lt;KMA_SOSP,IF(AA72="sí",100,KMA_PEN),IF(AV72&lt;=KMA_IDEAL_MAX,100,MAX(0,100*(KMA_CERO-AV72)/(KMA_CERO-KMA_IDEAL_MAX))))</f>
        <v/>
      </c>
      <c r="BN72" s="3">
        <f>MAX(0,MIN(100,100*(M72-ANIO_MIN)/(ANIO_ACTUAL-ANIO_MIN)))</f>
        <v/>
      </c>
      <c r="BO72" s="3">
        <f>W_KMT*BL72+W_KMA*BM72+W_EDAD*BN72</f>
        <v/>
      </c>
      <c r="BP72" s="3">
        <f>P_ITV*(V72="sí")+P_LIBRO*(W72="sí")+P_CORREA*(X72="sí")+P_PROP*(Y72=1)+P_GAR*(Z72="sí")+P_FOTOS*MIN(1,N(U72)/FOTOS_OBJ)</f>
        <v/>
      </c>
      <c r="BQ72" s="3">
        <f>IFERROR(VLOOKUP(BF72,ETQ_TBL,2,0),NEUTRO)</f>
        <v/>
      </c>
      <c r="BR72" s="3">
        <f>NEUTRO</f>
        <v/>
      </c>
      <c r="BS72" s="3">
        <f>IFERROR(VLOOKUP(L72,SEGURO_TBL,3,0),"")</f>
        <v/>
      </c>
      <c r="BT72" s="3">
        <f>IF(BS72="",NEUTRO,MAX(0,MIN(100,100*(SEG_REF_MAX-BS72)/(SEG_REF_MAX-SEG_REF_MIN))))</f>
        <v/>
      </c>
      <c r="BU72" s="3">
        <f>W_ET*BQ72+W_CONS*BR72+W_SEG*BT72</f>
        <v/>
      </c>
      <c r="BV72" s="3">
        <f>IF(N(AB72)&gt;0,AB72,IF(AND(R72="profesional",SG_LEGAL_ON=1),GAR_LEGAL,0))</f>
        <v/>
      </c>
      <c r="BW72" s="3">
        <f>SG_GAR*MIN(1,BV72/SG_GAR_FULL)+SG_AMPL*(AC72="sí")+SG_KMC*(AF72="sí")+SG_REV*(N(AE72)&gt;0)+SG_DEV*MIN(1,N(AG72)/SG_DEV_FULL)+SG_HIST*(W72="sí")</f>
        <v/>
      </c>
      <c r="BX72" s="3">
        <f>W_FIAB*BJ72+W_PRECIO*BK72+W_KMEDAD*BO72+W_ANUNCIO*BP72+W_USO*BU72+W_SEGURIDAD*BW72</f>
        <v/>
      </c>
      <c r="BY72" s="4">
        <f>IF(N(I72)&gt;0,I72,IFERROR(ROUND(_xlfn.NUMBERVALUE(LEFT(G72,FIND(" ",G72&amp;" ")-1),".")*1000,0),99999))</f>
        <v/>
      </c>
      <c r="BZ72" s="3">
        <f>IF(R72="profesional",0,IF(O72&lt;CUOTA_VALOR_MAX,IF(AU72&gt;ITP_TRAMO_ALTO,SUMIFS(CF_CUOTA,CF_MAS,ITP_TRAMO_ALTO,CF_CCMIN,"&lt;="&amp;BY72,CF_CCMAX,"&gt;="&amp;BY72),IF(AU72&gt;ITP_TRAMO_BAJO,SUMIFS(CF_CUOTA,CF_MAS,ITP_TRAMO_BAJO,CF_CCMIN,"&lt;="&amp;BY72,CF_CCMAX,"&gt;="&amp;BY72),O72*ITP_TIPO)),O72*ITP_TIPO))</f>
        <v/>
      </c>
      <c r="CA72" s="4">
        <f>IF(R72="profesional",N(AK72),0)</f>
        <v/>
      </c>
      <c r="CB72" s="3">
        <f>IF(AND(R72="profesional",ISNUMBER(AK72),AL72="sí"),0,TASA_DGT)</f>
        <v/>
      </c>
      <c r="CC72" s="3">
        <f>INFORME_DGT</f>
        <v/>
      </c>
      <c r="CD72" s="4">
        <f>O72+CA72+BZ72+CB72+CC72</f>
        <v/>
      </c>
      <c r="CE72" s="4">
        <f>CD72+N(BS72)</f>
        <v/>
      </c>
      <c r="CF72" s="3">
        <f>IF(CD72&lt;=TOTAL_MAX,"sí","no")</f>
        <v/>
      </c>
      <c r="CG72" s="4">
        <f>IF(CF72="sí",COUNTIFS($CF$2:$CF$91,"sí",$BX$2:$BX$91,"&gt;"&amp;BX72)+COUNTIFS($CF$2:CF72,"sí",$BX$2:BX72,BX72),"")</f>
        <v/>
      </c>
    </row>
    <row r="73">
      <c r="A73" s="2" t="inlineStr">
        <is>
          <t>cochesnet:71457359</t>
        </is>
      </c>
      <c r="B73" s="2" t="inlineStr">
        <is>
          <t>cochesnet</t>
        </is>
      </c>
      <c r="C73" s="2" t="inlineStr">
        <is>
          <t>https://www.coches.net/peugeot-207-gasolina-2010-en-valencia-71457359-covo.aspx</t>
        </is>
      </c>
      <c r="D73" s="2" t="inlineStr">
        <is>
          <t>PEUGEOT 207</t>
        </is>
      </c>
      <c r="E73" s="2" t="inlineStr">
        <is>
          <t>Peugeot</t>
        </is>
      </c>
      <c r="F73" s="2" t="inlineStr">
        <is>
          <t>Peugeot 207</t>
        </is>
      </c>
      <c r="G73" s="2" t="n"/>
      <c r="H73" s="2" t="n"/>
      <c r="I73" s="2" t="n"/>
      <c r="J73" s="2" t="n"/>
      <c r="K73" s="2" t="inlineStr">
        <is>
          <t>gasolina</t>
        </is>
      </c>
      <c r="L73" s="2" t="inlineStr">
        <is>
          <t>utilitario</t>
        </is>
      </c>
      <c r="M73" s="2" t="n">
        <v>2010</v>
      </c>
      <c r="N73" s="2" t="n">
        <v>171000</v>
      </c>
      <c r="O73" s="2" t="n">
        <v>3000</v>
      </c>
      <c r="P73" s="2" t="inlineStr">
        <is>
          <t>manual</t>
        </is>
      </c>
      <c r="Q73" s="2" t="inlineStr">
        <is>
          <t>no</t>
        </is>
      </c>
      <c r="R73" s="2" t="inlineStr">
        <is>
          <t>particular</t>
        </is>
      </c>
      <c r="S73" s="2" t="inlineStr">
        <is>
          <t>Godelleta</t>
        </is>
      </c>
      <c r="T73" s="2" t="inlineStr">
        <is>
          <t>2026-09-07T09:53:43Z</t>
        </is>
      </c>
      <c r="U73" s="2" t="n">
        <v>9</v>
      </c>
      <c r="V73" s="2" t="n"/>
      <c r="W73" s="2" t="n"/>
      <c r="X73" s="2" t="n"/>
      <c r="Y73" s="2" t="n"/>
      <c r="Z73" s="2" t="inlineStr">
        <is>
          <t>no</t>
        </is>
      </c>
      <c r="AA73" s="2" t="n"/>
      <c r="AB73" s="2" t="n"/>
      <c r="AC73" s="2" t="n"/>
      <c r="AD73" s="2" t="n"/>
      <c r="AE73" s="2" t="n"/>
      <c r="AF73" s="2" t="n"/>
      <c r="AG73" s="2" t="n"/>
      <c r="AH73" s="2" t="n">
        <v>3000</v>
      </c>
      <c r="AI73" s="2" t="n"/>
      <c r="AJ73" s="2" t="n"/>
      <c r="AK73" s="2" t="n"/>
      <c r="AL73" s="2" t="n"/>
      <c r="AM73" s="2" t="n">
        <v>27.2</v>
      </c>
      <c r="AN73" s="2" t="n">
        <v>3800</v>
      </c>
      <c r="AO73" s="2" t="n">
        <v>24</v>
      </c>
      <c r="AP73" s="2" t="inlineStr">
        <is>
          <t>modelo+año</t>
        </is>
      </c>
      <c r="AQ73" s="2" t="n"/>
      <c r="AR73" s="2" t="inlineStr">
        <is>
          <t>cilindrada desconocida: se aplica el tramo de cuota fija más alto; cuota fija ITP: &gt;12 años, más de 2.000 cc; fiabilidad del modelo PENDIENTE de fuente (puntuación neutra)</t>
        </is>
      </c>
      <c r="AS73" s="2" t="inlineStr">
        <is>
          <t xml:space="preserve">Se vende Peugeot2071.4 gasolina, año2010, 5 puertas, en buen estado. Tiene171.000 kilómetros, siempre bien mantenido. Cuenta con lunas traseras tintadas y la ITV está en vigor pero caduca en octubre y se entregaria con ella pasada.Va perfecto, es cómodo y económico, ideal tanto para ciudad como para carretera. Se vende por cambio de vehículo. Se puede ver y probar sin compromiso. </t>
        </is>
      </c>
      <c r="AT73" s="2" t="inlineStr">
        <is>
          <t>https://www.coches.net/peugeot-207-gasolina-2010-en-valencia-71457359-covo.aspx (window.__INITIAL_PROPS__.ad) /home/user/Alopecia/buscador-coches/raw/cochesnet/0b569fed1435ddbf.json</t>
        </is>
      </c>
      <c r="AU73" s="3">
        <f>MAX(ANIO_ACTUAL-M73,0)</f>
        <v/>
      </c>
      <c r="AV73" s="4">
        <f>N73/MAX(AU73,0.5)</f>
        <v/>
      </c>
      <c r="AW73" s="4">
        <f>F73</f>
        <v/>
      </c>
      <c r="AX73" s="3">
        <f>AW73&amp;"|"&amp;INT(M73/SEG_ANIO)*SEG_ANIO</f>
        <v/>
      </c>
      <c r="AY73" s="3">
        <f>AX73&amp;"|"&amp;INT(N73/SEG_KM)*SEG_KM</f>
        <v/>
      </c>
      <c r="AZ73" s="4">
        <f>COUNTIF($AW$2:$AW$91,AW73)</f>
        <v/>
      </c>
      <c r="BA73" s="4">
        <f>COUNTIF($AX$2:$AX$91,AX73)</f>
        <v/>
      </c>
      <c r="BB73" s="4">
        <f>COUNTIF($AY$2:$AY$91,AY73)</f>
        <v/>
      </c>
      <c r="BC73" s="3">
        <f t="array" ref="BC73">IF(N(AO73)&gt;=MIN_N,AN73,IF(BB73&gt;=MIN_N,MEDIAN(IF($AY$2:$AY$91=AY73,$O$2:$O$91)),IF(BA73&gt;=MIN_N,MEDIAN(IF($AX$2:$AX$91=AX73,$O$2:$O$91)),MEDIAN(IF($AW$2:$AW$91=AW73,$O$2:$O$91)))))</f>
        <v/>
      </c>
      <c r="BD73" s="3">
        <f>IF(N(AO73)&gt;=MIN_N,"mercado "&amp;AP73,IF(BB73&gt;=MIN_N,"modelo+año+km",IF(BA73&gt;=MIN_N,"modelo+año","modelo")))</f>
        <v/>
      </c>
      <c r="BE73" s="4">
        <f>(BC73-O73)/BC73</f>
        <v/>
      </c>
      <c r="BF73" s="3">
        <f>IF(OR(K73="hibrido",K73="glp"),"ECO",IF(K73="electrico","CERO",IF(K73="gasolina",IF(M73&gt;=GAS_C,"C",IF(M73&gt;=GAS_B,"B","A")),IF(K73="diesel",IF(M73&gt;=DIE_C,"C",IF(M73&gt;=DIE_B,"B","A")),""))))</f>
        <v/>
      </c>
      <c r="BG73" s="3">
        <f>IFERROR(VLOOKUP(F73,MOD_TBL,11,0),IFERROR(VLOOKUP(E73,OCU_TBL,2,0),NEUTRO))</f>
        <v/>
      </c>
      <c r="BH73" s="3">
        <f>SUMIFS(MOT_AJUSTE,MOT_MOTOR,G73,MOT_MARCA,E73,MOT_DESDE,"&lt;="&amp;M73,MOT_HASTA,"&gt;="&amp;M73)+SUMIFS(MOT_AJUSTE,MOT_MOTOR,G73,MOT_MARCA,"(todas)",MOT_DESDE,"&lt;="&amp;M73,MOT_HASTA,"&gt;="&amp;M73)</f>
        <v/>
      </c>
      <c r="BI73" s="3">
        <f>SUMIFS(COMB_AJUSTE,COMB_COMB,K73)</f>
        <v/>
      </c>
      <c r="BJ73" s="4">
        <f>MAX(0,MIN(100,BG73+BH73+BI73))</f>
        <v/>
      </c>
      <c r="BK73" s="3">
        <f>MAX(0,MIN(100,50+BE73*PRECIO_PEND))</f>
        <v/>
      </c>
      <c r="BL73" s="3">
        <f>MAX(0,100*(1-N73/KM_MAX))</f>
        <v/>
      </c>
      <c r="BM73" s="3">
        <f>IF(AV73&lt;KMA_SOSP,IF(AA73="sí",100,KMA_PEN),IF(AV73&lt;=KMA_IDEAL_MAX,100,MAX(0,100*(KMA_CERO-AV73)/(KMA_CERO-KMA_IDEAL_MAX))))</f>
        <v/>
      </c>
      <c r="BN73" s="3">
        <f>MAX(0,MIN(100,100*(M73-ANIO_MIN)/(ANIO_ACTUAL-ANIO_MIN)))</f>
        <v/>
      </c>
      <c r="BO73" s="3">
        <f>W_KMT*BL73+W_KMA*BM73+W_EDAD*BN73</f>
        <v/>
      </c>
      <c r="BP73" s="3">
        <f>P_ITV*(V73="sí")+P_LIBRO*(W73="sí")+P_CORREA*(X73="sí")+P_PROP*(Y73=1)+P_GAR*(Z73="sí")+P_FOTOS*MIN(1,N(U73)/FOTOS_OBJ)</f>
        <v/>
      </c>
      <c r="BQ73" s="3">
        <f>IFERROR(VLOOKUP(BF73,ETQ_TBL,2,0),NEUTRO)</f>
        <v/>
      </c>
      <c r="BR73" s="3">
        <f>NEUTRO</f>
        <v/>
      </c>
      <c r="BS73" s="3">
        <f>IFERROR(VLOOKUP(L73,SEGURO_TBL,3,0),"")</f>
        <v/>
      </c>
      <c r="BT73" s="3">
        <f>IF(BS73="",NEUTRO,MAX(0,MIN(100,100*(SEG_REF_MAX-BS73)/(SEG_REF_MAX-SEG_REF_MIN))))</f>
        <v/>
      </c>
      <c r="BU73" s="3">
        <f>W_ET*BQ73+W_CONS*BR73+W_SEG*BT73</f>
        <v/>
      </c>
      <c r="BV73" s="3">
        <f>IF(N(AB73)&gt;0,AB73,IF(AND(R73="profesional",SG_LEGAL_ON=1),GAR_LEGAL,0))</f>
        <v/>
      </c>
      <c r="BW73" s="3">
        <f>SG_GAR*MIN(1,BV73/SG_GAR_FULL)+SG_AMPL*(AC73="sí")+SG_KMC*(AF73="sí")+SG_REV*(N(AE73)&gt;0)+SG_DEV*MIN(1,N(AG73)/SG_DEV_FULL)+SG_HIST*(W73="sí")</f>
        <v/>
      </c>
      <c r="BX73" s="3">
        <f>W_FIAB*BJ73+W_PRECIO*BK73+W_KMEDAD*BO73+W_ANUNCIO*BP73+W_USO*BU73+W_SEGURIDAD*BW73</f>
        <v/>
      </c>
      <c r="BY73" s="4">
        <f>IF(N(I73)&gt;0,I73,IFERROR(ROUND(_xlfn.NUMBERVALUE(LEFT(G73,FIND(" ",G73&amp;" ")-1),".")*1000,0),99999))</f>
        <v/>
      </c>
      <c r="BZ73" s="3">
        <f>IF(R73="profesional",0,IF(O73&lt;CUOTA_VALOR_MAX,IF(AU73&gt;ITP_TRAMO_ALTO,SUMIFS(CF_CUOTA,CF_MAS,ITP_TRAMO_ALTO,CF_CCMIN,"&lt;="&amp;BY73,CF_CCMAX,"&gt;="&amp;BY73),IF(AU73&gt;ITP_TRAMO_BAJO,SUMIFS(CF_CUOTA,CF_MAS,ITP_TRAMO_BAJO,CF_CCMIN,"&lt;="&amp;BY73,CF_CCMAX,"&gt;="&amp;BY73),O73*ITP_TIPO)),O73*ITP_TIPO))</f>
        <v/>
      </c>
      <c r="CA73" s="4">
        <f>IF(R73="profesional",N(AK73),0)</f>
        <v/>
      </c>
      <c r="CB73" s="3">
        <f>IF(AND(R73="profesional",ISNUMBER(AK73),AL73="sí"),0,TASA_DGT)</f>
        <v/>
      </c>
      <c r="CC73" s="3">
        <f>INFORME_DGT</f>
        <v/>
      </c>
      <c r="CD73" s="4">
        <f>O73+CA73+BZ73+CB73+CC73</f>
        <v/>
      </c>
      <c r="CE73" s="4">
        <f>CD73+N(BS73)</f>
        <v/>
      </c>
      <c r="CF73" s="3">
        <f>IF(CD73&lt;=TOTAL_MAX,"sí","no")</f>
        <v/>
      </c>
      <c r="CG73" s="4">
        <f>IF(CF73="sí",COUNTIFS($CF$2:$CF$91,"sí",$BX$2:$BX$91,"&gt;"&amp;BX73)+COUNTIFS($CF$2:CF73,"sí",$BX$2:BX73,BX73),"")</f>
        <v/>
      </c>
    </row>
    <row r="74">
      <c r="A74" s="2" t="inlineStr">
        <is>
          <t>cochesnet:71237986</t>
        </is>
      </c>
      <c r="B74" s="2" t="inlineStr">
        <is>
          <t>cochesnet</t>
        </is>
      </c>
      <c r="C74" s="2" t="inlineStr">
        <is>
          <t>https://www.coches.net/peugeot-207-16thp-16v-gt-3p-gasolina-2008-en-valencia-71237986-covo.aspx</t>
        </is>
      </c>
      <c r="D74" s="2" t="inlineStr">
        <is>
          <t>PEUGEOT 207 1.6THP 16v GT</t>
        </is>
      </c>
      <c r="E74" s="2" t="inlineStr">
        <is>
          <t>Peugeot</t>
        </is>
      </c>
      <c r="F74" s="2" t="inlineStr">
        <is>
          <t>Peugeot 207</t>
        </is>
      </c>
      <c r="G74" s="2" t="inlineStr">
        <is>
          <t>1.6</t>
        </is>
      </c>
      <c r="H74" s="2" t="inlineStr">
        <is>
          <t>1.6THP 16v GT</t>
        </is>
      </c>
      <c r="I74" s="2" t="n"/>
      <c r="J74" s="2" t="n"/>
      <c r="K74" s="2" t="inlineStr">
        <is>
          <t>gasolina</t>
        </is>
      </c>
      <c r="L74" s="2" t="inlineStr">
        <is>
          <t>utilitario</t>
        </is>
      </c>
      <c r="M74" s="2" t="n">
        <v>2008</v>
      </c>
      <c r="N74" s="2" t="n">
        <v>195000</v>
      </c>
      <c r="O74" s="2" t="n">
        <v>3900</v>
      </c>
      <c r="P74" s="2" t="inlineStr">
        <is>
          <t>manual</t>
        </is>
      </c>
      <c r="Q74" s="2" t="inlineStr">
        <is>
          <t>no</t>
        </is>
      </c>
      <c r="R74" s="2" t="inlineStr">
        <is>
          <t>particular</t>
        </is>
      </c>
      <c r="S74" s="2" t="inlineStr">
        <is>
          <t>Valencia</t>
        </is>
      </c>
      <c r="T74" s="2" t="inlineStr">
        <is>
          <t>2026-08-05T21:54:08Z</t>
        </is>
      </c>
      <c r="U74" s="2" t="n">
        <v>10</v>
      </c>
      <c r="V74" s="2" t="inlineStr">
        <is>
          <t>sí</t>
        </is>
      </c>
      <c r="W74" s="2" t="n"/>
      <c r="X74" s="2" t="n"/>
      <c r="Y74" s="2" t="n"/>
      <c r="Z74" s="2" t="inlineStr">
        <is>
          <t>no</t>
        </is>
      </c>
      <c r="AA74" s="2" t="n"/>
      <c r="AB74" s="2" t="n"/>
      <c r="AC74" s="2" t="n"/>
      <c r="AD74" s="2" t="n"/>
      <c r="AE74" s="2" t="n"/>
      <c r="AF74" s="2" t="n"/>
      <c r="AG74" s="2" t="n"/>
      <c r="AH74" s="2" t="n">
        <v>3900</v>
      </c>
      <c r="AI74" s="2" t="n"/>
      <c r="AJ74" s="2" t="n"/>
      <c r="AK74" s="2" t="n"/>
      <c r="AL74" s="2" t="n"/>
      <c r="AM74" s="2" t="n">
        <v>0.1</v>
      </c>
      <c r="AN74" s="2" t="n">
        <v>3500</v>
      </c>
      <c r="AO74" s="2" t="n">
        <v>19</v>
      </c>
      <c r="AP74" s="2" t="inlineStr">
        <is>
          <t>modelo+año+km</t>
        </is>
      </c>
      <c r="AQ74" s="2" t="n"/>
      <c r="AR74" s="2" t="inlineStr">
        <is>
          <t>cuota fija ITP: &gt;12 años, 1.501-2.000 cc; fiabilidad del modelo PENDIENTE de fuente (puntuación neutra)</t>
        </is>
      </c>
      <c r="AS74" s="2" t="inlineStr">
        <is>
          <t>PEUGEOT 207 3P GT 1.6 TH DE 2008. GASOLINA, COLOR NEGRO, 3 PUERTAS, VERSION DEPORTIVA. ASIENTOS DE CUERO Y TECHO SOLAR. GASOLINA 195.000KM Y 175CV. 
CUALQUIER INFORMACIÓN ADICIONAL ESCRIBIR CHAT. ITV EN VIGOR</t>
        </is>
      </c>
      <c r="AT74" s="2" t="inlineStr">
        <is>
          <t>https://www.coches.net/peugeot-207-16thp-16v-gt-3p-gasolina-2008-en-valencia-71237986-covo.aspx (window.__INITIAL_PROPS__.ad) /home/user/Alopecia/buscador-coches/raw/cochesnet/186fe741347008e9.json</t>
        </is>
      </c>
      <c r="AU74" s="3">
        <f>MAX(ANIO_ACTUAL-M74,0)</f>
        <v/>
      </c>
      <c r="AV74" s="4">
        <f>N74/MAX(AU74,0.5)</f>
        <v/>
      </c>
      <c r="AW74" s="4">
        <f>F74</f>
        <v/>
      </c>
      <c r="AX74" s="3">
        <f>AW74&amp;"|"&amp;INT(M74/SEG_ANIO)*SEG_ANIO</f>
        <v/>
      </c>
      <c r="AY74" s="3">
        <f>AX74&amp;"|"&amp;INT(N74/SEG_KM)*SEG_KM</f>
        <v/>
      </c>
      <c r="AZ74" s="4">
        <f>COUNTIF($AW$2:$AW$91,AW74)</f>
        <v/>
      </c>
      <c r="BA74" s="4">
        <f>COUNTIF($AX$2:$AX$91,AX74)</f>
        <v/>
      </c>
      <c r="BB74" s="4">
        <f>COUNTIF($AY$2:$AY$91,AY74)</f>
        <v/>
      </c>
      <c r="BC74" s="3">
        <f t="array" ref="BC74">IF(N(AO74)&gt;=MIN_N,AN74,IF(BB74&gt;=MIN_N,MEDIAN(IF($AY$2:$AY$91=AY74,$O$2:$O$91)),IF(BA74&gt;=MIN_N,MEDIAN(IF($AX$2:$AX$91=AX74,$O$2:$O$91)),MEDIAN(IF($AW$2:$AW$91=AW74,$O$2:$O$91)))))</f>
        <v/>
      </c>
      <c r="BD74" s="3">
        <f>IF(N(AO74)&gt;=MIN_N,"mercado "&amp;AP74,IF(BB74&gt;=MIN_N,"modelo+año+km",IF(BA74&gt;=MIN_N,"modelo+año","modelo")))</f>
        <v/>
      </c>
      <c r="BE74" s="4">
        <f>(BC74-O74)/BC74</f>
        <v/>
      </c>
      <c r="BF74" s="3">
        <f>IF(OR(K74="hibrido",K74="glp"),"ECO",IF(K74="electrico","CERO",IF(K74="gasolina",IF(M74&gt;=GAS_C,"C",IF(M74&gt;=GAS_B,"B","A")),IF(K74="diesel",IF(M74&gt;=DIE_C,"C",IF(M74&gt;=DIE_B,"B","A")),""))))</f>
        <v/>
      </c>
      <c r="BG74" s="3">
        <f>IFERROR(VLOOKUP(F74,MOD_TBL,11,0),IFERROR(VLOOKUP(E74,OCU_TBL,2,0),NEUTRO))</f>
        <v/>
      </c>
      <c r="BH74" s="3">
        <f>SUMIFS(MOT_AJUSTE,MOT_MOTOR,G74,MOT_MARCA,E74,MOT_DESDE,"&lt;="&amp;M74,MOT_HASTA,"&gt;="&amp;M74)+SUMIFS(MOT_AJUSTE,MOT_MOTOR,G74,MOT_MARCA,"(todas)",MOT_DESDE,"&lt;="&amp;M74,MOT_HASTA,"&gt;="&amp;M74)</f>
        <v/>
      </c>
      <c r="BI74" s="3">
        <f>SUMIFS(COMB_AJUSTE,COMB_COMB,K74)</f>
        <v/>
      </c>
      <c r="BJ74" s="4">
        <f>MAX(0,MIN(100,BG74+BH74+BI74))</f>
        <v/>
      </c>
      <c r="BK74" s="3">
        <f>MAX(0,MIN(100,50+BE74*PRECIO_PEND))</f>
        <v/>
      </c>
      <c r="BL74" s="3">
        <f>MAX(0,100*(1-N74/KM_MAX))</f>
        <v/>
      </c>
      <c r="BM74" s="3">
        <f>IF(AV74&lt;KMA_SOSP,IF(AA74="sí",100,KMA_PEN),IF(AV74&lt;=KMA_IDEAL_MAX,100,MAX(0,100*(KMA_CERO-AV74)/(KMA_CERO-KMA_IDEAL_MAX))))</f>
        <v/>
      </c>
      <c r="BN74" s="3">
        <f>MAX(0,MIN(100,100*(M74-ANIO_MIN)/(ANIO_ACTUAL-ANIO_MIN)))</f>
        <v/>
      </c>
      <c r="BO74" s="3">
        <f>W_KMT*BL74+W_KMA*BM74+W_EDAD*BN74</f>
        <v/>
      </c>
      <c r="BP74" s="3">
        <f>P_ITV*(V74="sí")+P_LIBRO*(W74="sí")+P_CORREA*(X74="sí")+P_PROP*(Y74=1)+P_GAR*(Z74="sí")+P_FOTOS*MIN(1,N(U74)/FOTOS_OBJ)</f>
        <v/>
      </c>
      <c r="BQ74" s="3">
        <f>IFERROR(VLOOKUP(BF74,ETQ_TBL,2,0),NEUTRO)</f>
        <v/>
      </c>
      <c r="BR74" s="3">
        <f>NEUTRO</f>
        <v/>
      </c>
      <c r="BS74" s="3">
        <f>IFERROR(VLOOKUP(L74,SEGURO_TBL,3,0),"")</f>
        <v/>
      </c>
      <c r="BT74" s="3">
        <f>IF(BS74="",NEUTRO,MAX(0,MIN(100,100*(SEG_REF_MAX-BS74)/(SEG_REF_MAX-SEG_REF_MIN))))</f>
        <v/>
      </c>
      <c r="BU74" s="3">
        <f>W_ET*BQ74+W_CONS*BR74+W_SEG*BT74</f>
        <v/>
      </c>
      <c r="BV74" s="3">
        <f>IF(N(AB74)&gt;0,AB74,IF(AND(R74="profesional",SG_LEGAL_ON=1),GAR_LEGAL,0))</f>
        <v/>
      </c>
      <c r="BW74" s="3">
        <f>SG_GAR*MIN(1,BV74/SG_GAR_FULL)+SG_AMPL*(AC74="sí")+SG_KMC*(AF74="sí")+SG_REV*(N(AE74)&gt;0)+SG_DEV*MIN(1,N(AG74)/SG_DEV_FULL)+SG_HIST*(W74="sí")</f>
        <v/>
      </c>
      <c r="BX74" s="3">
        <f>W_FIAB*BJ74+W_PRECIO*BK74+W_KMEDAD*BO74+W_ANUNCIO*BP74+W_USO*BU74+W_SEGURIDAD*BW74</f>
        <v/>
      </c>
      <c r="BY74" s="4">
        <f>IF(N(I74)&gt;0,I74,IFERROR(ROUND(_xlfn.NUMBERVALUE(LEFT(G74,FIND(" ",G74&amp;" ")-1),".")*1000,0),99999))</f>
        <v/>
      </c>
      <c r="BZ74" s="3">
        <f>IF(R74="profesional",0,IF(O74&lt;CUOTA_VALOR_MAX,IF(AU74&gt;ITP_TRAMO_ALTO,SUMIFS(CF_CUOTA,CF_MAS,ITP_TRAMO_ALTO,CF_CCMIN,"&lt;="&amp;BY74,CF_CCMAX,"&gt;="&amp;BY74),IF(AU74&gt;ITP_TRAMO_BAJO,SUMIFS(CF_CUOTA,CF_MAS,ITP_TRAMO_BAJO,CF_CCMIN,"&lt;="&amp;BY74,CF_CCMAX,"&gt;="&amp;BY74),O74*ITP_TIPO)),O74*ITP_TIPO))</f>
        <v/>
      </c>
      <c r="CA74" s="4">
        <f>IF(R74="profesional",N(AK74),0)</f>
        <v/>
      </c>
      <c r="CB74" s="3">
        <f>IF(AND(R74="profesional",ISNUMBER(AK74),AL74="sí"),0,TASA_DGT)</f>
        <v/>
      </c>
      <c r="CC74" s="3">
        <f>INFORME_DGT</f>
        <v/>
      </c>
      <c r="CD74" s="4">
        <f>O74+CA74+BZ74+CB74+CC74</f>
        <v/>
      </c>
      <c r="CE74" s="4">
        <f>CD74+N(BS74)</f>
        <v/>
      </c>
      <c r="CF74" s="3">
        <f>IF(CD74&lt;=TOTAL_MAX,"sí","no")</f>
        <v/>
      </c>
      <c r="CG74" s="4">
        <f>IF(CF74="sí",COUNTIFS($CF$2:$CF$91,"sí",$BX$2:$BX$91,"&gt;"&amp;BX74)+COUNTIFS($CF$2:CF74,"sí",$BX$2:BX74,BX74),"")</f>
        <v/>
      </c>
    </row>
    <row r="75">
      <c r="A75" s="2" t="inlineStr">
        <is>
          <t>cochesnet:62317708</t>
        </is>
      </c>
      <c r="B75" s="2" t="inlineStr">
        <is>
          <t>cochesnet</t>
        </is>
      </c>
      <c r="C75" s="2" t="inlineStr">
        <is>
          <t>https://www.coches.net/peugeot-207-gasolina-2008-en-valencia-62317708-covo.aspx</t>
        </is>
      </c>
      <c r="D75" s="2" t="inlineStr">
        <is>
          <t>PEUGEOT 207</t>
        </is>
      </c>
      <c r="E75" s="2" t="inlineStr">
        <is>
          <t>Peugeot</t>
        </is>
      </c>
      <c r="F75" s="2" t="inlineStr">
        <is>
          <t>Peugeot 207</t>
        </is>
      </c>
      <c r="G75" s="2" t="n"/>
      <c r="H75" s="2" t="n"/>
      <c r="I75" s="2" t="n"/>
      <c r="J75" s="2" t="n"/>
      <c r="K75" s="2" t="inlineStr">
        <is>
          <t>gasolina</t>
        </is>
      </c>
      <c r="L75" s="2" t="inlineStr">
        <is>
          <t>utilitario</t>
        </is>
      </c>
      <c r="M75" s="2" t="n">
        <v>2008</v>
      </c>
      <c r="N75" s="2" t="n">
        <v>180000</v>
      </c>
      <c r="O75" s="2" t="n">
        <v>3000</v>
      </c>
      <c r="P75" s="2" t="inlineStr">
        <is>
          <t>manual</t>
        </is>
      </c>
      <c r="Q75" s="2" t="inlineStr">
        <is>
          <t>no</t>
        </is>
      </c>
      <c r="R75" s="2" t="inlineStr">
        <is>
          <t>particular</t>
        </is>
      </c>
      <c r="S75" s="2" t="n"/>
      <c r="T75" s="2" t="inlineStr">
        <is>
          <t>2025-12-30T10:29:01Z</t>
        </is>
      </c>
      <c r="U75" s="2" t="n">
        <v>9</v>
      </c>
      <c r="V75" s="2" t="n"/>
      <c r="W75" s="2" t="n"/>
      <c r="X75" s="2" t="n"/>
      <c r="Y75" s="2" t="n"/>
      <c r="Z75" s="2" t="inlineStr">
        <is>
          <t>no</t>
        </is>
      </c>
      <c r="AA75" s="2" t="n"/>
      <c r="AB75" s="2" t="n"/>
      <c r="AC75" s="2" t="n"/>
      <c r="AD75" s="2" t="n"/>
      <c r="AE75" s="2" t="n"/>
      <c r="AF75" s="2" t="n"/>
      <c r="AG75" s="2" t="n"/>
      <c r="AH75" s="2" t="n">
        <v>3000</v>
      </c>
      <c r="AI75" s="2" t="n"/>
      <c r="AJ75" s="2" t="n"/>
      <c r="AK75" s="2" t="n"/>
      <c r="AL75" s="2" t="n"/>
      <c r="AM75" s="2" t="n"/>
      <c r="AN75" s="2" t="n">
        <v>3500</v>
      </c>
      <c r="AO75" s="2" t="n">
        <v>19</v>
      </c>
      <c r="AP75" s="2" t="inlineStr">
        <is>
          <t>modelo+año+km</t>
        </is>
      </c>
      <c r="AQ75" s="2" t="n"/>
      <c r="AR75" s="2" t="inlineStr">
        <is>
          <t>cilindrada desconocida: se aplica el tramo de cuota fija más alto; cuota fija ITP: &gt;12 años, más de 2.000 cc; distancia no verificable (el anuncio solo indica la provincia): confirmar que está a &lt;= 50 km; fiabilidad del modelo PENDIENTE de fuente (puntuación neutra)</t>
        </is>
      </c>
      <c r="AS75" s="2" t="inlineStr">
        <is>
          <t>Saludos,
Lo compré hace 2 años y no ha dado ningún problema, lo quiero vender porque me voy a comprar otro y no lo voy a usar.
Se puede llevar a un taller para tranquilidad del cliente.
• Ruedas dynaxer recién cambiadas.
• Todo en regla.
• Va de maravilla y es súper entretenido.
• Si va a ser tu primer coche es muy buena opción, pequeño, versatil y a muy buen precio.</t>
        </is>
      </c>
      <c r="AT75" s="2" t="inlineStr">
        <is>
          <t>https://www.coches.net/peugeot-207-gasolina-2008-en-valencia-62317708-covo.aspx (window.__INITIAL_PROPS__.ad) /home/user/Alopecia/buscador-coches/raw/cochesnet/06184d609faebc5b.json</t>
        </is>
      </c>
      <c r="AU75" s="3">
        <f>MAX(ANIO_ACTUAL-M75,0)</f>
        <v/>
      </c>
      <c r="AV75" s="4">
        <f>N75/MAX(AU75,0.5)</f>
        <v/>
      </c>
      <c r="AW75" s="4">
        <f>F75</f>
        <v/>
      </c>
      <c r="AX75" s="3">
        <f>AW75&amp;"|"&amp;INT(M75/SEG_ANIO)*SEG_ANIO</f>
        <v/>
      </c>
      <c r="AY75" s="3">
        <f>AX75&amp;"|"&amp;INT(N75/SEG_KM)*SEG_KM</f>
        <v/>
      </c>
      <c r="AZ75" s="4">
        <f>COUNTIF($AW$2:$AW$91,AW75)</f>
        <v/>
      </c>
      <c r="BA75" s="4">
        <f>COUNTIF($AX$2:$AX$91,AX75)</f>
        <v/>
      </c>
      <c r="BB75" s="4">
        <f>COUNTIF($AY$2:$AY$91,AY75)</f>
        <v/>
      </c>
      <c r="BC75" s="3">
        <f t="array" ref="BC75">IF(N(AO75)&gt;=MIN_N,AN75,IF(BB75&gt;=MIN_N,MEDIAN(IF($AY$2:$AY$91=AY75,$O$2:$O$91)),IF(BA75&gt;=MIN_N,MEDIAN(IF($AX$2:$AX$91=AX75,$O$2:$O$91)),MEDIAN(IF($AW$2:$AW$91=AW75,$O$2:$O$91)))))</f>
        <v/>
      </c>
      <c r="BD75" s="3">
        <f>IF(N(AO75)&gt;=MIN_N,"mercado "&amp;AP75,IF(BB75&gt;=MIN_N,"modelo+año+km",IF(BA75&gt;=MIN_N,"modelo+año","modelo")))</f>
        <v/>
      </c>
      <c r="BE75" s="4">
        <f>(BC75-O75)/BC75</f>
        <v/>
      </c>
      <c r="BF75" s="3">
        <f>IF(OR(K75="hibrido",K75="glp"),"ECO",IF(K75="electrico","CERO",IF(K75="gasolina",IF(M75&gt;=GAS_C,"C",IF(M75&gt;=GAS_B,"B","A")),IF(K75="diesel",IF(M75&gt;=DIE_C,"C",IF(M75&gt;=DIE_B,"B","A")),""))))</f>
        <v/>
      </c>
      <c r="BG75" s="3">
        <f>IFERROR(VLOOKUP(F75,MOD_TBL,11,0),IFERROR(VLOOKUP(E75,OCU_TBL,2,0),NEUTRO))</f>
        <v/>
      </c>
      <c r="BH75" s="3">
        <f>SUMIFS(MOT_AJUSTE,MOT_MOTOR,G75,MOT_MARCA,E75,MOT_DESDE,"&lt;="&amp;M75,MOT_HASTA,"&gt;="&amp;M75)+SUMIFS(MOT_AJUSTE,MOT_MOTOR,G75,MOT_MARCA,"(todas)",MOT_DESDE,"&lt;="&amp;M75,MOT_HASTA,"&gt;="&amp;M75)</f>
        <v/>
      </c>
      <c r="BI75" s="3">
        <f>SUMIFS(COMB_AJUSTE,COMB_COMB,K75)</f>
        <v/>
      </c>
      <c r="BJ75" s="4">
        <f>MAX(0,MIN(100,BG75+BH75+BI75))</f>
        <v/>
      </c>
      <c r="BK75" s="3">
        <f>MAX(0,MIN(100,50+BE75*PRECIO_PEND))</f>
        <v/>
      </c>
      <c r="BL75" s="3">
        <f>MAX(0,100*(1-N75/KM_MAX))</f>
        <v/>
      </c>
      <c r="BM75" s="3">
        <f>IF(AV75&lt;KMA_SOSP,IF(AA75="sí",100,KMA_PEN),IF(AV75&lt;=KMA_IDEAL_MAX,100,MAX(0,100*(KMA_CERO-AV75)/(KMA_CERO-KMA_IDEAL_MAX))))</f>
        <v/>
      </c>
      <c r="BN75" s="3">
        <f>MAX(0,MIN(100,100*(M75-ANIO_MIN)/(ANIO_ACTUAL-ANIO_MIN)))</f>
        <v/>
      </c>
      <c r="BO75" s="3">
        <f>W_KMT*BL75+W_KMA*BM75+W_EDAD*BN75</f>
        <v/>
      </c>
      <c r="BP75" s="3">
        <f>P_ITV*(V75="sí")+P_LIBRO*(W75="sí")+P_CORREA*(X75="sí")+P_PROP*(Y75=1)+P_GAR*(Z75="sí")+P_FOTOS*MIN(1,N(U75)/FOTOS_OBJ)</f>
        <v/>
      </c>
      <c r="BQ75" s="3">
        <f>IFERROR(VLOOKUP(BF75,ETQ_TBL,2,0),NEUTRO)</f>
        <v/>
      </c>
      <c r="BR75" s="3">
        <f>NEUTRO</f>
        <v/>
      </c>
      <c r="BS75" s="3">
        <f>IFERROR(VLOOKUP(L75,SEGURO_TBL,3,0),"")</f>
        <v/>
      </c>
      <c r="BT75" s="3">
        <f>IF(BS75="",NEUTRO,MAX(0,MIN(100,100*(SEG_REF_MAX-BS75)/(SEG_REF_MAX-SEG_REF_MIN))))</f>
        <v/>
      </c>
      <c r="BU75" s="3">
        <f>W_ET*BQ75+W_CONS*BR75+W_SEG*BT75</f>
        <v/>
      </c>
      <c r="BV75" s="3">
        <f>IF(N(AB75)&gt;0,AB75,IF(AND(R75="profesional",SG_LEGAL_ON=1),GAR_LEGAL,0))</f>
        <v/>
      </c>
      <c r="BW75" s="3">
        <f>SG_GAR*MIN(1,BV75/SG_GAR_FULL)+SG_AMPL*(AC75="sí")+SG_KMC*(AF75="sí")+SG_REV*(N(AE75)&gt;0)+SG_DEV*MIN(1,N(AG75)/SG_DEV_FULL)+SG_HIST*(W75="sí")</f>
        <v/>
      </c>
      <c r="BX75" s="3">
        <f>W_FIAB*BJ75+W_PRECIO*BK75+W_KMEDAD*BO75+W_ANUNCIO*BP75+W_USO*BU75+W_SEGURIDAD*BW75</f>
        <v/>
      </c>
      <c r="BY75" s="4">
        <f>IF(N(I75)&gt;0,I75,IFERROR(ROUND(_xlfn.NUMBERVALUE(LEFT(G75,FIND(" ",G75&amp;" ")-1),".")*1000,0),99999))</f>
        <v/>
      </c>
      <c r="BZ75" s="3">
        <f>IF(R75="profesional",0,IF(O75&lt;CUOTA_VALOR_MAX,IF(AU75&gt;ITP_TRAMO_ALTO,SUMIFS(CF_CUOTA,CF_MAS,ITP_TRAMO_ALTO,CF_CCMIN,"&lt;="&amp;BY75,CF_CCMAX,"&gt;="&amp;BY75),IF(AU75&gt;ITP_TRAMO_BAJO,SUMIFS(CF_CUOTA,CF_MAS,ITP_TRAMO_BAJO,CF_CCMIN,"&lt;="&amp;BY75,CF_CCMAX,"&gt;="&amp;BY75),O75*ITP_TIPO)),O75*ITP_TIPO))</f>
        <v/>
      </c>
      <c r="CA75" s="4">
        <f>IF(R75="profesional",N(AK75),0)</f>
        <v/>
      </c>
      <c r="CB75" s="3">
        <f>IF(AND(R75="profesional",ISNUMBER(AK75),AL75="sí"),0,TASA_DGT)</f>
        <v/>
      </c>
      <c r="CC75" s="3">
        <f>INFORME_DGT</f>
        <v/>
      </c>
      <c r="CD75" s="4">
        <f>O75+CA75+BZ75+CB75+CC75</f>
        <v/>
      </c>
      <c r="CE75" s="4">
        <f>CD75+N(BS75)</f>
        <v/>
      </c>
      <c r="CF75" s="3">
        <f>IF(CD75&lt;=TOTAL_MAX,"sí","no")</f>
        <v/>
      </c>
      <c r="CG75" s="4">
        <f>IF(CF75="sí",COUNTIFS($CF$2:$CF$91,"sí",$BX$2:$BX$91,"&gt;"&amp;BX75)+COUNTIFS($CF$2:CF75,"sí",$BX$2:BX75,BX75),"")</f>
        <v/>
      </c>
    </row>
    <row r="76">
      <c r="A76" s="2" t="inlineStr">
        <is>
          <t>cochesnet:71855583</t>
        </is>
      </c>
      <c r="B76" s="2" t="inlineStr">
        <is>
          <t>cochesnet</t>
        </is>
      </c>
      <c r="C76" s="2" t="inlineStr">
        <is>
          <t>https://www.coches.net/peugeot-208-5p-active-10l-puretech-68-5p-gasolina-2014-en-valencia-71855583-covo.aspx</t>
        </is>
      </c>
      <c r="D76" s="2" t="inlineStr">
        <is>
          <t>PEUGEOT 208 ACTIVE 1.0L PureTech 68</t>
        </is>
      </c>
      <c r="E76" s="2" t="inlineStr">
        <is>
          <t>Peugeot</t>
        </is>
      </c>
      <c r="F76" s="2" t="inlineStr">
        <is>
          <t>Peugeot 208</t>
        </is>
      </c>
      <c r="G76" s="2" t="inlineStr">
        <is>
          <t>1.0 PureTech</t>
        </is>
      </c>
      <c r="H76" s="2" t="inlineStr">
        <is>
          <t>5P ACTIVE 1.0L PureTech 68</t>
        </is>
      </c>
      <c r="I76" s="2" t="n"/>
      <c r="J76" s="2" t="n"/>
      <c r="K76" s="2" t="inlineStr">
        <is>
          <t>gasolina</t>
        </is>
      </c>
      <c r="L76" s="2" t="inlineStr">
        <is>
          <t>utilitario</t>
        </is>
      </c>
      <c r="M76" s="2" t="n">
        <v>2014</v>
      </c>
      <c r="N76" s="2" t="n">
        <v>145000</v>
      </c>
      <c r="O76" s="2" t="n">
        <v>4500</v>
      </c>
      <c r="P76" s="2" t="inlineStr">
        <is>
          <t>manual</t>
        </is>
      </c>
      <c r="Q76" s="2" t="inlineStr">
        <is>
          <t>no</t>
        </is>
      </c>
      <c r="R76" s="2" t="inlineStr">
        <is>
          <t>particular</t>
        </is>
      </c>
      <c r="S76" s="2" t="n"/>
      <c r="T76" s="2" t="inlineStr">
        <is>
          <t>2026-10-28T15:04:13Z</t>
        </is>
      </c>
      <c r="U76" s="2" t="n">
        <v>1</v>
      </c>
      <c r="V76" s="2" t="inlineStr">
        <is>
          <t>sí</t>
        </is>
      </c>
      <c r="W76" s="2" t="n"/>
      <c r="X76" s="2" t="inlineStr">
        <is>
          <t>sí</t>
        </is>
      </c>
      <c r="Y76" s="2" t="n"/>
      <c r="Z76" s="2" t="inlineStr">
        <is>
          <t>no</t>
        </is>
      </c>
      <c r="AA76" s="2" t="n"/>
      <c r="AB76" s="2" t="n"/>
      <c r="AC76" s="2" t="n"/>
      <c r="AD76" s="2" t="n"/>
      <c r="AE76" s="2" t="n"/>
      <c r="AF76" s="2" t="n"/>
      <c r="AG76" s="2" t="n"/>
      <c r="AH76" s="2" t="n">
        <v>4500</v>
      </c>
      <c r="AI76" s="2" t="n"/>
      <c r="AJ76" s="2" t="n"/>
      <c r="AK76" s="2" t="n"/>
      <c r="AL76" s="2" t="n"/>
      <c r="AM76" s="2" t="n"/>
      <c r="AN76" s="2" t="n">
        <v>6875</v>
      </c>
      <c r="AO76" s="2" t="n">
        <v>12</v>
      </c>
      <c r="AP76" s="2" t="inlineStr">
        <is>
          <t>modelo+año+km</t>
        </is>
      </c>
      <c r="AQ76" s="2" t="n"/>
      <c r="AR76" s="2" t="inlineStr">
        <is>
          <t>cuota fija ITP: &gt;5 y &lt;=12 años, hasta 1.500 cc; distancia no verificable (el anuncio solo indica la provincia): confirmar que está a &lt;= 50 km</t>
        </is>
      </c>
      <c r="AS76" s="2" t="inlineStr">
        <is>
          <t>ITV pasada,cambiada la correa y kit de distribución con factura en taller de Peugeot.</t>
        </is>
      </c>
      <c r="AT76" s="2" t="inlineStr">
        <is>
          <t>https://www.coches.net/peugeot-208-5p-active-10l-puretech-68-5p-gasolina-2014-en-valencia-71855583-covo.aspx (window.__INITIAL_PROPS__.ad) /home/user/Alopecia/buscador-coches/raw/cochesnet/b565a01e8230e094.json</t>
        </is>
      </c>
      <c r="AU76" s="3">
        <f>MAX(ANIO_ACTUAL-M76,0)</f>
        <v/>
      </c>
      <c r="AV76" s="4">
        <f>N76/MAX(AU76,0.5)</f>
        <v/>
      </c>
      <c r="AW76" s="4">
        <f>F76</f>
        <v/>
      </c>
      <c r="AX76" s="3">
        <f>AW76&amp;"|"&amp;INT(M76/SEG_ANIO)*SEG_ANIO</f>
        <v/>
      </c>
      <c r="AY76" s="3">
        <f>AX76&amp;"|"&amp;INT(N76/SEG_KM)*SEG_KM</f>
        <v/>
      </c>
      <c r="AZ76" s="4">
        <f>COUNTIF($AW$2:$AW$91,AW76)</f>
        <v/>
      </c>
      <c r="BA76" s="4">
        <f>COUNTIF($AX$2:$AX$91,AX76)</f>
        <v/>
      </c>
      <c r="BB76" s="4">
        <f>COUNTIF($AY$2:$AY$91,AY76)</f>
        <v/>
      </c>
      <c r="BC76" s="3">
        <f t="array" ref="BC76">IF(N(AO76)&gt;=MIN_N,AN76,IF(BB76&gt;=MIN_N,MEDIAN(IF($AY$2:$AY$91=AY76,$O$2:$O$91)),IF(BA76&gt;=MIN_N,MEDIAN(IF($AX$2:$AX$91=AX76,$O$2:$O$91)),MEDIAN(IF($AW$2:$AW$91=AW76,$O$2:$O$91)))))</f>
        <v/>
      </c>
      <c r="BD76" s="3">
        <f>IF(N(AO76)&gt;=MIN_N,"mercado "&amp;AP76,IF(BB76&gt;=MIN_N,"modelo+año+km",IF(BA76&gt;=MIN_N,"modelo+año","modelo")))</f>
        <v/>
      </c>
      <c r="BE76" s="4">
        <f>(BC76-O76)/BC76</f>
        <v/>
      </c>
      <c r="BF76" s="3">
        <f>IF(OR(K76="hibrido",K76="glp"),"ECO",IF(K76="electrico","CERO",IF(K76="gasolina",IF(M76&gt;=GAS_C,"C",IF(M76&gt;=GAS_B,"B","A")),IF(K76="diesel",IF(M76&gt;=DIE_C,"C",IF(M76&gt;=DIE_B,"B","A")),""))))</f>
        <v/>
      </c>
      <c r="BG76" s="3">
        <f>IFERROR(VLOOKUP(F76,MOD_TBL,11,0),IFERROR(VLOOKUP(E76,OCU_TBL,2,0),NEUTRO))</f>
        <v/>
      </c>
      <c r="BH76" s="3">
        <f>SUMIFS(MOT_AJUSTE,MOT_MOTOR,G76,MOT_MARCA,E76,MOT_DESDE,"&lt;="&amp;M76,MOT_HASTA,"&gt;="&amp;M76)+SUMIFS(MOT_AJUSTE,MOT_MOTOR,G76,MOT_MARCA,"(todas)",MOT_DESDE,"&lt;="&amp;M76,MOT_HASTA,"&gt;="&amp;M76)</f>
        <v/>
      </c>
      <c r="BI76" s="3">
        <f>SUMIFS(COMB_AJUSTE,COMB_COMB,K76)</f>
        <v/>
      </c>
      <c r="BJ76" s="4">
        <f>MAX(0,MIN(100,BG76+BH76+BI76))</f>
        <v/>
      </c>
      <c r="BK76" s="3">
        <f>MAX(0,MIN(100,50+BE76*PRECIO_PEND))</f>
        <v/>
      </c>
      <c r="BL76" s="3">
        <f>MAX(0,100*(1-N76/KM_MAX))</f>
        <v/>
      </c>
      <c r="BM76" s="3">
        <f>IF(AV76&lt;KMA_SOSP,IF(AA76="sí",100,KMA_PEN),IF(AV76&lt;=KMA_IDEAL_MAX,100,MAX(0,100*(KMA_CERO-AV76)/(KMA_CERO-KMA_IDEAL_MAX))))</f>
        <v/>
      </c>
      <c r="BN76" s="3">
        <f>MAX(0,MIN(100,100*(M76-ANIO_MIN)/(ANIO_ACTUAL-ANIO_MIN)))</f>
        <v/>
      </c>
      <c r="BO76" s="3">
        <f>W_KMT*BL76+W_KMA*BM76+W_EDAD*BN76</f>
        <v/>
      </c>
      <c r="BP76" s="3">
        <f>P_ITV*(V76="sí")+P_LIBRO*(W76="sí")+P_CORREA*(X76="sí")+P_PROP*(Y76=1)+P_GAR*(Z76="sí")+P_FOTOS*MIN(1,N(U76)/FOTOS_OBJ)</f>
        <v/>
      </c>
      <c r="BQ76" s="3">
        <f>IFERROR(VLOOKUP(BF76,ETQ_TBL,2,0),NEUTRO)</f>
        <v/>
      </c>
      <c r="BR76" s="3">
        <f>NEUTRO</f>
        <v/>
      </c>
      <c r="BS76" s="3">
        <f>IFERROR(VLOOKUP(L76,SEGURO_TBL,3,0),"")</f>
        <v/>
      </c>
      <c r="BT76" s="3">
        <f>IF(BS76="",NEUTRO,MAX(0,MIN(100,100*(SEG_REF_MAX-BS76)/(SEG_REF_MAX-SEG_REF_MIN))))</f>
        <v/>
      </c>
      <c r="BU76" s="3">
        <f>W_ET*BQ76+W_CONS*BR76+W_SEG*BT76</f>
        <v/>
      </c>
      <c r="BV76" s="3">
        <f>IF(N(AB76)&gt;0,AB76,IF(AND(R76="profesional",SG_LEGAL_ON=1),GAR_LEGAL,0))</f>
        <v/>
      </c>
      <c r="BW76" s="3">
        <f>SG_GAR*MIN(1,BV76/SG_GAR_FULL)+SG_AMPL*(AC76="sí")+SG_KMC*(AF76="sí")+SG_REV*(N(AE76)&gt;0)+SG_DEV*MIN(1,N(AG76)/SG_DEV_FULL)+SG_HIST*(W76="sí")</f>
        <v/>
      </c>
      <c r="BX76" s="3">
        <f>W_FIAB*BJ76+W_PRECIO*BK76+W_KMEDAD*BO76+W_ANUNCIO*BP76+W_USO*BU76+W_SEGURIDAD*BW76</f>
        <v/>
      </c>
      <c r="BY76" s="4">
        <f>IF(N(I76)&gt;0,I76,IFERROR(ROUND(_xlfn.NUMBERVALUE(LEFT(G76,FIND(" ",G76&amp;" ")-1),".")*1000,0),99999))</f>
        <v/>
      </c>
      <c r="BZ76" s="3">
        <f>IF(R76="profesional",0,IF(O76&lt;CUOTA_VALOR_MAX,IF(AU76&gt;ITP_TRAMO_ALTO,SUMIFS(CF_CUOTA,CF_MAS,ITP_TRAMO_ALTO,CF_CCMIN,"&lt;="&amp;BY76,CF_CCMAX,"&gt;="&amp;BY76),IF(AU76&gt;ITP_TRAMO_BAJO,SUMIFS(CF_CUOTA,CF_MAS,ITP_TRAMO_BAJO,CF_CCMIN,"&lt;="&amp;BY76,CF_CCMAX,"&gt;="&amp;BY76),O76*ITP_TIPO)),O76*ITP_TIPO))</f>
        <v/>
      </c>
      <c r="CA76" s="4">
        <f>IF(R76="profesional",N(AK76),0)</f>
        <v/>
      </c>
      <c r="CB76" s="3">
        <f>IF(AND(R76="profesional",ISNUMBER(AK76),AL76="sí"),0,TASA_DGT)</f>
        <v/>
      </c>
      <c r="CC76" s="3">
        <f>INFORME_DGT</f>
        <v/>
      </c>
      <c r="CD76" s="4">
        <f>O76+CA76+BZ76+CB76+CC76</f>
        <v/>
      </c>
      <c r="CE76" s="4">
        <f>CD76+N(BS76)</f>
        <v/>
      </c>
      <c r="CF76" s="3">
        <f>IF(CD76&lt;=TOTAL_MAX,"sí","no")</f>
        <v/>
      </c>
      <c r="CG76" s="4">
        <f>IF(CF76="sí",COUNTIFS($CF$2:$CF$91,"sí",$BX$2:$BX$91,"&gt;"&amp;BX76)+COUNTIFS($CF$2:CF76,"sí",$BX$2:BX76,BX76),"")</f>
        <v/>
      </c>
    </row>
    <row r="77">
      <c r="A77" s="2" t="inlineStr">
        <is>
          <t>cochesnet:71665574</t>
        </is>
      </c>
      <c r="B77" s="2" t="inlineStr">
        <is>
          <t>cochesnet</t>
        </is>
      </c>
      <c r="C77" s="2" t="inlineStr">
        <is>
          <t>https://www.coches.net/peugeot-208-5p-allure-12-vti-82-5p-gasolina-2014-en-valencia-71665574-covo.aspx</t>
        </is>
      </c>
      <c r="D77" s="2" t="inlineStr">
        <is>
          <t>PEUGEOT 208 ALLURE 1.2 VTi 82</t>
        </is>
      </c>
      <c r="E77" s="2" t="inlineStr">
        <is>
          <t>Peugeot</t>
        </is>
      </c>
      <c r="F77" s="2" t="inlineStr">
        <is>
          <t>Peugeot 208</t>
        </is>
      </c>
      <c r="G77" s="2" t="inlineStr">
        <is>
          <t>1.2 VTi</t>
        </is>
      </c>
      <c r="H77" s="2" t="inlineStr">
        <is>
          <t>5P ALLURE 1.2 VTi 82</t>
        </is>
      </c>
      <c r="I77" s="2" t="n"/>
      <c r="J77" s="2" t="n"/>
      <c r="K77" s="2" t="inlineStr">
        <is>
          <t>gasolina</t>
        </is>
      </c>
      <c r="L77" s="2" t="inlineStr">
        <is>
          <t>utilitario</t>
        </is>
      </c>
      <c r="M77" s="2" t="n">
        <v>2014</v>
      </c>
      <c r="N77" s="2" t="n">
        <v>167000</v>
      </c>
      <c r="O77" s="2" t="n">
        <v>4500</v>
      </c>
      <c r="P77" s="2" t="inlineStr">
        <is>
          <t>manual</t>
        </is>
      </c>
      <c r="Q77" s="2" t="inlineStr">
        <is>
          <t>no</t>
        </is>
      </c>
      <c r="R77" s="2" t="inlineStr">
        <is>
          <t>particular</t>
        </is>
      </c>
      <c r="S77" s="2" t="inlineStr">
        <is>
          <t>Mislata</t>
        </is>
      </c>
      <c r="T77" s="2" t="inlineStr">
        <is>
          <t>2026-10-03T17:07:26Z</t>
        </is>
      </c>
      <c r="U77" s="2" t="n">
        <v>9</v>
      </c>
      <c r="V77" s="2" t="inlineStr">
        <is>
          <t>sí</t>
        </is>
      </c>
      <c r="W77" s="2" t="n"/>
      <c r="X77" s="2" t="n"/>
      <c r="Y77" s="2" t="n">
        <v>1</v>
      </c>
      <c r="Z77" s="2" t="inlineStr">
        <is>
          <t>no</t>
        </is>
      </c>
      <c r="AA77" s="2" t="n"/>
      <c r="AB77" s="2" t="n"/>
      <c r="AC77" s="2" t="n"/>
      <c r="AD77" s="2" t="n"/>
      <c r="AE77" s="2" t="n"/>
      <c r="AF77" s="2" t="n"/>
      <c r="AG77" s="2" t="n"/>
      <c r="AH77" s="2" t="n">
        <v>4500</v>
      </c>
      <c r="AI77" s="2" t="n"/>
      <c r="AJ77" s="2" t="n"/>
      <c r="AK77" s="2" t="n"/>
      <c r="AL77" s="2" t="n"/>
      <c r="AM77" s="2" t="n">
        <v>3</v>
      </c>
      <c r="AN77" s="2" t="n">
        <v>4700</v>
      </c>
      <c r="AO77" s="2" t="n">
        <v>6</v>
      </c>
      <c r="AP77" s="2" t="inlineStr">
        <is>
          <t>modelo+año+km</t>
        </is>
      </c>
      <c r="AQ77" s="2" t="n"/>
      <c r="AR77" s="2" t="inlineStr">
        <is>
          <t>cuota fija ITP: &gt;5 y &lt;=12 años, hasta 1.500 cc</t>
        </is>
      </c>
      <c r="AS77" s="2" t="inlineStr">
        <is>
          <t>ITV pasada, único dueño, coche en perfecto estado con todas las revisiones al día.</t>
        </is>
      </c>
      <c r="AT77" s="2" t="inlineStr">
        <is>
          <t>https://www.coches.net/peugeot-208-5p-allure-12-vti-82-5p-gasolina-2014-en-valencia-71665574-covo.aspx (window.__INITIAL_PROPS__.ad) /home/user/Alopecia/buscador-coches/raw/cochesnet/663ac3e4bc2cb6b5.json</t>
        </is>
      </c>
      <c r="AU77" s="3">
        <f>MAX(ANIO_ACTUAL-M77,0)</f>
        <v/>
      </c>
      <c r="AV77" s="4">
        <f>N77/MAX(AU77,0.5)</f>
        <v/>
      </c>
      <c r="AW77" s="4">
        <f>F77</f>
        <v/>
      </c>
      <c r="AX77" s="3">
        <f>AW77&amp;"|"&amp;INT(M77/SEG_ANIO)*SEG_ANIO</f>
        <v/>
      </c>
      <c r="AY77" s="3">
        <f>AX77&amp;"|"&amp;INT(N77/SEG_KM)*SEG_KM</f>
        <v/>
      </c>
      <c r="AZ77" s="4">
        <f>COUNTIF($AW$2:$AW$91,AW77)</f>
        <v/>
      </c>
      <c r="BA77" s="4">
        <f>COUNTIF($AX$2:$AX$91,AX77)</f>
        <v/>
      </c>
      <c r="BB77" s="4">
        <f>COUNTIF($AY$2:$AY$91,AY77)</f>
        <v/>
      </c>
      <c r="BC77" s="3">
        <f t="array" ref="BC77">IF(N(AO77)&gt;=MIN_N,AN77,IF(BB77&gt;=MIN_N,MEDIAN(IF($AY$2:$AY$91=AY77,$O$2:$O$91)),IF(BA77&gt;=MIN_N,MEDIAN(IF($AX$2:$AX$91=AX77,$O$2:$O$91)),MEDIAN(IF($AW$2:$AW$91=AW77,$O$2:$O$91)))))</f>
        <v/>
      </c>
      <c r="BD77" s="3">
        <f>IF(N(AO77)&gt;=MIN_N,"mercado "&amp;AP77,IF(BB77&gt;=MIN_N,"modelo+año+km",IF(BA77&gt;=MIN_N,"modelo+año","modelo")))</f>
        <v/>
      </c>
      <c r="BE77" s="4">
        <f>(BC77-O77)/BC77</f>
        <v/>
      </c>
      <c r="BF77" s="3">
        <f>IF(OR(K77="hibrido",K77="glp"),"ECO",IF(K77="electrico","CERO",IF(K77="gasolina",IF(M77&gt;=GAS_C,"C",IF(M77&gt;=GAS_B,"B","A")),IF(K77="diesel",IF(M77&gt;=DIE_C,"C",IF(M77&gt;=DIE_B,"B","A")),""))))</f>
        <v/>
      </c>
      <c r="BG77" s="3">
        <f>IFERROR(VLOOKUP(F77,MOD_TBL,11,0),IFERROR(VLOOKUP(E77,OCU_TBL,2,0),NEUTRO))</f>
        <v/>
      </c>
      <c r="BH77" s="3">
        <f>SUMIFS(MOT_AJUSTE,MOT_MOTOR,G77,MOT_MARCA,E77,MOT_DESDE,"&lt;="&amp;M77,MOT_HASTA,"&gt;="&amp;M77)+SUMIFS(MOT_AJUSTE,MOT_MOTOR,G77,MOT_MARCA,"(todas)",MOT_DESDE,"&lt;="&amp;M77,MOT_HASTA,"&gt;="&amp;M77)</f>
        <v/>
      </c>
      <c r="BI77" s="3">
        <f>SUMIFS(COMB_AJUSTE,COMB_COMB,K77)</f>
        <v/>
      </c>
      <c r="BJ77" s="4">
        <f>MAX(0,MIN(100,BG77+BH77+BI77))</f>
        <v/>
      </c>
      <c r="BK77" s="3">
        <f>MAX(0,MIN(100,50+BE77*PRECIO_PEND))</f>
        <v/>
      </c>
      <c r="BL77" s="3">
        <f>MAX(0,100*(1-N77/KM_MAX))</f>
        <v/>
      </c>
      <c r="BM77" s="3">
        <f>IF(AV77&lt;KMA_SOSP,IF(AA77="sí",100,KMA_PEN),IF(AV77&lt;=KMA_IDEAL_MAX,100,MAX(0,100*(KMA_CERO-AV77)/(KMA_CERO-KMA_IDEAL_MAX))))</f>
        <v/>
      </c>
      <c r="BN77" s="3">
        <f>MAX(0,MIN(100,100*(M77-ANIO_MIN)/(ANIO_ACTUAL-ANIO_MIN)))</f>
        <v/>
      </c>
      <c r="BO77" s="3">
        <f>W_KMT*BL77+W_KMA*BM77+W_EDAD*BN77</f>
        <v/>
      </c>
      <c r="BP77" s="3">
        <f>P_ITV*(V77="sí")+P_LIBRO*(W77="sí")+P_CORREA*(X77="sí")+P_PROP*(Y77=1)+P_GAR*(Z77="sí")+P_FOTOS*MIN(1,N(U77)/FOTOS_OBJ)</f>
        <v/>
      </c>
      <c r="BQ77" s="3">
        <f>IFERROR(VLOOKUP(BF77,ETQ_TBL,2,0),NEUTRO)</f>
        <v/>
      </c>
      <c r="BR77" s="3">
        <f>NEUTRO</f>
        <v/>
      </c>
      <c r="BS77" s="3">
        <f>IFERROR(VLOOKUP(L77,SEGURO_TBL,3,0),"")</f>
        <v/>
      </c>
      <c r="BT77" s="3">
        <f>IF(BS77="",NEUTRO,MAX(0,MIN(100,100*(SEG_REF_MAX-BS77)/(SEG_REF_MAX-SEG_REF_MIN))))</f>
        <v/>
      </c>
      <c r="BU77" s="3">
        <f>W_ET*BQ77+W_CONS*BR77+W_SEG*BT77</f>
        <v/>
      </c>
      <c r="BV77" s="3">
        <f>IF(N(AB77)&gt;0,AB77,IF(AND(R77="profesional",SG_LEGAL_ON=1),GAR_LEGAL,0))</f>
        <v/>
      </c>
      <c r="BW77" s="3">
        <f>SG_GAR*MIN(1,BV77/SG_GAR_FULL)+SG_AMPL*(AC77="sí")+SG_KMC*(AF77="sí")+SG_REV*(N(AE77)&gt;0)+SG_DEV*MIN(1,N(AG77)/SG_DEV_FULL)+SG_HIST*(W77="sí")</f>
        <v/>
      </c>
      <c r="BX77" s="3">
        <f>W_FIAB*BJ77+W_PRECIO*BK77+W_KMEDAD*BO77+W_ANUNCIO*BP77+W_USO*BU77+W_SEGURIDAD*BW77</f>
        <v/>
      </c>
      <c r="BY77" s="4">
        <f>IF(N(I77)&gt;0,I77,IFERROR(ROUND(_xlfn.NUMBERVALUE(LEFT(G77,FIND(" ",G77&amp;" ")-1),".")*1000,0),99999))</f>
        <v/>
      </c>
      <c r="BZ77" s="3">
        <f>IF(R77="profesional",0,IF(O77&lt;CUOTA_VALOR_MAX,IF(AU77&gt;ITP_TRAMO_ALTO,SUMIFS(CF_CUOTA,CF_MAS,ITP_TRAMO_ALTO,CF_CCMIN,"&lt;="&amp;BY77,CF_CCMAX,"&gt;="&amp;BY77),IF(AU77&gt;ITP_TRAMO_BAJO,SUMIFS(CF_CUOTA,CF_MAS,ITP_TRAMO_BAJO,CF_CCMIN,"&lt;="&amp;BY77,CF_CCMAX,"&gt;="&amp;BY77),O77*ITP_TIPO)),O77*ITP_TIPO))</f>
        <v/>
      </c>
      <c r="CA77" s="4">
        <f>IF(R77="profesional",N(AK77),0)</f>
        <v/>
      </c>
      <c r="CB77" s="3">
        <f>IF(AND(R77="profesional",ISNUMBER(AK77),AL77="sí"),0,TASA_DGT)</f>
        <v/>
      </c>
      <c r="CC77" s="3">
        <f>INFORME_DGT</f>
        <v/>
      </c>
      <c r="CD77" s="4">
        <f>O77+CA77+BZ77+CB77+CC77</f>
        <v/>
      </c>
      <c r="CE77" s="4">
        <f>CD77+N(BS77)</f>
        <v/>
      </c>
      <c r="CF77" s="3">
        <f>IF(CD77&lt;=TOTAL_MAX,"sí","no")</f>
        <v/>
      </c>
      <c r="CG77" s="4">
        <f>IF(CF77="sí",COUNTIFS($CF$2:$CF$91,"sí",$BX$2:$BX$91,"&gt;"&amp;BX77)+COUNTIFS($CF$2:CF77,"sí",$BX$2:BX77,BX77),"")</f>
        <v/>
      </c>
    </row>
    <row r="78">
      <c r="A78" s="2" t="inlineStr">
        <is>
          <t>cochesnet:71427032</t>
        </is>
      </c>
      <c r="B78" s="2" t="inlineStr">
        <is>
          <t>cochesnet</t>
        </is>
      </c>
      <c r="C78" s="2" t="inlineStr">
        <is>
          <t>https://www.coches.net/peugeot-208-gasolina-2012-en-valencia-71427032-covo.aspx</t>
        </is>
      </c>
      <c r="D78" s="2" t="inlineStr">
        <is>
          <t>PEUGEOT 208</t>
        </is>
      </c>
      <c r="E78" s="2" t="inlineStr">
        <is>
          <t>Peugeot</t>
        </is>
      </c>
      <c r="F78" s="2" t="inlineStr">
        <is>
          <t>Peugeot 208</t>
        </is>
      </c>
      <c r="G78" s="2" t="n"/>
      <c r="H78" s="2" t="n"/>
      <c r="I78" s="2" t="n"/>
      <c r="J78" s="2" t="n"/>
      <c r="K78" s="2" t="inlineStr">
        <is>
          <t>gasolina</t>
        </is>
      </c>
      <c r="L78" s="2" t="inlineStr">
        <is>
          <t>utilitario</t>
        </is>
      </c>
      <c r="M78" s="2" t="n">
        <v>2012</v>
      </c>
      <c r="N78" s="2" t="n">
        <v>215000</v>
      </c>
      <c r="O78" s="2" t="n">
        <v>4500</v>
      </c>
      <c r="P78" s="2" t="inlineStr">
        <is>
          <t>manual</t>
        </is>
      </c>
      <c r="Q78" s="2" t="inlineStr">
        <is>
          <t>no</t>
        </is>
      </c>
      <c r="R78" s="2" t="inlineStr">
        <is>
          <t>particular</t>
        </is>
      </c>
      <c r="S78" s="2" t="n"/>
      <c r="T78" s="2" t="inlineStr">
        <is>
          <t>2026-09-02T15:17:55Z</t>
        </is>
      </c>
      <c r="U78" s="2" t="n">
        <v>9</v>
      </c>
      <c r="V78" s="2" t="inlineStr">
        <is>
          <t>sí</t>
        </is>
      </c>
      <c r="W78" s="2" t="n"/>
      <c r="X78" s="2" t="n"/>
      <c r="Y78" s="2" t="n"/>
      <c r="Z78" s="2" t="inlineStr">
        <is>
          <t>no</t>
        </is>
      </c>
      <c r="AA78" s="2" t="n"/>
      <c r="AB78" s="2" t="n"/>
      <c r="AC78" s="2" t="n"/>
      <c r="AD78" s="2" t="n"/>
      <c r="AE78" s="2" t="n"/>
      <c r="AF78" s="2" t="n"/>
      <c r="AG78" s="2" t="n"/>
      <c r="AH78" s="2" t="n">
        <v>4500</v>
      </c>
      <c r="AI78" s="2" t="n"/>
      <c r="AJ78" s="2" t="n"/>
      <c r="AK78" s="2" t="n"/>
      <c r="AL78" s="2" t="n"/>
      <c r="AM78" s="2" t="n"/>
      <c r="AN78" s="2" t="n">
        <v>4995</v>
      </c>
      <c r="AO78" s="2" t="n">
        <v>6</v>
      </c>
      <c r="AP78" s="2" t="inlineStr">
        <is>
          <t>modelo+año</t>
        </is>
      </c>
      <c r="AQ78" s="2" t="n"/>
      <c r="AR78" s="2" t="inlineStr">
        <is>
          <t>cilindrada desconocida: se aplica el tramo de cuota fija más alto; cuota fija ITP: &gt;12 años, más de 2.000 cc; distancia no verificable (el anuncio solo indica la provincia): confirmar que está a &lt;= 50 km</t>
        </is>
      </c>
      <c r="AS78" s="2" t="inlineStr">
        <is>
          <t xml:space="preserve">Se vende peugeot 208 del año 2012 lo entrego con seguro hasta diciembre si quieren lo doy de regalo
Tiene la distribución recien hecha 
Cambio de aceite recien hecho
Filtros de aceites y de aire hecho 
Pastilla de frenos recien hechas
Itv hasta enero 2027 pasa la itv sin problemas
Aire acondicionado perfecto
Ruedas michelin las 4 estan casi nuevas con su rueda de repuesto
Un coche fiable ahorrador de gasolina y muy practico al manejar 
La pintura esta bien cuidada al igual que el interior estan en perfecto estado
</t>
        </is>
      </c>
      <c r="AT78" s="2" t="inlineStr">
        <is>
          <t>https://www.coches.net/peugeot-208-gasolina-2012-en-valencia-71427032-covo.aspx (window.__INITIAL_PROPS__.ad) /home/user/Alopecia/buscador-coches/raw/cochesnet/7422982074c41c19.json</t>
        </is>
      </c>
      <c r="AU78" s="3">
        <f>MAX(ANIO_ACTUAL-M78,0)</f>
        <v/>
      </c>
      <c r="AV78" s="4">
        <f>N78/MAX(AU78,0.5)</f>
        <v/>
      </c>
      <c r="AW78" s="4">
        <f>F78</f>
        <v/>
      </c>
      <c r="AX78" s="3">
        <f>AW78&amp;"|"&amp;INT(M78/SEG_ANIO)*SEG_ANIO</f>
        <v/>
      </c>
      <c r="AY78" s="3">
        <f>AX78&amp;"|"&amp;INT(N78/SEG_KM)*SEG_KM</f>
        <v/>
      </c>
      <c r="AZ78" s="4">
        <f>COUNTIF($AW$2:$AW$91,AW78)</f>
        <v/>
      </c>
      <c r="BA78" s="4">
        <f>COUNTIF($AX$2:$AX$91,AX78)</f>
        <v/>
      </c>
      <c r="BB78" s="4">
        <f>COUNTIF($AY$2:$AY$91,AY78)</f>
        <v/>
      </c>
      <c r="BC78" s="3">
        <f t="array" ref="BC78">IF(N(AO78)&gt;=MIN_N,AN78,IF(BB78&gt;=MIN_N,MEDIAN(IF($AY$2:$AY$91=AY78,$O$2:$O$91)),IF(BA78&gt;=MIN_N,MEDIAN(IF($AX$2:$AX$91=AX78,$O$2:$O$91)),MEDIAN(IF($AW$2:$AW$91=AW78,$O$2:$O$91)))))</f>
        <v/>
      </c>
      <c r="BD78" s="3">
        <f>IF(N(AO78)&gt;=MIN_N,"mercado "&amp;AP78,IF(BB78&gt;=MIN_N,"modelo+año+km",IF(BA78&gt;=MIN_N,"modelo+año","modelo")))</f>
        <v/>
      </c>
      <c r="BE78" s="4">
        <f>(BC78-O78)/BC78</f>
        <v/>
      </c>
      <c r="BF78" s="3">
        <f>IF(OR(K78="hibrido",K78="glp"),"ECO",IF(K78="electrico","CERO",IF(K78="gasolina",IF(M78&gt;=GAS_C,"C",IF(M78&gt;=GAS_B,"B","A")),IF(K78="diesel",IF(M78&gt;=DIE_C,"C",IF(M78&gt;=DIE_B,"B","A")),""))))</f>
        <v/>
      </c>
      <c r="BG78" s="3">
        <f>IFERROR(VLOOKUP(F78,MOD_TBL,11,0),IFERROR(VLOOKUP(E78,OCU_TBL,2,0),NEUTRO))</f>
        <v/>
      </c>
      <c r="BH78" s="3">
        <f>SUMIFS(MOT_AJUSTE,MOT_MOTOR,G78,MOT_MARCA,E78,MOT_DESDE,"&lt;="&amp;M78,MOT_HASTA,"&gt;="&amp;M78)+SUMIFS(MOT_AJUSTE,MOT_MOTOR,G78,MOT_MARCA,"(todas)",MOT_DESDE,"&lt;="&amp;M78,MOT_HASTA,"&gt;="&amp;M78)</f>
        <v/>
      </c>
      <c r="BI78" s="3">
        <f>SUMIFS(COMB_AJUSTE,COMB_COMB,K78)</f>
        <v/>
      </c>
      <c r="BJ78" s="4">
        <f>MAX(0,MIN(100,BG78+BH78+BI78))</f>
        <v/>
      </c>
      <c r="BK78" s="3">
        <f>MAX(0,MIN(100,50+BE78*PRECIO_PEND))</f>
        <v/>
      </c>
      <c r="BL78" s="3">
        <f>MAX(0,100*(1-N78/KM_MAX))</f>
        <v/>
      </c>
      <c r="BM78" s="3">
        <f>IF(AV78&lt;KMA_SOSP,IF(AA78="sí",100,KMA_PEN),IF(AV78&lt;=KMA_IDEAL_MAX,100,MAX(0,100*(KMA_CERO-AV78)/(KMA_CERO-KMA_IDEAL_MAX))))</f>
        <v/>
      </c>
      <c r="BN78" s="3">
        <f>MAX(0,MIN(100,100*(M78-ANIO_MIN)/(ANIO_ACTUAL-ANIO_MIN)))</f>
        <v/>
      </c>
      <c r="BO78" s="3">
        <f>W_KMT*BL78+W_KMA*BM78+W_EDAD*BN78</f>
        <v/>
      </c>
      <c r="BP78" s="3">
        <f>P_ITV*(V78="sí")+P_LIBRO*(W78="sí")+P_CORREA*(X78="sí")+P_PROP*(Y78=1)+P_GAR*(Z78="sí")+P_FOTOS*MIN(1,N(U78)/FOTOS_OBJ)</f>
        <v/>
      </c>
      <c r="BQ78" s="3">
        <f>IFERROR(VLOOKUP(BF78,ETQ_TBL,2,0),NEUTRO)</f>
        <v/>
      </c>
      <c r="BR78" s="3">
        <f>NEUTRO</f>
        <v/>
      </c>
      <c r="BS78" s="3">
        <f>IFERROR(VLOOKUP(L78,SEGURO_TBL,3,0),"")</f>
        <v/>
      </c>
      <c r="BT78" s="3">
        <f>IF(BS78="",NEUTRO,MAX(0,MIN(100,100*(SEG_REF_MAX-BS78)/(SEG_REF_MAX-SEG_REF_MIN))))</f>
        <v/>
      </c>
      <c r="BU78" s="3">
        <f>W_ET*BQ78+W_CONS*BR78+W_SEG*BT78</f>
        <v/>
      </c>
      <c r="BV78" s="3">
        <f>IF(N(AB78)&gt;0,AB78,IF(AND(R78="profesional",SG_LEGAL_ON=1),GAR_LEGAL,0))</f>
        <v/>
      </c>
      <c r="BW78" s="3">
        <f>SG_GAR*MIN(1,BV78/SG_GAR_FULL)+SG_AMPL*(AC78="sí")+SG_KMC*(AF78="sí")+SG_REV*(N(AE78)&gt;0)+SG_DEV*MIN(1,N(AG78)/SG_DEV_FULL)+SG_HIST*(W78="sí")</f>
        <v/>
      </c>
      <c r="BX78" s="3">
        <f>W_FIAB*BJ78+W_PRECIO*BK78+W_KMEDAD*BO78+W_ANUNCIO*BP78+W_USO*BU78+W_SEGURIDAD*BW78</f>
        <v/>
      </c>
      <c r="BY78" s="4">
        <f>IF(N(I78)&gt;0,I78,IFERROR(ROUND(_xlfn.NUMBERVALUE(LEFT(G78,FIND(" ",G78&amp;" ")-1),".")*1000,0),99999))</f>
        <v/>
      </c>
      <c r="BZ78" s="3">
        <f>IF(R78="profesional",0,IF(O78&lt;CUOTA_VALOR_MAX,IF(AU78&gt;ITP_TRAMO_ALTO,SUMIFS(CF_CUOTA,CF_MAS,ITP_TRAMO_ALTO,CF_CCMIN,"&lt;="&amp;BY78,CF_CCMAX,"&gt;="&amp;BY78),IF(AU78&gt;ITP_TRAMO_BAJO,SUMIFS(CF_CUOTA,CF_MAS,ITP_TRAMO_BAJO,CF_CCMIN,"&lt;="&amp;BY78,CF_CCMAX,"&gt;="&amp;BY78),O78*ITP_TIPO)),O78*ITP_TIPO))</f>
        <v/>
      </c>
      <c r="CA78" s="4">
        <f>IF(R78="profesional",N(AK78),0)</f>
        <v/>
      </c>
      <c r="CB78" s="3">
        <f>IF(AND(R78="profesional",ISNUMBER(AK78),AL78="sí"),0,TASA_DGT)</f>
        <v/>
      </c>
      <c r="CC78" s="3">
        <f>INFORME_DGT</f>
        <v/>
      </c>
      <c r="CD78" s="4">
        <f>O78+CA78+BZ78+CB78+CC78</f>
        <v/>
      </c>
      <c r="CE78" s="4">
        <f>CD78+N(BS78)</f>
        <v/>
      </c>
      <c r="CF78" s="3">
        <f>IF(CD78&lt;=TOTAL_MAX,"sí","no")</f>
        <v/>
      </c>
      <c r="CG78" s="4">
        <f>IF(CF78="sí",COUNTIFS($CF$2:$CF$91,"sí",$BX$2:$BX$91,"&gt;"&amp;BX78)+COUNTIFS($CF$2:CF78,"sí",$BX$2:BX78,BX78),"")</f>
        <v/>
      </c>
    </row>
    <row r="79">
      <c r="A79" s="2" t="inlineStr">
        <is>
          <t>cochesnet:71721031</t>
        </is>
      </c>
      <c r="B79" s="2" t="inlineStr">
        <is>
          <t>cochesnet</t>
        </is>
      </c>
      <c r="C79" s="2" t="inlineStr">
        <is>
          <t>https://www.coches.net/peugeot-308-premium-16-vti-120-5p-gasolina-2008-en-valencia-71721031-covo.aspx</t>
        </is>
      </c>
      <c r="D79" s="2" t="inlineStr">
        <is>
          <t>PEUGEOT 308 Premium 1.6 VTi 120</t>
        </is>
      </c>
      <c r="E79" s="2" t="inlineStr">
        <is>
          <t>Peugeot</t>
        </is>
      </c>
      <c r="F79" s="2" t="inlineStr">
        <is>
          <t>Peugeot 308</t>
        </is>
      </c>
      <c r="G79" s="2" t="inlineStr">
        <is>
          <t>1.6 VTi</t>
        </is>
      </c>
      <c r="H79" s="2" t="inlineStr">
        <is>
          <t>Premium 1.6 VTi 120</t>
        </is>
      </c>
      <c r="I79" s="2" t="n"/>
      <c r="J79" s="2" t="n"/>
      <c r="K79" s="2" t="inlineStr">
        <is>
          <t>gasolina</t>
        </is>
      </c>
      <c r="L79" s="2" t="inlineStr">
        <is>
          <t>compacto</t>
        </is>
      </c>
      <c r="M79" s="2" t="n">
        <v>2008</v>
      </c>
      <c r="N79" s="2" t="n">
        <v>190000</v>
      </c>
      <c r="O79" s="2" t="n">
        <v>4000</v>
      </c>
      <c r="P79" s="2" t="inlineStr">
        <is>
          <t>manual</t>
        </is>
      </c>
      <c r="Q79" s="2" t="inlineStr">
        <is>
          <t>no</t>
        </is>
      </c>
      <c r="R79" s="2" t="inlineStr">
        <is>
          <t>particular</t>
        </is>
      </c>
      <c r="S79" s="2" t="inlineStr">
        <is>
          <t>Moncada</t>
        </is>
      </c>
      <c r="T79" s="2" t="inlineStr">
        <is>
          <t>2026-10-11T01:07:33Z</t>
        </is>
      </c>
      <c r="U79" s="2" t="n">
        <v>17</v>
      </c>
      <c r="V79" s="2" t="inlineStr">
        <is>
          <t>sí</t>
        </is>
      </c>
      <c r="W79" s="2" t="n"/>
      <c r="X79" s="2" t="n"/>
      <c r="Y79" s="2" t="n">
        <v>2</v>
      </c>
      <c r="Z79" s="2" t="inlineStr">
        <is>
          <t>no</t>
        </is>
      </c>
      <c r="AA79" s="2" t="n"/>
      <c r="AB79" s="2" t="n"/>
      <c r="AC79" s="2" t="n"/>
      <c r="AD79" s="2" t="n"/>
      <c r="AE79" s="2" t="n"/>
      <c r="AF79" s="2" t="n"/>
      <c r="AG79" s="2" t="n"/>
      <c r="AH79" s="2" t="n">
        <v>4000</v>
      </c>
      <c r="AI79" s="2" t="n"/>
      <c r="AJ79" s="2" t="n"/>
      <c r="AK79" s="2" t="n"/>
      <c r="AL79" s="2" t="n"/>
      <c r="AM79" s="2" t="n">
        <v>8.699999999999999</v>
      </c>
      <c r="AN79" s="2" t="n">
        <v>3650</v>
      </c>
      <c r="AO79" s="2" t="n">
        <v>4</v>
      </c>
      <c r="AP79" s="2" t="inlineStr">
        <is>
          <t>modelo+año+km</t>
        </is>
      </c>
      <c r="AQ79" s="2" t="n"/>
      <c r="AR79" s="2" t="inlineStr">
        <is>
          <t>cuota fija ITP: &gt;12 años, 1.501-2.000 cc</t>
        </is>
      </c>
      <c r="AS79" s="2" t="inlineStr">
        <is>
          <t>Se vende Peugeot 308 Premium 1.6 Vti del año 2008 con 190.000 km.
Interior muy cuidado y exterior solo con algunos roces del uso cotidiano.
ITV recién pasada y mantenimientos al día.
Solamente 2 propietarios.
Equipamiento:
Climatizador automático bizona.
Control y limitador de velocidad (Control de crucero).
Sensor de luces y sensor de lluvia automáticos.
Volante multifunción.
Radio CD/MP3 con mandos en el volante y entrada auxiliar.
Elevalunas eléctricos en las 4 puertas y retrovisores eléctricos.
Asientos ISOFIX.
Techo solar.</t>
        </is>
      </c>
      <c r="AT79" s="2" t="inlineStr">
        <is>
          <t>https://www.coches.net/peugeot-308-premium-16-vti-120-5p-gasolina-2008-en-valencia-71721031-covo.aspx (window.__INITIAL_PROPS__.ad) /home/user/Alopecia/buscador-coches/raw/cochesnet/bdd6eb5cdb8f6a3b.json</t>
        </is>
      </c>
      <c r="AU79" s="3">
        <f>MAX(ANIO_ACTUAL-M79,0)</f>
        <v/>
      </c>
      <c r="AV79" s="4">
        <f>N79/MAX(AU79,0.5)</f>
        <v/>
      </c>
      <c r="AW79" s="4">
        <f>F79</f>
        <v/>
      </c>
      <c r="AX79" s="3">
        <f>AW79&amp;"|"&amp;INT(M79/SEG_ANIO)*SEG_ANIO</f>
        <v/>
      </c>
      <c r="AY79" s="3">
        <f>AX79&amp;"|"&amp;INT(N79/SEG_KM)*SEG_KM</f>
        <v/>
      </c>
      <c r="AZ79" s="4">
        <f>COUNTIF($AW$2:$AW$91,AW79)</f>
        <v/>
      </c>
      <c r="BA79" s="4">
        <f>COUNTIF($AX$2:$AX$91,AX79)</f>
        <v/>
      </c>
      <c r="BB79" s="4">
        <f>COUNTIF($AY$2:$AY$91,AY79)</f>
        <v/>
      </c>
      <c r="BC79" s="3">
        <f t="array" ref="BC79">IF(N(AO79)&gt;=MIN_N,AN79,IF(BB79&gt;=MIN_N,MEDIAN(IF($AY$2:$AY$91=AY79,$O$2:$O$91)),IF(BA79&gt;=MIN_N,MEDIAN(IF($AX$2:$AX$91=AX79,$O$2:$O$91)),MEDIAN(IF($AW$2:$AW$91=AW79,$O$2:$O$91)))))</f>
        <v/>
      </c>
      <c r="BD79" s="3">
        <f>IF(N(AO79)&gt;=MIN_N,"mercado "&amp;AP79,IF(BB79&gt;=MIN_N,"modelo+año+km",IF(BA79&gt;=MIN_N,"modelo+año","modelo")))</f>
        <v/>
      </c>
      <c r="BE79" s="4">
        <f>(BC79-O79)/BC79</f>
        <v/>
      </c>
      <c r="BF79" s="3">
        <f>IF(OR(K79="hibrido",K79="glp"),"ECO",IF(K79="electrico","CERO",IF(K79="gasolina",IF(M79&gt;=GAS_C,"C",IF(M79&gt;=GAS_B,"B","A")),IF(K79="diesel",IF(M79&gt;=DIE_C,"C",IF(M79&gt;=DIE_B,"B","A")),""))))</f>
        <v/>
      </c>
      <c r="BG79" s="3">
        <f>IFERROR(VLOOKUP(F79,MOD_TBL,11,0),IFERROR(VLOOKUP(E79,OCU_TBL,2,0),NEUTRO))</f>
        <v/>
      </c>
      <c r="BH79" s="3">
        <f>SUMIFS(MOT_AJUSTE,MOT_MOTOR,G79,MOT_MARCA,E79,MOT_DESDE,"&lt;="&amp;M79,MOT_HASTA,"&gt;="&amp;M79)+SUMIFS(MOT_AJUSTE,MOT_MOTOR,G79,MOT_MARCA,"(todas)",MOT_DESDE,"&lt;="&amp;M79,MOT_HASTA,"&gt;="&amp;M79)</f>
        <v/>
      </c>
      <c r="BI79" s="3">
        <f>SUMIFS(COMB_AJUSTE,COMB_COMB,K79)</f>
        <v/>
      </c>
      <c r="BJ79" s="4">
        <f>MAX(0,MIN(100,BG79+BH79+BI79))</f>
        <v/>
      </c>
      <c r="BK79" s="3">
        <f>MAX(0,MIN(100,50+BE79*PRECIO_PEND))</f>
        <v/>
      </c>
      <c r="BL79" s="3">
        <f>MAX(0,100*(1-N79/KM_MAX))</f>
        <v/>
      </c>
      <c r="BM79" s="3">
        <f>IF(AV79&lt;KMA_SOSP,IF(AA79="sí",100,KMA_PEN),IF(AV79&lt;=KMA_IDEAL_MAX,100,MAX(0,100*(KMA_CERO-AV79)/(KMA_CERO-KMA_IDEAL_MAX))))</f>
        <v/>
      </c>
      <c r="BN79" s="3">
        <f>MAX(0,MIN(100,100*(M79-ANIO_MIN)/(ANIO_ACTUAL-ANIO_MIN)))</f>
        <v/>
      </c>
      <c r="BO79" s="3">
        <f>W_KMT*BL79+W_KMA*BM79+W_EDAD*BN79</f>
        <v/>
      </c>
      <c r="BP79" s="3">
        <f>P_ITV*(V79="sí")+P_LIBRO*(W79="sí")+P_CORREA*(X79="sí")+P_PROP*(Y79=1)+P_GAR*(Z79="sí")+P_FOTOS*MIN(1,N(U79)/FOTOS_OBJ)</f>
        <v/>
      </c>
      <c r="BQ79" s="3">
        <f>IFERROR(VLOOKUP(BF79,ETQ_TBL,2,0),NEUTRO)</f>
        <v/>
      </c>
      <c r="BR79" s="3">
        <f>NEUTRO</f>
        <v/>
      </c>
      <c r="BS79" s="3">
        <f>IFERROR(VLOOKUP(L79,SEGURO_TBL,3,0),"")</f>
        <v/>
      </c>
      <c r="BT79" s="3">
        <f>IF(BS79="",NEUTRO,MAX(0,MIN(100,100*(SEG_REF_MAX-BS79)/(SEG_REF_MAX-SEG_REF_MIN))))</f>
        <v/>
      </c>
      <c r="BU79" s="3">
        <f>W_ET*BQ79+W_CONS*BR79+W_SEG*BT79</f>
        <v/>
      </c>
      <c r="BV79" s="3">
        <f>IF(N(AB79)&gt;0,AB79,IF(AND(R79="profesional",SG_LEGAL_ON=1),GAR_LEGAL,0))</f>
        <v/>
      </c>
      <c r="BW79" s="3">
        <f>SG_GAR*MIN(1,BV79/SG_GAR_FULL)+SG_AMPL*(AC79="sí")+SG_KMC*(AF79="sí")+SG_REV*(N(AE79)&gt;0)+SG_DEV*MIN(1,N(AG79)/SG_DEV_FULL)+SG_HIST*(W79="sí")</f>
        <v/>
      </c>
      <c r="BX79" s="3">
        <f>W_FIAB*BJ79+W_PRECIO*BK79+W_KMEDAD*BO79+W_ANUNCIO*BP79+W_USO*BU79+W_SEGURIDAD*BW79</f>
        <v/>
      </c>
      <c r="BY79" s="4">
        <f>IF(N(I79)&gt;0,I79,IFERROR(ROUND(_xlfn.NUMBERVALUE(LEFT(G79,FIND(" ",G79&amp;" ")-1),".")*1000,0),99999))</f>
        <v/>
      </c>
      <c r="BZ79" s="3">
        <f>IF(R79="profesional",0,IF(O79&lt;CUOTA_VALOR_MAX,IF(AU79&gt;ITP_TRAMO_ALTO,SUMIFS(CF_CUOTA,CF_MAS,ITP_TRAMO_ALTO,CF_CCMIN,"&lt;="&amp;BY79,CF_CCMAX,"&gt;="&amp;BY79),IF(AU79&gt;ITP_TRAMO_BAJO,SUMIFS(CF_CUOTA,CF_MAS,ITP_TRAMO_BAJO,CF_CCMIN,"&lt;="&amp;BY79,CF_CCMAX,"&gt;="&amp;BY79),O79*ITP_TIPO)),O79*ITP_TIPO))</f>
        <v/>
      </c>
      <c r="CA79" s="4">
        <f>IF(R79="profesional",N(AK79),0)</f>
        <v/>
      </c>
      <c r="CB79" s="3">
        <f>IF(AND(R79="profesional",ISNUMBER(AK79),AL79="sí"),0,TASA_DGT)</f>
        <v/>
      </c>
      <c r="CC79" s="3">
        <f>INFORME_DGT</f>
        <v/>
      </c>
      <c r="CD79" s="4">
        <f>O79+CA79+BZ79+CB79+CC79</f>
        <v/>
      </c>
      <c r="CE79" s="4">
        <f>CD79+N(BS79)</f>
        <v/>
      </c>
      <c r="CF79" s="3">
        <f>IF(CD79&lt;=TOTAL_MAX,"sí","no")</f>
        <v/>
      </c>
      <c r="CG79" s="4">
        <f>IF(CF79="sí",COUNTIFS($CF$2:$CF$91,"sí",$BX$2:$BX$91,"&gt;"&amp;BX79)+COUNTIFS($CF$2:CF79,"sí",$BX$2:BX79,BX79),"")</f>
        <v/>
      </c>
    </row>
    <row r="80">
      <c r="A80" s="2" t="inlineStr">
        <is>
          <t>cochesnet:71506230</t>
        </is>
      </c>
      <c r="B80" s="2" t="inlineStr">
        <is>
          <t>cochesnet</t>
        </is>
      </c>
      <c r="C80" s="2" t="inlineStr">
        <is>
          <t>https://www.coches.net/citroen-c3-puretech-82cv-collection-5p-gasolina-2015-en-valencia-71506230-covo.aspx</t>
        </is>
      </c>
      <c r="D80" s="2" t="inlineStr">
        <is>
          <t>CITROEN C3 Puretech Collection</t>
        </is>
      </c>
      <c r="E80" s="2" t="inlineStr">
        <is>
          <t>Citroën</t>
        </is>
      </c>
      <c r="F80" s="2" t="inlineStr">
        <is>
          <t>Citroën C3</t>
        </is>
      </c>
      <c r="G80" s="2" t="inlineStr">
        <is>
          <t>? PureTech</t>
        </is>
      </c>
      <c r="H80" s="2" t="inlineStr">
        <is>
          <t>Puretech 82cv Collection</t>
        </is>
      </c>
      <c r="I80" s="2" t="n"/>
      <c r="J80" s="2" t="n">
        <v>82</v>
      </c>
      <c r="K80" s="2" t="inlineStr">
        <is>
          <t>gasolina</t>
        </is>
      </c>
      <c r="L80" s="2" t="inlineStr">
        <is>
          <t>utilitario</t>
        </is>
      </c>
      <c r="M80" s="2" t="n">
        <v>2015</v>
      </c>
      <c r="N80" s="2" t="n">
        <v>98000</v>
      </c>
      <c r="O80" s="2" t="n">
        <v>3900</v>
      </c>
      <c r="P80" s="2" t="inlineStr">
        <is>
          <t>manual</t>
        </is>
      </c>
      <c r="Q80" s="2" t="inlineStr">
        <is>
          <t>no</t>
        </is>
      </c>
      <c r="R80" s="2" t="inlineStr">
        <is>
          <t>particular</t>
        </is>
      </c>
      <c r="S80" s="2" t="inlineStr">
        <is>
          <t>Rafelbuñol / Rafelbunyol</t>
        </is>
      </c>
      <c r="T80" s="2" t="inlineStr">
        <is>
          <t>2026-09-14T09:42:50Z</t>
        </is>
      </c>
      <c r="U80" s="2" t="n">
        <v>4</v>
      </c>
      <c r="V80" s="2" t="n"/>
      <c r="W80" s="2" t="n"/>
      <c r="X80" s="2" t="n"/>
      <c r="Y80" s="2" t="n"/>
      <c r="Z80" s="2" t="inlineStr">
        <is>
          <t>no</t>
        </is>
      </c>
      <c r="AA80" s="2" t="n"/>
      <c r="AB80" s="2" t="n"/>
      <c r="AC80" s="2" t="n"/>
      <c r="AD80" s="2" t="n"/>
      <c r="AE80" s="2" t="n"/>
      <c r="AF80" s="2" t="n"/>
      <c r="AG80" s="2" t="n"/>
      <c r="AH80" s="2" t="n">
        <v>3900</v>
      </c>
      <c r="AI80" s="2" t="n"/>
      <c r="AJ80" s="2" t="n"/>
      <c r="AK80" s="2" t="n"/>
      <c r="AL80" s="2" t="n"/>
      <c r="AM80" s="2" t="n"/>
      <c r="AN80" s="2" t="n">
        <v>5495</v>
      </c>
      <c r="AO80" s="2" t="n">
        <v>16</v>
      </c>
      <c r="AP80" s="2" t="inlineStr">
        <is>
          <t>modelo+año</t>
        </is>
      </c>
      <c r="AQ80" s="2" t="n"/>
      <c r="AR80" s="2" t="inlineStr">
        <is>
          <t>cilindrada desconocida: se aplica el tramo de cuota fija más alto; cuota fija ITP: &gt;5 y &lt;=12 años, más de 2.000 cc; distancia no verificable (el anuncio solo indica la provincia): confirmar que está a &lt;= 50 km</t>
        </is>
      </c>
      <c r="AS80" s="2" t="inlineStr">
        <is>
          <t>Vendo mi Citroën C3 PureTech 82 CV Collection porque he cambiado a un SUV familiar y ya no lo necesitamos.
Es un coche muy cómodo y práctico tanto para el día a día como para hacer viajes. Tiene motor 1.2 PureTech de 82 CV, cambio manual y 5 puertas/5 plazas. Tiene un consumo bastante ajustado y es fácil de conducir, especialmente en ciudad.
El coche está en buen estado general, tanto por dentro como por fuera. La carrocería es blanca y el interior está bien cuidado.
Como pequeño detalle, el cristal de la puerta derecha sube un poco más despacio que los demás, aunque funciona perfectamente tanto para subir como para bajar.
Hay que recargar el aire acondicionado. La recarga suele durar unos 2/3 años y cuesta unos 60 euros.
Si quieres más información, fotos o tienes cualquier duda, escríbeme sin problema. También podemos quedar para verlo y probarlo.
FFI: Le acabo de quitar el seguro para pasarlo al coche nuevo.
También le toca pasar la ITV pronto.
Se puede ver sin compromiso.</t>
        </is>
      </c>
      <c r="AT80" s="2" t="inlineStr">
        <is>
          <t>https://www.coches.net/citroen-c3-puretech-82cv-collection-5p-gasolina-2015-en-valencia-71506230-covo.aspx (window.__INITIAL_PROPS__.ad) /home/user/Alopecia/buscador-coches/raw/cochesnet/35b16581acf35805.json</t>
        </is>
      </c>
      <c r="AU80" s="3">
        <f>MAX(ANIO_ACTUAL-M80,0)</f>
        <v/>
      </c>
      <c r="AV80" s="4">
        <f>N80/MAX(AU80,0.5)</f>
        <v/>
      </c>
      <c r="AW80" s="4">
        <f>F80</f>
        <v/>
      </c>
      <c r="AX80" s="3">
        <f>AW80&amp;"|"&amp;INT(M80/SEG_ANIO)*SEG_ANIO</f>
        <v/>
      </c>
      <c r="AY80" s="3">
        <f>AX80&amp;"|"&amp;INT(N80/SEG_KM)*SEG_KM</f>
        <v/>
      </c>
      <c r="AZ80" s="4">
        <f>COUNTIF($AW$2:$AW$91,AW80)</f>
        <v/>
      </c>
      <c r="BA80" s="4">
        <f>COUNTIF($AX$2:$AX$91,AX80)</f>
        <v/>
      </c>
      <c r="BB80" s="4">
        <f>COUNTIF($AY$2:$AY$91,AY80)</f>
        <v/>
      </c>
      <c r="BC80" s="3">
        <f t="array" ref="BC80">IF(N(AO80)&gt;=MIN_N,AN80,IF(BB80&gt;=MIN_N,MEDIAN(IF($AY$2:$AY$91=AY80,$O$2:$O$91)),IF(BA80&gt;=MIN_N,MEDIAN(IF($AX$2:$AX$91=AX80,$O$2:$O$91)),MEDIAN(IF($AW$2:$AW$91=AW80,$O$2:$O$91)))))</f>
        <v/>
      </c>
      <c r="BD80" s="3">
        <f>IF(N(AO80)&gt;=MIN_N,"mercado "&amp;AP80,IF(BB80&gt;=MIN_N,"modelo+año+km",IF(BA80&gt;=MIN_N,"modelo+año","modelo")))</f>
        <v/>
      </c>
      <c r="BE80" s="4">
        <f>(BC80-O80)/BC80</f>
        <v/>
      </c>
      <c r="BF80" s="3">
        <f>IF(OR(K80="hibrido",K80="glp"),"ECO",IF(K80="electrico","CERO",IF(K80="gasolina",IF(M80&gt;=GAS_C,"C",IF(M80&gt;=GAS_B,"B","A")),IF(K80="diesel",IF(M80&gt;=DIE_C,"C",IF(M80&gt;=DIE_B,"B","A")),""))))</f>
        <v/>
      </c>
      <c r="BG80" s="3">
        <f>IFERROR(VLOOKUP(F80,MOD_TBL,11,0),IFERROR(VLOOKUP(E80,OCU_TBL,2,0),NEUTRO))</f>
        <v/>
      </c>
      <c r="BH80" s="3">
        <f>SUMIFS(MOT_AJUSTE,MOT_MOTOR,G80,MOT_MARCA,E80,MOT_DESDE,"&lt;="&amp;M80,MOT_HASTA,"&gt;="&amp;M80)+SUMIFS(MOT_AJUSTE,MOT_MOTOR,G80,MOT_MARCA,"(todas)",MOT_DESDE,"&lt;="&amp;M80,MOT_HASTA,"&gt;="&amp;M80)</f>
        <v/>
      </c>
      <c r="BI80" s="3">
        <f>SUMIFS(COMB_AJUSTE,COMB_COMB,K80)</f>
        <v/>
      </c>
      <c r="BJ80" s="4">
        <f>MAX(0,MIN(100,BG80+BH80+BI80))</f>
        <v/>
      </c>
      <c r="BK80" s="3">
        <f>MAX(0,MIN(100,50+BE80*PRECIO_PEND))</f>
        <v/>
      </c>
      <c r="BL80" s="3">
        <f>MAX(0,100*(1-N80/KM_MAX))</f>
        <v/>
      </c>
      <c r="BM80" s="3">
        <f>IF(AV80&lt;KMA_SOSP,IF(AA80="sí",100,KMA_PEN),IF(AV80&lt;=KMA_IDEAL_MAX,100,MAX(0,100*(KMA_CERO-AV80)/(KMA_CERO-KMA_IDEAL_MAX))))</f>
        <v/>
      </c>
      <c r="BN80" s="3">
        <f>MAX(0,MIN(100,100*(M80-ANIO_MIN)/(ANIO_ACTUAL-ANIO_MIN)))</f>
        <v/>
      </c>
      <c r="BO80" s="3">
        <f>W_KMT*BL80+W_KMA*BM80+W_EDAD*BN80</f>
        <v/>
      </c>
      <c r="BP80" s="3">
        <f>P_ITV*(V80="sí")+P_LIBRO*(W80="sí")+P_CORREA*(X80="sí")+P_PROP*(Y80=1)+P_GAR*(Z80="sí")+P_FOTOS*MIN(1,N(U80)/FOTOS_OBJ)</f>
        <v/>
      </c>
      <c r="BQ80" s="3">
        <f>IFERROR(VLOOKUP(BF80,ETQ_TBL,2,0),NEUTRO)</f>
        <v/>
      </c>
      <c r="BR80" s="3">
        <f>NEUTRO</f>
        <v/>
      </c>
      <c r="BS80" s="3">
        <f>IFERROR(VLOOKUP(L80,SEGURO_TBL,3,0),"")</f>
        <v/>
      </c>
      <c r="BT80" s="3">
        <f>IF(BS80="",NEUTRO,MAX(0,MIN(100,100*(SEG_REF_MAX-BS80)/(SEG_REF_MAX-SEG_REF_MIN))))</f>
        <v/>
      </c>
      <c r="BU80" s="3">
        <f>W_ET*BQ80+W_CONS*BR80+W_SEG*BT80</f>
        <v/>
      </c>
      <c r="BV80" s="3">
        <f>IF(N(AB80)&gt;0,AB80,IF(AND(R80="profesional",SG_LEGAL_ON=1),GAR_LEGAL,0))</f>
        <v/>
      </c>
      <c r="BW80" s="3">
        <f>SG_GAR*MIN(1,BV80/SG_GAR_FULL)+SG_AMPL*(AC80="sí")+SG_KMC*(AF80="sí")+SG_REV*(N(AE80)&gt;0)+SG_DEV*MIN(1,N(AG80)/SG_DEV_FULL)+SG_HIST*(W80="sí")</f>
        <v/>
      </c>
      <c r="BX80" s="3">
        <f>W_FIAB*BJ80+W_PRECIO*BK80+W_KMEDAD*BO80+W_ANUNCIO*BP80+W_USO*BU80+W_SEGURIDAD*BW80</f>
        <v/>
      </c>
      <c r="BY80" s="4">
        <f>IF(N(I80)&gt;0,I80,IFERROR(ROUND(_xlfn.NUMBERVALUE(LEFT(G80,FIND(" ",G80&amp;" ")-1),".")*1000,0),99999))</f>
        <v/>
      </c>
      <c r="BZ80" s="3">
        <f>IF(R80="profesional",0,IF(O80&lt;CUOTA_VALOR_MAX,IF(AU80&gt;ITP_TRAMO_ALTO,SUMIFS(CF_CUOTA,CF_MAS,ITP_TRAMO_ALTO,CF_CCMIN,"&lt;="&amp;BY80,CF_CCMAX,"&gt;="&amp;BY80),IF(AU80&gt;ITP_TRAMO_BAJO,SUMIFS(CF_CUOTA,CF_MAS,ITP_TRAMO_BAJO,CF_CCMIN,"&lt;="&amp;BY80,CF_CCMAX,"&gt;="&amp;BY80),O80*ITP_TIPO)),O80*ITP_TIPO))</f>
        <v/>
      </c>
      <c r="CA80" s="4">
        <f>IF(R80="profesional",N(AK80),0)</f>
        <v/>
      </c>
      <c r="CB80" s="3">
        <f>IF(AND(R80="profesional",ISNUMBER(AK80),AL80="sí"),0,TASA_DGT)</f>
        <v/>
      </c>
      <c r="CC80" s="3">
        <f>INFORME_DGT</f>
        <v/>
      </c>
      <c r="CD80" s="4">
        <f>O80+CA80+BZ80+CB80+CC80</f>
        <v/>
      </c>
      <c r="CE80" s="4">
        <f>CD80+N(BS80)</f>
        <v/>
      </c>
      <c r="CF80" s="3">
        <f>IF(CD80&lt;=TOTAL_MAX,"sí","no")</f>
        <v/>
      </c>
      <c r="CG80" s="4">
        <f>IF(CF80="sí",COUNTIFS($CF$2:$CF$91,"sí",$BX$2:$BX$91,"&gt;"&amp;BX80)+COUNTIFS($CF$2:CF80,"sí",$BX$2:BX80,BX80),"")</f>
        <v/>
      </c>
    </row>
    <row r="81">
      <c r="A81" s="2" t="inlineStr">
        <is>
          <t>cochesnet:71580818</t>
        </is>
      </c>
      <c r="B81" s="2" t="inlineStr">
        <is>
          <t>cochesnet</t>
        </is>
      </c>
      <c r="C81" s="2" t="inlineStr">
        <is>
          <t>https://www.coches.net/citroen-c4-14-16v-lx-5p-gasolina-2005-en-valencia-71580818-covo.aspx</t>
        </is>
      </c>
      <c r="D81" s="2" t="inlineStr">
        <is>
          <t>CITROEN C4 1.4 16v LX</t>
        </is>
      </c>
      <c r="E81" s="2" t="inlineStr">
        <is>
          <t>Citroën</t>
        </is>
      </c>
      <c r="F81" s="2" t="inlineStr">
        <is>
          <t>Citroën C4</t>
        </is>
      </c>
      <c r="G81" s="2" t="inlineStr">
        <is>
          <t>1.4</t>
        </is>
      </c>
      <c r="H81" s="2" t="inlineStr">
        <is>
          <t>1.4 16v LX</t>
        </is>
      </c>
      <c r="I81" s="2" t="n"/>
      <c r="J81" s="2" t="n"/>
      <c r="K81" s="2" t="inlineStr">
        <is>
          <t>gasolina</t>
        </is>
      </c>
      <c r="L81" s="2" t="inlineStr">
        <is>
          <t>compacto</t>
        </is>
      </c>
      <c r="M81" s="2" t="n">
        <v>2008</v>
      </c>
      <c r="N81" s="2" t="n">
        <v>148000</v>
      </c>
      <c r="O81" s="2" t="n">
        <v>4390</v>
      </c>
      <c r="P81" s="2" t="inlineStr">
        <is>
          <t>manual</t>
        </is>
      </c>
      <c r="Q81" s="2" t="inlineStr">
        <is>
          <t>no</t>
        </is>
      </c>
      <c r="R81" s="2" t="inlineStr">
        <is>
          <t>profesional</t>
        </is>
      </c>
      <c r="S81" s="2" t="inlineStr">
        <is>
          <t>Only Cars Valencia Aldaia</t>
        </is>
      </c>
      <c r="T81" s="2" t="inlineStr">
        <is>
          <t>2026-09-23T13:56:52Z</t>
        </is>
      </c>
      <c r="U81" s="2" t="n">
        <v>11</v>
      </c>
      <c r="V81" s="2" t="n"/>
      <c r="W81" s="2" t="n"/>
      <c r="X81" s="2" t="n"/>
      <c r="Y81" s="2" t="n">
        <v>1</v>
      </c>
      <c r="Z81" s="2" t="inlineStr">
        <is>
          <t>sí</t>
        </is>
      </c>
      <c r="AA81" s="2" t="n"/>
      <c r="AB81" s="2" t="n">
        <v>12</v>
      </c>
      <c r="AC81" s="2" t="n"/>
      <c r="AD81" s="2" t="n"/>
      <c r="AE81" s="2" t="n"/>
      <c r="AF81" s="2" t="n"/>
      <c r="AG81" s="2" t="n"/>
      <c r="AH81" s="2" t="n">
        <v>4390</v>
      </c>
      <c r="AI81" s="2" t="n"/>
      <c r="AJ81" s="2" t="n"/>
      <c r="AK81" s="2" t="n"/>
      <c r="AL81" s="2" t="n"/>
      <c r="AM81" s="2" t="n">
        <v>7.5</v>
      </c>
      <c r="AN81" s="2" t="n">
        <v>3790</v>
      </c>
      <c r="AO81" s="2" t="n">
        <v>7</v>
      </c>
      <c r="AP81" s="2" t="inlineStr">
        <is>
          <t>modelo+año+km</t>
        </is>
      </c>
      <c r="AQ81" s="2" t="n"/>
      <c r="AR81" s="2" t="inlineStr">
        <is>
          <t>vendedor profesional: sin ITP (operación con IVA/REBU, confirmar en factura); gastos de gestión del vendedor no indicados: se suma la tasa DGT; preguntar el precio final; fiabilidad del modelo PENDIENTE de fuente (puntuación neutra)</t>
        </is>
      </c>
      <c r="AS81"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81" s="2" t="inlineStr">
        <is>
          <t>https://www.coches.net/citroen-c4-14-16v-lx-5p-gasolina-2005-en-valencia-71580818-covo.aspx (window.__INITIAL_PROPS__.ad) /home/user/Alopecia/buscador-coches/raw/cochesnet/50707d9d0aa0d3c2.json</t>
        </is>
      </c>
      <c r="AU81" s="3">
        <f>MAX(ANIO_ACTUAL-M81,0)</f>
        <v/>
      </c>
      <c r="AV81" s="4">
        <f>N81/MAX(AU81,0.5)</f>
        <v/>
      </c>
      <c r="AW81" s="4">
        <f>F81</f>
        <v/>
      </c>
      <c r="AX81" s="3">
        <f>AW81&amp;"|"&amp;INT(M81/SEG_ANIO)*SEG_ANIO</f>
        <v/>
      </c>
      <c r="AY81" s="3">
        <f>AX81&amp;"|"&amp;INT(N81/SEG_KM)*SEG_KM</f>
        <v/>
      </c>
      <c r="AZ81" s="4">
        <f>COUNTIF($AW$2:$AW$91,AW81)</f>
        <v/>
      </c>
      <c r="BA81" s="4">
        <f>COUNTIF($AX$2:$AX$91,AX81)</f>
        <v/>
      </c>
      <c r="BB81" s="4">
        <f>COUNTIF($AY$2:$AY$91,AY81)</f>
        <v/>
      </c>
      <c r="BC81" s="3">
        <f t="array" ref="BC81">IF(N(AO81)&gt;=MIN_N,AN81,IF(BB81&gt;=MIN_N,MEDIAN(IF($AY$2:$AY$91=AY81,$O$2:$O$91)),IF(BA81&gt;=MIN_N,MEDIAN(IF($AX$2:$AX$91=AX81,$O$2:$O$91)),MEDIAN(IF($AW$2:$AW$91=AW81,$O$2:$O$91)))))</f>
        <v/>
      </c>
      <c r="BD81" s="3">
        <f>IF(N(AO81)&gt;=MIN_N,"mercado "&amp;AP81,IF(BB81&gt;=MIN_N,"modelo+año+km",IF(BA81&gt;=MIN_N,"modelo+año","modelo")))</f>
        <v/>
      </c>
      <c r="BE81" s="4">
        <f>(BC81-O81)/BC81</f>
        <v/>
      </c>
      <c r="BF81" s="3">
        <f>IF(OR(K81="hibrido",K81="glp"),"ECO",IF(K81="electrico","CERO",IF(K81="gasolina",IF(M81&gt;=GAS_C,"C",IF(M81&gt;=GAS_B,"B","A")),IF(K81="diesel",IF(M81&gt;=DIE_C,"C",IF(M81&gt;=DIE_B,"B","A")),""))))</f>
        <v/>
      </c>
      <c r="BG81" s="3">
        <f>IFERROR(VLOOKUP(F81,MOD_TBL,11,0),IFERROR(VLOOKUP(E81,OCU_TBL,2,0),NEUTRO))</f>
        <v/>
      </c>
      <c r="BH81" s="3">
        <f>SUMIFS(MOT_AJUSTE,MOT_MOTOR,G81,MOT_MARCA,E81,MOT_DESDE,"&lt;="&amp;M81,MOT_HASTA,"&gt;="&amp;M81)+SUMIFS(MOT_AJUSTE,MOT_MOTOR,G81,MOT_MARCA,"(todas)",MOT_DESDE,"&lt;="&amp;M81,MOT_HASTA,"&gt;="&amp;M81)</f>
        <v/>
      </c>
      <c r="BI81" s="3">
        <f>SUMIFS(COMB_AJUSTE,COMB_COMB,K81)</f>
        <v/>
      </c>
      <c r="BJ81" s="4">
        <f>MAX(0,MIN(100,BG81+BH81+BI81))</f>
        <v/>
      </c>
      <c r="BK81" s="3">
        <f>MAX(0,MIN(100,50+BE81*PRECIO_PEND))</f>
        <v/>
      </c>
      <c r="BL81" s="3">
        <f>MAX(0,100*(1-N81/KM_MAX))</f>
        <v/>
      </c>
      <c r="BM81" s="3">
        <f>IF(AV81&lt;KMA_SOSP,IF(AA81="sí",100,KMA_PEN),IF(AV81&lt;=KMA_IDEAL_MAX,100,MAX(0,100*(KMA_CERO-AV81)/(KMA_CERO-KMA_IDEAL_MAX))))</f>
        <v/>
      </c>
      <c r="BN81" s="3">
        <f>MAX(0,MIN(100,100*(M81-ANIO_MIN)/(ANIO_ACTUAL-ANIO_MIN)))</f>
        <v/>
      </c>
      <c r="BO81" s="3">
        <f>W_KMT*BL81+W_KMA*BM81+W_EDAD*BN81</f>
        <v/>
      </c>
      <c r="BP81" s="3">
        <f>P_ITV*(V81="sí")+P_LIBRO*(W81="sí")+P_CORREA*(X81="sí")+P_PROP*(Y81=1)+P_GAR*(Z81="sí")+P_FOTOS*MIN(1,N(U81)/FOTOS_OBJ)</f>
        <v/>
      </c>
      <c r="BQ81" s="3">
        <f>IFERROR(VLOOKUP(BF81,ETQ_TBL,2,0),NEUTRO)</f>
        <v/>
      </c>
      <c r="BR81" s="3">
        <f>NEUTRO</f>
        <v/>
      </c>
      <c r="BS81" s="3">
        <f>IFERROR(VLOOKUP(L81,SEGURO_TBL,3,0),"")</f>
        <v/>
      </c>
      <c r="BT81" s="3">
        <f>IF(BS81="",NEUTRO,MAX(0,MIN(100,100*(SEG_REF_MAX-BS81)/(SEG_REF_MAX-SEG_REF_MIN))))</f>
        <v/>
      </c>
      <c r="BU81" s="3">
        <f>W_ET*BQ81+W_CONS*BR81+W_SEG*BT81</f>
        <v/>
      </c>
      <c r="BV81" s="3">
        <f>IF(N(AB81)&gt;0,AB81,IF(AND(R81="profesional",SG_LEGAL_ON=1),GAR_LEGAL,0))</f>
        <v/>
      </c>
      <c r="BW81" s="3">
        <f>SG_GAR*MIN(1,BV81/SG_GAR_FULL)+SG_AMPL*(AC81="sí")+SG_KMC*(AF81="sí")+SG_REV*(N(AE81)&gt;0)+SG_DEV*MIN(1,N(AG81)/SG_DEV_FULL)+SG_HIST*(W81="sí")</f>
        <v/>
      </c>
      <c r="BX81" s="3">
        <f>W_FIAB*BJ81+W_PRECIO*BK81+W_KMEDAD*BO81+W_ANUNCIO*BP81+W_USO*BU81+W_SEGURIDAD*BW81</f>
        <v/>
      </c>
      <c r="BY81" s="4">
        <f>IF(N(I81)&gt;0,I81,IFERROR(ROUND(_xlfn.NUMBERVALUE(LEFT(G81,FIND(" ",G81&amp;" ")-1),".")*1000,0),99999))</f>
        <v/>
      </c>
      <c r="BZ81" s="3">
        <f>IF(R81="profesional",0,IF(O81&lt;CUOTA_VALOR_MAX,IF(AU81&gt;ITP_TRAMO_ALTO,SUMIFS(CF_CUOTA,CF_MAS,ITP_TRAMO_ALTO,CF_CCMIN,"&lt;="&amp;BY81,CF_CCMAX,"&gt;="&amp;BY81),IF(AU81&gt;ITP_TRAMO_BAJO,SUMIFS(CF_CUOTA,CF_MAS,ITP_TRAMO_BAJO,CF_CCMIN,"&lt;="&amp;BY81,CF_CCMAX,"&gt;="&amp;BY81),O81*ITP_TIPO)),O81*ITP_TIPO))</f>
        <v/>
      </c>
      <c r="CA81" s="4">
        <f>IF(R81="profesional",N(AK81),0)</f>
        <v/>
      </c>
      <c r="CB81" s="3">
        <f>IF(AND(R81="profesional",ISNUMBER(AK81),AL81="sí"),0,TASA_DGT)</f>
        <v/>
      </c>
      <c r="CC81" s="3">
        <f>INFORME_DGT</f>
        <v/>
      </c>
      <c r="CD81" s="4">
        <f>O81+CA81+BZ81+CB81+CC81</f>
        <v/>
      </c>
      <c r="CE81" s="4">
        <f>CD81+N(BS81)</f>
        <v/>
      </c>
      <c r="CF81" s="3">
        <f>IF(CD81&lt;=TOTAL_MAX,"sí","no")</f>
        <v/>
      </c>
      <c r="CG81" s="4">
        <f>IF(CF81="sí",COUNTIFS($CF$2:$CF$91,"sí",$BX$2:$BX$91,"&gt;"&amp;BX81)+COUNTIFS($CF$2:CF81,"sí",$BX$2:BX81,BX81),"")</f>
        <v/>
      </c>
    </row>
    <row r="82">
      <c r="A82" s="2" t="inlineStr">
        <is>
          <t>cochesnet:71569576</t>
        </is>
      </c>
      <c r="B82" s="2" t="inlineStr">
        <is>
          <t>cochesnet</t>
        </is>
      </c>
      <c r="C82" s="2" t="inlineStr">
        <is>
          <t>https://www.coches.net/ford-ka-12-trend-3p-gasolina-2010-en-valencia-71569576-covo.aspx</t>
        </is>
      </c>
      <c r="D82" s="2" t="inlineStr">
        <is>
          <t>FORD Ka 1.2 Trend</t>
        </is>
      </c>
      <c r="E82" s="2" t="inlineStr">
        <is>
          <t>Ford</t>
        </is>
      </c>
      <c r="F82" s="2" t="inlineStr">
        <is>
          <t>Ford Ka</t>
        </is>
      </c>
      <c r="G82" s="2" t="inlineStr">
        <is>
          <t>1.2</t>
        </is>
      </c>
      <c r="H82" s="2" t="inlineStr">
        <is>
          <t>1.2 Trend</t>
        </is>
      </c>
      <c r="I82" s="2" t="n"/>
      <c r="J82" s="2" t="n"/>
      <c r="K82" s="2" t="inlineStr">
        <is>
          <t>gasolina</t>
        </is>
      </c>
      <c r="L82" s="2" t="inlineStr">
        <is>
          <t>utilitario</t>
        </is>
      </c>
      <c r="M82" s="2" t="n">
        <v>2010</v>
      </c>
      <c r="N82" s="2" t="n">
        <v>157000</v>
      </c>
      <c r="O82" s="2" t="n">
        <v>3500</v>
      </c>
      <c r="P82" s="2" t="inlineStr">
        <is>
          <t>manual</t>
        </is>
      </c>
      <c r="Q82" s="2" t="inlineStr">
        <is>
          <t>no</t>
        </is>
      </c>
      <c r="R82" s="2" t="inlineStr">
        <is>
          <t>profesional</t>
        </is>
      </c>
      <c r="S82" s="2" t="inlineStr">
        <is>
          <t>Beniparrell</t>
        </is>
      </c>
      <c r="T82" s="2" t="inlineStr">
        <is>
          <t>2026-09-22T12:09:29Z</t>
        </is>
      </c>
      <c r="U82" s="2" t="n">
        <v>13</v>
      </c>
      <c r="V82" s="2" t="n"/>
      <c r="W82" s="2" t="n"/>
      <c r="X82" s="2" t="n"/>
      <c r="Y82" s="2" t="n"/>
      <c r="Z82" s="2" t="inlineStr">
        <is>
          <t>sí</t>
        </is>
      </c>
      <c r="AA82" s="2" t="n"/>
      <c r="AB82" s="2" t="n">
        <v>12</v>
      </c>
      <c r="AC82" s="2" t="n"/>
      <c r="AD82" s="2" t="n"/>
      <c r="AE82" s="2" t="n"/>
      <c r="AF82" s="2" t="n"/>
      <c r="AG82" s="2" t="n"/>
      <c r="AH82" s="2" t="n">
        <v>3500</v>
      </c>
      <c r="AI82" s="2" t="n"/>
      <c r="AJ82" s="2" t="n"/>
      <c r="AK82" s="2" t="n"/>
      <c r="AL82" s="2" t="n"/>
      <c r="AM82" s="2" t="n">
        <v>10.2</v>
      </c>
      <c r="AN82" s="2" t="n">
        <v>3000</v>
      </c>
      <c r="AO82" s="2" t="n">
        <v>9</v>
      </c>
      <c r="AP82" s="2" t="inlineStr">
        <is>
          <t>modelo+año</t>
        </is>
      </c>
      <c r="AQ82" s="2" t="n"/>
      <c r="AR82" s="2" t="inlineStr">
        <is>
          <t>vendedor profesional: sin ITP (operación con IVA/REBU, confirmar en factura); gastos de gestión del vendedor no indicados: se suma la tasa DGT; preguntar el precio final; fiabilidad del modelo PENDIENTE de fuente (puntuación neutra)</t>
        </is>
      </c>
      <c r="AS82"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AT82" s="2" t="inlineStr">
        <is>
          <t>https://www.coches.net/ford-ka-12-trend-3p-gasolina-2010-en-valencia-71569576-covo.aspx (window.__INITIAL_PROPS__.ad) /home/user/Alopecia/buscador-coches/raw/cochesnet/f615001a1b31829d.json</t>
        </is>
      </c>
      <c r="AU82" s="3">
        <f>MAX(ANIO_ACTUAL-M82,0)</f>
        <v/>
      </c>
      <c r="AV82" s="4">
        <f>N82/MAX(AU82,0.5)</f>
        <v/>
      </c>
      <c r="AW82" s="4">
        <f>F82</f>
        <v/>
      </c>
      <c r="AX82" s="3">
        <f>AW82&amp;"|"&amp;INT(M82/SEG_ANIO)*SEG_ANIO</f>
        <v/>
      </c>
      <c r="AY82" s="3">
        <f>AX82&amp;"|"&amp;INT(N82/SEG_KM)*SEG_KM</f>
        <v/>
      </c>
      <c r="AZ82" s="4">
        <f>COUNTIF($AW$2:$AW$91,AW82)</f>
        <v/>
      </c>
      <c r="BA82" s="4">
        <f>COUNTIF($AX$2:$AX$91,AX82)</f>
        <v/>
      </c>
      <c r="BB82" s="4">
        <f>COUNTIF($AY$2:$AY$91,AY82)</f>
        <v/>
      </c>
      <c r="BC82" s="3">
        <f t="array" ref="BC82">IF(N(AO82)&gt;=MIN_N,AN82,IF(BB82&gt;=MIN_N,MEDIAN(IF($AY$2:$AY$91=AY82,$O$2:$O$91)),IF(BA82&gt;=MIN_N,MEDIAN(IF($AX$2:$AX$91=AX82,$O$2:$O$91)),MEDIAN(IF($AW$2:$AW$91=AW82,$O$2:$O$91)))))</f>
        <v/>
      </c>
      <c r="BD82" s="3">
        <f>IF(N(AO82)&gt;=MIN_N,"mercado "&amp;AP82,IF(BB82&gt;=MIN_N,"modelo+año+km",IF(BA82&gt;=MIN_N,"modelo+año","modelo")))</f>
        <v/>
      </c>
      <c r="BE82" s="4">
        <f>(BC82-O82)/BC82</f>
        <v/>
      </c>
      <c r="BF82" s="3">
        <f>IF(OR(K82="hibrido",K82="glp"),"ECO",IF(K82="electrico","CERO",IF(K82="gasolina",IF(M82&gt;=GAS_C,"C",IF(M82&gt;=GAS_B,"B","A")),IF(K82="diesel",IF(M82&gt;=DIE_C,"C",IF(M82&gt;=DIE_B,"B","A")),""))))</f>
        <v/>
      </c>
      <c r="BG82" s="3">
        <f>IFERROR(VLOOKUP(F82,MOD_TBL,11,0),IFERROR(VLOOKUP(E82,OCU_TBL,2,0),NEUTRO))</f>
        <v/>
      </c>
      <c r="BH82" s="3">
        <f>SUMIFS(MOT_AJUSTE,MOT_MOTOR,G82,MOT_MARCA,E82,MOT_DESDE,"&lt;="&amp;M82,MOT_HASTA,"&gt;="&amp;M82)+SUMIFS(MOT_AJUSTE,MOT_MOTOR,G82,MOT_MARCA,"(todas)",MOT_DESDE,"&lt;="&amp;M82,MOT_HASTA,"&gt;="&amp;M82)</f>
        <v/>
      </c>
      <c r="BI82" s="3">
        <f>SUMIFS(COMB_AJUSTE,COMB_COMB,K82)</f>
        <v/>
      </c>
      <c r="BJ82" s="4">
        <f>MAX(0,MIN(100,BG82+BH82+BI82))</f>
        <v/>
      </c>
      <c r="BK82" s="3">
        <f>MAX(0,MIN(100,50+BE82*PRECIO_PEND))</f>
        <v/>
      </c>
      <c r="BL82" s="3">
        <f>MAX(0,100*(1-N82/KM_MAX))</f>
        <v/>
      </c>
      <c r="BM82" s="3">
        <f>IF(AV82&lt;KMA_SOSP,IF(AA82="sí",100,KMA_PEN),IF(AV82&lt;=KMA_IDEAL_MAX,100,MAX(0,100*(KMA_CERO-AV82)/(KMA_CERO-KMA_IDEAL_MAX))))</f>
        <v/>
      </c>
      <c r="BN82" s="3">
        <f>MAX(0,MIN(100,100*(M82-ANIO_MIN)/(ANIO_ACTUAL-ANIO_MIN)))</f>
        <v/>
      </c>
      <c r="BO82" s="3">
        <f>W_KMT*BL82+W_KMA*BM82+W_EDAD*BN82</f>
        <v/>
      </c>
      <c r="BP82" s="3">
        <f>P_ITV*(V82="sí")+P_LIBRO*(W82="sí")+P_CORREA*(X82="sí")+P_PROP*(Y82=1)+P_GAR*(Z82="sí")+P_FOTOS*MIN(1,N(U82)/FOTOS_OBJ)</f>
        <v/>
      </c>
      <c r="BQ82" s="3">
        <f>IFERROR(VLOOKUP(BF82,ETQ_TBL,2,0),NEUTRO)</f>
        <v/>
      </c>
      <c r="BR82" s="3">
        <f>NEUTRO</f>
        <v/>
      </c>
      <c r="BS82" s="3">
        <f>IFERROR(VLOOKUP(L82,SEGURO_TBL,3,0),"")</f>
        <v/>
      </c>
      <c r="BT82" s="3">
        <f>IF(BS82="",NEUTRO,MAX(0,MIN(100,100*(SEG_REF_MAX-BS82)/(SEG_REF_MAX-SEG_REF_MIN))))</f>
        <v/>
      </c>
      <c r="BU82" s="3">
        <f>W_ET*BQ82+W_CONS*BR82+W_SEG*BT82</f>
        <v/>
      </c>
      <c r="BV82" s="3">
        <f>IF(N(AB82)&gt;0,AB82,IF(AND(R82="profesional",SG_LEGAL_ON=1),GAR_LEGAL,0))</f>
        <v/>
      </c>
      <c r="BW82" s="3">
        <f>SG_GAR*MIN(1,BV82/SG_GAR_FULL)+SG_AMPL*(AC82="sí")+SG_KMC*(AF82="sí")+SG_REV*(N(AE82)&gt;0)+SG_DEV*MIN(1,N(AG82)/SG_DEV_FULL)+SG_HIST*(W82="sí")</f>
        <v/>
      </c>
      <c r="BX82" s="3">
        <f>W_FIAB*BJ82+W_PRECIO*BK82+W_KMEDAD*BO82+W_ANUNCIO*BP82+W_USO*BU82+W_SEGURIDAD*BW82</f>
        <v/>
      </c>
      <c r="BY82" s="4">
        <f>IF(N(I82)&gt;0,I82,IFERROR(ROUND(_xlfn.NUMBERVALUE(LEFT(G82,FIND(" ",G82&amp;" ")-1),".")*1000,0),99999))</f>
        <v/>
      </c>
      <c r="BZ82" s="3">
        <f>IF(R82="profesional",0,IF(O82&lt;CUOTA_VALOR_MAX,IF(AU82&gt;ITP_TRAMO_ALTO,SUMIFS(CF_CUOTA,CF_MAS,ITP_TRAMO_ALTO,CF_CCMIN,"&lt;="&amp;BY82,CF_CCMAX,"&gt;="&amp;BY82),IF(AU82&gt;ITP_TRAMO_BAJO,SUMIFS(CF_CUOTA,CF_MAS,ITP_TRAMO_BAJO,CF_CCMIN,"&lt;="&amp;BY82,CF_CCMAX,"&gt;="&amp;BY82),O82*ITP_TIPO)),O82*ITP_TIPO))</f>
        <v/>
      </c>
      <c r="CA82" s="4">
        <f>IF(R82="profesional",N(AK82),0)</f>
        <v/>
      </c>
      <c r="CB82" s="3">
        <f>IF(AND(R82="profesional",ISNUMBER(AK82),AL82="sí"),0,TASA_DGT)</f>
        <v/>
      </c>
      <c r="CC82" s="3">
        <f>INFORME_DGT</f>
        <v/>
      </c>
      <c r="CD82" s="4">
        <f>O82+CA82+BZ82+CB82+CC82</f>
        <v/>
      </c>
      <c r="CE82" s="4">
        <f>CD82+N(BS82)</f>
        <v/>
      </c>
      <c r="CF82" s="3">
        <f>IF(CD82&lt;=TOTAL_MAX,"sí","no")</f>
        <v/>
      </c>
      <c r="CG82" s="4">
        <f>IF(CF82="sí",COUNTIFS($CF$2:$CF$91,"sí",$BX$2:$BX$91,"&gt;"&amp;BX82)+COUNTIFS($CF$2:CF82,"sí",$BX$2:BX82,BX82),"")</f>
        <v/>
      </c>
    </row>
    <row r="83">
      <c r="A83" s="2" t="inlineStr">
        <is>
          <t>cochesnet:71622303</t>
        </is>
      </c>
      <c r="B83" s="2" t="inlineStr">
        <is>
          <t>cochesnet</t>
        </is>
      </c>
      <c r="C83" s="2" t="inlineStr">
        <is>
          <t>https://www.coches.net/ford-fiesta-16-sport-3p-gasolina-2008-en-valencia-71622303-covo.aspx</t>
        </is>
      </c>
      <c r="D83" s="2" t="inlineStr">
        <is>
          <t>FORD Fiesta 1.6 Sport</t>
        </is>
      </c>
      <c r="E83" s="2" t="inlineStr">
        <is>
          <t>Ford</t>
        </is>
      </c>
      <c r="F83" s="2" t="inlineStr">
        <is>
          <t>Ford Fiesta</t>
        </is>
      </c>
      <c r="G83" s="2" t="inlineStr">
        <is>
          <t>1.6</t>
        </is>
      </c>
      <c r="H83" s="2" t="inlineStr">
        <is>
          <t>1.6 Sport</t>
        </is>
      </c>
      <c r="I83" s="2" t="n"/>
      <c r="J83" s="2" t="n"/>
      <c r="K83" s="2" t="inlineStr">
        <is>
          <t>gasolina</t>
        </is>
      </c>
      <c r="L83" s="2" t="inlineStr">
        <is>
          <t>utilitario</t>
        </is>
      </c>
      <c r="M83" s="2" t="n">
        <v>2008</v>
      </c>
      <c r="N83" s="2" t="n">
        <v>118000</v>
      </c>
      <c r="O83" s="2" t="n">
        <v>3800</v>
      </c>
      <c r="P83" s="2" t="inlineStr">
        <is>
          <t>manual</t>
        </is>
      </c>
      <c r="Q83" s="2" t="inlineStr">
        <is>
          <t>no</t>
        </is>
      </c>
      <c r="R83" s="2" t="inlineStr">
        <is>
          <t>particular</t>
        </is>
      </c>
      <c r="S83" s="2" t="inlineStr">
        <is>
          <t>Sot de Chera</t>
        </is>
      </c>
      <c r="T83" s="2" t="inlineStr">
        <is>
          <t>2026-09-30T21:36:59Z</t>
        </is>
      </c>
      <c r="U83" s="2" t="n">
        <v>20</v>
      </c>
      <c r="V83" s="2" t="inlineStr">
        <is>
          <t>sí</t>
        </is>
      </c>
      <c r="W83" s="2" t="n"/>
      <c r="X83" s="2" t="n"/>
      <c r="Y83" s="2" t="n"/>
      <c r="Z83" s="2" t="inlineStr">
        <is>
          <t>no</t>
        </is>
      </c>
      <c r="AA83" s="2" t="n"/>
      <c r="AB83" s="2" t="n"/>
      <c r="AC83" s="2" t="n"/>
      <c r="AD83" s="2" t="n"/>
      <c r="AE83" s="2" t="n"/>
      <c r="AF83" s="2" t="n"/>
      <c r="AG83" s="2" t="n"/>
      <c r="AH83" s="2" t="n">
        <v>3800</v>
      </c>
      <c r="AI83" s="2" t="n"/>
      <c r="AJ83" s="2" t="n"/>
      <c r="AK83" s="2" t="n"/>
      <c r="AL83" s="2" t="n"/>
      <c r="AM83" s="2" t="n">
        <v>48.4</v>
      </c>
      <c r="AN83" s="2" t="n">
        <v>4995</v>
      </c>
      <c r="AO83" s="2" t="n">
        <v>8</v>
      </c>
      <c r="AP83" s="2" t="inlineStr">
        <is>
          <t>modelo+año+km</t>
        </is>
      </c>
      <c r="AQ83" s="2" t="n"/>
      <c r="AR83" s="2" t="inlineStr">
        <is>
          <t>cuota fija ITP: &gt;12 años, 1.501-2.000 cc</t>
        </is>
      </c>
      <c r="AS83" s="2" t="inlineStr">
        <is>
          <t>Ford Fiesta 1.6 S del 2008  impecable. 
Vehículo nacional con pocos kilómetros y muy bien mantenido. 
El coche tiene todas las revisiones hechas aceite, filtros, bujías pastillas etc..
Extras yo
- Pack S.
- Asientos sport SemiCuero.
- Aire acondicionado.
- Faros Bi-Xenon. 
- Luces Automáticas.
- Cierre centralizado.
- Aperturas reales en el capó. 
- Intermitentes led
- Retrovisores eléctricos
- Etiqueta medioambiental C (La tengo pero no la he pegado al parabrisas)
            Etc...
Al coche se le ha invertido bastante dinero.
4 NEUMÁTICOS NUEVOS.
4 Amortiguador.
ALTERNADOR. 
BATERÍA. 
SE LE HA RELLENADO EL GAS DEL AIRE ACONDICIONADO en el 29/07/26
ITV pasada 27/07/26 (Tiene un año de ITV).
Pastillas delanteras. 
Equilibrado. 
Bujías. Etc...
Es el paquete S original, Motor 1.6 gasolina de 120 Cv  Manual de 5 velocidades, es bastante Potente y muy ágil, aunque no lo parezca es bastante espacioso, todo funciona bien, no falla nada, el coche no tiene ni un poco de óxido, ninguna pérdida de aceite ni anticongelante, va perfecto suena muy fino, y la verdad que no gasta nada, consumos muy bajos, yo acepto cualquier tipo de prueba lo podemos llevar a donde quieras, se puede probar, el coche va como un tiro, no se le puede sacar pegas, siempre ha aparcado en garaje.
El coche está vinilado de la parte trasera, es un vinilo de color negro mate, pero ya se está empezando a quitar lo suyo sería quitarlo con una pistola de calor y el color por debajo se conserva perfectamente. 
L</t>
        </is>
      </c>
      <c r="AT83" s="2" t="inlineStr">
        <is>
          <t>https://www.coches.net/ford-fiesta-16-sport-3p-gasolina-2008-en-valencia-71622303-covo.aspx (window.__INITIAL_PROPS__.ad) /home/user/Alopecia/buscador-coches/raw/cochesnet/870d770f633b784b.json</t>
        </is>
      </c>
      <c r="AU83" s="3">
        <f>MAX(ANIO_ACTUAL-M83,0)</f>
        <v/>
      </c>
      <c r="AV83" s="4">
        <f>N83/MAX(AU83,0.5)</f>
        <v/>
      </c>
      <c r="AW83" s="4">
        <f>F83</f>
        <v/>
      </c>
      <c r="AX83" s="3">
        <f>AW83&amp;"|"&amp;INT(M83/SEG_ANIO)*SEG_ANIO</f>
        <v/>
      </c>
      <c r="AY83" s="3">
        <f>AX83&amp;"|"&amp;INT(N83/SEG_KM)*SEG_KM</f>
        <v/>
      </c>
      <c r="AZ83" s="4">
        <f>COUNTIF($AW$2:$AW$91,AW83)</f>
        <v/>
      </c>
      <c r="BA83" s="4">
        <f>COUNTIF($AX$2:$AX$91,AX83)</f>
        <v/>
      </c>
      <c r="BB83" s="4">
        <f>COUNTIF($AY$2:$AY$91,AY83)</f>
        <v/>
      </c>
      <c r="BC83" s="3">
        <f t="array" ref="BC83">IF(N(AO83)&gt;=MIN_N,AN83,IF(BB83&gt;=MIN_N,MEDIAN(IF($AY$2:$AY$91=AY83,$O$2:$O$91)),IF(BA83&gt;=MIN_N,MEDIAN(IF($AX$2:$AX$91=AX83,$O$2:$O$91)),MEDIAN(IF($AW$2:$AW$91=AW83,$O$2:$O$91)))))</f>
        <v/>
      </c>
      <c r="BD83" s="3">
        <f>IF(N(AO83)&gt;=MIN_N,"mercado "&amp;AP83,IF(BB83&gt;=MIN_N,"modelo+año+km",IF(BA83&gt;=MIN_N,"modelo+año","modelo")))</f>
        <v/>
      </c>
      <c r="BE83" s="4">
        <f>(BC83-O83)/BC83</f>
        <v/>
      </c>
      <c r="BF83" s="3">
        <f>IF(OR(K83="hibrido",K83="glp"),"ECO",IF(K83="electrico","CERO",IF(K83="gasolina",IF(M83&gt;=GAS_C,"C",IF(M83&gt;=GAS_B,"B","A")),IF(K83="diesel",IF(M83&gt;=DIE_C,"C",IF(M83&gt;=DIE_B,"B","A")),""))))</f>
        <v/>
      </c>
      <c r="BG83" s="3">
        <f>IFERROR(VLOOKUP(F83,MOD_TBL,11,0),IFERROR(VLOOKUP(E83,OCU_TBL,2,0),NEUTRO))</f>
        <v/>
      </c>
      <c r="BH83" s="3">
        <f>SUMIFS(MOT_AJUSTE,MOT_MOTOR,G83,MOT_MARCA,E83,MOT_DESDE,"&lt;="&amp;M83,MOT_HASTA,"&gt;="&amp;M83)+SUMIFS(MOT_AJUSTE,MOT_MOTOR,G83,MOT_MARCA,"(todas)",MOT_DESDE,"&lt;="&amp;M83,MOT_HASTA,"&gt;="&amp;M83)</f>
        <v/>
      </c>
      <c r="BI83" s="3">
        <f>SUMIFS(COMB_AJUSTE,COMB_COMB,K83)</f>
        <v/>
      </c>
      <c r="BJ83" s="4">
        <f>MAX(0,MIN(100,BG83+BH83+BI83))</f>
        <v/>
      </c>
      <c r="BK83" s="3">
        <f>MAX(0,MIN(100,50+BE83*PRECIO_PEND))</f>
        <v/>
      </c>
      <c r="BL83" s="3">
        <f>MAX(0,100*(1-N83/KM_MAX))</f>
        <v/>
      </c>
      <c r="BM83" s="3">
        <f>IF(AV83&lt;KMA_SOSP,IF(AA83="sí",100,KMA_PEN),IF(AV83&lt;=KMA_IDEAL_MAX,100,MAX(0,100*(KMA_CERO-AV83)/(KMA_CERO-KMA_IDEAL_MAX))))</f>
        <v/>
      </c>
      <c r="BN83" s="3">
        <f>MAX(0,MIN(100,100*(M83-ANIO_MIN)/(ANIO_ACTUAL-ANIO_MIN)))</f>
        <v/>
      </c>
      <c r="BO83" s="3">
        <f>W_KMT*BL83+W_KMA*BM83+W_EDAD*BN83</f>
        <v/>
      </c>
      <c r="BP83" s="3">
        <f>P_ITV*(V83="sí")+P_LIBRO*(W83="sí")+P_CORREA*(X83="sí")+P_PROP*(Y83=1)+P_GAR*(Z83="sí")+P_FOTOS*MIN(1,N(U83)/FOTOS_OBJ)</f>
        <v/>
      </c>
      <c r="BQ83" s="3">
        <f>IFERROR(VLOOKUP(BF83,ETQ_TBL,2,0),NEUTRO)</f>
        <v/>
      </c>
      <c r="BR83" s="3">
        <f>NEUTRO</f>
        <v/>
      </c>
      <c r="BS83" s="3">
        <f>IFERROR(VLOOKUP(L83,SEGURO_TBL,3,0),"")</f>
        <v/>
      </c>
      <c r="BT83" s="3">
        <f>IF(BS83="",NEUTRO,MAX(0,MIN(100,100*(SEG_REF_MAX-BS83)/(SEG_REF_MAX-SEG_REF_MIN))))</f>
        <v/>
      </c>
      <c r="BU83" s="3">
        <f>W_ET*BQ83+W_CONS*BR83+W_SEG*BT83</f>
        <v/>
      </c>
      <c r="BV83" s="3">
        <f>IF(N(AB83)&gt;0,AB83,IF(AND(R83="profesional",SG_LEGAL_ON=1),GAR_LEGAL,0))</f>
        <v/>
      </c>
      <c r="BW83" s="3">
        <f>SG_GAR*MIN(1,BV83/SG_GAR_FULL)+SG_AMPL*(AC83="sí")+SG_KMC*(AF83="sí")+SG_REV*(N(AE83)&gt;0)+SG_DEV*MIN(1,N(AG83)/SG_DEV_FULL)+SG_HIST*(W83="sí")</f>
        <v/>
      </c>
      <c r="BX83" s="3">
        <f>W_FIAB*BJ83+W_PRECIO*BK83+W_KMEDAD*BO83+W_ANUNCIO*BP83+W_USO*BU83+W_SEGURIDAD*BW83</f>
        <v/>
      </c>
      <c r="BY83" s="4">
        <f>IF(N(I83)&gt;0,I83,IFERROR(ROUND(_xlfn.NUMBERVALUE(LEFT(G83,FIND(" ",G83&amp;" ")-1),".")*1000,0),99999))</f>
        <v/>
      </c>
      <c r="BZ83" s="3">
        <f>IF(R83="profesional",0,IF(O83&lt;CUOTA_VALOR_MAX,IF(AU83&gt;ITP_TRAMO_ALTO,SUMIFS(CF_CUOTA,CF_MAS,ITP_TRAMO_ALTO,CF_CCMIN,"&lt;="&amp;BY83,CF_CCMAX,"&gt;="&amp;BY83),IF(AU83&gt;ITP_TRAMO_BAJO,SUMIFS(CF_CUOTA,CF_MAS,ITP_TRAMO_BAJO,CF_CCMIN,"&lt;="&amp;BY83,CF_CCMAX,"&gt;="&amp;BY83),O83*ITP_TIPO)),O83*ITP_TIPO))</f>
        <v/>
      </c>
      <c r="CA83" s="4">
        <f>IF(R83="profesional",N(AK83),0)</f>
        <v/>
      </c>
      <c r="CB83" s="3">
        <f>IF(AND(R83="profesional",ISNUMBER(AK83),AL83="sí"),0,TASA_DGT)</f>
        <v/>
      </c>
      <c r="CC83" s="3">
        <f>INFORME_DGT</f>
        <v/>
      </c>
      <c r="CD83" s="4">
        <f>O83+CA83+BZ83+CB83+CC83</f>
        <v/>
      </c>
      <c r="CE83" s="4">
        <f>CD83+N(BS83)</f>
        <v/>
      </c>
      <c r="CF83" s="3">
        <f>IF(CD83&lt;=TOTAL_MAX,"sí","no")</f>
        <v/>
      </c>
      <c r="CG83" s="4">
        <f>IF(CF83="sí",COUNTIFS($CF$2:$CF$91,"sí",$BX$2:$BX$91,"&gt;"&amp;BX83)+COUNTIFS($CF$2:CF83,"sí",$BX$2:BX83,BX83),"")</f>
        <v/>
      </c>
    </row>
    <row r="84">
      <c r="A84" s="2" t="inlineStr">
        <is>
          <t>cochesnet:71816544</t>
        </is>
      </c>
      <c r="B84" s="2" t="inlineStr">
        <is>
          <t>cochesnet</t>
        </is>
      </c>
      <c r="C84" s="2" t="inlineStr">
        <is>
          <t>https://www.coches.net/fiat-punto-12-active-e5-5p-gasolina-2009-en-valencia-71816544-covo.aspx</t>
        </is>
      </c>
      <c r="D84" s="2" t="inlineStr">
        <is>
          <t>FIAT Punto 1.2 Active E5</t>
        </is>
      </c>
      <c r="E84" s="2" t="inlineStr">
        <is>
          <t>Fiat</t>
        </is>
      </c>
      <c r="F84" s="2" t="inlineStr">
        <is>
          <t>Fiat Punto</t>
        </is>
      </c>
      <c r="G84" s="2" t="inlineStr">
        <is>
          <t>1.2</t>
        </is>
      </c>
      <c r="H84" s="2" t="inlineStr">
        <is>
          <t>1.2 Active E5</t>
        </is>
      </c>
      <c r="I84" s="2" t="n"/>
      <c r="J84" s="2" t="n"/>
      <c r="K84" s="2" t="inlineStr">
        <is>
          <t>gasolina</t>
        </is>
      </c>
      <c r="L84" s="2" t="inlineStr">
        <is>
          <t>utilitario</t>
        </is>
      </c>
      <c r="M84" s="2" t="n">
        <v>2010</v>
      </c>
      <c r="N84" s="2" t="n">
        <v>150000</v>
      </c>
      <c r="O84" s="2" t="n">
        <v>3850</v>
      </c>
      <c r="P84" s="2" t="inlineStr">
        <is>
          <t>manual</t>
        </is>
      </c>
      <c r="Q84" s="2" t="inlineStr">
        <is>
          <t>no</t>
        </is>
      </c>
      <c r="R84" s="2" t="inlineStr">
        <is>
          <t>profesional</t>
        </is>
      </c>
      <c r="S84" s="2" t="inlineStr">
        <is>
          <t>AUTOMOVILES CASTILLO PEPE Manises</t>
        </is>
      </c>
      <c r="T84" s="2" t="inlineStr">
        <is>
          <t>2026-10-23T12:44:12Z</t>
        </is>
      </c>
      <c r="U84" s="2" t="n">
        <v>15</v>
      </c>
      <c r="V84" s="2" t="inlineStr">
        <is>
          <t>sí</t>
        </is>
      </c>
      <c r="W84" s="2" t="n"/>
      <c r="X84" s="2" t="inlineStr">
        <is>
          <t>sí</t>
        </is>
      </c>
      <c r="Y84" s="2" t="n"/>
      <c r="Z84" s="2" t="inlineStr">
        <is>
          <t>sí</t>
        </is>
      </c>
      <c r="AA84" s="2" t="n"/>
      <c r="AB84" s="2" t="n">
        <v>12</v>
      </c>
      <c r="AC84" s="2" t="n"/>
      <c r="AD84" s="2" t="n"/>
      <c r="AE84" s="2" t="n"/>
      <c r="AF84" s="2" t="inlineStr">
        <is>
          <t>sí</t>
        </is>
      </c>
      <c r="AG84" s="2" t="n"/>
      <c r="AH84" s="2" t="n">
        <v>3850</v>
      </c>
      <c r="AI84" s="2" t="n">
        <v>3850</v>
      </c>
      <c r="AJ84" s="2" t="n"/>
      <c r="AK84" s="2" t="n"/>
      <c r="AL84" s="2" t="n"/>
      <c r="AM84" s="2" t="n">
        <v>8.1</v>
      </c>
      <c r="AN84" s="2" t="n">
        <v>3475</v>
      </c>
      <c r="AO84" s="2" t="n">
        <v>6</v>
      </c>
      <c r="AP84" s="2" t="inlineStr">
        <is>
          <t>modelo+año</t>
        </is>
      </c>
      <c r="AQ84" s="2" t="n"/>
      <c r="AR84" s="2" t="inlineStr">
        <is>
          <t>vendedor profesional: sin ITP (operación con IVA/REBU, confirmar en factura); gastos de gestión del vendedor no indicados: se suma la tasa DGT; preguntar el precio final; fiabilidad del modelo PENDIENTE de fuente (puntuación neutra)</t>
        </is>
      </c>
      <c r="AS84"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T84" s="2" t="inlineStr">
        <is>
          <t>https://www.coches.net/fiat-punto-12-active-e5-5p-gasolina-2009-en-valencia-71816544-covo.aspx (window.__INITIAL_PROPS__.ad) /home/user/Alopecia/buscador-coches/raw/cochesnet/b1d6094a69e8be9b.json</t>
        </is>
      </c>
      <c r="AU84" s="3">
        <f>MAX(ANIO_ACTUAL-M84,0)</f>
        <v/>
      </c>
      <c r="AV84" s="4">
        <f>N84/MAX(AU84,0.5)</f>
        <v/>
      </c>
      <c r="AW84" s="4">
        <f>F84</f>
        <v/>
      </c>
      <c r="AX84" s="3">
        <f>AW84&amp;"|"&amp;INT(M84/SEG_ANIO)*SEG_ANIO</f>
        <v/>
      </c>
      <c r="AY84" s="3">
        <f>AX84&amp;"|"&amp;INT(N84/SEG_KM)*SEG_KM</f>
        <v/>
      </c>
      <c r="AZ84" s="4">
        <f>COUNTIF($AW$2:$AW$91,AW84)</f>
        <v/>
      </c>
      <c r="BA84" s="4">
        <f>COUNTIF($AX$2:$AX$91,AX84)</f>
        <v/>
      </c>
      <c r="BB84" s="4">
        <f>COUNTIF($AY$2:$AY$91,AY84)</f>
        <v/>
      </c>
      <c r="BC84" s="3">
        <f t="array" ref="BC84">IF(N(AO84)&gt;=MIN_N,AN84,IF(BB84&gt;=MIN_N,MEDIAN(IF($AY$2:$AY$91=AY84,$O$2:$O$91)),IF(BA84&gt;=MIN_N,MEDIAN(IF($AX$2:$AX$91=AX84,$O$2:$O$91)),MEDIAN(IF($AW$2:$AW$91=AW84,$O$2:$O$91)))))</f>
        <v/>
      </c>
      <c r="BD84" s="3">
        <f>IF(N(AO84)&gt;=MIN_N,"mercado "&amp;AP84,IF(BB84&gt;=MIN_N,"modelo+año+km",IF(BA84&gt;=MIN_N,"modelo+año","modelo")))</f>
        <v/>
      </c>
      <c r="BE84" s="4">
        <f>(BC84-O84)/BC84</f>
        <v/>
      </c>
      <c r="BF84" s="3">
        <f>IF(OR(K84="hibrido",K84="glp"),"ECO",IF(K84="electrico","CERO",IF(K84="gasolina",IF(M84&gt;=GAS_C,"C",IF(M84&gt;=GAS_B,"B","A")),IF(K84="diesel",IF(M84&gt;=DIE_C,"C",IF(M84&gt;=DIE_B,"B","A")),""))))</f>
        <v/>
      </c>
      <c r="BG84" s="3">
        <f>IFERROR(VLOOKUP(F84,MOD_TBL,11,0),IFERROR(VLOOKUP(E84,OCU_TBL,2,0),NEUTRO))</f>
        <v/>
      </c>
      <c r="BH84" s="3">
        <f>SUMIFS(MOT_AJUSTE,MOT_MOTOR,G84,MOT_MARCA,E84,MOT_DESDE,"&lt;="&amp;M84,MOT_HASTA,"&gt;="&amp;M84)+SUMIFS(MOT_AJUSTE,MOT_MOTOR,G84,MOT_MARCA,"(todas)",MOT_DESDE,"&lt;="&amp;M84,MOT_HASTA,"&gt;="&amp;M84)</f>
        <v/>
      </c>
      <c r="BI84" s="3">
        <f>SUMIFS(COMB_AJUSTE,COMB_COMB,K84)</f>
        <v/>
      </c>
      <c r="BJ84" s="4">
        <f>MAX(0,MIN(100,BG84+BH84+BI84))</f>
        <v/>
      </c>
      <c r="BK84" s="3">
        <f>MAX(0,MIN(100,50+BE84*PRECIO_PEND))</f>
        <v/>
      </c>
      <c r="BL84" s="3">
        <f>MAX(0,100*(1-N84/KM_MAX))</f>
        <v/>
      </c>
      <c r="BM84" s="3">
        <f>IF(AV84&lt;KMA_SOSP,IF(AA84="sí",100,KMA_PEN),IF(AV84&lt;=KMA_IDEAL_MAX,100,MAX(0,100*(KMA_CERO-AV84)/(KMA_CERO-KMA_IDEAL_MAX))))</f>
        <v/>
      </c>
      <c r="BN84" s="3">
        <f>MAX(0,MIN(100,100*(M84-ANIO_MIN)/(ANIO_ACTUAL-ANIO_MIN)))</f>
        <v/>
      </c>
      <c r="BO84" s="3">
        <f>W_KMT*BL84+W_KMA*BM84+W_EDAD*BN84</f>
        <v/>
      </c>
      <c r="BP84" s="3">
        <f>P_ITV*(V84="sí")+P_LIBRO*(W84="sí")+P_CORREA*(X84="sí")+P_PROP*(Y84=1)+P_GAR*(Z84="sí")+P_FOTOS*MIN(1,N(U84)/FOTOS_OBJ)</f>
        <v/>
      </c>
      <c r="BQ84" s="3">
        <f>IFERROR(VLOOKUP(BF84,ETQ_TBL,2,0),NEUTRO)</f>
        <v/>
      </c>
      <c r="BR84" s="3">
        <f>NEUTRO</f>
        <v/>
      </c>
      <c r="BS84" s="3">
        <f>IFERROR(VLOOKUP(L84,SEGURO_TBL,3,0),"")</f>
        <v/>
      </c>
      <c r="BT84" s="3">
        <f>IF(BS84="",NEUTRO,MAX(0,MIN(100,100*(SEG_REF_MAX-BS84)/(SEG_REF_MAX-SEG_REF_MIN))))</f>
        <v/>
      </c>
      <c r="BU84" s="3">
        <f>W_ET*BQ84+W_CONS*BR84+W_SEG*BT84</f>
        <v/>
      </c>
      <c r="BV84" s="3">
        <f>IF(N(AB84)&gt;0,AB84,IF(AND(R84="profesional",SG_LEGAL_ON=1),GAR_LEGAL,0))</f>
        <v/>
      </c>
      <c r="BW84" s="3">
        <f>SG_GAR*MIN(1,BV84/SG_GAR_FULL)+SG_AMPL*(AC84="sí")+SG_KMC*(AF84="sí")+SG_REV*(N(AE84)&gt;0)+SG_DEV*MIN(1,N(AG84)/SG_DEV_FULL)+SG_HIST*(W84="sí")</f>
        <v/>
      </c>
      <c r="BX84" s="3">
        <f>W_FIAB*BJ84+W_PRECIO*BK84+W_KMEDAD*BO84+W_ANUNCIO*BP84+W_USO*BU84+W_SEGURIDAD*BW84</f>
        <v/>
      </c>
      <c r="BY84" s="4">
        <f>IF(N(I84)&gt;0,I84,IFERROR(ROUND(_xlfn.NUMBERVALUE(LEFT(G84,FIND(" ",G84&amp;" ")-1),".")*1000,0),99999))</f>
        <v/>
      </c>
      <c r="BZ84" s="3">
        <f>IF(R84="profesional",0,IF(O84&lt;CUOTA_VALOR_MAX,IF(AU84&gt;ITP_TRAMO_ALTO,SUMIFS(CF_CUOTA,CF_MAS,ITP_TRAMO_ALTO,CF_CCMIN,"&lt;="&amp;BY84,CF_CCMAX,"&gt;="&amp;BY84),IF(AU84&gt;ITP_TRAMO_BAJO,SUMIFS(CF_CUOTA,CF_MAS,ITP_TRAMO_BAJO,CF_CCMIN,"&lt;="&amp;BY84,CF_CCMAX,"&gt;="&amp;BY84),O84*ITP_TIPO)),O84*ITP_TIPO))</f>
        <v/>
      </c>
      <c r="CA84" s="4">
        <f>IF(R84="profesional",N(AK84),0)</f>
        <v/>
      </c>
      <c r="CB84" s="3">
        <f>IF(AND(R84="profesional",ISNUMBER(AK84),AL84="sí"),0,TASA_DGT)</f>
        <v/>
      </c>
      <c r="CC84" s="3">
        <f>INFORME_DGT</f>
        <v/>
      </c>
      <c r="CD84" s="4">
        <f>O84+CA84+BZ84+CB84+CC84</f>
        <v/>
      </c>
      <c r="CE84" s="4">
        <f>CD84+N(BS84)</f>
        <v/>
      </c>
      <c r="CF84" s="3">
        <f>IF(CD84&lt;=TOTAL_MAX,"sí","no")</f>
        <v/>
      </c>
      <c r="CG84" s="4">
        <f>IF(CF84="sí",COUNTIFS($CF$2:$CF$91,"sí",$BX$2:$BX$91,"&gt;"&amp;BX84)+COUNTIFS($CF$2:CF84,"sí",$BX$2:BX84,BX84),"")</f>
        <v/>
      </c>
    </row>
    <row r="85">
      <c r="A85" s="2" t="inlineStr">
        <is>
          <t>cochesnet:71454828</t>
        </is>
      </c>
      <c r="B85" s="2" t="inlineStr">
        <is>
          <t>cochesnet</t>
        </is>
      </c>
      <c r="C85" s="2" t="inlineStr">
        <is>
          <t>https://www.coches.net/fiat-punto-gasolina-2010-en-valencia-71454828-covo.aspx</t>
        </is>
      </c>
      <c r="D85" s="2" t="inlineStr">
        <is>
          <t>FIAT Punto</t>
        </is>
      </c>
      <c r="E85" s="2" t="inlineStr">
        <is>
          <t>Fiat</t>
        </is>
      </c>
      <c r="F85" s="2" t="inlineStr">
        <is>
          <t>Fiat Punto</t>
        </is>
      </c>
      <c r="G85" s="2" t="n"/>
      <c r="H85" s="2" t="n"/>
      <c r="I85" s="2" t="n"/>
      <c r="J85" s="2" t="n"/>
      <c r="K85" s="2" t="inlineStr">
        <is>
          <t>gasolina</t>
        </is>
      </c>
      <c r="L85" s="2" t="inlineStr">
        <is>
          <t>utilitario</t>
        </is>
      </c>
      <c r="M85" s="2" t="n">
        <v>2010</v>
      </c>
      <c r="N85" s="2" t="n">
        <v>134000</v>
      </c>
      <c r="O85" s="2" t="n">
        <v>3100</v>
      </c>
      <c r="P85" s="2" t="inlineStr">
        <is>
          <t>manual</t>
        </is>
      </c>
      <c r="Q85" s="2" t="inlineStr">
        <is>
          <t>no</t>
        </is>
      </c>
      <c r="R85" s="2" t="inlineStr">
        <is>
          <t>particular</t>
        </is>
      </c>
      <c r="S85" s="2" t="inlineStr">
        <is>
          <t>Mislata</t>
        </is>
      </c>
      <c r="T85" s="2" t="inlineStr">
        <is>
          <t>2026-09-07T05:37:35Z</t>
        </is>
      </c>
      <c r="U85" s="2" t="n">
        <v>9</v>
      </c>
      <c r="V85" s="2" t="inlineStr">
        <is>
          <t>sí</t>
        </is>
      </c>
      <c r="W85" s="2" t="n"/>
      <c r="X85" s="2" t="n"/>
      <c r="Y85" s="2" t="n"/>
      <c r="Z85" s="2" t="inlineStr">
        <is>
          <t>no</t>
        </is>
      </c>
      <c r="AA85" s="2" t="n"/>
      <c r="AB85" s="2" t="n"/>
      <c r="AC85" s="2" t="n"/>
      <c r="AD85" s="2" t="n"/>
      <c r="AE85" s="2" t="n"/>
      <c r="AF85" s="2" t="n"/>
      <c r="AG85" s="2" t="n"/>
      <c r="AH85" s="2" t="n">
        <v>3100</v>
      </c>
      <c r="AI85" s="2" t="n"/>
      <c r="AJ85" s="2" t="n"/>
      <c r="AK85" s="2" t="n"/>
      <c r="AL85" s="2" t="n"/>
      <c r="AM85" s="2" t="n">
        <v>3</v>
      </c>
      <c r="AN85" s="2" t="n">
        <v>3475</v>
      </c>
      <c r="AO85" s="2" t="n">
        <v>6</v>
      </c>
      <c r="AP85" s="2" t="inlineStr">
        <is>
          <t>modelo+año</t>
        </is>
      </c>
      <c r="AQ85" s="2" t="n"/>
      <c r="AR85" s="2" t="inlineStr">
        <is>
          <t>cilindrada desconocida: se aplica el tramo de cuota fija más alto; cuota fija ITP: &gt;12 años, más de 2.000 cc; fiabilidad del modelo PENDIENTE de fuente (puntuación neutra)</t>
        </is>
      </c>
      <c r="AS85" s="2" t="inlineStr">
        <is>
          <t>Destacado: Vehículo nacional, ITV al día (hasta Junio de 2027), en muy buen estado y bien cuidado, SEGUNDO PROPIETARIO, neumáticos traseros recién cambiados. 
Tiene pocos kilómetros para su edad, Etiqueta Medioambiental C, por lo que es una buena oportunidad para quien busque un coche económico, práctico y fiable para el día a día.
• Año: 2010
• Color: blanco 
• Estado: la parte del techo tiene algunas zonas que se han quitado la pintura.
• Kilometraje: 133.000 km 
• Coche cómodo, práctico y económico
• Ideal para uso diario y ciudad
Se puede ver y probar sin compromiso.Interesados, contactar para más información.</t>
        </is>
      </c>
      <c r="AT85" s="2" t="inlineStr">
        <is>
          <t>https://www.coches.net/fiat-punto-gasolina-2010-en-valencia-71454828-covo.aspx (window.__INITIAL_PROPS__.ad) /home/user/Alopecia/buscador-coches/raw/cochesnet/5dad6db8ff39c86f.json</t>
        </is>
      </c>
      <c r="AU85" s="3">
        <f>MAX(ANIO_ACTUAL-M85,0)</f>
        <v/>
      </c>
      <c r="AV85" s="4">
        <f>N85/MAX(AU85,0.5)</f>
        <v/>
      </c>
      <c r="AW85" s="4">
        <f>F85</f>
        <v/>
      </c>
      <c r="AX85" s="3">
        <f>AW85&amp;"|"&amp;INT(M85/SEG_ANIO)*SEG_ANIO</f>
        <v/>
      </c>
      <c r="AY85" s="3">
        <f>AX85&amp;"|"&amp;INT(N85/SEG_KM)*SEG_KM</f>
        <v/>
      </c>
      <c r="AZ85" s="4">
        <f>COUNTIF($AW$2:$AW$91,AW85)</f>
        <v/>
      </c>
      <c r="BA85" s="4">
        <f>COUNTIF($AX$2:$AX$91,AX85)</f>
        <v/>
      </c>
      <c r="BB85" s="4">
        <f>COUNTIF($AY$2:$AY$91,AY85)</f>
        <v/>
      </c>
      <c r="BC85" s="3">
        <f t="array" ref="BC85">IF(N(AO85)&gt;=MIN_N,AN85,IF(BB85&gt;=MIN_N,MEDIAN(IF($AY$2:$AY$91=AY85,$O$2:$O$91)),IF(BA85&gt;=MIN_N,MEDIAN(IF($AX$2:$AX$91=AX85,$O$2:$O$91)),MEDIAN(IF($AW$2:$AW$91=AW85,$O$2:$O$91)))))</f>
        <v/>
      </c>
      <c r="BD85" s="3">
        <f>IF(N(AO85)&gt;=MIN_N,"mercado "&amp;AP85,IF(BB85&gt;=MIN_N,"modelo+año+km",IF(BA85&gt;=MIN_N,"modelo+año","modelo")))</f>
        <v/>
      </c>
      <c r="BE85" s="4">
        <f>(BC85-O85)/BC85</f>
        <v/>
      </c>
      <c r="BF85" s="3">
        <f>IF(OR(K85="hibrido",K85="glp"),"ECO",IF(K85="electrico","CERO",IF(K85="gasolina",IF(M85&gt;=GAS_C,"C",IF(M85&gt;=GAS_B,"B","A")),IF(K85="diesel",IF(M85&gt;=DIE_C,"C",IF(M85&gt;=DIE_B,"B","A")),""))))</f>
        <v/>
      </c>
      <c r="BG85" s="3">
        <f>IFERROR(VLOOKUP(F85,MOD_TBL,11,0),IFERROR(VLOOKUP(E85,OCU_TBL,2,0),NEUTRO))</f>
        <v/>
      </c>
      <c r="BH85" s="3">
        <f>SUMIFS(MOT_AJUSTE,MOT_MOTOR,G85,MOT_MARCA,E85,MOT_DESDE,"&lt;="&amp;M85,MOT_HASTA,"&gt;="&amp;M85)+SUMIFS(MOT_AJUSTE,MOT_MOTOR,G85,MOT_MARCA,"(todas)",MOT_DESDE,"&lt;="&amp;M85,MOT_HASTA,"&gt;="&amp;M85)</f>
        <v/>
      </c>
      <c r="BI85" s="3">
        <f>SUMIFS(COMB_AJUSTE,COMB_COMB,K85)</f>
        <v/>
      </c>
      <c r="BJ85" s="4">
        <f>MAX(0,MIN(100,BG85+BH85+BI85))</f>
        <v/>
      </c>
      <c r="BK85" s="3">
        <f>MAX(0,MIN(100,50+BE85*PRECIO_PEND))</f>
        <v/>
      </c>
      <c r="BL85" s="3">
        <f>MAX(0,100*(1-N85/KM_MAX))</f>
        <v/>
      </c>
      <c r="BM85" s="3">
        <f>IF(AV85&lt;KMA_SOSP,IF(AA85="sí",100,KMA_PEN),IF(AV85&lt;=KMA_IDEAL_MAX,100,MAX(0,100*(KMA_CERO-AV85)/(KMA_CERO-KMA_IDEAL_MAX))))</f>
        <v/>
      </c>
      <c r="BN85" s="3">
        <f>MAX(0,MIN(100,100*(M85-ANIO_MIN)/(ANIO_ACTUAL-ANIO_MIN)))</f>
        <v/>
      </c>
      <c r="BO85" s="3">
        <f>W_KMT*BL85+W_KMA*BM85+W_EDAD*BN85</f>
        <v/>
      </c>
      <c r="BP85" s="3">
        <f>P_ITV*(V85="sí")+P_LIBRO*(W85="sí")+P_CORREA*(X85="sí")+P_PROP*(Y85=1)+P_GAR*(Z85="sí")+P_FOTOS*MIN(1,N(U85)/FOTOS_OBJ)</f>
        <v/>
      </c>
      <c r="BQ85" s="3">
        <f>IFERROR(VLOOKUP(BF85,ETQ_TBL,2,0),NEUTRO)</f>
        <v/>
      </c>
      <c r="BR85" s="3">
        <f>NEUTRO</f>
        <v/>
      </c>
      <c r="BS85" s="3">
        <f>IFERROR(VLOOKUP(L85,SEGURO_TBL,3,0),"")</f>
        <v/>
      </c>
      <c r="BT85" s="3">
        <f>IF(BS85="",NEUTRO,MAX(0,MIN(100,100*(SEG_REF_MAX-BS85)/(SEG_REF_MAX-SEG_REF_MIN))))</f>
        <v/>
      </c>
      <c r="BU85" s="3">
        <f>W_ET*BQ85+W_CONS*BR85+W_SEG*BT85</f>
        <v/>
      </c>
      <c r="BV85" s="3">
        <f>IF(N(AB85)&gt;0,AB85,IF(AND(R85="profesional",SG_LEGAL_ON=1),GAR_LEGAL,0))</f>
        <v/>
      </c>
      <c r="BW85" s="3">
        <f>SG_GAR*MIN(1,BV85/SG_GAR_FULL)+SG_AMPL*(AC85="sí")+SG_KMC*(AF85="sí")+SG_REV*(N(AE85)&gt;0)+SG_DEV*MIN(1,N(AG85)/SG_DEV_FULL)+SG_HIST*(W85="sí")</f>
        <v/>
      </c>
      <c r="BX85" s="3">
        <f>W_FIAB*BJ85+W_PRECIO*BK85+W_KMEDAD*BO85+W_ANUNCIO*BP85+W_USO*BU85+W_SEGURIDAD*BW85</f>
        <v/>
      </c>
      <c r="BY85" s="4">
        <f>IF(N(I85)&gt;0,I85,IFERROR(ROUND(_xlfn.NUMBERVALUE(LEFT(G85,FIND(" ",G85&amp;" ")-1),".")*1000,0),99999))</f>
        <v/>
      </c>
      <c r="BZ85" s="3">
        <f>IF(R85="profesional",0,IF(O85&lt;CUOTA_VALOR_MAX,IF(AU85&gt;ITP_TRAMO_ALTO,SUMIFS(CF_CUOTA,CF_MAS,ITP_TRAMO_ALTO,CF_CCMIN,"&lt;="&amp;BY85,CF_CCMAX,"&gt;="&amp;BY85),IF(AU85&gt;ITP_TRAMO_BAJO,SUMIFS(CF_CUOTA,CF_MAS,ITP_TRAMO_BAJO,CF_CCMIN,"&lt;="&amp;BY85,CF_CCMAX,"&gt;="&amp;BY85),O85*ITP_TIPO)),O85*ITP_TIPO))</f>
        <v/>
      </c>
      <c r="CA85" s="4">
        <f>IF(R85="profesional",N(AK85),0)</f>
        <v/>
      </c>
      <c r="CB85" s="3">
        <f>IF(AND(R85="profesional",ISNUMBER(AK85),AL85="sí"),0,TASA_DGT)</f>
        <v/>
      </c>
      <c r="CC85" s="3">
        <f>INFORME_DGT</f>
        <v/>
      </c>
      <c r="CD85" s="4">
        <f>O85+CA85+BZ85+CB85+CC85</f>
        <v/>
      </c>
      <c r="CE85" s="4">
        <f>CD85+N(BS85)</f>
        <v/>
      </c>
      <c r="CF85" s="3">
        <f>IF(CD85&lt;=TOTAL_MAX,"sí","no")</f>
        <v/>
      </c>
      <c r="CG85" s="4">
        <f>IF(CF85="sí",COUNTIFS($CF$2:$CF$91,"sí",$BX$2:$BX$91,"&gt;"&amp;BX85)+COUNTIFS($CF$2:CF85,"sí",$BX$2:BX85,BX85),"")</f>
        <v/>
      </c>
    </row>
    <row r="86">
      <c r="A86" s="2" t="inlineStr">
        <is>
          <t>cochesnet:71785002</t>
        </is>
      </c>
      <c r="B86" s="2" t="inlineStr">
        <is>
          <t>cochesnet</t>
        </is>
      </c>
      <c r="C86" s="2" t="inlineStr">
        <is>
          <t>https://www.coches.net/suzuki-swift-13-gl-3p-3p-gasolina-2009-en-valencia-71785002-covo.aspx</t>
        </is>
      </c>
      <c r="D86" s="2" t="inlineStr">
        <is>
          <t>SUZUKI Swift 1.3 GL</t>
        </is>
      </c>
      <c r="E86" s="2" t="inlineStr">
        <is>
          <t>Suzuki</t>
        </is>
      </c>
      <c r="F86" s="2" t="inlineStr">
        <is>
          <t>Suzuki Swift</t>
        </is>
      </c>
      <c r="G86" s="2" t="inlineStr">
        <is>
          <t>1.3</t>
        </is>
      </c>
      <c r="H86" s="2" t="inlineStr">
        <is>
          <t>1.3 GL 3p</t>
        </is>
      </c>
      <c r="I86" s="2" t="n"/>
      <c r="J86" s="2" t="n"/>
      <c r="K86" s="2" t="inlineStr">
        <is>
          <t>gasolina</t>
        </is>
      </c>
      <c r="L86" s="2" t="inlineStr">
        <is>
          <t>utilitario</t>
        </is>
      </c>
      <c r="M86" s="2" t="n">
        <v>2009</v>
      </c>
      <c r="N86" s="2" t="n">
        <v>84000</v>
      </c>
      <c r="O86" s="2" t="n">
        <v>4500</v>
      </c>
      <c r="P86" s="2" t="inlineStr">
        <is>
          <t>manual</t>
        </is>
      </c>
      <c r="Q86" s="2" t="inlineStr">
        <is>
          <t>no</t>
        </is>
      </c>
      <c r="R86" s="2" t="inlineStr">
        <is>
          <t>particular</t>
        </is>
      </c>
      <c r="S86" s="2" t="inlineStr">
        <is>
          <t>Paterna</t>
        </is>
      </c>
      <c r="T86" s="2" t="inlineStr">
        <is>
          <t>2026-10-19T19:52:40Z</t>
        </is>
      </c>
      <c r="U86" s="2" t="n">
        <v>22</v>
      </c>
      <c r="V86" s="2" t="n"/>
      <c r="W86" s="2" t="n"/>
      <c r="X86" s="2" t="n"/>
      <c r="Y86" s="2" t="n"/>
      <c r="Z86" s="2" t="inlineStr">
        <is>
          <t>no</t>
        </is>
      </c>
      <c r="AA86" s="2" t="n"/>
      <c r="AB86" s="2" t="n"/>
      <c r="AC86" s="2" t="n"/>
      <c r="AD86" s="2" t="n"/>
      <c r="AE86" s="2" t="n"/>
      <c r="AF86" s="2" t="n"/>
      <c r="AG86" s="2" t="n"/>
      <c r="AH86" s="2" t="n">
        <v>4500</v>
      </c>
      <c r="AI86" s="2" t="n"/>
      <c r="AJ86" s="2" t="n"/>
      <c r="AK86" s="2" t="n"/>
      <c r="AL86" s="2" t="n"/>
      <c r="AM86" s="2" t="n">
        <v>6.8</v>
      </c>
      <c r="AN86" s="2" t="n"/>
      <c r="AO86" s="2" t="n"/>
      <c r="AP86" s="2" t="n"/>
      <c r="AQ86" s="2" t="n"/>
      <c r="AR86" s="2" t="inlineStr">
        <is>
          <t>cuota fija ITP: &gt;12 años, hasta 1.500 cc; mediana con solo 1 anuncio(s)</t>
        </is>
      </c>
      <c r="AS86" s="2" t="inlineStr">
        <is>
          <t xml:space="preserve">- Modelo: Suzuki Swift MZ 2009
- Menos de 84.000 KM 
- Carrocería: turismo 3 puertas
- Motor: M13A
- Cilindrada: 1.328 cm³
- Combustible: gasolina
- Potencia: 67 kW, aproximadamente 91–92 CV
- Cambio: manual
- Tracción: delantera
- Plazas: 4
- Longitud: 3,76 m
- Anchura: 1,69 m
- Altura: 1,50 m
- Batalla: 2,38 m
- Vías: 1,47 / 1,48 m
- Peso máximo autorizado: 1.485 kg
- Neumáticos homologados: 185/60 R15 84H
- Motor M13A, que corresponde al 1.3 VVT gasolina de esta generación. 
- Aire acondicionado y calefacción. 
- Radio
Defectos:
* Pequeños desgastes de carrocería en la parte trasera y en las puertas (es algo estético) 
* Cambio necesario de neumáticos (300-400 euros)
* Solo 1 llave y manual 
* La ITV la vuelve a pasar en Diciembre 
EL PRECIO YA ESTA REBAJADO TENIENDO ESTO EN CUENTA.
Destacar que tan solo tiene 84.000 km. 
</t>
        </is>
      </c>
      <c r="AT86" s="2" t="inlineStr">
        <is>
          <t>https://www.coches.net/suzuki-swift-13-gl-3p-3p-gasolina-2009-en-valencia-71785002-covo.aspx (window.__INITIAL_PROPS__.ad) /home/user/Alopecia/buscador-coches/raw/cochesnet/59bedcd1b45cb8f3.json</t>
        </is>
      </c>
      <c r="AU86" s="3">
        <f>MAX(ANIO_ACTUAL-M86,0)</f>
        <v/>
      </c>
      <c r="AV86" s="4">
        <f>N86/MAX(AU86,0.5)</f>
        <v/>
      </c>
      <c r="AW86" s="4">
        <f>F86</f>
        <v/>
      </c>
      <c r="AX86" s="3">
        <f>AW86&amp;"|"&amp;INT(M86/SEG_ANIO)*SEG_ANIO</f>
        <v/>
      </c>
      <c r="AY86" s="3">
        <f>AX86&amp;"|"&amp;INT(N86/SEG_KM)*SEG_KM</f>
        <v/>
      </c>
      <c r="AZ86" s="4">
        <f>COUNTIF($AW$2:$AW$91,AW86)</f>
        <v/>
      </c>
      <c r="BA86" s="4">
        <f>COUNTIF($AX$2:$AX$91,AX86)</f>
        <v/>
      </c>
      <c r="BB86" s="4">
        <f>COUNTIF($AY$2:$AY$91,AY86)</f>
        <v/>
      </c>
      <c r="BC86" s="3">
        <f t="array" ref="BC86">IF(N(AO86)&gt;=MIN_N,AN86,IF(BB86&gt;=MIN_N,MEDIAN(IF($AY$2:$AY$91=AY86,$O$2:$O$91)),IF(BA86&gt;=MIN_N,MEDIAN(IF($AX$2:$AX$91=AX86,$O$2:$O$91)),MEDIAN(IF($AW$2:$AW$91=AW86,$O$2:$O$91)))))</f>
        <v/>
      </c>
      <c r="BD86" s="3">
        <f>IF(N(AO86)&gt;=MIN_N,"mercado "&amp;AP86,IF(BB86&gt;=MIN_N,"modelo+año+km",IF(BA86&gt;=MIN_N,"modelo+año","modelo")))</f>
        <v/>
      </c>
      <c r="BE86" s="4">
        <f>(BC86-O86)/BC86</f>
        <v/>
      </c>
      <c r="BF86" s="3">
        <f>IF(OR(K86="hibrido",K86="glp"),"ECO",IF(K86="electrico","CERO",IF(K86="gasolina",IF(M86&gt;=GAS_C,"C",IF(M86&gt;=GAS_B,"B","A")),IF(K86="diesel",IF(M86&gt;=DIE_C,"C",IF(M86&gt;=DIE_B,"B","A")),""))))</f>
        <v/>
      </c>
      <c r="BG86" s="3">
        <f>IFERROR(VLOOKUP(F86,MOD_TBL,11,0),IFERROR(VLOOKUP(E86,OCU_TBL,2,0),NEUTRO))</f>
        <v/>
      </c>
      <c r="BH86" s="3">
        <f>SUMIFS(MOT_AJUSTE,MOT_MOTOR,G86,MOT_MARCA,E86,MOT_DESDE,"&lt;="&amp;M86,MOT_HASTA,"&gt;="&amp;M86)+SUMIFS(MOT_AJUSTE,MOT_MOTOR,G86,MOT_MARCA,"(todas)",MOT_DESDE,"&lt;="&amp;M86,MOT_HASTA,"&gt;="&amp;M86)</f>
        <v/>
      </c>
      <c r="BI86" s="3">
        <f>SUMIFS(COMB_AJUSTE,COMB_COMB,K86)</f>
        <v/>
      </c>
      <c r="BJ86" s="4">
        <f>MAX(0,MIN(100,BG86+BH86+BI86))</f>
        <v/>
      </c>
      <c r="BK86" s="3">
        <f>MAX(0,MIN(100,50+BE86*PRECIO_PEND))</f>
        <v/>
      </c>
      <c r="BL86" s="3">
        <f>MAX(0,100*(1-N86/KM_MAX))</f>
        <v/>
      </c>
      <c r="BM86" s="3">
        <f>IF(AV86&lt;KMA_SOSP,IF(AA86="sí",100,KMA_PEN),IF(AV86&lt;=KMA_IDEAL_MAX,100,MAX(0,100*(KMA_CERO-AV86)/(KMA_CERO-KMA_IDEAL_MAX))))</f>
        <v/>
      </c>
      <c r="BN86" s="3">
        <f>MAX(0,MIN(100,100*(M86-ANIO_MIN)/(ANIO_ACTUAL-ANIO_MIN)))</f>
        <v/>
      </c>
      <c r="BO86" s="3">
        <f>W_KMT*BL86+W_KMA*BM86+W_EDAD*BN86</f>
        <v/>
      </c>
      <c r="BP86" s="3">
        <f>P_ITV*(V86="sí")+P_LIBRO*(W86="sí")+P_CORREA*(X86="sí")+P_PROP*(Y86=1)+P_GAR*(Z86="sí")+P_FOTOS*MIN(1,N(U86)/FOTOS_OBJ)</f>
        <v/>
      </c>
      <c r="BQ86" s="3">
        <f>IFERROR(VLOOKUP(BF86,ETQ_TBL,2,0),NEUTRO)</f>
        <v/>
      </c>
      <c r="BR86" s="3">
        <f>NEUTRO</f>
        <v/>
      </c>
      <c r="BS86" s="3">
        <f>IFERROR(VLOOKUP(L86,SEGURO_TBL,3,0),"")</f>
        <v/>
      </c>
      <c r="BT86" s="3">
        <f>IF(BS86="",NEUTRO,MAX(0,MIN(100,100*(SEG_REF_MAX-BS86)/(SEG_REF_MAX-SEG_REF_MIN))))</f>
        <v/>
      </c>
      <c r="BU86" s="3">
        <f>W_ET*BQ86+W_CONS*BR86+W_SEG*BT86</f>
        <v/>
      </c>
      <c r="BV86" s="3">
        <f>IF(N(AB86)&gt;0,AB86,IF(AND(R86="profesional",SG_LEGAL_ON=1),GAR_LEGAL,0))</f>
        <v/>
      </c>
      <c r="BW86" s="3">
        <f>SG_GAR*MIN(1,BV86/SG_GAR_FULL)+SG_AMPL*(AC86="sí")+SG_KMC*(AF86="sí")+SG_REV*(N(AE86)&gt;0)+SG_DEV*MIN(1,N(AG86)/SG_DEV_FULL)+SG_HIST*(W86="sí")</f>
        <v/>
      </c>
      <c r="BX86" s="3">
        <f>W_FIAB*BJ86+W_PRECIO*BK86+W_KMEDAD*BO86+W_ANUNCIO*BP86+W_USO*BU86+W_SEGURIDAD*BW86</f>
        <v/>
      </c>
      <c r="BY86" s="4">
        <f>IF(N(I86)&gt;0,I86,IFERROR(ROUND(_xlfn.NUMBERVALUE(LEFT(G86,FIND(" ",G86&amp;" ")-1),".")*1000,0),99999))</f>
        <v/>
      </c>
      <c r="BZ86" s="3">
        <f>IF(R86="profesional",0,IF(O86&lt;CUOTA_VALOR_MAX,IF(AU86&gt;ITP_TRAMO_ALTO,SUMIFS(CF_CUOTA,CF_MAS,ITP_TRAMO_ALTO,CF_CCMIN,"&lt;="&amp;BY86,CF_CCMAX,"&gt;="&amp;BY86),IF(AU86&gt;ITP_TRAMO_BAJO,SUMIFS(CF_CUOTA,CF_MAS,ITP_TRAMO_BAJO,CF_CCMIN,"&lt;="&amp;BY86,CF_CCMAX,"&gt;="&amp;BY86),O86*ITP_TIPO)),O86*ITP_TIPO))</f>
        <v/>
      </c>
      <c r="CA86" s="4">
        <f>IF(R86="profesional",N(AK86),0)</f>
        <v/>
      </c>
      <c r="CB86" s="3">
        <f>IF(AND(R86="profesional",ISNUMBER(AK86),AL86="sí"),0,TASA_DGT)</f>
        <v/>
      </c>
      <c r="CC86" s="3">
        <f>INFORME_DGT</f>
        <v/>
      </c>
      <c r="CD86" s="4">
        <f>O86+CA86+BZ86+CB86+CC86</f>
        <v/>
      </c>
      <c r="CE86" s="4">
        <f>CD86+N(BS86)</f>
        <v/>
      </c>
      <c r="CF86" s="3">
        <f>IF(CD86&lt;=TOTAL_MAX,"sí","no")</f>
        <v/>
      </c>
      <c r="CG86" s="4">
        <f>IF(CF86="sí",COUNTIFS($CF$2:$CF$91,"sí",$BX$2:$BX$91,"&gt;"&amp;BX86)+COUNTIFS($CF$2:CF86,"sí",$BX$2:BX86,BX86),"")</f>
        <v/>
      </c>
    </row>
    <row r="87">
      <c r="A87" s="2" t="inlineStr">
        <is>
          <t>cochesnet:71388781</t>
        </is>
      </c>
      <c r="B87" s="2" t="inlineStr">
        <is>
          <t>cochesnet</t>
        </is>
      </c>
      <c r="C87" s="2" t="inlineStr">
        <is>
          <t>https://www.coches.net/suzuki-alto-10-gl-5p-gasolina-2009-en-valencia-71388781-covo.aspx</t>
        </is>
      </c>
      <c r="D87" s="2" t="inlineStr">
        <is>
          <t>SUZUKI Alto 1.0 GL</t>
        </is>
      </c>
      <c r="E87" s="2" t="inlineStr">
        <is>
          <t>Suzuki</t>
        </is>
      </c>
      <c r="F87" s="2" t="inlineStr">
        <is>
          <t>Suzuki Alto</t>
        </is>
      </c>
      <c r="G87" s="2" t="inlineStr">
        <is>
          <t>1.0</t>
        </is>
      </c>
      <c r="H87" s="2" t="inlineStr">
        <is>
          <t>1.0 GL</t>
        </is>
      </c>
      <c r="I87" s="2" t="n"/>
      <c r="J87" s="2" t="n"/>
      <c r="K87" s="2" t="inlineStr">
        <is>
          <t>gasolina</t>
        </is>
      </c>
      <c r="L87" s="2" t="inlineStr">
        <is>
          <t>utilitario</t>
        </is>
      </c>
      <c r="M87" s="2" t="n">
        <v>2009</v>
      </c>
      <c r="N87" s="2" t="n">
        <v>200000</v>
      </c>
      <c r="O87" s="2" t="n">
        <v>1500</v>
      </c>
      <c r="P87" s="2" t="inlineStr">
        <is>
          <t>manual</t>
        </is>
      </c>
      <c r="Q87" s="2" t="inlineStr">
        <is>
          <t>no</t>
        </is>
      </c>
      <c r="R87" s="2" t="inlineStr">
        <is>
          <t>particular</t>
        </is>
      </c>
      <c r="S87" s="2" t="inlineStr">
        <is>
          <t>Vilamarxant</t>
        </is>
      </c>
      <c r="T87" s="2" t="inlineStr">
        <is>
          <t>2026-08-29T00:18:08Z</t>
        </is>
      </c>
      <c r="U87" s="2" t="n">
        <v>6</v>
      </c>
      <c r="V87" s="2" t="n"/>
      <c r="W87" s="2" t="n"/>
      <c r="X87" s="2" t="n"/>
      <c r="Y87" s="2" t="n"/>
      <c r="Z87" s="2" t="inlineStr">
        <is>
          <t>no</t>
        </is>
      </c>
      <c r="AA87" s="2" t="n"/>
      <c r="AB87" s="2" t="n"/>
      <c r="AC87" s="2" t="n"/>
      <c r="AD87" s="2" t="n"/>
      <c r="AE87" s="2" t="n"/>
      <c r="AF87" s="2" t="n"/>
      <c r="AG87" s="2" t="n"/>
      <c r="AH87" s="2" t="n">
        <v>1500</v>
      </c>
      <c r="AI87" s="2" t="n"/>
      <c r="AJ87" s="2" t="n"/>
      <c r="AK87" s="2" t="n"/>
      <c r="AL87" s="2" t="n"/>
      <c r="AM87" s="2" t="n">
        <v>23.9</v>
      </c>
      <c r="AN87" s="2" t="n"/>
      <c r="AO87" s="2" t="n"/>
      <c r="AP87" s="2" t="n"/>
      <c r="AQ87" s="2" t="n"/>
      <c r="AR87" s="2" t="inlineStr">
        <is>
          <t>cuota fija ITP: &gt;12 años, hasta 1.500 cc; mediana con solo 1 anuncio(s)</t>
        </is>
      </c>
      <c r="AS87" s="2" t="inlineStr">
        <is>
          <t>Coche ideal para iniciarte en la conducción y romper mano. Se ha cambiado hace poco (1 año) el kit de embrague así como reparaciones en carrocería y ópticos. Recién pasada la ITV.
Si buscas un coche práctico, económico y fiable para el día a día, este Suzuki Alto es tu solución. Un vehículo compacto y versátil que ha demostrado su resistencia con los años, ideal para moverse por la ciudad sin complicaciones ni gastos excesivos.</t>
        </is>
      </c>
      <c r="AT87" s="2" t="inlineStr">
        <is>
          <t>https://www.coches.net/suzuki-alto-10-gl-5p-gasolina-2009-en-valencia-71388781-covo.aspx (window.__INITIAL_PROPS__.ad) /home/user/Alopecia/buscador-coches/raw/cochesnet/7bf7134245a9d587.json</t>
        </is>
      </c>
      <c r="AU87" s="3">
        <f>MAX(ANIO_ACTUAL-M87,0)</f>
        <v/>
      </c>
      <c r="AV87" s="4">
        <f>N87/MAX(AU87,0.5)</f>
        <v/>
      </c>
      <c r="AW87" s="4">
        <f>F87</f>
        <v/>
      </c>
      <c r="AX87" s="3">
        <f>AW87&amp;"|"&amp;INT(M87/SEG_ANIO)*SEG_ANIO</f>
        <v/>
      </c>
      <c r="AY87" s="3">
        <f>AX87&amp;"|"&amp;INT(N87/SEG_KM)*SEG_KM</f>
        <v/>
      </c>
      <c r="AZ87" s="4">
        <f>COUNTIF($AW$2:$AW$91,AW87)</f>
        <v/>
      </c>
      <c r="BA87" s="4">
        <f>COUNTIF($AX$2:$AX$91,AX87)</f>
        <v/>
      </c>
      <c r="BB87" s="4">
        <f>COUNTIF($AY$2:$AY$91,AY87)</f>
        <v/>
      </c>
      <c r="BC87" s="3">
        <f t="array" ref="BC87">IF(N(AO87)&gt;=MIN_N,AN87,IF(BB87&gt;=MIN_N,MEDIAN(IF($AY$2:$AY$91=AY87,$O$2:$O$91)),IF(BA87&gt;=MIN_N,MEDIAN(IF($AX$2:$AX$91=AX87,$O$2:$O$91)),MEDIAN(IF($AW$2:$AW$91=AW87,$O$2:$O$91)))))</f>
        <v/>
      </c>
      <c r="BD87" s="3">
        <f>IF(N(AO87)&gt;=MIN_N,"mercado "&amp;AP87,IF(BB87&gt;=MIN_N,"modelo+año+km",IF(BA87&gt;=MIN_N,"modelo+año","modelo")))</f>
        <v/>
      </c>
      <c r="BE87" s="4">
        <f>(BC87-O87)/BC87</f>
        <v/>
      </c>
      <c r="BF87" s="3">
        <f>IF(OR(K87="hibrido",K87="glp"),"ECO",IF(K87="electrico","CERO",IF(K87="gasolina",IF(M87&gt;=GAS_C,"C",IF(M87&gt;=GAS_B,"B","A")),IF(K87="diesel",IF(M87&gt;=DIE_C,"C",IF(M87&gt;=DIE_B,"B","A")),""))))</f>
        <v/>
      </c>
      <c r="BG87" s="3">
        <f>IFERROR(VLOOKUP(F87,MOD_TBL,11,0),IFERROR(VLOOKUP(E87,OCU_TBL,2,0),NEUTRO))</f>
        <v/>
      </c>
      <c r="BH87" s="3">
        <f>SUMIFS(MOT_AJUSTE,MOT_MOTOR,G87,MOT_MARCA,E87,MOT_DESDE,"&lt;="&amp;M87,MOT_HASTA,"&gt;="&amp;M87)+SUMIFS(MOT_AJUSTE,MOT_MOTOR,G87,MOT_MARCA,"(todas)",MOT_DESDE,"&lt;="&amp;M87,MOT_HASTA,"&gt;="&amp;M87)</f>
        <v/>
      </c>
      <c r="BI87" s="3">
        <f>SUMIFS(COMB_AJUSTE,COMB_COMB,K87)</f>
        <v/>
      </c>
      <c r="BJ87" s="4">
        <f>MAX(0,MIN(100,BG87+BH87+BI87))</f>
        <v/>
      </c>
      <c r="BK87" s="3">
        <f>MAX(0,MIN(100,50+BE87*PRECIO_PEND))</f>
        <v/>
      </c>
      <c r="BL87" s="3">
        <f>MAX(0,100*(1-N87/KM_MAX))</f>
        <v/>
      </c>
      <c r="BM87" s="3">
        <f>IF(AV87&lt;KMA_SOSP,IF(AA87="sí",100,KMA_PEN),IF(AV87&lt;=KMA_IDEAL_MAX,100,MAX(0,100*(KMA_CERO-AV87)/(KMA_CERO-KMA_IDEAL_MAX))))</f>
        <v/>
      </c>
      <c r="BN87" s="3">
        <f>MAX(0,MIN(100,100*(M87-ANIO_MIN)/(ANIO_ACTUAL-ANIO_MIN)))</f>
        <v/>
      </c>
      <c r="BO87" s="3">
        <f>W_KMT*BL87+W_KMA*BM87+W_EDAD*BN87</f>
        <v/>
      </c>
      <c r="BP87" s="3">
        <f>P_ITV*(V87="sí")+P_LIBRO*(W87="sí")+P_CORREA*(X87="sí")+P_PROP*(Y87=1)+P_GAR*(Z87="sí")+P_FOTOS*MIN(1,N(U87)/FOTOS_OBJ)</f>
        <v/>
      </c>
      <c r="BQ87" s="3">
        <f>IFERROR(VLOOKUP(BF87,ETQ_TBL,2,0),NEUTRO)</f>
        <v/>
      </c>
      <c r="BR87" s="3">
        <f>NEUTRO</f>
        <v/>
      </c>
      <c r="BS87" s="3">
        <f>IFERROR(VLOOKUP(L87,SEGURO_TBL,3,0),"")</f>
        <v/>
      </c>
      <c r="BT87" s="3">
        <f>IF(BS87="",NEUTRO,MAX(0,MIN(100,100*(SEG_REF_MAX-BS87)/(SEG_REF_MAX-SEG_REF_MIN))))</f>
        <v/>
      </c>
      <c r="BU87" s="3">
        <f>W_ET*BQ87+W_CONS*BR87+W_SEG*BT87</f>
        <v/>
      </c>
      <c r="BV87" s="3">
        <f>IF(N(AB87)&gt;0,AB87,IF(AND(R87="profesional",SG_LEGAL_ON=1),GAR_LEGAL,0))</f>
        <v/>
      </c>
      <c r="BW87" s="3">
        <f>SG_GAR*MIN(1,BV87/SG_GAR_FULL)+SG_AMPL*(AC87="sí")+SG_KMC*(AF87="sí")+SG_REV*(N(AE87)&gt;0)+SG_DEV*MIN(1,N(AG87)/SG_DEV_FULL)+SG_HIST*(W87="sí")</f>
        <v/>
      </c>
      <c r="BX87" s="3">
        <f>W_FIAB*BJ87+W_PRECIO*BK87+W_KMEDAD*BO87+W_ANUNCIO*BP87+W_USO*BU87+W_SEGURIDAD*BW87</f>
        <v/>
      </c>
      <c r="BY87" s="4">
        <f>IF(N(I87)&gt;0,I87,IFERROR(ROUND(_xlfn.NUMBERVALUE(LEFT(G87,FIND(" ",G87&amp;" ")-1),".")*1000,0),99999))</f>
        <v/>
      </c>
      <c r="BZ87" s="3">
        <f>IF(R87="profesional",0,IF(O87&lt;CUOTA_VALOR_MAX,IF(AU87&gt;ITP_TRAMO_ALTO,SUMIFS(CF_CUOTA,CF_MAS,ITP_TRAMO_ALTO,CF_CCMIN,"&lt;="&amp;BY87,CF_CCMAX,"&gt;="&amp;BY87),IF(AU87&gt;ITP_TRAMO_BAJO,SUMIFS(CF_CUOTA,CF_MAS,ITP_TRAMO_BAJO,CF_CCMIN,"&lt;="&amp;BY87,CF_CCMAX,"&gt;="&amp;BY87),O87*ITP_TIPO)),O87*ITP_TIPO))</f>
        <v/>
      </c>
      <c r="CA87" s="4">
        <f>IF(R87="profesional",N(AK87),0)</f>
        <v/>
      </c>
      <c r="CB87" s="3">
        <f>IF(AND(R87="profesional",ISNUMBER(AK87),AL87="sí"),0,TASA_DGT)</f>
        <v/>
      </c>
      <c r="CC87" s="3">
        <f>INFORME_DGT</f>
        <v/>
      </c>
      <c r="CD87" s="4">
        <f>O87+CA87+BZ87+CB87+CC87</f>
        <v/>
      </c>
      <c r="CE87" s="4">
        <f>CD87+N(BS87)</f>
        <v/>
      </c>
      <c r="CF87" s="3">
        <f>IF(CD87&lt;=TOTAL_MAX,"sí","no")</f>
        <v/>
      </c>
      <c r="CG87" s="4">
        <f>IF(CF87="sí",COUNTIFS($CF$2:$CF$91,"sí",$BX$2:$BX$91,"&gt;"&amp;BX87)+COUNTIFS($CF$2:CF87,"sí",$BX$2:BX87,BX87),"")</f>
        <v/>
      </c>
    </row>
    <row r="88">
      <c r="A88" s="2" t="inlineStr">
        <is>
          <t>cochesnet:71533850</t>
        </is>
      </c>
      <c r="B88" s="2" t="inlineStr">
        <is>
          <t>cochesnet</t>
        </is>
      </c>
      <c r="C88" s="2" t="inlineStr">
        <is>
          <t>https://www.coches.net/chevrolet-aveo-14-16v-ls-5p-gasolina-2010-en-valencia-71533850-covo.aspx</t>
        </is>
      </c>
      <c r="D88" s="2" t="inlineStr">
        <is>
          <t>CHEVROLET Aveo 1.4 16v LS</t>
        </is>
      </c>
      <c r="E88" s="2" t="inlineStr">
        <is>
          <t>Chevrolet</t>
        </is>
      </c>
      <c r="F88" s="2" t="inlineStr">
        <is>
          <t>Chevrolet Aveo</t>
        </is>
      </c>
      <c r="G88" s="2" t="inlineStr">
        <is>
          <t>1.4</t>
        </is>
      </c>
      <c r="H88" s="2" t="inlineStr">
        <is>
          <t>1.4 16v LS</t>
        </is>
      </c>
      <c r="I88" s="2" t="n"/>
      <c r="J88" s="2" t="n"/>
      <c r="K88" s="2" t="inlineStr">
        <is>
          <t>gasolina</t>
        </is>
      </c>
      <c r="L88" s="2" t="inlineStr">
        <is>
          <t>utilitario</t>
        </is>
      </c>
      <c r="M88" s="2" t="n">
        <v>2009</v>
      </c>
      <c r="N88" s="2" t="n">
        <v>110000</v>
      </c>
      <c r="O88" s="2" t="n">
        <v>4290</v>
      </c>
      <c r="P88" s="2" t="inlineStr">
        <is>
          <t>manual</t>
        </is>
      </c>
      <c r="Q88" s="2" t="inlineStr">
        <is>
          <t>no</t>
        </is>
      </c>
      <c r="R88" s="2" t="inlineStr">
        <is>
          <t>profesional</t>
        </is>
      </c>
      <c r="S88" s="2" t="inlineStr">
        <is>
          <t>Only Cars Valencia Aldaia</t>
        </is>
      </c>
      <c r="T88" s="2" t="inlineStr">
        <is>
          <t>2026-09-17T10:24:43Z</t>
        </is>
      </c>
      <c r="U88" s="2" t="n">
        <v>11</v>
      </c>
      <c r="V88" s="2" t="n"/>
      <c r="W88" s="2" t="n"/>
      <c r="X88" s="2" t="n"/>
      <c r="Y88" s="2" t="n"/>
      <c r="Z88" s="2" t="inlineStr">
        <is>
          <t>sí</t>
        </is>
      </c>
      <c r="AA88" s="2" t="n"/>
      <c r="AB88" s="2" t="n">
        <v>12</v>
      </c>
      <c r="AC88" s="2" t="n"/>
      <c r="AD88" s="2" t="n"/>
      <c r="AE88" s="2" t="n"/>
      <c r="AF88" s="2" t="n"/>
      <c r="AG88" s="2" t="n"/>
      <c r="AH88" s="2" t="n">
        <v>4290</v>
      </c>
      <c r="AI88" s="2" t="n"/>
      <c r="AJ88" s="2" t="n"/>
      <c r="AK88" s="2" t="n"/>
      <c r="AL88" s="2" t="n"/>
      <c r="AM88" s="2" t="n">
        <v>7.5</v>
      </c>
      <c r="AN88" s="2" t="n">
        <v>3990</v>
      </c>
      <c r="AO88" s="2" t="n">
        <v>4</v>
      </c>
      <c r="AP88" s="2" t="inlineStr">
        <is>
          <t>modelo+año+km</t>
        </is>
      </c>
      <c r="AQ88" s="2" t="n"/>
      <c r="AR88" s="2" t="inlineStr">
        <is>
          <t>vendedor profesional: sin ITP (operación con IVA/REBU, confirmar en factura); gastos de gestión del vendedor no indicados: se suma la tasa DGT; preguntar el precio final; fiabilidad del modelo PENDIENTE de fuente (puntuación neutra)</t>
        </is>
      </c>
      <c r="AS88"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AT88" s="2" t="inlineStr">
        <is>
          <t>https://www.coches.net/chevrolet-aveo-14-16v-ls-5p-gasolina-2010-en-valencia-71533850-covo.aspx (window.__INITIAL_PROPS__.ad) /home/user/Alopecia/buscador-coches/raw/cochesnet/f4665f6b14e63416.json</t>
        </is>
      </c>
      <c r="AU88" s="3">
        <f>MAX(ANIO_ACTUAL-M88,0)</f>
        <v/>
      </c>
      <c r="AV88" s="4">
        <f>N88/MAX(AU88,0.5)</f>
        <v/>
      </c>
      <c r="AW88" s="4">
        <f>F88</f>
        <v/>
      </c>
      <c r="AX88" s="3">
        <f>AW88&amp;"|"&amp;INT(M88/SEG_ANIO)*SEG_ANIO</f>
        <v/>
      </c>
      <c r="AY88" s="3">
        <f>AX88&amp;"|"&amp;INT(N88/SEG_KM)*SEG_KM</f>
        <v/>
      </c>
      <c r="AZ88" s="4">
        <f>COUNTIF($AW$2:$AW$91,AW88)</f>
        <v/>
      </c>
      <c r="BA88" s="4">
        <f>COUNTIF($AX$2:$AX$91,AX88)</f>
        <v/>
      </c>
      <c r="BB88" s="4">
        <f>COUNTIF($AY$2:$AY$91,AY88)</f>
        <v/>
      </c>
      <c r="BC88" s="3">
        <f t="array" ref="BC88">IF(N(AO88)&gt;=MIN_N,AN88,IF(BB88&gt;=MIN_N,MEDIAN(IF($AY$2:$AY$91=AY88,$O$2:$O$91)),IF(BA88&gt;=MIN_N,MEDIAN(IF($AX$2:$AX$91=AX88,$O$2:$O$91)),MEDIAN(IF($AW$2:$AW$91=AW88,$O$2:$O$91)))))</f>
        <v/>
      </c>
      <c r="BD88" s="3">
        <f>IF(N(AO88)&gt;=MIN_N,"mercado "&amp;AP88,IF(BB88&gt;=MIN_N,"modelo+año+km",IF(BA88&gt;=MIN_N,"modelo+año","modelo")))</f>
        <v/>
      </c>
      <c r="BE88" s="4">
        <f>(BC88-O88)/BC88</f>
        <v/>
      </c>
      <c r="BF88" s="3">
        <f>IF(OR(K88="hibrido",K88="glp"),"ECO",IF(K88="electrico","CERO",IF(K88="gasolina",IF(M88&gt;=GAS_C,"C",IF(M88&gt;=GAS_B,"B","A")),IF(K88="diesel",IF(M88&gt;=DIE_C,"C",IF(M88&gt;=DIE_B,"B","A")),""))))</f>
        <v/>
      </c>
      <c r="BG88" s="3">
        <f>IFERROR(VLOOKUP(F88,MOD_TBL,11,0),IFERROR(VLOOKUP(E88,OCU_TBL,2,0),NEUTRO))</f>
        <v/>
      </c>
      <c r="BH88" s="3">
        <f>SUMIFS(MOT_AJUSTE,MOT_MOTOR,G88,MOT_MARCA,E88,MOT_DESDE,"&lt;="&amp;M88,MOT_HASTA,"&gt;="&amp;M88)+SUMIFS(MOT_AJUSTE,MOT_MOTOR,G88,MOT_MARCA,"(todas)",MOT_DESDE,"&lt;="&amp;M88,MOT_HASTA,"&gt;="&amp;M88)</f>
        <v/>
      </c>
      <c r="BI88" s="3">
        <f>SUMIFS(COMB_AJUSTE,COMB_COMB,K88)</f>
        <v/>
      </c>
      <c r="BJ88" s="4">
        <f>MAX(0,MIN(100,BG88+BH88+BI88))</f>
        <v/>
      </c>
      <c r="BK88" s="3">
        <f>MAX(0,MIN(100,50+BE88*PRECIO_PEND))</f>
        <v/>
      </c>
      <c r="BL88" s="3">
        <f>MAX(0,100*(1-N88/KM_MAX))</f>
        <v/>
      </c>
      <c r="BM88" s="3">
        <f>IF(AV88&lt;KMA_SOSP,IF(AA88="sí",100,KMA_PEN),IF(AV88&lt;=KMA_IDEAL_MAX,100,MAX(0,100*(KMA_CERO-AV88)/(KMA_CERO-KMA_IDEAL_MAX))))</f>
        <v/>
      </c>
      <c r="BN88" s="3">
        <f>MAX(0,MIN(100,100*(M88-ANIO_MIN)/(ANIO_ACTUAL-ANIO_MIN)))</f>
        <v/>
      </c>
      <c r="BO88" s="3">
        <f>W_KMT*BL88+W_KMA*BM88+W_EDAD*BN88</f>
        <v/>
      </c>
      <c r="BP88" s="3">
        <f>P_ITV*(V88="sí")+P_LIBRO*(W88="sí")+P_CORREA*(X88="sí")+P_PROP*(Y88=1)+P_GAR*(Z88="sí")+P_FOTOS*MIN(1,N(U88)/FOTOS_OBJ)</f>
        <v/>
      </c>
      <c r="BQ88" s="3">
        <f>IFERROR(VLOOKUP(BF88,ETQ_TBL,2,0),NEUTRO)</f>
        <v/>
      </c>
      <c r="BR88" s="3">
        <f>NEUTRO</f>
        <v/>
      </c>
      <c r="BS88" s="3">
        <f>IFERROR(VLOOKUP(L88,SEGURO_TBL,3,0),"")</f>
        <v/>
      </c>
      <c r="BT88" s="3">
        <f>IF(BS88="",NEUTRO,MAX(0,MIN(100,100*(SEG_REF_MAX-BS88)/(SEG_REF_MAX-SEG_REF_MIN))))</f>
        <v/>
      </c>
      <c r="BU88" s="3">
        <f>W_ET*BQ88+W_CONS*BR88+W_SEG*BT88</f>
        <v/>
      </c>
      <c r="BV88" s="3">
        <f>IF(N(AB88)&gt;0,AB88,IF(AND(R88="profesional",SG_LEGAL_ON=1),GAR_LEGAL,0))</f>
        <v/>
      </c>
      <c r="BW88" s="3">
        <f>SG_GAR*MIN(1,BV88/SG_GAR_FULL)+SG_AMPL*(AC88="sí")+SG_KMC*(AF88="sí")+SG_REV*(N(AE88)&gt;0)+SG_DEV*MIN(1,N(AG88)/SG_DEV_FULL)+SG_HIST*(W88="sí")</f>
        <v/>
      </c>
      <c r="BX88" s="3">
        <f>W_FIAB*BJ88+W_PRECIO*BK88+W_KMEDAD*BO88+W_ANUNCIO*BP88+W_USO*BU88+W_SEGURIDAD*BW88</f>
        <v/>
      </c>
      <c r="BY88" s="4">
        <f>IF(N(I88)&gt;0,I88,IFERROR(ROUND(_xlfn.NUMBERVALUE(LEFT(G88,FIND(" ",G88&amp;" ")-1),".")*1000,0),99999))</f>
        <v/>
      </c>
      <c r="BZ88" s="3">
        <f>IF(R88="profesional",0,IF(O88&lt;CUOTA_VALOR_MAX,IF(AU88&gt;ITP_TRAMO_ALTO,SUMIFS(CF_CUOTA,CF_MAS,ITP_TRAMO_ALTO,CF_CCMIN,"&lt;="&amp;BY88,CF_CCMAX,"&gt;="&amp;BY88),IF(AU88&gt;ITP_TRAMO_BAJO,SUMIFS(CF_CUOTA,CF_MAS,ITP_TRAMO_BAJO,CF_CCMIN,"&lt;="&amp;BY88,CF_CCMAX,"&gt;="&amp;BY88),O88*ITP_TIPO)),O88*ITP_TIPO))</f>
        <v/>
      </c>
      <c r="CA88" s="4">
        <f>IF(R88="profesional",N(AK88),0)</f>
        <v/>
      </c>
      <c r="CB88" s="3">
        <f>IF(AND(R88="profesional",ISNUMBER(AK88),AL88="sí"),0,TASA_DGT)</f>
        <v/>
      </c>
      <c r="CC88" s="3">
        <f>INFORME_DGT</f>
        <v/>
      </c>
      <c r="CD88" s="4">
        <f>O88+CA88+BZ88+CB88+CC88</f>
        <v/>
      </c>
      <c r="CE88" s="4">
        <f>CD88+N(BS88)</f>
        <v/>
      </c>
      <c r="CF88" s="3">
        <f>IF(CD88&lt;=TOTAL_MAX,"sí","no")</f>
        <v/>
      </c>
      <c r="CG88" s="4">
        <f>IF(CF88="sí",COUNTIFS($CF$2:$CF$91,"sí",$BX$2:$BX$91,"&gt;"&amp;BX88)+COUNTIFS($CF$2:CF88,"sí",$BX$2:BX88,BX88),"")</f>
        <v/>
      </c>
    </row>
    <row r="89">
      <c r="A89" s="2" t="inlineStr">
        <is>
          <t>cochesnet:71769865</t>
        </is>
      </c>
      <c r="B89" s="2" t="inlineStr">
        <is>
          <t>cochesnet</t>
        </is>
      </c>
      <c r="C89" s="2" t="inlineStr">
        <is>
          <t>https://www.coches.net/chevrolet-aveo-12-16v-ls-3p-gasolina-2011-en-valencia-71769865-covo.aspx</t>
        </is>
      </c>
      <c r="D89" s="2" t="inlineStr">
        <is>
          <t>CHEVROLET Aveo 1.2 16v LS</t>
        </is>
      </c>
      <c r="E89" s="2" t="inlineStr">
        <is>
          <t>Chevrolet</t>
        </is>
      </c>
      <c r="F89" s="2" t="inlineStr">
        <is>
          <t>Chevrolet Aveo</t>
        </is>
      </c>
      <c r="G89" s="2" t="inlineStr">
        <is>
          <t>1.2</t>
        </is>
      </c>
      <c r="H89" s="2" t="inlineStr">
        <is>
          <t>1.2 16v LS</t>
        </is>
      </c>
      <c r="I89" s="2" t="n"/>
      <c r="J89" s="2" t="n"/>
      <c r="K89" s="2" t="inlineStr">
        <is>
          <t>gasolina</t>
        </is>
      </c>
      <c r="L89" s="2" t="inlineStr">
        <is>
          <t>utilitario</t>
        </is>
      </c>
      <c r="M89" s="2" t="n">
        <v>2011</v>
      </c>
      <c r="N89" s="2" t="n">
        <v>135127</v>
      </c>
      <c r="O89" s="2" t="n">
        <v>3900</v>
      </c>
      <c r="P89" s="2" t="inlineStr">
        <is>
          <t>manual</t>
        </is>
      </c>
      <c r="Q89" s="2" t="inlineStr">
        <is>
          <t>no</t>
        </is>
      </c>
      <c r="R89" s="2" t="inlineStr">
        <is>
          <t>particular</t>
        </is>
      </c>
      <c r="S89" s="2" t="inlineStr">
        <is>
          <t>Torrent</t>
        </is>
      </c>
      <c r="T89" s="2" t="inlineStr">
        <is>
          <t>2026-10-17T13:39:05Z</t>
        </is>
      </c>
      <c r="U89" s="2" t="n">
        <v>1</v>
      </c>
      <c r="V89" s="2" t="n"/>
      <c r="W89" s="2" t="n"/>
      <c r="X89" s="2" t="n"/>
      <c r="Y89" s="2" t="n"/>
      <c r="Z89" s="2" t="inlineStr">
        <is>
          <t>no</t>
        </is>
      </c>
      <c r="AA89" s="2" t="n"/>
      <c r="AB89" s="2" t="n"/>
      <c r="AC89" s="2" t="n"/>
      <c r="AD89" s="2" t="n"/>
      <c r="AE89" s="2" t="n"/>
      <c r="AF89" s="2" t="n"/>
      <c r="AG89" s="2" t="n"/>
      <c r="AH89" s="2" t="n">
        <v>3900</v>
      </c>
      <c r="AI89" s="2" t="n"/>
      <c r="AJ89" s="2" t="n"/>
      <c r="AK89" s="2" t="n"/>
      <c r="AL89" s="2" t="n"/>
      <c r="AM89" s="2" t="n">
        <v>8.800000000000001</v>
      </c>
      <c r="AN89" s="2" t="n">
        <v>2500</v>
      </c>
      <c r="AO89" s="2" t="n">
        <v>4</v>
      </c>
      <c r="AP89" s="2" t="inlineStr">
        <is>
          <t>modelo+año+km</t>
        </is>
      </c>
      <c r="AQ89" s="2" t="n"/>
      <c r="AR89" s="2" t="inlineStr">
        <is>
          <t>cuota fija ITP: &gt;12 años, hasta 1.500 cc; fiabilidad del modelo PENDIENTE de fuente (puntuación neutra)</t>
        </is>
      </c>
      <c r="AS89" s="2" t="inlineStr">
        <is>
          <t>Vendo Chevrolet Aveo 1.2 gasolina del año 2011, con 135.127 km.
El coche funciona perfectamente y está en buen estado de funcionamiento. Recientemente se le han cambiado los discos y las pastillas de freno.
Acaba de pasar la ITV y la tiene en vigor hasta septiembre de 2027. Dispone de etiqueta medioambiental C.
Es un coche práctico para el día a día, ideal para ir a trabajar o moverse por ciudad.
Precio: 3.900€
Para más información, fotos o venir a verlo, contactar por mensaje.</t>
        </is>
      </c>
      <c r="AT89" s="2" t="inlineStr">
        <is>
          <t>https://www.coches.net/chevrolet-aveo-12-16v-ls-3p-gasolina-2011-en-valencia-71769865-covo.aspx (window.__INITIAL_PROPS__.ad) /home/user/Alopecia/buscador-coches/raw/cochesnet/e867ec23345926cc.json</t>
        </is>
      </c>
      <c r="AU89" s="3">
        <f>MAX(ANIO_ACTUAL-M89,0)</f>
        <v/>
      </c>
      <c r="AV89" s="4">
        <f>N89/MAX(AU89,0.5)</f>
        <v/>
      </c>
      <c r="AW89" s="4">
        <f>F89</f>
        <v/>
      </c>
      <c r="AX89" s="3">
        <f>AW89&amp;"|"&amp;INT(M89/SEG_ANIO)*SEG_ANIO</f>
        <v/>
      </c>
      <c r="AY89" s="3">
        <f>AX89&amp;"|"&amp;INT(N89/SEG_KM)*SEG_KM</f>
        <v/>
      </c>
      <c r="AZ89" s="4">
        <f>COUNTIF($AW$2:$AW$91,AW89)</f>
        <v/>
      </c>
      <c r="BA89" s="4">
        <f>COUNTIF($AX$2:$AX$91,AX89)</f>
        <v/>
      </c>
      <c r="BB89" s="4">
        <f>COUNTIF($AY$2:$AY$91,AY89)</f>
        <v/>
      </c>
      <c r="BC89" s="3">
        <f t="array" ref="BC89">IF(N(AO89)&gt;=MIN_N,AN89,IF(BB89&gt;=MIN_N,MEDIAN(IF($AY$2:$AY$91=AY89,$O$2:$O$91)),IF(BA89&gt;=MIN_N,MEDIAN(IF($AX$2:$AX$91=AX89,$O$2:$O$91)),MEDIAN(IF($AW$2:$AW$91=AW89,$O$2:$O$91)))))</f>
        <v/>
      </c>
      <c r="BD89" s="3">
        <f>IF(N(AO89)&gt;=MIN_N,"mercado "&amp;AP89,IF(BB89&gt;=MIN_N,"modelo+año+km",IF(BA89&gt;=MIN_N,"modelo+año","modelo")))</f>
        <v/>
      </c>
      <c r="BE89" s="4">
        <f>(BC89-O89)/BC89</f>
        <v/>
      </c>
      <c r="BF89" s="3">
        <f>IF(OR(K89="hibrido",K89="glp"),"ECO",IF(K89="electrico","CERO",IF(K89="gasolina",IF(M89&gt;=GAS_C,"C",IF(M89&gt;=GAS_B,"B","A")),IF(K89="diesel",IF(M89&gt;=DIE_C,"C",IF(M89&gt;=DIE_B,"B","A")),""))))</f>
        <v/>
      </c>
      <c r="BG89" s="3">
        <f>IFERROR(VLOOKUP(F89,MOD_TBL,11,0),IFERROR(VLOOKUP(E89,OCU_TBL,2,0),NEUTRO))</f>
        <v/>
      </c>
      <c r="BH89" s="3">
        <f>SUMIFS(MOT_AJUSTE,MOT_MOTOR,G89,MOT_MARCA,E89,MOT_DESDE,"&lt;="&amp;M89,MOT_HASTA,"&gt;="&amp;M89)+SUMIFS(MOT_AJUSTE,MOT_MOTOR,G89,MOT_MARCA,"(todas)",MOT_DESDE,"&lt;="&amp;M89,MOT_HASTA,"&gt;="&amp;M89)</f>
        <v/>
      </c>
      <c r="BI89" s="3">
        <f>SUMIFS(COMB_AJUSTE,COMB_COMB,K89)</f>
        <v/>
      </c>
      <c r="BJ89" s="4">
        <f>MAX(0,MIN(100,BG89+BH89+BI89))</f>
        <v/>
      </c>
      <c r="BK89" s="3">
        <f>MAX(0,MIN(100,50+BE89*PRECIO_PEND))</f>
        <v/>
      </c>
      <c r="BL89" s="3">
        <f>MAX(0,100*(1-N89/KM_MAX))</f>
        <v/>
      </c>
      <c r="BM89" s="3">
        <f>IF(AV89&lt;KMA_SOSP,IF(AA89="sí",100,KMA_PEN),IF(AV89&lt;=KMA_IDEAL_MAX,100,MAX(0,100*(KMA_CERO-AV89)/(KMA_CERO-KMA_IDEAL_MAX))))</f>
        <v/>
      </c>
      <c r="BN89" s="3">
        <f>MAX(0,MIN(100,100*(M89-ANIO_MIN)/(ANIO_ACTUAL-ANIO_MIN)))</f>
        <v/>
      </c>
      <c r="BO89" s="3">
        <f>W_KMT*BL89+W_KMA*BM89+W_EDAD*BN89</f>
        <v/>
      </c>
      <c r="BP89" s="3">
        <f>P_ITV*(V89="sí")+P_LIBRO*(W89="sí")+P_CORREA*(X89="sí")+P_PROP*(Y89=1)+P_GAR*(Z89="sí")+P_FOTOS*MIN(1,N(U89)/FOTOS_OBJ)</f>
        <v/>
      </c>
      <c r="BQ89" s="3">
        <f>IFERROR(VLOOKUP(BF89,ETQ_TBL,2,0),NEUTRO)</f>
        <v/>
      </c>
      <c r="BR89" s="3">
        <f>NEUTRO</f>
        <v/>
      </c>
      <c r="BS89" s="3">
        <f>IFERROR(VLOOKUP(L89,SEGURO_TBL,3,0),"")</f>
        <v/>
      </c>
      <c r="BT89" s="3">
        <f>IF(BS89="",NEUTRO,MAX(0,MIN(100,100*(SEG_REF_MAX-BS89)/(SEG_REF_MAX-SEG_REF_MIN))))</f>
        <v/>
      </c>
      <c r="BU89" s="3">
        <f>W_ET*BQ89+W_CONS*BR89+W_SEG*BT89</f>
        <v/>
      </c>
      <c r="BV89" s="3">
        <f>IF(N(AB89)&gt;0,AB89,IF(AND(R89="profesional",SG_LEGAL_ON=1),GAR_LEGAL,0))</f>
        <v/>
      </c>
      <c r="BW89" s="3">
        <f>SG_GAR*MIN(1,BV89/SG_GAR_FULL)+SG_AMPL*(AC89="sí")+SG_KMC*(AF89="sí")+SG_REV*(N(AE89)&gt;0)+SG_DEV*MIN(1,N(AG89)/SG_DEV_FULL)+SG_HIST*(W89="sí")</f>
        <v/>
      </c>
      <c r="BX89" s="3">
        <f>W_FIAB*BJ89+W_PRECIO*BK89+W_KMEDAD*BO89+W_ANUNCIO*BP89+W_USO*BU89+W_SEGURIDAD*BW89</f>
        <v/>
      </c>
      <c r="BY89" s="4">
        <f>IF(N(I89)&gt;0,I89,IFERROR(ROUND(_xlfn.NUMBERVALUE(LEFT(G89,FIND(" ",G89&amp;" ")-1),".")*1000,0),99999))</f>
        <v/>
      </c>
      <c r="BZ89" s="3">
        <f>IF(R89="profesional",0,IF(O89&lt;CUOTA_VALOR_MAX,IF(AU89&gt;ITP_TRAMO_ALTO,SUMIFS(CF_CUOTA,CF_MAS,ITP_TRAMO_ALTO,CF_CCMIN,"&lt;="&amp;BY89,CF_CCMAX,"&gt;="&amp;BY89),IF(AU89&gt;ITP_TRAMO_BAJO,SUMIFS(CF_CUOTA,CF_MAS,ITP_TRAMO_BAJO,CF_CCMIN,"&lt;="&amp;BY89,CF_CCMAX,"&gt;="&amp;BY89),O89*ITP_TIPO)),O89*ITP_TIPO))</f>
        <v/>
      </c>
      <c r="CA89" s="4">
        <f>IF(R89="profesional",N(AK89),0)</f>
        <v/>
      </c>
      <c r="CB89" s="3">
        <f>IF(AND(R89="profesional",ISNUMBER(AK89),AL89="sí"),0,TASA_DGT)</f>
        <v/>
      </c>
      <c r="CC89" s="3">
        <f>INFORME_DGT</f>
        <v/>
      </c>
      <c r="CD89" s="4">
        <f>O89+CA89+BZ89+CB89+CC89</f>
        <v/>
      </c>
      <c r="CE89" s="4">
        <f>CD89+N(BS89)</f>
        <v/>
      </c>
      <c r="CF89" s="3">
        <f>IF(CD89&lt;=TOTAL_MAX,"sí","no")</f>
        <v/>
      </c>
      <c r="CG89" s="4">
        <f>IF(CF89="sí",COUNTIFS($CF$2:$CF$91,"sí",$BX$2:$BX$91,"&gt;"&amp;BX89)+COUNTIFS($CF$2:CF89,"sí",$BX$2:BX89,BX89),"")</f>
        <v/>
      </c>
    </row>
    <row r="90">
      <c r="A90" s="2" t="inlineStr">
        <is>
          <t>cochesnet:71680921</t>
        </is>
      </c>
      <c r="B90" s="2" t="inlineStr">
        <is>
          <t>cochesnet</t>
        </is>
      </c>
      <c r="C90" s="2" t="inlineStr">
        <is>
          <t>https://www.coches.net/chevrolet-aveo-14-16v-ls-5p-gasolina-2010-en-valencia-71680921-covo.aspx</t>
        </is>
      </c>
      <c r="D90" s="2" t="inlineStr">
        <is>
          <t>CHEVROLET Aveo 1.4 16v LS</t>
        </is>
      </c>
      <c r="E90" s="2" t="inlineStr">
        <is>
          <t>Chevrolet</t>
        </is>
      </c>
      <c r="F90" s="2" t="inlineStr">
        <is>
          <t>Chevrolet Aveo</t>
        </is>
      </c>
      <c r="G90" s="2" t="inlineStr">
        <is>
          <t>1.4</t>
        </is>
      </c>
      <c r="H90" s="2" t="inlineStr">
        <is>
          <t>1.4 16v LS</t>
        </is>
      </c>
      <c r="I90" s="2" t="n"/>
      <c r="J90" s="2" t="n"/>
      <c r="K90" s="2" t="inlineStr">
        <is>
          <t>gasolina</t>
        </is>
      </c>
      <c r="L90" s="2" t="inlineStr">
        <is>
          <t>utilitario</t>
        </is>
      </c>
      <c r="M90" s="2" t="n">
        <v>2010</v>
      </c>
      <c r="N90" s="2" t="n">
        <v>194331</v>
      </c>
      <c r="O90" s="2" t="n">
        <v>3500</v>
      </c>
      <c r="P90" s="2" t="inlineStr">
        <is>
          <t>manual</t>
        </is>
      </c>
      <c r="Q90" s="2" t="inlineStr">
        <is>
          <t>no</t>
        </is>
      </c>
      <c r="R90" s="2" t="inlineStr">
        <is>
          <t>particular</t>
        </is>
      </c>
      <c r="S90" s="2" t="inlineStr">
        <is>
          <t>Sueca</t>
        </is>
      </c>
      <c r="T90" s="2" t="inlineStr">
        <is>
          <t>2026-10-05T22:44:28Z</t>
        </is>
      </c>
      <c r="U90" s="2" t="n">
        <v>7</v>
      </c>
      <c r="V90" s="2" t="n"/>
      <c r="W90" s="2" t="n"/>
      <c r="X90" s="2" t="n"/>
      <c r="Y90" s="2" t="n"/>
      <c r="Z90" s="2" t="inlineStr">
        <is>
          <t>no</t>
        </is>
      </c>
      <c r="AA90" s="2" t="n"/>
      <c r="AB90" s="2" t="n"/>
      <c r="AC90" s="2" t="n"/>
      <c r="AD90" s="2" t="n"/>
      <c r="AE90" s="2" t="n"/>
      <c r="AF90" s="2" t="n"/>
      <c r="AG90" s="2" t="n"/>
      <c r="AH90" s="2" t="n">
        <v>3500</v>
      </c>
      <c r="AI90" s="2" t="n"/>
      <c r="AJ90" s="2" t="n"/>
      <c r="AK90" s="2" t="n"/>
      <c r="AL90" s="2" t="n"/>
      <c r="AM90" s="2" t="n">
        <v>30.3</v>
      </c>
      <c r="AN90" s="2" t="n">
        <v>3700</v>
      </c>
      <c r="AO90" s="2" t="n">
        <v>10</v>
      </c>
      <c r="AP90" s="2" t="inlineStr">
        <is>
          <t>modelo+año</t>
        </is>
      </c>
      <c r="AQ90" s="2" t="n"/>
      <c r="AR90" s="2" t="inlineStr">
        <is>
          <t>cuota fija ITP: &gt;12 años, hasta 1.500 cc; fiabilidad del modelo PENDIENTE de fuente (puntuación neutra)</t>
        </is>
      </c>
      <c r="AS90" s="2" t="inlineStr">
        <is>
          <t xml:space="preserve">Coche en buen estado vendo por no utilizar </t>
        </is>
      </c>
      <c r="AT90" s="2" t="inlineStr">
        <is>
          <t>https://www.coches.net/chevrolet-aveo-14-16v-ls-5p-gasolina-2010-en-valencia-71680921-covo.aspx (window.__INITIAL_PROPS__.ad) /home/user/Alopecia/buscador-coches/raw/cochesnet/0178fd7de8e47e7a.json</t>
        </is>
      </c>
      <c r="AU90" s="3">
        <f>MAX(ANIO_ACTUAL-M90,0)</f>
        <v/>
      </c>
      <c r="AV90" s="4">
        <f>N90/MAX(AU90,0.5)</f>
        <v/>
      </c>
      <c r="AW90" s="4">
        <f>F90</f>
        <v/>
      </c>
      <c r="AX90" s="3">
        <f>AW90&amp;"|"&amp;INT(M90/SEG_ANIO)*SEG_ANIO</f>
        <v/>
      </c>
      <c r="AY90" s="3">
        <f>AX90&amp;"|"&amp;INT(N90/SEG_KM)*SEG_KM</f>
        <v/>
      </c>
      <c r="AZ90" s="4">
        <f>COUNTIF($AW$2:$AW$91,AW90)</f>
        <v/>
      </c>
      <c r="BA90" s="4">
        <f>COUNTIF($AX$2:$AX$91,AX90)</f>
        <v/>
      </c>
      <c r="BB90" s="4">
        <f>COUNTIF($AY$2:$AY$91,AY90)</f>
        <v/>
      </c>
      <c r="BC90" s="3">
        <f t="array" ref="BC90">IF(N(AO90)&gt;=MIN_N,AN90,IF(BB90&gt;=MIN_N,MEDIAN(IF($AY$2:$AY$91=AY90,$O$2:$O$91)),IF(BA90&gt;=MIN_N,MEDIAN(IF($AX$2:$AX$91=AX90,$O$2:$O$91)),MEDIAN(IF($AW$2:$AW$91=AW90,$O$2:$O$91)))))</f>
        <v/>
      </c>
      <c r="BD90" s="3">
        <f>IF(N(AO90)&gt;=MIN_N,"mercado "&amp;AP90,IF(BB90&gt;=MIN_N,"modelo+año+km",IF(BA90&gt;=MIN_N,"modelo+año","modelo")))</f>
        <v/>
      </c>
      <c r="BE90" s="4">
        <f>(BC90-O90)/BC90</f>
        <v/>
      </c>
      <c r="BF90" s="3">
        <f>IF(OR(K90="hibrido",K90="glp"),"ECO",IF(K90="electrico","CERO",IF(K90="gasolina",IF(M90&gt;=GAS_C,"C",IF(M90&gt;=GAS_B,"B","A")),IF(K90="diesel",IF(M90&gt;=DIE_C,"C",IF(M90&gt;=DIE_B,"B","A")),""))))</f>
        <v/>
      </c>
      <c r="BG90" s="3">
        <f>IFERROR(VLOOKUP(F90,MOD_TBL,11,0),IFERROR(VLOOKUP(E90,OCU_TBL,2,0),NEUTRO))</f>
        <v/>
      </c>
      <c r="BH90" s="3">
        <f>SUMIFS(MOT_AJUSTE,MOT_MOTOR,G90,MOT_MARCA,E90,MOT_DESDE,"&lt;="&amp;M90,MOT_HASTA,"&gt;="&amp;M90)+SUMIFS(MOT_AJUSTE,MOT_MOTOR,G90,MOT_MARCA,"(todas)",MOT_DESDE,"&lt;="&amp;M90,MOT_HASTA,"&gt;="&amp;M90)</f>
        <v/>
      </c>
      <c r="BI90" s="3">
        <f>SUMIFS(COMB_AJUSTE,COMB_COMB,K90)</f>
        <v/>
      </c>
      <c r="BJ90" s="4">
        <f>MAX(0,MIN(100,BG90+BH90+BI90))</f>
        <v/>
      </c>
      <c r="BK90" s="3">
        <f>MAX(0,MIN(100,50+BE90*PRECIO_PEND))</f>
        <v/>
      </c>
      <c r="BL90" s="3">
        <f>MAX(0,100*(1-N90/KM_MAX))</f>
        <v/>
      </c>
      <c r="BM90" s="3">
        <f>IF(AV90&lt;KMA_SOSP,IF(AA90="sí",100,KMA_PEN),IF(AV90&lt;=KMA_IDEAL_MAX,100,MAX(0,100*(KMA_CERO-AV90)/(KMA_CERO-KMA_IDEAL_MAX))))</f>
        <v/>
      </c>
      <c r="BN90" s="3">
        <f>MAX(0,MIN(100,100*(M90-ANIO_MIN)/(ANIO_ACTUAL-ANIO_MIN)))</f>
        <v/>
      </c>
      <c r="BO90" s="3">
        <f>W_KMT*BL90+W_KMA*BM90+W_EDAD*BN90</f>
        <v/>
      </c>
      <c r="BP90" s="3">
        <f>P_ITV*(V90="sí")+P_LIBRO*(W90="sí")+P_CORREA*(X90="sí")+P_PROP*(Y90=1)+P_GAR*(Z90="sí")+P_FOTOS*MIN(1,N(U90)/FOTOS_OBJ)</f>
        <v/>
      </c>
      <c r="BQ90" s="3">
        <f>IFERROR(VLOOKUP(BF90,ETQ_TBL,2,0),NEUTRO)</f>
        <v/>
      </c>
      <c r="BR90" s="3">
        <f>NEUTRO</f>
        <v/>
      </c>
      <c r="BS90" s="3">
        <f>IFERROR(VLOOKUP(L90,SEGURO_TBL,3,0),"")</f>
        <v/>
      </c>
      <c r="BT90" s="3">
        <f>IF(BS90="",NEUTRO,MAX(0,MIN(100,100*(SEG_REF_MAX-BS90)/(SEG_REF_MAX-SEG_REF_MIN))))</f>
        <v/>
      </c>
      <c r="BU90" s="3">
        <f>W_ET*BQ90+W_CONS*BR90+W_SEG*BT90</f>
        <v/>
      </c>
      <c r="BV90" s="3">
        <f>IF(N(AB90)&gt;0,AB90,IF(AND(R90="profesional",SG_LEGAL_ON=1),GAR_LEGAL,0))</f>
        <v/>
      </c>
      <c r="BW90" s="3">
        <f>SG_GAR*MIN(1,BV90/SG_GAR_FULL)+SG_AMPL*(AC90="sí")+SG_KMC*(AF90="sí")+SG_REV*(N(AE90)&gt;0)+SG_DEV*MIN(1,N(AG90)/SG_DEV_FULL)+SG_HIST*(W90="sí")</f>
        <v/>
      </c>
      <c r="BX90" s="3">
        <f>W_FIAB*BJ90+W_PRECIO*BK90+W_KMEDAD*BO90+W_ANUNCIO*BP90+W_USO*BU90+W_SEGURIDAD*BW90</f>
        <v/>
      </c>
      <c r="BY90" s="4">
        <f>IF(N(I90)&gt;0,I90,IFERROR(ROUND(_xlfn.NUMBERVALUE(LEFT(G90,FIND(" ",G90&amp;" ")-1),".")*1000,0),99999))</f>
        <v/>
      </c>
      <c r="BZ90" s="3">
        <f>IF(R90="profesional",0,IF(O90&lt;CUOTA_VALOR_MAX,IF(AU90&gt;ITP_TRAMO_ALTO,SUMIFS(CF_CUOTA,CF_MAS,ITP_TRAMO_ALTO,CF_CCMIN,"&lt;="&amp;BY90,CF_CCMAX,"&gt;="&amp;BY90),IF(AU90&gt;ITP_TRAMO_BAJO,SUMIFS(CF_CUOTA,CF_MAS,ITP_TRAMO_BAJO,CF_CCMIN,"&lt;="&amp;BY90,CF_CCMAX,"&gt;="&amp;BY90),O90*ITP_TIPO)),O90*ITP_TIPO))</f>
        <v/>
      </c>
      <c r="CA90" s="4">
        <f>IF(R90="profesional",N(AK90),0)</f>
        <v/>
      </c>
      <c r="CB90" s="3">
        <f>IF(AND(R90="profesional",ISNUMBER(AK90),AL90="sí"),0,TASA_DGT)</f>
        <v/>
      </c>
      <c r="CC90" s="3">
        <f>INFORME_DGT</f>
        <v/>
      </c>
      <c r="CD90" s="4">
        <f>O90+CA90+BZ90+CB90+CC90</f>
        <v/>
      </c>
      <c r="CE90" s="4">
        <f>CD90+N(BS90)</f>
        <v/>
      </c>
      <c r="CF90" s="3">
        <f>IF(CD90&lt;=TOTAL_MAX,"sí","no")</f>
        <v/>
      </c>
      <c r="CG90" s="4">
        <f>IF(CF90="sí",COUNTIFS($CF$2:$CF$91,"sí",$BX$2:$BX$91,"&gt;"&amp;BX90)+COUNTIFS($CF$2:CF90,"sí",$BX$2:BX90,BX90),"")</f>
        <v/>
      </c>
    </row>
    <row r="91">
      <c r="A91" s="2" t="inlineStr">
        <is>
          <t>cochesnet:71678496</t>
        </is>
      </c>
      <c r="B91" s="2" t="inlineStr">
        <is>
          <t>cochesnet</t>
        </is>
      </c>
      <c r="C91" s="2" t="inlineStr">
        <is>
          <t>https://www.coches.net/chevrolet-cruze-16-ls-clima-4p-gasolina-2011-en-valencia-71678496-covo.aspx</t>
        </is>
      </c>
      <c r="D91" s="2" t="inlineStr">
        <is>
          <t>CHEVROLET Cruze 1.6 LS Clima</t>
        </is>
      </c>
      <c r="E91" s="2" t="inlineStr">
        <is>
          <t>Chevrolet</t>
        </is>
      </c>
      <c r="F91" s="2" t="inlineStr">
        <is>
          <t>Chevrolet Cruze</t>
        </is>
      </c>
      <c r="G91" s="2" t="inlineStr">
        <is>
          <t>1.6</t>
        </is>
      </c>
      <c r="H91" s="2" t="inlineStr">
        <is>
          <t>1.6 LS Clima</t>
        </is>
      </c>
      <c r="I91" s="2" t="n"/>
      <c r="J91" s="2" t="n"/>
      <c r="K91" s="2" t="inlineStr">
        <is>
          <t>gasolina</t>
        </is>
      </c>
      <c r="L91" s="2" t="inlineStr">
        <is>
          <t>compacto</t>
        </is>
      </c>
      <c r="M91" s="2" t="n">
        <v>2011</v>
      </c>
      <c r="N91" s="2" t="n">
        <v>205000</v>
      </c>
      <c r="O91" s="2" t="n">
        <v>3950</v>
      </c>
      <c r="P91" s="2" t="inlineStr">
        <is>
          <t>manual</t>
        </is>
      </c>
      <c r="Q91" s="2" t="inlineStr">
        <is>
          <t>no</t>
        </is>
      </c>
      <c r="R91" s="2" t="inlineStr">
        <is>
          <t>profesional</t>
        </is>
      </c>
      <c r="S91" s="2" t="inlineStr">
        <is>
          <t>NRGCARS La Pobla de Vallbona</t>
        </is>
      </c>
      <c r="T91" s="2" t="inlineStr">
        <is>
          <t>2026-10-05T18:04:21Z</t>
        </is>
      </c>
      <c r="U91" s="2" t="n">
        <v>13</v>
      </c>
      <c r="V91" s="2" t="inlineStr">
        <is>
          <t>sí</t>
        </is>
      </c>
      <c r="W91" s="2" t="n"/>
      <c r="X91" s="2" t="n"/>
      <c r="Y91" s="2" t="n"/>
      <c r="Z91" s="2" t="inlineStr">
        <is>
          <t>sí</t>
        </is>
      </c>
      <c r="AA91" s="2" t="n"/>
      <c r="AB91" s="2" t="n">
        <v>12</v>
      </c>
      <c r="AC91" s="2" t="n"/>
      <c r="AD91" s="2" t="n"/>
      <c r="AE91" s="2" t="n"/>
      <c r="AF91" s="2" t="n"/>
      <c r="AG91" s="2" t="n"/>
      <c r="AH91" s="2" t="n">
        <v>3950</v>
      </c>
      <c r="AI91" s="2" t="n">
        <v>3950</v>
      </c>
      <c r="AJ91" s="2" t="n"/>
      <c r="AK91" s="2" t="n"/>
      <c r="AL91" s="2" t="n"/>
      <c r="AM91" s="2" t="n">
        <v>20.8</v>
      </c>
      <c r="AN91" s="2" t="n">
        <v>3100</v>
      </c>
      <c r="AO91" s="2" t="n">
        <v>6</v>
      </c>
      <c r="AP91" s="2" t="inlineStr">
        <is>
          <t>modelo+año+km</t>
        </is>
      </c>
      <c r="AQ91" s="2" t="n"/>
      <c r="AR91" s="2" t="inlineStr">
        <is>
          <t>vendedor profesional: sin ITP (operación con IVA/REBU, confirmar en factura); gastos de gestión del vendedor no indicados: se suma la tasa DGT; preguntar el precio final; fiabilidad del modelo PENDIENTE de fuente (puntuación neutra)</t>
        </is>
      </c>
      <c r="AS91" s="2" t="inlineStr">
        <is>
          <t xml:space="preserve">ITV EN VIGOR
RECIEN REVISADO
ACEPTO VEHÍCULO COMO PARTE DE PAGO 
EMBRAGUE RECIEN CAMBIADO </t>
        </is>
      </c>
      <c r="AT91" s="2" t="inlineStr">
        <is>
          <t>https://www.coches.net/chevrolet-cruze-16-ls-clima-4p-gasolina-2011-en-valencia-71678496-covo.aspx (window.__INITIAL_PROPS__.ad) /home/user/Alopecia/buscador-coches/raw/cochesnet/84c294324eca9271.json</t>
        </is>
      </c>
      <c r="AU91" s="3">
        <f>MAX(ANIO_ACTUAL-M91,0)</f>
        <v/>
      </c>
      <c r="AV91" s="4">
        <f>N91/MAX(AU91,0.5)</f>
        <v/>
      </c>
      <c r="AW91" s="4">
        <f>F91</f>
        <v/>
      </c>
      <c r="AX91" s="3">
        <f>AW91&amp;"|"&amp;INT(M91/SEG_ANIO)*SEG_ANIO</f>
        <v/>
      </c>
      <c r="AY91" s="3">
        <f>AX91&amp;"|"&amp;INT(N91/SEG_KM)*SEG_KM</f>
        <v/>
      </c>
      <c r="AZ91" s="4">
        <f>COUNTIF($AW$2:$AW$91,AW91)</f>
        <v/>
      </c>
      <c r="BA91" s="4">
        <f>COUNTIF($AX$2:$AX$91,AX91)</f>
        <v/>
      </c>
      <c r="BB91" s="4">
        <f>COUNTIF($AY$2:$AY$91,AY91)</f>
        <v/>
      </c>
      <c r="BC91" s="3">
        <f t="array" ref="BC91">IF(N(AO91)&gt;=MIN_N,AN91,IF(BB91&gt;=MIN_N,MEDIAN(IF($AY$2:$AY$91=AY91,$O$2:$O$91)),IF(BA91&gt;=MIN_N,MEDIAN(IF($AX$2:$AX$91=AX91,$O$2:$O$91)),MEDIAN(IF($AW$2:$AW$91=AW91,$O$2:$O$91)))))</f>
        <v/>
      </c>
      <c r="BD91" s="3">
        <f>IF(N(AO91)&gt;=MIN_N,"mercado "&amp;AP91,IF(BB91&gt;=MIN_N,"modelo+año+km",IF(BA91&gt;=MIN_N,"modelo+año","modelo")))</f>
        <v/>
      </c>
      <c r="BE91" s="4">
        <f>(BC91-O91)/BC91</f>
        <v/>
      </c>
      <c r="BF91" s="3">
        <f>IF(OR(K91="hibrido",K91="glp"),"ECO",IF(K91="electrico","CERO",IF(K91="gasolina",IF(M91&gt;=GAS_C,"C",IF(M91&gt;=GAS_B,"B","A")),IF(K91="diesel",IF(M91&gt;=DIE_C,"C",IF(M91&gt;=DIE_B,"B","A")),""))))</f>
        <v/>
      </c>
      <c r="BG91" s="3">
        <f>IFERROR(VLOOKUP(F91,MOD_TBL,11,0),IFERROR(VLOOKUP(E91,OCU_TBL,2,0),NEUTRO))</f>
        <v/>
      </c>
      <c r="BH91" s="3">
        <f>SUMIFS(MOT_AJUSTE,MOT_MOTOR,G91,MOT_MARCA,E91,MOT_DESDE,"&lt;="&amp;M91,MOT_HASTA,"&gt;="&amp;M91)+SUMIFS(MOT_AJUSTE,MOT_MOTOR,G91,MOT_MARCA,"(todas)",MOT_DESDE,"&lt;="&amp;M91,MOT_HASTA,"&gt;="&amp;M91)</f>
        <v/>
      </c>
      <c r="BI91" s="3">
        <f>SUMIFS(COMB_AJUSTE,COMB_COMB,K91)</f>
        <v/>
      </c>
      <c r="BJ91" s="4">
        <f>MAX(0,MIN(100,BG91+BH91+BI91))</f>
        <v/>
      </c>
      <c r="BK91" s="3">
        <f>MAX(0,MIN(100,50+BE91*PRECIO_PEND))</f>
        <v/>
      </c>
      <c r="BL91" s="3">
        <f>MAX(0,100*(1-N91/KM_MAX))</f>
        <v/>
      </c>
      <c r="BM91" s="3">
        <f>IF(AV91&lt;KMA_SOSP,IF(AA91="sí",100,KMA_PEN),IF(AV91&lt;=KMA_IDEAL_MAX,100,MAX(0,100*(KMA_CERO-AV91)/(KMA_CERO-KMA_IDEAL_MAX))))</f>
        <v/>
      </c>
      <c r="BN91" s="3">
        <f>MAX(0,MIN(100,100*(M91-ANIO_MIN)/(ANIO_ACTUAL-ANIO_MIN)))</f>
        <v/>
      </c>
      <c r="BO91" s="3">
        <f>W_KMT*BL91+W_KMA*BM91+W_EDAD*BN91</f>
        <v/>
      </c>
      <c r="BP91" s="3">
        <f>P_ITV*(V91="sí")+P_LIBRO*(W91="sí")+P_CORREA*(X91="sí")+P_PROP*(Y91=1)+P_GAR*(Z91="sí")+P_FOTOS*MIN(1,N(U91)/FOTOS_OBJ)</f>
        <v/>
      </c>
      <c r="BQ91" s="3">
        <f>IFERROR(VLOOKUP(BF91,ETQ_TBL,2,0),NEUTRO)</f>
        <v/>
      </c>
      <c r="BR91" s="3">
        <f>NEUTRO</f>
        <v/>
      </c>
      <c r="BS91" s="3">
        <f>IFERROR(VLOOKUP(L91,SEGURO_TBL,3,0),"")</f>
        <v/>
      </c>
      <c r="BT91" s="3">
        <f>IF(BS91="",NEUTRO,MAX(0,MIN(100,100*(SEG_REF_MAX-BS91)/(SEG_REF_MAX-SEG_REF_MIN))))</f>
        <v/>
      </c>
      <c r="BU91" s="3">
        <f>W_ET*BQ91+W_CONS*BR91+W_SEG*BT91</f>
        <v/>
      </c>
      <c r="BV91" s="3">
        <f>IF(N(AB91)&gt;0,AB91,IF(AND(R91="profesional",SG_LEGAL_ON=1),GAR_LEGAL,0))</f>
        <v/>
      </c>
      <c r="BW91" s="3">
        <f>SG_GAR*MIN(1,BV91/SG_GAR_FULL)+SG_AMPL*(AC91="sí")+SG_KMC*(AF91="sí")+SG_REV*(N(AE91)&gt;0)+SG_DEV*MIN(1,N(AG91)/SG_DEV_FULL)+SG_HIST*(W91="sí")</f>
        <v/>
      </c>
      <c r="BX91" s="3">
        <f>W_FIAB*BJ91+W_PRECIO*BK91+W_KMEDAD*BO91+W_ANUNCIO*BP91+W_USO*BU91+W_SEGURIDAD*BW91</f>
        <v/>
      </c>
      <c r="BY91" s="4">
        <f>IF(N(I91)&gt;0,I91,IFERROR(ROUND(_xlfn.NUMBERVALUE(LEFT(G91,FIND(" ",G91&amp;" ")-1),".")*1000,0),99999))</f>
        <v/>
      </c>
      <c r="BZ91" s="3">
        <f>IF(R91="profesional",0,IF(O91&lt;CUOTA_VALOR_MAX,IF(AU91&gt;ITP_TRAMO_ALTO,SUMIFS(CF_CUOTA,CF_MAS,ITP_TRAMO_ALTO,CF_CCMIN,"&lt;="&amp;BY91,CF_CCMAX,"&gt;="&amp;BY91),IF(AU91&gt;ITP_TRAMO_BAJO,SUMIFS(CF_CUOTA,CF_MAS,ITP_TRAMO_BAJO,CF_CCMIN,"&lt;="&amp;BY91,CF_CCMAX,"&gt;="&amp;BY91),O91*ITP_TIPO)),O91*ITP_TIPO))</f>
        <v/>
      </c>
      <c r="CA91" s="4">
        <f>IF(R91="profesional",N(AK91),0)</f>
        <v/>
      </c>
      <c r="CB91" s="3">
        <f>IF(AND(R91="profesional",ISNUMBER(AK91),AL91="sí"),0,TASA_DGT)</f>
        <v/>
      </c>
      <c r="CC91" s="3">
        <f>INFORME_DGT</f>
        <v/>
      </c>
      <c r="CD91" s="4">
        <f>O91+CA91+BZ91+CB91+CC91</f>
        <v/>
      </c>
      <c r="CE91" s="4">
        <f>CD91+N(BS91)</f>
        <v/>
      </c>
      <c r="CF91" s="3">
        <f>IF(CD91&lt;=TOTAL_MAX,"sí","no")</f>
        <v/>
      </c>
      <c r="CG91" s="4">
        <f>IF(CF91="sí",COUNTIFS($CF$2:$CF$91,"sí",$BX$2:$BX$91,"&gt;"&amp;BX91)+COUNTIFS($CF$2:CF91,"sí",$BX$2:BX91,BX91),"")</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K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P. Fiabilidad</t>
        </is>
      </c>
      <c r="Y1" s="1" t="inlineStr">
        <is>
          <t>P. Precio</t>
        </is>
      </c>
      <c r="Z1" s="1" t="inlineStr">
        <is>
          <t>P. Km y edad</t>
        </is>
      </c>
      <c r="AA1" s="1" t="inlineStr">
        <is>
          <t>P. Anuncio</t>
        </is>
      </c>
      <c r="AB1" s="1" t="inlineStr">
        <is>
          <t>P. Coste uso</t>
        </is>
      </c>
      <c r="AC1" s="1" t="inlineStr">
        <is>
          <t>P. Seguridad compra</t>
        </is>
      </c>
      <c r="AD1" s="1" t="inlineStr">
        <is>
          <t>PUNTUACIÓN</t>
        </is>
      </c>
      <c r="AE1" s="1" t="inlineStr">
        <is>
          <t>Avisos</t>
        </is>
      </c>
      <c r="AF1" s="1" t="inlineStr">
        <is>
          <t>Aport. fiabilidad</t>
        </is>
      </c>
      <c r="AG1" s="1" t="inlineStr">
        <is>
          <t>Aport. precio</t>
        </is>
      </c>
      <c r="AH1" s="1" t="inlineStr">
        <is>
          <t>Aport. km/edad</t>
        </is>
      </c>
      <c r="AI1" s="1" t="inlineStr">
        <is>
          <t>Aport. anuncio</t>
        </is>
      </c>
      <c r="AJ1" s="1" t="inlineStr">
        <is>
          <t>Aport. uso</t>
        </is>
      </c>
      <c r="AK1" s="1" t="inlineStr">
        <is>
          <t>Aport. seguridad</t>
        </is>
      </c>
    </row>
    <row r="2">
      <c r="A2" s="2" t="n">
        <v>1</v>
      </c>
      <c r="B2" s="3">
        <f>IFERROR(MATCH(A2,Anuncios!$CG$2:$CG$91,0),"")</f>
        <v/>
      </c>
      <c r="C2" s="3">
        <f>IF(B2="","",HYPERLINK(INDEX(Anuncios!$C$2:$C$91,B2),"Abrir anuncio"))</f>
        <v/>
      </c>
      <c r="D2" s="3">
        <f>IF($B2="","",INDEX(Anuncios!$D$2:$D$91,$B2))</f>
        <v/>
      </c>
      <c r="E2" s="3">
        <f>IF($B2="","",INDEX(Anuncios!$B$2:$B$91,$B2))</f>
        <v/>
      </c>
      <c r="F2" s="3">
        <f>IF($B2="","",INDEX(Anuncios!$E$2:$E$91,$B2))</f>
        <v/>
      </c>
      <c r="G2" s="3">
        <f>IF($B2="","",INDEX(Anuncios!$F$2:$F$91,$B2))</f>
        <v/>
      </c>
      <c r="H2" s="3">
        <f>IF($B2="","",INDEX(Anuncios!$G$2:$G$91,$B2))</f>
        <v/>
      </c>
      <c r="I2" s="3">
        <f>IF($B2="","",INDEX(Anuncios!$K$2:$K$91,$B2))</f>
        <v/>
      </c>
      <c r="J2" s="3">
        <f>IF($B2="","",INDEX(Anuncios!$M$2:$M$91,$B2))</f>
        <v/>
      </c>
      <c r="K2" s="3">
        <f>IF($B2="","",INDEX(Anuncios!$N$2:$N$91,$B2))</f>
        <v/>
      </c>
      <c r="L2" s="3">
        <f>IF($B2="","",INDEX(Anuncios!$Q$2:$Q$91,$B2))</f>
        <v/>
      </c>
      <c r="M2" s="3">
        <f>IF($B2="","",INDEX(Anuncios!$R$2:$R$91,$B2))</f>
        <v/>
      </c>
      <c r="N2" s="3">
        <f>IF($B2="","",INDEX(Anuncios!$O$2:$O$91,$B2))</f>
        <v/>
      </c>
      <c r="O2" s="3">
        <f>IF($B2="","",INDEX(Anuncios!$AJ$2:$AJ$91,$B2))</f>
        <v/>
      </c>
      <c r="P2" s="3">
        <f>IF($B2="","",INDEX(Anuncios!$AI$2:$AI$91,$B2))</f>
        <v/>
      </c>
      <c r="Q2" s="3">
        <f>IF($B2="","",INDEX(Anuncios!$BV$2:$BV$91,$B2))</f>
        <v/>
      </c>
      <c r="R2" s="3">
        <f>IF($B2="","",INDEX(Anuncios!$CA$2:$CA$91,$B2))</f>
        <v/>
      </c>
      <c r="S2" s="3">
        <f>IF($B2="","",INDEX(Anuncios!$BZ$2:$BZ$91,$B2))</f>
        <v/>
      </c>
      <c r="T2" s="3">
        <f>IF($B2="","",INDEX(Anuncios!$CD$2:$CD$91,$B2))</f>
        <v/>
      </c>
      <c r="U2" s="3">
        <f>IF($B2="","",INDEX(Anuncios!$BC$2:$BC$91,$B2))</f>
        <v/>
      </c>
      <c r="V2" s="3">
        <f>IF($B2="","",INDEX(Anuncios!$BE$2:$BE$91,$B2))</f>
        <v/>
      </c>
      <c r="W2" s="3">
        <f>IF($B2="","",INDEX(Anuncios!$BF$2:$BF$91,$B2))</f>
        <v/>
      </c>
      <c r="X2" s="3">
        <f>IF($B2="","",INDEX(Anuncios!$BJ$2:$BJ$91,$B2))</f>
        <v/>
      </c>
      <c r="Y2" s="3">
        <f>IF($B2="","",INDEX(Anuncios!$BK$2:$BK$91,$B2))</f>
        <v/>
      </c>
      <c r="Z2" s="3">
        <f>IF($B2="","",INDEX(Anuncios!$BO$2:$BO$91,$B2))</f>
        <v/>
      </c>
      <c r="AA2" s="3">
        <f>IF($B2="","",INDEX(Anuncios!$BP$2:$BP$91,$B2))</f>
        <v/>
      </c>
      <c r="AB2" s="3">
        <f>IF($B2="","",INDEX(Anuncios!$BU$2:$BU$91,$B2))</f>
        <v/>
      </c>
      <c r="AC2" s="3">
        <f>IF($B2="","",INDEX(Anuncios!$BW$2:$BW$91,$B2))</f>
        <v/>
      </c>
      <c r="AD2" s="3">
        <f>IF($B2="","",INDEX(Anuncios!$BX$2:$BX$91,$B2))</f>
        <v/>
      </c>
      <c r="AE2" s="3">
        <f>IF($B2="","",INDEX(Anuncios!$AR$2:$AR$91,$B2))</f>
        <v/>
      </c>
      <c r="AF2" s="3">
        <f>IF($B2="","",X2*W_FIAB)</f>
        <v/>
      </c>
      <c r="AG2" s="3">
        <f>IF($B2="","",Y2*W_PRECIO)</f>
        <v/>
      </c>
      <c r="AH2" s="3">
        <f>IF($B2="","",Z2*W_KMEDAD)</f>
        <v/>
      </c>
      <c r="AI2" s="3">
        <f>IF($B2="","",AA2*W_ANUNCIO)</f>
        <v/>
      </c>
      <c r="AJ2" s="3">
        <f>IF($B2="","",AB2*W_USO)</f>
        <v/>
      </c>
      <c r="AK2" s="3">
        <f>IF($B2="","",AC2*W_SEGURIDAD)</f>
        <v/>
      </c>
    </row>
    <row r="3">
      <c r="A3" s="2" t="n">
        <v>2</v>
      </c>
      <c r="B3" s="3">
        <f>IFERROR(MATCH(A3,Anuncios!$CG$2:$CG$91,0),"")</f>
        <v/>
      </c>
      <c r="C3" s="3">
        <f>IF(B3="","",HYPERLINK(INDEX(Anuncios!$C$2:$C$91,B3),"Abrir anuncio"))</f>
        <v/>
      </c>
      <c r="D3" s="3">
        <f>IF($B3="","",INDEX(Anuncios!$D$2:$D$91,$B3))</f>
        <v/>
      </c>
      <c r="E3" s="3">
        <f>IF($B3="","",INDEX(Anuncios!$B$2:$B$91,$B3))</f>
        <v/>
      </c>
      <c r="F3" s="3">
        <f>IF($B3="","",INDEX(Anuncios!$E$2:$E$91,$B3))</f>
        <v/>
      </c>
      <c r="G3" s="3">
        <f>IF($B3="","",INDEX(Anuncios!$F$2:$F$91,$B3))</f>
        <v/>
      </c>
      <c r="H3" s="3">
        <f>IF($B3="","",INDEX(Anuncios!$G$2:$G$91,$B3))</f>
        <v/>
      </c>
      <c r="I3" s="3">
        <f>IF($B3="","",INDEX(Anuncios!$K$2:$K$91,$B3))</f>
        <v/>
      </c>
      <c r="J3" s="3">
        <f>IF($B3="","",INDEX(Anuncios!$M$2:$M$91,$B3))</f>
        <v/>
      </c>
      <c r="K3" s="3">
        <f>IF($B3="","",INDEX(Anuncios!$N$2:$N$91,$B3))</f>
        <v/>
      </c>
      <c r="L3" s="3">
        <f>IF($B3="","",INDEX(Anuncios!$Q$2:$Q$91,$B3))</f>
        <v/>
      </c>
      <c r="M3" s="3">
        <f>IF($B3="","",INDEX(Anuncios!$R$2:$R$91,$B3))</f>
        <v/>
      </c>
      <c r="N3" s="3">
        <f>IF($B3="","",INDEX(Anuncios!$O$2:$O$91,$B3))</f>
        <v/>
      </c>
      <c r="O3" s="3">
        <f>IF($B3="","",INDEX(Anuncios!$AJ$2:$AJ$91,$B3))</f>
        <v/>
      </c>
      <c r="P3" s="3">
        <f>IF($B3="","",INDEX(Anuncios!$AI$2:$AI$91,$B3))</f>
        <v/>
      </c>
      <c r="Q3" s="3">
        <f>IF($B3="","",INDEX(Anuncios!$BV$2:$BV$91,$B3))</f>
        <v/>
      </c>
      <c r="R3" s="3">
        <f>IF($B3="","",INDEX(Anuncios!$CA$2:$CA$91,$B3))</f>
        <v/>
      </c>
      <c r="S3" s="3">
        <f>IF($B3="","",INDEX(Anuncios!$BZ$2:$BZ$91,$B3))</f>
        <v/>
      </c>
      <c r="T3" s="3">
        <f>IF($B3="","",INDEX(Anuncios!$CD$2:$CD$91,$B3))</f>
        <v/>
      </c>
      <c r="U3" s="3">
        <f>IF($B3="","",INDEX(Anuncios!$BC$2:$BC$91,$B3))</f>
        <v/>
      </c>
      <c r="V3" s="3">
        <f>IF($B3="","",INDEX(Anuncios!$BE$2:$BE$91,$B3))</f>
        <v/>
      </c>
      <c r="W3" s="3">
        <f>IF($B3="","",INDEX(Anuncios!$BF$2:$BF$91,$B3))</f>
        <v/>
      </c>
      <c r="X3" s="3">
        <f>IF($B3="","",INDEX(Anuncios!$BJ$2:$BJ$91,$B3))</f>
        <v/>
      </c>
      <c r="Y3" s="3">
        <f>IF($B3="","",INDEX(Anuncios!$BK$2:$BK$91,$B3))</f>
        <v/>
      </c>
      <c r="Z3" s="3">
        <f>IF($B3="","",INDEX(Anuncios!$BO$2:$BO$91,$B3))</f>
        <v/>
      </c>
      <c r="AA3" s="3">
        <f>IF($B3="","",INDEX(Anuncios!$BP$2:$BP$91,$B3))</f>
        <v/>
      </c>
      <c r="AB3" s="3">
        <f>IF($B3="","",INDEX(Anuncios!$BU$2:$BU$91,$B3))</f>
        <v/>
      </c>
      <c r="AC3" s="3">
        <f>IF($B3="","",INDEX(Anuncios!$BW$2:$BW$91,$B3))</f>
        <v/>
      </c>
      <c r="AD3" s="3">
        <f>IF($B3="","",INDEX(Anuncios!$BX$2:$BX$91,$B3))</f>
        <v/>
      </c>
      <c r="AE3" s="3">
        <f>IF($B3="","",INDEX(Anuncios!$AR$2:$AR$91,$B3))</f>
        <v/>
      </c>
      <c r="AF3" s="3">
        <f>IF($B3="","",X3*W_FIAB)</f>
        <v/>
      </c>
      <c r="AG3" s="3">
        <f>IF($B3="","",Y3*W_PRECIO)</f>
        <v/>
      </c>
      <c r="AH3" s="3">
        <f>IF($B3="","",Z3*W_KMEDAD)</f>
        <v/>
      </c>
      <c r="AI3" s="3">
        <f>IF($B3="","",AA3*W_ANUNCIO)</f>
        <v/>
      </c>
      <c r="AJ3" s="3">
        <f>IF($B3="","",AB3*W_USO)</f>
        <v/>
      </c>
      <c r="AK3" s="3">
        <f>IF($B3="","",AC3*W_SEGURIDAD)</f>
        <v/>
      </c>
    </row>
    <row r="4">
      <c r="A4" s="2" t="n">
        <v>3</v>
      </c>
      <c r="B4" s="3">
        <f>IFERROR(MATCH(A4,Anuncios!$CG$2:$CG$91,0),"")</f>
        <v/>
      </c>
      <c r="C4" s="3">
        <f>IF(B4="","",HYPERLINK(INDEX(Anuncios!$C$2:$C$91,B4),"Abrir anuncio"))</f>
        <v/>
      </c>
      <c r="D4" s="3">
        <f>IF($B4="","",INDEX(Anuncios!$D$2:$D$91,$B4))</f>
        <v/>
      </c>
      <c r="E4" s="3">
        <f>IF($B4="","",INDEX(Anuncios!$B$2:$B$91,$B4))</f>
        <v/>
      </c>
      <c r="F4" s="3">
        <f>IF($B4="","",INDEX(Anuncios!$E$2:$E$91,$B4))</f>
        <v/>
      </c>
      <c r="G4" s="3">
        <f>IF($B4="","",INDEX(Anuncios!$F$2:$F$91,$B4))</f>
        <v/>
      </c>
      <c r="H4" s="3">
        <f>IF($B4="","",INDEX(Anuncios!$G$2:$G$91,$B4))</f>
        <v/>
      </c>
      <c r="I4" s="3">
        <f>IF($B4="","",INDEX(Anuncios!$K$2:$K$91,$B4))</f>
        <v/>
      </c>
      <c r="J4" s="3">
        <f>IF($B4="","",INDEX(Anuncios!$M$2:$M$91,$B4))</f>
        <v/>
      </c>
      <c r="K4" s="3">
        <f>IF($B4="","",INDEX(Anuncios!$N$2:$N$91,$B4))</f>
        <v/>
      </c>
      <c r="L4" s="3">
        <f>IF($B4="","",INDEX(Anuncios!$Q$2:$Q$91,$B4))</f>
        <v/>
      </c>
      <c r="M4" s="3">
        <f>IF($B4="","",INDEX(Anuncios!$R$2:$R$91,$B4))</f>
        <v/>
      </c>
      <c r="N4" s="3">
        <f>IF($B4="","",INDEX(Anuncios!$O$2:$O$91,$B4))</f>
        <v/>
      </c>
      <c r="O4" s="3">
        <f>IF($B4="","",INDEX(Anuncios!$AJ$2:$AJ$91,$B4))</f>
        <v/>
      </c>
      <c r="P4" s="3">
        <f>IF($B4="","",INDEX(Anuncios!$AI$2:$AI$91,$B4))</f>
        <v/>
      </c>
      <c r="Q4" s="3">
        <f>IF($B4="","",INDEX(Anuncios!$BV$2:$BV$91,$B4))</f>
        <v/>
      </c>
      <c r="R4" s="3">
        <f>IF($B4="","",INDEX(Anuncios!$CA$2:$CA$91,$B4))</f>
        <v/>
      </c>
      <c r="S4" s="3">
        <f>IF($B4="","",INDEX(Anuncios!$BZ$2:$BZ$91,$B4))</f>
        <v/>
      </c>
      <c r="T4" s="3">
        <f>IF($B4="","",INDEX(Anuncios!$CD$2:$CD$91,$B4))</f>
        <v/>
      </c>
      <c r="U4" s="3">
        <f>IF($B4="","",INDEX(Anuncios!$BC$2:$BC$91,$B4))</f>
        <v/>
      </c>
      <c r="V4" s="3">
        <f>IF($B4="","",INDEX(Anuncios!$BE$2:$BE$91,$B4))</f>
        <v/>
      </c>
      <c r="W4" s="3">
        <f>IF($B4="","",INDEX(Anuncios!$BF$2:$BF$91,$B4))</f>
        <v/>
      </c>
      <c r="X4" s="3">
        <f>IF($B4="","",INDEX(Anuncios!$BJ$2:$BJ$91,$B4))</f>
        <v/>
      </c>
      <c r="Y4" s="3">
        <f>IF($B4="","",INDEX(Anuncios!$BK$2:$BK$91,$B4))</f>
        <v/>
      </c>
      <c r="Z4" s="3">
        <f>IF($B4="","",INDEX(Anuncios!$BO$2:$BO$91,$B4))</f>
        <v/>
      </c>
      <c r="AA4" s="3">
        <f>IF($B4="","",INDEX(Anuncios!$BP$2:$BP$91,$B4))</f>
        <v/>
      </c>
      <c r="AB4" s="3">
        <f>IF($B4="","",INDEX(Anuncios!$BU$2:$BU$91,$B4))</f>
        <v/>
      </c>
      <c r="AC4" s="3">
        <f>IF($B4="","",INDEX(Anuncios!$BW$2:$BW$91,$B4))</f>
        <v/>
      </c>
      <c r="AD4" s="3">
        <f>IF($B4="","",INDEX(Anuncios!$BX$2:$BX$91,$B4))</f>
        <v/>
      </c>
      <c r="AE4" s="3">
        <f>IF($B4="","",INDEX(Anuncios!$AR$2:$AR$91,$B4))</f>
        <v/>
      </c>
      <c r="AF4" s="3">
        <f>IF($B4="","",X4*W_FIAB)</f>
        <v/>
      </c>
      <c r="AG4" s="3">
        <f>IF($B4="","",Y4*W_PRECIO)</f>
        <v/>
      </c>
      <c r="AH4" s="3">
        <f>IF($B4="","",Z4*W_KMEDAD)</f>
        <v/>
      </c>
      <c r="AI4" s="3">
        <f>IF($B4="","",AA4*W_ANUNCIO)</f>
        <v/>
      </c>
      <c r="AJ4" s="3">
        <f>IF($B4="","",AB4*W_USO)</f>
        <v/>
      </c>
      <c r="AK4" s="3">
        <f>IF($B4="","",AC4*W_SEGURIDAD)</f>
        <v/>
      </c>
    </row>
    <row r="5">
      <c r="A5" s="2" t="n">
        <v>4</v>
      </c>
      <c r="B5" s="3">
        <f>IFERROR(MATCH(A5,Anuncios!$CG$2:$CG$91,0),"")</f>
        <v/>
      </c>
      <c r="C5" s="3">
        <f>IF(B5="","",HYPERLINK(INDEX(Anuncios!$C$2:$C$91,B5),"Abrir anuncio"))</f>
        <v/>
      </c>
      <c r="D5" s="3">
        <f>IF($B5="","",INDEX(Anuncios!$D$2:$D$91,$B5))</f>
        <v/>
      </c>
      <c r="E5" s="3">
        <f>IF($B5="","",INDEX(Anuncios!$B$2:$B$91,$B5))</f>
        <v/>
      </c>
      <c r="F5" s="3">
        <f>IF($B5="","",INDEX(Anuncios!$E$2:$E$91,$B5))</f>
        <v/>
      </c>
      <c r="G5" s="3">
        <f>IF($B5="","",INDEX(Anuncios!$F$2:$F$91,$B5))</f>
        <v/>
      </c>
      <c r="H5" s="3">
        <f>IF($B5="","",INDEX(Anuncios!$G$2:$G$91,$B5))</f>
        <v/>
      </c>
      <c r="I5" s="3">
        <f>IF($B5="","",INDEX(Anuncios!$K$2:$K$91,$B5))</f>
        <v/>
      </c>
      <c r="J5" s="3">
        <f>IF($B5="","",INDEX(Anuncios!$M$2:$M$91,$B5))</f>
        <v/>
      </c>
      <c r="K5" s="3">
        <f>IF($B5="","",INDEX(Anuncios!$N$2:$N$91,$B5))</f>
        <v/>
      </c>
      <c r="L5" s="3">
        <f>IF($B5="","",INDEX(Anuncios!$Q$2:$Q$91,$B5))</f>
        <v/>
      </c>
      <c r="M5" s="3">
        <f>IF($B5="","",INDEX(Anuncios!$R$2:$R$91,$B5))</f>
        <v/>
      </c>
      <c r="N5" s="3">
        <f>IF($B5="","",INDEX(Anuncios!$O$2:$O$91,$B5))</f>
        <v/>
      </c>
      <c r="O5" s="3">
        <f>IF($B5="","",INDEX(Anuncios!$AJ$2:$AJ$91,$B5))</f>
        <v/>
      </c>
      <c r="P5" s="3">
        <f>IF($B5="","",INDEX(Anuncios!$AI$2:$AI$91,$B5))</f>
        <v/>
      </c>
      <c r="Q5" s="3">
        <f>IF($B5="","",INDEX(Anuncios!$BV$2:$BV$91,$B5))</f>
        <v/>
      </c>
      <c r="R5" s="3">
        <f>IF($B5="","",INDEX(Anuncios!$CA$2:$CA$91,$B5))</f>
        <v/>
      </c>
      <c r="S5" s="3">
        <f>IF($B5="","",INDEX(Anuncios!$BZ$2:$BZ$91,$B5))</f>
        <v/>
      </c>
      <c r="T5" s="3">
        <f>IF($B5="","",INDEX(Anuncios!$CD$2:$CD$91,$B5))</f>
        <v/>
      </c>
      <c r="U5" s="3">
        <f>IF($B5="","",INDEX(Anuncios!$BC$2:$BC$91,$B5))</f>
        <v/>
      </c>
      <c r="V5" s="3">
        <f>IF($B5="","",INDEX(Anuncios!$BE$2:$BE$91,$B5))</f>
        <v/>
      </c>
      <c r="W5" s="3">
        <f>IF($B5="","",INDEX(Anuncios!$BF$2:$BF$91,$B5))</f>
        <v/>
      </c>
      <c r="X5" s="3">
        <f>IF($B5="","",INDEX(Anuncios!$BJ$2:$BJ$91,$B5))</f>
        <v/>
      </c>
      <c r="Y5" s="3">
        <f>IF($B5="","",INDEX(Anuncios!$BK$2:$BK$91,$B5))</f>
        <v/>
      </c>
      <c r="Z5" s="3">
        <f>IF($B5="","",INDEX(Anuncios!$BO$2:$BO$91,$B5))</f>
        <v/>
      </c>
      <c r="AA5" s="3">
        <f>IF($B5="","",INDEX(Anuncios!$BP$2:$BP$91,$B5))</f>
        <v/>
      </c>
      <c r="AB5" s="3">
        <f>IF($B5="","",INDEX(Anuncios!$BU$2:$BU$91,$B5))</f>
        <v/>
      </c>
      <c r="AC5" s="3">
        <f>IF($B5="","",INDEX(Anuncios!$BW$2:$BW$91,$B5))</f>
        <v/>
      </c>
      <c r="AD5" s="3">
        <f>IF($B5="","",INDEX(Anuncios!$BX$2:$BX$91,$B5))</f>
        <v/>
      </c>
      <c r="AE5" s="3">
        <f>IF($B5="","",INDEX(Anuncios!$AR$2:$AR$91,$B5))</f>
        <v/>
      </c>
      <c r="AF5" s="3">
        <f>IF($B5="","",X5*W_FIAB)</f>
        <v/>
      </c>
      <c r="AG5" s="3">
        <f>IF($B5="","",Y5*W_PRECIO)</f>
        <v/>
      </c>
      <c r="AH5" s="3">
        <f>IF($B5="","",Z5*W_KMEDAD)</f>
        <v/>
      </c>
      <c r="AI5" s="3">
        <f>IF($B5="","",AA5*W_ANUNCIO)</f>
        <v/>
      </c>
      <c r="AJ5" s="3">
        <f>IF($B5="","",AB5*W_USO)</f>
        <v/>
      </c>
      <c r="AK5" s="3">
        <f>IF($B5="","",AC5*W_SEGURIDAD)</f>
        <v/>
      </c>
    </row>
    <row r="6">
      <c r="A6" s="2" t="n">
        <v>5</v>
      </c>
      <c r="B6" s="3">
        <f>IFERROR(MATCH(A6,Anuncios!$CG$2:$CG$91,0),"")</f>
        <v/>
      </c>
      <c r="C6" s="3">
        <f>IF(B6="","",HYPERLINK(INDEX(Anuncios!$C$2:$C$91,B6),"Abrir anuncio"))</f>
        <v/>
      </c>
      <c r="D6" s="3">
        <f>IF($B6="","",INDEX(Anuncios!$D$2:$D$91,$B6))</f>
        <v/>
      </c>
      <c r="E6" s="3">
        <f>IF($B6="","",INDEX(Anuncios!$B$2:$B$91,$B6))</f>
        <v/>
      </c>
      <c r="F6" s="3">
        <f>IF($B6="","",INDEX(Anuncios!$E$2:$E$91,$B6))</f>
        <v/>
      </c>
      <c r="G6" s="3">
        <f>IF($B6="","",INDEX(Anuncios!$F$2:$F$91,$B6))</f>
        <v/>
      </c>
      <c r="H6" s="3">
        <f>IF($B6="","",INDEX(Anuncios!$G$2:$G$91,$B6))</f>
        <v/>
      </c>
      <c r="I6" s="3">
        <f>IF($B6="","",INDEX(Anuncios!$K$2:$K$91,$B6))</f>
        <v/>
      </c>
      <c r="J6" s="3">
        <f>IF($B6="","",INDEX(Anuncios!$M$2:$M$91,$B6))</f>
        <v/>
      </c>
      <c r="K6" s="3">
        <f>IF($B6="","",INDEX(Anuncios!$N$2:$N$91,$B6))</f>
        <v/>
      </c>
      <c r="L6" s="3">
        <f>IF($B6="","",INDEX(Anuncios!$Q$2:$Q$91,$B6))</f>
        <v/>
      </c>
      <c r="M6" s="3">
        <f>IF($B6="","",INDEX(Anuncios!$R$2:$R$91,$B6))</f>
        <v/>
      </c>
      <c r="N6" s="3">
        <f>IF($B6="","",INDEX(Anuncios!$O$2:$O$91,$B6))</f>
        <v/>
      </c>
      <c r="O6" s="3">
        <f>IF($B6="","",INDEX(Anuncios!$AJ$2:$AJ$91,$B6))</f>
        <v/>
      </c>
      <c r="P6" s="3">
        <f>IF($B6="","",INDEX(Anuncios!$AI$2:$AI$91,$B6))</f>
        <v/>
      </c>
      <c r="Q6" s="3">
        <f>IF($B6="","",INDEX(Anuncios!$BV$2:$BV$91,$B6))</f>
        <v/>
      </c>
      <c r="R6" s="3">
        <f>IF($B6="","",INDEX(Anuncios!$CA$2:$CA$91,$B6))</f>
        <v/>
      </c>
      <c r="S6" s="3">
        <f>IF($B6="","",INDEX(Anuncios!$BZ$2:$BZ$91,$B6))</f>
        <v/>
      </c>
      <c r="T6" s="3">
        <f>IF($B6="","",INDEX(Anuncios!$CD$2:$CD$91,$B6))</f>
        <v/>
      </c>
      <c r="U6" s="3">
        <f>IF($B6="","",INDEX(Anuncios!$BC$2:$BC$91,$B6))</f>
        <v/>
      </c>
      <c r="V6" s="3">
        <f>IF($B6="","",INDEX(Anuncios!$BE$2:$BE$91,$B6))</f>
        <v/>
      </c>
      <c r="W6" s="3">
        <f>IF($B6="","",INDEX(Anuncios!$BF$2:$BF$91,$B6))</f>
        <v/>
      </c>
      <c r="X6" s="3">
        <f>IF($B6="","",INDEX(Anuncios!$BJ$2:$BJ$91,$B6))</f>
        <v/>
      </c>
      <c r="Y6" s="3">
        <f>IF($B6="","",INDEX(Anuncios!$BK$2:$BK$91,$B6))</f>
        <v/>
      </c>
      <c r="Z6" s="3">
        <f>IF($B6="","",INDEX(Anuncios!$BO$2:$BO$91,$B6))</f>
        <v/>
      </c>
      <c r="AA6" s="3">
        <f>IF($B6="","",INDEX(Anuncios!$BP$2:$BP$91,$B6))</f>
        <v/>
      </c>
      <c r="AB6" s="3">
        <f>IF($B6="","",INDEX(Anuncios!$BU$2:$BU$91,$B6))</f>
        <v/>
      </c>
      <c r="AC6" s="3">
        <f>IF($B6="","",INDEX(Anuncios!$BW$2:$BW$91,$B6))</f>
        <v/>
      </c>
      <c r="AD6" s="3">
        <f>IF($B6="","",INDEX(Anuncios!$BX$2:$BX$91,$B6))</f>
        <v/>
      </c>
      <c r="AE6" s="3">
        <f>IF($B6="","",INDEX(Anuncios!$AR$2:$AR$91,$B6))</f>
        <v/>
      </c>
      <c r="AF6" s="3">
        <f>IF($B6="","",X6*W_FIAB)</f>
        <v/>
      </c>
      <c r="AG6" s="3">
        <f>IF($B6="","",Y6*W_PRECIO)</f>
        <v/>
      </c>
      <c r="AH6" s="3">
        <f>IF($B6="","",Z6*W_KMEDAD)</f>
        <v/>
      </c>
      <c r="AI6" s="3">
        <f>IF($B6="","",AA6*W_ANUNCIO)</f>
        <v/>
      </c>
      <c r="AJ6" s="3">
        <f>IF($B6="","",AB6*W_USO)</f>
        <v/>
      </c>
      <c r="AK6" s="3">
        <f>IF($B6="","",AC6*W_SEGURIDAD)</f>
        <v/>
      </c>
    </row>
    <row r="7">
      <c r="A7" s="2" t="n">
        <v>6</v>
      </c>
      <c r="B7" s="3">
        <f>IFERROR(MATCH(A7,Anuncios!$CG$2:$CG$91,0),"")</f>
        <v/>
      </c>
      <c r="C7" s="3">
        <f>IF(B7="","",HYPERLINK(INDEX(Anuncios!$C$2:$C$91,B7),"Abrir anuncio"))</f>
        <v/>
      </c>
      <c r="D7" s="3">
        <f>IF($B7="","",INDEX(Anuncios!$D$2:$D$91,$B7))</f>
        <v/>
      </c>
      <c r="E7" s="3">
        <f>IF($B7="","",INDEX(Anuncios!$B$2:$B$91,$B7))</f>
        <v/>
      </c>
      <c r="F7" s="3">
        <f>IF($B7="","",INDEX(Anuncios!$E$2:$E$91,$B7))</f>
        <v/>
      </c>
      <c r="G7" s="3">
        <f>IF($B7="","",INDEX(Anuncios!$F$2:$F$91,$B7))</f>
        <v/>
      </c>
      <c r="H7" s="3">
        <f>IF($B7="","",INDEX(Anuncios!$G$2:$G$91,$B7))</f>
        <v/>
      </c>
      <c r="I7" s="3">
        <f>IF($B7="","",INDEX(Anuncios!$K$2:$K$91,$B7))</f>
        <v/>
      </c>
      <c r="J7" s="3">
        <f>IF($B7="","",INDEX(Anuncios!$M$2:$M$91,$B7))</f>
        <v/>
      </c>
      <c r="K7" s="3">
        <f>IF($B7="","",INDEX(Anuncios!$N$2:$N$91,$B7))</f>
        <v/>
      </c>
      <c r="L7" s="3">
        <f>IF($B7="","",INDEX(Anuncios!$Q$2:$Q$91,$B7))</f>
        <v/>
      </c>
      <c r="M7" s="3">
        <f>IF($B7="","",INDEX(Anuncios!$R$2:$R$91,$B7))</f>
        <v/>
      </c>
      <c r="N7" s="3">
        <f>IF($B7="","",INDEX(Anuncios!$O$2:$O$91,$B7))</f>
        <v/>
      </c>
      <c r="O7" s="3">
        <f>IF($B7="","",INDEX(Anuncios!$AJ$2:$AJ$91,$B7))</f>
        <v/>
      </c>
      <c r="P7" s="3">
        <f>IF($B7="","",INDEX(Anuncios!$AI$2:$AI$91,$B7))</f>
        <v/>
      </c>
      <c r="Q7" s="3">
        <f>IF($B7="","",INDEX(Anuncios!$BV$2:$BV$91,$B7))</f>
        <v/>
      </c>
      <c r="R7" s="3">
        <f>IF($B7="","",INDEX(Anuncios!$CA$2:$CA$91,$B7))</f>
        <v/>
      </c>
      <c r="S7" s="3">
        <f>IF($B7="","",INDEX(Anuncios!$BZ$2:$BZ$91,$B7))</f>
        <v/>
      </c>
      <c r="T7" s="3">
        <f>IF($B7="","",INDEX(Anuncios!$CD$2:$CD$91,$B7))</f>
        <v/>
      </c>
      <c r="U7" s="3">
        <f>IF($B7="","",INDEX(Anuncios!$BC$2:$BC$91,$B7))</f>
        <v/>
      </c>
      <c r="V7" s="3">
        <f>IF($B7="","",INDEX(Anuncios!$BE$2:$BE$91,$B7))</f>
        <v/>
      </c>
      <c r="W7" s="3">
        <f>IF($B7="","",INDEX(Anuncios!$BF$2:$BF$91,$B7))</f>
        <v/>
      </c>
      <c r="X7" s="3">
        <f>IF($B7="","",INDEX(Anuncios!$BJ$2:$BJ$91,$B7))</f>
        <v/>
      </c>
      <c r="Y7" s="3">
        <f>IF($B7="","",INDEX(Anuncios!$BK$2:$BK$91,$B7))</f>
        <v/>
      </c>
      <c r="Z7" s="3">
        <f>IF($B7="","",INDEX(Anuncios!$BO$2:$BO$91,$B7))</f>
        <v/>
      </c>
      <c r="AA7" s="3">
        <f>IF($B7="","",INDEX(Anuncios!$BP$2:$BP$91,$B7))</f>
        <v/>
      </c>
      <c r="AB7" s="3">
        <f>IF($B7="","",INDEX(Anuncios!$BU$2:$BU$91,$B7))</f>
        <v/>
      </c>
      <c r="AC7" s="3">
        <f>IF($B7="","",INDEX(Anuncios!$BW$2:$BW$91,$B7))</f>
        <v/>
      </c>
      <c r="AD7" s="3">
        <f>IF($B7="","",INDEX(Anuncios!$BX$2:$BX$91,$B7))</f>
        <v/>
      </c>
      <c r="AE7" s="3">
        <f>IF($B7="","",INDEX(Anuncios!$AR$2:$AR$91,$B7))</f>
        <v/>
      </c>
      <c r="AF7" s="3">
        <f>IF($B7="","",X7*W_FIAB)</f>
        <v/>
      </c>
      <c r="AG7" s="3">
        <f>IF($B7="","",Y7*W_PRECIO)</f>
        <v/>
      </c>
      <c r="AH7" s="3">
        <f>IF($B7="","",Z7*W_KMEDAD)</f>
        <v/>
      </c>
      <c r="AI7" s="3">
        <f>IF($B7="","",AA7*W_ANUNCIO)</f>
        <v/>
      </c>
      <c r="AJ7" s="3">
        <f>IF($B7="","",AB7*W_USO)</f>
        <v/>
      </c>
      <c r="AK7" s="3">
        <f>IF($B7="","",AC7*W_SEGURIDAD)</f>
        <v/>
      </c>
    </row>
    <row r="8">
      <c r="A8" s="2" t="n">
        <v>7</v>
      </c>
      <c r="B8" s="3">
        <f>IFERROR(MATCH(A8,Anuncios!$CG$2:$CG$91,0),"")</f>
        <v/>
      </c>
      <c r="C8" s="3">
        <f>IF(B8="","",HYPERLINK(INDEX(Anuncios!$C$2:$C$91,B8),"Abrir anuncio"))</f>
        <v/>
      </c>
      <c r="D8" s="3">
        <f>IF($B8="","",INDEX(Anuncios!$D$2:$D$91,$B8))</f>
        <v/>
      </c>
      <c r="E8" s="3">
        <f>IF($B8="","",INDEX(Anuncios!$B$2:$B$91,$B8))</f>
        <v/>
      </c>
      <c r="F8" s="3">
        <f>IF($B8="","",INDEX(Anuncios!$E$2:$E$91,$B8))</f>
        <v/>
      </c>
      <c r="G8" s="3">
        <f>IF($B8="","",INDEX(Anuncios!$F$2:$F$91,$B8))</f>
        <v/>
      </c>
      <c r="H8" s="3">
        <f>IF($B8="","",INDEX(Anuncios!$G$2:$G$91,$B8))</f>
        <v/>
      </c>
      <c r="I8" s="3">
        <f>IF($B8="","",INDEX(Anuncios!$K$2:$K$91,$B8))</f>
        <v/>
      </c>
      <c r="J8" s="3">
        <f>IF($B8="","",INDEX(Anuncios!$M$2:$M$91,$B8))</f>
        <v/>
      </c>
      <c r="K8" s="3">
        <f>IF($B8="","",INDEX(Anuncios!$N$2:$N$91,$B8))</f>
        <v/>
      </c>
      <c r="L8" s="3">
        <f>IF($B8="","",INDEX(Anuncios!$Q$2:$Q$91,$B8))</f>
        <v/>
      </c>
      <c r="M8" s="3">
        <f>IF($B8="","",INDEX(Anuncios!$R$2:$R$91,$B8))</f>
        <v/>
      </c>
      <c r="N8" s="3">
        <f>IF($B8="","",INDEX(Anuncios!$O$2:$O$91,$B8))</f>
        <v/>
      </c>
      <c r="O8" s="3">
        <f>IF($B8="","",INDEX(Anuncios!$AJ$2:$AJ$91,$B8))</f>
        <v/>
      </c>
      <c r="P8" s="3">
        <f>IF($B8="","",INDEX(Anuncios!$AI$2:$AI$91,$B8))</f>
        <v/>
      </c>
      <c r="Q8" s="3">
        <f>IF($B8="","",INDEX(Anuncios!$BV$2:$BV$91,$B8))</f>
        <v/>
      </c>
      <c r="R8" s="3">
        <f>IF($B8="","",INDEX(Anuncios!$CA$2:$CA$91,$B8))</f>
        <v/>
      </c>
      <c r="S8" s="3">
        <f>IF($B8="","",INDEX(Anuncios!$BZ$2:$BZ$91,$B8))</f>
        <v/>
      </c>
      <c r="T8" s="3">
        <f>IF($B8="","",INDEX(Anuncios!$CD$2:$CD$91,$B8))</f>
        <v/>
      </c>
      <c r="U8" s="3">
        <f>IF($B8="","",INDEX(Anuncios!$BC$2:$BC$91,$B8))</f>
        <v/>
      </c>
      <c r="V8" s="3">
        <f>IF($B8="","",INDEX(Anuncios!$BE$2:$BE$91,$B8))</f>
        <v/>
      </c>
      <c r="W8" s="3">
        <f>IF($B8="","",INDEX(Anuncios!$BF$2:$BF$91,$B8))</f>
        <v/>
      </c>
      <c r="X8" s="3">
        <f>IF($B8="","",INDEX(Anuncios!$BJ$2:$BJ$91,$B8))</f>
        <v/>
      </c>
      <c r="Y8" s="3">
        <f>IF($B8="","",INDEX(Anuncios!$BK$2:$BK$91,$B8))</f>
        <v/>
      </c>
      <c r="Z8" s="3">
        <f>IF($B8="","",INDEX(Anuncios!$BO$2:$BO$91,$B8))</f>
        <v/>
      </c>
      <c r="AA8" s="3">
        <f>IF($B8="","",INDEX(Anuncios!$BP$2:$BP$91,$B8))</f>
        <v/>
      </c>
      <c r="AB8" s="3">
        <f>IF($B8="","",INDEX(Anuncios!$BU$2:$BU$91,$B8))</f>
        <v/>
      </c>
      <c r="AC8" s="3">
        <f>IF($B8="","",INDEX(Anuncios!$BW$2:$BW$91,$B8))</f>
        <v/>
      </c>
      <c r="AD8" s="3">
        <f>IF($B8="","",INDEX(Anuncios!$BX$2:$BX$91,$B8))</f>
        <v/>
      </c>
      <c r="AE8" s="3">
        <f>IF($B8="","",INDEX(Anuncios!$AR$2:$AR$91,$B8))</f>
        <v/>
      </c>
      <c r="AF8" s="3">
        <f>IF($B8="","",X8*W_FIAB)</f>
        <v/>
      </c>
      <c r="AG8" s="3">
        <f>IF($B8="","",Y8*W_PRECIO)</f>
        <v/>
      </c>
      <c r="AH8" s="3">
        <f>IF($B8="","",Z8*W_KMEDAD)</f>
        <v/>
      </c>
      <c r="AI8" s="3">
        <f>IF($B8="","",AA8*W_ANUNCIO)</f>
        <v/>
      </c>
      <c r="AJ8" s="3">
        <f>IF($B8="","",AB8*W_USO)</f>
        <v/>
      </c>
      <c r="AK8" s="3">
        <f>IF($B8="","",AC8*W_SEGURIDAD)</f>
        <v/>
      </c>
    </row>
    <row r="9">
      <c r="A9" s="2" t="n">
        <v>8</v>
      </c>
      <c r="B9" s="3">
        <f>IFERROR(MATCH(A9,Anuncios!$CG$2:$CG$91,0),"")</f>
        <v/>
      </c>
      <c r="C9" s="3">
        <f>IF(B9="","",HYPERLINK(INDEX(Anuncios!$C$2:$C$91,B9),"Abrir anuncio"))</f>
        <v/>
      </c>
      <c r="D9" s="3">
        <f>IF($B9="","",INDEX(Anuncios!$D$2:$D$91,$B9))</f>
        <v/>
      </c>
      <c r="E9" s="3">
        <f>IF($B9="","",INDEX(Anuncios!$B$2:$B$91,$B9))</f>
        <v/>
      </c>
      <c r="F9" s="3">
        <f>IF($B9="","",INDEX(Anuncios!$E$2:$E$91,$B9))</f>
        <v/>
      </c>
      <c r="G9" s="3">
        <f>IF($B9="","",INDEX(Anuncios!$F$2:$F$91,$B9))</f>
        <v/>
      </c>
      <c r="H9" s="3">
        <f>IF($B9="","",INDEX(Anuncios!$G$2:$G$91,$B9))</f>
        <v/>
      </c>
      <c r="I9" s="3">
        <f>IF($B9="","",INDEX(Anuncios!$K$2:$K$91,$B9))</f>
        <v/>
      </c>
      <c r="J9" s="3">
        <f>IF($B9="","",INDEX(Anuncios!$M$2:$M$91,$B9))</f>
        <v/>
      </c>
      <c r="K9" s="3">
        <f>IF($B9="","",INDEX(Anuncios!$N$2:$N$91,$B9))</f>
        <v/>
      </c>
      <c r="L9" s="3">
        <f>IF($B9="","",INDEX(Anuncios!$Q$2:$Q$91,$B9))</f>
        <v/>
      </c>
      <c r="M9" s="3">
        <f>IF($B9="","",INDEX(Anuncios!$R$2:$R$91,$B9))</f>
        <v/>
      </c>
      <c r="N9" s="3">
        <f>IF($B9="","",INDEX(Anuncios!$O$2:$O$91,$B9))</f>
        <v/>
      </c>
      <c r="O9" s="3">
        <f>IF($B9="","",INDEX(Anuncios!$AJ$2:$AJ$91,$B9))</f>
        <v/>
      </c>
      <c r="P9" s="3">
        <f>IF($B9="","",INDEX(Anuncios!$AI$2:$AI$91,$B9))</f>
        <v/>
      </c>
      <c r="Q9" s="3">
        <f>IF($B9="","",INDEX(Anuncios!$BV$2:$BV$91,$B9))</f>
        <v/>
      </c>
      <c r="R9" s="3">
        <f>IF($B9="","",INDEX(Anuncios!$CA$2:$CA$91,$B9))</f>
        <v/>
      </c>
      <c r="S9" s="3">
        <f>IF($B9="","",INDEX(Anuncios!$BZ$2:$BZ$91,$B9))</f>
        <v/>
      </c>
      <c r="T9" s="3">
        <f>IF($B9="","",INDEX(Anuncios!$CD$2:$CD$91,$B9))</f>
        <v/>
      </c>
      <c r="U9" s="3">
        <f>IF($B9="","",INDEX(Anuncios!$BC$2:$BC$91,$B9))</f>
        <v/>
      </c>
      <c r="V9" s="3">
        <f>IF($B9="","",INDEX(Anuncios!$BE$2:$BE$91,$B9))</f>
        <v/>
      </c>
      <c r="W9" s="3">
        <f>IF($B9="","",INDEX(Anuncios!$BF$2:$BF$91,$B9))</f>
        <v/>
      </c>
      <c r="X9" s="3">
        <f>IF($B9="","",INDEX(Anuncios!$BJ$2:$BJ$91,$B9))</f>
        <v/>
      </c>
      <c r="Y9" s="3">
        <f>IF($B9="","",INDEX(Anuncios!$BK$2:$BK$91,$B9))</f>
        <v/>
      </c>
      <c r="Z9" s="3">
        <f>IF($B9="","",INDEX(Anuncios!$BO$2:$BO$91,$B9))</f>
        <v/>
      </c>
      <c r="AA9" s="3">
        <f>IF($B9="","",INDEX(Anuncios!$BP$2:$BP$91,$B9))</f>
        <v/>
      </c>
      <c r="AB9" s="3">
        <f>IF($B9="","",INDEX(Anuncios!$BU$2:$BU$91,$B9))</f>
        <v/>
      </c>
      <c r="AC9" s="3">
        <f>IF($B9="","",INDEX(Anuncios!$BW$2:$BW$91,$B9))</f>
        <v/>
      </c>
      <c r="AD9" s="3">
        <f>IF($B9="","",INDEX(Anuncios!$BX$2:$BX$91,$B9))</f>
        <v/>
      </c>
      <c r="AE9" s="3">
        <f>IF($B9="","",INDEX(Anuncios!$AR$2:$AR$91,$B9))</f>
        <v/>
      </c>
      <c r="AF9" s="3">
        <f>IF($B9="","",X9*W_FIAB)</f>
        <v/>
      </c>
      <c r="AG9" s="3">
        <f>IF($B9="","",Y9*W_PRECIO)</f>
        <v/>
      </c>
      <c r="AH9" s="3">
        <f>IF($B9="","",Z9*W_KMEDAD)</f>
        <v/>
      </c>
      <c r="AI9" s="3">
        <f>IF($B9="","",AA9*W_ANUNCIO)</f>
        <v/>
      </c>
      <c r="AJ9" s="3">
        <f>IF($B9="","",AB9*W_USO)</f>
        <v/>
      </c>
      <c r="AK9" s="3">
        <f>IF($B9="","",AC9*W_SEGURIDAD)</f>
        <v/>
      </c>
    </row>
    <row r="10">
      <c r="A10" s="2" t="n">
        <v>9</v>
      </c>
      <c r="B10" s="3">
        <f>IFERROR(MATCH(A10,Anuncios!$CG$2:$CG$91,0),"")</f>
        <v/>
      </c>
      <c r="C10" s="3">
        <f>IF(B10="","",HYPERLINK(INDEX(Anuncios!$C$2:$C$91,B10),"Abrir anuncio"))</f>
        <v/>
      </c>
      <c r="D10" s="3">
        <f>IF($B10="","",INDEX(Anuncios!$D$2:$D$91,$B10))</f>
        <v/>
      </c>
      <c r="E10" s="3">
        <f>IF($B10="","",INDEX(Anuncios!$B$2:$B$91,$B10))</f>
        <v/>
      </c>
      <c r="F10" s="3">
        <f>IF($B10="","",INDEX(Anuncios!$E$2:$E$91,$B10))</f>
        <v/>
      </c>
      <c r="G10" s="3">
        <f>IF($B10="","",INDEX(Anuncios!$F$2:$F$91,$B10))</f>
        <v/>
      </c>
      <c r="H10" s="3">
        <f>IF($B10="","",INDEX(Anuncios!$G$2:$G$91,$B10))</f>
        <v/>
      </c>
      <c r="I10" s="3">
        <f>IF($B10="","",INDEX(Anuncios!$K$2:$K$91,$B10))</f>
        <v/>
      </c>
      <c r="J10" s="3">
        <f>IF($B10="","",INDEX(Anuncios!$M$2:$M$91,$B10))</f>
        <v/>
      </c>
      <c r="K10" s="3">
        <f>IF($B10="","",INDEX(Anuncios!$N$2:$N$91,$B10))</f>
        <v/>
      </c>
      <c r="L10" s="3">
        <f>IF($B10="","",INDEX(Anuncios!$Q$2:$Q$91,$B10))</f>
        <v/>
      </c>
      <c r="M10" s="3">
        <f>IF($B10="","",INDEX(Anuncios!$R$2:$R$91,$B10))</f>
        <v/>
      </c>
      <c r="N10" s="3">
        <f>IF($B10="","",INDEX(Anuncios!$O$2:$O$91,$B10))</f>
        <v/>
      </c>
      <c r="O10" s="3">
        <f>IF($B10="","",INDEX(Anuncios!$AJ$2:$AJ$91,$B10))</f>
        <v/>
      </c>
      <c r="P10" s="3">
        <f>IF($B10="","",INDEX(Anuncios!$AI$2:$AI$91,$B10))</f>
        <v/>
      </c>
      <c r="Q10" s="3">
        <f>IF($B10="","",INDEX(Anuncios!$BV$2:$BV$91,$B10))</f>
        <v/>
      </c>
      <c r="R10" s="3">
        <f>IF($B10="","",INDEX(Anuncios!$CA$2:$CA$91,$B10))</f>
        <v/>
      </c>
      <c r="S10" s="3">
        <f>IF($B10="","",INDEX(Anuncios!$BZ$2:$BZ$91,$B10))</f>
        <v/>
      </c>
      <c r="T10" s="3">
        <f>IF($B10="","",INDEX(Anuncios!$CD$2:$CD$91,$B10))</f>
        <v/>
      </c>
      <c r="U10" s="3">
        <f>IF($B10="","",INDEX(Anuncios!$BC$2:$BC$91,$B10))</f>
        <v/>
      </c>
      <c r="V10" s="3">
        <f>IF($B10="","",INDEX(Anuncios!$BE$2:$BE$91,$B10))</f>
        <v/>
      </c>
      <c r="W10" s="3">
        <f>IF($B10="","",INDEX(Anuncios!$BF$2:$BF$91,$B10))</f>
        <v/>
      </c>
      <c r="X10" s="3">
        <f>IF($B10="","",INDEX(Anuncios!$BJ$2:$BJ$91,$B10))</f>
        <v/>
      </c>
      <c r="Y10" s="3">
        <f>IF($B10="","",INDEX(Anuncios!$BK$2:$BK$91,$B10))</f>
        <v/>
      </c>
      <c r="Z10" s="3">
        <f>IF($B10="","",INDEX(Anuncios!$BO$2:$BO$91,$B10))</f>
        <v/>
      </c>
      <c r="AA10" s="3">
        <f>IF($B10="","",INDEX(Anuncios!$BP$2:$BP$91,$B10))</f>
        <v/>
      </c>
      <c r="AB10" s="3">
        <f>IF($B10="","",INDEX(Anuncios!$BU$2:$BU$91,$B10))</f>
        <v/>
      </c>
      <c r="AC10" s="3">
        <f>IF($B10="","",INDEX(Anuncios!$BW$2:$BW$91,$B10))</f>
        <v/>
      </c>
      <c r="AD10" s="3">
        <f>IF($B10="","",INDEX(Anuncios!$BX$2:$BX$91,$B10))</f>
        <v/>
      </c>
      <c r="AE10" s="3">
        <f>IF($B10="","",INDEX(Anuncios!$AR$2:$AR$91,$B10))</f>
        <v/>
      </c>
      <c r="AF10" s="3">
        <f>IF($B10="","",X10*W_FIAB)</f>
        <v/>
      </c>
      <c r="AG10" s="3">
        <f>IF($B10="","",Y10*W_PRECIO)</f>
        <v/>
      </c>
      <c r="AH10" s="3">
        <f>IF($B10="","",Z10*W_KMEDAD)</f>
        <v/>
      </c>
      <c r="AI10" s="3">
        <f>IF($B10="","",AA10*W_ANUNCIO)</f>
        <v/>
      </c>
      <c r="AJ10" s="3">
        <f>IF($B10="","",AB10*W_USO)</f>
        <v/>
      </c>
      <c r="AK10" s="3">
        <f>IF($B10="","",AC10*W_SEGURIDAD)</f>
        <v/>
      </c>
    </row>
    <row r="11">
      <c r="A11" s="2" t="n">
        <v>10</v>
      </c>
      <c r="B11" s="3">
        <f>IFERROR(MATCH(A11,Anuncios!$CG$2:$CG$91,0),"")</f>
        <v/>
      </c>
      <c r="C11" s="3">
        <f>IF(B11="","",HYPERLINK(INDEX(Anuncios!$C$2:$C$91,B11),"Abrir anuncio"))</f>
        <v/>
      </c>
      <c r="D11" s="3">
        <f>IF($B11="","",INDEX(Anuncios!$D$2:$D$91,$B11))</f>
        <v/>
      </c>
      <c r="E11" s="3">
        <f>IF($B11="","",INDEX(Anuncios!$B$2:$B$91,$B11))</f>
        <v/>
      </c>
      <c r="F11" s="3">
        <f>IF($B11="","",INDEX(Anuncios!$E$2:$E$91,$B11))</f>
        <v/>
      </c>
      <c r="G11" s="3">
        <f>IF($B11="","",INDEX(Anuncios!$F$2:$F$91,$B11))</f>
        <v/>
      </c>
      <c r="H11" s="3">
        <f>IF($B11="","",INDEX(Anuncios!$G$2:$G$91,$B11))</f>
        <v/>
      </c>
      <c r="I11" s="3">
        <f>IF($B11="","",INDEX(Anuncios!$K$2:$K$91,$B11))</f>
        <v/>
      </c>
      <c r="J11" s="3">
        <f>IF($B11="","",INDEX(Anuncios!$M$2:$M$91,$B11))</f>
        <v/>
      </c>
      <c r="K11" s="3">
        <f>IF($B11="","",INDEX(Anuncios!$N$2:$N$91,$B11))</f>
        <v/>
      </c>
      <c r="L11" s="3">
        <f>IF($B11="","",INDEX(Anuncios!$Q$2:$Q$91,$B11))</f>
        <v/>
      </c>
      <c r="M11" s="3">
        <f>IF($B11="","",INDEX(Anuncios!$R$2:$R$91,$B11))</f>
        <v/>
      </c>
      <c r="N11" s="3">
        <f>IF($B11="","",INDEX(Anuncios!$O$2:$O$91,$B11))</f>
        <v/>
      </c>
      <c r="O11" s="3">
        <f>IF($B11="","",INDEX(Anuncios!$AJ$2:$AJ$91,$B11))</f>
        <v/>
      </c>
      <c r="P11" s="3">
        <f>IF($B11="","",INDEX(Anuncios!$AI$2:$AI$91,$B11))</f>
        <v/>
      </c>
      <c r="Q11" s="3">
        <f>IF($B11="","",INDEX(Anuncios!$BV$2:$BV$91,$B11))</f>
        <v/>
      </c>
      <c r="R11" s="3">
        <f>IF($B11="","",INDEX(Anuncios!$CA$2:$CA$91,$B11))</f>
        <v/>
      </c>
      <c r="S11" s="3">
        <f>IF($B11="","",INDEX(Anuncios!$BZ$2:$BZ$91,$B11))</f>
        <v/>
      </c>
      <c r="T11" s="3">
        <f>IF($B11="","",INDEX(Anuncios!$CD$2:$CD$91,$B11))</f>
        <v/>
      </c>
      <c r="U11" s="3">
        <f>IF($B11="","",INDEX(Anuncios!$BC$2:$BC$91,$B11))</f>
        <v/>
      </c>
      <c r="V11" s="3">
        <f>IF($B11="","",INDEX(Anuncios!$BE$2:$BE$91,$B11))</f>
        <v/>
      </c>
      <c r="W11" s="3">
        <f>IF($B11="","",INDEX(Anuncios!$BF$2:$BF$91,$B11))</f>
        <v/>
      </c>
      <c r="X11" s="3">
        <f>IF($B11="","",INDEX(Anuncios!$BJ$2:$BJ$91,$B11))</f>
        <v/>
      </c>
      <c r="Y11" s="3">
        <f>IF($B11="","",INDEX(Anuncios!$BK$2:$BK$91,$B11))</f>
        <v/>
      </c>
      <c r="Z11" s="3">
        <f>IF($B11="","",INDEX(Anuncios!$BO$2:$BO$91,$B11))</f>
        <v/>
      </c>
      <c r="AA11" s="3">
        <f>IF($B11="","",INDEX(Anuncios!$BP$2:$BP$91,$B11))</f>
        <v/>
      </c>
      <c r="AB11" s="3">
        <f>IF($B11="","",INDEX(Anuncios!$BU$2:$BU$91,$B11))</f>
        <v/>
      </c>
      <c r="AC11" s="3">
        <f>IF($B11="","",INDEX(Anuncios!$BW$2:$BW$91,$B11))</f>
        <v/>
      </c>
      <c r="AD11" s="3">
        <f>IF($B11="","",INDEX(Anuncios!$BX$2:$BX$91,$B11))</f>
        <v/>
      </c>
      <c r="AE11" s="3">
        <f>IF($B11="","",INDEX(Anuncios!$AR$2:$AR$91,$B11))</f>
        <v/>
      </c>
      <c r="AF11" s="3">
        <f>IF($B11="","",X11*W_FIAB)</f>
        <v/>
      </c>
      <c r="AG11" s="3">
        <f>IF($B11="","",Y11*W_PRECIO)</f>
        <v/>
      </c>
      <c r="AH11" s="3">
        <f>IF($B11="","",Z11*W_KMEDAD)</f>
        <v/>
      </c>
      <c r="AI11" s="3">
        <f>IF($B11="","",AA11*W_ANUNCIO)</f>
        <v/>
      </c>
      <c r="AJ11" s="3">
        <f>IF($B11="","",AB11*W_USO)</f>
        <v/>
      </c>
      <c r="AK11" s="3">
        <f>IF($B11="","",AC11*W_SEGURIDAD)</f>
        <v/>
      </c>
    </row>
    <row r="12">
      <c r="A12" s="2" t="n">
        <v>11</v>
      </c>
      <c r="B12" s="3">
        <f>IFERROR(MATCH(A12,Anuncios!$CG$2:$CG$91,0),"")</f>
        <v/>
      </c>
      <c r="C12" s="3">
        <f>IF(B12="","",HYPERLINK(INDEX(Anuncios!$C$2:$C$91,B12),"Abrir anuncio"))</f>
        <v/>
      </c>
      <c r="D12" s="3">
        <f>IF($B12="","",INDEX(Anuncios!$D$2:$D$91,$B12))</f>
        <v/>
      </c>
      <c r="E12" s="3">
        <f>IF($B12="","",INDEX(Anuncios!$B$2:$B$91,$B12))</f>
        <v/>
      </c>
      <c r="F12" s="3">
        <f>IF($B12="","",INDEX(Anuncios!$E$2:$E$91,$B12))</f>
        <v/>
      </c>
      <c r="G12" s="3">
        <f>IF($B12="","",INDEX(Anuncios!$F$2:$F$91,$B12))</f>
        <v/>
      </c>
      <c r="H12" s="3">
        <f>IF($B12="","",INDEX(Anuncios!$G$2:$G$91,$B12))</f>
        <v/>
      </c>
      <c r="I12" s="3">
        <f>IF($B12="","",INDEX(Anuncios!$K$2:$K$91,$B12))</f>
        <v/>
      </c>
      <c r="J12" s="3">
        <f>IF($B12="","",INDEX(Anuncios!$M$2:$M$91,$B12))</f>
        <v/>
      </c>
      <c r="K12" s="3">
        <f>IF($B12="","",INDEX(Anuncios!$N$2:$N$91,$B12))</f>
        <v/>
      </c>
      <c r="L12" s="3">
        <f>IF($B12="","",INDEX(Anuncios!$Q$2:$Q$91,$B12))</f>
        <v/>
      </c>
      <c r="M12" s="3">
        <f>IF($B12="","",INDEX(Anuncios!$R$2:$R$91,$B12))</f>
        <v/>
      </c>
      <c r="N12" s="3">
        <f>IF($B12="","",INDEX(Anuncios!$O$2:$O$91,$B12))</f>
        <v/>
      </c>
      <c r="O12" s="3">
        <f>IF($B12="","",INDEX(Anuncios!$AJ$2:$AJ$91,$B12))</f>
        <v/>
      </c>
      <c r="P12" s="3">
        <f>IF($B12="","",INDEX(Anuncios!$AI$2:$AI$91,$B12))</f>
        <v/>
      </c>
      <c r="Q12" s="3">
        <f>IF($B12="","",INDEX(Anuncios!$BV$2:$BV$91,$B12))</f>
        <v/>
      </c>
      <c r="R12" s="3">
        <f>IF($B12="","",INDEX(Anuncios!$CA$2:$CA$91,$B12))</f>
        <v/>
      </c>
      <c r="S12" s="3">
        <f>IF($B12="","",INDEX(Anuncios!$BZ$2:$BZ$91,$B12))</f>
        <v/>
      </c>
      <c r="T12" s="3">
        <f>IF($B12="","",INDEX(Anuncios!$CD$2:$CD$91,$B12))</f>
        <v/>
      </c>
      <c r="U12" s="3">
        <f>IF($B12="","",INDEX(Anuncios!$BC$2:$BC$91,$B12))</f>
        <v/>
      </c>
      <c r="V12" s="3">
        <f>IF($B12="","",INDEX(Anuncios!$BE$2:$BE$91,$B12))</f>
        <v/>
      </c>
      <c r="W12" s="3">
        <f>IF($B12="","",INDEX(Anuncios!$BF$2:$BF$91,$B12))</f>
        <v/>
      </c>
      <c r="X12" s="3">
        <f>IF($B12="","",INDEX(Anuncios!$BJ$2:$BJ$91,$B12))</f>
        <v/>
      </c>
      <c r="Y12" s="3">
        <f>IF($B12="","",INDEX(Anuncios!$BK$2:$BK$91,$B12))</f>
        <v/>
      </c>
      <c r="Z12" s="3">
        <f>IF($B12="","",INDEX(Anuncios!$BO$2:$BO$91,$B12))</f>
        <v/>
      </c>
      <c r="AA12" s="3">
        <f>IF($B12="","",INDEX(Anuncios!$BP$2:$BP$91,$B12))</f>
        <v/>
      </c>
      <c r="AB12" s="3">
        <f>IF($B12="","",INDEX(Anuncios!$BU$2:$BU$91,$B12))</f>
        <v/>
      </c>
      <c r="AC12" s="3">
        <f>IF($B12="","",INDEX(Anuncios!$BW$2:$BW$91,$B12))</f>
        <v/>
      </c>
      <c r="AD12" s="3">
        <f>IF($B12="","",INDEX(Anuncios!$BX$2:$BX$91,$B12))</f>
        <v/>
      </c>
      <c r="AE12" s="3">
        <f>IF($B12="","",INDEX(Anuncios!$AR$2:$AR$91,$B12))</f>
        <v/>
      </c>
      <c r="AF12" s="3">
        <f>IF($B12="","",X12*W_FIAB)</f>
        <v/>
      </c>
      <c r="AG12" s="3">
        <f>IF($B12="","",Y12*W_PRECIO)</f>
        <v/>
      </c>
      <c r="AH12" s="3">
        <f>IF($B12="","",Z12*W_KMEDAD)</f>
        <v/>
      </c>
      <c r="AI12" s="3">
        <f>IF($B12="","",AA12*W_ANUNCIO)</f>
        <v/>
      </c>
      <c r="AJ12" s="3">
        <f>IF($B12="","",AB12*W_USO)</f>
        <v/>
      </c>
      <c r="AK12" s="3">
        <f>IF($B12="","",AC12*W_SEGURIDAD)</f>
        <v/>
      </c>
    </row>
    <row r="13">
      <c r="A13" s="2" t="n">
        <v>12</v>
      </c>
      <c r="B13" s="3">
        <f>IFERROR(MATCH(A13,Anuncios!$CG$2:$CG$91,0),"")</f>
        <v/>
      </c>
      <c r="C13" s="3">
        <f>IF(B13="","",HYPERLINK(INDEX(Anuncios!$C$2:$C$91,B13),"Abrir anuncio"))</f>
        <v/>
      </c>
      <c r="D13" s="3">
        <f>IF($B13="","",INDEX(Anuncios!$D$2:$D$91,$B13))</f>
        <v/>
      </c>
      <c r="E13" s="3">
        <f>IF($B13="","",INDEX(Anuncios!$B$2:$B$91,$B13))</f>
        <v/>
      </c>
      <c r="F13" s="3">
        <f>IF($B13="","",INDEX(Anuncios!$E$2:$E$91,$B13))</f>
        <v/>
      </c>
      <c r="G13" s="3">
        <f>IF($B13="","",INDEX(Anuncios!$F$2:$F$91,$B13))</f>
        <v/>
      </c>
      <c r="H13" s="3">
        <f>IF($B13="","",INDEX(Anuncios!$G$2:$G$91,$B13))</f>
        <v/>
      </c>
      <c r="I13" s="3">
        <f>IF($B13="","",INDEX(Anuncios!$K$2:$K$91,$B13))</f>
        <v/>
      </c>
      <c r="J13" s="3">
        <f>IF($B13="","",INDEX(Anuncios!$M$2:$M$91,$B13))</f>
        <v/>
      </c>
      <c r="K13" s="3">
        <f>IF($B13="","",INDEX(Anuncios!$N$2:$N$91,$B13))</f>
        <v/>
      </c>
      <c r="L13" s="3">
        <f>IF($B13="","",INDEX(Anuncios!$Q$2:$Q$91,$B13))</f>
        <v/>
      </c>
      <c r="M13" s="3">
        <f>IF($B13="","",INDEX(Anuncios!$R$2:$R$91,$B13))</f>
        <v/>
      </c>
      <c r="N13" s="3">
        <f>IF($B13="","",INDEX(Anuncios!$O$2:$O$91,$B13))</f>
        <v/>
      </c>
      <c r="O13" s="3">
        <f>IF($B13="","",INDEX(Anuncios!$AJ$2:$AJ$91,$B13))</f>
        <v/>
      </c>
      <c r="P13" s="3">
        <f>IF($B13="","",INDEX(Anuncios!$AI$2:$AI$91,$B13))</f>
        <v/>
      </c>
      <c r="Q13" s="3">
        <f>IF($B13="","",INDEX(Anuncios!$BV$2:$BV$91,$B13))</f>
        <v/>
      </c>
      <c r="R13" s="3">
        <f>IF($B13="","",INDEX(Anuncios!$CA$2:$CA$91,$B13))</f>
        <v/>
      </c>
      <c r="S13" s="3">
        <f>IF($B13="","",INDEX(Anuncios!$BZ$2:$BZ$91,$B13))</f>
        <v/>
      </c>
      <c r="T13" s="3">
        <f>IF($B13="","",INDEX(Anuncios!$CD$2:$CD$91,$B13))</f>
        <v/>
      </c>
      <c r="U13" s="3">
        <f>IF($B13="","",INDEX(Anuncios!$BC$2:$BC$91,$B13))</f>
        <v/>
      </c>
      <c r="V13" s="3">
        <f>IF($B13="","",INDEX(Anuncios!$BE$2:$BE$91,$B13))</f>
        <v/>
      </c>
      <c r="W13" s="3">
        <f>IF($B13="","",INDEX(Anuncios!$BF$2:$BF$91,$B13))</f>
        <v/>
      </c>
      <c r="X13" s="3">
        <f>IF($B13="","",INDEX(Anuncios!$BJ$2:$BJ$91,$B13))</f>
        <v/>
      </c>
      <c r="Y13" s="3">
        <f>IF($B13="","",INDEX(Anuncios!$BK$2:$BK$91,$B13))</f>
        <v/>
      </c>
      <c r="Z13" s="3">
        <f>IF($B13="","",INDEX(Anuncios!$BO$2:$BO$91,$B13))</f>
        <v/>
      </c>
      <c r="AA13" s="3">
        <f>IF($B13="","",INDEX(Anuncios!$BP$2:$BP$91,$B13))</f>
        <v/>
      </c>
      <c r="AB13" s="3">
        <f>IF($B13="","",INDEX(Anuncios!$BU$2:$BU$91,$B13))</f>
        <v/>
      </c>
      <c r="AC13" s="3">
        <f>IF($B13="","",INDEX(Anuncios!$BW$2:$BW$91,$B13))</f>
        <v/>
      </c>
      <c r="AD13" s="3">
        <f>IF($B13="","",INDEX(Anuncios!$BX$2:$BX$91,$B13))</f>
        <v/>
      </c>
      <c r="AE13" s="3">
        <f>IF($B13="","",INDEX(Anuncios!$AR$2:$AR$91,$B13))</f>
        <v/>
      </c>
      <c r="AF13" s="3">
        <f>IF($B13="","",X13*W_FIAB)</f>
        <v/>
      </c>
      <c r="AG13" s="3">
        <f>IF($B13="","",Y13*W_PRECIO)</f>
        <v/>
      </c>
      <c r="AH13" s="3">
        <f>IF($B13="","",Z13*W_KMEDAD)</f>
        <v/>
      </c>
      <c r="AI13" s="3">
        <f>IF($B13="","",AA13*W_ANUNCIO)</f>
        <v/>
      </c>
      <c r="AJ13" s="3">
        <f>IF($B13="","",AB13*W_USO)</f>
        <v/>
      </c>
      <c r="AK13" s="3">
        <f>IF($B13="","",AC13*W_SEGURIDAD)</f>
        <v/>
      </c>
    </row>
    <row r="14">
      <c r="A14" s="2" t="n">
        <v>13</v>
      </c>
      <c r="B14" s="3">
        <f>IFERROR(MATCH(A14,Anuncios!$CG$2:$CG$91,0),"")</f>
        <v/>
      </c>
      <c r="C14" s="3">
        <f>IF(B14="","",HYPERLINK(INDEX(Anuncios!$C$2:$C$91,B14),"Abrir anuncio"))</f>
        <v/>
      </c>
      <c r="D14" s="3">
        <f>IF($B14="","",INDEX(Anuncios!$D$2:$D$91,$B14))</f>
        <v/>
      </c>
      <c r="E14" s="3">
        <f>IF($B14="","",INDEX(Anuncios!$B$2:$B$91,$B14))</f>
        <v/>
      </c>
      <c r="F14" s="3">
        <f>IF($B14="","",INDEX(Anuncios!$E$2:$E$91,$B14))</f>
        <v/>
      </c>
      <c r="G14" s="3">
        <f>IF($B14="","",INDEX(Anuncios!$F$2:$F$91,$B14))</f>
        <v/>
      </c>
      <c r="H14" s="3">
        <f>IF($B14="","",INDEX(Anuncios!$G$2:$G$91,$B14))</f>
        <v/>
      </c>
      <c r="I14" s="3">
        <f>IF($B14="","",INDEX(Anuncios!$K$2:$K$91,$B14))</f>
        <v/>
      </c>
      <c r="J14" s="3">
        <f>IF($B14="","",INDEX(Anuncios!$M$2:$M$91,$B14))</f>
        <v/>
      </c>
      <c r="K14" s="3">
        <f>IF($B14="","",INDEX(Anuncios!$N$2:$N$91,$B14))</f>
        <v/>
      </c>
      <c r="L14" s="3">
        <f>IF($B14="","",INDEX(Anuncios!$Q$2:$Q$91,$B14))</f>
        <v/>
      </c>
      <c r="M14" s="3">
        <f>IF($B14="","",INDEX(Anuncios!$R$2:$R$91,$B14))</f>
        <v/>
      </c>
      <c r="N14" s="3">
        <f>IF($B14="","",INDEX(Anuncios!$O$2:$O$91,$B14))</f>
        <v/>
      </c>
      <c r="O14" s="3">
        <f>IF($B14="","",INDEX(Anuncios!$AJ$2:$AJ$91,$B14))</f>
        <v/>
      </c>
      <c r="P14" s="3">
        <f>IF($B14="","",INDEX(Anuncios!$AI$2:$AI$91,$B14))</f>
        <v/>
      </c>
      <c r="Q14" s="3">
        <f>IF($B14="","",INDEX(Anuncios!$BV$2:$BV$91,$B14))</f>
        <v/>
      </c>
      <c r="R14" s="3">
        <f>IF($B14="","",INDEX(Anuncios!$CA$2:$CA$91,$B14))</f>
        <v/>
      </c>
      <c r="S14" s="3">
        <f>IF($B14="","",INDEX(Anuncios!$BZ$2:$BZ$91,$B14))</f>
        <v/>
      </c>
      <c r="T14" s="3">
        <f>IF($B14="","",INDEX(Anuncios!$CD$2:$CD$91,$B14))</f>
        <v/>
      </c>
      <c r="U14" s="3">
        <f>IF($B14="","",INDEX(Anuncios!$BC$2:$BC$91,$B14))</f>
        <v/>
      </c>
      <c r="V14" s="3">
        <f>IF($B14="","",INDEX(Anuncios!$BE$2:$BE$91,$B14))</f>
        <v/>
      </c>
      <c r="W14" s="3">
        <f>IF($B14="","",INDEX(Anuncios!$BF$2:$BF$91,$B14))</f>
        <v/>
      </c>
      <c r="X14" s="3">
        <f>IF($B14="","",INDEX(Anuncios!$BJ$2:$BJ$91,$B14))</f>
        <v/>
      </c>
      <c r="Y14" s="3">
        <f>IF($B14="","",INDEX(Anuncios!$BK$2:$BK$91,$B14))</f>
        <v/>
      </c>
      <c r="Z14" s="3">
        <f>IF($B14="","",INDEX(Anuncios!$BO$2:$BO$91,$B14))</f>
        <v/>
      </c>
      <c r="AA14" s="3">
        <f>IF($B14="","",INDEX(Anuncios!$BP$2:$BP$91,$B14))</f>
        <v/>
      </c>
      <c r="AB14" s="3">
        <f>IF($B14="","",INDEX(Anuncios!$BU$2:$BU$91,$B14))</f>
        <v/>
      </c>
      <c r="AC14" s="3">
        <f>IF($B14="","",INDEX(Anuncios!$BW$2:$BW$91,$B14))</f>
        <v/>
      </c>
      <c r="AD14" s="3">
        <f>IF($B14="","",INDEX(Anuncios!$BX$2:$BX$91,$B14))</f>
        <v/>
      </c>
      <c r="AE14" s="3">
        <f>IF($B14="","",INDEX(Anuncios!$AR$2:$AR$91,$B14))</f>
        <v/>
      </c>
      <c r="AF14" s="3">
        <f>IF($B14="","",X14*W_FIAB)</f>
        <v/>
      </c>
      <c r="AG14" s="3">
        <f>IF($B14="","",Y14*W_PRECIO)</f>
        <v/>
      </c>
      <c r="AH14" s="3">
        <f>IF($B14="","",Z14*W_KMEDAD)</f>
        <v/>
      </c>
      <c r="AI14" s="3">
        <f>IF($B14="","",AA14*W_ANUNCIO)</f>
        <v/>
      </c>
      <c r="AJ14" s="3">
        <f>IF($B14="","",AB14*W_USO)</f>
        <v/>
      </c>
      <c r="AK14" s="3">
        <f>IF($B14="","",AC14*W_SEGURIDAD)</f>
        <v/>
      </c>
    </row>
    <row r="15">
      <c r="A15" s="2" t="n">
        <v>14</v>
      </c>
      <c r="B15" s="3">
        <f>IFERROR(MATCH(A15,Anuncios!$CG$2:$CG$91,0),"")</f>
        <v/>
      </c>
      <c r="C15" s="3">
        <f>IF(B15="","",HYPERLINK(INDEX(Anuncios!$C$2:$C$91,B15),"Abrir anuncio"))</f>
        <v/>
      </c>
      <c r="D15" s="3">
        <f>IF($B15="","",INDEX(Anuncios!$D$2:$D$91,$B15))</f>
        <v/>
      </c>
      <c r="E15" s="3">
        <f>IF($B15="","",INDEX(Anuncios!$B$2:$B$91,$B15))</f>
        <v/>
      </c>
      <c r="F15" s="3">
        <f>IF($B15="","",INDEX(Anuncios!$E$2:$E$91,$B15))</f>
        <v/>
      </c>
      <c r="G15" s="3">
        <f>IF($B15="","",INDEX(Anuncios!$F$2:$F$91,$B15))</f>
        <v/>
      </c>
      <c r="H15" s="3">
        <f>IF($B15="","",INDEX(Anuncios!$G$2:$G$91,$B15))</f>
        <v/>
      </c>
      <c r="I15" s="3">
        <f>IF($B15="","",INDEX(Anuncios!$K$2:$K$91,$B15))</f>
        <v/>
      </c>
      <c r="J15" s="3">
        <f>IF($B15="","",INDEX(Anuncios!$M$2:$M$91,$B15))</f>
        <v/>
      </c>
      <c r="K15" s="3">
        <f>IF($B15="","",INDEX(Anuncios!$N$2:$N$91,$B15))</f>
        <v/>
      </c>
      <c r="L15" s="3">
        <f>IF($B15="","",INDEX(Anuncios!$Q$2:$Q$91,$B15))</f>
        <v/>
      </c>
      <c r="M15" s="3">
        <f>IF($B15="","",INDEX(Anuncios!$R$2:$R$91,$B15))</f>
        <v/>
      </c>
      <c r="N15" s="3">
        <f>IF($B15="","",INDEX(Anuncios!$O$2:$O$91,$B15))</f>
        <v/>
      </c>
      <c r="O15" s="3">
        <f>IF($B15="","",INDEX(Anuncios!$AJ$2:$AJ$91,$B15))</f>
        <v/>
      </c>
      <c r="P15" s="3">
        <f>IF($B15="","",INDEX(Anuncios!$AI$2:$AI$91,$B15))</f>
        <v/>
      </c>
      <c r="Q15" s="3">
        <f>IF($B15="","",INDEX(Anuncios!$BV$2:$BV$91,$B15))</f>
        <v/>
      </c>
      <c r="R15" s="3">
        <f>IF($B15="","",INDEX(Anuncios!$CA$2:$CA$91,$B15))</f>
        <v/>
      </c>
      <c r="S15" s="3">
        <f>IF($B15="","",INDEX(Anuncios!$BZ$2:$BZ$91,$B15))</f>
        <v/>
      </c>
      <c r="T15" s="3">
        <f>IF($B15="","",INDEX(Anuncios!$CD$2:$CD$91,$B15))</f>
        <v/>
      </c>
      <c r="U15" s="3">
        <f>IF($B15="","",INDEX(Anuncios!$BC$2:$BC$91,$B15))</f>
        <v/>
      </c>
      <c r="V15" s="3">
        <f>IF($B15="","",INDEX(Anuncios!$BE$2:$BE$91,$B15))</f>
        <v/>
      </c>
      <c r="W15" s="3">
        <f>IF($B15="","",INDEX(Anuncios!$BF$2:$BF$91,$B15))</f>
        <v/>
      </c>
      <c r="X15" s="3">
        <f>IF($B15="","",INDEX(Anuncios!$BJ$2:$BJ$91,$B15))</f>
        <v/>
      </c>
      <c r="Y15" s="3">
        <f>IF($B15="","",INDEX(Anuncios!$BK$2:$BK$91,$B15))</f>
        <v/>
      </c>
      <c r="Z15" s="3">
        <f>IF($B15="","",INDEX(Anuncios!$BO$2:$BO$91,$B15))</f>
        <v/>
      </c>
      <c r="AA15" s="3">
        <f>IF($B15="","",INDEX(Anuncios!$BP$2:$BP$91,$B15))</f>
        <v/>
      </c>
      <c r="AB15" s="3">
        <f>IF($B15="","",INDEX(Anuncios!$BU$2:$BU$91,$B15))</f>
        <v/>
      </c>
      <c r="AC15" s="3">
        <f>IF($B15="","",INDEX(Anuncios!$BW$2:$BW$91,$B15))</f>
        <v/>
      </c>
      <c r="AD15" s="3">
        <f>IF($B15="","",INDEX(Anuncios!$BX$2:$BX$91,$B15))</f>
        <v/>
      </c>
      <c r="AE15" s="3">
        <f>IF($B15="","",INDEX(Anuncios!$AR$2:$AR$91,$B15))</f>
        <v/>
      </c>
      <c r="AF15" s="3">
        <f>IF($B15="","",X15*W_FIAB)</f>
        <v/>
      </c>
      <c r="AG15" s="3">
        <f>IF($B15="","",Y15*W_PRECIO)</f>
        <v/>
      </c>
      <c r="AH15" s="3">
        <f>IF($B15="","",Z15*W_KMEDAD)</f>
        <v/>
      </c>
      <c r="AI15" s="3">
        <f>IF($B15="","",AA15*W_ANUNCIO)</f>
        <v/>
      </c>
      <c r="AJ15" s="3">
        <f>IF($B15="","",AB15*W_USO)</f>
        <v/>
      </c>
      <c r="AK15" s="3">
        <f>IF($B15="","",AC15*W_SEGURIDAD)</f>
        <v/>
      </c>
    </row>
    <row r="16">
      <c r="A16" s="2" t="n">
        <v>15</v>
      </c>
      <c r="B16" s="3">
        <f>IFERROR(MATCH(A16,Anuncios!$CG$2:$CG$91,0),"")</f>
        <v/>
      </c>
      <c r="C16" s="3">
        <f>IF(B16="","",HYPERLINK(INDEX(Anuncios!$C$2:$C$91,B16),"Abrir anuncio"))</f>
        <v/>
      </c>
      <c r="D16" s="3">
        <f>IF($B16="","",INDEX(Anuncios!$D$2:$D$91,$B16))</f>
        <v/>
      </c>
      <c r="E16" s="3">
        <f>IF($B16="","",INDEX(Anuncios!$B$2:$B$91,$B16))</f>
        <v/>
      </c>
      <c r="F16" s="3">
        <f>IF($B16="","",INDEX(Anuncios!$E$2:$E$91,$B16))</f>
        <v/>
      </c>
      <c r="G16" s="3">
        <f>IF($B16="","",INDEX(Anuncios!$F$2:$F$91,$B16))</f>
        <v/>
      </c>
      <c r="H16" s="3">
        <f>IF($B16="","",INDEX(Anuncios!$G$2:$G$91,$B16))</f>
        <v/>
      </c>
      <c r="I16" s="3">
        <f>IF($B16="","",INDEX(Anuncios!$K$2:$K$91,$B16))</f>
        <v/>
      </c>
      <c r="J16" s="3">
        <f>IF($B16="","",INDEX(Anuncios!$M$2:$M$91,$B16))</f>
        <v/>
      </c>
      <c r="K16" s="3">
        <f>IF($B16="","",INDEX(Anuncios!$N$2:$N$91,$B16))</f>
        <v/>
      </c>
      <c r="L16" s="3">
        <f>IF($B16="","",INDEX(Anuncios!$Q$2:$Q$91,$B16))</f>
        <v/>
      </c>
      <c r="M16" s="3">
        <f>IF($B16="","",INDEX(Anuncios!$R$2:$R$91,$B16))</f>
        <v/>
      </c>
      <c r="N16" s="3">
        <f>IF($B16="","",INDEX(Anuncios!$O$2:$O$91,$B16))</f>
        <v/>
      </c>
      <c r="O16" s="3">
        <f>IF($B16="","",INDEX(Anuncios!$AJ$2:$AJ$91,$B16))</f>
        <v/>
      </c>
      <c r="P16" s="3">
        <f>IF($B16="","",INDEX(Anuncios!$AI$2:$AI$91,$B16))</f>
        <v/>
      </c>
      <c r="Q16" s="3">
        <f>IF($B16="","",INDEX(Anuncios!$BV$2:$BV$91,$B16))</f>
        <v/>
      </c>
      <c r="R16" s="3">
        <f>IF($B16="","",INDEX(Anuncios!$CA$2:$CA$91,$B16))</f>
        <v/>
      </c>
      <c r="S16" s="3">
        <f>IF($B16="","",INDEX(Anuncios!$BZ$2:$BZ$91,$B16))</f>
        <v/>
      </c>
      <c r="T16" s="3">
        <f>IF($B16="","",INDEX(Anuncios!$CD$2:$CD$91,$B16))</f>
        <v/>
      </c>
      <c r="U16" s="3">
        <f>IF($B16="","",INDEX(Anuncios!$BC$2:$BC$91,$B16))</f>
        <v/>
      </c>
      <c r="V16" s="3">
        <f>IF($B16="","",INDEX(Anuncios!$BE$2:$BE$91,$B16))</f>
        <v/>
      </c>
      <c r="W16" s="3">
        <f>IF($B16="","",INDEX(Anuncios!$BF$2:$BF$91,$B16))</f>
        <v/>
      </c>
      <c r="X16" s="3">
        <f>IF($B16="","",INDEX(Anuncios!$BJ$2:$BJ$91,$B16))</f>
        <v/>
      </c>
      <c r="Y16" s="3">
        <f>IF($B16="","",INDEX(Anuncios!$BK$2:$BK$91,$B16))</f>
        <v/>
      </c>
      <c r="Z16" s="3">
        <f>IF($B16="","",INDEX(Anuncios!$BO$2:$BO$91,$B16))</f>
        <v/>
      </c>
      <c r="AA16" s="3">
        <f>IF($B16="","",INDEX(Anuncios!$BP$2:$BP$91,$B16))</f>
        <v/>
      </c>
      <c r="AB16" s="3">
        <f>IF($B16="","",INDEX(Anuncios!$BU$2:$BU$91,$B16))</f>
        <v/>
      </c>
      <c r="AC16" s="3">
        <f>IF($B16="","",INDEX(Anuncios!$BW$2:$BW$91,$B16))</f>
        <v/>
      </c>
      <c r="AD16" s="3">
        <f>IF($B16="","",INDEX(Anuncios!$BX$2:$BX$91,$B16))</f>
        <v/>
      </c>
      <c r="AE16" s="3">
        <f>IF($B16="","",INDEX(Anuncios!$AR$2:$AR$91,$B16))</f>
        <v/>
      </c>
      <c r="AF16" s="3">
        <f>IF($B16="","",X16*W_FIAB)</f>
        <v/>
      </c>
      <c r="AG16" s="3">
        <f>IF($B16="","",Y16*W_PRECIO)</f>
        <v/>
      </c>
      <c r="AH16" s="3">
        <f>IF($B16="","",Z16*W_KMEDAD)</f>
        <v/>
      </c>
      <c r="AI16" s="3">
        <f>IF($B16="","",AA16*W_ANUNCIO)</f>
        <v/>
      </c>
      <c r="AJ16" s="3">
        <f>IF($B16="","",AB16*W_USO)</f>
        <v/>
      </c>
      <c r="AK16" s="3">
        <f>IF($B16="","",AC16*W_SEGURIDAD)</f>
        <v/>
      </c>
    </row>
    <row r="17">
      <c r="A17" s="2" t="n">
        <v>16</v>
      </c>
      <c r="B17" s="3">
        <f>IFERROR(MATCH(A17,Anuncios!$CG$2:$CG$91,0),"")</f>
        <v/>
      </c>
      <c r="C17" s="3">
        <f>IF(B17="","",HYPERLINK(INDEX(Anuncios!$C$2:$C$91,B17),"Abrir anuncio"))</f>
        <v/>
      </c>
      <c r="D17" s="3">
        <f>IF($B17="","",INDEX(Anuncios!$D$2:$D$91,$B17))</f>
        <v/>
      </c>
      <c r="E17" s="3">
        <f>IF($B17="","",INDEX(Anuncios!$B$2:$B$91,$B17))</f>
        <v/>
      </c>
      <c r="F17" s="3">
        <f>IF($B17="","",INDEX(Anuncios!$E$2:$E$91,$B17))</f>
        <v/>
      </c>
      <c r="G17" s="3">
        <f>IF($B17="","",INDEX(Anuncios!$F$2:$F$91,$B17))</f>
        <v/>
      </c>
      <c r="H17" s="3">
        <f>IF($B17="","",INDEX(Anuncios!$G$2:$G$91,$B17))</f>
        <v/>
      </c>
      <c r="I17" s="3">
        <f>IF($B17="","",INDEX(Anuncios!$K$2:$K$91,$B17))</f>
        <v/>
      </c>
      <c r="J17" s="3">
        <f>IF($B17="","",INDEX(Anuncios!$M$2:$M$91,$B17))</f>
        <v/>
      </c>
      <c r="K17" s="3">
        <f>IF($B17="","",INDEX(Anuncios!$N$2:$N$91,$B17))</f>
        <v/>
      </c>
      <c r="L17" s="3">
        <f>IF($B17="","",INDEX(Anuncios!$Q$2:$Q$91,$B17))</f>
        <v/>
      </c>
      <c r="M17" s="3">
        <f>IF($B17="","",INDEX(Anuncios!$R$2:$R$91,$B17))</f>
        <v/>
      </c>
      <c r="N17" s="3">
        <f>IF($B17="","",INDEX(Anuncios!$O$2:$O$91,$B17))</f>
        <v/>
      </c>
      <c r="O17" s="3">
        <f>IF($B17="","",INDEX(Anuncios!$AJ$2:$AJ$91,$B17))</f>
        <v/>
      </c>
      <c r="P17" s="3">
        <f>IF($B17="","",INDEX(Anuncios!$AI$2:$AI$91,$B17))</f>
        <v/>
      </c>
      <c r="Q17" s="3">
        <f>IF($B17="","",INDEX(Anuncios!$BV$2:$BV$91,$B17))</f>
        <v/>
      </c>
      <c r="R17" s="3">
        <f>IF($B17="","",INDEX(Anuncios!$CA$2:$CA$91,$B17))</f>
        <v/>
      </c>
      <c r="S17" s="3">
        <f>IF($B17="","",INDEX(Anuncios!$BZ$2:$BZ$91,$B17))</f>
        <v/>
      </c>
      <c r="T17" s="3">
        <f>IF($B17="","",INDEX(Anuncios!$CD$2:$CD$91,$B17))</f>
        <v/>
      </c>
      <c r="U17" s="3">
        <f>IF($B17="","",INDEX(Anuncios!$BC$2:$BC$91,$B17))</f>
        <v/>
      </c>
      <c r="V17" s="3">
        <f>IF($B17="","",INDEX(Anuncios!$BE$2:$BE$91,$B17))</f>
        <v/>
      </c>
      <c r="W17" s="3">
        <f>IF($B17="","",INDEX(Anuncios!$BF$2:$BF$91,$B17))</f>
        <v/>
      </c>
      <c r="X17" s="3">
        <f>IF($B17="","",INDEX(Anuncios!$BJ$2:$BJ$91,$B17))</f>
        <v/>
      </c>
      <c r="Y17" s="3">
        <f>IF($B17="","",INDEX(Anuncios!$BK$2:$BK$91,$B17))</f>
        <v/>
      </c>
      <c r="Z17" s="3">
        <f>IF($B17="","",INDEX(Anuncios!$BO$2:$BO$91,$B17))</f>
        <v/>
      </c>
      <c r="AA17" s="3">
        <f>IF($B17="","",INDEX(Anuncios!$BP$2:$BP$91,$B17))</f>
        <v/>
      </c>
      <c r="AB17" s="3">
        <f>IF($B17="","",INDEX(Anuncios!$BU$2:$BU$91,$B17))</f>
        <v/>
      </c>
      <c r="AC17" s="3">
        <f>IF($B17="","",INDEX(Anuncios!$BW$2:$BW$91,$B17))</f>
        <v/>
      </c>
      <c r="AD17" s="3">
        <f>IF($B17="","",INDEX(Anuncios!$BX$2:$BX$91,$B17))</f>
        <v/>
      </c>
      <c r="AE17" s="3">
        <f>IF($B17="","",INDEX(Anuncios!$AR$2:$AR$91,$B17))</f>
        <v/>
      </c>
      <c r="AF17" s="3">
        <f>IF($B17="","",X17*W_FIAB)</f>
        <v/>
      </c>
      <c r="AG17" s="3">
        <f>IF($B17="","",Y17*W_PRECIO)</f>
        <v/>
      </c>
      <c r="AH17" s="3">
        <f>IF($B17="","",Z17*W_KMEDAD)</f>
        <v/>
      </c>
      <c r="AI17" s="3">
        <f>IF($B17="","",AA17*W_ANUNCIO)</f>
        <v/>
      </c>
      <c r="AJ17" s="3">
        <f>IF($B17="","",AB17*W_USO)</f>
        <v/>
      </c>
      <c r="AK17" s="3">
        <f>IF($B17="","",AC17*W_SEGURIDAD)</f>
        <v/>
      </c>
    </row>
    <row r="18">
      <c r="A18" s="2" t="n">
        <v>17</v>
      </c>
      <c r="B18" s="3">
        <f>IFERROR(MATCH(A18,Anuncios!$CG$2:$CG$91,0),"")</f>
        <v/>
      </c>
      <c r="C18" s="3">
        <f>IF(B18="","",HYPERLINK(INDEX(Anuncios!$C$2:$C$91,B18),"Abrir anuncio"))</f>
        <v/>
      </c>
      <c r="D18" s="3">
        <f>IF($B18="","",INDEX(Anuncios!$D$2:$D$91,$B18))</f>
        <v/>
      </c>
      <c r="E18" s="3">
        <f>IF($B18="","",INDEX(Anuncios!$B$2:$B$91,$B18))</f>
        <v/>
      </c>
      <c r="F18" s="3">
        <f>IF($B18="","",INDEX(Anuncios!$E$2:$E$91,$B18))</f>
        <v/>
      </c>
      <c r="G18" s="3">
        <f>IF($B18="","",INDEX(Anuncios!$F$2:$F$91,$B18))</f>
        <v/>
      </c>
      <c r="H18" s="3">
        <f>IF($B18="","",INDEX(Anuncios!$G$2:$G$91,$B18))</f>
        <v/>
      </c>
      <c r="I18" s="3">
        <f>IF($B18="","",INDEX(Anuncios!$K$2:$K$91,$B18))</f>
        <v/>
      </c>
      <c r="J18" s="3">
        <f>IF($B18="","",INDEX(Anuncios!$M$2:$M$91,$B18))</f>
        <v/>
      </c>
      <c r="K18" s="3">
        <f>IF($B18="","",INDEX(Anuncios!$N$2:$N$91,$B18))</f>
        <v/>
      </c>
      <c r="L18" s="3">
        <f>IF($B18="","",INDEX(Anuncios!$Q$2:$Q$91,$B18))</f>
        <v/>
      </c>
      <c r="M18" s="3">
        <f>IF($B18="","",INDEX(Anuncios!$R$2:$R$91,$B18))</f>
        <v/>
      </c>
      <c r="N18" s="3">
        <f>IF($B18="","",INDEX(Anuncios!$O$2:$O$91,$B18))</f>
        <v/>
      </c>
      <c r="O18" s="3">
        <f>IF($B18="","",INDEX(Anuncios!$AJ$2:$AJ$91,$B18))</f>
        <v/>
      </c>
      <c r="P18" s="3">
        <f>IF($B18="","",INDEX(Anuncios!$AI$2:$AI$91,$B18))</f>
        <v/>
      </c>
      <c r="Q18" s="3">
        <f>IF($B18="","",INDEX(Anuncios!$BV$2:$BV$91,$B18))</f>
        <v/>
      </c>
      <c r="R18" s="3">
        <f>IF($B18="","",INDEX(Anuncios!$CA$2:$CA$91,$B18))</f>
        <v/>
      </c>
      <c r="S18" s="3">
        <f>IF($B18="","",INDEX(Anuncios!$BZ$2:$BZ$91,$B18))</f>
        <v/>
      </c>
      <c r="T18" s="3">
        <f>IF($B18="","",INDEX(Anuncios!$CD$2:$CD$91,$B18))</f>
        <v/>
      </c>
      <c r="U18" s="3">
        <f>IF($B18="","",INDEX(Anuncios!$BC$2:$BC$91,$B18))</f>
        <v/>
      </c>
      <c r="V18" s="3">
        <f>IF($B18="","",INDEX(Anuncios!$BE$2:$BE$91,$B18))</f>
        <v/>
      </c>
      <c r="W18" s="3">
        <f>IF($B18="","",INDEX(Anuncios!$BF$2:$BF$91,$B18))</f>
        <v/>
      </c>
      <c r="X18" s="3">
        <f>IF($B18="","",INDEX(Anuncios!$BJ$2:$BJ$91,$B18))</f>
        <v/>
      </c>
      <c r="Y18" s="3">
        <f>IF($B18="","",INDEX(Anuncios!$BK$2:$BK$91,$B18))</f>
        <v/>
      </c>
      <c r="Z18" s="3">
        <f>IF($B18="","",INDEX(Anuncios!$BO$2:$BO$91,$B18))</f>
        <v/>
      </c>
      <c r="AA18" s="3">
        <f>IF($B18="","",INDEX(Anuncios!$BP$2:$BP$91,$B18))</f>
        <v/>
      </c>
      <c r="AB18" s="3">
        <f>IF($B18="","",INDEX(Anuncios!$BU$2:$BU$91,$B18))</f>
        <v/>
      </c>
      <c r="AC18" s="3">
        <f>IF($B18="","",INDEX(Anuncios!$BW$2:$BW$91,$B18))</f>
        <v/>
      </c>
      <c r="AD18" s="3">
        <f>IF($B18="","",INDEX(Anuncios!$BX$2:$BX$91,$B18))</f>
        <v/>
      </c>
      <c r="AE18" s="3">
        <f>IF($B18="","",INDEX(Anuncios!$AR$2:$AR$91,$B18))</f>
        <v/>
      </c>
      <c r="AF18" s="3">
        <f>IF($B18="","",X18*W_FIAB)</f>
        <v/>
      </c>
      <c r="AG18" s="3">
        <f>IF($B18="","",Y18*W_PRECIO)</f>
        <v/>
      </c>
      <c r="AH18" s="3">
        <f>IF($B18="","",Z18*W_KMEDAD)</f>
        <v/>
      </c>
      <c r="AI18" s="3">
        <f>IF($B18="","",AA18*W_ANUNCIO)</f>
        <v/>
      </c>
      <c r="AJ18" s="3">
        <f>IF($B18="","",AB18*W_USO)</f>
        <v/>
      </c>
      <c r="AK18" s="3">
        <f>IF($B18="","",AC18*W_SEGURIDAD)</f>
        <v/>
      </c>
    </row>
    <row r="19">
      <c r="A19" s="2" t="n">
        <v>18</v>
      </c>
      <c r="B19" s="3">
        <f>IFERROR(MATCH(A19,Anuncios!$CG$2:$CG$91,0),"")</f>
        <v/>
      </c>
      <c r="C19" s="3">
        <f>IF(B19="","",HYPERLINK(INDEX(Anuncios!$C$2:$C$91,B19),"Abrir anuncio"))</f>
        <v/>
      </c>
      <c r="D19" s="3">
        <f>IF($B19="","",INDEX(Anuncios!$D$2:$D$91,$B19))</f>
        <v/>
      </c>
      <c r="E19" s="3">
        <f>IF($B19="","",INDEX(Anuncios!$B$2:$B$91,$B19))</f>
        <v/>
      </c>
      <c r="F19" s="3">
        <f>IF($B19="","",INDEX(Anuncios!$E$2:$E$91,$B19))</f>
        <v/>
      </c>
      <c r="G19" s="3">
        <f>IF($B19="","",INDEX(Anuncios!$F$2:$F$91,$B19))</f>
        <v/>
      </c>
      <c r="H19" s="3">
        <f>IF($B19="","",INDEX(Anuncios!$G$2:$G$91,$B19))</f>
        <v/>
      </c>
      <c r="I19" s="3">
        <f>IF($B19="","",INDEX(Anuncios!$K$2:$K$91,$B19))</f>
        <v/>
      </c>
      <c r="J19" s="3">
        <f>IF($B19="","",INDEX(Anuncios!$M$2:$M$91,$B19))</f>
        <v/>
      </c>
      <c r="K19" s="3">
        <f>IF($B19="","",INDEX(Anuncios!$N$2:$N$91,$B19))</f>
        <v/>
      </c>
      <c r="L19" s="3">
        <f>IF($B19="","",INDEX(Anuncios!$Q$2:$Q$91,$B19))</f>
        <v/>
      </c>
      <c r="M19" s="3">
        <f>IF($B19="","",INDEX(Anuncios!$R$2:$R$91,$B19))</f>
        <v/>
      </c>
      <c r="N19" s="3">
        <f>IF($B19="","",INDEX(Anuncios!$O$2:$O$91,$B19))</f>
        <v/>
      </c>
      <c r="O19" s="3">
        <f>IF($B19="","",INDEX(Anuncios!$AJ$2:$AJ$91,$B19))</f>
        <v/>
      </c>
      <c r="P19" s="3">
        <f>IF($B19="","",INDEX(Anuncios!$AI$2:$AI$91,$B19))</f>
        <v/>
      </c>
      <c r="Q19" s="3">
        <f>IF($B19="","",INDEX(Anuncios!$BV$2:$BV$91,$B19))</f>
        <v/>
      </c>
      <c r="R19" s="3">
        <f>IF($B19="","",INDEX(Anuncios!$CA$2:$CA$91,$B19))</f>
        <v/>
      </c>
      <c r="S19" s="3">
        <f>IF($B19="","",INDEX(Anuncios!$BZ$2:$BZ$91,$B19))</f>
        <v/>
      </c>
      <c r="T19" s="3">
        <f>IF($B19="","",INDEX(Anuncios!$CD$2:$CD$91,$B19))</f>
        <v/>
      </c>
      <c r="U19" s="3">
        <f>IF($B19="","",INDEX(Anuncios!$BC$2:$BC$91,$B19))</f>
        <v/>
      </c>
      <c r="V19" s="3">
        <f>IF($B19="","",INDEX(Anuncios!$BE$2:$BE$91,$B19))</f>
        <v/>
      </c>
      <c r="W19" s="3">
        <f>IF($B19="","",INDEX(Anuncios!$BF$2:$BF$91,$B19))</f>
        <v/>
      </c>
      <c r="X19" s="3">
        <f>IF($B19="","",INDEX(Anuncios!$BJ$2:$BJ$91,$B19))</f>
        <v/>
      </c>
      <c r="Y19" s="3">
        <f>IF($B19="","",INDEX(Anuncios!$BK$2:$BK$91,$B19))</f>
        <v/>
      </c>
      <c r="Z19" s="3">
        <f>IF($B19="","",INDEX(Anuncios!$BO$2:$BO$91,$B19))</f>
        <v/>
      </c>
      <c r="AA19" s="3">
        <f>IF($B19="","",INDEX(Anuncios!$BP$2:$BP$91,$B19))</f>
        <v/>
      </c>
      <c r="AB19" s="3">
        <f>IF($B19="","",INDEX(Anuncios!$BU$2:$BU$91,$B19))</f>
        <v/>
      </c>
      <c r="AC19" s="3">
        <f>IF($B19="","",INDEX(Anuncios!$BW$2:$BW$91,$B19))</f>
        <v/>
      </c>
      <c r="AD19" s="3">
        <f>IF($B19="","",INDEX(Anuncios!$BX$2:$BX$91,$B19))</f>
        <v/>
      </c>
      <c r="AE19" s="3">
        <f>IF($B19="","",INDEX(Anuncios!$AR$2:$AR$91,$B19))</f>
        <v/>
      </c>
      <c r="AF19" s="3">
        <f>IF($B19="","",X19*W_FIAB)</f>
        <v/>
      </c>
      <c r="AG19" s="3">
        <f>IF($B19="","",Y19*W_PRECIO)</f>
        <v/>
      </c>
      <c r="AH19" s="3">
        <f>IF($B19="","",Z19*W_KMEDAD)</f>
        <v/>
      </c>
      <c r="AI19" s="3">
        <f>IF($B19="","",AA19*W_ANUNCIO)</f>
        <v/>
      </c>
      <c r="AJ19" s="3">
        <f>IF($B19="","",AB19*W_USO)</f>
        <v/>
      </c>
      <c r="AK19" s="3">
        <f>IF($B19="","",AC19*W_SEGURIDAD)</f>
        <v/>
      </c>
    </row>
    <row r="20">
      <c r="A20" s="2" t="n">
        <v>19</v>
      </c>
      <c r="B20" s="3">
        <f>IFERROR(MATCH(A20,Anuncios!$CG$2:$CG$91,0),"")</f>
        <v/>
      </c>
      <c r="C20" s="3">
        <f>IF(B20="","",HYPERLINK(INDEX(Anuncios!$C$2:$C$91,B20),"Abrir anuncio"))</f>
        <v/>
      </c>
      <c r="D20" s="3">
        <f>IF($B20="","",INDEX(Anuncios!$D$2:$D$91,$B20))</f>
        <v/>
      </c>
      <c r="E20" s="3">
        <f>IF($B20="","",INDEX(Anuncios!$B$2:$B$91,$B20))</f>
        <v/>
      </c>
      <c r="F20" s="3">
        <f>IF($B20="","",INDEX(Anuncios!$E$2:$E$91,$B20))</f>
        <v/>
      </c>
      <c r="G20" s="3">
        <f>IF($B20="","",INDEX(Anuncios!$F$2:$F$91,$B20))</f>
        <v/>
      </c>
      <c r="H20" s="3">
        <f>IF($B20="","",INDEX(Anuncios!$G$2:$G$91,$B20))</f>
        <v/>
      </c>
      <c r="I20" s="3">
        <f>IF($B20="","",INDEX(Anuncios!$K$2:$K$91,$B20))</f>
        <v/>
      </c>
      <c r="J20" s="3">
        <f>IF($B20="","",INDEX(Anuncios!$M$2:$M$91,$B20))</f>
        <v/>
      </c>
      <c r="K20" s="3">
        <f>IF($B20="","",INDEX(Anuncios!$N$2:$N$91,$B20))</f>
        <v/>
      </c>
      <c r="L20" s="3">
        <f>IF($B20="","",INDEX(Anuncios!$Q$2:$Q$91,$B20))</f>
        <v/>
      </c>
      <c r="M20" s="3">
        <f>IF($B20="","",INDEX(Anuncios!$R$2:$R$91,$B20))</f>
        <v/>
      </c>
      <c r="N20" s="3">
        <f>IF($B20="","",INDEX(Anuncios!$O$2:$O$91,$B20))</f>
        <v/>
      </c>
      <c r="O20" s="3">
        <f>IF($B20="","",INDEX(Anuncios!$AJ$2:$AJ$91,$B20))</f>
        <v/>
      </c>
      <c r="P20" s="3">
        <f>IF($B20="","",INDEX(Anuncios!$AI$2:$AI$91,$B20))</f>
        <v/>
      </c>
      <c r="Q20" s="3">
        <f>IF($B20="","",INDEX(Anuncios!$BV$2:$BV$91,$B20))</f>
        <v/>
      </c>
      <c r="R20" s="3">
        <f>IF($B20="","",INDEX(Anuncios!$CA$2:$CA$91,$B20))</f>
        <v/>
      </c>
      <c r="S20" s="3">
        <f>IF($B20="","",INDEX(Anuncios!$BZ$2:$BZ$91,$B20))</f>
        <v/>
      </c>
      <c r="T20" s="3">
        <f>IF($B20="","",INDEX(Anuncios!$CD$2:$CD$91,$B20))</f>
        <v/>
      </c>
      <c r="U20" s="3">
        <f>IF($B20="","",INDEX(Anuncios!$BC$2:$BC$91,$B20))</f>
        <v/>
      </c>
      <c r="V20" s="3">
        <f>IF($B20="","",INDEX(Anuncios!$BE$2:$BE$91,$B20))</f>
        <v/>
      </c>
      <c r="W20" s="3">
        <f>IF($B20="","",INDEX(Anuncios!$BF$2:$BF$91,$B20))</f>
        <v/>
      </c>
      <c r="X20" s="3">
        <f>IF($B20="","",INDEX(Anuncios!$BJ$2:$BJ$91,$B20))</f>
        <v/>
      </c>
      <c r="Y20" s="3">
        <f>IF($B20="","",INDEX(Anuncios!$BK$2:$BK$91,$B20))</f>
        <v/>
      </c>
      <c r="Z20" s="3">
        <f>IF($B20="","",INDEX(Anuncios!$BO$2:$BO$91,$B20))</f>
        <v/>
      </c>
      <c r="AA20" s="3">
        <f>IF($B20="","",INDEX(Anuncios!$BP$2:$BP$91,$B20))</f>
        <v/>
      </c>
      <c r="AB20" s="3">
        <f>IF($B20="","",INDEX(Anuncios!$BU$2:$BU$91,$B20))</f>
        <v/>
      </c>
      <c r="AC20" s="3">
        <f>IF($B20="","",INDEX(Anuncios!$BW$2:$BW$91,$B20))</f>
        <v/>
      </c>
      <c r="AD20" s="3">
        <f>IF($B20="","",INDEX(Anuncios!$BX$2:$BX$91,$B20))</f>
        <v/>
      </c>
      <c r="AE20" s="3">
        <f>IF($B20="","",INDEX(Anuncios!$AR$2:$AR$91,$B20))</f>
        <v/>
      </c>
      <c r="AF20" s="3">
        <f>IF($B20="","",X20*W_FIAB)</f>
        <v/>
      </c>
      <c r="AG20" s="3">
        <f>IF($B20="","",Y20*W_PRECIO)</f>
        <v/>
      </c>
      <c r="AH20" s="3">
        <f>IF($B20="","",Z20*W_KMEDAD)</f>
        <v/>
      </c>
      <c r="AI20" s="3">
        <f>IF($B20="","",AA20*W_ANUNCIO)</f>
        <v/>
      </c>
      <c r="AJ20" s="3">
        <f>IF($B20="","",AB20*W_USO)</f>
        <v/>
      </c>
      <c r="AK20" s="3">
        <f>IF($B20="","",AC20*W_SEGURIDAD)</f>
        <v/>
      </c>
    </row>
    <row r="21">
      <c r="A21" s="2" t="n">
        <v>20</v>
      </c>
      <c r="B21" s="3">
        <f>IFERROR(MATCH(A21,Anuncios!$CG$2:$CG$91,0),"")</f>
        <v/>
      </c>
      <c r="C21" s="3">
        <f>IF(B21="","",HYPERLINK(INDEX(Anuncios!$C$2:$C$91,B21),"Abrir anuncio"))</f>
        <v/>
      </c>
      <c r="D21" s="3">
        <f>IF($B21="","",INDEX(Anuncios!$D$2:$D$91,$B21))</f>
        <v/>
      </c>
      <c r="E21" s="3">
        <f>IF($B21="","",INDEX(Anuncios!$B$2:$B$91,$B21))</f>
        <v/>
      </c>
      <c r="F21" s="3">
        <f>IF($B21="","",INDEX(Anuncios!$E$2:$E$91,$B21))</f>
        <v/>
      </c>
      <c r="G21" s="3">
        <f>IF($B21="","",INDEX(Anuncios!$F$2:$F$91,$B21))</f>
        <v/>
      </c>
      <c r="H21" s="3">
        <f>IF($B21="","",INDEX(Anuncios!$G$2:$G$91,$B21))</f>
        <v/>
      </c>
      <c r="I21" s="3">
        <f>IF($B21="","",INDEX(Anuncios!$K$2:$K$91,$B21))</f>
        <v/>
      </c>
      <c r="J21" s="3">
        <f>IF($B21="","",INDEX(Anuncios!$M$2:$M$91,$B21))</f>
        <v/>
      </c>
      <c r="K21" s="3">
        <f>IF($B21="","",INDEX(Anuncios!$N$2:$N$91,$B21))</f>
        <v/>
      </c>
      <c r="L21" s="3">
        <f>IF($B21="","",INDEX(Anuncios!$Q$2:$Q$91,$B21))</f>
        <v/>
      </c>
      <c r="M21" s="3">
        <f>IF($B21="","",INDEX(Anuncios!$R$2:$R$91,$B21))</f>
        <v/>
      </c>
      <c r="N21" s="3">
        <f>IF($B21="","",INDEX(Anuncios!$O$2:$O$91,$B21))</f>
        <v/>
      </c>
      <c r="O21" s="3">
        <f>IF($B21="","",INDEX(Anuncios!$AJ$2:$AJ$91,$B21))</f>
        <v/>
      </c>
      <c r="P21" s="3">
        <f>IF($B21="","",INDEX(Anuncios!$AI$2:$AI$91,$B21))</f>
        <v/>
      </c>
      <c r="Q21" s="3">
        <f>IF($B21="","",INDEX(Anuncios!$BV$2:$BV$91,$B21))</f>
        <v/>
      </c>
      <c r="R21" s="3">
        <f>IF($B21="","",INDEX(Anuncios!$CA$2:$CA$91,$B21))</f>
        <v/>
      </c>
      <c r="S21" s="3">
        <f>IF($B21="","",INDEX(Anuncios!$BZ$2:$BZ$91,$B21))</f>
        <v/>
      </c>
      <c r="T21" s="3">
        <f>IF($B21="","",INDEX(Anuncios!$CD$2:$CD$91,$B21))</f>
        <v/>
      </c>
      <c r="U21" s="3">
        <f>IF($B21="","",INDEX(Anuncios!$BC$2:$BC$91,$B21))</f>
        <v/>
      </c>
      <c r="V21" s="3">
        <f>IF($B21="","",INDEX(Anuncios!$BE$2:$BE$91,$B21))</f>
        <v/>
      </c>
      <c r="W21" s="3">
        <f>IF($B21="","",INDEX(Anuncios!$BF$2:$BF$91,$B21))</f>
        <v/>
      </c>
      <c r="X21" s="3">
        <f>IF($B21="","",INDEX(Anuncios!$BJ$2:$BJ$91,$B21))</f>
        <v/>
      </c>
      <c r="Y21" s="3">
        <f>IF($B21="","",INDEX(Anuncios!$BK$2:$BK$91,$B21))</f>
        <v/>
      </c>
      <c r="Z21" s="3">
        <f>IF($B21="","",INDEX(Anuncios!$BO$2:$BO$91,$B21))</f>
        <v/>
      </c>
      <c r="AA21" s="3">
        <f>IF($B21="","",INDEX(Anuncios!$BP$2:$BP$91,$B21))</f>
        <v/>
      </c>
      <c r="AB21" s="3">
        <f>IF($B21="","",INDEX(Anuncios!$BU$2:$BU$91,$B21))</f>
        <v/>
      </c>
      <c r="AC21" s="3">
        <f>IF($B21="","",INDEX(Anuncios!$BW$2:$BW$91,$B21))</f>
        <v/>
      </c>
      <c r="AD21" s="3">
        <f>IF($B21="","",INDEX(Anuncios!$BX$2:$BX$91,$B21))</f>
        <v/>
      </c>
      <c r="AE21" s="3">
        <f>IF($B21="","",INDEX(Anuncios!$AR$2:$AR$91,$B21))</f>
        <v/>
      </c>
      <c r="AF21" s="3">
        <f>IF($B21="","",X21*W_FIAB)</f>
        <v/>
      </c>
      <c r="AG21" s="3">
        <f>IF($B21="","",Y21*W_PRECIO)</f>
        <v/>
      </c>
      <c r="AH21" s="3">
        <f>IF($B21="","",Z21*W_KMEDAD)</f>
        <v/>
      </c>
      <c r="AI21" s="3">
        <f>IF($B21="","",AA21*W_ANUNCIO)</f>
        <v/>
      </c>
      <c r="AJ21" s="3">
        <f>IF($B21="","",AB21*W_USO)</f>
        <v/>
      </c>
      <c r="AK21" s="3">
        <f>IF($B21="","",AC21*W_SEGURIDAD)</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2"/>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0.3</v>
      </c>
      <c r="C7" t="inlineStr">
        <is>
          <t>criterio (config.yaml)</t>
        </is>
      </c>
      <c r="D7" t="inlineStr">
        <is>
          <t>config.yaml</t>
        </is>
      </c>
    </row>
    <row r="8">
      <c r="A8" t="inlineStr">
        <is>
          <t>Precio frente al mercado</t>
        </is>
      </c>
      <c r="B8" s="2" t="n">
        <v>0.25</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0.09</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Suma de pesos (control)</t>
        </is>
      </c>
      <c r="B13" s="4">
        <f>SUM(B7:B12)</f>
        <v/>
      </c>
      <c r="C13" t="inlineStr">
        <is>
          <t>calculado</t>
        </is>
      </c>
      <c r="D13" t="inlineStr"/>
    </row>
    <row r="15">
      <c r="A15" s="6" t="inlineStr">
        <is>
          <t>2. Parámetros de búsqueda y de puntuación</t>
        </is>
      </c>
    </row>
    <row r="16">
      <c r="A16" s="7" t="inlineStr">
        <is>
          <t>Parámetro</t>
        </is>
      </c>
      <c r="B16" s="7" t="inlineStr">
        <is>
          <t>Valor</t>
        </is>
      </c>
      <c r="C16" s="7" t="inlineStr">
        <is>
          <t>Estado</t>
        </is>
      </c>
      <c r="D16" s="7" t="inlineStr">
        <is>
          <t>Fuente</t>
        </is>
      </c>
    </row>
    <row r="17">
      <c r="A17" t="inlineStr">
        <is>
          <t>Año de referencia</t>
        </is>
      </c>
      <c r="B17" s="2" t="n">
        <v>2026</v>
      </c>
      <c r="C17" t="inlineStr">
        <is>
          <t>dato</t>
        </is>
      </c>
      <c r="D17" t="inlineStr">
        <is>
          <t>fiscal.yaml</t>
        </is>
      </c>
    </row>
    <row r="18">
      <c r="A18" t="inlineStr">
        <is>
          <t>Año mínimo</t>
        </is>
      </c>
      <c r="B18" s="2" t="n">
        <v>2008</v>
      </c>
      <c r="C18" t="inlineStr">
        <is>
          <t>criterio (config.yaml)</t>
        </is>
      </c>
      <c r="D18" t="inlineStr">
        <is>
          <t>config.yaml</t>
        </is>
      </c>
    </row>
    <row r="19">
      <c r="A19" t="inlineStr">
        <is>
          <t>Km máximos</t>
        </is>
      </c>
      <c r="B19" s="2" t="n">
        <v>220000</v>
      </c>
      <c r="C19" t="inlineStr">
        <is>
          <t>criterio (config.yaml)</t>
        </is>
      </c>
      <c r="D19" t="inlineStr">
        <is>
          <t>config.yaml</t>
        </is>
      </c>
    </row>
    <row r="20">
      <c r="A20" t="inlineStr">
        <is>
          <t>Precio anuncio máximo (€)</t>
        </is>
      </c>
      <c r="B20" s="2" t="n">
        <v>4600</v>
      </c>
      <c r="C20" t="inlineStr">
        <is>
          <t>criterio (config.yaml)</t>
        </is>
      </c>
      <c r="D20" t="inlineStr">
        <is>
          <t>config.yaml</t>
        </is>
      </c>
    </row>
    <row r="21">
      <c r="A21" t="inlineStr">
        <is>
          <t>Coste total máximo (€)</t>
        </is>
      </c>
      <c r="B21" s="2" t="n">
        <v>5000</v>
      </c>
      <c r="C21" t="inlineStr">
        <is>
          <t>criterio (config.yaml)</t>
        </is>
      </c>
      <c r="D21" t="inlineStr">
        <is>
          <t>config.yaml</t>
        </is>
      </c>
    </row>
    <row r="22">
      <c r="A22" t="inlineStr">
        <is>
          <t>Tramo de años para mediana</t>
        </is>
      </c>
      <c r="B22" s="2" t="n">
        <v>3</v>
      </c>
      <c r="C22" t="inlineStr">
        <is>
          <t>criterio (config.yaml)</t>
        </is>
      </c>
      <c r="D22" t="inlineStr">
        <is>
          <t>config.yaml</t>
        </is>
      </c>
    </row>
    <row r="23">
      <c r="A23" t="inlineStr">
        <is>
          <t>Tramo de km para mediana</t>
        </is>
      </c>
      <c r="B23" s="2" t="n">
        <v>50000</v>
      </c>
      <c r="C23" t="inlineStr">
        <is>
          <t>criterio (config.yaml)</t>
        </is>
      </c>
      <c r="D23" t="inlineStr">
        <is>
          <t>config.yaml</t>
        </is>
      </c>
    </row>
    <row r="24">
      <c r="A24" t="inlineStr">
        <is>
          <t>Mín. anuncios por segmento (si no, se sube de nivel)</t>
        </is>
      </c>
      <c r="B24" s="2" t="n">
        <v>4</v>
      </c>
      <c r="C24" t="inlineStr">
        <is>
          <t>criterio (config.yaml)</t>
        </is>
      </c>
      <c r="D24" t="inlineStr">
        <is>
          <t>config.yaml</t>
        </is>
      </c>
    </row>
    <row r="25">
      <c r="A25" t="inlineStr">
        <is>
          <t>Puntos por unidad de descuento (50 + desc·k)</t>
        </is>
      </c>
      <c r="B25" s="2" t="n">
        <v>250</v>
      </c>
      <c r="C25" t="inlineStr">
        <is>
          <t>criterio (config.yaml)</t>
        </is>
      </c>
      <c r="D25" t="inlineStr">
        <is>
          <t>config.yaml</t>
        </is>
      </c>
    </row>
    <row r="26">
      <c r="A26" t="inlineStr">
        <is>
          <t>Km/año ideal máximo (100 puntos hasta aquí)</t>
        </is>
      </c>
      <c r="B26" s="2" t="n">
        <v>18000</v>
      </c>
      <c r="C26" t="inlineStr">
        <is>
          <t>criterio (config.yaml)</t>
        </is>
      </c>
      <c r="D26" t="inlineStr">
        <is>
          <t>config.yaml</t>
        </is>
      </c>
    </row>
    <row r="27">
      <c r="A27" t="inlineStr">
        <is>
          <t>Km/año con 0 puntos</t>
        </is>
      </c>
      <c r="B27" s="2" t="n">
        <v>35000</v>
      </c>
      <c r="C27" t="inlineStr">
        <is>
          <t>criterio (config.yaml)</t>
        </is>
      </c>
      <c r="D27" t="inlineStr">
        <is>
          <t>config.yaml</t>
        </is>
      </c>
    </row>
    <row r="28">
      <c r="A28" t="inlineStr">
        <is>
          <t>Km/año sospechosamente bajo</t>
        </is>
      </c>
      <c r="B28" s="2" t="n">
        <v>4000</v>
      </c>
      <c r="C28" t="inlineStr">
        <is>
          <t>criterio (config.yaml)</t>
        </is>
      </c>
      <c r="D28" t="inlineStr">
        <is>
          <t>config.yaml</t>
        </is>
      </c>
    </row>
    <row r="29">
      <c r="A29" t="inlineStr">
        <is>
          <t>Puntos km/año si es sospechoso y no justificado</t>
        </is>
      </c>
      <c r="B29" s="2" t="n">
        <v>40</v>
      </c>
      <c r="C29" t="inlineStr">
        <is>
          <t>criterio (config.yaml)</t>
        </is>
      </c>
      <c r="D29" t="inlineStr">
        <is>
          <t>config.yaml</t>
        </is>
      </c>
    </row>
    <row r="30">
      <c r="A30" t="inlineStr">
        <is>
          <t>Peso km totales dentro de Km y edad</t>
        </is>
      </c>
      <c r="B30" s="2" t="n">
        <v>0.4</v>
      </c>
      <c r="C30" t="inlineStr">
        <is>
          <t>criterio (config.yaml)</t>
        </is>
      </c>
      <c r="D30" t="inlineStr">
        <is>
          <t>config.yaml</t>
        </is>
      </c>
    </row>
    <row r="31">
      <c r="A31" t="inlineStr">
        <is>
          <t>Peso km/año dentro de Km y edad</t>
        </is>
      </c>
      <c r="B31" s="2" t="n">
        <v>0.3</v>
      </c>
      <c r="C31" t="inlineStr">
        <is>
          <t>criterio (config.yaml)</t>
        </is>
      </c>
      <c r="D31" t="inlineStr">
        <is>
          <t>config.yaml</t>
        </is>
      </c>
    </row>
    <row r="32">
      <c r="A32" t="inlineStr">
        <is>
          <t>Peso edad dentro de Km y edad</t>
        </is>
      </c>
      <c r="B32" s="2" t="n">
        <v>0.3</v>
      </c>
      <c r="C32" t="inlineStr">
        <is>
          <t>criterio (config.yaml)</t>
        </is>
      </c>
      <c r="D32" t="inlineStr">
        <is>
          <t>config.yaml</t>
        </is>
      </c>
    </row>
    <row r="33">
      <c r="A33" t="inlineStr">
        <is>
          <t>Puntos: ITV en vigor</t>
        </is>
      </c>
      <c r="B33" s="2" t="n">
        <v>20</v>
      </c>
      <c r="C33" t="inlineStr">
        <is>
          <t>criterio (config.yaml)</t>
        </is>
      </c>
      <c r="D33" t="inlineStr">
        <is>
          <t>config.yaml</t>
        </is>
      </c>
    </row>
    <row r="34">
      <c r="A34" t="inlineStr">
        <is>
          <t>Puntos: libro de mantenimiento</t>
        </is>
      </c>
      <c r="B34" s="2" t="n">
        <v>25</v>
      </c>
      <c r="C34" t="inlineStr">
        <is>
          <t>criterio (config.yaml)</t>
        </is>
      </c>
      <c r="D34" t="inlineStr">
        <is>
          <t>config.yaml</t>
        </is>
      </c>
    </row>
    <row r="35">
      <c r="A35" t="inlineStr">
        <is>
          <t>Puntos: correa/distribución cambiada</t>
        </is>
      </c>
      <c r="B35" s="2" t="n">
        <v>25</v>
      </c>
      <c r="C35" t="inlineStr">
        <is>
          <t>criterio (config.yaml)</t>
        </is>
      </c>
      <c r="D35" t="inlineStr">
        <is>
          <t>config.yaml</t>
        </is>
      </c>
    </row>
    <row r="36">
      <c r="A36" t="inlineStr">
        <is>
          <t>Puntos: un solo propietario</t>
        </is>
      </c>
      <c r="B36" s="2" t="n">
        <v>15</v>
      </c>
      <c r="C36" t="inlineStr">
        <is>
          <t>criterio (config.yaml)</t>
        </is>
      </c>
      <c r="D36" t="inlineStr">
        <is>
          <t>config.yaml</t>
        </is>
      </c>
    </row>
    <row r="37">
      <c r="A37" t="inlineStr">
        <is>
          <t>Puntos: garantía</t>
        </is>
      </c>
      <c r="B37" s="2" t="n">
        <v>0</v>
      </c>
      <c r="C37" t="inlineStr">
        <is>
          <t>criterio (config.yaml)</t>
        </is>
      </c>
      <c r="D37" t="inlineStr">
        <is>
          <t>config.yaml</t>
        </is>
      </c>
    </row>
    <row r="38">
      <c r="A38" t="inlineStr">
        <is>
          <t>Puntos: fotos (proporcional)</t>
        </is>
      </c>
      <c r="B38" s="2" t="n">
        <v>15</v>
      </c>
      <c r="C38" t="inlineStr">
        <is>
          <t>criterio (config.yaml)</t>
        </is>
      </c>
      <c r="D38" t="inlineStr">
        <is>
          <t>config.yaml</t>
        </is>
      </c>
    </row>
    <row r="39">
      <c r="A39" t="inlineStr">
        <is>
          <t>Fotos para puntuación completa</t>
        </is>
      </c>
      <c r="B39" s="2" t="n">
        <v>10</v>
      </c>
      <c r="C39" t="inlineStr">
        <is>
          <t>criterio (config.yaml)</t>
        </is>
      </c>
      <c r="D39" t="inlineStr">
        <is>
          <t>config.yaml</t>
        </is>
      </c>
    </row>
    <row r="40">
      <c r="A40" t="inlineStr">
        <is>
          <t>Peso etiqueta dentro de Coste de uso</t>
        </is>
      </c>
      <c r="B40" s="2" t="n">
        <v>0.5</v>
      </c>
      <c r="C40" t="inlineStr">
        <is>
          <t>criterio (config.yaml)</t>
        </is>
      </c>
      <c r="D40" t="inlineStr">
        <is>
          <t>config.yaml</t>
        </is>
      </c>
    </row>
    <row r="41">
      <c r="A41" t="inlineStr">
        <is>
          <t>Peso consumo dentro de Coste de uso</t>
        </is>
      </c>
      <c r="B41" s="2" t="n">
        <v>0.3</v>
      </c>
      <c r="C41" t="inlineStr">
        <is>
          <t>criterio (config.yaml)</t>
        </is>
      </c>
      <c r="D41" t="inlineStr">
        <is>
          <t>config.yaml</t>
        </is>
      </c>
    </row>
    <row r="42">
      <c r="A42" t="inlineStr">
        <is>
          <t>Peso seguro dentro de Coste de uso</t>
        </is>
      </c>
      <c r="B42" s="2" t="n">
        <v>0.2</v>
      </c>
      <c r="C42" t="inlineStr">
        <is>
          <t>criterio (config.yaml)</t>
        </is>
      </c>
      <c r="D42" t="inlineStr">
        <is>
          <t>config.yaml</t>
        </is>
      </c>
    </row>
    <row r="43">
      <c r="A43" t="inlineStr">
        <is>
          <t>Puntuación neutra cuando el dato está PENDIENTE</t>
        </is>
      </c>
      <c r="B43" s="2" t="n">
        <v>50</v>
      </c>
      <c r="C43" t="inlineStr">
        <is>
          <t>criterio (config.yaml)</t>
        </is>
      </c>
      <c r="D43" t="inlineStr">
        <is>
          <t>config.yaml</t>
        </is>
      </c>
    </row>
    <row r="44">
      <c r="A44" t="inlineStr">
        <is>
          <t>Seguridad: puntos por garantía (proporcional a meses)</t>
        </is>
      </c>
      <c r="B44" s="2" t="n">
        <v>35</v>
      </c>
      <c r="C44" t="inlineStr">
        <is>
          <t>criterio (config.yaml)</t>
        </is>
      </c>
      <c r="D44" t="inlineStr">
        <is>
          <t>config.yaml</t>
        </is>
      </c>
    </row>
    <row r="45">
      <c r="A45" t="inlineStr">
        <is>
          <t>Seguridad: meses de garantía para puntuación completa</t>
        </is>
      </c>
      <c r="B45" s="2" t="n">
        <v>24</v>
      </c>
      <c r="C45" t="inlineStr">
        <is>
          <t>criterio (config.yaml)</t>
        </is>
      </c>
      <c r="D45" t="inlineStr">
        <is>
          <t>config.yaml</t>
        </is>
      </c>
    </row>
    <row r="46">
      <c r="A46" t="inlineStr">
        <is>
          <t>Seguridad: puntos si la garantía es ampliable</t>
        </is>
      </c>
      <c r="B46" s="2" t="n">
        <v>10</v>
      </c>
      <c r="C46" t="inlineStr">
        <is>
          <t>criterio (config.yaml)</t>
        </is>
      </c>
      <c r="D46" t="inlineStr">
        <is>
          <t>config.yaml</t>
        </is>
      </c>
    </row>
    <row r="47">
      <c r="A47" t="inlineStr">
        <is>
          <t>Seguridad: puntos por km certificados</t>
        </is>
      </c>
      <c r="B47" s="2" t="n">
        <v>15</v>
      </c>
      <c r="C47" t="inlineStr">
        <is>
          <t>criterio (config.yaml)</t>
        </is>
      </c>
      <c r="D47" t="inlineStr">
        <is>
          <t>config.yaml</t>
        </is>
      </c>
    </row>
    <row r="48">
      <c r="A48" t="inlineStr">
        <is>
          <t>Seguridad: puntos por revisión documentada</t>
        </is>
      </c>
      <c r="B48" s="2" t="n">
        <v>15</v>
      </c>
      <c r="C48" t="inlineStr">
        <is>
          <t>criterio (config.yaml)</t>
        </is>
      </c>
      <c r="D48" t="inlineStr">
        <is>
          <t>config.yaml</t>
        </is>
      </c>
    </row>
    <row r="49">
      <c r="A49" t="inlineStr">
        <is>
          <t>Seguridad: puntos por derecho de devolución (proporcional a días)</t>
        </is>
      </c>
      <c r="B49" s="2" t="n">
        <v>15</v>
      </c>
      <c r="C49" t="inlineStr">
        <is>
          <t>criterio (config.yaml)</t>
        </is>
      </c>
      <c r="D49" t="inlineStr">
        <is>
          <t>config.yaml</t>
        </is>
      </c>
    </row>
    <row r="50">
      <c r="A50" t="inlineStr">
        <is>
          <t>Seguridad: días de devolución para puntuación completa</t>
        </is>
      </c>
      <c r="B50" s="2" t="n">
        <v>15</v>
      </c>
      <c r="C50" t="inlineStr">
        <is>
          <t>criterio (config.yaml)</t>
        </is>
      </c>
      <c r="D50" t="inlineStr">
        <is>
          <t>config.yaml</t>
        </is>
      </c>
    </row>
    <row r="51">
      <c r="A51" t="inlineStr">
        <is>
          <t>Seguridad: puntos por historial/libro de mantenimiento</t>
        </is>
      </c>
      <c r="B51" s="2" t="n">
        <v>10</v>
      </c>
      <c r="C51" t="inlineStr">
        <is>
          <t>criterio (config.yaml)</t>
        </is>
      </c>
      <c r="D51" t="inlineStr">
        <is>
          <t>config.yaml</t>
        </is>
      </c>
    </row>
    <row r="52">
      <c r="A52" t="inlineStr">
        <is>
          <t>Aplicar mínimo legal a profesionales sin garantía declarada (1 = sí)</t>
        </is>
      </c>
      <c r="B52" s="2" t="n">
        <v>1</v>
      </c>
      <c r="C52" t="inlineStr">
        <is>
          <t>criterio (config.yaml)</t>
        </is>
      </c>
      <c r="D52" t="inlineStr">
        <is>
          <t>config.yaml</t>
        </is>
      </c>
    </row>
    <row r="53">
      <c r="A53" t="inlineStr">
        <is>
          <t>Garantía legal mínima en usados de vendedor profesional (meses)</t>
        </is>
      </c>
      <c r="B53" s="2" t="n">
        <v>12</v>
      </c>
      <c r="C53" t="inlineStr">
        <is>
          <t>confirmado</t>
        </is>
      </c>
      <c r="D53" t="inlineStr">
        <is>
          <t>TRLGDCU (RDLeg. 1/2007), art. 120.1, en la redacción del Real Decreto-ley 7/2021, de 27 de abril — https://www.boe.es/buscar/act.php?id=BOE-A-2007-20555</t>
        </is>
      </c>
    </row>
    <row r="55">
      <c r="A55" s="6" t="inlineStr">
        <is>
          <t>3. Coste de compra: ITP (Comunitat Valenciana) y tasas DGT</t>
        </is>
      </c>
    </row>
    <row r="56">
      <c r="A56" s="7" t="inlineStr">
        <is>
          <t>Concepto</t>
        </is>
      </c>
      <c r="B56" s="7" t="inlineStr">
        <is>
          <t>Valor</t>
        </is>
      </c>
      <c r="C56" s="7" t="inlineStr">
        <is>
          <t>Estado</t>
        </is>
      </c>
      <c r="D56" s="7" t="inlineStr">
        <is>
          <t>Fuente</t>
        </is>
      </c>
    </row>
    <row r="57">
      <c r="A57" t="inlineStr">
        <is>
          <t>ITP tipo general (si no aplica cuota fija)</t>
        </is>
      </c>
      <c r="B57" s="2" t="n">
        <v>0.06</v>
      </c>
      <c r="C57" t="inlineStr">
        <is>
          <t>confirmado (cuadro resumen art. 13.Tres Ley 13/1997 en atv.gva.es/es/vehiculos-faq, leído 31-10-2026: 6 % hasta 5 años y &lt;= 2.000 cc)</t>
        </is>
      </c>
      <c r="D57" t="inlineStr">
        <is>
          <t>https://atv.gva.es/es/tarifes-itpajd ; https://atv.gva.es/es/compraventa-de-vehiculos</t>
        </is>
      </c>
    </row>
    <row r="58">
      <c r="A58" t="inlineStr">
        <is>
          <t>Cuota fija solo si valor &lt; (€)</t>
        </is>
      </c>
      <c r="B58" s="2" t="n">
        <v>20000</v>
      </c>
      <c r="C58" t="inlineStr">
        <is>
          <t>confirmado (cuadro resumen de la ATV, https://atv.gva.es/es/vehiculos-faq, leído 31-10-2026)</t>
        </is>
      </c>
      <c r="D58" t="inlineStr">
        <is>
          <t>https://atv.gva.es/es/vehiculos-faq ; Ley 13/1997 consolidada https://www.boe.es/buscar/act.php?id=BOE-A-1998-8202</t>
        </is>
      </c>
    </row>
    <row r="59">
      <c r="A59" t="inlineStr">
        <is>
          <t>Tasa DGT transferencia 1.5 (€)</t>
        </is>
      </c>
      <c r="B59" s="2" t="n">
        <v>55.7</v>
      </c>
      <c r="C59" t="inlineStr">
        <is>
          <t>probable: la sede web DGT indica 55,70 €; el PDF oficial de importes (creado 21-12-2020) da 55,15 €, desactualizado. Se usa el más reciente.</t>
        </is>
      </c>
      <c r="D59" t="inlineStr">
        <is>
          <t>https://sede.dgt.gob.es/es/vehiculos/transferencias-de-vehiculos/</t>
        </is>
      </c>
    </row>
    <row r="60">
      <c r="A60" t="inlineStr">
        <is>
          <t>Informe DGT 4.1 (€)</t>
        </is>
      </c>
      <c r="B60" s="2" t="n">
        <v>8.67</v>
      </c>
      <c r="C60" t="inlineStr">
        <is>
          <t>probable: sede web DGT 8,67 €; el PDF de 2020 da 8,59 € (tasa 4.1)</t>
        </is>
      </c>
      <c r="D60" t="inlineStr">
        <is>
          <t>https://sede.dgt.gob.es/es/vehiculos/informacion-de-vehiculos/informe-de-un-vehiculo/</t>
        </is>
      </c>
    </row>
    <row r="61">
      <c r="A61" t="inlineStr">
        <is>
          <t>Cuota fija: tramo 'más de N años' (alto)</t>
        </is>
      </c>
      <c r="B61" s="2" t="n">
        <v>12</v>
      </c>
      <c r="C61" t="inlineStr">
        <is>
          <t>confirmado (cuadro resumen de la ATV, https://atv.gva.es/es/vehiculos-faq, leído 31-10-2026)</t>
        </is>
      </c>
      <c r="D61" t="inlineStr">
        <is>
          <t>https://atv.gva.es/es/vehiculos-faq ; Ley 13/1997 consolidada https://www.boe.es/buscar/act.php?id=BOE-A-1998-8202</t>
        </is>
      </c>
    </row>
    <row r="62">
      <c r="A62" t="inlineStr">
        <is>
          <t>Cuota fija: tramo 'más de N años' (bajo)</t>
        </is>
      </c>
      <c r="B62" s="2" t="n">
        <v>5</v>
      </c>
      <c r="C62" t="inlineStr">
        <is>
          <t>confirmado (cuadro resumen de la ATV, https://atv.gva.es/es/vehiculos-faq, leído 31-10-2026)</t>
        </is>
      </c>
      <c r="D62" t="inlineStr">
        <is>
          <t>https://atv.gva.es/es/vehiculos-faq ; Ley 13/1997 consolidada https://www.boe.es/buscar/act.php?id=BOE-A-1998-8202</t>
        </is>
      </c>
    </row>
    <row r="63">
      <c r="A63" t="inlineStr">
        <is>
          <t>Vendedor profesional: sin ITP (IVA/REBU incluido); se suman sus gastos de gestión y la tasa DGT solo si esos gastos no incluyen la transferencia o no constan — PENDIENTE de cita oficial (práctica habitual; confirmar en la factura)</t>
        </is>
      </c>
    </row>
    <row r="64">
      <c r="A64" t="inlineStr">
        <is>
          <t>Nota: Ley 5/2025 de 30 de mayo modifica tipos de ITP; parece afectar a inmuebles. Efecto sobre vehículos PENDIENTE de verificar.</t>
        </is>
      </c>
    </row>
    <row r="66">
      <c r="A66" s="8" t="inlineStr">
        <is>
          <t>Tabla de cuotas fijas de ITP</t>
        </is>
      </c>
    </row>
    <row r="67">
      <c r="A67" s="7" t="inlineStr">
        <is>
          <t>Más de (años)</t>
        </is>
      </c>
      <c r="B67" s="7" t="inlineStr">
        <is>
          <t>cc desde</t>
        </is>
      </c>
      <c r="C67" s="7" t="inlineStr">
        <is>
          <t>cc hasta</t>
        </is>
      </c>
      <c r="D67" s="7" t="inlineStr">
        <is>
          <t>Cuota (€)</t>
        </is>
      </c>
      <c r="E67" s="7" t="inlineStr">
        <is>
          <t>Descripción</t>
        </is>
      </c>
      <c r="F67" s="7" t="inlineStr">
        <is>
          <t>Estado</t>
        </is>
      </c>
      <c r="G67" s="7" t="inlineStr">
        <is>
          <t>Fuente</t>
        </is>
      </c>
    </row>
    <row r="68">
      <c r="A68" s="2" t="n">
        <v>12</v>
      </c>
      <c r="B68" s="2" t="n">
        <v>0</v>
      </c>
      <c r="C68" s="2" t="n">
        <v>1500</v>
      </c>
      <c r="D68" s="2" t="n">
        <v>40</v>
      </c>
      <c r="E68" t="inlineStr">
        <is>
          <t>&gt;12 años, hasta 1.500 cc</t>
        </is>
      </c>
      <c r="F68" t="inlineStr">
        <is>
          <t>confirmado (cuadro resumen de la ATV, https://atv.gva.es/es/vehiculos-faq, leído 31-10-2026)</t>
        </is>
      </c>
      <c r="G68" t="inlineStr">
        <is>
          <t>https://atv.gva.es/es/vehiculos-faq ; Ley 13/1997 consolidada https://www.boe.es/buscar/act.php?id=BOE-A-1998-8202</t>
        </is>
      </c>
    </row>
    <row r="69">
      <c r="A69" s="2" t="n">
        <v>12</v>
      </c>
      <c r="B69" s="2" t="n">
        <v>1501</v>
      </c>
      <c r="C69" s="2" t="n">
        <v>2000</v>
      </c>
      <c r="D69" s="2" t="n">
        <v>60</v>
      </c>
      <c r="E69" t="inlineStr">
        <is>
          <t>&gt;12 años, 1.501-2.000 cc</t>
        </is>
      </c>
      <c r="F69" t="inlineStr">
        <is>
          <t>confirmado (cuadro resumen de la ATV, https://atv.gva.es/es/vehiculos-faq, leído 31-10-2026)</t>
        </is>
      </c>
      <c r="G69" t="inlineStr">
        <is>
          <t>https://atv.gva.es/es/vehiculos-faq ; Ley 13/1997 consolidada https://www.boe.es/buscar/act.php?id=BOE-A-1998-8202</t>
        </is>
      </c>
    </row>
    <row r="70">
      <c r="A70" s="2" t="n">
        <v>12</v>
      </c>
      <c r="B70" s="2" t="n">
        <v>2001</v>
      </c>
      <c r="C70" s="2" t="n">
        <v>99999</v>
      </c>
      <c r="D70" s="2" t="n">
        <v>140</v>
      </c>
      <c r="E70" t="inlineStr">
        <is>
          <t>&gt;12 años, más de 2.000 cc</t>
        </is>
      </c>
      <c r="F70" t="inlineStr">
        <is>
          <t>confirmado (cuadro resumen de la ATV, https://atv.gva.es/es/vehiculos-faq, leído 31-10-2026)</t>
        </is>
      </c>
      <c r="G70" t="inlineStr">
        <is>
          <t>https://atv.gva.es/es/vehiculos-faq ; Ley 13/1997 consolidada https://www.boe.es/buscar/act.php?id=BOE-A-1998-8202</t>
        </is>
      </c>
    </row>
    <row r="71">
      <c r="A71" s="2" t="n">
        <v>5</v>
      </c>
      <c r="B71" s="2" t="n">
        <v>0</v>
      </c>
      <c r="C71" s="2" t="n">
        <v>1500</v>
      </c>
      <c r="D71" s="2" t="n">
        <v>120</v>
      </c>
      <c r="E71" t="inlineStr">
        <is>
          <t>&gt;5 y &lt;=12 años, hasta 1.500 cc</t>
        </is>
      </c>
      <c r="F71" t="inlineStr">
        <is>
          <t>confirmado (cuadro resumen de la ATV, https://atv.gva.es/es/vehiculos-faq, leído 31-10-2026)</t>
        </is>
      </c>
      <c r="G71" t="inlineStr">
        <is>
          <t>https://atv.gva.es/es/vehiculos-faq ; Ley 13/1997 consolidada https://www.boe.es/buscar/act.php?id=BOE-A-1998-8202</t>
        </is>
      </c>
    </row>
    <row r="72">
      <c r="A72" s="2" t="n">
        <v>5</v>
      </c>
      <c r="B72" s="2" t="n">
        <v>1501</v>
      </c>
      <c r="C72" s="2" t="n">
        <v>2000</v>
      </c>
      <c r="D72" s="2" t="n">
        <v>180</v>
      </c>
      <c r="E72" t="inlineStr">
        <is>
          <t>&gt;5 y &lt;=12 años, 1.501-2.000 cc</t>
        </is>
      </c>
      <c r="F72" t="inlineStr">
        <is>
          <t>confirmado (cuadro resumen de la ATV, https://atv.gva.es/es/vehiculos-faq, leído 31-10-2026)</t>
        </is>
      </c>
      <c r="G72" t="inlineStr">
        <is>
          <t>https://atv.gva.es/es/vehiculos-faq ; Ley 13/1997 consolidada https://www.boe.es/buscar/act.php?id=BOE-A-1998-8202</t>
        </is>
      </c>
    </row>
    <row r="73">
      <c r="A73" s="2" t="n">
        <v>5</v>
      </c>
      <c r="B73" s="2" t="n">
        <v>2001</v>
      </c>
      <c r="C73" s="2" t="n">
        <v>99999</v>
      </c>
      <c r="D73" s="2" t="n">
        <v>280</v>
      </c>
      <c r="E73" t="inlineStr">
        <is>
          <t>&gt;5 y &lt;=12 años, más de 2.000 cc</t>
        </is>
      </c>
      <c r="F73" t="inlineStr">
        <is>
          <t>confirmado (cuadro resumen de la ATV, https://atv.gva.es/es/vehiculos-faq, leído 31-10-2026)</t>
        </is>
      </c>
      <c r="G73" t="inlineStr">
        <is>
          <t>https://atv.gva.es/es/vehiculos-faq ; Ley 13/1997 consolidada https://www.boe.es/buscar/act.php?id=BOE-A-1998-8202</t>
        </is>
      </c>
    </row>
    <row r="74">
      <c r="A74" t="inlineStr">
        <is>
          <t>cc hasta 99999 = sin límite superior. Cilindrada desconocida -&gt; se usa 99999 (tramo más caro).</t>
        </is>
      </c>
    </row>
    <row r="75">
      <c r="A75"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77">
      <c r="A77" s="6" t="inlineStr">
        <is>
          <t>4. Etiqueta DGT y ZBE de València</t>
        </is>
      </c>
    </row>
    <row r="78">
      <c r="A78" s="7" t="inlineStr">
        <is>
          <t>Concepto</t>
        </is>
      </c>
      <c r="B78" s="7" t="inlineStr">
        <is>
          <t>Valor</t>
        </is>
      </c>
      <c r="C78" s="7" t="inlineStr">
        <is>
          <t>Estado</t>
        </is>
      </c>
      <c r="D78" s="7" t="inlineStr">
        <is>
          <t>Fuente</t>
        </is>
      </c>
    </row>
    <row r="79">
      <c r="A79" t="inlineStr">
        <is>
          <t>Gasolina etiqueta C desde (año)</t>
        </is>
      </c>
      <c r="B79" s="2" t="n">
        <v>2006</v>
      </c>
      <c r="C79" t="inlineStr">
        <is>
          <t>confirmado (leído 31-10-2026): C = gasolina desde 01-2006, diésel desde 09-2015; B = gasolina desde 01-2001, diésel desde 2006. Con solo el año, el diésel de 2015 se trata como B (conservador)</t>
        </is>
      </c>
      <c r="D79" t="inlineStr">
        <is>
          <t>https://www.dgt.es/nuestros-servicios/tu-vehiculo/tus-vehiculos/distintivo-ambiental/</t>
        </is>
      </c>
    </row>
    <row r="80">
      <c r="A80" t="inlineStr">
        <is>
          <t>Gasolina etiqueta B desde (año)</t>
        </is>
      </c>
      <c r="B80" s="2" t="n">
        <v>2001</v>
      </c>
      <c r="C80" t="inlineStr">
        <is>
          <t>confirmado (leído 31-10-2026): C = gasolina desde 01-2006, diésel desde 09-2015; B = gasolina desde 01-2001, diésel desde 2006. Con solo el año, el diésel de 2015 se trata como B (conservador)</t>
        </is>
      </c>
      <c r="D80" t="inlineStr">
        <is>
          <t>https://www.dgt.es/nuestros-servicios/tu-vehiculo/tus-vehiculos/distintivo-ambiental/</t>
        </is>
      </c>
    </row>
    <row r="81">
      <c r="A81" t="inlineStr">
        <is>
          <t>Diésel etiqueta C desde (año)</t>
        </is>
      </c>
      <c r="B81" s="2" t="n">
        <v>2016</v>
      </c>
      <c r="C81" t="inlineStr">
        <is>
          <t>confirmado (leído 31-10-2026): C = gasolina desde 01-2006, diésel desde 09-2015; B = gasolina desde 01-2001, diésel desde 2006. Con solo el año, el diésel de 2015 se trata como B (conservador)</t>
        </is>
      </c>
      <c r="D81" t="inlineStr">
        <is>
          <t>https://www.dgt.es/nuestros-servicios/tu-vehiculo/tus-vehiculos/distintivo-ambiental/</t>
        </is>
      </c>
    </row>
    <row r="82">
      <c r="A82" t="inlineStr">
        <is>
          <t>Diésel etiqueta B desde (año)</t>
        </is>
      </c>
      <c r="B82" s="2" t="n">
        <v>2006</v>
      </c>
      <c r="C82" t="inlineStr">
        <is>
          <t>confirmado (leído 31-10-2026): C = gasolina desde 01-2006, diésel desde 09-2015; B = gasolina desde 01-2001, diésel desde 2006. Con solo el año, el diésel de 2015 se trata como B (conservador)</t>
        </is>
      </c>
      <c r="D82" t="inlineStr">
        <is>
          <t>https://www.dgt.es/nuestros-servicios/tu-vehiculo/tus-vehiculos/distintivo-ambiental/</t>
        </is>
      </c>
    </row>
    <row r="83">
      <c r="A83" t="inlineStr">
        <is>
          <t>ZBE València</t>
        </is>
      </c>
      <c r="B83" s="9" t="inlineStr">
        <is>
          <t>Solo restringe vehículos SIN etiqueta (A). Desde dic-2025/ene-2026 los de fuera de la provincia; desde 01-01-2027 también los de la provincia salvo los de la ciudad; desde 01-01-2028 todos. B, C, ECO y CERO sin restricción en el calendario aprobado. Perímetro y posible moratoria PENDIENTES.</t>
        </is>
      </c>
      <c r="C83" t="inlineStr">
        <is>
          <t>confirmado</t>
        </is>
      </c>
      <c r="D83" t="inlineStr">
        <is>
          <t>https://www.valencia.es/cas/actualidad/-/content/zona-bajas-emisiones-val%C3%A8ncia.-aprobaci%C3%B3n-por-el-pleno ; https://www.valencia.es/-/c%C3%A1maras-zbe</t>
        </is>
      </c>
    </row>
    <row r="85">
      <c r="A85" s="7" t="inlineStr">
        <is>
          <t>Etiqueta</t>
        </is>
      </c>
      <c r="B85" s="7" t="inlineStr">
        <is>
          <t>Puntos (criterio)</t>
        </is>
      </c>
      <c r="C85" s="7" t="inlineStr">
        <is>
          <t>Estado</t>
        </is>
      </c>
      <c r="D85" s="7" t="inlineStr">
        <is>
          <t>Fuente</t>
        </is>
      </c>
    </row>
    <row r="86">
      <c r="A86" s="2" t="inlineStr">
        <is>
          <t>CERO</t>
        </is>
      </c>
      <c r="B86" s="2" t="n">
        <v>100</v>
      </c>
      <c r="C86" t="inlineStr">
        <is>
          <t>criterio (config.yaml)</t>
        </is>
      </c>
      <c r="D86" t="inlineStr">
        <is>
          <t>config.yaml; la ZBE solo restringe sin etiqueta (A), ver fila ZBE</t>
        </is>
      </c>
    </row>
    <row r="87">
      <c r="A87" s="2" t="inlineStr">
        <is>
          <t>ECO</t>
        </is>
      </c>
      <c r="B87" s="2" t="n">
        <v>100</v>
      </c>
      <c r="C87" t="inlineStr">
        <is>
          <t>criterio (config.yaml)</t>
        </is>
      </c>
      <c r="D87" t="inlineStr">
        <is>
          <t>config.yaml; la ZBE solo restringe sin etiqueta (A), ver fila ZBE</t>
        </is>
      </c>
    </row>
    <row r="88">
      <c r="A88" s="2" t="inlineStr">
        <is>
          <t>C</t>
        </is>
      </c>
      <c r="B88" s="2" t="n">
        <v>80</v>
      </c>
      <c r="C88" t="inlineStr">
        <is>
          <t>criterio (config.yaml)</t>
        </is>
      </c>
      <c r="D88" t="inlineStr">
        <is>
          <t>config.yaml; la ZBE solo restringe sin etiqueta (A), ver fila ZBE</t>
        </is>
      </c>
    </row>
    <row r="89">
      <c r="A89" s="2" t="inlineStr">
        <is>
          <t>B</t>
        </is>
      </c>
      <c r="B89" s="2" t="n">
        <v>45</v>
      </c>
      <c r="C89" t="inlineStr">
        <is>
          <t>criterio (config.yaml)</t>
        </is>
      </c>
      <c r="D89" t="inlineStr">
        <is>
          <t>config.yaml; la ZBE solo restringe sin etiqueta (A), ver fila ZBE</t>
        </is>
      </c>
    </row>
    <row r="90">
      <c r="A90" s="2" t="inlineStr">
        <is>
          <t>A</t>
        </is>
      </c>
      <c r="B90" s="2" t="n">
        <v>0</v>
      </c>
      <c r="C90" t="inlineStr">
        <is>
          <t>criterio (config.yaml)</t>
        </is>
      </c>
      <c r="D90" t="inlineStr">
        <is>
          <t>config.yaml; la ZBE solo restringe sin etiqueta (A), ver fila ZBE</t>
        </is>
      </c>
    </row>
    <row r="91">
      <c r="A91" t="inlineStr">
        <is>
          <t>Consumo (l/100 km): PENDIENTE de fuente -&gt; se puntúa con NEUTRO.</t>
        </is>
      </c>
    </row>
    <row r="93">
      <c r="A93" s="8" t="inlineStr">
        <is>
          <t>Seguro estimado (€/año) — Terceros ampliado, conductor de 29 años, Mislata (46920), sin siniestros, coche en la calle, valor &lt; 5.000 €</t>
        </is>
      </c>
    </row>
    <row r="94">
      <c r="A94" s="7" t="inlineStr">
        <is>
          <t>Segmento</t>
        </is>
      </c>
      <c r="B94" s="7" t="inlineStr">
        <is>
          <t>Mínimo</t>
        </is>
      </c>
      <c r="C94" s="7" t="inlineStr">
        <is>
          <t>Estimación central</t>
        </is>
      </c>
      <c r="D94" s="7" t="inlineStr">
        <is>
          <t>Máximo</t>
        </is>
      </c>
      <c r="E94" s="7" t="inlineStr">
        <is>
          <t>Estado</t>
        </is>
      </c>
      <c r="F94" s="7" t="inlineStr">
        <is>
          <t>Fuentes</t>
        </is>
      </c>
    </row>
    <row r="95">
      <c r="A95" s="2" t="inlineStr">
        <is>
          <t>utilitario</t>
        </is>
      </c>
      <c r="B95" s="2" t="n">
        <v>170</v>
      </c>
      <c r="C95" s="2" t="n">
        <v>300</v>
      </c>
      <c r="D95" s="2" t="n">
        <v>420</v>
      </c>
      <c r="E95" t="inlineStr">
        <is>
          <t>aproximado (estimación por segmento; no se han pedido presupuestos con datos personales)</t>
        </is>
      </c>
      <c r="F95"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96">
      <c r="A96" s="2" t="inlineStr">
        <is>
          <t>compacto</t>
        </is>
      </c>
      <c r="B96" s="2" t="n">
        <v>190</v>
      </c>
      <c r="C96" s="2" t="n">
        <v>340</v>
      </c>
      <c r="D96" s="2" t="n">
        <v>480</v>
      </c>
      <c r="E96" t="inlineStr">
        <is>
          <t>aproximado (estimación por segmento; no se han pedido presupuestos con datos personales)</t>
        </is>
      </c>
      <c r="F9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97">
      <c r="A97"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98">
      <c r="A98" t="inlineStr">
        <is>
          <t>Seguro: referencia para 100 puntos (mínimo de la tabla)</t>
        </is>
      </c>
      <c r="B98" s="4">
        <f>MIN(B95:B96)</f>
        <v/>
      </c>
      <c r="C98" t="inlineStr">
        <is>
          <t>calculado</t>
        </is>
      </c>
      <c r="D98" t="inlineStr"/>
    </row>
    <row r="99">
      <c r="A99" t="inlineStr">
        <is>
          <t>Seguro: referencia para 0 puntos (máximo de la tabla)</t>
        </is>
      </c>
      <c r="B99" s="4">
        <f>MAX(D95:D96)</f>
        <v/>
      </c>
      <c r="C99" t="inlineStr">
        <is>
          <t>calculado</t>
        </is>
      </c>
      <c r="D99" t="inlineStr"/>
    </row>
    <row r="101">
      <c r="A101" s="6" t="inlineStr">
        <is>
          <t>5. Fiabilidad: medias TÜV por franja de edad</t>
        </is>
      </c>
    </row>
    <row r="102">
      <c r="A102" s="7" t="inlineStr">
        <is>
          <t>Franja</t>
        </is>
      </c>
      <c r="B102" s="7" t="inlineStr">
        <is>
          <t>Mängelquote media (%)</t>
        </is>
      </c>
      <c r="C102" s="7" t="inlineStr">
        <is>
          <t>Estado</t>
        </is>
      </c>
      <c r="D102" s="7" t="inlineStr">
        <is>
          <t>Fuente</t>
        </is>
      </c>
    </row>
    <row r="103">
      <c r="A103" s="2" t="inlineStr">
        <is>
          <t>10-11</t>
        </is>
      </c>
      <c r="B103" s="2" t="n">
        <v>22.9</v>
      </c>
      <c r="C103" t="inlineStr">
        <is>
          <t>probable</t>
        </is>
      </c>
      <c r="D103" t="inlineStr">
        <is>
          <t>https://www.tuev-verband.de/presse/publikationen/reporte/tuev-report-autobild</t>
        </is>
      </c>
    </row>
    <row r="104">
      <c r="A104" s="2" t="inlineStr">
        <is>
          <t>12-13</t>
        </is>
      </c>
      <c r="B104" s="2" t="n">
        <v>28.4</v>
      </c>
      <c r="C104" t="inlineStr">
        <is>
          <t>probable</t>
        </is>
      </c>
      <c r="D104" t="inlineStr">
        <is>
          <t>https://www.tuev-verband.de/presse/publikationen/reporte/tuev-report-autobild</t>
        </is>
      </c>
    </row>
    <row r="106">
      <c r="A106" s="6" t="inlineStr">
        <is>
          <t>6. Fiabilidad: índice OCU 2026 por marca</t>
        </is>
      </c>
    </row>
    <row r="107">
      <c r="A107" s="7" t="inlineStr">
        <is>
          <t>Marca</t>
        </is>
      </c>
      <c r="B107" s="7" t="inlineStr">
        <is>
          <t>Índice OCU (0-100)</t>
        </is>
      </c>
      <c r="C107" s="7" t="inlineStr">
        <is>
          <t>Estado</t>
        </is>
      </c>
      <c r="D107" s="7" t="inlineStr">
        <is>
          <t>Fuente</t>
        </is>
      </c>
    </row>
    <row r="108">
      <c r="A108" s="2" t="inlineStr">
        <is>
          <t>Lexus</t>
        </is>
      </c>
      <c r="B108" s="2" t="n">
        <v>93</v>
      </c>
      <c r="C108" t="inlineStr">
        <is>
          <t>probable</t>
        </is>
      </c>
      <c r="D108" t="inlineStr">
        <is>
          <t>https://www.ocu.org/organizacion/prensa/notas-de-prensa/2026/fiabcoches020326 ; https://es.motor1.com/news/789821/ocu-fiabilidad-2026-japoneses-tesla/</t>
        </is>
      </c>
    </row>
    <row r="109">
      <c r="A109" s="2" t="inlineStr">
        <is>
          <t>Subaru</t>
        </is>
      </c>
      <c r="B109" s="2" t="n">
        <v>91</v>
      </c>
      <c r="C109" t="inlineStr">
        <is>
          <t>probable</t>
        </is>
      </c>
      <c r="D109" t="inlineStr">
        <is>
          <t>https://www.ocu.org/organizacion/prensa/notas-de-prensa/2026/fiabcoches020326 ; https://es.motor1.com/news/789821/ocu-fiabilidad-2026-japoneses-tesla/</t>
        </is>
      </c>
    </row>
    <row r="110">
      <c r="A110" s="2" t="inlineStr">
        <is>
          <t>Toyota</t>
        </is>
      </c>
      <c r="B110" s="2" t="n">
        <v>91</v>
      </c>
      <c r="C110" t="inlineStr">
        <is>
          <t>probable</t>
        </is>
      </c>
      <c r="D110" t="inlineStr">
        <is>
          <t>https://www.ocu.org/organizacion/prensa/notas-de-prensa/2026/fiabcoches020326 ; https://es.motor1.com/news/789821/ocu-fiabilidad-2026-japoneses-tesla/</t>
        </is>
      </c>
    </row>
    <row r="111">
      <c r="A111" s="2" t="inlineStr">
        <is>
          <t>Suzuki</t>
        </is>
      </c>
      <c r="B111" s="2" t="n">
        <v>91</v>
      </c>
      <c r="C111" t="inlineStr">
        <is>
          <t>probable</t>
        </is>
      </c>
      <c r="D111" t="inlineStr">
        <is>
          <t>https://www.ocu.org/organizacion/prensa/notas-de-prensa/2026/fiabcoches020326 ; https://es.motor1.com/news/789821/ocu-fiabilidad-2026-japoneses-tesla/</t>
        </is>
      </c>
    </row>
    <row r="113">
      <c r="A113" s="6" t="inlineStr">
        <is>
          <t>6b. Fiabilidad: ADAC Pannenstatistik 2025 — averías por 1.000 vehículos, matriculación 2015</t>
        </is>
      </c>
    </row>
    <row r="114">
      <c r="A114" s="7" t="inlineStr">
        <is>
          <t>Fila ADAC</t>
        </is>
      </c>
      <c r="B114" s="7" t="inlineStr">
        <is>
          <t>Pannenkennziffer EZ 2015</t>
        </is>
      </c>
      <c r="C114" s="7" t="inlineStr">
        <is>
          <t>Estado</t>
        </is>
      </c>
      <c r="D114" s="7" t="inlineStr">
        <is>
          <t>Fuente</t>
        </is>
      </c>
    </row>
    <row r="115">
      <c r="A115" s="2" t="inlineStr">
        <is>
          <t>Audi A1</t>
        </is>
      </c>
      <c r="B115" s="2" t="n">
        <v>6</v>
      </c>
      <c r="C115" t="inlineStr">
        <is>
          <t>confirmado (PDF original descargado el 31-10-2026; extraído con tools/adac_extract.py, último valor de cada fila; C3/DS3 y Mégane revisados a mano)</t>
        </is>
      </c>
      <c r="D115" t="inlineStr">
        <is>
          <t>https://assets.adac.de/image/upload/v1744279730/ADAC-eV/KOR/Text/PDF/Pannenstatistik_2025_final_nrmvls.pdf</t>
        </is>
      </c>
    </row>
    <row r="116">
      <c r="A116" s="2" t="inlineStr">
        <is>
          <t>Audi A4</t>
        </is>
      </c>
      <c r="B116" s="2" t="n">
        <v>7.6</v>
      </c>
      <c r="C116" t="inlineStr"/>
      <c r="D116" t="inlineStr"/>
    </row>
    <row r="117">
      <c r="A117" s="2" t="inlineStr">
        <is>
          <t>Audi A5</t>
        </is>
      </c>
      <c r="B117" s="2" t="n">
        <v>11.1</v>
      </c>
      <c r="C117" t="inlineStr"/>
      <c r="D117" t="inlineStr"/>
    </row>
    <row r="118">
      <c r="A118" s="2" t="inlineStr">
        <is>
          <t>Audi Q5</t>
        </is>
      </c>
      <c r="B118" s="2" t="n">
        <v>13.8</v>
      </c>
      <c r="C118" t="inlineStr"/>
      <c r="D118" t="inlineStr"/>
    </row>
    <row r="119">
      <c r="A119" s="2" t="inlineStr">
        <is>
          <t>BMW 3er-Reihe</t>
        </is>
      </c>
      <c r="B119" s="2" t="n">
        <v>9.1</v>
      </c>
      <c r="C119" t="inlineStr"/>
      <c r="D119" t="inlineStr"/>
    </row>
    <row r="120">
      <c r="A120" s="2" t="inlineStr">
        <is>
          <t>BMW 4er-Reihe</t>
        </is>
      </c>
      <c r="B120" s="2" t="n">
        <v>7.5</v>
      </c>
      <c r="C120" t="inlineStr"/>
      <c r="D120" t="inlineStr"/>
    </row>
    <row r="121">
      <c r="A121" s="2" t="inlineStr">
        <is>
          <t>BMW 5er-Reihe</t>
        </is>
      </c>
      <c r="B121" s="2" t="n">
        <v>10.3</v>
      </c>
      <c r="C121" t="inlineStr"/>
      <c r="D121" t="inlineStr"/>
    </row>
    <row r="122">
      <c r="A122" s="2" t="inlineStr">
        <is>
          <t>BMW X1</t>
        </is>
      </c>
      <c r="B122" s="2" t="n">
        <v>14.2</v>
      </c>
      <c r="C122" t="inlineStr"/>
      <c r="D122" t="inlineStr"/>
    </row>
    <row r="123">
      <c r="A123" s="2" t="inlineStr">
        <is>
          <t>BMW X3</t>
        </is>
      </c>
      <c r="B123" s="2" t="n">
        <v>4.2</v>
      </c>
      <c r="C123" t="inlineStr"/>
      <c r="D123" t="inlineStr"/>
    </row>
    <row r="124">
      <c r="A124" s="2" t="inlineStr">
        <is>
          <t>BMW X5</t>
        </is>
      </c>
      <c r="B124" s="2" t="n">
        <v>14.1</v>
      </c>
      <c r="C124" t="inlineStr"/>
      <c r="D124" t="inlineStr"/>
    </row>
    <row r="125">
      <c r="A125" s="2" t="inlineStr">
        <is>
          <t>Citroen Berlingo, Fiat Doblò, Peugeot Partner/Rifter</t>
        </is>
      </c>
      <c r="B125" s="2" t="n">
        <v>19.5</v>
      </c>
      <c r="C125" t="inlineStr"/>
      <c r="D125" t="inlineStr"/>
    </row>
    <row r="126">
      <c r="A126" s="2" t="inlineStr">
        <is>
          <t>Citroen C3/DS 3</t>
        </is>
      </c>
      <c r="B126" s="2" t="n">
        <v>23.7</v>
      </c>
      <c r="C126" t="inlineStr"/>
      <c r="D126" t="inlineStr"/>
    </row>
    <row r="127">
      <c r="A127" s="2" t="inlineStr">
        <is>
          <t>DS Automobiles DS3, Citroen C3/DS 3</t>
        </is>
      </c>
      <c r="B127" s="2" t="n">
        <v>23.7</v>
      </c>
      <c r="C127" t="inlineStr"/>
      <c r="D127" t="inlineStr"/>
    </row>
    <row r="128">
      <c r="A128" s="2" t="inlineStr">
        <is>
          <t>Dacia Dokker</t>
        </is>
      </c>
      <c r="B128" s="2" t="n">
        <v>7.5</v>
      </c>
      <c r="C128" t="inlineStr"/>
      <c r="D128" t="inlineStr"/>
    </row>
    <row r="129">
      <c r="A129" s="2" t="inlineStr">
        <is>
          <t>Dacia Duster</t>
        </is>
      </c>
      <c r="B129" s="2" t="n">
        <v>22.9</v>
      </c>
      <c r="C129" t="inlineStr"/>
      <c r="D129" t="inlineStr"/>
    </row>
    <row r="130">
      <c r="A130" s="2" t="inlineStr">
        <is>
          <t>Dacia Logan</t>
        </is>
      </c>
      <c r="B130" s="2" t="n">
        <v>23.1</v>
      </c>
      <c r="C130" t="inlineStr"/>
      <c r="D130" t="inlineStr"/>
    </row>
    <row r="131">
      <c r="A131" s="2" t="inlineStr">
        <is>
          <t>Dacia Sandero</t>
        </is>
      </c>
      <c r="B131" s="2" t="n">
        <v>14.1</v>
      </c>
      <c r="C131" t="inlineStr"/>
      <c r="D131" t="inlineStr"/>
    </row>
    <row r="132">
      <c r="A132" s="2" t="inlineStr">
        <is>
          <t>Fiat 500</t>
        </is>
      </c>
      <c r="B132" s="2" t="n">
        <v>23.6</v>
      </c>
      <c r="C132" t="inlineStr"/>
      <c r="D132" t="inlineStr"/>
    </row>
    <row r="133">
      <c r="A133" s="2" t="inlineStr">
        <is>
          <t>Fiat Ducato</t>
        </is>
      </c>
      <c r="B133" s="2" t="n">
        <v>45.6</v>
      </c>
      <c r="C133" t="inlineStr"/>
      <c r="D133" t="inlineStr"/>
    </row>
    <row r="134">
      <c r="A134" s="2" t="inlineStr">
        <is>
          <t>Fiat Panda</t>
        </is>
      </c>
      <c r="B134" s="2" t="n">
        <v>16.5</v>
      </c>
      <c r="C134" t="inlineStr"/>
      <c r="D134" t="inlineStr"/>
    </row>
    <row r="135">
      <c r="A135" s="2" t="inlineStr">
        <is>
          <t>Ford B-MAX</t>
        </is>
      </c>
      <c r="B135" s="2" t="n">
        <v>17.7</v>
      </c>
      <c r="C135" t="inlineStr"/>
      <c r="D135" t="inlineStr"/>
    </row>
    <row r="136">
      <c r="A136" s="2" t="inlineStr">
        <is>
          <t>Ford C-MAX</t>
        </is>
      </c>
      <c r="B136" s="2" t="n">
        <v>25</v>
      </c>
      <c r="C136" t="inlineStr"/>
      <c r="D136" t="inlineStr"/>
    </row>
    <row r="137">
      <c r="A137" s="2" t="inlineStr">
        <is>
          <t>Ford Fiesta (Courier)</t>
        </is>
      </c>
      <c r="B137" s="2" t="n">
        <v>20.4</v>
      </c>
      <c r="C137" t="inlineStr"/>
      <c r="D137" t="inlineStr"/>
    </row>
    <row r="138">
      <c r="A138" s="2" t="inlineStr">
        <is>
          <t>Ford Focus</t>
        </is>
      </c>
      <c r="B138" s="2" t="n">
        <v>25.2</v>
      </c>
      <c r="C138" t="inlineStr"/>
      <c r="D138" t="inlineStr"/>
    </row>
    <row r="139">
      <c r="A139" s="2" t="inlineStr">
        <is>
          <t>Ford Kuga</t>
        </is>
      </c>
      <c r="B139" s="2" t="n">
        <v>23.6</v>
      </c>
      <c r="C139" t="inlineStr"/>
      <c r="D139" t="inlineStr"/>
    </row>
    <row r="140">
      <c r="A140" s="2" t="inlineStr">
        <is>
          <t>Ford Ranger</t>
        </is>
      </c>
      <c r="B140" s="2" t="n">
        <v>16.7</v>
      </c>
      <c r="C140" t="inlineStr"/>
      <c r="D140" t="inlineStr"/>
    </row>
    <row r="141">
      <c r="A141" s="2" t="inlineStr">
        <is>
          <t>Ford Tourneo/Transit Connect</t>
        </is>
      </c>
      <c r="B141" s="2" t="n">
        <v>23.5</v>
      </c>
      <c r="C141" t="inlineStr"/>
      <c r="D141" t="inlineStr"/>
    </row>
    <row r="142">
      <c r="A142" s="2" t="inlineStr">
        <is>
          <t>Ford Tourneo/Transit Custom</t>
        </is>
      </c>
      <c r="B142" s="2" t="n">
        <v>18.6</v>
      </c>
      <c r="C142" t="inlineStr"/>
      <c r="D142" t="inlineStr"/>
    </row>
    <row r="143">
      <c r="A143" s="2" t="inlineStr">
        <is>
          <t>Hyundai Tucson</t>
        </is>
      </c>
      <c r="B143" s="2" t="n">
        <v>18.2</v>
      </c>
      <c r="C143" t="inlineStr"/>
      <c r="D143" t="inlineStr"/>
    </row>
    <row r="144">
      <c r="A144" s="2" t="inlineStr">
        <is>
          <t>Hyundai i10</t>
        </is>
      </c>
      <c r="B144" s="2" t="n">
        <v>18.6</v>
      </c>
      <c r="C144" t="inlineStr"/>
      <c r="D144" t="inlineStr"/>
    </row>
    <row r="145">
      <c r="A145" s="2" t="inlineStr">
        <is>
          <t>Hyundai i20</t>
        </is>
      </c>
      <c r="B145" s="2" t="n">
        <v>21.1</v>
      </c>
      <c r="C145" t="inlineStr"/>
      <c r="D145" t="inlineStr"/>
    </row>
    <row r="146">
      <c r="A146" s="2" t="inlineStr">
        <is>
          <t>Hyundai i30</t>
        </is>
      </c>
      <c r="B146" s="2" t="n">
        <v>16.8</v>
      </c>
      <c r="C146" t="inlineStr"/>
      <c r="D146" t="inlineStr"/>
    </row>
    <row r="147">
      <c r="A147" s="2" t="inlineStr">
        <is>
          <t>Hyundai ix20</t>
        </is>
      </c>
      <c r="B147" s="2" t="n">
        <v>21.1</v>
      </c>
      <c r="C147" t="inlineStr"/>
      <c r="D147" t="inlineStr"/>
    </row>
    <row r="148">
      <c r="A148" s="2" t="inlineStr">
        <is>
          <t>KIA Ceed/XCeed</t>
        </is>
      </c>
      <c r="B148" s="2" t="n">
        <v>15.4</v>
      </c>
      <c r="C148" t="inlineStr"/>
      <c r="D148" t="inlineStr"/>
    </row>
    <row r="149">
      <c r="A149" s="2" t="inlineStr">
        <is>
          <t>Kia Picanto</t>
        </is>
      </c>
      <c r="B149" s="2" t="n">
        <v>24.4</v>
      </c>
      <c r="C149" t="inlineStr"/>
      <c r="D149" t="inlineStr"/>
    </row>
    <row r="150">
      <c r="A150" s="2" t="inlineStr">
        <is>
          <t>Kia Sportage</t>
        </is>
      </c>
      <c r="B150" s="2" t="n">
        <v>19.7</v>
      </c>
      <c r="C150" t="inlineStr"/>
      <c r="D150" t="inlineStr"/>
    </row>
    <row r="151">
      <c r="A151" s="2" t="inlineStr">
        <is>
          <t>MINI MINI</t>
        </is>
      </c>
      <c r="B151" s="2" t="n">
        <v>11.6</v>
      </c>
      <c r="C151" t="inlineStr"/>
      <c r="D151" t="inlineStr"/>
    </row>
    <row r="152">
      <c r="A152" s="2" t="inlineStr">
        <is>
          <t>Mazda 2</t>
        </is>
      </c>
      <c r="B152" s="2" t="n">
        <v>6.6</v>
      </c>
      <c r="C152" t="inlineStr"/>
      <c r="D152" t="inlineStr"/>
    </row>
    <row r="153">
      <c r="A153" s="2" t="inlineStr">
        <is>
          <t>Mazda 3</t>
        </is>
      </c>
      <c r="B153" s="2" t="n">
        <v>12.3</v>
      </c>
      <c r="C153" t="inlineStr"/>
      <c r="D153" t="inlineStr"/>
    </row>
    <row r="154">
      <c r="A154" s="2" t="inlineStr">
        <is>
          <t>Mazda CX-3</t>
        </is>
      </c>
      <c r="B154" s="2" t="n">
        <v>9.1</v>
      </c>
      <c r="C154" t="inlineStr"/>
      <c r="D154" t="inlineStr"/>
    </row>
    <row r="155">
      <c r="A155" s="2" t="inlineStr">
        <is>
          <t>Mazda CX-5</t>
        </is>
      </c>
      <c r="B155" s="2" t="n">
        <v>15.1</v>
      </c>
      <c r="C155" t="inlineStr"/>
      <c r="D155" t="inlineStr"/>
    </row>
    <row r="156">
      <c r="A156" s="2" t="inlineStr">
        <is>
          <t>Mercedes-Benz A-Klasse</t>
        </is>
      </c>
      <c r="B156" s="2" t="n">
        <v>13.9</v>
      </c>
      <c r="C156" t="inlineStr"/>
      <c r="D156" t="inlineStr"/>
    </row>
    <row r="157">
      <c r="A157" s="2" t="inlineStr">
        <is>
          <t>Mercedes-Benz B-Klasse</t>
        </is>
      </c>
      <c r="B157" s="2" t="n">
        <v>12.8</v>
      </c>
      <c r="C157" t="inlineStr"/>
      <c r="D157" t="inlineStr"/>
    </row>
    <row r="158">
      <c r="A158" s="2" t="inlineStr">
        <is>
          <t>Mercedes-Benz C-Klasse</t>
        </is>
      </c>
      <c r="B158" s="2" t="n">
        <v>11.4</v>
      </c>
      <c r="C158" t="inlineStr"/>
      <c r="D158" t="inlineStr"/>
    </row>
    <row r="159">
      <c r="A159" s="2" t="inlineStr">
        <is>
          <t>Mercedes-Benz CLA</t>
        </is>
      </c>
      <c r="B159" s="2" t="n">
        <v>19.3</v>
      </c>
      <c r="C159" t="inlineStr"/>
      <c r="D159" t="inlineStr"/>
    </row>
    <row r="160">
      <c r="A160" s="2" t="inlineStr">
        <is>
          <t>Mercedes-Benz Citan</t>
        </is>
      </c>
      <c r="B160" s="2" t="n">
        <v>21.9</v>
      </c>
      <c r="C160" t="inlineStr"/>
      <c r="D160" t="inlineStr"/>
    </row>
    <row r="161">
      <c r="A161" s="2" t="inlineStr">
        <is>
          <t>Mercedes-Benz E-Klasse</t>
        </is>
      </c>
      <c r="B161" s="2" t="n">
        <v>19.5</v>
      </c>
      <c r="C161" t="inlineStr"/>
      <c r="D161" t="inlineStr"/>
    </row>
    <row r="162">
      <c r="A162" s="2" t="inlineStr">
        <is>
          <t>Mercedes-Benz GLA</t>
        </is>
      </c>
      <c r="B162" s="2" t="n">
        <v>10.7</v>
      </c>
      <c r="C162" t="inlineStr"/>
      <c r="D162" t="inlineStr"/>
    </row>
    <row r="163">
      <c r="A163" s="2" t="inlineStr">
        <is>
          <t>Mercedes-Benz GLE</t>
        </is>
      </c>
      <c r="B163" s="2" t="n">
        <v>13</v>
      </c>
      <c r="C163" t="inlineStr"/>
      <c r="D163" t="inlineStr"/>
    </row>
    <row r="164">
      <c r="A164" s="2" t="inlineStr">
        <is>
          <t>Mitsubishi ASX</t>
        </is>
      </c>
      <c r="B164" s="2" t="n">
        <v>8.800000000000001</v>
      </c>
      <c r="C164" t="inlineStr"/>
      <c r="D164" t="inlineStr"/>
    </row>
    <row r="165">
      <c r="A165" s="2" t="inlineStr">
        <is>
          <t>Mitsubishi Space Star</t>
        </is>
      </c>
      <c r="B165" s="2" t="n">
        <v>25.9</v>
      </c>
      <c r="C165" t="inlineStr"/>
      <c r="D165" t="inlineStr"/>
    </row>
    <row r="166">
      <c r="A166" s="2" t="inlineStr">
        <is>
          <t>Nissan Micra</t>
        </is>
      </c>
      <c r="B166" s="2" t="n">
        <v>18.4</v>
      </c>
      <c r="C166" t="inlineStr"/>
      <c r="D166" t="inlineStr"/>
    </row>
    <row r="167">
      <c r="A167" s="2" t="inlineStr">
        <is>
          <t>Nissan Qashqai</t>
        </is>
      </c>
      <c r="B167" s="2" t="n">
        <v>24.9</v>
      </c>
      <c r="C167" t="inlineStr"/>
      <c r="D167" t="inlineStr"/>
    </row>
    <row r="168">
      <c r="A168" s="2" t="inlineStr">
        <is>
          <t>Opel ADAM</t>
        </is>
      </c>
      <c r="B168" s="2" t="n">
        <v>21</v>
      </c>
      <c r="C168" t="inlineStr"/>
      <c r="D168" t="inlineStr"/>
    </row>
    <row r="169">
      <c r="A169" s="2" t="inlineStr">
        <is>
          <t>Opel Astra</t>
        </is>
      </c>
      <c r="B169" s="2" t="n">
        <v>22.2</v>
      </c>
      <c r="C169" t="inlineStr"/>
      <c r="D169" t="inlineStr"/>
    </row>
    <row r="170">
      <c r="A170" s="2" t="inlineStr">
        <is>
          <t>Opel Corsa</t>
        </is>
      </c>
      <c r="B170" s="2" t="n">
        <v>20.2</v>
      </c>
      <c r="C170" t="inlineStr"/>
      <c r="D170" t="inlineStr"/>
    </row>
    <row r="171">
      <c r="A171" s="2" t="inlineStr">
        <is>
          <t>Opel KARL</t>
        </is>
      </c>
      <c r="B171" s="2" t="n">
        <v>20.4</v>
      </c>
      <c r="C171" t="inlineStr"/>
      <c r="D171" t="inlineStr"/>
    </row>
    <row r="172">
      <c r="A172" s="2" t="inlineStr">
        <is>
          <t>Opel Meriva</t>
        </is>
      </c>
      <c r="B172" s="2" t="n">
        <v>26.2</v>
      </c>
      <c r="C172" t="inlineStr"/>
      <c r="D172" t="inlineStr"/>
    </row>
    <row r="173">
      <c r="A173" s="2" t="inlineStr">
        <is>
          <t>Opel Mokka</t>
        </is>
      </c>
      <c r="B173" s="2" t="n">
        <v>20.4</v>
      </c>
      <c r="C173" t="inlineStr"/>
      <c r="D173" t="inlineStr"/>
    </row>
    <row r="174">
      <c r="A174" s="2" t="inlineStr">
        <is>
          <t>Opel Zafira</t>
        </is>
      </c>
      <c r="B174" s="2" t="n">
        <v>30.2</v>
      </c>
      <c r="C174" t="inlineStr"/>
      <c r="D174" t="inlineStr"/>
    </row>
    <row r="175">
      <c r="A175" s="2" t="inlineStr">
        <is>
          <t>Peugeot 2008</t>
        </is>
      </c>
      <c r="B175" s="2" t="n">
        <v>13.4</v>
      </c>
      <c r="C175" t="inlineStr"/>
      <c r="D175" t="inlineStr"/>
    </row>
    <row r="176">
      <c r="A176" s="2" t="inlineStr">
        <is>
          <t>Peugeot 208</t>
        </is>
      </c>
      <c r="B176" s="2" t="n">
        <v>20.4</v>
      </c>
      <c r="C176" t="inlineStr"/>
      <c r="D176" t="inlineStr"/>
    </row>
    <row r="177">
      <c r="A177" s="2" t="inlineStr">
        <is>
          <t>Peugeot 308</t>
        </is>
      </c>
      <c r="B177" s="2" t="n">
        <v>25.6</v>
      </c>
      <c r="C177" t="inlineStr"/>
      <c r="D177" t="inlineStr"/>
    </row>
    <row r="178">
      <c r="A178" s="2" t="inlineStr">
        <is>
          <t>Renault Clio/Captur</t>
        </is>
      </c>
      <c r="B178" s="2" t="n">
        <v>26</v>
      </c>
      <c r="C178" t="inlineStr"/>
      <c r="D178" t="inlineStr"/>
    </row>
    <row r="179">
      <c r="A179" s="2" t="inlineStr">
        <is>
          <t>Renault Kangoo/Rapid</t>
        </is>
      </c>
      <c r="B179" s="2" t="n">
        <v>26.8</v>
      </c>
      <c r="C179" t="inlineStr"/>
      <c r="D179" t="inlineStr"/>
    </row>
    <row r="180">
      <c r="A180" s="2" t="inlineStr">
        <is>
          <t>Renault Master</t>
        </is>
      </c>
      <c r="B180" s="2" t="n">
        <v>19.5</v>
      </c>
      <c r="C180" t="inlineStr"/>
      <c r="D180" t="inlineStr"/>
    </row>
    <row r="181">
      <c r="A181" s="2" t="inlineStr">
        <is>
          <t>Renault Mégane</t>
        </is>
      </c>
      <c r="B181" s="2" t="n">
        <v>28.1</v>
      </c>
      <c r="C181" t="inlineStr"/>
      <c r="D181" t="inlineStr"/>
    </row>
    <row r="182">
      <c r="A182" s="2" t="inlineStr">
        <is>
          <t>Renault Scénic</t>
        </is>
      </c>
      <c r="B182" s="2" t="n">
        <v>29.1</v>
      </c>
      <c r="C182" t="inlineStr"/>
      <c r="D182" t="inlineStr"/>
    </row>
    <row r="183">
      <c r="A183" s="2" t="inlineStr">
        <is>
          <t>Renault Twingo</t>
        </is>
      </c>
      <c r="B183" s="2" t="n">
        <v>20.7</v>
      </c>
      <c r="C183" t="inlineStr"/>
      <c r="D183" t="inlineStr"/>
    </row>
    <row r="184">
      <c r="A184" s="2" t="inlineStr">
        <is>
          <t>SEAT Ibiza</t>
        </is>
      </c>
      <c r="B184" s="2" t="n">
        <v>16.8</v>
      </c>
      <c r="C184" t="inlineStr"/>
      <c r="D184" t="inlineStr"/>
    </row>
    <row r="185">
      <c r="A185" s="2" t="inlineStr">
        <is>
          <t>SEAT Leon</t>
        </is>
      </c>
      <c r="B185" s="2" t="n">
        <v>10</v>
      </c>
      <c r="C185" t="inlineStr"/>
      <c r="D185" t="inlineStr"/>
    </row>
    <row r="186">
      <c r="A186" s="2" t="inlineStr">
        <is>
          <t>Skoda Fabia</t>
        </is>
      </c>
      <c r="B186" s="2" t="n">
        <v>12.8</v>
      </c>
      <c r="C186" t="inlineStr"/>
      <c r="D186" t="inlineStr"/>
    </row>
    <row r="187">
      <c r="A187" s="2" t="inlineStr">
        <is>
          <t>Skoda Octavia</t>
        </is>
      </c>
      <c r="B187" s="2" t="n">
        <v>10.4</v>
      </c>
      <c r="C187" t="inlineStr"/>
      <c r="D187" t="inlineStr"/>
    </row>
    <row r="188">
      <c r="A188" s="2" t="inlineStr">
        <is>
          <t>Skoda Rapid</t>
        </is>
      </c>
      <c r="B188" s="2" t="n">
        <v>15.1</v>
      </c>
      <c r="C188" t="inlineStr"/>
      <c r="D188" t="inlineStr"/>
    </row>
    <row r="189">
      <c r="A189" s="2" t="inlineStr">
        <is>
          <t>Skoda Yeti</t>
        </is>
      </c>
      <c r="B189" s="2" t="n">
        <v>14</v>
      </c>
      <c r="C189" t="inlineStr"/>
      <c r="D189" t="inlineStr"/>
    </row>
    <row r="190">
      <c r="A190" s="2" t="inlineStr">
        <is>
          <t>Suzuki Swift</t>
        </is>
      </c>
      <c r="B190" s="2" t="n">
        <v>12</v>
      </c>
      <c r="C190" t="inlineStr"/>
      <c r="D190" t="inlineStr"/>
    </row>
    <row r="191">
      <c r="A191" s="2" t="inlineStr">
        <is>
          <t>Toyota Auris</t>
        </is>
      </c>
      <c r="B191" s="2" t="n">
        <v>19.3</v>
      </c>
      <c r="C191" t="inlineStr"/>
      <c r="D191" t="inlineStr"/>
    </row>
    <row r="192">
      <c r="A192" s="2" t="inlineStr">
        <is>
          <t>Toyota Aygo</t>
        </is>
      </c>
      <c r="B192" s="2" t="n">
        <v>12</v>
      </c>
      <c r="C192" t="inlineStr"/>
      <c r="D192" t="inlineStr"/>
    </row>
    <row r="193">
      <c r="A193" s="2" t="inlineStr">
        <is>
          <t>Toyota Yaris</t>
        </is>
      </c>
      <c r="B193" s="2" t="n">
        <v>22.8</v>
      </c>
      <c r="C193" t="inlineStr"/>
      <c r="D193" t="inlineStr"/>
    </row>
    <row r="194">
      <c r="A194" s="2" t="inlineStr">
        <is>
          <t>VW Beetle</t>
        </is>
      </c>
      <c r="B194" s="2" t="n">
        <v>11.8</v>
      </c>
      <c r="C194" t="inlineStr"/>
      <c r="D194" t="inlineStr"/>
    </row>
    <row r="195">
      <c r="A195" s="2" t="inlineStr">
        <is>
          <t>VW Golf</t>
        </is>
      </c>
      <c r="B195" s="2" t="n">
        <v>10.5</v>
      </c>
      <c r="C195" t="inlineStr"/>
      <c r="D195" t="inlineStr"/>
    </row>
    <row r="196">
      <c r="A196" s="2" t="inlineStr">
        <is>
          <t>VW Nutzfahrzeuge Caddy</t>
        </is>
      </c>
      <c r="B196" s="2" t="n">
        <v>16.4</v>
      </c>
      <c r="C196" t="inlineStr"/>
      <c r="D196" t="inlineStr"/>
    </row>
    <row r="197">
      <c r="A197" s="2" t="inlineStr">
        <is>
          <t>VW Polo</t>
        </is>
      </c>
      <c r="B197" s="2" t="n">
        <v>14.9</v>
      </c>
      <c r="C197" t="inlineStr"/>
      <c r="D197" t="inlineStr"/>
    </row>
    <row r="198">
      <c r="A198" s="2" t="inlineStr">
        <is>
          <t>VW Tiguan</t>
        </is>
      </c>
      <c r="B198" s="2" t="n">
        <v>11.4</v>
      </c>
      <c r="C198" t="inlineStr"/>
      <c r="D198" t="inlineStr"/>
    </row>
    <row r="199">
      <c r="A199" s="2" t="inlineStr">
        <is>
          <t>VW Touran</t>
        </is>
      </c>
      <c r="B199" s="2" t="n">
        <v>20.3</v>
      </c>
      <c r="C199" t="inlineStr"/>
      <c r="D199" t="inlineStr"/>
    </row>
    <row r="200">
      <c r="A200" s="2" t="inlineStr">
        <is>
          <t>smart forfour</t>
        </is>
      </c>
      <c r="B200" s="2" t="n">
        <v>27.5</v>
      </c>
      <c r="C200" t="inlineStr"/>
      <c r="D200" t="inlineStr"/>
    </row>
    <row r="201">
      <c r="A201" s="2" t="inlineStr">
        <is>
          <t>smart fortwo</t>
        </is>
      </c>
      <c r="B201" s="2" t="n">
        <v>21</v>
      </c>
      <c r="C201" t="inlineStr"/>
      <c r="D201" t="inlineStr"/>
    </row>
    <row r="202">
      <c r="A202" t="inlineStr">
        <is>
          <t>ADAC: mediana de la tabla (referencia 50 puntos)</t>
        </is>
      </c>
      <c r="B202" s="4">
        <f>MEDIAN(B115:B201)</f>
        <v/>
      </c>
      <c r="C202" t="inlineStr">
        <is>
          <t>calculado</t>
        </is>
      </c>
      <c r="D202" t="inlineStr">
        <is>
          <t>punt_ADAC = 50 + 100·(mediana − PKZ)/mediana, acotado 0-100; mediana de todas las filas de la tabla</t>
        </is>
      </c>
    </row>
    <row r="204">
      <c r="A204" s="6" t="inlineStr">
        <is>
          <t>7. Fiabilidad por modelo (punt. TÜV = 50 + 100·(media − MQ)/media; punt. ADAC = 50 + 100·(ref − PKZ)/ref; punt. modelo = media de TÜV, ADAC y OCU marca)</t>
        </is>
      </c>
    </row>
    <row r="205">
      <c r="A205" s="7" t="inlineStr">
        <is>
          <t>Modelo</t>
        </is>
      </c>
      <c r="B205" s="7" t="inlineStr">
        <is>
          <t>Marca</t>
        </is>
      </c>
      <c r="C205" s="7" t="inlineStr">
        <is>
          <t>TÜV Mängelquote (%)</t>
        </is>
      </c>
      <c r="D205" s="7" t="inlineStr">
        <is>
          <t>Franja</t>
        </is>
      </c>
      <c r="E205" s="7" t="inlineStr">
        <is>
          <t>Media franja (%)</t>
        </is>
      </c>
      <c r="F205" s="7" t="inlineStr">
        <is>
          <t>Punt. TÜV</t>
        </is>
      </c>
      <c r="G205" s="7" t="inlineStr">
        <is>
          <t>Fila ADAC</t>
        </is>
      </c>
      <c r="H205" s="7" t="inlineStr">
        <is>
          <t>ADAC PKZ 2015</t>
        </is>
      </c>
      <c r="I205" s="7" t="inlineStr">
        <is>
          <t>Punt. ADAC</t>
        </is>
      </c>
      <c r="J205" s="7" t="inlineStr">
        <is>
          <t>Punt. OCU marca</t>
        </is>
      </c>
      <c r="K205" s="7" t="inlineStr">
        <is>
          <t>Punt. modelo</t>
        </is>
      </c>
      <c r="L205" s="7" t="inlineStr">
        <is>
          <t>Pendiente</t>
        </is>
      </c>
      <c r="M205" s="7" t="inlineStr">
        <is>
          <t>Estado</t>
        </is>
      </c>
      <c r="N205" s="7" t="inlineStr">
        <is>
          <t>Fuente</t>
        </is>
      </c>
    </row>
    <row r="206">
      <c r="A206" s="2" t="inlineStr">
        <is>
          <t>Renault Clio</t>
        </is>
      </c>
      <c r="B206" s="2" t="inlineStr">
        <is>
          <t>Renault</t>
        </is>
      </c>
      <c r="C206" s="2" t="n">
        <v>40.4</v>
      </c>
      <c r="D206" s="2" t="inlineStr">
        <is>
          <t>12-13</t>
        </is>
      </c>
      <c r="E206" s="4">
        <f>VLOOKUP(D206,TUV_MEDIAS,2,0)</f>
        <v/>
      </c>
      <c r="F206" s="4">
        <f>IF(C206="","",MAX(0,MIN(100,50+100*(E206-C206)/E206)))</f>
        <v/>
      </c>
      <c r="G206" s="2" t="inlineStr">
        <is>
          <t>Renault Clio/Captur</t>
        </is>
      </c>
      <c r="H206" s="4">
        <f>IF(G206="","",IFERROR(VLOOKUP(G206,ADAC_TBL,2,0),""))</f>
        <v/>
      </c>
      <c r="I206" s="4">
        <f>IF(H206="","",MAX(0,MIN(100,50+100*(ADAC_REF-H206)/ADAC_REF)))</f>
        <v/>
      </c>
      <c r="J206" s="4">
        <f>IFERROR(VLOOKUP(B206,OCU_TBL,2,0),"")</f>
        <v/>
      </c>
      <c r="K206" s="4">
        <f>IF(COUNT(F206,I206,J206)=0,NEUTRO,AVERAGE(F206,I206,J206))</f>
        <v/>
      </c>
      <c r="L206" s="4">
        <f>IF(COUNT(F206,I206,J206)=0,"PENDIENTE","")</f>
        <v/>
      </c>
      <c r="M206" t="inlineStr">
        <is>
          <t>probable</t>
        </is>
      </c>
      <c r="N206" t="inlineStr">
        <is>
          <t>TÜV Report 2026 vía https://www.autobild.de/artikel/tuev-report-2026-gewinner-verlierer-28424531.html (peor de su franja)</t>
        </is>
      </c>
    </row>
    <row r="207">
      <c r="A207" s="2" t="inlineStr">
        <is>
          <t>Dacia Sandero</t>
        </is>
      </c>
      <c r="B207" s="2" t="inlineStr">
        <is>
          <t>Dacia</t>
        </is>
      </c>
      <c r="C207" s="2" t="n">
        <v>31.5</v>
      </c>
      <c r="D207" s="2" t="inlineStr">
        <is>
          <t>10-11</t>
        </is>
      </c>
      <c r="E207" s="4">
        <f>VLOOKUP(D207,TUV_MEDIAS,2,0)</f>
        <v/>
      </c>
      <c r="F207" s="4">
        <f>IF(C207="","",MAX(0,MIN(100,50+100*(E207-C207)/E207)))</f>
        <v/>
      </c>
      <c r="G207" s="2" t="inlineStr">
        <is>
          <t>Dacia Sandero</t>
        </is>
      </c>
      <c r="H207" s="4">
        <f>IF(G207="","",IFERROR(VLOOKUP(G207,ADAC_TBL,2,0),""))</f>
        <v/>
      </c>
      <c r="I207" s="4">
        <f>IF(H207="","",MAX(0,MIN(100,50+100*(ADAC_REF-H207)/ADAC_REF)))</f>
        <v/>
      </c>
      <c r="J207" s="4">
        <f>IFERROR(VLOOKUP(B207,OCU_TBL,2,0),"")</f>
        <v/>
      </c>
      <c r="K207" s="4">
        <f>IF(COUNT(F207,I207,J207)=0,NEUTRO,AVERAGE(F207,I207,J207))</f>
        <v/>
      </c>
      <c r="L207" s="4">
        <f>IF(COUNT(F207,I207,J207)=0,"PENDIENTE","")</f>
        <v/>
      </c>
      <c r="M207" t="inlineStr">
        <is>
          <t>probable (edición no fechada en el resumen)</t>
        </is>
      </c>
      <c r="N207" t="inlineStr">
        <is>
          <t>https://www.tuev-verband.de/presse/publikationen/reporte/tuev-report-autobild</t>
        </is>
      </c>
    </row>
    <row r="208">
      <c r="A208" s="2" t="inlineStr">
        <is>
          <t>Renault Mégane</t>
        </is>
      </c>
      <c r="B208" s="2" t="inlineStr">
        <is>
          <t>Renault</t>
        </is>
      </c>
      <c r="C208" s="2" t="n">
        <v>31.7</v>
      </c>
      <c r="D208" s="2" t="inlineStr">
        <is>
          <t>10-11</t>
        </is>
      </c>
      <c r="E208" s="4">
        <f>VLOOKUP(D208,TUV_MEDIAS,2,0)</f>
        <v/>
      </c>
      <c r="F208" s="4">
        <f>IF(C208="","",MAX(0,MIN(100,50+100*(E208-C208)/E208)))</f>
        <v/>
      </c>
      <c r="G208" s="2" t="inlineStr">
        <is>
          <t>Renault Mégane</t>
        </is>
      </c>
      <c r="H208" s="4">
        <f>IF(G208="","",IFERROR(VLOOKUP(G208,ADAC_TBL,2,0),""))</f>
        <v/>
      </c>
      <c r="I208" s="4">
        <f>IF(H208="","",MAX(0,MIN(100,50+100*(ADAC_REF-H208)/ADAC_REF)))</f>
        <v/>
      </c>
      <c r="J208" s="4">
        <f>IFERROR(VLOOKUP(B208,OCU_TBL,2,0),"")</f>
        <v/>
      </c>
      <c r="K208" s="4">
        <f>IF(COUNT(F208,I208,J208)=0,NEUTRO,AVERAGE(F208,I208,J208))</f>
        <v/>
      </c>
      <c r="L208" s="4">
        <f>IF(COUNT(F208,I208,J208)=0,"PENDIENTE","")</f>
        <v/>
      </c>
      <c r="M208" t="inlineStr">
        <is>
          <t>probable (edición no fechada en el resumen)</t>
        </is>
      </c>
      <c r="N208" t="inlineStr">
        <is>
          <t>https://www.tuev-verband.de/presse/publikationen/reporte/tuev-report-autobild</t>
        </is>
      </c>
    </row>
    <row r="209">
      <c r="A209" s="2" t="inlineStr">
        <is>
          <t>Ford Focus</t>
        </is>
      </c>
      <c r="B209" s="2" t="inlineStr">
        <is>
          <t>Ford</t>
        </is>
      </c>
      <c r="C209" s="2" t="n">
        <v>34.8</v>
      </c>
      <c r="D209" s="2" t="inlineStr">
        <is>
          <t>12-13</t>
        </is>
      </c>
      <c r="E209" s="2" t="n">
        <v>28.1</v>
      </c>
      <c r="F209" s="4">
        <f>IF(C209="","",MAX(0,MIN(100,50+100*(E209-C209)/E209)))</f>
        <v/>
      </c>
      <c r="G209" s="2" t="inlineStr">
        <is>
          <t>Ford Focus</t>
        </is>
      </c>
      <c r="H209" s="4">
        <f>IF(G209="","",IFERROR(VLOOKUP(G209,ADAC_TBL,2,0),""))</f>
        <v/>
      </c>
      <c r="I209" s="4">
        <f>IF(H209="","",MAX(0,MIN(100,50+100*(ADAC_REF-H209)/ADAC_REF)))</f>
        <v/>
      </c>
      <c r="J209" s="4">
        <f>IFERROR(VLOOKUP(B209,OCU_TBL,2,0),"")</f>
        <v/>
      </c>
      <c r="K209" s="4">
        <f>IF(COUNT(F209,I209,J209)=0,NEUTRO,AVERAGE(F209,I209,J209))</f>
        <v/>
      </c>
      <c r="L209" s="4">
        <f>IF(COUNT(F209,I209,J209)=0,"PENDIENTE","")</f>
        <v/>
      </c>
      <c r="M209" t="inlineStr">
        <is>
          <t>probable (TÜV 2025; media de franja 28,1 % en esa edición)</t>
        </is>
      </c>
      <c r="N209" t="inlineStr">
        <is>
          <t>https://www.t-online.de/mobilitaet/aktuelles/id_100543260/tuev-report-das-sind-die-schlechtesten-kompakten-gebrauchten.html</t>
        </is>
      </c>
    </row>
    <row r="210">
      <c r="A210" s="2" t="inlineStr">
        <is>
          <t>Volkswagen Golf</t>
        </is>
      </c>
      <c r="B210" s="2" t="inlineStr">
        <is>
          <t>Volkswagen</t>
        </is>
      </c>
      <c r="C210" s="2" t="n">
        <v>17.4</v>
      </c>
      <c r="D210" s="2" t="inlineStr">
        <is>
          <t>10-11</t>
        </is>
      </c>
      <c r="E210" s="4">
        <f>VLOOKUP(D210,TUV_MEDIAS,2,0)</f>
        <v/>
      </c>
      <c r="F210" s="4">
        <f>IF(C210="","",MAX(0,MIN(100,50+100*(E210-C210)/E210)))</f>
        <v/>
      </c>
      <c r="G210" s="2" t="inlineStr">
        <is>
          <t>VW Golf</t>
        </is>
      </c>
      <c r="H210" s="4">
        <f>IF(G210="","",IFERROR(VLOOKUP(G210,ADAC_TBL,2,0),""))</f>
        <v/>
      </c>
      <c r="I210" s="4">
        <f>IF(H210="","",MAX(0,MIN(100,50+100*(ADAC_REF-H210)/ADAC_REF)))</f>
        <v/>
      </c>
      <c r="J210" s="4">
        <f>IFERROR(VLOOKUP(B210,OCU_TBL,2,0),"")</f>
        <v/>
      </c>
      <c r="K210" s="4">
        <f>IF(COUNT(F210,I210,J210)=0,NEUTRO,AVERAGE(F210,I210,J210))</f>
        <v/>
      </c>
      <c r="L210" s="4">
        <f>IF(COUNT(F210,I210,J210)=0,"PENDIENTE","")</f>
        <v/>
      </c>
      <c r="M210" t="inlineStr">
        <is>
          <t>probable (el resumen lo marcó dudoso)</t>
        </is>
      </c>
      <c r="N210" t="inlineStr">
        <is>
          <t>https://www.tuvsud.com/de-de/publikationen/tuev-report/maengelzwerge-und-fehlerriesen</t>
        </is>
      </c>
    </row>
    <row r="211">
      <c r="A211" s="2" t="inlineStr">
        <is>
          <t>Mazda 3</t>
        </is>
      </c>
      <c r="B211" s="2" t="inlineStr">
        <is>
          <t>Mazda</t>
        </is>
      </c>
      <c r="C211" s="2" t="n">
        <v>20.9</v>
      </c>
      <c r="D211" s="2" t="inlineStr">
        <is>
          <t>12-13</t>
        </is>
      </c>
      <c r="E211" s="4">
        <f>VLOOKUP(D211,TUV_MEDIAS,2,0)</f>
        <v/>
      </c>
      <c r="F211" s="4">
        <f>IF(C211="","",MAX(0,MIN(100,50+100*(E211-C211)/E211)))</f>
        <v/>
      </c>
      <c r="G211" s="2" t="inlineStr">
        <is>
          <t>Mazda 3</t>
        </is>
      </c>
      <c r="H211" s="4">
        <f>IF(G211="","",IFERROR(VLOOKUP(G211,ADAC_TBL,2,0),""))</f>
        <v/>
      </c>
      <c r="I211" s="4">
        <f>IF(H211="","",MAX(0,MIN(100,50+100*(ADAC_REF-H211)/ADAC_REF)))</f>
        <v/>
      </c>
      <c r="J211" s="4">
        <f>IFERROR(VLOOKUP(B211,OCU_TBL,2,0),"")</f>
        <v/>
      </c>
      <c r="K211" s="4">
        <f>IF(COUNT(F211,I211,J211)=0,NEUTRO,AVERAGE(F211,I211,J211))</f>
        <v/>
      </c>
      <c r="L211" s="4">
        <f>IF(COUNT(F211,I211,J211)=0,"PENDIENTE","")</f>
        <v/>
      </c>
      <c r="M211" t="inlineStr">
        <is>
          <t>probable (sin verificar)</t>
        </is>
      </c>
      <c r="N211" t="inlineStr">
        <is>
          <t>https://www.tuvsud.com/de-de/publikationen/tuev-report/maengelzwerge-und-fehlerriesen</t>
        </is>
      </c>
    </row>
    <row r="212">
      <c r="A212" s="2" t="inlineStr">
        <is>
          <t>Mitsubishi Space Star</t>
        </is>
      </c>
      <c r="B212" s="2" t="inlineStr">
        <is>
          <t>Mitsubishi</t>
        </is>
      </c>
      <c r="F212" s="4">
        <f>IF(C212="","",MAX(0,MIN(100,50+100*(E212-C212)/E212)))</f>
        <v/>
      </c>
      <c r="G212" s="2" t="inlineStr">
        <is>
          <t>Mitsubishi Space Star</t>
        </is>
      </c>
      <c r="H212" s="4">
        <f>IF(G212="","",IFERROR(VLOOKUP(G212,ADAC_TBL,2,0),""))</f>
        <v/>
      </c>
      <c r="I212" s="4">
        <f>IF(H212="","",MAX(0,MIN(100,50+100*(ADAC_REF-H212)/ADAC_REF)))</f>
        <v/>
      </c>
      <c r="J212" s="4">
        <f>IFERROR(VLOOKUP(B212,OCU_TBL,2,0),"")</f>
        <v/>
      </c>
      <c r="K212" s="4">
        <f>IF(COUNT(F212,I212,J212)=0,NEUTRO,AVERAGE(F212,I212,J212))</f>
        <v/>
      </c>
      <c r="L212" s="4">
        <f>IF(COUNT(F212,I212,J212)=0,"PENDIENTE","")</f>
        <v/>
      </c>
      <c r="M212" t="inlineStr">
        <is>
          <t>solo ADAC</t>
        </is>
      </c>
      <c r="N212" t="inlineStr"/>
    </row>
    <row r="213">
      <c r="A213" s="2" t="inlineStr">
        <is>
          <t>Toyota Aygo</t>
        </is>
      </c>
      <c r="B213" s="2" t="inlineStr">
        <is>
          <t>Toyota</t>
        </is>
      </c>
      <c r="F213" s="4">
        <f>IF(C213="","",MAX(0,MIN(100,50+100*(E213-C213)/E213)))</f>
        <v/>
      </c>
      <c r="G213" s="2" t="inlineStr">
        <is>
          <t>Toyota Aygo</t>
        </is>
      </c>
      <c r="H213" s="4">
        <f>IF(G213="","",IFERROR(VLOOKUP(G213,ADAC_TBL,2,0),""))</f>
        <v/>
      </c>
      <c r="I213" s="4">
        <f>IF(H213="","",MAX(0,MIN(100,50+100*(ADAC_REF-H213)/ADAC_REF)))</f>
        <v/>
      </c>
      <c r="J213" s="4">
        <f>IFERROR(VLOOKUP(B213,OCU_TBL,2,0),"")</f>
        <v/>
      </c>
      <c r="K213" s="4">
        <f>IF(COUNT(F213,I213,J213)=0,NEUTRO,AVERAGE(F213,I213,J213))</f>
        <v/>
      </c>
      <c r="L213" s="4">
        <f>IF(COUNT(F213,I213,J213)=0,"PENDIENTE","")</f>
        <v/>
      </c>
      <c r="M213" t="inlineStr">
        <is>
          <t>solo ADAC</t>
        </is>
      </c>
      <c r="N213" t="inlineStr"/>
    </row>
    <row r="214">
      <c r="A214" s="2" t="inlineStr">
        <is>
          <t>Fiat Panda</t>
        </is>
      </c>
      <c r="B214" s="2" t="inlineStr">
        <is>
          <t>Fiat</t>
        </is>
      </c>
      <c r="F214" s="4">
        <f>IF(C214="","",MAX(0,MIN(100,50+100*(E214-C214)/E214)))</f>
        <v/>
      </c>
      <c r="G214" s="2" t="inlineStr">
        <is>
          <t>Fiat Panda</t>
        </is>
      </c>
      <c r="H214" s="4">
        <f>IF(G214="","",IFERROR(VLOOKUP(G214,ADAC_TBL,2,0),""))</f>
        <v/>
      </c>
      <c r="I214" s="4">
        <f>IF(H214="","",MAX(0,MIN(100,50+100*(ADAC_REF-H214)/ADAC_REF)))</f>
        <v/>
      </c>
      <c r="J214" s="4">
        <f>IFERROR(VLOOKUP(B214,OCU_TBL,2,0),"")</f>
        <v/>
      </c>
      <c r="K214" s="4">
        <f>IF(COUNT(F214,I214,J214)=0,NEUTRO,AVERAGE(F214,I214,J214))</f>
        <v/>
      </c>
      <c r="L214" s="4">
        <f>IF(COUNT(F214,I214,J214)=0,"PENDIENTE","")</f>
        <v/>
      </c>
      <c r="M214" t="inlineStr">
        <is>
          <t>solo ADAC</t>
        </is>
      </c>
      <c r="N214" t="inlineStr"/>
    </row>
    <row r="215">
      <c r="A215" s="2" t="inlineStr">
        <is>
          <t>Dacia Logan</t>
        </is>
      </c>
      <c r="B215" s="2" t="inlineStr">
        <is>
          <t>Dacia</t>
        </is>
      </c>
      <c r="F215" s="4">
        <f>IF(C215="","",MAX(0,MIN(100,50+100*(E215-C215)/E215)))</f>
        <v/>
      </c>
      <c r="G215" s="2" t="inlineStr">
        <is>
          <t>Dacia Logan</t>
        </is>
      </c>
      <c r="H215" s="4">
        <f>IF(G215="","",IFERROR(VLOOKUP(G215,ADAC_TBL,2,0),""))</f>
        <v/>
      </c>
      <c r="I215" s="4">
        <f>IF(H215="","",MAX(0,MIN(100,50+100*(ADAC_REF-H215)/ADAC_REF)))</f>
        <v/>
      </c>
      <c r="J215" s="4">
        <f>IFERROR(VLOOKUP(B215,OCU_TBL,2,0),"")</f>
        <v/>
      </c>
      <c r="K215" s="4">
        <f>IF(COUNT(F215,I215,J215)=0,NEUTRO,AVERAGE(F215,I215,J215))</f>
        <v/>
      </c>
      <c r="L215" s="4">
        <f>IF(COUNT(F215,I215,J215)=0,"PENDIENTE","")</f>
        <v/>
      </c>
      <c r="M215" t="inlineStr">
        <is>
          <t>solo ADAC</t>
        </is>
      </c>
      <c r="N215" t="inlineStr"/>
    </row>
    <row r="216">
      <c r="A216" s="2" t="inlineStr">
        <is>
          <t>Toyota Yaris</t>
        </is>
      </c>
      <c r="B216" s="2" t="inlineStr">
        <is>
          <t>Toyota</t>
        </is>
      </c>
      <c r="F216" s="4">
        <f>IF(C216="","",MAX(0,MIN(100,50+100*(E216-C216)/E216)))</f>
        <v/>
      </c>
      <c r="G216" s="2" t="inlineStr">
        <is>
          <t>Toyota Yaris</t>
        </is>
      </c>
      <c r="H216" s="4">
        <f>IF(G216="","",IFERROR(VLOOKUP(G216,ADAC_TBL,2,0),""))</f>
        <v/>
      </c>
      <c r="I216" s="4">
        <f>IF(H216="","",MAX(0,MIN(100,50+100*(ADAC_REF-H216)/ADAC_REF)))</f>
        <v/>
      </c>
      <c r="J216" s="4">
        <f>IFERROR(VLOOKUP(B216,OCU_TBL,2,0),"")</f>
        <v/>
      </c>
      <c r="K216" s="4">
        <f>IF(COUNT(F216,I216,J216)=0,NEUTRO,AVERAGE(F216,I216,J216))</f>
        <v/>
      </c>
      <c r="L216" s="4">
        <f>IF(COUNT(F216,I216,J216)=0,"PENDIENTE","")</f>
        <v/>
      </c>
      <c r="M216" t="inlineStr">
        <is>
          <t>PENDIENTE</t>
        </is>
      </c>
      <c r="N216" t="inlineStr"/>
    </row>
    <row r="217">
      <c r="A217" s="2" t="inlineStr">
        <is>
          <t>Toyota Auris</t>
        </is>
      </c>
      <c r="B217" s="2" t="inlineStr">
        <is>
          <t>Toyota</t>
        </is>
      </c>
      <c r="F217" s="4">
        <f>IF(C217="","",MAX(0,MIN(100,50+100*(E217-C217)/E217)))</f>
        <v/>
      </c>
      <c r="G217" s="2" t="inlineStr">
        <is>
          <t>Toyota Auris</t>
        </is>
      </c>
      <c r="H217" s="4">
        <f>IF(G217="","",IFERROR(VLOOKUP(G217,ADAC_TBL,2,0),""))</f>
        <v/>
      </c>
      <c r="I217" s="4">
        <f>IF(H217="","",MAX(0,MIN(100,50+100*(ADAC_REF-H217)/ADAC_REF)))</f>
        <v/>
      </c>
      <c r="J217" s="4">
        <f>IFERROR(VLOOKUP(B217,OCU_TBL,2,0),"")</f>
        <v/>
      </c>
      <c r="K217" s="4">
        <f>IF(COUNT(F217,I217,J217)=0,NEUTRO,AVERAGE(F217,I217,J217))</f>
        <v/>
      </c>
      <c r="L217" s="4">
        <f>IF(COUNT(F217,I217,J217)=0,"PENDIENTE","")</f>
        <v/>
      </c>
      <c r="M217" t="inlineStr">
        <is>
          <t>PENDIENTE</t>
        </is>
      </c>
      <c r="N217" t="inlineStr"/>
    </row>
    <row r="218">
      <c r="A218" s="2" t="inlineStr">
        <is>
          <t>Toyota Corolla</t>
        </is>
      </c>
      <c r="B218" s="2" t="inlineStr">
        <is>
          <t>Toyota</t>
        </is>
      </c>
      <c r="F218" s="4">
        <f>IF(C218="","",MAX(0,MIN(100,50+100*(E218-C218)/E218)))</f>
        <v/>
      </c>
      <c r="H218" s="4">
        <f>IF(G218="","",IFERROR(VLOOKUP(G218,ADAC_TBL,2,0),""))</f>
        <v/>
      </c>
      <c r="I218" s="4">
        <f>IF(H218="","",MAX(0,MIN(100,50+100*(ADAC_REF-H218)/ADAC_REF)))</f>
        <v/>
      </c>
      <c r="J218" s="4">
        <f>IFERROR(VLOOKUP(B218,OCU_TBL,2,0),"")</f>
        <v/>
      </c>
      <c r="K218" s="4">
        <f>IF(COUNT(F218,I218,J218)=0,NEUTRO,AVERAGE(F218,I218,J218))</f>
        <v/>
      </c>
      <c r="L218" s="4">
        <f>IF(COUNT(F218,I218,J218)=0,"PENDIENTE","")</f>
        <v/>
      </c>
      <c r="M218" t="inlineStr">
        <is>
          <t>PENDIENTE</t>
        </is>
      </c>
      <c r="N218" t="inlineStr"/>
    </row>
    <row r="219">
      <c r="A219" s="2" t="inlineStr">
        <is>
          <t>Honda Jazz</t>
        </is>
      </c>
      <c r="B219" s="2" t="inlineStr">
        <is>
          <t>Honda</t>
        </is>
      </c>
      <c r="F219" s="4">
        <f>IF(C219="","",MAX(0,MIN(100,50+100*(E219-C219)/E219)))</f>
        <v/>
      </c>
      <c r="H219" s="4">
        <f>IF(G219="","",IFERROR(VLOOKUP(G219,ADAC_TBL,2,0),""))</f>
        <v/>
      </c>
      <c r="I219" s="4">
        <f>IF(H219="","",MAX(0,MIN(100,50+100*(ADAC_REF-H219)/ADAC_REF)))</f>
        <v/>
      </c>
      <c r="J219" s="4">
        <f>IFERROR(VLOOKUP(B219,OCU_TBL,2,0),"")</f>
        <v/>
      </c>
      <c r="K219" s="4">
        <f>IF(COUNT(F219,I219,J219)=0,NEUTRO,AVERAGE(F219,I219,J219))</f>
        <v/>
      </c>
      <c r="L219" s="4">
        <f>IF(COUNT(F219,I219,J219)=0,"PENDIENTE","")</f>
        <v/>
      </c>
      <c r="M219" t="inlineStr">
        <is>
          <t>PENDIENTE</t>
        </is>
      </c>
      <c r="N219" t="inlineStr"/>
    </row>
    <row r="220">
      <c r="A220" s="2" t="inlineStr">
        <is>
          <t>Honda Civic</t>
        </is>
      </c>
      <c r="B220" s="2" t="inlineStr">
        <is>
          <t>Honda</t>
        </is>
      </c>
      <c r="F220" s="4">
        <f>IF(C220="","",MAX(0,MIN(100,50+100*(E220-C220)/E220)))</f>
        <v/>
      </c>
      <c r="H220" s="4">
        <f>IF(G220="","",IFERROR(VLOOKUP(G220,ADAC_TBL,2,0),""))</f>
        <v/>
      </c>
      <c r="I220" s="4">
        <f>IF(H220="","",MAX(0,MIN(100,50+100*(ADAC_REF-H220)/ADAC_REF)))</f>
        <v/>
      </c>
      <c r="J220" s="4">
        <f>IFERROR(VLOOKUP(B220,OCU_TBL,2,0),"")</f>
        <v/>
      </c>
      <c r="K220" s="4">
        <f>IF(COUNT(F220,I220,J220)=0,NEUTRO,AVERAGE(F220,I220,J220))</f>
        <v/>
      </c>
      <c r="L220" s="4">
        <f>IF(COUNT(F220,I220,J220)=0,"PENDIENTE","")</f>
        <v/>
      </c>
      <c r="M220" t="inlineStr">
        <is>
          <t>PENDIENTE</t>
        </is>
      </c>
      <c r="N220" t="inlineStr"/>
    </row>
    <row r="221">
      <c r="A221" s="2" t="inlineStr">
        <is>
          <t>Mazda 2</t>
        </is>
      </c>
      <c r="B221" s="2" t="inlineStr">
        <is>
          <t>Mazda</t>
        </is>
      </c>
      <c r="F221" s="4">
        <f>IF(C221="","",MAX(0,MIN(100,50+100*(E221-C221)/E221)))</f>
        <v/>
      </c>
      <c r="G221" s="2" t="inlineStr">
        <is>
          <t>Mazda 2</t>
        </is>
      </c>
      <c r="H221" s="4">
        <f>IF(G221="","",IFERROR(VLOOKUP(G221,ADAC_TBL,2,0),""))</f>
        <v/>
      </c>
      <c r="I221" s="4">
        <f>IF(H221="","",MAX(0,MIN(100,50+100*(ADAC_REF-H221)/ADAC_REF)))</f>
        <v/>
      </c>
      <c r="J221" s="4">
        <f>IFERROR(VLOOKUP(B221,OCU_TBL,2,0),"")</f>
        <v/>
      </c>
      <c r="K221" s="4">
        <f>IF(COUNT(F221,I221,J221)=0,NEUTRO,AVERAGE(F221,I221,J221))</f>
        <v/>
      </c>
      <c r="L221" s="4">
        <f>IF(COUNT(F221,I221,J221)=0,"PENDIENTE","")</f>
        <v/>
      </c>
      <c r="M221" t="inlineStr">
        <is>
          <t>PENDIENTE (TÜV 2026 solo da franjas jóvenes: 2,9 % a 2-3 años; ADAC 2026 lo pone entre los mejores Kleinwagen 2016-2023)</t>
        </is>
      </c>
      <c r="N221" t="inlineStr"/>
    </row>
    <row r="222">
      <c r="A222" s="2" t="inlineStr">
        <is>
          <t>Kia Rio</t>
        </is>
      </c>
      <c r="B222" s="2" t="inlineStr">
        <is>
          <t>Kia</t>
        </is>
      </c>
      <c r="F222" s="4">
        <f>IF(C222="","",MAX(0,MIN(100,50+100*(E222-C222)/E222)))</f>
        <v/>
      </c>
      <c r="H222" s="4">
        <f>IF(G222="","",IFERROR(VLOOKUP(G222,ADAC_TBL,2,0),""))</f>
        <v/>
      </c>
      <c r="I222" s="4">
        <f>IF(H222="","",MAX(0,MIN(100,50+100*(ADAC_REF-H222)/ADAC_REF)))</f>
        <v/>
      </c>
      <c r="J222" s="4">
        <f>IFERROR(VLOOKUP(B222,OCU_TBL,2,0),"")</f>
        <v/>
      </c>
      <c r="K222" s="4">
        <f>IF(COUNT(F222,I222,J222)=0,NEUTRO,AVERAGE(F222,I222,J222))</f>
        <v/>
      </c>
      <c r="L222" s="4">
        <f>IF(COUNT(F222,I222,J222)=0,"PENDIENTE","")</f>
        <v/>
      </c>
      <c r="M222" t="inlineStr">
        <is>
          <t>PENDIENTE</t>
        </is>
      </c>
      <c r="N222" t="inlineStr"/>
    </row>
    <row r="223">
      <c r="A223" s="2" t="inlineStr">
        <is>
          <t>Kia Ceed</t>
        </is>
      </c>
      <c r="B223" s="2" t="inlineStr">
        <is>
          <t>Kia</t>
        </is>
      </c>
      <c r="F223" s="4">
        <f>IF(C223="","",MAX(0,MIN(100,50+100*(E223-C223)/E223)))</f>
        <v/>
      </c>
      <c r="G223" s="2" t="inlineStr">
        <is>
          <t>KIA Ceed/XCeed</t>
        </is>
      </c>
      <c r="H223" s="4">
        <f>IF(G223="","",IFERROR(VLOOKUP(G223,ADAC_TBL,2,0),""))</f>
        <v/>
      </c>
      <c r="I223" s="4">
        <f>IF(H223="","",MAX(0,MIN(100,50+100*(ADAC_REF-H223)/ADAC_REF)))</f>
        <v/>
      </c>
      <c r="J223" s="4">
        <f>IFERROR(VLOOKUP(B223,OCU_TBL,2,0),"")</f>
        <v/>
      </c>
      <c r="K223" s="4">
        <f>IF(COUNT(F223,I223,J223)=0,NEUTRO,AVERAGE(F223,I223,J223))</f>
        <v/>
      </c>
      <c r="L223" s="4">
        <f>IF(COUNT(F223,I223,J223)=0,"PENDIENTE","")</f>
        <v/>
      </c>
      <c r="M223" t="inlineStr">
        <is>
          <t>PENDIENTE</t>
        </is>
      </c>
      <c r="N223" t="inlineStr"/>
    </row>
    <row r="224">
      <c r="A224" s="2" t="inlineStr">
        <is>
          <t>Kia Picanto</t>
        </is>
      </c>
      <c r="B224" s="2" t="inlineStr">
        <is>
          <t>Kia</t>
        </is>
      </c>
      <c r="F224" s="4">
        <f>IF(C224="","",MAX(0,MIN(100,50+100*(E224-C224)/E224)))</f>
        <v/>
      </c>
      <c r="G224" s="2" t="inlineStr">
        <is>
          <t>Kia Picanto</t>
        </is>
      </c>
      <c r="H224" s="4">
        <f>IF(G224="","",IFERROR(VLOOKUP(G224,ADAC_TBL,2,0),""))</f>
        <v/>
      </c>
      <c r="I224" s="4">
        <f>IF(H224="","",MAX(0,MIN(100,50+100*(ADAC_REF-H224)/ADAC_REF)))</f>
        <v/>
      </c>
      <c r="J224" s="4">
        <f>IFERROR(VLOOKUP(B224,OCU_TBL,2,0),"")</f>
        <v/>
      </c>
      <c r="K224" s="4">
        <f>IF(COUNT(F224,I224,J224)=0,NEUTRO,AVERAGE(F224,I224,J224))</f>
        <v/>
      </c>
      <c r="L224" s="4">
        <f>IF(COUNT(F224,I224,J224)=0,"PENDIENTE","")</f>
        <v/>
      </c>
      <c r="M224" t="inlineStr">
        <is>
          <t>PENDIENTE</t>
        </is>
      </c>
      <c r="N224" t="inlineStr"/>
    </row>
    <row r="225">
      <c r="A225" s="2" t="inlineStr">
        <is>
          <t>Hyundai i10</t>
        </is>
      </c>
      <c r="B225" s="2" t="inlineStr">
        <is>
          <t>Hyundai</t>
        </is>
      </c>
      <c r="F225" s="4">
        <f>IF(C225="","",MAX(0,MIN(100,50+100*(E225-C225)/E225)))</f>
        <v/>
      </c>
      <c r="G225" s="2" t="inlineStr">
        <is>
          <t>Hyundai i10</t>
        </is>
      </c>
      <c r="H225" s="4">
        <f>IF(G225="","",IFERROR(VLOOKUP(G225,ADAC_TBL,2,0),""))</f>
        <v/>
      </c>
      <c r="I225" s="4">
        <f>IF(H225="","",MAX(0,MIN(100,50+100*(ADAC_REF-H225)/ADAC_REF)))</f>
        <v/>
      </c>
      <c r="J225" s="4">
        <f>IFERROR(VLOOKUP(B225,OCU_TBL,2,0),"")</f>
        <v/>
      </c>
      <c r="K225" s="4">
        <f>IF(COUNT(F225,I225,J225)=0,NEUTRO,AVERAGE(F225,I225,J225))</f>
        <v/>
      </c>
      <c r="L225" s="4">
        <f>IF(COUNT(F225,I225,J225)=0,"PENDIENTE","")</f>
        <v/>
      </c>
      <c r="M225" t="inlineStr">
        <is>
          <t>PENDIENTE</t>
        </is>
      </c>
      <c r="N225" t="inlineStr"/>
    </row>
    <row r="226">
      <c r="A226" s="2" t="inlineStr">
        <is>
          <t>Hyundai i20</t>
        </is>
      </c>
      <c r="B226" s="2" t="inlineStr">
        <is>
          <t>Hyundai</t>
        </is>
      </c>
      <c r="F226" s="4">
        <f>IF(C226="","",MAX(0,MIN(100,50+100*(E226-C226)/E226)))</f>
        <v/>
      </c>
      <c r="G226" s="2" t="inlineStr">
        <is>
          <t>Hyundai i20</t>
        </is>
      </c>
      <c r="H226" s="4">
        <f>IF(G226="","",IFERROR(VLOOKUP(G226,ADAC_TBL,2,0),""))</f>
        <v/>
      </c>
      <c r="I226" s="4">
        <f>IF(H226="","",MAX(0,MIN(100,50+100*(ADAC_REF-H226)/ADAC_REF)))</f>
        <v/>
      </c>
      <c r="J226" s="4">
        <f>IFERROR(VLOOKUP(B226,OCU_TBL,2,0),"")</f>
        <v/>
      </c>
      <c r="K226" s="4">
        <f>IF(COUNT(F226,I226,J226)=0,NEUTRO,AVERAGE(F226,I226,J226))</f>
        <v/>
      </c>
      <c r="L226" s="4">
        <f>IF(COUNT(F226,I226,J226)=0,"PENDIENTE","")</f>
        <v/>
      </c>
      <c r="M226" t="inlineStr">
        <is>
          <t>PENDIENTE</t>
        </is>
      </c>
      <c r="N226" t="inlineStr"/>
    </row>
    <row r="227">
      <c r="A227" s="2" t="inlineStr">
        <is>
          <t>Hyundai i30</t>
        </is>
      </c>
      <c r="B227" s="2" t="inlineStr">
        <is>
          <t>Hyundai</t>
        </is>
      </c>
      <c r="F227" s="4">
        <f>IF(C227="","",MAX(0,MIN(100,50+100*(E227-C227)/E227)))</f>
        <v/>
      </c>
      <c r="G227" s="2" t="inlineStr">
        <is>
          <t>Hyundai i30</t>
        </is>
      </c>
      <c r="H227" s="4">
        <f>IF(G227="","",IFERROR(VLOOKUP(G227,ADAC_TBL,2,0),""))</f>
        <v/>
      </c>
      <c r="I227" s="4">
        <f>IF(H227="","",MAX(0,MIN(100,50+100*(ADAC_REF-H227)/ADAC_REF)))</f>
        <v/>
      </c>
      <c r="J227" s="4">
        <f>IFERROR(VLOOKUP(B227,OCU_TBL,2,0),"")</f>
        <v/>
      </c>
      <c r="K227" s="4">
        <f>IF(COUNT(F227,I227,J227)=0,NEUTRO,AVERAGE(F227,I227,J227))</f>
        <v/>
      </c>
      <c r="L227" s="4">
        <f>IF(COUNT(F227,I227,J227)=0,"PENDIENTE","")</f>
        <v/>
      </c>
      <c r="M227" t="inlineStr">
        <is>
          <t>PENDIENTE</t>
        </is>
      </c>
      <c r="N227" t="inlineStr"/>
    </row>
    <row r="228">
      <c r="A228" s="2" t="inlineStr">
        <is>
          <t>Skoda Fabia</t>
        </is>
      </c>
      <c r="B228" s="2" t="inlineStr">
        <is>
          <t>Skoda</t>
        </is>
      </c>
      <c r="F228" s="4">
        <f>IF(C228="","",MAX(0,MIN(100,50+100*(E228-C228)/E228)))</f>
        <v/>
      </c>
      <c r="G228" s="2" t="inlineStr">
        <is>
          <t>Skoda Fabia</t>
        </is>
      </c>
      <c r="H228" s="4">
        <f>IF(G228="","",IFERROR(VLOOKUP(G228,ADAC_TBL,2,0),""))</f>
        <v/>
      </c>
      <c r="I228" s="4">
        <f>IF(H228="","",MAX(0,MIN(100,50+100*(ADAC_REF-H228)/ADAC_REF)))</f>
        <v/>
      </c>
      <c r="J228" s="4">
        <f>IFERROR(VLOOKUP(B228,OCU_TBL,2,0),"")</f>
        <v/>
      </c>
      <c r="K228" s="4">
        <f>IF(COUNT(F228,I228,J228)=0,NEUTRO,AVERAGE(F228,I228,J228))</f>
        <v/>
      </c>
      <c r="L228" s="4">
        <f>IF(COUNT(F228,I228,J228)=0,"PENDIENTE","")</f>
        <v/>
      </c>
      <c r="M228" t="inlineStr">
        <is>
          <t>PENDIENTE (ADAC 2026 entre los mejores Kleinwagen 2016-2023, sin cifra)</t>
        </is>
      </c>
      <c r="N228" t="inlineStr"/>
    </row>
    <row r="229">
      <c r="A229" s="2" t="inlineStr">
        <is>
          <t>Skoda Octavia</t>
        </is>
      </c>
      <c r="B229" s="2" t="inlineStr">
        <is>
          <t>Skoda</t>
        </is>
      </c>
      <c r="F229" s="4">
        <f>IF(C229="","",MAX(0,MIN(100,50+100*(E229-C229)/E229)))</f>
        <v/>
      </c>
      <c r="G229" s="2" t="inlineStr">
        <is>
          <t>Skoda Octavia</t>
        </is>
      </c>
      <c r="H229" s="4">
        <f>IF(G229="","",IFERROR(VLOOKUP(G229,ADAC_TBL,2,0),""))</f>
        <v/>
      </c>
      <c r="I229" s="4">
        <f>IF(H229="","",MAX(0,MIN(100,50+100*(ADAC_REF-H229)/ADAC_REF)))</f>
        <v/>
      </c>
      <c r="J229" s="4">
        <f>IFERROR(VLOOKUP(B229,OCU_TBL,2,0),"")</f>
        <v/>
      </c>
      <c r="K229" s="4">
        <f>IF(COUNT(F229,I229,J229)=0,NEUTRO,AVERAGE(F229,I229,J229))</f>
        <v/>
      </c>
      <c r="L229" s="4">
        <f>IF(COUNT(F229,I229,J229)=0,"PENDIENTE","")</f>
        <v/>
      </c>
      <c r="M229" t="inlineStr">
        <is>
          <t>PENDIENTE</t>
        </is>
      </c>
      <c r="N229" t="inlineStr"/>
    </row>
    <row r="230">
      <c r="A230" s="2" t="inlineStr">
        <is>
          <t>Seat Ibiza</t>
        </is>
      </c>
      <c r="B230" s="2" t="inlineStr">
        <is>
          <t>Seat</t>
        </is>
      </c>
      <c r="F230" s="4">
        <f>IF(C230="","",MAX(0,MIN(100,50+100*(E230-C230)/E230)))</f>
        <v/>
      </c>
      <c r="G230" s="2" t="inlineStr">
        <is>
          <t>SEAT Ibiza</t>
        </is>
      </c>
      <c r="H230" s="4">
        <f>IF(G230="","",IFERROR(VLOOKUP(G230,ADAC_TBL,2,0),""))</f>
        <v/>
      </c>
      <c r="I230" s="4">
        <f>IF(H230="","",MAX(0,MIN(100,50+100*(ADAC_REF-H230)/ADAC_REF)))</f>
        <v/>
      </c>
      <c r="J230" s="4">
        <f>IFERROR(VLOOKUP(B230,OCU_TBL,2,0),"")</f>
        <v/>
      </c>
      <c r="K230" s="4">
        <f>IF(COUNT(F230,I230,J230)=0,NEUTRO,AVERAGE(F230,I230,J230))</f>
        <v/>
      </c>
      <c r="L230" s="4">
        <f>IF(COUNT(F230,I230,J230)=0,"PENDIENTE","")</f>
        <v/>
      </c>
      <c r="M230" t="inlineStr">
        <is>
          <t>PENDIENTE (ADAC 2026 entre los mejores Kleinwagen 2016-2023, sin cifra)</t>
        </is>
      </c>
      <c r="N230" t="inlineStr"/>
    </row>
    <row r="231">
      <c r="A231" s="2" t="inlineStr">
        <is>
          <t>Seat León</t>
        </is>
      </c>
      <c r="B231" s="2" t="inlineStr">
        <is>
          <t>Seat</t>
        </is>
      </c>
      <c r="F231" s="4">
        <f>IF(C231="","",MAX(0,MIN(100,50+100*(E231-C231)/E231)))</f>
        <v/>
      </c>
      <c r="G231" s="2" t="inlineStr">
        <is>
          <t>SEAT Leon</t>
        </is>
      </c>
      <c r="H231" s="4">
        <f>IF(G231="","",IFERROR(VLOOKUP(G231,ADAC_TBL,2,0),""))</f>
        <v/>
      </c>
      <c r="I231" s="4">
        <f>IF(H231="","",MAX(0,MIN(100,50+100*(ADAC_REF-H231)/ADAC_REF)))</f>
        <v/>
      </c>
      <c r="J231" s="4">
        <f>IFERROR(VLOOKUP(B231,OCU_TBL,2,0),"")</f>
        <v/>
      </c>
      <c r="K231" s="4">
        <f>IF(COUNT(F231,I231,J231)=0,NEUTRO,AVERAGE(F231,I231,J231))</f>
        <v/>
      </c>
      <c r="L231" s="4">
        <f>IF(COUNT(F231,I231,J231)=0,"PENDIENTE","")</f>
        <v/>
      </c>
      <c r="M231" t="inlineStr">
        <is>
          <t>PENDIENTE</t>
        </is>
      </c>
      <c r="N231" t="inlineStr"/>
    </row>
    <row r="232">
      <c r="A232" s="2" t="inlineStr">
        <is>
          <t>Volkswagen Polo</t>
        </is>
      </c>
      <c r="B232" s="2" t="inlineStr">
        <is>
          <t>Volkswagen</t>
        </is>
      </c>
      <c r="F232" s="4">
        <f>IF(C232="","",MAX(0,MIN(100,50+100*(E232-C232)/E232)))</f>
        <v/>
      </c>
      <c r="G232" s="2" t="inlineStr">
        <is>
          <t>VW Polo</t>
        </is>
      </c>
      <c r="H232" s="4">
        <f>IF(G232="","",IFERROR(VLOOKUP(G232,ADAC_TBL,2,0),""))</f>
        <v/>
      </c>
      <c r="I232" s="4">
        <f>IF(H232="","",MAX(0,MIN(100,50+100*(ADAC_REF-H232)/ADAC_REF)))</f>
        <v/>
      </c>
      <c r="J232" s="4">
        <f>IFERROR(VLOOKUP(B232,OCU_TBL,2,0),"")</f>
        <v/>
      </c>
      <c r="K232" s="4">
        <f>IF(COUNT(F232,I232,J232)=0,NEUTRO,AVERAGE(F232,I232,J232))</f>
        <v/>
      </c>
      <c r="L232" s="4">
        <f>IF(COUNT(F232,I232,J232)=0,"PENDIENTE","")</f>
        <v/>
      </c>
      <c r="M232" t="inlineStr">
        <is>
          <t>PENDIENTE (ADAC 2026 entre los mejores Kleinwagen 2016-2023, sin cifra)</t>
        </is>
      </c>
      <c r="N232" t="inlineStr"/>
    </row>
    <row r="233">
      <c r="A233" s="2" t="inlineStr">
        <is>
          <t>Opel Corsa</t>
        </is>
      </c>
      <c r="B233" s="2" t="inlineStr">
        <is>
          <t>Opel</t>
        </is>
      </c>
      <c r="F233" s="4">
        <f>IF(C233="","",MAX(0,MIN(100,50+100*(E233-C233)/E233)))</f>
        <v/>
      </c>
      <c r="G233" s="2" t="inlineStr">
        <is>
          <t>Opel Corsa</t>
        </is>
      </c>
      <c r="H233" s="4">
        <f>IF(G233="","",IFERROR(VLOOKUP(G233,ADAC_TBL,2,0),""))</f>
        <v/>
      </c>
      <c r="I233" s="4">
        <f>IF(H233="","",MAX(0,MIN(100,50+100*(ADAC_REF-H233)/ADAC_REF)))</f>
        <v/>
      </c>
      <c r="J233" s="4">
        <f>IFERROR(VLOOKUP(B233,OCU_TBL,2,0),"")</f>
        <v/>
      </c>
      <c r="K233" s="4">
        <f>IF(COUNT(F233,I233,J233)=0,NEUTRO,AVERAGE(F233,I233,J233))</f>
        <v/>
      </c>
      <c r="L233" s="4">
        <f>IF(COUNT(F233,I233,J233)=0,"PENDIENTE","")</f>
        <v/>
      </c>
      <c r="M233" t="inlineStr">
        <is>
          <t>PENDIENTE</t>
        </is>
      </c>
      <c r="N233" t="inlineStr"/>
    </row>
    <row r="234">
      <c r="A234" s="2" t="inlineStr">
        <is>
          <t>Opel Astra</t>
        </is>
      </c>
      <c r="B234" s="2" t="inlineStr">
        <is>
          <t>Opel</t>
        </is>
      </c>
      <c r="F234" s="4">
        <f>IF(C234="","",MAX(0,MIN(100,50+100*(E234-C234)/E234)))</f>
        <v/>
      </c>
      <c r="G234" s="2" t="inlineStr">
        <is>
          <t>Opel Astra</t>
        </is>
      </c>
      <c r="H234" s="4">
        <f>IF(G234="","",IFERROR(VLOOKUP(G234,ADAC_TBL,2,0),""))</f>
        <v/>
      </c>
      <c r="I234" s="4">
        <f>IF(H234="","",MAX(0,MIN(100,50+100*(ADAC_REF-H234)/ADAC_REF)))</f>
        <v/>
      </c>
      <c r="J234" s="4">
        <f>IFERROR(VLOOKUP(B234,OCU_TBL,2,0),"")</f>
        <v/>
      </c>
      <c r="K234" s="4">
        <f>IF(COUNT(F234,I234,J234)=0,NEUTRO,AVERAGE(F234,I234,J234))</f>
        <v/>
      </c>
      <c r="L234" s="4">
        <f>IF(COUNT(F234,I234,J234)=0,"PENDIENTE","")</f>
        <v/>
      </c>
      <c r="M234" t="inlineStr">
        <is>
          <t>PENDIENTE</t>
        </is>
      </c>
      <c r="N234" t="inlineStr"/>
    </row>
    <row r="235">
      <c r="A235" s="2" t="inlineStr">
        <is>
          <t>Peugeot 208</t>
        </is>
      </c>
      <c r="B235" s="2" t="inlineStr">
        <is>
          <t>Peugeot</t>
        </is>
      </c>
      <c r="F235" s="4">
        <f>IF(C235="","",MAX(0,MIN(100,50+100*(E235-C235)/E235)))</f>
        <v/>
      </c>
      <c r="G235" s="2" t="inlineStr">
        <is>
          <t>Peugeot 208</t>
        </is>
      </c>
      <c r="H235" s="4">
        <f>IF(G235="","",IFERROR(VLOOKUP(G235,ADAC_TBL,2,0),""))</f>
        <v/>
      </c>
      <c r="I235" s="4">
        <f>IF(H235="","",MAX(0,MIN(100,50+100*(ADAC_REF-H235)/ADAC_REF)))</f>
        <v/>
      </c>
      <c r="J235" s="4">
        <f>IFERROR(VLOOKUP(B235,OCU_TBL,2,0),"")</f>
        <v/>
      </c>
      <c r="K235" s="4">
        <f>IF(COUNT(F235,I235,J235)=0,NEUTRO,AVERAGE(F235,I235,J235))</f>
        <v/>
      </c>
      <c r="L235" s="4">
        <f>IF(COUNT(F235,I235,J235)=0,"PENDIENTE","")</f>
        <v/>
      </c>
      <c r="M235" t="inlineStr">
        <is>
          <t>PENDIENTE</t>
        </is>
      </c>
      <c r="N235" t="inlineStr"/>
    </row>
    <row r="236">
      <c r="A236" s="2" t="inlineStr">
        <is>
          <t>Peugeot 308</t>
        </is>
      </c>
      <c r="B236" s="2" t="inlineStr">
        <is>
          <t>Peugeot</t>
        </is>
      </c>
      <c r="F236" s="4">
        <f>IF(C236="","",MAX(0,MIN(100,50+100*(E236-C236)/E236)))</f>
        <v/>
      </c>
      <c r="G236" s="2" t="inlineStr">
        <is>
          <t>Peugeot 308</t>
        </is>
      </c>
      <c r="H236" s="4">
        <f>IF(G236="","",IFERROR(VLOOKUP(G236,ADAC_TBL,2,0),""))</f>
        <v/>
      </c>
      <c r="I236" s="4">
        <f>IF(H236="","",MAX(0,MIN(100,50+100*(ADAC_REF-H236)/ADAC_REF)))</f>
        <v/>
      </c>
      <c r="J236" s="4">
        <f>IFERROR(VLOOKUP(B236,OCU_TBL,2,0),"")</f>
        <v/>
      </c>
      <c r="K236" s="4">
        <f>IF(COUNT(F236,I236,J236)=0,NEUTRO,AVERAGE(F236,I236,J236))</f>
        <v/>
      </c>
      <c r="L236" s="4">
        <f>IF(COUNT(F236,I236,J236)=0,"PENDIENTE","")</f>
        <v/>
      </c>
      <c r="M236" t="inlineStr">
        <is>
          <t>PENDIENTE</t>
        </is>
      </c>
      <c r="N236" t="inlineStr"/>
    </row>
    <row r="237">
      <c r="A237" s="2" t="inlineStr">
        <is>
          <t>Citroën C3</t>
        </is>
      </c>
      <c r="B237" s="2" t="inlineStr">
        <is>
          <t>Citroën</t>
        </is>
      </c>
      <c r="F237" s="4">
        <f>IF(C237="","",MAX(0,MIN(100,50+100*(E237-C237)/E237)))</f>
        <v/>
      </c>
      <c r="G237" s="2" t="inlineStr">
        <is>
          <t>Citroen C3/DS 3</t>
        </is>
      </c>
      <c r="H237" s="4">
        <f>IF(G237="","",IFERROR(VLOOKUP(G237,ADAC_TBL,2,0),""))</f>
        <v/>
      </c>
      <c r="I237" s="4">
        <f>IF(H237="","",MAX(0,MIN(100,50+100*(ADAC_REF-H237)/ADAC_REF)))</f>
        <v/>
      </c>
      <c r="J237" s="4">
        <f>IFERROR(VLOOKUP(B237,OCU_TBL,2,0),"")</f>
        <v/>
      </c>
      <c r="K237" s="4">
        <f>IF(COUNT(F237,I237,J237)=0,NEUTRO,AVERAGE(F237,I237,J237))</f>
        <v/>
      </c>
      <c r="L237" s="4">
        <f>IF(COUNT(F237,I237,J237)=0,"PENDIENTE","")</f>
        <v/>
      </c>
      <c r="M237" t="inlineStr">
        <is>
          <t>PENDIENTE</t>
        </is>
      </c>
      <c r="N237" t="inlineStr"/>
    </row>
    <row r="238">
      <c r="A238" s="2" t="inlineStr">
        <is>
          <t>Citroën C4</t>
        </is>
      </c>
      <c r="B238" s="2" t="inlineStr">
        <is>
          <t>Citroën</t>
        </is>
      </c>
      <c r="F238" s="4">
        <f>IF(C238="","",MAX(0,MIN(100,50+100*(E238-C238)/E238)))</f>
        <v/>
      </c>
      <c r="H238" s="4">
        <f>IF(G238="","",IFERROR(VLOOKUP(G238,ADAC_TBL,2,0),""))</f>
        <v/>
      </c>
      <c r="I238" s="4">
        <f>IF(H238="","",MAX(0,MIN(100,50+100*(ADAC_REF-H238)/ADAC_REF)))</f>
        <v/>
      </c>
      <c r="J238" s="4">
        <f>IFERROR(VLOOKUP(B238,OCU_TBL,2,0),"")</f>
        <v/>
      </c>
      <c r="K238" s="4">
        <f>IF(COUNT(F238,I238,J238)=0,NEUTRO,AVERAGE(F238,I238,J238))</f>
        <v/>
      </c>
      <c r="L238" s="4">
        <f>IF(COUNT(F238,I238,J238)=0,"PENDIENTE","")</f>
        <v/>
      </c>
      <c r="M238" t="inlineStr">
        <is>
          <t>PENDIENTE</t>
        </is>
      </c>
      <c r="N238" t="inlineStr"/>
    </row>
    <row r="239">
      <c r="A239" s="2" t="inlineStr">
        <is>
          <t>Ford Fiesta</t>
        </is>
      </c>
      <c r="B239" s="2" t="inlineStr">
        <is>
          <t>Ford</t>
        </is>
      </c>
      <c r="F239" s="4">
        <f>IF(C239="","",MAX(0,MIN(100,50+100*(E239-C239)/E239)))</f>
        <v/>
      </c>
      <c r="G239" s="2" t="inlineStr">
        <is>
          <t>Ford Fiesta (Courier)</t>
        </is>
      </c>
      <c r="H239" s="4">
        <f>IF(G239="","",IFERROR(VLOOKUP(G239,ADAC_TBL,2,0),""))</f>
        <v/>
      </c>
      <c r="I239" s="4">
        <f>IF(H239="","",MAX(0,MIN(100,50+100*(ADAC_REF-H239)/ADAC_REF)))</f>
        <v/>
      </c>
      <c r="J239" s="4">
        <f>IFERROR(VLOOKUP(B239,OCU_TBL,2,0),"")</f>
        <v/>
      </c>
      <c r="K239" s="4">
        <f>IF(COUNT(F239,I239,J239)=0,NEUTRO,AVERAGE(F239,I239,J239))</f>
        <v/>
      </c>
      <c r="L239" s="4">
        <f>IF(COUNT(F239,I239,J239)=0,"PENDIENTE","")</f>
        <v/>
      </c>
      <c r="M239" t="inlineStr">
        <is>
          <t>PENDIENTE</t>
        </is>
      </c>
      <c r="N239" t="inlineStr"/>
    </row>
    <row r="240">
      <c r="A240" s="2" t="inlineStr">
        <is>
          <t>Fiat Punto</t>
        </is>
      </c>
      <c r="B240" s="2" t="inlineStr">
        <is>
          <t>Fiat</t>
        </is>
      </c>
      <c r="F240" s="4">
        <f>IF(C240="","",MAX(0,MIN(100,50+100*(E240-C240)/E240)))</f>
        <v/>
      </c>
      <c r="H240" s="4">
        <f>IF(G240="","",IFERROR(VLOOKUP(G240,ADAC_TBL,2,0),""))</f>
        <v/>
      </c>
      <c r="I240" s="4">
        <f>IF(H240="","",MAX(0,MIN(100,50+100*(ADAC_REF-H240)/ADAC_REF)))</f>
        <v/>
      </c>
      <c r="J240" s="4">
        <f>IFERROR(VLOOKUP(B240,OCU_TBL,2,0),"")</f>
        <v/>
      </c>
      <c r="K240" s="4">
        <f>IF(COUNT(F240,I240,J240)=0,NEUTRO,AVERAGE(F240,I240,J240))</f>
        <v/>
      </c>
      <c r="L240" s="4">
        <f>IF(COUNT(F240,I240,J240)=0,"PENDIENTE","")</f>
        <v/>
      </c>
      <c r="M240" t="inlineStr">
        <is>
          <t>PENDIENTE</t>
        </is>
      </c>
      <c r="N240" t="inlineStr"/>
    </row>
    <row r="241">
      <c r="A241" s="2" t="inlineStr">
        <is>
          <t>Fiat 500</t>
        </is>
      </c>
      <c r="B241" s="2" t="inlineStr">
        <is>
          <t>Fiat</t>
        </is>
      </c>
      <c r="F241" s="4">
        <f>IF(C241="","",MAX(0,MIN(100,50+100*(E241-C241)/E241)))</f>
        <v/>
      </c>
      <c r="G241" s="2" t="inlineStr">
        <is>
          <t>Fiat 500</t>
        </is>
      </c>
      <c r="H241" s="4">
        <f>IF(G241="","",IFERROR(VLOOKUP(G241,ADAC_TBL,2,0),""))</f>
        <v/>
      </c>
      <c r="I241" s="4">
        <f>IF(H241="","",MAX(0,MIN(100,50+100*(ADAC_REF-H241)/ADAC_REF)))</f>
        <v/>
      </c>
      <c r="J241" s="4">
        <f>IFERROR(VLOOKUP(B241,OCU_TBL,2,0),"")</f>
        <v/>
      </c>
      <c r="K241" s="4">
        <f>IF(COUNT(F241,I241,J241)=0,NEUTRO,AVERAGE(F241,I241,J241))</f>
        <v/>
      </c>
      <c r="L241" s="4">
        <f>IF(COUNT(F241,I241,J241)=0,"PENDIENTE","")</f>
        <v/>
      </c>
      <c r="M241" t="inlineStr">
        <is>
          <t>PENDIENTE</t>
        </is>
      </c>
      <c r="N241" t="inlineStr"/>
    </row>
    <row r="242">
      <c r="A242" s="2" t="inlineStr">
        <is>
          <t>Nissan Micra</t>
        </is>
      </c>
      <c r="B242" s="2" t="inlineStr">
        <is>
          <t>Nissan</t>
        </is>
      </c>
      <c r="F242" s="4">
        <f>IF(C242="","",MAX(0,MIN(100,50+100*(E242-C242)/E242)))</f>
        <v/>
      </c>
      <c r="G242" s="2" t="inlineStr">
        <is>
          <t>Nissan Micra</t>
        </is>
      </c>
      <c r="H242" s="4">
        <f>IF(G242="","",IFERROR(VLOOKUP(G242,ADAC_TBL,2,0),""))</f>
        <v/>
      </c>
      <c r="I242" s="4">
        <f>IF(H242="","",MAX(0,MIN(100,50+100*(ADAC_REF-H242)/ADAC_REF)))</f>
        <v/>
      </c>
      <c r="J242" s="4">
        <f>IFERROR(VLOOKUP(B242,OCU_TBL,2,0),"")</f>
        <v/>
      </c>
      <c r="K242" s="4">
        <f>IF(COUNT(F242,I242,J242)=0,NEUTRO,AVERAGE(F242,I242,J242))</f>
        <v/>
      </c>
      <c r="L242" s="4">
        <f>IF(COUNT(F242,I242,J242)=0,"PENDIENTE","")</f>
        <v/>
      </c>
      <c r="M242" t="inlineStr">
        <is>
          <t>PENDIENTE</t>
        </is>
      </c>
      <c r="N242" t="inlineStr"/>
    </row>
    <row r="243">
      <c r="A243" s="2" t="inlineStr">
        <is>
          <t>Suzuki Swift</t>
        </is>
      </c>
      <c r="B243" s="2" t="inlineStr">
        <is>
          <t>Suzuki</t>
        </is>
      </c>
      <c r="F243" s="4">
        <f>IF(C243="","",MAX(0,MIN(100,50+100*(E243-C243)/E243)))</f>
        <v/>
      </c>
      <c r="G243" s="2" t="inlineStr">
        <is>
          <t>Suzuki Swift</t>
        </is>
      </c>
      <c r="H243" s="4">
        <f>IF(G243="","",IFERROR(VLOOKUP(G243,ADAC_TBL,2,0),""))</f>
        <v/>
      </c>
      <c r="I243" s="4">
        <f>IF(H243="","",MAX(0,MIN(100,50+100*(ADAC_REF-H243)/ADAC_REF)))</f>
        <v/>
      </c>
      <c r="J243" s="4">
        <f>IFERROR(VLOOKUP(B243,OCU_TBL,2,0),"")</f>
        <v/>
      </c>
      <c r="K243" s="4">
        <f>IF(COUNT(F243,I243,J243)=0,NEUTRO,AVERAGE(F243,I243,J243))</f>
        <v/>
      </c>
      <c r="L243" s="4">
        <f>IF(COUNT(F243,I243,J243)=0,"PENDIENTE","")</f>
        <v/>
      </c>
      <c r="M243" t="inlineStr">
        <is>
          <t>PENDIENTE (ADAC 2026 entre los mejores Kleinwagen 2016-2023, sin cifra)</t>
        </is>
      </c>
      <c r="N243" t="inlineStr"/>
    </row>
    <row r="244">
      <c r="A244" s="2" t="inlineStr">
        <is>
          <t>Mitsubishi Colt</t>
        </is>
      </c>
      <c r="B244" s="2" t="inlineStr">
        <is>
          <t>Mitsubishi</t>
        </is>
      </c>
      <c r="F244" s="4">
        <f>IF(C244="","",MAX(0,MIN(100,50+100*(E244-C244)/E244)))</f>
        <v/>
      </c>
      <c r="H244" s="4">
        <f>IF(G244="","",IFERROR(VLOOKUP(G244,ADAC_TBL,2,0),""))</f>
        <v/>
      </c>
      <c r="I244" s="4">
        <f>IF(H244="","",MAX(0,MIN(100,50+100*(ADAC_REF-H244)/ADAC_REF)))</f>
        <v/>
      </c>
      <c r="J244" s="4">
        <f>IFERROR(VLOOKUP(B244,OCU_TBL,2,0),"")</f>
        <v/>
      </c>
      <c r="K244" s="4">
        <f>IF(COUNT(F244,I244,J244)=0,NEUTRO,AVERAGE(F244,I244,J244))</f>
        <v/>
      </c>
      <c r="L244" s="4">
        <f>IF(COUNT(F244,I244,J244)=0,"PENDIENTE","")</f>
        <v/>
      </c>
      <c r="M244" t="inlineStr">
        <is>
          <t>PENDIENTE</t>
        </is>
      </c>
      <c r="N244" t="inlineStr"/>
    </row>
    <row r="246">
      <c r="A246" s="6" t="inlineStr">
        <is>
          <t>8. Ajustes por motor con problemas conocidos (el problema tiene fuente; la magnitud es criterio)</t>
        </is>
      </c>
    </row>
    <row r="247">
      <c r="A247" s="7" t="inlineStr">
        <is>
          <t>Marca</t>
        </is>
      </c>
      <c r="B247" s="7" t="inlineStr">
        <is>
          <t>Motor</t>
        </is>
      </c>
      <c r="C247" s="7" t="inlineStr">
        <is>
          <t>Año desde</t>
        </is>
      </c>
      <c r="D247" s="7" t="inlineStr">
        <is>
          <t>Año hasta</t>
        </is>
      </c>
      <c r="E247" s="7" t="inlineStr">
        <is>
          <t>Ajuste (puntos)</t>
        </is>
      </c>
      <c r="F247" s="7" t="inlineStr">
        <is>
          <t>Problema</t>
        </is>
      </c>
      <c r="G247" s="7" t="inlineStr">
        <is>
          <t>Qué revisar</t>
        </is>
      </c>
      <c r="H247" s="7" t="inlineStr">
        <is>
          <t>Estado</t>
        </is>
      </c>
      <c r="I247" s="7" t="inlineStr">
        <is>
          <t>Fuente</t>
        </is>
      </c>
    </row>
    <row r="248">
      <c r="A248" s="2" t="inlineStr">
        <is>
          <t>(todas)</t>
        </is>
      </c>
      <c r="B248" s="2" t="inlineStr">
        <is>
          <t>1.2 PureTech</t>
        </is>
      </c>
      <c r="C248" s="2" t="n">
        <v>2012</v>
      </c>
      <c r="D248" s="2" t="n">
        <v>2022</v>
      </c>
      <c r="E248" s="2" t="n">
        <v>-25</v>
      </c>
      <c r="F248" t="inlineStr">
        <is>
          <t>Correa de distribución húmeda que se degrada y consumo de aceite; Stellantis amplió garantía a 10 años/175.000 km con condiciones</t>
        </is>
      </c>
      <c r="G248" t="inlineStr">
        <is>
          <t>Factura de cambio de correa y del tamiz/bomba de aceite; nivel de aceite; testigo de presión; si entra en la ampliación de garantía Stellantis</t>
        </is>
      </c>
      <c r="H248" t="inlineStr">
        <is>
          <t>probable</t>
        </is>
      </c>
      <c r="I248" t="inlineStr">
        <is>
          <t>https://www.km77.com/revista/engendro-mecanico/stellantis-compensacion-afectados-puretech/ ; https://www.motorpasion.com/industria/stellantis-fin-responde-al-problema-motores-puretech-10-anos-garantia-retroactiva</t>
        </is>
      </c>
    </row>
    <row r="249">
      <c r="A249" s="2" t="inlineStr">
        <is>
          <t>(todas)</t>
        </is>
      </c>
      <c r="B249" s="2" t="inlineStr">
        <is>
          <t>1.0 PureTech</t>
        </is>
      </c>
      <c r="C249" s="2" t="n">
        <v>2012</v>
      </c>
      <c r="D249" s="2" t="n">
        <v>2022</v>
      </c>
      <c r="E249" s="2" t="n">
        <v>-25</v>
      </c>
      <c r="F249" t="inlineStr">
        <is>
          <t>Igual que 1.2 PureTech (familia EB)</t>
        </is>
      </c>
      <c r="G249" t="inlineStr">
        <is>
          <t>Igual que 1.2 PureTech</t>
        </is>
      </c>
      <c r="H249" t="inlineStr">
        <is>
          <t>probable</t>
        </is>
      </c>
      <c r="I249" t="inlineStr">
        <is>
          <t>https://www.km77.com/revista/engendro-mecanico/stellantis-compensacion-afectados-puretech/</t>
        </is>
      </c>
    </row>
    <row r="250">
      <c r="A250" s="2" t="inlineStr">
        <is>
          <t>(todas)</t>
        </is>
      </c>
      <c r="B250" s="2" t="inlineStr">
        <is>
          <t>1.2 VTi</t>
        </is>
      </c>
      <c r="C250" s="2" t="n">
        <v>2012</v>
      </c>
      <c r="D250" s="2" t="n">
        <v>2022</v>
      </c>
      <c r="E250" s="2" t="n">
        <v>-25</v>
      </c>
      <c r="F250" t="inlineStr">
        <is>
          <t>1.2 VTi atmosférico = PureTech EB2 (correa húmeda)</t>
        </is>
      </c>
      <c r="G250" t="inlineStr">
        <is>
          <t>Igual que 1.2 PureTech</t>
        </is>
      </c>
      <c r="H250" t="inlineStr">
        <is>
          <t>probable</t>
        </is>
      </c>
      <c r="I250" t="inlineStr">
        <is>
          <t>https://www.km77.com/revista/engendro-mecanico/stellantis-compensacion-afectados-puretech/</t>
        </is>
      </c>
    </row>
    <row r="251">
      <c r="A251" s="2" t="inlineStr">
        <is>
          <t>(todas)</t>
        </is>
      </c>
      <c r="B251" s="2" t="inlineStr">
        <is>
          <t>1.2 TSI</t>
        </is>
      </c>
      <c r="C251" s="2" t="n">
        <v>2008</v>
      </c>
      <c r="D251" s="2" t="n">
        <v>2012</v>
      </c>
      <c r="E251" s="2" t="n">
        <v>-20</v>
      </c>
      <c r="F251" t="inlineStr">
        <is>
          <t>EA111: cadena de distribución que se alarga y tensor que falla; puede saltar y romper el motor</t>
        </is>
      </c>
      <c r="G251" t="inlineStr">
        <is>
          <t>Ruido metálico en arranque en frío (primeros segundos); factura de cambio de cadena y tensor</t>
        </is>
      </c>
      <c r="H251" t="inlineStr">
        <is>
          <t>probable</t>
        </is>
      </c>
      <c r="I251" t="inlineStr">
        <is>
          <t>https://www.autobild.de/artikel/vw-steuerketten-kulanz-2892135.html</t>
        </is>
      </c>
    </row>
    <row r="252">
      <c r="A252" s="2" t="inlineStr">
        <is>
          <t>(todas)</t>
        </is>
      </c>
      <c r="B252" s="2" t="inlineStr">
        <is>
          <t>1.4 TSI</t>
        </is>
      </c>
      <c r="C252" s="2" t="n">
        <v>2008</v>
      </c>
      <c r="D252" s="2" t="n">
        <v>2012</v>
      </c>
      <c r="E252" s="2" t="n">
        <v>-20</v>
      </c>
      <c r="F252" t="inlineStr">
        <is>
          <t>EA111: cadena de distribución que se alarga y tensor que falla</t>
        </is>
      </c>
      <c r="G252" t="inlineStr">
        <is>
          <t>Ruido de cadena en frío; factura de cadena/tensor; consumo de aceite</t>
        </is>
      </c>
      <c r="H252" t="inlineStr">
        <is>
          <t>probable</t>
        </is>
      </c>
      <c r="I252" t="inlineStr">
        <is>
          <t>https://www.autobild.de/artikel/vw-steuerketten-kulanz-2892135.html</t>
        </is>
      </c>
    </row>
    <row r="253">
      <c r="A253" s="2" t="inlineStr">
        <is>
          <t>(todas)</t>
        </is>
      </c>
      <c r="B253" s="2" t="inlineStr">
        <is>
          <t>1.0 EcoBoost</t>
        </is>
      </c>
      <c r="C253" s="2" t="n">
        <v>2012</v>
      </c>
      <c r="D253" s="2" t="n">
        <v>2018</v>
      </c>
      <c r="E253" s="2" t="n">
        <v>-20</v>
      </c>
      <c r="F253" t="inlineStr">
        <is>
          <t>Correa bañada en aceite que se degrada; fallos de refrigeración y sobrecalentamiento (≈2012-2014)</t>
        </is>
      </c>
      <c r="G253" t="inlineStr">
        <is>
          <t>Fugas y nivel de refrigerante, manguitos, historial de sobrecalentamiento, factura de correa</t>
        </is>
      </c>
      <c r="H253" t="inlineStr">
        <is>
          <t>probable</t>
        </is>
      </c>
      <c r="I253" t="inlineStr">
        <is>
          <t>https://www.motor.es/noticias/ford-10-ecoboost-tricilindricos-correas-banadas-2026115650.html ; https://www.whatcar.com/news/ford-ecoboost-engine-recall-%E2%80%93-what-you-need-to-know/n17972</t>
        </is>
      </c>
    </row>
    <row r="254">
      <c r="A254" s="2" t="inlineStr">
        <is>
          <t>(todas)</t>
        </is>
      </c>
      <c r="B254" s="2" t="inlineStr">
        <is>
          <t>1.2 TCe</t>
        </is>
      </c>
      <c r="C254" s="2" t="n">
        <v>2012</v>
      </c>
      <c r="D254" s="2" t="n">
        <v>2016</v>
      </c>
      <c r="E254" s="2" t="n">
        <v>-20</v>
      </c>
      <c r="F254" t="inlineStr">
        <is>
          <t>H5Ft: consumo excesivo de aceite (fabricados 10/2012-07/2016); recalibración desde 06/2015</t>
        </is>
      </c>
      <c r="G254" t="inlineStr">
        <is>
          <t>Consumo de aceite, humo azul, si se le hizo la actualización de software/campaña</t>
        </is>
      </c>
      <c r="H254" t="inlineStr">
        <is>
          <t>probable</t>
        </is>
      </c>
      <c r="I254" t="inlineStr">
        <is>
          <t>https://questions.assemblee-nationale.fr/dyn/15/questions/QANR5L15QOSD963.pdf</t>
        </is>
      </c>
    </row>
    <row r="255">
      <c r="A255" s="2" t="inlineStr">
        <is>
          <t>Opel</t>
        </is>
      </c>
      <c r="B255" s="2" t="inlineStr">
        <is>
          <t>1.4 Turbo</t>
        </is>
      </c>
      <c r="C255" s="2" t="n">
        <v>2010</v>
      </c>
      <c r="D255" s="2" t="n">
        <v>2018</v>
      </c>
      <c r="E255" s="2" t="n">
        <v>-10</v>
      </c>
      <c r="F255" t="inlineStr">
        <is>
          <t>A14NET: pistones/segmentos (consumo de aceite, preencendido), ventilación del cárter, cadena. Fuentes secundarias</t>
        </is>
      </c>
      <c r="G255" t="inlineStr">
        <is>
          <t>Consumo de aceite, tirones, ruido de cadena</t>
        </is>
      </c>
      <c r="H255" t="inlineStr">
        <is>
          <t>probable (fuente secundaria)</t>
        </is>
      </c>
      <c r="I255" t="inlineStr">
        <is>
          <t>https://carwiki.de/opel-a14net-motor</t>
        </is>
      </c>
    </row>
    <row r="256">
      <c r="A256" s="2" t="inlineStr">
        <is>
          <t>(todas)</t>
        </is>
      </c>
      <c r="B256" s="2" t="inlineStr">
        <is>
          <t>1.6 THP</t>
        </is>
      </c>
      <c r="C256" s="2" t="n">
        <v>2007</v>
      </c>
      <c r="D256" s="2" t="n">
        <v>2018</v>
      </c>
      <c r="E256" s="2" t="n">
        <v>-10</v>
      </c>
      <c r="F256" t="inlineStr">
        <is>
          <t>Familia Prince EP6 turbo (PSA/BMW): estiramiento de la cadena de distribución, consumo de aceite y carbonilla en admisión. Solo fuentes secundarias</t>
        </is>
      </c>
      <c r="G256" t="inlineStr">
        <is>
          <t>Traqueteo de cadena en arranque en frío, consumo de aceite, facturas de cadena/tensor</t>
        </is>
      </c>
      <c r="H256" t="inlineStr">
        <is>
          <t>probable (fuente secundaria)</t>
        </is>
      </c>
      <c r="I256" t="inlineStr">
        <is>
          <t>https://autoscore.pro/engine/1.6-thp-ep6</t>
        </is>
      </c>
    </row>
    <row r="257">
      <c r="A257" s="2" t="inlineStr">
        <is>
          <t>(todas)</t>
        </is>
      </c>
      <c r="B257" s="2" t="inlineStr">
        <is>
          <t>1.6 VTi</t>
        </is>
      </c>
      <c r="C257" s="2" t="n">
        <v>2006</v>
      </c>
      <c r="D257" s="2" t="n">
        <v>2015</v>
      </c>
      <c r="E257" s="2" t="n">
        <v>0</v>
      </c>
      <c r="F257" t="inlineStr">
        <is>
          <t>Familia Prince EP6 atmosférico: se citan problemas de cadena y consumo de aceite, pero solo en foros. Sin ajuste hasta tener fuente seria</t>
        </is>
      </c>
      <c r="G257" t="inlineStr">
        <is>
          <t>Ruido de cadena en frío, consumo de aceite, humo azul</t>
        </is>
      </c>
      <c r="H257" t="inlineStr">
        <is>
          <t>PENDIENTE</t>
        </is>
      </c>
      <c r="I257" t="inlineStr">
        <is>
          <t>sin fuente de autoridad (foros)</t>
        </is>
      </c>
    </row>
    <row r="258">
      <c r="A258" t="inlineStr">
        <is>
          <t>Motores con buena fama: PENDIENTE de fuente de autoridad; sin ajuste positivo.</t>
        </is>
      </c>
    </row>
    <row r="260">
      <c r="A260" s="6" t="inlineStr">
        <is>
          <t>9. Ajustes por combustible</t>
        </is>
      </c>
    </row>
    <row r="261">
      <c r="A261" s="7" t="inlineStr">
        <is>
          <t>Combustible</t>
        </is>
      </c>
      <c r="B261" s="7" t="inlineStr">
        <is>
          <t>Ajuste (puntos)</t>
        </is>
      </c>
      <c r="C261" s="7" t="inlineStr">
        <is>
          <t>Problema</t>
        </is>
      </c>
      <c r="D261" s="7" t="inlineStr">
        <is>
          <t>Qué revisar</t>
        </is>
      </c>
      <c r="E261" s="7" t="inlineStr">
        <is>
          <t>Estado</t>
        </is>
      </c>
      <c r="F261" s="7" t="inlineStr">
        <is>
          <t>Fuente</t>
        </is>
      </c>
    </row>
    <row r="262">
      <c r="A262" s="2" t="inlineStr">
        <is>
          <t>diesel</t>
        </is>
      </c>
      <c r="B262" s="2" t="n">
        <v>-15</v>
      </c>
      <c r="C262" t="inlineStr">
        <is>
          <t>Filtro de partículas (DPF): en uso urbano no regenera y se colmata; sustitución &gt;1.000-1.500 €</t>
        </is>
      </c>
      <c r="D262" t="inlineStr">
        <is>
          <t>Testigo DPF, regeneraciones frecuentes, EGR, si se ha anulado el filtro (ilegal en ITV)</t>
        </is>
      </c>
      <c r="E262" t="inlineStr">
        <is>
          <t>probable</t>
        </is>
      </c>
      <c r="F262"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2026-10-31T10:09:38Z</dcterms:created>
  <dcterms:modified xmlns:dcterms="http://purl.org/dc/terms/" xmlns:xsi="http://www.w3.org/2001/XMLSchema-instance" xsi:type="dcterms:W3CDTF">2026-10-31T10:09:38Z</dcterms:modified>
</cp:coreProperties>
</file>
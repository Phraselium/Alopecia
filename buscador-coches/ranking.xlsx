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KMEDAD">Supuestos!$B$9</definedName>
    <definedName name="W_ANUNCIO">Supuestos!$B$10</definedName>
    <definedName name="W_USO">Supuestos!$B$11</definedName>
    <definedName name="W_SEGURIDAD">Supuestos!$B$12</definedName>
    <definedName name="W_ETIQUETA">Supuestos!$B$13</definedName>
    <definedName name="W_SUMA">Supuestos!$B$14</definedName>
    <definedName name="ANIO_ACTUAL">Supuestos!$B$18</definedName>
    <definedName name="ANIO_MIN">Supuestos!$B$19</definedName>
    <definedName name="KM_MAX">Supuestos!$B$20</definedName>
    <definedName name="PRECIO_MAX">Supuestos!$B$21</definedName>
    <definedName name="TOTAL_MAX">Supuestos!$B$22</definedName>
    <definedName name="MARGEN_NEG">Supuestos!$B$23</definedName>
    <definedName name="SEG_ANIO">Supuestos!$B$24</definedName>
    <definedName name="SEG_KM">Supuestos!$B$25</definedName>
    <definedName name="MIN_N">Supuestos!$B$26</definedName>
    <definedName name="PRECIO_PEND">Supuestos!$B$27</definedName>
    <definedName name="KMA_IDEAL_MAX">Supuestos!$B$28</definedName>
    <definedName name="KMA_CERO">Supuestos!$B$29</definedName>
    <definedName name="KMA_SOSP">Supuestos!$B$30</definedName>
    <definedName name="KMA_PEN">Supuestos!$B$31</definedName>
    <definedName name="W_KMT">Supuestos!$B$32</definedName>
    <definedName name="W_KMA">Supuestos!$B$33</definedName>
    <definedName name="W_EDAD">Supuestos!$B$34</definedName>
    <definedName name="P_ITV">Supuestos!$B$35</definedName>
    <definedName name="P_LIBRO">Supuestos!$B$36</definedName>
    <definedName name="P_CORREA">Supuestos!$B$37</definedName>
    <definedName name="P_PROP">Supuestos!$B$38</definedName>
    <definedName name="P_GAR">Supuestos!$B$39</definedName>
    <definedName name="P_FOTOS">Supuestos!$B$40</definedName>
    <definedName name="FOTOS_OBJ">Supuestos!$B$41</definedName>
    <definedName name="W_ET">Supuestos!$B$42</definedName>
    <definedName name="W_CONS">Supuestos!$B$43</definedName>
    <definedName name="W_SEG">Supuestos!$B$44</definedName>
    <definedName name="NEUTRO">Supuestos!$B$45</definedName>
    <definedName name="SG_GAR">Supuestos!$B$46</definedName>
    <definedName name="SG_GAR_FULL">Supuestos!$B$47</definedName>
    <definedName name="SG_AMPL">Supuestos!$B$48</definedName>
    <definedName name="SG_KMC">Supuestos!$B$49</definedName>
    <definedName name="SG_REV">Supuestos!$B$50</definedName>
    <definedName name="SG_DEV">Supuestos!$B$51</definedName>
    <definedName name="SG_DEV_FULL">Supuestos!$B$52</definedName>
    <definedName name="SG_HIST">Supuestos!$B$53</definedName>
    <definedName name="SG_LEGAL_ON">Supuestos!$B$54</definedName>
    <definedName name="GAR_LEGAL">Supuestos!$B$55</definedName>
    <definedName name="ITP_TIPO">Supuestos!$B$59</definedName>
    <definedName name="CUOTA_VALOR_MAX">Supuestos!$B$60</definedName>
    <definedName name="TASA_DGT">Supuestos!$B$61</definedName>
    <definedName name="INFORME_DGT">Supuestos!$B$62</definedName>
    <definedName name="ITP_TRAMO_ALTO">Supuestos!$B$63</definedName>
    <definedName name="ITP_TRAMO_BAJO">Supuestos!$B$64</definedName>
    <definedName name="CF_MAS">Supuestos!$A$70:$A$75</definedName>
    <definedName name="CF_CCMIN">Supuestos!$B$70:$B$75</definedName>
    <definedName name="CF_CCMAX">Supuestos!$C$70:$C$75</definedName>
    <definedName name="CF_CUOTA">Supuestos!$D$70:$D$75</definedName>
    <definedName name="GAS_B_YM">Supuestos!$B$82</definedName>
    <definedName name="GAS_C_YM">Supuestos!$B$83</definedName>
    <definedName name="DIE_B_YM">Supuestos!$B$84</definedName>
    <definedName name="DIE_C_YM">Supuestos!$B$85</definedName>
    <definedName name="FR_FUEL">Supuestos!$A$93:$A$97</definedName>
    <definedName name="FR_YEAR">Supuestos!$B$93:$B$97</definedName>
    <definedName name="ETQ_TBL">Supuestos!$A$119:$B$123</definedName>
    <definedName name="ETQ_PEN_DUD">Supuestos!$B$124</definedName>
    <definedName name="ETQ_PEN_REGLA">Supuestos!$B$125</definedName>
    <definedName name="CARR_PEN_TBL">Supuestos!$A$128:$B$130</definedName>
    <definedName name="SEGURO_TBL">Supuestos!$A$136:$D$137</definedName>
    <definedName name="SEG_REF_MIN">Supuestos!$B$139</definedName>
    <definedName name="SEG_REF_MAX">Supuestos!$B$140</definedName>
    <definedName name="TUV_MEDIAS">Supuestos!$A$144:$B$145</definedName>
    <definedName name="OCU_TBL">Supuestos!$A$149:$B$152</definedName>
    <definedName name="ADAC_TBL">Supuestos!$A$156:$B$242</definedName>
    <definedName name="ADAC_REF">Supuestos!$B$243</definedName>
    <definedName name="MOD_TBL">Supuestos!$A$247:$N$285</definedName>
    <definedName name="MOT_MARCA">Supuestos!$A$289:$A$313</definedName>
    <definedName name="MOT_MOTOR">Supuestos!$B$289:$B$313</definedName>
    <definedName name="MOT_DESDE">Supuestos!$C$289:$C$313</definedName>
    <definedName name="MOT_HASTA">Supuestos!$D$289:$D$313</definedName>
    <definedName name="MOT_AJUSTE">Supuestos!$E$289:$E$313</definedName>
    <definedName name="COMB_COMB">Supuestos!$A$318:$A$318</definedName>
    <definedName name="COMB_AJUSTE">Supuestos!$B$318:$B$318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T1" authorId="0" shapeId="0">
      <text>
        <t>Calculada en Python (src/scoring.py: market_medians) con los anuncios vistos en los listados de las plataformas (tabla 'mercado' de data/listings.sqlite), mismo esquema de segmentos.</t>
      </text>
    </comment>
    <comment ref="BI1" authorId="0" shapeId="0">
      <text>
        <t>Si hay MIN_N o más anuncios de mercado del segmento (todos los vistos en los listados, también &gt; precio máx.), usa la mediana de mercado; si no, fórmula matricial con la mediana de esta hoja (modelo+año+km, subiendo de nivel).</t>
      </text>
    </comment>
    <comment ref="CN1" authorId="0" shapeId="0">
      <text>
        <t>Cuota fija CV por antigüedad y cilindrada si valor &lt; CUOTA_VALOR_MAX; si no, tipo porcentual. Profesional: 0.</t>
      </text>
    </comment>
    <comment ref="CU1" authorId="0" shapeId="0">
      <text>
        <t>Desempate por orden de fila.</t>
      </text>
    </comment>
    <comment ref="BP2" authorId="0" shapeId="0">
      <text>
        <t>Fichero oficial DGT de distintivos (código 16TB, matrícula 8611GSH)</t>
      </text>
    </comment>
    <comment ref="BP3" authorId="0" shapeId="0">
      <text>
        <t>Fichero oficial DGT de distintivos (código 16TC, matrícula 8408GBN)</t>
      </text>
    </comment>
    <comment ref="BP4" authorId="0" shapeId="0">
      <text>
        <t>Fichero oficial DGT de distintivos (código 16TC, matrícula 2715GGP)</t>
      </text>
    </comment>
    <comment ref="BP28" authorId="0" shapeId="0">
      <text>
        <t>Publicada en el anuncio (cochesnet): https://www.coches.net/volkswagen-fox-14-tdi-70cv-3p-diesel-2008-en-valencia-71311230-covo.aspx</t>
      </text>
    </comment>
    <comment ref="BP49" authorId="0" shapeId="0">
      <text>
        <t>Fichero oficial DGT de distintivos (código 16MC, matrícula 0000KMS)</t>
      </text>
    </comment>
    <comment ref="BP59" authorId="0" shapeId="0">
      <text>
        <t>Publicada en el anuncio (cochesnet): https://www.coches.net/toyota-aygo-10-vvti-live-5p-gasolina-2010-en-valencia-71691745-covo.aspx</t>
      </text>
    </comment>
    <comment ref="BP60" authorId="0" shapeId="0">
      <text>
        <t>Publicada en el anuncio (cochesnet): https://www.coches.net/mazda-mazda2-active-14-crtd-5p-diesel-2007-en-valencia-71265682-covo.aspx</t>
      </text>
    </comment>
    <comment ref="BP62" authorId="0" shapeId="0">
      <text>
        <t>Publicada en el anuncio (cochesnet): https://www.coches.net/kia-picanto-10-sohc-concept-5p-gasolina-2010-en-valencia-71817386-covo.aspx</t>
      </text>
    </comment>
    <comment ref="BP63" authorId="0" shapeId="0">
      <text>
        <t>Publicada en el anuncio (cochesnet): https://www.coches.net/kia-picanto-11-sohc-emotion-5p-gasolina-2008-en-valencia-71336745-covo.aspx</t>
      </text>
    </comment>
    <comment ref="BP68" authorId="0" shapeId="0">
      <text>
        <t>Publicada en el anuncio (cochesnet): https://www.coches.net/hyundai-getz-15-crdi-88cv-aa-5p-diesel-2008-en-valencia-71461135-covo.aspx</t>
      </text>
    </comment>
    <comment ref="BP69" authorId="0" shapeId="0">
      <text>
        <t>Publicada en el anuncio (cochesnet): https://www.coches.net/seat-ibiza-14-16v-85cv-rockroll-3p-gasolina-2009-en-valencia-71876716-covo.aspx</t>
      </text>
    </comment>
    <comment ref="BP79" authorId="0" shapeId="0">
      <text>
        <t>Publicada en el anuncio (cochesnet): https://www.coches.net/opel-corsa-cosmo-14-5p-gasolina-2010-en-valencia-71818405-covo.aspx</t>
      </text>
    </comment>
    <comment ref="BP80" authorId="0" shapeId="0">
      <text>
        <t>Publicada en el anuncio (cochesnet): https://www.coches.net/opel-corsa-12-expression-start--stop-5p-gasolina-2012-en-valencia-71729834-covo.aspx</t>
      </text>
    </comment>
    <comment ref="BP81" authorId="0" shapeId="0">
      <text>
        <t>Publicada en el anuncio (cochesnet): https://www.coches.net/opel-corsa-10-essentia-3p-gasolina-2011-en-valencia-71625576-covo.aspx</t>
      </text>
    </comment>
    <comment ref="BP84" authorId="0" shapeId="0">
      <text>
        <t>Publicada en el anuncio (cochesnet): https://www.coches.net/opel-corsa-14-selective-start--stop-3p-gasolina-2014-en-valencia-71442825-covo.aspx</t>
      </text>
    </comment>
    <comment ref="BP86" authorId="0" shapeId="0">
      <text>
        <t>Publicada en el anuncio (cochesnet): https://www.coches.net/opel-corsa-cosmo-13-ecoflex-5p-diesel-2009-en-valencia-71398067-covo.aspx</t>
      </text>
    </comment>
    <comment ref="BP87" authorId="0" shapeId="0">
      <text>
        <t>Publicada en el anuncio (cochesnet): https://www.coches.net/opel-astra-gtc-14-16v-essentia-3p-gasolina-2009-en-valencia-71876224-covo.aspx</t>
      </text>
    </comment>
    <comment ref="BP89" authorId="0" shapeId="0">
      <text>
        <t>Publicada en el anuncio (cochesnet): https://www.coches.net/opel-astra-13-ecoflex-ss-selective-5p-diesel-2013-en-valencia-71339047-covo.aspx</t>
      </text>
    </comment>
    <comment ref="BP98" authorId="0" shapeId="0">
      <text>
        <t>Publicada en el anuncio (cochesnet): https://www.coches.net/renault-clio-business-15dci85-eco2-5p-diesel-2008-en-valencia-71725639-covo.aspx</t>
      </text>
    </comment>
    <comment ref="BP100" authorId="0" shapeId="0">
      <text>
        <t>Publicada en el anuncio (cochesnet): https://www.coches.net/renault-clio-grand-tour-exception-15dci-105cv-eco2-5p-diesel-2008-en-valencia-71601675-covo.aspx</t>
      </text>
    </comment>
    <comment ref="BP101" authorId="0" shapeId="0">
      <text>
        <t>Publicada en el anuncio (cochesnet): https://www.coches.net/renault-clio-20-aniversario-15dci-85cv-3p-eco2-3p-diesel-2011-en-valencia-71554659-covo.aspx</t>
      </text>
    </comment>
    <comment ref="BP102" authorId="0" shapeId="0">
      <text>
        <t>Publicada en el anuncio (cochesnet): https://www.coches.net/renault-megane-emotion-2008-14-16v-5p-gasolina-2008-en-valencia-71399209-covo.aspx</t>
      </text>
    </comment>
    <comment ref="BP103" authorId="0" shapeId="0">
      <text>
        <t>Publicada en el anuncio (cochesnet): https://www.coches.net/renault-megane-dynamique-15dci85-eco2-5p-diesel-2008-en-valencia-71622320-covo.aspx</t>
      </text>
    </comment>
    <comment ref="BP105" authorId="0" shapeId="0">
      <text>
        <t>Publicada en el anuncio (cochesnet): https://www.coches.net/renault-megane-dynamique-16-16v-110-e5-5p-gasolina-2010-en-valencia-71224992-covo.aspx</t>
      </text>
    </comment>
    <comment ref="BP106" authorId="0" shapeId="0">
      <text>
        <t>Publicada en el anuncio (cochesnet): https://www.coches.net/renault-megane-dynamique-15dci-105cv-eco2-3p-diesel-2009-en-valencia-71600409-covo.aspx</t>
      </text>
    </comment>
    <comment ref="BP108" authorId="0" shapeId="0">
      <text>
        <t>Publicada en el anuncio (cochesnet): https://www.coches.net/renault-megane-dynamique-16-16v-110cv-5p-gasolina-2008-en-valencia-71375913-covo.aspx</t>
      </text>
    </comment>
    <comment ref="BP110" authorId="0" shapeId="0">
      <text>
        <t>Publicada en el anuncio (cochesnet): https://www.coches.net/dacia-sandero-ambiance-12-75cv-5p-gasolina-2012-en-valencia-70507667-covo.aspx</t>
      </text>
    </comment>
    <comment ref="BP111" authorId="0" shapeId="0">
      <text>
        <t>Publicada en el anuncio (cochesnet): https://www.coches.net/dacia-sandero-ambiance-12-16v-75cv-5p-gasolina-2010-en-valencia-71831034-covo.aspx</t>
      </text>
    </comment>
    <comment ref="BP112" authorId="0" shapeId="0">
      <text>
        <t>Publicada en el anuncio (cochesnet): https://www.coches.net/dacia-sandero-ambiance-14-5p-gasolina-2008-en-valencia-71662297-covo.aspx</t>
      </text>
    </comment>
    <comment ref="BP115" authorId="0" shapeId="0">
      <text>
        <t>Publicada en el anuncio (cochesnet): https://www.coches.net/dacia-logan-laureate-14-4p-gasolina-2007-en-valencia-71571620-covo.aspx</t>
      </text>
    </comment>
    <comment ref="BP116" authorId="0" shapeId="0">
      <text>
        <t>Publicada en el anuncio (cochesnet): https://www.coches.net/peugeot-207-confort-14-75-5p-gasolina-2009-en-valencia-71833160-covo.aspx</t>
      </text>
    </comment>
    <comment ref="BP118" authorId="0" shapeId="0">
      <text>
        <t>Publicada en el anuncio (cochesnet): https://www.coches.net/peugeot-207-active-14i-75-5p-gasolina-2012-en-valencia-71674977-covo.aspx</t>
      </text>
    </comment>
    <comment ref="BP119" authorId="0" shapeId="0">
      <text>
        <t>Publicada en el anuncio (cochesnet): https://www.coches.net/peugeot-207-sport-14-vti-16v-95-3p-gasolina-2009-en-valencia-71608687-covo.aspx</t>
      </text>
    </comment>
    <comment ref="BP123" authorId="0" shapeId="0">
      <text>
        <t>Publicada en el anuncio (cochesnet): https://www.coches.net/peugeot-207-confort-14-75-5p-gasolina-2008-en-valencia-71372914-covo.aspx</t>
      </text>
    </comment>
    <comment ref="BP124" authorId="0" shapeId="0">
      <text>
        <t>Publicada en el anuncio (cochesnet): https://www.coches.net/peugeot-207-16thp-16v-gt-3p-gasolina-2008-en-valencia-71237986-covo.aspx</t>
      </text>
    </comment>
    <comment ref="BP127" authorId="0" shapeId="0">
      <text>
        <t>Publicada en el anuncio (cochesnet): https://www.coches.net/peugeot-208-5p-active-14-hdi-68-5p-diesel-2014-en-valencia-71521071-covo.aspx</t>
      </text>
    </comment>
    <comment ref="BP131" authorId="0" shapeId="0">
      <text>
        <t>Publicada en el anuncio (cochesnet): https://www.coches.net/peugeot-308-premium-16-vti-120-5p-gasolina-2008-en-valencia-71721031-covo.aspx</t>
      </text>
    </comment>
    <comment ref="BP132" authorId="0" shapeId="0">
      <text>
        <t>Publicada en el anuncio (cochesnet): https://www.coches.net/peugeot-308-sport-16-vti-120-5p-gasolina-2009-en-valencia-71702102-covo.aspx</t>
      </text>
    </comment>
    <comment ref="BP136" authorId="0" shapeId="0">
      <text>
        <t>Publicada en el anuncio (cochesnet): https://www.coches.net/citroen-c4-14-16v-lx-5p-gasolina-2005-en-valencia-71580818-covo.aspx</t>
      </text>
    </comment>
    <comment ref="BP140" authorId="0" shapeId="0">
      <text>
        <t>Publicada en el anuncio (cochesnet): https://www.coches.net/ford-ka-12-trend-3p-gasolina-2010-en-valencia-71569576-covo.aspx</t>
      </text>
    </comment>
    <comment ref="BP141" authorId="0" shapeId="0">
      <text>
        <t>Publicada en el anuncio (cochesnet): https://www.coches.net/ford-fiesta-14-tdci-trend-5p-diesel-2011-en-valencia-70592187-covo.aspx</t>
      </text>
    </comment>
    <comment ref="BP142" authorId="0" shapeId="0">
      <text>
        <t>Publicada en el anuncio (cochesnet): https://www.coches.net/ford-fiesta-14-tdci-trend-5p-diesel-2011-en-valencia-71146219-covo.aspx</t>
      </text>
    </comment>
    <comment ref="BP143" authorId="0" shapeId="0">
      <text>
        <t>Publicada en el anuncio (cochesnet): https://www.coches.net/ford-fiesta-16-sport-3p-gasolina-2008-en-valencia-71622303-covo.aspx</t>
      </text>
    </comment>
    <comment ref="BP145" authorId="0" shapeId="0">
      <text>
        <t>Publicada en el anuncio (cochesnet): https://www.coches.net/ford-fiesta-15-tdci-75cv-trend-5p-5p-diesel-2011-en-valencia-71662762-covo.aspx</t>
      </text>
    </comment>
    <comment ref="BP150" authorId="0" shapeId="0">
      <text>
        <t>Publicada en el anuncio (cochesnet): https://www.coches.net/fiat-punto-12-active-e5-5p-gasolina-2009-en-valencia-71816544-covo.aspx</t>
      </text>
    </comment>
    <comment ref="BP154" authorId="0" shapeId="0">
      <text>
        <t>Publicada en el anuncio (cochesnet): https://www.coches.net/chevrolet-aveo-14-16v-ls-5p-gasolina-2010-en-valencia-71533850-covo.aspx</t>
      </text>
    </comment>
    <comment ref="BP155" authorId="0" shapeId="0">
      <text>
        <t>Publicada en el anuncio (cochesnet): https://www.coches.net/chevrolet-aveo-12-16v-ls-3p-gasolina-2011-en-valencia-71769865-covo.aspx</t>
      </text>
    </comment>
    <comment ref="BP156" authorId="0" shapeId="0">
      <text>
        <t>Publicada en el anuncio (cochesnet): https://www.coches.net/chevrolet-aveo-14-16v-ls-5p-gasolina-2010-en-valencia-71680921-covo.aspx</t>
      </text>
    </comment>
    <comment ref="BP161" authorId="0" shapeId="0">
      <text>
        <t>Fichero oficial DGT de distintivos (código 16TC, matrícula 8775FTG)</t>
      </text>
    </comment>
    <comment ref="BP162" authorId="0" shapeId="0">
      <text>
        <t>Fichero oficial DGT de distintivos (código 16TC, matrícula 9616FMR)</t>
      </text>
    </comment>
    <comment ref="BP163" authorId="0" shapeId="0">
      <text>
        <t>Fichero oficial DGT de distintivos (código 16TC, matrícula 9285FGY)</t>
      </text>
    </comment>
    <comment ref="BP164" authorId="0" shapeId="0">
      <text>
        <t>Fichero oficial DGT de distintivos (código 16TB, matrícula 8191FSH)</t>
      </text>
    </comment>
    <comment ref="BP165" authorId="0" shapeId="0">
      <text>
        <t>Fichero oficial DGT de distintivos (código 16TB, matrícula 8157DVD)</t>
      </text>
    </comment>
    <comment ref="BP166" authorId="0" shapeId="0">
      <text>
        <t>Fichero oficial DGT de distintivos (código 16TC, matrícula 8323DYB)</t>
      </text>
    </comment>
    <comment ref="BP167" authorId="0" shapeId="0">
      <text>
        <t>Fichero oficial DGT de distintivos (código 16TC, matrícula 0220FKN)</t>
      </text>
    </comment>
    <comment ref="BP168" authorId="0" shapeId="0">
      <text>
        <t>Fichero oficial DGT de distintivos (código 16TC, matrícula 9605FDM)</t>
      </text>
    </comment>
    <comment ref="BP172" authorId="0" shapeId="0">
      <text>
        <t>Fichero oficial DGT de distintivos (código 16TB, matrícula 1000KMS)</t>
      </text>
    </comment>
    <comment ref="BP183" authorId="0" shapeId="0">
      <text>
        <t>Fichero oficial DGT de distintivos (código 16TB, matrícula 1000KMS)</t>
      </text>
    </comment>
    <comment ref="BP188" authorId="0" shapeId="0">
      <text>
        <t>Publicada en el anuncio (cochesnet): https://www.coches.net/ford-focus-18-tdci-ghia-4p-diesel-2007-en-valencia-71753984-covo.aspx</t>
      </text>
    </comment>
    <comment ref="BP201" authorId="0" shapeId="0">
      <text>
        <t>Publicada en el anuncio (cochesnet): https://www.coches.net/toyota-yaris-13-vvti-yaris-5p-gasolina-2007-en-valencia-71279379-covo.aspx</t>
      </text>
    </comment>
    <comment ref="BP202" authorId="0" shapeId="0">
      <text>
        <t>Publicada en el anuncio (cochesnet): https://www.coches.net/toyota-corolla-16-vvti-luna-5p-gasolina-2006-en-valencia-71774731-covo.aspx</t>
      </text>
    </comment>
    <comment ref="BP203" authorId="0" shapeId="0">
      <text>
        <t>Publicada en el anuncio (cochesnet): https://www.coches.net/toyota-aygo-10-vvti-aygo-5p-gasolina-2007-en-valencia-71488801-covo.aspx</t>
      </text>
    </comment>
    <comment ref="BP208" authorId="0" shapeId="0">
      <text>
        <t>Publicada en el anuncio (cochesnet): https://www.coches.net/mazda-mazda2-active-14-crtd-5p-diesel-2007-en-valencia-71732041-covo.aspx</t>
      </text>
    </comment>
    <comment ref="BP210" authorId="0" shapeId="0">
      <text>
        <t>Publicada en el anuncio (cochesnet): https://www.coches.net/kia-picanto-11-sohc-lx-5p-gasolina-2007-en-valencia-71778568-covo.aspx</t>
      </text>
    </comment>
    <comment ref="BP211" authorId="0" shapeId="0">
      <text>
        <t>Publicada en el anuncio (cochesnet): https://www.coches.net/kia-picanto-11-sohc-ex-5p-gasolina-2006-en-valencia-71687938-covo.aspx</t>
      </text>
    </comment>
    <comment ref="BP212" authorId="0" shapeId="0">
      <text>
        <t>Publicada en el anuncio (cochesnet): https://www.coches.net/kia-ceed-16-crdi-115cv-emotion-5p-diesel-2009-en-valencia-71704887-covo.aspx</t>
      </text>
    </comment>
    <comment ref="BP213" authorId="0" shapeId="0">
      <text>
        <t>Publicada en el anuncio (cochesnet): https://www.coches.net/hyundai-matrix-15-16v-crdi-110cv-gls-full-5p-diesel-2005-en-valencia-71871606-covo.aspx</t>
      </text>
    </comment>
    <comment ref="BP214" authorId="0" shapeId="0">
      <text>
        <t>Publicada en el anuncio (cochesnet): https://www.coches.net/hyundai-matrix-15-16v-crdi-110cv-gls-full-5p-diesel-2005-en-valencia-71817936-covo.aspx</t>
      </text>
    </comment>
    <comment ref="BP215" authorId="0" shapeId="0">
      <text>
        <t>Publicada en el anuncio (cochesnet): https://www.coches.net/hyundai-getz-15-crdi-88cv-5p-diesel-2005-en-valencia-71863815-covo.aspx</t>
      </text>
    </comment>
    <comment ref="BP218" authorId="0" shapeId="0">
      <text>
        <t>Publicada en el anuncio (cochesnet): https://www.coches.net/skoda-citigo-10-mpi-60cv-ambition-3p-gasolina-2015-en-valencia-71648429-covo.aspx</t>
      </text>
    </comment>
    <comment ref="BP219" authorId="0" shapeId="0">
      <text>
        <t>Publicada en el anuncio (cochesnet): https://www.coches.net/skoda-fabia-sedan-14-tdi-80cv-comfort-4p-diesel-2006-en-valencia-71619015-covo.aspx</t>
      </text>
    </comment>
    <comment ref="BP222" authorId="0" shapeId="0">
      <text>
        <t>Publicada en el anuncio (cochesnet): https://www.coches.net/skoda-citigo-10-mpi-60cv-active-5p-gasolina-2013-en-valencia-71322051-covo.aspx</t>
      </text>
    </comment>
    <comment ref="BP223" authorId="0" shapeId="0">
      <text>
        <t>Publicada en el anuncio (cochesnet): https://www.coches.net/seat-ibiza-19-tdi-100cv-sport-5p-diesel-2008-en-valencia-71867781-covo.aspx</t>
      </text>
    </comment>
    <comment ref="BP229" authorId="0" shapeId="0">
      <text>
        <t>Publicada en el anuncio (cochesnet): https://www.coches.net/volkswagen-polo-12-edition-70cv-5p-gasolina-2008-en-valencia-71866787-covo.aspx</t>
      </text>
    </comment>
    <comment ref="BP234" authorId="0" shapeId="0">
      <text>
        <t>Publicada en el anuncio (cochesnet): https://www.coches.net/volkswagen-polo-14-tdi-edition-70cv-5p-diesel-2007-en-valencia-71302718-covo.aspx</t>
      </text>
    </comment>
    <comment ref="BP235" authorId="0" shapeId="0">
      <text>
        <t>Publicada en el anuncio (cochesnet): https://www.coches.net/opel-corsa-enjoy-12-5p-gasolina-2008-en-valencia-71806576-covo.aspx</t>
      </text>
    </comment>
    <comment ref="BP236" authorId="0" shapeId="0">
      <text>
        <t>Publicada en el anuncio (cochesnet): https://www.coches.net/opel-corsa-enjoy-12-3p-gasolina-2007-en-valencia-71790451-covo.aspx</t>
      </text>
    </comment>
    <comment ref="BP237" authorId="0" shapeId="0">
      <text>
        <t>Publicada en el anuncio (cochesnet): https://www.coches.net/opel-corsa-13-ecoflex-cosmo-5p-diesel-2010-en-valencia-71818280-covo.aspx</t>
      </text>
    </comment>
    <comment ref="BP239" authorId="0" shapeId="0">
      <text>
        <t>Publicada en el anuncio (cochesnet): https://www.coches.net/opel-corsa-13-cdti-color-edition-3p-diesel-2012-en-valencia-71248981-covo.aspx</t>
      </text>
    </comment>
    <comment ref="BP244" authorId="0" shapeId="0">
      <text>
        <t>Publicada en el anuncio (cochesnet): https://www.coches.net/opel-corsa-enjoy-12-mta-3p-gasolina-2006-en-valencia-71439003-covo.aspx</t>
      </text>
    </comment>
    <comment ref="BP245" authorId="0" shapeId="0">
      <text>
        <t>Publicada en el anuncio (cochesnet): https://www.coches.net/opel-corsa-12-essentia-5p-gasolina-2011-en-valencia-71385917-covo.aspx</t>
      </text>
    </comment>
    <comment ref="BP247" authorId="0" shapeId="0">
      <text>
        <t>Fichero oficial DGT de distintivos (código 16TB, matrícula 1000KMS)</t>
      </text>
    </comment>
    <comment ref="BP261" authorId="0" shapeId="0">
      <text>
        <t>Fichero oficial DGT de distintivos (código 16TB, matrícula 1000KMS)</t>
      </text>
    </comment>
    <comment ref="BP265" authorId="0" shapeId="0">
      <text>
        <t>Publicada en el anuncio (cochesnet): https://www.coches.net/opel-astra-17-cdti-enjoy-5p-diesel-2007-en-valencia-71795199-covo.aspx</t>
      </text>
    </comment>
    <comment ref="BP267" authorId="0" shapeId="0">
      <text>
        <t>Fichero oficial DGT de distintivos (código 16TB, matrícula 1000KMS)</t>
      </text>
    </comment>
    <comment ref="BP272" authorId="0" shapeId="0">
      <text>
        <t>Fichero oficial DGT de distintivos (código 16TB, matrícula 1000KMS)</t>
      </text>
    </comment>
    <comment ref="BP277" authorId="0" shapeId="0">
      <text>
        <t>Fichero oficial DGT de distintivos (código 16TB, matrícula 1000KMS)</t>
      </text>
    </comment>
    <comment ref="BP308" authorId="0" shapeId="0">
      <text>
        <t>Fichero oficial DGT de distintivos (código 16TB, matrícula 1000KMS)</t>
      </text>
    </comment>
    <comment ref="BP317" authorId="0" shapeId="0">
      <text>
        <t>Publicada en el anuncio (cochesnet): https://www.coches.net/seat-toledo-20-tdi-stylance-5p-diesel-2006-en-valencia-71876607-covo.aspx</t>
      </text>
    </comment>
    <comment ref="BP318" authorId="0" shapeId="0">
      <text>
        <t>Publicada en el anuncio (cochesnet): https://www.coches.net/opel-astra-13-cdti-111-years-gtc-3p-diesel-2011-en-valencia-71799024-covo.aspx</t>
      </text>
    </comment>
    <comment ref="BP319" authorId="0" shapeId="0">
      <text>
        <t>Publicada en el anuncio (cochesnet): https://www.coches.net/opel-astra-19-cdti-enjoy-120-cv-5p-diesel-2007-en-valencia-71599225-covo.aspx</t>
      </text>
    </comment>
    <comment ref="BP321" authorId="0" shapeId="0">
      <text>
        <t>Publicada en el anuncio (cochesnet): https://www.coches.net/opel-astra-14-enjoy-5p-gasolina-2006-en-valencia-71722524-covo.aspx</t>
      </text>
    </comment>
    <comment ref="BP327" authorId="0" shapeId="0">
      <text>
        <t>Publicada en el anuncio (cochesnet): https://www.coches.net/opel-astra-17-cdti-enjoy-sw-5p-diesel-2007-en-valencia-71241892-covo.aspx</t>
      </text>
    </comment>
    <comment ref="BP333" authorId="0" shapeId="0">
      <text>
        <t>Publicada en el anuncio (cochesnet): https://www.coches.net/opel-astra-gtc-16-16v-enjoy-3p-gasolina-2006-en-valencia-55367607-covo.aspx</t>
      </text>
    </comment>
    <comment ref="BP334" authorId="0" shapeId="0">
      <text>
        <t>Publicada en el anuncio (cochesnet): https://www.coches.net/opel-meriva-14-net-excellence-5p-gasolina-2015-en-valencia-71780709-covo.aspx</t>
      </text>
    </comment>
    <comment ref="BP335" authorId="0" shapeId="0">
      <text>
        <t>Publicada en el anuncio (cochesnet): https://www.coches.net/renault-megane-coupecabrio-dynamique-16-16v-2p-gasolina-2007-en-valencia-71508169-covo.aspx</t>
      </text>
    </comment>
    <comment ref="BP336" authorId="0" shapeId="0">
      <text>
        <t>Publicada en el anuncio (cochesnet): https://www.coches.net/renault-megane-coupecabrio-dynamique-16-16v-2p-gasolina-2007-en-valencia-71662456-covo.aspx</t>
      </text>
    </comment>
    <comment ref="BP337" authorId="0" shapeId="0">
      <text>
        <t>Publicada en el anuncio (cochesnet): https://www.coches.net/renault-clio-rip-curl-15dci70-eco2-5p-diesel-2007-en-valencia-71827626-covo.aspx</t>
      </text>
    </comment>
    <comment ref="BP338" authorId="0" shapeId="0">
      <text>
        <t>Publicada en el anuncio (cochesnet): https://www.coches.net/renault-clio-expression-12-16v-5p-gasolina-2007-en-valencia-71693535-covo.aspx</t>
      </text>
    </comment>
    <comment ref="BP339" authorId="0" shapeId="0">
      <text>
        <t>Publicada en el anuncio (cochesnet): https://www.coches.net/renault-clio-luxe-privilege-15-dci105-5p-diesel-2006-en-valencia-71728280-covo.aspx</t>
      </text>
    </comment>
    <comment ref="BP344" authorId="0" shapeId="0">
      <text>
        <t>Publicada en el anuncio (cochesnet): https://www.coches.net/renault-megane-emotion-16-16v-5p-gasolina-2006-en-valencia-71867959-covo.aspx</t>
      </text>
    </comment>
    <comment ref="BP345" authorId="0" shapeId="0">
      <text>
        <t>Publicada en el anuncio (cochesnet): https://www.coches.net/renault-megane-business-dci-110-5p-diesel-2012-en-valencia-71684364-covo.aspx</t>
      </text>
    </comment>
    <comment ref="BP347" authorId="0" shapeId="0">
      <text>
        <t>Publicada en el anuncio (cochesnet): https://www.coches.net/renault-megane-dynamique-energy-dci-110-ss-eco2-3p-diesel-2012-en-valencia-71537820-covo.aspx</t>
      </text>
    </comment>
    <comment ref="BP351" authorId="0" shapeId="0">
      <text>
        <t>Publicada en el anuncio (cochesnet): https://www.coches.net/renault-megane-sport-tourer-dynamique-15dci-105cv-eco2-5p-diesel-2009-en-valencia-71783816-covo.aspx</t>
      </text>
    </comment>
    <comment ref="BP353" authorId="0" shapeId="0">
      <text>
        <t>Publicada en el anuncio (cochesnet): https://www.coches.net/renault-megane-business-dci-110-eco2-5p-diesel-2012-en-valencia-71755437-covo.aspx</t>
      </text>
    </comment>
    <comment ref="BP357" authorId="0" shapeId="0">
      <text>
        <t>Publicada en el anuncio (cochesnet): https://www.coches.net/renault-modus-confort-dynamique-14-16v-5p-gasolina-2006-en-valencia-70833355-covo.aspx</t>
      </text>
    </comment>
    <comment ref="BP360" authorId="0" shapeId="0">
      <text>
        <t>Publicada en el anuncio (cochesnet): https://www.coches.net/dacia-sandero-laureate-12-16v-75cv-5p-gasolina-2009-en-valencia-71749298-covo.aspx</t>
      </text>
    </comment>
    <comment ref="BP361" authorId="0" shapeId="0">
      <text>
        <t>Publicada en el anuncio (cochesnet): https://www.coches.net/dacia-sandero-base-12-75cv-acc-12d-5ra-5p-gasolina-2014-en-valencia-71618631-covo.aspx</t>
      </text>
    </comment>
    <comment ref="BP365" authorId="0" shapeId="0">
      <text>
        <t>Publicada en el anuncio (cochesnet): https://www.coches.net/peugeot-207-confort-14-vti-16v-95-5p-gasolina-2008-en-valencia-71858806-covo.aspx</t>
      </text>
    </comment>
    <comment ref="BP367" authorId="0" shapeId="0">
      <text>
        <t>Publicada en el anuncio (cochesnet): https://www.coches.net/peugeot-207-14-16v-xt-5p-gasolina-2006-en-valencia-71828437-covo.aspx</t>
      </text>
    </comment>
    <comment ref="BP369" authorId="0" shapeId="0">
      <text>
        <t>Publicada en el anuncio (cochesnet): https://www.coches.net/peugeot-207-confort-14-vti-16v-95-5p-gasolina-2008-en-valencia-71618681-covo.aspx</t>
      </text>
    </comment>
    <comment ref="BP371" authorId="0" shapeId="0">
      <text>
        <t>Publicada en el anuncio (cochesnet): https://www.coches.net/peugeot-207-14-75-urban-3p-gasolina-2007-en-valencia-71786783-covo.aspx</t>
      </text>
    </comment>
    <comment ref="BP380" authorId="0" shapeId="0">
      <text>
        <t>Publicada en el anuncio (cochesnet): https://www.coches.net/citroen-c3-picasso-hdi-110cv-fap-airdream-exclusive-5p-diesel-2009-en-valencia-71733143-covo.aspx</t>
      </text>
    </comment>
    <comment ref="BP382" authorId="0" shapeId="0">
      <text>
        <t>Publicada en el anuncio (cochesnet): https://www.coches.net/citroen-c3-11i-furio-5p-gasolina-2005-en-valencia-71492958-covo.aspx</t>
      </text>
    </comment>
    <comment ref="BP387" authorId="0" shapeId="0">
      <text>
        <t>Publicada en el anuncio (cochesnet): https://www.coches.net/citroen-c3-bluehdi-75-live-5p-diesel-2016-en-valencia-71494516-covo.aspx</t>
      </text>
    </comment>
    <comment ref="BP389" authorId="0" shapeId="0">
      <text>
        <t>Publicada en el anuncio (cochesnet): https://www.coches.net/citroen-c3-11i-sx-5p-gasolina-2006-en-valencia-71438007-covo.aspx</t>
      </text>
    </comment>
    <comment ref="BP395" authorId="0" shapeId="0">
      <text>
        <t>Publicada en el anuncio (cochesnet): https://www.coches.net/citroen-c3-hdi-70-attraction-5p-diesel-2011-en-valencia-71041894-covo.aspx</t>
      </text>
    </comment>
    <comment ref="BP396" authorId="0" shapeId="0">
      <text>
        <t>Publicada en el anuncio (cochesnet): https://www.coches.net/citroen-c3-ehdi-115-exclusive-5p-diesel-2013-en-valencia-71039872-covo.aspx</t>
      </text>
    </comment>
    <comment ref="BP398" authorId="0" shapeId="0">
      <text>
        <t>Publicada en el anuncio (cochesnet): https://www.coches.net/citroen-c4-14-16v-lx-5p-gasolina-2004-en-valencia-71679274-covo.aspx</t>
      </text>
    </comment>
    <comment ref="BP405" authorId="0" shapeId="0">
      <text>
        <t>Publicada en el anuncio (cochesnet): https://www.coches.net/citroen-c4-14-16v-lx-5p-gasolina-2006-en-valencia-71324072-covo.aspx</t>
      </text>
    </comment>
    <comment ref="BP406" authorId="0" shapeId="0">
      <text>
        <t>Publicada en el anuncio (cochesnet): https://www.coches.net/citroen-c-elysee-hdi-90cv-millenium-4p-diesel-2014-en-valencia-71818180-covo.aspx</t>
      </text>
    </comment>
    <comment ref="BP407" authorId="0" shapeId="0">
      <text>
        <t>Publicada en el anuncio (cochesnet): https://www.coches.net/ford-fiesta-14-tdci-trend-5p-diesel-2010-en-valencia-71618923-covo.aspx</t>
      </text>
    </comment>
    <comment ref="BP408" authorId="0" shapeId="0">
      <text>
        <t>Publicada en el anuncio (cochesnet): https://www.coches.net/ford-focus-18-tdci-trend-5p-diesel-2007-en-valencia-71863788-covo.aspx</t>
      </text>
    </comment>
    <comment ref="BP410" authorId="0" shapeId="0">
      <text>
        <t>Publicada en el anuncio (cochesnet): https://www.coches.net/ford-ka-16i-sportka-3p-gasolina-2005-en-valencia-71253044-covo.aspx</t>
      </text>
    </comment>
    <comment ref="BP412" authorId="0" shapeId="0">
      <text>
        <t>Publicada en el anuncio (cochesnet): https://www.coches.net/ford-fiesta-13-newport-5p-gasolina-2006-en-valencia-71841456-covo.aspx</t>
      </text>
    </comment>
    <comment ref="BP413" authorId="0" shapeId="0">
      <text>
        <t>Publicada en el anuncio (cochesnet): https://www.coches.net/ford-fiesta-14-tdci-trend-5p-diesel-2012-en-valencia-71654849-covo.aspx</t>
      </text>
    </comment>
    <comment ref="BP414" authorId="0" shapeId="0">
      <text>
        <t>Publicada en el anuncio (cochesnet): https://www.coches.net/ford-fiesta-14-tdci-trend-5p-diesel-2011-en-valencia-71021675-covo.aspx</t>
      </text>
    </comment>
    <comment ref="BP415" authorId="0" shapeId="0">
      <text>
        <t>Publicada en el anuncio (cochesnet): https://www.coches.net/ford-fiesta-14-tdci-ghia-5p-diesel-2009-en-valencia-71579775-covo.aspx</t>
      </text>
    </comment>
    <comment ref="BP421" authorId="0" shapeId="0">
      <text>
        <t>Publicada en el anuncio (cochesnet): https://www.coches.net/ford-fiesta-20-st-3p-gasolina-2007-en-valencia-71356641-covo.aspx</t>
      </text>
    </comment>
    <comment ref="BP422" authorId="0" shapeId="0">
      <text>
        <t>Publicada en el anuncio (cochesnet): https://www.coches.net/ford-focus-18-tdci-sport-3p-diesel-2006-en-valencia-71868483-covo.aspx</t>
      </text>
    </comment>
    <comment ref="BP424" authorId="0" shapeId="0">
      <text>
        <t>Fichero oficial DGT de distintivos (código 16TC, matrícula 6044FWM)</t>
      </text>
    </comment>
    <comment ref="BP426" authorId="0" shapeId="0">
      <text>
        <t>Publicada en el anuncio (cochesnet): https://www.coches.net/ford-focus-18-tdci-ghia-5p-diesel-2007-en-valencia-71021526-covo.aspx</t>
      </text>
    </comment>
    <comment ref="BP431" authorId="0" shapeId="0">
      <text>
        <t>Publicada en el anuncio (cochesnet): https://www.coches.net/ford-fusion-14-tdci-ambiente-5p-diesel-2009-en-valencia-71793171-covo.aspx</t>
      </text>
    </comment>
    <comment ref="BP432" authorId="0" shapeId="0">
      <text>
        <t>Publicada en el anuncio (cochesnet): https://www.coches.net/fiat-linea-14-16v-tjet-120cv-dynamic-4p-gasolina-2007-en-valencia-70514152-covo.aspx</t>
      </text>
    </comment>
    <comment ref="BP433" authorId="0" shapeId="0">
      <text>
        <t>Publicada en el anuncio (cochesnet): https://www.coches.net/fiat-500-12-8v-69-cv-lounge-3p-gasolina-2014-en-valencia-62365434-covo.aspx</t>
      </text>
    </comment>
    <comment ref="BP437" authorId="0" shapeId="0">
      <text>
        <t>Publicada en el anuncio (cochesnet): https://www.coches.net/fiat-punto-12-feel-5p-gasolina-2005-en-valencia-71702947-covo.aspx</t>
      </text>
    </comment>
    <comment ref="BP441" authorId="0" shapeId="0">
      <text>
        <t>Publicada en el anuncio (cochesnet): https://www.coches.net/suzuki-alto-10-gl-5p-gasolina-2009-en-valencia-71530109-covo.aspx</t>
      </text>
    </comment>
    <comment ref="BP443" authorId="0" shapeId="0">
      <text>
        <t>Publicada en el anuncio (cochesnet): https://www.coches.net/suzuki-swift-13-gl-5p-5p-gasolina-2006-en-valencia-71604098-covo.aspx</t>
      </text>
    </comment>
    <comment ref="BP448" authorId="0" shapeId="0">
      <text>
        <t>Publicada en el anuncio (cochesnet): https://www.coches.net/mini-mini-one-seven-3p-gasolina-2006-en-valencia-71745074-covo.aspx</t>
      </text>
    </comment>
    <comment ref="BP452" authorId="0" shapeId="0">
      <text>
        <t>Publicada en el anuncio (cochesnet): https://www.coches.net/mini-mini-one-3p-gasolina-2009-en-valencia-71332504-covo.aspx</t>
      </text>
    </comment>
    <comment ref="BP454" authorId="0" shapeId="0">
      <text>
        <t>Publicada en el anuncio (cochesnet): https://www.coches.net/chevrolet-aveo-12-16v-ls-5p-gasolina-2010-en-valencia-71527060-covo.aspx</t>
      </text>
    </comment>
    <comment ref="BP455" authorId="0" shapeId="0">
      <text>
        <t>Publicada en el anuncio (cochesnet): https://www.coches.net/chevrolet-epica-20-vcdi-16v-lt-4p-diesel-2008-en-valencia-71536876-covo.aspx</t>
      </text>
    </comment>
    <comment ref="BP465" authorId="0" shapeId="0">
      <text>
        <t>Publicada en el anuncio (cochesnet): https://www.coches.net/toyota-corolla-14-d4d-90cv-luna-5p-diesel-2006-en-castellon-71285724-covo.aspx</t>
      </text>
    </comment>
    <comment ref="BP470" authorId="0" shapeId="0">
      <text>
        <t>Publicada en el anuncio (cochesnet): https://www.coches.net/hyundai-i30-16-cvvt-style-5p-gasolina-2008-en-castellon-70497853-covo.aspx</t>
      </text>
    </comment>
    <comment ref="BP472" authorId="0" shapeId="0">
      <text>
        <t>Publicada en el anuncio (cochesnet): https://www.coches.net/skoda-fabia-12-12v-60cv-young-5p-gasolina-2011-en-castellon-71112200-covo.aspx</t>
      </text>
    </comment>
    <comment ref="BP473" authorId="0" shapeId="0">
      <text>
        <t>Publicada en el anuncio (cochesnet): https://www.coches.net/seat-ibiza-19-tdi-100cv-hit-5p-diesel-2007-en-castellon-62641273-covo.aspx</t>
      </text>
    </comment>
    <comment ref="BP474" authorId="0" shapeId="0">
      <text>
        <t>Publicada en el anuncio (cochesnet): https://www.coches.net/seat-ibiza-14-tdi-80cv-reference-5p-diesel-2007-en-castellon-71827782-covo.aspx</t>
      </text>
    </comment>
    <comment ref="BP484" authorId="0" shapeId="0">
      <text>
        <t>Publicada en el anuncio (cochesnet): https://www.coches.net/volkswagen-golf-variant-19-tdi-105cv-advance-5p-diesel-2007-en-castellon-71720362-covo.aspx</t>
      </text>
    </comment>
    <comment ref="BP489" authorId="0" shapeId="0">
      <text>
        <t>Publicada en el anuncio (cochesnet): https://www.coches.net/opel-astra-gtc-17-cdti-sport-3p-diesel-2007-en-castellon-71626737-covo.aspx</t>
      </text>
    </comment>
    <comment ref="BP490" authorId="0" shapeId="0">
      <text>
        <t>Publicada en el anuncio (cochesnet): https://www.coches.net/opel-corsa-enjoy-12-5p-gasolina-2008-en-castellon-71526255-covo.aspx</t>
      </text>
    </comment>
    <comment ref="BP492" authorId="0" shapeId="0">
      <text>
        <t>Publicada en el anuncio (cochesnet): https://www.coches.net/opel-astra-gtc-17-cdti-sport-6velocidades-3p-diesel-2006-en-castellon-71364410-covo.aspx</t>
      </text>
    </comment>
    <comment ref="BP494" authorId="0" shapeId="0">
      <text>
        <t>Publicada en el anuncio (cochesnet): https://www.coches.net/opel-astra-17-cdti-cosmo-5p-diesel-2010-en-castellon-71309711-covo.aspx</t>
      </text>
    </comment>
    <comment ref="BP500" authorId="0" shapeId="0">
      <text>
        <t>Publicada en el anuncio (cochesnet): https://www.coches.net/renault-megane-sport-tourer-business-dci-110-5p-diesel-2012-en-castellon-71609841-covo.aspx</t>
      </text>
    </comment>
    <comment ref="BP501" authorId="0" shapeId="0">
      <text>
        <t>Publicada en el anuncio (cochesnet): https://www.coches.net/renault-twingo-authentique-12-eco2-3p-gasolina-2008-en-castellon-70895846-covo.aspx</t>
      </text>
    </comment>
    <comment ref="BP503" authorId="0" shapeId="0">
      <text>
        <t>Publicada en el anuncio (cochesnet): https://www.coches.net/renault-megane-business-energy-dci-110-ss-eco2-5p-diesel-2013-en-castellon-71493075-covo.aspx</t>
      </text>
    </comment>
    <comment ref="BP511" authorId="0" shapeId="0">
      <text>
        <t>Publicada en el anuncio (cochesnet): https://www.coches.net/dacia-sandero-laureate-12-16v-75cv-5p-gasolina-2009-en-castellon-71299528-covo.aspx</t>
      </text>
    </comment>
    <comment ref="BP512" authorId="0" shapeId="0">
      <text>
        <t>Publicada en el anuncio (cochesnet): https://www.coches.net/peugeot-207-confort-14-vti-16v-95-5p-gasolina-2009-en-castellon-71576158-covo.aspx</t>
      </text>
    </comment>
    <comment ref="BP518" authorId="0" shapeId="0">
      <text>
        <t>Publicada en el anuncio (cochesnet): https://www.coches.net/citroen-c1-10-sx-3p-gasolina-2005-en-castellon-71743794-covo.aspx</t>
      </text>
    </comment>
    <comment ref="BP519" authorId="0" shapeId="0">
      <text>
        <t>Publicada en el anuncio (cochesnet): https://www.coches.net/citroen-c3-11i-sx-5p-gasolina-2007-en-castellon-71829623-covo.aspx</t>
      </text>
    </comment>
    <comment ref="BP521" authorId="0" shapeId="0">
      <text>
        <t>Publicada en el anuncio (cochesnet): https://www.coches.net/citroen-c4-14-16v-collection-5p-gasolina-2004-en-castellon-71573999-covo.aspx</t>
      </text>
    </comment>
    <comment ref="BP524" authorId="0" shapeId="0">
      <text>
        <t>Publicada en el anuncio (cochesnet): https://www.coches.net/citroen-c4-14-16v-sx-5p-gasolina-2006-en-castellon-71302665-covo.aspx</t>
      </text>
    </comment>
    <comment ref="BP526" authorId="0" shapeId="0">
      <text>
        <t>Publicada en el anuncio (cochesnet): https://www.coches.net/citroen-c4-16-16v-collection-3p-gasolina-2007-en-castellon-70992587-covo.aspx</t>
      </text>
    </comment>
    <comment ref="BP527" authorId="0" shapeId="0">
      <text>
        <t>Publicada en el anuncio (cochesnet): https://www.coches.net/ford-focus-16-trend-5p-gasolina-2009-en-castellon-71827603-covo.aspx</t>
      </text>
    </comment>
    <comment ref="BP528" authorId="0" shapeId="0">
      <text>
        <t>Publicada en el anuncio (cochesnet): https://www.coches.net/ford-fiesta-125-60cv-ambiente-5p-gasolina-2009-en-castellon-71566517-covo.aspx</t>
      </text>
    </comment>
    <comment ref="BP531" authorId="0" shapeId="0">
      <text>
        <t>Publicada en el anuncio (cochesnet): https://www.coches.net/fiat-500-09-turbo-twinair-85cv-blackjack-3p-gasolina-2007-en-castellon-70833137-covo.aspx</t>
      </text>
    </comment>
    <comment ref="BP538" authorId="0" shapeId="0">
      <text>
        <t>Publicada en el anuncio (cochesnet): https://www.coches.net/mini-mini-one-d-3p-diesel-2006-en-castellon-71354523-covo.aspx</t>
      </text>
    </comment>
    <comment ref="BP539" authorId="0" shapeId="0">
      <text>
        <t>Publicada en el anuncio (cochesnet): https://www.coches.net/smart-forfour-15-cdi-68cv-pure-5p-diesel-2006-en-castellon-70558216-covo.aspx</t>
      </text>
    </comment>
    <comment ref="BP540" authorId="0" shapeId="0">
      <text>
        <t>Publicada en el anuncio (cochesnet): https://www.coches.net/chevrolet-aveo-12-16v-ls-5p-gasolina-2011-en-castellon-71789822-covo.aspx</t>
      </text>
    </comment>
    <comment ref="BP541" authorId="0" shapeId="0">
      <text>
        <t>Publicada en el anuncio (cochesnet): https://www.coches.net/chevrolet-matiz-10-s-5p-gasolina-2006-en-castellon-71686041-covo.aspx</t>
      </text>
    </comment>
    <comment ref="BP544" authorId="0" shapeId="0">
      <text>
        <t>Publicada en el anuncio (cochesnet): https://www.coches.net/chevrolet-epica-20-vcdi-16v-lt-4p-diesel-2009-en-castellon-71502762-covo.aspx</t>
      </text>
    </comment>
    <comment ref="BP545" authorId="0" shapeId="0">
      <text>
        <t>Publicada en el anuncio (cochesnet): https://www.coches.net/chevrolet-kalos-12-se-3p-gasolina-2006-en-castellon-71319739-covo.aspx</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opel-astra-17-cdti-edition-con-174458km-2009-b9f8hqaq" TargetMode="External" Id="rId1"/><Relationship Type="http://schemas.openxmlformats.org/officeDocument/2006/relationships/hyperlink" Target="https://www.ocasionplus.com/coches-segunda-mano/peugeot-207-14-confort-con-116183km-2008-b9auzqaa" TargetMode="External" Id="rId2"/><Relationship Type="http://schemas.openxmlformats.org/officeDocument/2006/relationships/hyperlink" Target="https://www.ocasionplus.com/coches-segunda-mano/ford-ka-13-collection-con-115071km-2008-saqsyqa5" TargetMode="External" Id="rId3"/><Relationship Type="http://schemas.openxmlformats.org/officeDocument/2006/relationships/hyperlink" Target="https://www.autoscout24.es/anuncios/skoda-fabia-1-4tdi-style-80-diesel-cat_ma65mo15878-78433a06-4502-4d6e-8fd3-0fdd67d99ab8" TargetMode="External" Id="rId4"/><Relationship Type="http://schemas.openxmlformats.org/officeDocument/2006/relationships/hyperlink" Target="https://www.autoscout24.es/anuncios/seat-ibiza-1-4-sport-gasolina-cat_ma64mo2006-e82e2b46-304d-45e7-b319-e5896690fc01" TargetMode="External" Id="rId5"/><Relationship Type="http://schemas.openxmlformats.org/officeDocument/2006/relationships/hyperlink" Target="https://www.autoscout24.es/anuncios/seat-leon-leon-1-9tdi-reference-ecomotive-dpf-diesel-cat_ma64mo15869-2d71c35d-97f3-41e3-9fb7-f1bc373d9421" TargetMode="External" Id="rId6"/><Relationship Type="http://schemas.openxmlformats.org/officeDocument/2006/relationships/hyperlink" Target="https://www.autoscout24.es/anuncios/volkswagen-polo-1-2-advance-bmt-gasolina-gris-cat_ma74mo2090-827f958f-8688-4b6d-8737-916b285573e8" TargetMode="External" Id="rId7"/><Relationship Type="http://schemas.openxmlformats.org/officeDocument/2006/relationships/hyperlink" Target="https://www.autoscout24.es/anuncios/opel-corsa-1-2-essentia-gasolina-cat_ma54mo1918-eedca07e-c241-4b5e-92f9-ca201479b1f6" TargetMode="External" Id="rId8"/><Relationship Type="http://schemas.openxmlformats.org/officeDocument/2006/relationships/hyperlink" Target="https://www.autoscout24.es/anuncios/opel-corsa-1-4-c-mon-139co2-gasolina-gris-cat_ma54mo1918-530a78a6-41a7-4caa-9407-81ae2c44ad35" TargetMode="External" Id="rId9"/><Relationship Type="http://schemas.openxmlformats.org/officeDocument/2006/relationships/hyperlink" Target="https://www.autoscout24.es/anuncios/opel-corsa-5p-1-3-cdti-edition-elective-95cv-fap-diesel-cat_ma54mo1918-a7d76d98-e33b-4af3-9d7c-e4cd6a65aa00" TargetMode="External" Id="rId10"/><Relationship Type="http://schemas.openxmlformats.org/officeDocument/2006/relationships/hyperlink" Target="https://www.autoscout24.es/anuncios/opel-corsa-gasolina-cat_ma54mo1918-98e81ab3-945a-4a40-a02e-686a76c720ea" TargetMode="External" Id="rId11"/><Relationship Type="http://schemas.openxmlformats.org/officeDocument/2006/relationships/hyperlink" Target="https://www.autoscout24.es/anuncios/opel-astra-1-7cdti-enjoy-diesel-azul-cat_ma54mo1916-eff1fd1c-995f-4e05-b13f-0025ae2ba8f5" TargetMode="External" Id="rId12"/><Relationship Type="http://schemas.openxmlformats.org/officeDocument/2006/relationships/hyperlink" Target="https://www.autoscout24.es/anuncios/opel-meriva-meriva-1-7cdti-enjoy-110-enjoy-diesel-beige-cat_ma54mo18341-1bbab641-53ca-4d9b-80c6-f99884b3bd80" TargetMode="External" Id="rId13"/><Relationship Type="http://schemas.openxmlformats.org/officeDocument/2006/relationships/hyperlink" Target="https://www.autoscout24.es/anuncios/opel-corsa-1-3cdti-c-mon-ecoflex-diesel-cat_ma54mo1918-9a094bfd-f634-4d5d-9612-b134882a2a0b" TargetMode="External" Id="rId14"/><Relationship Type="http://schemas.openxmlformats.org/officeDocument/2006/relationships/hyperlink" Target="https://www.autoscout24.es/anuncios/peugeot-207-207-1-4i-confort-75-confort-gasolina-negro-cat_ma55mo18797-a9f25c00-f19e-4e5c-80ed-f8556168c772" TargetMode="External" Id="rId15"/><Relationship Type="http://schemas.openxmlformats.org/officeDocument/2006/relationships/hyperlink" Target="https://www.autoscout24.es/anuncios/citroen-c4-1-6hdi-cool-diesel-cat_ma21mo18545-e18153a1-5cc8-4840-b81b-f019a8139379" TargetMode="External" Id="rId16"/><Relationship Type="http://schemas.openxmlformats.org/officeDocument/2006/relationships/hyperlink" Target="https://es.wallapop.com/item/ford-fiesta-ford-fiesta-1-3-ambiente-1313427276" TargetMode="External" Id="rId17"/><Relationship Type="http://schemas.openxmlformats.org/officeDocument/2006/relationships/hyperlink" Target="https://www.autoscout24.es/anuncios/ford-ka-ka+-ka-1-30tdci-titanium+-diesel-cat_ma29mo1761-a57f66ac-145f-4765-9ec5-fb1cfb789a07" TargetMode="External" Id="rId18"/><Relationship Type="http://schemas.openxmlformats.org/officeDocument/2006/relationships/hyperlink" Target="https://www.autoscout24.es/anuncios/fiat-punto-punto-1-2-feel-classic-feel-classic-gasolina-rojo-cat_ma28mo1747-c0e51c94-8ec0-4a36-8134-caae0331b183" TargetMode="External" Id="rId19"/><Relationship Type="http://schemas.openxmlformats.org/officeDocument/2006/relationships/hyperlink" Target="https://www.autoscout24.es/anuncios/fiat-500-500-0-9-t-twinair-pop-85-pop-gasolina-azul-cat_ma28mo15160-8b610c99-c37b-4f70-8870-40b71f5c62f6" TargetMode="External" Id="rId20"/><Relationship Type="http://schemas.openxmlformats.org/officeDocument/2006/relationships/hyperlink" Target="https://www.autoscout24.es/anuncios/chevrolet-aveo-sedan-1-4-16v-lt-gasolina-gris-cat_ma19mo18685-5df9bdd9-27ce-4647-b70f-976633b13f7a" TargetMode="External" Id="rId21"/><Relationship Type="http://schemas.openxmlformats.org/officeDocument/2006/relationships/hyperlink" Target="https://www.autoscout24.es/anuncios/chevrolet-aveo-aveo-1-4-16v-ls-ls-gasolina-blanco-cat_ma19mo18685-10ad7f0c-c270-4daf-8b53-d4973d7d0201" TargetMode="External" Id="rId22"/><Relationship Type="http://schemas.openxmlformats.org/officeDocument/2006/relationships/hyperlink" Target="https://es.wallapop.com/item/toyota-aygo-2009-1306587390" TargetMode="External" Id="rId23"/><Relationship Type="http://schemas.openxmlformats.org/officeDocument/2006/relationships/hyperlink" Target="https://es.wallapop.com/item/toyota-prius-2009-1254410344" TargetMode="External" Id="rId24"/><Relationship Type="http://schemas.openxmlformats.org/officeDocument/2006/relationships/hyperlink" Target="https://es.wallapop.com/item/hyundai-i10-2008-1306889282" TargetMode="External" Id="rId25"/><Relationship Type="http://schemas.openxmlformats.org/officeDocument/2006/relationships/hyperlink" Target="https://es.wallapop.com/item/hyundai-i30-2009-1303258356" TargetMode="External" Id="rId26"/><Relationship Type="http://schemas.openxmlformats.org/officeDocument/2006/relationships/hyperlink" Target="https://www.coches.net/volkswagen-fox-14-tdi-70cv-3p-diesel-2008-en-valencia-71311230-covo.aspx" TargetMode="External" Id="rId27"/><Relationship Type="http://schemas.openxmlformats.org/officeDocument/2006/relationships/hyperlink" Target="https://es.wallapop.com/item/opel-corsa-2008-1310385297" TargetMode="External" Id="rId28"/><Relationship Type="http://schemas.openxmlformats.org/officeDocument/2006/relationships/hyperlink" Target="https://es.wallapop.com/item/opel-corsa-2009-1318223085" TargetMode="External" Id="rId29"/><Relationship Type="http://schemas.openxmlformats.org/officeDocument/2006/relationships/hyperlink" Target="https://es.wallapop.com/item/opel-corsa-d-2013-1316461365" TargetMode="External" Id="rId30"/><Relationship Type="http://schemas.openxmlformats.org/officeDocument/2006/relationships/hyperlink" Target="https://es.wallapop.com/item/opel-astra-2010-1317824509" TargetMode="External" Id="rId31"/><Relationship Type="http://schemas.openxmlformats.org/officeDocument/2006/relationships/hyperlink" Target="https://es.wallapop.com/item/opel-astra-2012-1308429797" TargetMode="External" Id="rId32"/><Relationship Type="http://schemas.openxmlformats.org/officeDocument/2006/relationships/hyperlink" Target="https://es.wallapop.com/item/opel-agila-2009-1282088556" TargetMode="External" Id="rId33"/><Relationship Type="http://schemas.openxmlformats.org/officeDocument/2006/relationships/hyperlink" Target="https://es.wallapop.com/item/renault-megane-2009-1316237992" TargetMode="External" Id="rId34"/><Relationship Type="http://schemas.openxmlformats.org/officeDocument/2006/relationships/hyperlink" Target="https://es.wallapop.com/item/renault-twingo-2009-1311131743" TargetMode="External" Id="rId35"/><Relationship Type="http://schemas.openxmlformats.org/officeDocument/2006/relationships/hyperlink" Target="https://es.wallapop.com/item/dacia-sandero-2009-1310485042" TargetMode="External" Id="rId36"/><Relationship Type="http://schemas.openxmlformats.org/officeDocument/2006/relationships/hyperlink" Target="https://es.wallapop.com/item/dacia-logan-2015-1285784488" TargetMode="External" Id="rId37"/><Relationship Type="http://schemas.openxmlformats.org/officeDocument/2006/relationships/hyperlink" Target="https://es.wallapop.com/item/peugeot-207-2008-1318790630" TargetMode="External" Id="rId38"/><Relationship Type="http://schemas.openxmlformats.org/officeDocument/2006/relationships/hyperlink" Target="https://es.wallapop.com/item/peugeot-207-2012-1309416714" TargetMode="External" Id="rId39"/><Relationship Type="http://schemas.openxmlformats.org/officeDocument/2006/relationships/hyperlink" Target="https://es.wallapop.com/item/peugeot-207-2010-1295140251" TargetMode="External" Id="rId40"/><Relationship Type="http://schemas.openxmlformats.org/officeDocument/2006/relationships/hyperlink" Target="https://es.wallapop.com/item/peugeot-207-2008-1288893394" TargetMode="External" Id="rId41"/><Relationship Type="http://schemas.openxmlformats.org/officeDocument/2006/relationships/hyperlink" Target="https://es.wallapop.com/item/peugeot-207-2008-1288549890" TargetMode="External" Id="rId42"/><Relationship Type="http://schemas.openxmlformats.org/officeDocument/2006/relationships/hyperlink" Target="https://es.wallapop.com/item/peugeot-207-2008-1280300367" TargetMode="External" Id="rId43"/><Relationship Type="http://schemas.openxmlformats.org/officeDocument/2006/relationships/hyperlink" Target="https://es.wallapop.com/item/peugeot-207-2008-1266639855" TargetMode="External" Id="rId44"/><Relationship Type="http://schemas.openxmlformats.org/officeDocument/2006/relationships/hyperlink" Target="https://es.wallapop.com/item/peugeot-207-2009-1303500233" TargetMode="External" Id="rId45"/><Relationship Type="http://schemas.openxmlformats.org/officeDocument/2006/relationships/hyperlink" Target="https://es.wallapop.com/item/peugeot-308-2008-1318834980" TargetMode="External" Id="rId46"/><Relationship Type="http://schemas.openxmlformats.org/officeDocument/2006/relationships/hyperlink" Target="https://es.wallapop.com/item/peugeot-308-1-6-vti-120cv-solo-126-000-km-itv-1313565029" TargetMode="External" Id="rId47"/><Relationship Type="http://schemas.openxmlformats.org/officeDocument/2006/relationships/hyperlink" Target="https://es.wallapop.com/item/ford-ka-2014-1311163176" TargetMode="External" Id="rId48"/><Relationship Type="http://schemas.openxmlformats.org/officeDocument/2006/relationships/hyperlink" Target="https://es.wallapop.com/item/ford-ka-2010-en-muy-buen-estado-1294034931" TargetMode="External" Id="rId49"/><Relationship Type="http://schemas.openxmlformats.org/officeDocument/2006/relationships/hyperlink" Target="https://es.wallapop.com/item/ford-fiesta-2009-1299179562" TargetMode="External" Id="rId50"/><Relationship Type="http://schemas.openxmlformats.org/officeDocument/2006/relationships/hyperlink" Target="https://es.wallapop.com/item/ford-focus-1-8tdci-impoluto-1318150262" TargetMode="External" Id="rId51"/><Relationship Type="http://schemas.openxmlformats.org/officeDocument/2006/relationships/hyperlink" Target="https://es.wallapop.com/item/fiat-bravo-2008-1301004890" TargetMode="External" Id="rId52"/><Relationship Type="http://schemas.openxmlformats.org/officeDocument/2006/relationships/hyperlink" Target="https://es.wallapop.com/item/fiat-bravo-2008-1266735810" TargetMode="External" Id="rId53"/><Relationship Type="http://schemas.openxmlformats.org/officeDocument/2006/relationships/hyperlink" Target="https://es.wallapop.com/item/chevrolet-aveo-2012-1290605393" TargetMode="External" Id="rId54"/><Relationship Type="http://schemas.openxmlformats.org/officeDocument/2006/relationships/hyperlink" Target="https://es.wallapop.com/item/chevrolet-cruze-2011-1315219772" TargetMode="External" Id="rId55"/><Relationship Type="http://schemas.openxmlformats.org/officeDocument/2006/relationships/hyperlink" Target="https://es.wallapop.com/item/chevrolet-cruze-2012-1235670974" TargetMode="External" Id="rId56"/><Relationship Type="http://schemas.openxmlformats.org/officeDocument/2006/relationships/hyperlink" Target="https://www.coches.net/toyota-auris-20-d4d-sol-3p-diesel-2008-en-valencia-61732385-covo.aspx" TargetMode="External" Id="rId57"/><Relationship Type="http://schemas.openxmlformats.org/officeDocument/2006/relationships/hyperlink" Target="https://www.coches.net/toyota-aygo-10-vvti-live-5p-gasolina-2010-en-valencia-71691745-covo.aspx" TargetMode="External" Id="rId58"/><Relationship Type="http://schemas.openxmlformats.org/officeDocument/2006/relationships/hyperlink" Target="https://www.coches.net/mazda-mazda2-active-14-crtd-5p-diesel-2007-en-valencia-71265682-covo.aspx" TargetMode="External" Id="rId59"/><Relationship Type="http://schemas.openxmlformats.org/officeDocument/2006/relationships/hyperlink" Target="https://www.coches.net/mazda-mazda2-style-16-crtd-3p-diesel-2009-en-valencia-71525978-covo.aspx" TargetMode="External" Id="rId60"/><Relationship Type="http://schemas.openxmlformats.org/officeDocument/2006/relationships/hyperlink" Target="https://www.coches.net/kia-picanto-10-sohc-concept-5p-gasolina-2010-en-valencia-71817386-covo.aspx" TargetMode="External" Id="rId61"/><Relationship Type="http://schemas.openxmlformats.org/officeDocument/2006/relationships/hyperlink" Target="https://www.coches.net/kia-picanto-11-sohc-emotion-5p-gasolina-2008-en-valencia-71336745-covo.aspx" TargetMode="External" Id="rId62"/><Relationship Type="http://schemas.openxmlformats.org/officeDocument/2006/relationships/hyperlink" Target="https://www.coches.net/kia-rio-15-crdi-emotion-4p-diesel-2009-en-valencia-71256371-covo.aspx" TargetMode="External" Id="rId63"/><Relationship Type="http://schemas.openxmlformats.org/officeDocument/2006/relationships/hyperlink" Target="https://es.wallapop.com/item/hyundai-i10-2009-1303578407" TargetMode="External" Id="rId64"/><Relationship Type="http://schemas.openxmlformats.org/officeDocument/2006/relationships/hyperlink" Target="https://es.wallapop.com/item/hyundai-i10-2014-1307278706" TargetMode="External" Id="rId65"/><Relationship Type="http://schemas.openxmlformats.org/officeDocument/2006/relationships/hyperlink" Target="https://www.coches.net/hyundai-i20-i20-12-l-pbt-classic-aa-key-5p-gasolina-2012-en-valencia-71863369-covo.aspx" TargetMode="External" Id="rId66"/><Relationship Type="http://schemas.openxmlformats.org/officeDocument/2006/relationships/hyperlink" Target="https://www.coches.net/hyundai-getz-15-crdi-88cv-aa-5p-diesel-2008-en-valencia-71461135-covo.aspx" TargetMode="External" Id="rId67"/><Relationship Type="http://schemas.openxmlformats.org/officeDocument/2006/relationships/hyperlink" Target="https://www.coches.net/seat-ibiza-14-16v-85cv-rockroll-3p-gasolina-2009-en-valencia-71876716-covo.aspx" TargetMode="External" Id="rId68"/><Relationship Type="http://schemas.openxmlformats.org/officeDocument/2006/relationships/hyperlink" Target="https://www.coches.net/seat-ibiza-diesel-2009-en-valencia-71697159-covo.aspx" TargetMode="External" Id="rId69"/><Relationship Type="http://schemas.openxmlformats.org/officeDocument/2006/relationships/hyperlink" Target="https://www.coches.net/seat-leon-19-tdi-105cv-reference-5p-diesel-2008-en-valencia-71602139-covo.aspx" TargetMode="External" Id="rId70"/><Relationship Type="http://schemas.openxmlformats.org/officeDocument/2006/relationships/hyperlink" Target="https://www.coches.net/seat-leon-diesel-2012-en-valencia-71548964-covo.aspx" TargetMode="External" Id="rId71"/><Relationship Type="http://schemas.openxmlformats.org/officeDocument/2006/relationships/hyperlink" Target="https://www.coches.net/seat-leon-12-tsi-reference-5p-gasolina-2010-en-valencia-71516293-covo.aspx" TargetMode="External" Id="rId72"/><Relationship Type="http://schemas.openxmlformats.org/officeDocument/2006/relationships/hyperlink" Target="https://www.coches.net/volkswagen-polo-12-70cv-advance-5p-gasolina-2010-en-valencia-71874130-covo.aspx" TargetMode="External" Id="rId73"/><Relationship Type="http://schemas.openxmlformats.org/officeDocument/2006/relationships/hyperlink" Target="https://www.coches.net/volkswagen-polo-12-edition-60cv-5p-gasolina-2009-en-valencia-71666559-covo.aspx" TargetMode="External" Id="rId74"/><Relationship Type="http://schemas.openxmlformats.org/officeDocument/2006/relationships/hyperlink" Target="https://www.coches.net/volkswagen-polo-gasolina-2010-en-valencia-71536489-covo.aspx" TargetMode="External" Id="rId75"/><Relationship Type="http://schemas.openxmlformats.org/officeDocument/2006/relationships/hyperlink" Target="https://www.coches.net/volkswagen-polo-gasolina-2008-en-valencia-71512620-covo.aspx" TargetMode="External" Id="rId76"/><Relationship Type="http://schemas.openxmlformats.org/officeDocument/2006/relationships/hyperlink" Target="https://www.coches.net/opel-corsa-13-ecoflex-75-cv-essentia-5p-diesel-2012-en-valencia-70216779-covo.aspx" TargetMode="External" Id="rId77"/><Relationship Type="http://schemas.openxmlformats.org/officeDocument/2006/relationships/hyperlink" Target="https://www.coches.net/opel-corsa-cosmo-14-5p-gasolina-2010-en-valencia-71818405-covo.aspx" TargetMode="External" Id="rId78"/><Relationship Type="http://schemas.openxmlformats.org/officeDocument/2006/relationships/hyperlink" Target="https://www.coches.net/opel-corsa-12-expression-start--stop-5p-gasolina-2012-en-valencia-71729834-covo.aspx" TargetMode="External" Id="rId79"/><Relationship Type="http://schemas.openxmlformats.org/officeDocument/2006/relationships/hyperlink" Target="https://www.coches.net/opel-corsa-10-essentia-3p-gasolina-2011-en-valencia-71625576-covo.aspx" TargetMode="External" Id="rId80"/><Relationship Type="http://schemas.openxmlformats.org/officeDocument/2006/relationships/hyperlink" Target="https://www.coches.net/opel-corsa-14-selective-start--stop-5p-gasolina-2014-en-valencia-71686433-covo.aspx" TargetMode="External" Id="rId81"/><Relationship Type="http://schemas.openxmlformats.org/officeDocument/2006/relationships/hyperlink" Target="https://www.coches.net/opel-corsa-gasolina-2014-en-valencia-71531628-covo.aspx" TargetMode="External" Id="rId82"/><Relationship Type="http://schemas.openxmlformats.org/officeDocument/2006/relationships/hyperlink" Target="https://www.coches.net/opel-corsa-14-selective-start--stop-3p-gasolina-2014-en-valencia-71442825-covo.aspx" TargetMode="External" Id="rId83"/><Relationship Type="http://schemas.openxmlformats.org/officeDocument/2006/relationships/hyperlink" Target="https://www.coches.net/opel-corsa-diesel-2013-en-valencia-71411401-covo.aspx" TargetMode="External" Id="rId84"/><Relationship Type="http://schemas.openxmlformats.org/officeDocument/2006/relationships/hyperlink" Target="https://www.coches.net/opel-corsa-cosmo-13-ecoflex-5p-diesel-2009-en-valencia-71398067-covo.aspx" TargetMode="External" Id="rId85"/><Relationship Type="http://schemas.openxmlformats.org/officeDocument/2006/relationships/hyperlink" Target="https://www.coches.net/opel-astra-gtc-14-16v-essentia-3p-gasolina-2009-en-valencia-71876224-covo.aspx" TargetMode="External" Id="rId86"/><Relationship Type="http://schemas.openxmlformats.org/officeDocument/2006/relationships/hyperlink" Target="https://www.coches.net/opel-astra-17-cdti-cosmo-5p-diesel-2009-en-valencia-71872803-covo.aspx" TargetMode="External" Id="rId87"/><Relationship Type="http://schemas.openxmlformats.org/officeDocument/2006/relationships/hyperlink" Target="https://www.coches.net/opel-astra-13-ecoflex-ss-selective-5p-diesel-2013-en-valencia-71339047-covo.aspx" TargetMode="External" Id="rId88"/><Relationship Type="http://schemas.openxmlformats.org/officeDocument/2006/relationships/hyperlink" Target="https://www.coches.net/opel-astra-14-turbo-sport-5p-gasolina-2010-en-valencia-71331925-covo.aspx" TargetMode="External" Id="rId89"/><Relationship Type="http://schemas.openxmlformats.org/officeDocument/2006/relationships/hyperlink" Target="https://www.coches.net/opel-astra-17-cdti-110-cv-sportive-5p-diesel-2014-en-valencia-71805860-covo.aspx" TargetMode="External" Id="rId90"/><Relationship Type="http://schemas.openxmlformats.org/officeDocument/2006/relationships/hyperlink" Target="https://www.coches.net/opel-astra-17-cdti-110-cv-cosmo-5p-diesel-2010-en-valencia-71561861-covo.aspx" TargetMode="External" Id="rId91"/><Relationship Type="http://schemas.openxmlformats.org/officeDocument/2006/relationships/hyperlink" Target="https://www.coches.net/opel-astra-17-cdti-ss-sportive-gtc-3p-diesel-2013-en-valencia-71370972-covo.aspx" TargetMode="External" Id="rId92"/><Relationship Type="http://schemas.openxmlformats.org/officeDocument/2006/relationships/hyperlink" Target="https://www.coches.net/opel-astra-17-cdti-110-cv-enjoy-5p-diesel-2011-en-valencia-71346295-covo.aspx" TargetMode="External" Id="rId93"/><Relationship Type="http://schemas.openxmlformats.org/officeDocument/2006/relationships/hyperlink" Target="https://www.coches.net/opel-astra-17-cdti-ss-130-cv-excellence-4p-diesel-2014-en-valencia-71249625-covo.aspx" TargetMode="External" Id="rId94"/><Relationship Type="http://schemas.openxmlformats.org/officeDocument/2006/relationships/hyperlink" Target="https://www.coches.net/opel-astra-diesel-2009-en-valencia-70943940-covo.aspx" TargetMode="External" Id="rId95"/><Relationship Type="http://schemas.openxmlformats.org/officeDocument/2006/relationships/hyperlink" Target="https://www.coches.net/renault-clio-grand-tour-20-aniv-dci-90-eco2-e5-5p-diesel-2010-en-valencia-71757766-covo.aspx" TargetMode="External" Id="rId96"/><Relationship Type="http://schemas.openxmlformats.org/officeDocument/2006/relationships/hyperlink" Target="https://www.coches.net/renault-clio-business-15dci85-eco2-5p-diesel-2008-en-valencia-71725639-covo.aspx" TargetMode="External" Id="rId97"/><Relationship Type="http://schemas.openxmlformats.org/officeDocument/2006/relationships/hyperlink" Target="https://www.coches.net/renault-clio-authentique-12-16v-75cv-5p-eco2-5p-gasolina-2009-en-valencia-71612608-covo.aspx" TargetMode="External" Id="rId98"/><Relationship Type="http://schemas.openxmlformats.org/officeDocument/2006/relationships/hyperlink" Target="https://www.coches.net/renault-clio-grand-tour-exception-15dci-105cv-eco2-5p-diesel-2008-en-valencia-71601675-covo.aspx" TargetMode="External" Id="rId99"/><Relationship Type="http://schemas.openxmlformats.org/officeDocument/2006/relationships/hyperlink" Target="https://www.coches.net/renault-clio-20-aniversario-15dci-85cv-3p-eco2-3p-diesel-2011-en-valencia-71554659-covo.aspx" TargetMode="External" Id="rId100"/><Relationship Type="http://schemas.openxmlformats.org/officeDocument/2006/relationships/hyperlink" Target="https://www.coches.net/renault-megane-emotion-2008-14-16v-5p-gasolina-2008-en-valencia-71399209-covo.aspx" TargetMode="External" Id="rId101"/><Relationship Type="http://schemas.openxmlformats.org/officeDocument/2006/relationships/hyperlink" Target="https://www.coches.net/renault-megane-dynamique-15dci85-eco2-5p-diesel-2008-en-valencia-71622320-covo.aspx" TargetMode="External" Id="rId102"/><Relationship Type="http://schemas.openxmlformats.org/officeDocument/2006/relationships/hyperlink" Target="https://www.coches.net/renault-megane-diesel-2011-en-valencia-71721172-covo.aspx" TargetMode="External" Id="rId103"/><Relationship Type="http://schemas.openxmlformats.org/officeDocument/2006/relationships/hyperlink" Target="https://www.coches.net/renault-megane-dynamique-16-16v-110-e5-5p-gasolina-2010-en-valencia-71224992-covo.aspx" TargetMode="External" Id="rId104"/><Relationship Type="http://schemas.openxmlformats.org/officeDocument/2006/relationships/hyperlink" Target="https://www.coches.net/renault-megane-dynamique-15dci-105cv-eco2-3p-diesel-2009-en-valencia-71600409-covo.aspx" TargetMode="External" Id="rId105"/><Relationship Type="http://schemas.openxmlformats.org/officeDocument/2006/relationships/hyperlink" Target="https://www.coches.net/renault-megane-dynamique-dci-110-eco2-3p-diesel-2009-en-valencia-71597988-covo.aspx" TargetMode="External" Id="rId106"/><Relationship Type="http://schemas.openxmlformats.org/officeDocument/2006/relationships/hyperlink" Target="https://www.coches.net/renault-megane-dynamique-16-16v-110cv-5p-gasolina-2008-en-valencia-71375913-covo.aspx" TargetMode="External" Id="rId107"/><Relationship Type="http://schemas.openxmlformats.org/officeDocument/2006/relationships/hyperlink" Target="https://www.coches.net/renault-twingo-emotion-dci-85-eco2-3p-diesel-2012-en-valencia-71806426-covo.aspx" TargetMode="External" Id="rId108"/><Relationship Type="http://schemas.openxmlformats.org/officeDocument/2006/relationships/hyperlink" Target="https://www.coches.net/dacia-sandero-ambiance-12-75cv-5p-gasolina-2012-en-valencia-70507667-covo.aspx" TargetMode="External" Id="rId109"/><Relationship Type="http://schemas.openxmlformats.org/officeDocument/2006/relationships/hyperlink" Target="https://www.coches.net/dacia-sandero-ambiance-12-16v-75cv-5p-gasolina-2010-en-valencia-71831034-covo.aspx" TargetMode="External" Id="rId110"/><Relationship Type="http://schemas.openxmlformats.org/officeDocument/2006/relationships/hyperlink" Target="https://www.coches.net/dacia-sandero-ambiance-14-5p-gasolina-2008-en-valencia-71662297-covo.aspx" TargetMode="External" Id="rId111"/><Relationship Type="http://schemas.openxmlformats.org/officeDocument/2006/relationships/hyperlink" Target="https://www.coches.net/dacia-sandero-diesel-2010-en-valencia-71576210-covo.aspx" TargetMode="External" Id="rId112"/><Relationship Type="http://schemas.openxmlformats.org/officeDocument/2006/relationships/hyperlink" Target="https://www.coches.net/dacia-sandero-gasolina-2010-en-valencia-71393663-covo.aspx" TargetMode="External" Id="rId113"/><Relationship Type="http://schemas.openxmlformats.org/officeDocument/2006/relationships/hyperlink" Target="https://www.coches.net/dacia-logan-laureate-14-4p-gasolina-2007-en-valencia-71571620-covo.aspx" TargetMode="External" Id="rId114"/><Relationship Type="http://schemas.openxmlformats.org/officeDocument/2006/relationships/hyperlink" Target="https://www.coches.net/peugeot-207-confort-14-75-5p-gasolina-2009-en-valencia-71833160-covo.aspx" TargetMode="External" Id="rId115"/><Relationship Type="http://schemas.openxmlformats.org/officeDocument/2006/relationships/hyperlink" Target="https://www.coches.net/peugeot-207-gasolina-2009-en-valencia-71712964-covo.aspx" TargetMode="External" Id="rId116"/><Relationship Type="http://schemas.openxmlformats.org/officeDocument/2006/relationships/hyperlink" Target="https://www.coches.net/peugeot-207-active-14i-75-5p-gasolina-2012-en-valencia-71674977-covo.aspx" TargetMode="External" Id="rId117"/><Relationship Type="http://schemas.openxmlformats.org/officeDocument/2006/relationships/hyperlink" Target="https://www.coches.net/peugeot-207-sport-14-vti-16v-95-3p-gasolina-2009-en-valencia-71608687-covo.aspx" TargetMode="External" Id="rId118"/><Relationship Type="http://schemas.openxmlformats.org/officeDocument/2006/relationships/hyperlink" Target="https://www.coches.net/peugeot-207-diesel-2008-en-valencia-71607247-covo.aspx" TargetMode="External" Id="rId119"/><Relationship Type="http://schemas.openxmlformats.org/officeDocument/2006/relationships/hyperlink" Target="https://www.coches.net/peugeot-207-14-75-urban-5p-gasolina-2008-en-valencia-71600206-covo.aspx" TargetMode="External" Id="rId120"/><Relationship Type="http://schemas.openxmlformats.org/officeDocument/2006/relationships/hyperlink" Target="https://www.coches.net/peugeot-207-gasolina-2010-en-valencia-71658308-covo.aspx" TargetMode="External" Id="rId121"/><Relationship Type="http://schemas.openxmlformats.org/officeDocument/2006/relationships/hyperlink" Target="https://www.coches.net/peugeot-207-confort-14-75-5p-gasolina-2008-en-valencia-71372914-covo.aspx" TargetMode="External" Id="rId122"/><Relationship Type="http://schemas.openxmlformats.org/officeDocument/2006/relationships/hyperlink" Target="https://www.coches.net/peugeot-207-16thp-16v-gt-3p-gasolina-2008-en-valencia-71237986-covo.aspx" TargetMode="External" Id="rId123"/><Relationship Type="http://schemas.openxmlformats.org/officeDocument/2006/relationships/hyperlink" Target="https://www.coches.net/peugeot-207-diesel-2010-en-valencia-70477899-covo.aspx" TargetMode="External" Id="rId124"/><Relationship Type="http://schemas.openxmlformats.org/officeDocument/2006/relationships/hyperlink" Target="https://www.coches.net/peugeot-207-gasolina-2008-en-valencia-62317708-covo.aspx" TargetMode="External" Id="rId125"/><Relationship Type="http://schemas.openxmlformats.org/officeDocument/2006/relationships/hyperlink" Target="https://www.coches.net/peugeot-208-5p-active-14-hdi-68-5p-diesel-2014-en-valencia-71521071-covo.aspx" TargetMode="External" Id="rId126"/><Relationship Type="http://schemas.openxmlformats.org/officeDocument/2006/relationships/hyperlink" Target="https://www.coches.net/peugeot-208-5p-active-10l-puretech-68-5p-gasolina-2014-en-valencia-71855583-covo.aspx" TargetMode="External" Id="rId127"/><Relationship Type="http://schemas.openxmlformats.org/officeDocument/2006/relationships/hyperlink" Target="https://www.coches.net/peugeot-208-5p-allure-12-vti-82-5p-gasolina-2014-en-valencia-71665574-covo.aspx" TargetMode="External" Id="rId128"/><Relationship Type="http://schemas.openxmlformats.org/officeDocument/2006/relationships/hyperlink" Target="https://www.coches.net/peugeot-208-gasolina-2012-en-valencia-71427032-covo.aspx" TargetMode="External" Id="rId129"/><Relationship Type="http://schemas.openxmlformats.org/officeDocument/2006/relationships/hyperlink" Target="https://www.coches.net/peugeot-308-premium-16-vti-120-5p-gasolina-2008-en-valencia-71721031-covo.aspx" TargetMode="External" Id="rId130"/><Relationship Type="http://schemas.openxmlformats.org/officeDocument/2006/relationships/hyperlink" Target="https://www.coches.net/peugeot-308-sport-16-vti-120-5p-gasolina-2009-en-valencia-71702102-covo.aspx" TargetMode="External" Id="rId131"/><Relationship Type="http://schemas.openxmlformats.org/officeDocument/2006/relationships/hyperlink" Target="https://www.coches.net/peugeot-308-diesel-2009-en-valencia-70283612-covo.aspx" TargetMode="External" Id="rId132"/><Relationship Type="http://schemas.openxmlformats.org/officeDocument/2006/relationships/hyperlink" Target="https://www.coches.net/citroen-c3-puretech-82cv-collection-5p-gasolina-2015-en-valencia-71506230-covo.aspx" TargetMode="External" Id="rId133"/><Relationship Type="http://schemas.openxmlformats.org/officeDocument/2006/relationships/hyperlink" Target="https://www.coches.net/citroen-c3-diesel-2008-en-valencia-71537593-covo.aspx" TargetMode="External" Id="rId134"/><Relationship Type="http://schemas.openxmlformats.org/officeDocument/2006/relationships/hyperlink" Target="https://www.coches.net/citroen-c4-14-16v-lx-5p-gasolina-2005-en-valencia-71580818-covo.aspx" TargetMode="External" Id="rId135"/><Relationship Type="http://schemas.openxmlformats.org/officeDocument/2006/relationships/hyperlink" Target="https://www.coches.net/citroen-c4-diesel-2009-en-valencia-71398379-covo.aspx" TargetMode="External" Id="rId136"/><Relationship Type="http://schemas.openxmlformats.org/officeDocument/2006/relationships/hyperlink" Target="https://www.coches.net/citroen-c4-diesel-2009-en-valencia-71230561-covo.aspx" TargetMode="External" Id="rId137"/><Relationship Type="http://schemas.openxmlformats.org/officeDocument/2006/relationships/hyperlink" Target="https://www.coches.net/ford-ka-gasolina-2015-en-valencia-71672111-covo.aspx" TargetMode="External" Id="rId138"/><Relationship Type="http://schemas.openxmlformats.org/officeDocument/2006/relationships/hyperlink" Target="https://www.coches.net/ford-ka-12-trend-3p-gasolina-2010-en-valencia-71569576-covo.aspx" TargetMode="External" Id="rId139"/><Relationship Type="http://schemas.openxmlformats.org/officeDocument/2006/relationships/hyperlink" Target="https://www.coches.net/ford-fiesta-14-tdci-trend-5p-diesel-2011-en-valencia-70592187-covo.aspx" TargetMode="External" Id="rId140"/><Relationship Type="http://schemas.openxmlformats.org/officeDocument/2006/relationships/hyperlink" Target="https://www.coches.net/ford-fiesta-14-tdci-trend-5p-diesel-2011-en-valencia-71146219-covo.aspx" TargetMode="External" Id="rId141"/><Relationship Type="http://schemas.openxmlformats.org/officeDocument/2006/relationships/hyperlink" Target="https://www.coches.net/ford-fiesta-16-sport-3p-gasolina-2008-en-valencia-71622303-covo.aspx" TargetMode="External" Id="rId142"/><Relationship Type="http://schemas.openxmlformats.org/officeDocument/2006/relationships/hyperlink" Target="https://www.coches.net/ford-fiesta-diesel-2010-en-valencia-71531586-covo.aspx" TargetMode="External" Id="rId143"/><Relationship Type="http://schemas.openxmlformats.org/officeDocument/2006/relationships/hyperlink" Target="https://www.coches.net/ford-fiesta-15-tdci-75cv-trend-5p-5p-diesel-2011-en-valencia-71662762-covo.aspx" TargetMode="External" Id="rId144"/><Relationship Type="http://schemas.openxmlformats.org/officeDocument/2006/relationships/hyperlink" Target="https://www.coches.net/ford-fiesta-diesel-2010-en-valencia-71497287-covo.aspx" TargetMode="External" Id="rId145"/><Relationship Type="http://schemas.openxmlformats.org/officeDocument/2006/relationships/hyperlink" Target="https://www.coches.net/ford-fiesta-diesel-2011-en-valencia-71399583-covo.aspx" TargetMode="External" Id="rId146"/><Relationship Type="http://schemas.openxmlformats.org/officeDocument/2006/relationships/hyperlink" Target="https://www.coches.net/ford-fiesta-diesel-2008-en-valencia-71261001-covo.aspx" TargetMode="External" Id="rId147"/><Relationship Type="http://schemas.openxmlformats.org/officeDocument/2006/relationships/hyperlink" Target="https://www.coches.net/ford-fiesta-14-tdci-trend-5p-diesel-2010-en-valencia-71260438-covo.aspx" TargetMode="External" Id="rId148"/><Relationship Type="http://schemas.openxmlformats.org/officeDocument/2006/relationships/hyperlink" Target="https://www.coches.net/fiat-punto-12-active-e5-5p-gasolina-2009-en-valencia-71816544-covo.aspx" TargetMode="External" Id="rId149"/><Relationship Type="http://schemas.openxmlformats.org/officeDocument/2006/relationships/hyperlink" Target="https://www.coches.net/suzuki-swift-13-gl-3p-3p-gasolina-2009-en-valencia-71785002-covo.aspx" TargetMode="External" Id="rId150"/><Relationship Type="http://schemas.openxmlformats.org/officeDocument/2006/relationships/hyperlink" Target="https://www.coches.net/suzuki-alto-10-gl-5p-gasolina-2009-en-valencia-71388781-covo.aspx" TargetMode="External" Id="rId151"/><Relationship Type="http://schemas.openxmlformats.org/officeDocument/2006/relationships/hyperlink" Target="https://www.coches.net/chevrolet-aveo-13-75-cv-lt-4p-diesel-2013-en-valencia-71873466-covo.aspx" TargetMode="External" Id="rId152"/><Relationship Type="http://schemas.openxmlformats.org/officeDocument/2006/relationships/hyperlink" Target="https://www.coches.net/chevrolet-aveo-14-16v-ls-5p-gasolina-2010-en-valencia-71533850-covo.aspx" TargetMode="External" Id="rId153"/><Relationship Type="http://schemas.openxmlformats.org/officeDocument/2006/relationships/hyperlink" Target="https://www.coches.net/chevrolet-aveo-12-16v-ls-3p-gasolina-2011-en-valencia-71769865-covo.aspx" TargetMode="External" Id="rId154"/><Relationship Type="http://schemas.openxmlformats.org/officeDocument/2006/relationships/hyperlink" Target="https://www.coches.net/chevrolet-aveo-14-16v-ls-5p-gasolina-2010-en-valencia-71680921-covo.aspx" TargetMode="External" Id="rId155"/><Relationship Type="http://schemas.openxmlformats.org/officeDocument/2006/relationships/hyperlink" Target="https://www.coches.net/chevrolet-aveo-14-16v-ls-5p-gasolina-2009-en-valencia-71549713-covo.aspx" TargetMode="External" Id="rId156"/><Relationship Type="http://schemas.openxmlformats.org/officeDocument/2006/relationships/hyperlink" Target="https://www.coches.net/chevrolet-cruze-16-ls-clima-4p-gasolina-2011-en-valencia-71678496-covo.aspx" TargetMode="External" Id="rId157"/><Relationship Type="http://schemas.openxmlformats.org/officeDocument/2006/relationships/hyperlink" Target="https://www.coches.net/chevrolet-cruze-diesel-2011-en-valencia-71288999-covo.aspx" TargetMode="External" Id="rId158"/><Relationship Type="http://schemas.openxmlformats.org/officeDocument/2006/relationships/hyperlink" Target="https://es.wallapop.com/item/mazda-2-2011-1318257442" TargetMode="External" Id="rId159"/><Relationship Type="http://schemas.openxmlformats.org/officeDocument/2006/relationships/hyperlink" Target="https://www.ocasionplus.com/coches-segunda-mano/lancia-ypsilon-14-8v-platino-con-126555km-2007-b1himqaq" TargetMode="External" Id="rId160"/><Relationship Type="http://schemas.openxmlformats.org/officeDocument/2006/relationships/hyperlink" Target="https://www.ocasionplus.com/coches-segunda-mano/peugeot-107-10i-urban-con-150561km-2007-aynqvqai" TargetMode="External" Id="rId161"/><Relationship Type="http://schemas.openxmlformats.org/officeDocument/2006/relationships/hyperlink" Target="https://www.ocasionplus.com/coches-segunda-mano/renault-clio-14-16v-dynamique-con-106165km-2006-zgabhqan" TargetMode="External" Id="rId162"/><Relationship Type="http://schemas.openxmlformats.org/officeDocument/2006/relationships/hyperlink" Target="https://www.ocasionplus.com/coches-segunda-mano/seat-ibiza-14-tdi-reference-con-140744km-2007-ychajqan" TargetMode="External" Id="rId163"/><Relationship Type="http://schemas.openxmlformats.org/officeDocument/2006/relationships/hyperlink" Target="https://www.ocasionplus.com/coches-segunda-mano/ford-mondeo-20-tdci-ghia-con-142530km-2006-somqeqa3" TargetMode="External" Id="rId164"/><Relationship Type="http://schemas.openxmlformats.org/officeDocument/2006/relationships/hyperlink" Target="https://www.ocasionplus.com/coches-segunda-mano/seat-ibiza-14-16v-reference-con-70908km-2006-azeojqah" TargetMode="External" Id="rId165"/><Relationship Type="http://schemas.openxmlformats.org/officeDocument/2006/relationships/hyperlink" Target="https://www.ocasionplus.com/coches-segunda-mano/opel-corsa-12-enjoy-mta-con-112793km-2007-nu8qgqaj" TargetMode="External" Id="rId166"/><Relationship Type="http://schemas.openxmlformats.org/officeDocument/2006/relationships/hyperlink" Target="https://www.ocasionplus.com/coches-segunda-mano/fiat-panda-12-dynamic-con-213136km-2006" TargetMode="External" Id="rId167"/><Relationship Type="http://schemas.openxmlformats.org/officeDocument/2006/relationships/hyperlink" Target="https://www.autoscout24.es/anuncios/toyota-aygo-edition-gasolina-cat_ma70mo18655-b781a865-5dae-49bf-a729-21dc60e62642" TargetMode="External" Id="rId168"/><Relationship Type="http://schemas.openxmlformats.org/officeDocument/2006/relationships/hyperlink" Target="https://www.autoscout24.es/anuncios/toyota-avensis-wagon-1-8-sol-gasolina-cat_ma70mo15230-1a5a1cfa-8aa2-4eb2-becc-bd32ed1bb345" TargetMode="External" Id="rId169"/><Relationship Type="http://schemas.openxmlformats.org/officeDocument/2006/relationships/hyperlink" Target="https://www.autoscout24.es/anuncios/hyundai-i20-1-2-gasolina-100-emotion-gasolina-cat_ma33mo19188-a37432b1-37f1-494e-8619-bca54f407aa3" TargetMode="External" Id="rId170"/><Relationship Type="http://schemas.openxmlformats.org/officeDocument/2006/relationships/hyperlink" Target="https://www.coches.net/seat-ibiza-14-16v-75-cv-reference-5p-gasolina-2006-en-castellon-71437236-covo.aspx" TargetMode="External" Id="rId171"/><Relationship Type="http://schemas.openxmlformats.org/officeDocument/2006/relationships/hyperlink" Target="https://www.autoscout24.es/anuncios/volkswagen-golf-golf-1-6-highline-highline-gasolina-negro-cat_ma74mo2084-2422eae7-5387-42bd-9d60-aa5952b4a9ba" TargetMode="External" Id="rId172"/><Relationship Type="http://schemas.openxmlformats.org/officeDocument/2006/relationships/hyperlink" Target="https://www.autoscout24.es/anuncios/opel-meriva-meriva-1-7cdti-enjoy-enjoy-diesel-azul-cat_ma54mo18341-9824a598-2929-4b45-beea-6d5dc70af795" TargetMode="External" Id="rId173"/><Relationship Type="http://schemas.openxmlformats.org/officeDocument/2006/relationships/hyperlink" Target="https://www.autoscout24.es/anuncios/opel-meriva-1-7cdti-cosmo-110-diesel-blanco-cat_ma54mo18341-5db2cfac-b438-4efe-865b-c5e5c9526f20" TargetMode="External" Id="rId174"/><Relationship Type="http://schemas.openxmlformats.org/officeDocument/2006/relationships/hyperlink" Target="https://www.autoscout24.es/anuncios/opel-corsa-corsa-1-3cdti-c-mon-ecof-105co2-c-mon-diesel-blanco-cat_ma54mo1918-3e636209-0702-4864-af84-d7cdcaf23036" TargetMode="External" Id="rId175"/><Relationship Type="http://schemas.openxmlformats.org/officeDocument/2006/relationships/hyperlink" Target="https://www.autoscout24.es/anuncios/opel-astra-gtc-1-6-16v-enjoy-gasolina-cat_ma54mo1916-b8d0034e-0169-4e4e-8df5-96a140c9fcf9" TargetMode="External" Id="rId176"/><Relationship Type="http://schemas.openxmlformats.org/officeDocument/2006/relationships/hyperlink" Target="https://www.autoscout24.es/anuncios/opel-meriva-1-6-cdti-ecoflex-start-stop-edition-diesel-blanco-cat_ma54mo18341-1cca5cad-4cf0-4244-9080-00062bf7841d" TargetMode="External" Id="rId177"/><Relationship Type="http://schemas.openxmlformats.org/officeDocument/2006/relationships/hyperlink" Target="https://www.autoscout24.es/anuncios/opel-corsa-manual-gasolina-blanco-cat_ma54mo1918-16231333-d29d-407b-b721-6f4bf3ddfcdb" TargetMode="External" Id="rId178"/><Relationship Type="http://schemas.openxmlformats.org/officeDocument/2006/relationships/hyperlink" Target="https://www.autoscout24.es/anuncios/renault-clio-grand-tour-1-5dci-tom-tom-edition-85-diesel-negro-cat_ma60mo1961-260eace1-1e59-41f7-8463-28cceb82e543" TargetMode="External" Id="rId179"/><Relationship Type="http://schemas.openxmlformats.org/officeDocument/2006/relationships/hyperlink" Target="https://www.autoscout24.es/anuncios/peugeot-407-407-2-0-st-confort-confort-gasolina-azul-cat_ma55mo18421-ebf476c8-6b0f-497f-aefa-69d270e58cfc" TargetMode="External" Id="rId180"/><Relationship Type="http://schemas.openxmlformats.org/officeDocument/2006/relationships/hyperlink" Target="https://es.wallapop.com/item/peugeot-208-peugeot-208-5p-style-1-4-hdi-68-1292118678" TargetMode="External" Id="rId181"/><Relationship Type="http://schemas.openxmlformats.org/officeDocument/2006/relationships/hyperlink" Target="https://www.autoscout24.es/anuncios/citroen-c4-picasso-1-6-vti-seduction-gasolina-gris-cat_ma21mo18545-5841fd8c-320a-4c8a-a7c4-7b12eb8db74e" TargetMode="External" Id="rId182"/><Relationship Type="http://schemas.openxmlformats.org/officeDocument/2006/relationships/hyperlink" Target="https://www.autoscout24.es/anuncios/citroen-c2-1-4-16v-senso-drive-stop-und-start-gasolina-cat_ma21mo18373-fbeb66a7-87cc-4112-9996-60701a77054b" TargetMode="External" Id="rId183"/><Relationship Type="http://schemas.openxmlformats.org/officeDocument/2006/relationships/hyperlink" Target="https://www.autoscout24.es/anuncios/citroen-c3-1-4i-16v-exclusive-gasolina-azul-cat_ma21mo18264-b12d74bc-f99b-46aa-8160-c375b65746c5" TargetMode="External" Id="rId184"/><Relationship Type="http://schemas.openxmlformats.org/officeDocument/2006/relationships/hyperlink" Target="https://www.autoscout24.es/anuncios/citroen-c4-1-6i-16v-lx-110-gasolina-cat_ma21mo18545-94a6ff88-25cc-426f-9425-4b78bc733e4e" TargetMode="External" Id="rId185"/><Relationship Type="http://schemas.openxmlformats.org/officeDocument/2006/relationships/hyperlink" Target="https://www.autoscout24.es/anuncios/ford-mondeo-2-2tdci-trend-diesel-cat_ma29mo1763-7ab236a3-1b93-42f3-bf06-cf71c62f8fab" TargetMode="External" Id="rId186"/><Relationship Type="http://schemas.openxmlformats.org/officeDocument/2006/relationships/hyperlink" Target="https://www.coches.net/ford-focus-18-tdci-ghia-4p-diesel-2007-en-valencia-71753984-covo.aspx" TargetMode="External" Id="rId187"/><Relationship Type="http://schemas.openxmlformats.org/officeDocument/2006/relationships/hyperlink" Target="https://www.autoscout24.es/anuncios/ford-focus-focus-2-0i-16v-trend-trend-gasolina-azul-cat_ma29mo15537-741792f4-6695-4e03-be4d-e3507e1dd9d4" TargetMode="External" Id="rId188"/><Relationship Type="http://schemas.openxmlformats.org/officeDocument/2006/relationships/hyperlink" Target="https://www.autoscout24.es/anuncios/ford-focus-1-6-ghia-115-gasolina-negro-cat_ma29mo15537-83c91b8f-ded0-4180-8192-3d0f5fa77558" TargetMode="External" Id="rId189"/><Relationship Type="http://schemas.openxmlformats.org/officeDocument/2006/relationships/hyperlink" Target="https://www.autoscout24.es/anuncios/ford-focus-1-8tdci-trend-diesel-plateado-cat_ma29mo15537-309efac1-c1bf-44d7-9fec-a231f0fb8dd4" TargetMode="External" Id="rId190"/><Relationship Type="http://schemas.openxmlformats.org/officeDocument/2006/relationships/hyperlink" Target="https://www.autoscout24.es/anuncios/nissan-pixo-1-0-acenta-gasolina-rojo-cat_ma52mo19222-7c82171e-675b-4fab-b114-97b5d9d6543d" TargetMode="External" Id="rId191"/><Relationship Type="http://schemas.openxmlformats.org/officeDocument/2006/relationships/hyperlink" Target="https://www.autoscout24.es/anuncios/nissan-micra-c+c-1-4i-tekna-gasolina-plateado-cat_ma52mo1904-14c4abf7-f10e-4e2e-8196-6f9a04f367f5" TargetMode="External" Id="rId192"/><Relationship Type="http://schemas.openxmlformats.org/officeDocument/2006/relationships/hyperlink" Target="https://www.autoscout24.es/anuncios/chevrolet-kalos-se-kalos-1-2-se-gasolina-rojo-cat_ma19mo18571-92c830e4-62a3-48b4-a4f3-381b86572a9a" TargetMode="External" Id="rId193"/><Relationship Type="http://schemas.openxmlformats.org/officeDocument/2006/relationships/hyperlink" Target="https://www.autoscout24.es/anuncios/chevrolet-cruze-2-0vcdi-lt+-clima-diesel-blanco-cat_ma19mo19172-71abdbb4-80a2-4744-b90c-ca00a2a9d98c" TargetMode="External" Id="rId194"/><Relationship Type="http://schemas.openxmlformats.org/officeDocument/2006/relationships/hyperlink" Target="https://www.autoscout24.es/anuncios/chevrolet-kalos-1-4-16v-sx-gasolina-rojo-cat_ma19mo18571-3c813df0-fdf9-4779-88cc-cd1d22b47c92" TargetMode="External" Id="rId195"/><Relationship Type="http://schemas.openxmlformats.org/officeDocument/2006/relationships/hyperlink" Target="https://www.autoscout24.es/anuncios/chevrolet-aveo-1-2-16v-ls-gasolina-blanco-cat_ma19mo18685-cb92863f-e240-4427-af20-4d726bf3e8c3" TargetMode="External" Id="rId196"/><Relationship Type="http://schemas.openxmlformats.org/officeDocument/2006/relationships/hyperlink" Target="https://www.coches.net/toyota-yaris-13-vvti-yaris-3p-gasolina-2007-en-valencia-71855647-covo.aspx" TargetMode="External" Id="rId197"/><Relationship Type="http://schemas.openxmlformats.org/officeDocument/2006/relationships/hyperlink" Target="https://www.coches.net/toyota-yaris-gasolina-2007-en-valencia-71676237-covo.aspx" TargetMode="External" Id="rId198"/><Relationship Type="http://schemas.openxmlformats.org/officeDocument/2006/relationships/hyperlink" Target="https://www.coches.net/toyota-yaris-14-d4d-sol-5p-diesel-2006-en-valencia-71318056-covo.aspx" TargetMode="External" Id="rId199"/><Relationship Type="http://schemas.openxmlformats.org/officeDocument/2006/relationships/hyperlink" Target="https://www.coches.net/toyota-yaris-13-vvti-yaris-5p-gasolina-2007-en-valencia-71279379-covo.aspx" TargetMode="External" Id="rId200"/><Relationship Type="http://schemas.openxmlformats.org/officeDocument/2006/relationships/hyperlink" Target="https://www.coches.net/toyota-corolla-16-vvti-luna-5p-gasolina-2006-en-valencia-71774731-covo.aspx" TargetMode="External" Id="rId201"/><Relationship Type="http://schemas.openxmlformats.org/officeDocument/2006/relationships/hyperlink" Target="https://www.coches.net/toyota-aygo-10-vvti-aygo-5p-gasolina-2007-en-valencia-71488801-covo.aspx" TargetMode="External" Id="rId202"/><Relationship Type="http://schemas.openxmlformats.org/officeDocument/2006/relationships/hyperlink" Target="https://www.coches.net/toyota-aygo-gasolina-2006-en-valencia-71690212-covo.aspx" TargetMode="External" Id="rId203"/><Relationship Type="http://schemas.openxmlformats.org/officeDocument/2006/relationships/hyperlink" Target="https://www.coches.net/toyota-avensis-20-d4d-sol-wagon-5p-diesel-2011-en-valencia-71838975-covo.aspx" TargetMode="External" Id="rId204"/><Relationship Type="http://schemas.openxmlformats.org/officeDocument/2006/relationships/hyperlink" Target="https://www.coches.net/toyota-avensis-22-d4d-executive-5p-diesel-2008-en-valencia-70377758-covo.aspx" TargetMode="External" Id="rId205"/><Relationship Type="http://schemas.openxmlformats.org/officeDocument/2006/relationships/hyperlink" Target="https://www.coches.net/honda-jazz-gasolina-2008-en-valencia-71368442-covo.aspx" TargetMode="External" Id="rId206"/><Relationship Type="http://schemas.openxmlformats.org/officeDocument/2006/relationships/hyperlink" Target="https://www.coches.net/mazda-mazda2-active-14-crtd-5p-diesel-2007-en-valencia-71732041-covo.aspx" TargetMode="External" Id="rId207"/><Relationship Type="http://schemas.openxmlformats.org/officeDocument/2006/relationships/hyperlink" Target="https://www.coches.net/mazda-mazda2-active-13-5p-gasolina-2007-en-valencia-71822936-covo.aspx" TargetMode="External" Id="rId208"/><Relationship Type="http://schemas.openxmlformats.org/officeDocument/2006/relationships/hyperlink" Target="https://www.coches.net/kia-picanto-11-sohc-lx-5p-gasolina-2007-en-valencia-71778568-covo.aspx" TargetMode="External" Id="rId209"/><Relationship Type="http://schemas.openxmlformats.org/officeDocument/2006/relationships/hyperlink" Target="https://www.coches.net/kia-picanto-11-sohc-ex-5p-gasolina-2006-en-valencia-71687938-covo.aspx" TargetMode="External" Id="rId210"/><Relationship Type="http://schemas.openxmlformats.org/officeDocument/2006/relationships/hyperlink" Target="https://www.coches.net/kia-ceed-16-crdi-115cv-emotion-5p-diesel-2009-en-valencia-71704887-covo.aspx" TargetMode="External" Id="rId211"/><Relationship Type="http://schemas.openxmlformats.org/officeDocument/2006/relationships/hyperlink" Target="https://www.coches.net/hyundai-matrix-15-16v-crdi-110cv-gls-full-5p-diesel-2005-en-valencia-71871606-covo.aspx" TargetMode="External" Id="rId212"/><Relationship Type="http://schemas.openxmlformats.org/officeDocument/2006/relationships/hyperlink" Target="https://www.coches.net/hyundai-matrix-15-16v-crdi-110cv-gls-full-5p-diesel-2005-en-valencia-71817936-covo.aspx" TargetMode="External" Id="rId213"/><Relationship Type="http://schemas.openxmlformats.org/officeDocument/2006/relationships/hyperlink" Target="https://www.coches.net/hyundai-getz-15-crdi-88cv-5p-diesel-2005-en-valencia-71863815-covo.aspx" TargetMode="External" Id="rId214"/><Relationship Type="http://schemas.openxmlformats.org/officeDocument/2006/relationships/hyperlink" Target="https://www.coches.net/hyundai-i30-14-gls-fde-comfort-5p-gasolina-2010-en-valencia-71864447-covo.aspx" TargetMode="External" Id="rId215"/><Relationship Type="http://schemas.openxmlformats.org/officeDocument/2006/relationships/hyperlink" Target="https://www.coches.net/skoda-fabia-combi-14-tdi-80cv-comfort-5p-diesel-2006-en-valencia-71790682-covo.aspx" TargetMode="External" Id="rId216"/><Relationship Type="http://schemas.openxmlformats.org/officeDocument/2006/relationships/hyperlink" Target="https://www.coches.net/skoda-citigo-10-mpi-60cv-ambition-3p-gasolina-2015-en-valencia-71648429-covo.aspx" TargetMode="External" Id="rId217"/><Relationship Type="http://schemas.openxmlformats.org/officeDocument/2006/relationships/hyperlink" Target="https://www.coches.net/skoda-fabia-sedan-14-tdi-80cv-comfort-4p-diesel-2006-en-valencia-71619015-covo.aspx" TargetMode="External" Id="rId218"/><Relationship Type="http://schemas.openxmlformats.org/officeDocument/2006/relationships/hyperlink" Target="https://www.coches.net/skoda-fabia-gasolina-2006-en-valencia-71668261-covo.aspx" TargetMode="External" Id="rId219"/><Relationship Type="http://schemas.openxmlformats.org/officeDocument/2006/relationships/hyperlink" Target="https://www.coches.net/skoda-superb-diesel-2010-en-valencia-71594775-covo.aspx" TargetMode="External" Id="rId220"/><Relationship Type="http://schemas.openxmlformats.org/officeDocument/2006/relationships/hyperlink" Target="https://www.coches.net/skoda-citigo-10-mpi-60cv-active-5p-gasolina-2013-en-valencia-71322051-covo.aspx" TargetMode="External" Id="rId221"/><Relationship Type="http://schemas.openxmlformats.org/officeDocument/2006/relationships/hyperlink" Target="https://www.coches.net/seat-ibiza-19-tdi-100cv-sport-5p-diesel-2008-en-valencia-71867781-covo.aspx" TargetMode="External" Id="rId222"/><Relationship Type="http://schemas.openxmlformats.org/officeDocument/2006/relationships/hyperlink" Target="https://www.coches.net/seat-ibiza-14-16v-85cv-sport-5p-gasolina-2009-en-valencia-71775991-covo.aspx" TargetMode="External" Id="rId223"/><Relationship Type="http://schemas.openxmlformats.org/officeDocument/2006/relationships/hyperlink" Target="https://www.coches.net/seat-ibiza-diesel-2007-en-valencia-71575805-covo.aspx" TargetMode="External" Id="rId224"/><Relationship Type="http://schemas.openxmlformats.org/officeDocument/2006/relationships/hyperlink" Target="https://www.coches.net/seat-leon-20-fsi-150cv-tiptronic-sport-up-5p-gasolina-2009-en-valencia-70849377-covo.aspx" TargetMode="External" Id="rId225"/><Relationship Type="http://schemas.openxmlformats.org/officeDocument/2006/relationships/hyperlink" Target="https://www.coches.net/seat-leon-diesel-2011-en-valencia-71667405-covo.aspx" TargetMode="External" Id="rId226"/><Relationship Type="http://schemas.openxmlformats.org/officeDocument/2006/relationships/hyperlink" Target="https://www.coches.net/seat-leon-diesel-2008-en-valencia-71615876-covo.aspx" TargetMode="External" Id="rId227"/><Relationship Type="http://schemas.openxmlformats.org/officeDocument/2006/relationships/hyperlink" Target="https://www.coches.net/volkswagen-polo-12-edition-70cv-5p-gasolina-2008-en-valencia-71866787-covo.aspx" TargetMode="External" Id="rId228"/><Relationship Type="http://schemas.openxmlformats.org/officeDocument/2006/relationships/hyperlink" Target="https://www.coches.net/volkswagen-polo-14-united-80cv-5p-gasolina-2007-en-valencia-71770392-covo.aspx" TargetMode="External" Id="rId229"/><Relationship Type="http://schemas.openxmlformats.org/officeDocument/2006/relationships/hyperlink" Target="https://www.coches.net/volkswagen-polo-14-tdi-advance-80cv-5p-diesel-2007-en-valencia-71751370-covo.aspx" TargetMode="External" Id="rId230"/><Relationship Type="http://schemas.openxmlformats.org/officeDocument/2006/relationships/hyperlink" Target="https://www.coches.net/volkswagen-polo-14-match-80cv-5p-gasolina-2006-en-valencia-71746730-covo.aspx" TargetMode="External" Id="rId231"/><Relationship Type="http://schemas.openxmlformats.org/officeDocument/2006/relationships/hyperlink" Target="https://www.coches.net/volkswagen-polo-gasolina-2007-en-valencia-71357112-covo.aspx" TargetMode="External" Id="rId232"/><Relationship Type="http://schemas.openxmlformats.org/officeDocument/2006/relationships/hyperlink" Target="https://www.coches.net/volkswagen-polo-14-tdi-edition-70cv-5p-diesel-2007-en-valencia-71302718-covo.aspx" TargetMode="External" Id="rId233"/><Relationship Type="http://schemas.openxmlformats.org/officeDocument/2006/relationships/hyperlink" Target="https://www.coches.net/opel-corsa-enjoy-12-5p-gasolina-2008-en-valencia-71806576-covo.aspx" TargetMode="External" Id="rId234"/><Relationship Type="http://schemas.openxmlformats.org/officeDocument/2006/relationships/hyperlink" Target="https://www.coches.net/opel-corsa-enjoy-12-3p-gasolina-2007-en-valencia-71790451-covo.aspx" TargetMode="External" Id="rId235"/><Relationship Type="http://schemas.openxmlformats.org/officeDocument/2006/relationships/hyperlink" Target="https://www.coches.net/opel-corsa-13-ecoflex-cosmo-5p-diesel-2010-en-valencia-71818280-covo.aspx" TargetMode="External" Id="rId236"/><Relationship Type="http://schemas.openxmlformats.org/officeDocument/2006/relationships/hyperlink" Target="https://www.coches.net/opel-corsa-14-selective-start--stop-5p-gasolina-2014-en-valencia-71305472-covo.aspx" TargetMode="External" Id="rId237"/><Relationship Type="http://schemas.openxmlformats.org/officeDocument/2006/relationships/hyperlink" Target="https://www.coches.net/opel-corsa-13-cdti-color-edition-3p-diesel-2012-en-valencia-71248981-covo.aspx" TargetMode="External" Id="rId238"/><Relationship Type="http://schemas.openxmlformats.org/officeDocument/2006/relationships/hyperlink" Target="https://www.coches.net/opel-corsa-12-expression-start--stop-5p-gasolina-2014-en-valencia-71580711-covo.aspx" TargetMode="External" Id="rId239"/><Relationship Type="http://schemas.openxmlformats.org/officeDocument/2006/relationships/hyperlink" Target="https://www.coches.net/opel-corsa-diesel-2006-en-valencia-71509899-covo.aspx" TargetMode="External" Id="rId240"/><Relationship Type="http://schemas.openxmlformats.org/officeDocument/2006/relationships/hyperlink" Target="https://www.coches.net/opel-corsa-diesel-2012-en-valencia-71502646-covo.aspx" TargetMode="External" Id="rId241"/><Relationship Type="http://schemas.openxmlformats.org/officeDocument/2006/relationships/hyperlink" Target="https://www.coches.net/opel-corsa-gasolina-2007-en-valencia-71474135-covo.aspx" TargetMode="External" Id="rId242"/><Relationship Type="http://schemas.openxmlformats.org/officeDocument/2006/relationships/hyperlink" Target="https://www.coches.net/opel-corsa-enjoy-12-mta-3p-gasolina-2006-en-valencia-71439003-covo.aspx" TargetMode="External" Id="rId243"/><Relationship Type="http://schemas.openxmlformats.org/officeDocument/2006/relationships/hyperlink" Target="https://www.coches.net/opel-corsa-12-essentia-5p-gasolina-2011-en-valencia-71385917-covo.aspx" TargetMode="External" Id="rId244"/><Relationship Type="http://schemas.openxmlformats.org/officeDocument/2006/relationships/hyperlink" Target="https://es.wallapop.com/item/kia-picanto-2006-1242429631" TargetMode="External" Id="rId245"/><Relationship Type="http://schemas.openxmlformats.org/officeDocument/2006/relationships/hyperlink" Target="https://es.wallapop.com/item/kia-picanto-1-1-active-48-kw-65-cv-1286345810" TargetMode="External" Id="rId246"/><Relationship Type="http://schemas.openxmlformats.org/officeDocument/2006/relationships/hyperlink" Target="https://es.wallapop.com/item/hyundai-i20-2009-1313372043" TargetMode="External" Id="rId247"/><Relationship Type="http://schemas.openxmlformats.org/officeDocument/2006/relationships/hyperlink" Target="https://es.wallapop.com/item/seat-ibiza-2006-1316295468" TargetMode="External" Id="rId248"/><Relationship Type="http://schemas.openxmlformats.org/officeDocument/2006/relationships/hyperlink" Target="https://es.wallapop.com/item/seat-ibiza-2006-1316076190" TargetMode="External" Id="rId249"/><Relationship Type="http://schemas.openxmlformats.org/officeDocument/2006/relationships/hyperlink" Target="https://es.wallapop.com/item/seat-ibiza-2008-1306122565" TargetMode="External" Id="rId250"/><Relationship Type="http://schemas.openxmlformats.org/officeDocument/2006/relationships/hyperlink" Target="https://es.wallapop.com/item/seat-leon-2006-1316858354" TargetMode="External" Id="rId251"/><Relationship Type="http://schemas.openxmlformats.org/officeDocument/2006/relationships/hyperlink" Target="https://es.wallapop.com/item/seat-leon-2007-1287440903" TargetMode="External" Id="rId252"/><Relationship Type="http://schemas.openxmlformats.org/officeDocument/2006/relationships/hyperlink" Target="https://es.wallapop.com/item/seat-leon-2009-1318871284" TargetMode="External" Id="rId253"/><Relationship Type="http://schemas.openxmlformats.org/officeDocument/2006/relationships/hyperlink" Target="https://es.wallapop.com/item/seat-altea-2006-1304310944" TargetMode="External" Id="rId254"/><Relationship Type="http://schemas.openxmlformats.org/officeDocument/2006/relationships/hyperlink" Target="https://es.wallapop.com/item/seat-altea-xl-1-9-tdi-105cv-unico-dueno-1302295708" TargetMode="External" Id="rId255"/><Relationship Type="http://schemas.openxmlformats.org/officeDocument/2006/relationships/hyperlink" Target="https://es.wallapop.com/item/seat-toledo-2007-1279575310" TargetMode="External" Id="rId256"/><Relationship Type="http://schemas.openxmlformats.org/officeDocument/2006/relationships/hyperlink" Target="https://es.wallapop.com/item/volkswagen-polo-2006-1315532131" TargetMode="External" Id="rId257"/><Relationship Type="http://schemas.openxmlformats.org/officeDocument/2006/relationships/hyperlink" Target="https://es.wallapop.com/item/opel-corsa-2014-1309392405" TargetMode="External" Id="rId258"/><Relationship Type="http://schemas.openxmlformats.org/officeDocument/2006/relationships/hyperlink" Target="https://es.wallapop.com/item/opel-corsa-2011-1318256126" TargetMode="External" Id="rId259"/><Relationship Type="http://schemas.openxmlformats.org/officeDocument/2006/relationships/hyperlink" Target="https://es.wallapop.com/item/opel-corsa-1-2-111-years-63-kw-85-cv-1316246339" TargetMode="External" Id="rId260"/><Relationship Type="http://schemas.openxmlformats.org/officeDocument/2006/relationships/hyperlink" Target="https://es.wallapop.com/item/opel-astra-2006-twinport-1-6-1317003992" TargetMode="External" Id="rId261"/><Relationship Type="http://schemas.openxmlformats.org/officeDocument/2006/relationships/hyperlink" Target="https://es.wallapop.com/item/opel-astra-2008-1314718258" TargetMode="External" Id="rId262"/><Relationship Type="http://schemas.openxmlformats.org/officeDocument/2006/relationships/hyperlink" Target="https://es.wallapop.com/item/opel-astra-2010-diesel-cdti-1259878820" TargetMode="External" Id="rId263"/><Relationship Type="http://schemas.openxmlformats.org/officeDocument/2006/relationships/hyperlink" Target="https://www.coches.net/opel-astra-17-cdti-enjoy-5p-diesel-2007-en-valencia-71795199-covo.aspx" TargetMode="External" Id="rId264"/><Relationship Type="http://schemas.openxmlformats.org/officeDocument/2006/relationships/hyperlink" Target="https://es.wallapop.com/item/opel-astra-2007-1307336090" TargetMode="External" Id="rId265"/><Relationship Type="http://schemas.openxmlformats.org/officeDocument/2006/relationships/hyperlink" Target="https://es.wallapop.com/item/opel-astra-1-7-cdti-enjoy-74-kw-100-cv-1302134212" TargetMode="External" Id="rId266"/><Relationship Type="http://schemas.openxmlformats.org/officeDocument/2006/relationships/hyperlink" Target="https://es.wallapop.com/item/opel-astra-2006-1315853152" TargetMode="External" Id="rId267"/><Relationship Type="http://schemas.openxmlformats.org/officeDocument/2006/relationships/hyperlink" Target="https://es.wallapop.com/item/opel-astra-h-1300568626" TargetMode="External" Id="rId268"/><Relationship Type="http://schemas.openxmlformats.org/officeDocument/2006/relationships/hyperlink" Target="https://es.wallapop.com/item/opel-astra-2006-1265374448" TargetMode="External" Id="rId269"/><Relationship Type="http://schemas.openxmlformats.org/officeDocument/2006/relationships/hyperlink" Target="https://es.wallapop.com/item/opel-astra-2009-1315298326" TargetMode="External" Id="rId270"/><Relationship Type="http://schemas.openxmlformats.org/officeDocument/2006/relationships/hyperlink" Target="https://es.wallapop.com/item/renault-clio-1-6-16v-exception2-auto-82-kw-110-cv-1314881088" TargetMode="External" Id="rId271"/><Relationship Type="http://schemas.openxmlformats.org/officeDocument/2006/relationships/hyperlink" Target="https://es.wallapop.com/item/renault-clio-2008-1284104067" TargetMode="External" Id="rId272"/><Relationship Type="http://schemas.openxmlformats.org/officeDocument/2006/relationships/hyperlink" Target="https://es.wallapop.com/item/renault-clio-2007-1317117001" TargetMode="External" Id="rId273"/><Relationship Type="http://schemas.openxmlformats.org/officeDocument/2006/relationships/hyperlink" Target="https://es.wallapop.com/item/renault-megane-2007-1316972840" TargetMode="External" Id="rId274"/><Relationship Type="http://schemas.openxmlformats.org/officeDocument/2006/relationships/hyperlink" Target="https://es.wallapop.com/item/renault-megane-1-6-16v-1316457370" TargetMode="External" Id="rId275"/><Relationship Type="http://schemas.openxmlformats.org/officeDocument/2006/relationships/hyperlink" Target="https://es.wallapop.com/item/renault-megane-sport-tourer-dynamique-dci-81-kw-110-cv-1283471685" TargetMode="External" Id="rId276"/><Relationship Type="http://schemas.openxmlformats.org/officeDocument/2006/relationships/hyperlink" Target="https://es.wallapop.com/item/peugeot-207-2007-1316184209" TargetMode="External" Id="rId277"/><Relationship Type="http://schemas.openxmlformats.org/officeDocument/2006/relationships/hyperlink" Target="https://es.wallapop.com/item/peugeot-207-2007-1301586201" TargetMode="External" Id="rId278"/><Relationship Type="http://schemas.openxmlformats.org/officeDocument/2006/relationships/hyperlink" Target="https://es.wallapop.com/item/peugeot-207-2007-1265581185" TargetMode="External" Id="rId279"/><Relationship Type="http://schemas.openxmlformats.org/officeDocument/2006/relationships/hyperlink" Target="https://es.wallapop.com/item/peugeot-207-2007-1237274117" TargetMode="External" Id="rId280"/><Relationship Type="http://schemas.openxmlformats.org/officeDocument/2006/relationships/hyperlink" Target="https://es.wallapop.com/item/peugeot-207-xs-pack-1-4-2006-1302895961" TargetMode="External" Id="rId281"/><Relationship Type="http://schemas.openxmlformats.org/officeDocument/2006/relationships/hyperlink" Target="https://es.wallapop.com/item/peugeot-208-2015-1318039860" TargetMode="External" Id="rId282"/><Relationship Type="http://schemas.openxmlformats.org/officeDocument/2006/relationships/hyperlink" Target="https://es.wallapop.com/item/peugeot-208-2013-1317356046" TargetMode="External" Id="rId283"/><Relationship Type="http://schemas.openxmlformats.org/officeDocument/2006/relationships/hyperlink" Target="https://es.wallapop.com/item/citroen-c4-2007-1318714261" TargetMode="External" Id="rId284"/><Relationship Type="http://schemas.openxmlformats.org/officeDocument/2006/relationships/hyperlink" Target="https://es.wallapop.com/item/citroen-c4-2007-1318079600" TargetMode="External" Id="rId285"/><Relationship Type="http://schemas.openxmlformats.org/officeDocument/2006/relationships/hyperlink" Target="https://es.wallapop.com/item/citroen-c4-2006-1315406284" TargetMode="External" Id="rId286"/><Relationship Type="http://schemas.openxmlformats.org/officeDocument/2006/relationships/hyperlink" Target="https://es.wallapop.com/item/citroen-c4-2007-1248952142" TargetMode="External" Id="rId287"/><Relationship Type="http://schemas.openxmlformats.org/officeDocument/2006/relationships/hyperlink" Target="https://es.wallapop.com/item/ford-ka-2015-1317858980" TargetMode="External" Id="rId288"/><Relationship Type="http://schemas.openxmlformats.org/officeDocument/2006/relationships/hyperlink" Target="https://es.wallapop.com/item/ford-ka-2015-1279395818" TargetMode="External" Id="rId289"/><Relationship Type="http://schemas.openxmlformats.org/officeDocument/2006/relationships/hyperlink" Target="https://es.wallapop.com/item/ford-fiesta-1-4-96-cv-manual-gasolina-1313786761" TargetMode="External" Id="rId290"/><Relationship Type="http://schemas.openxmlformats.org/officeDocument/2006/relationships/hyperlink" Target="https://es.wallapop.com/item/ford-fiesta-1-4-tdci-68cv-2009-perfecto-estado-1306658423" TargetMode="External" Id="rId291"/><Relationship Type="http://schemas.openxmlformats.org/officeDocument/2006/relationships/hyperlink" Target="https://es.wallapop.com/item/ford-fiesta-2010-1299696661" TargetMode="External" Id="rId292"/><Relationship Type="http://schemas.openxmlformats.org/officeDocument/2006/relationships/hyperlink" Target="https://es.wallapop.com/item/ford-fiesta-2010-1285701129" TargetMode="External" Id="rId293"/><Relationship Type="http://schemas.openxmlformats.org/officeDocument/2006/relationships/hyperlink" Target="https://es.wallapop.com/item/ford-fiesta-2010-1281484675" TargetMode="External" Id="rId294"/><Relationship Type="http://schemas.openxmlformats.org/officeDocument/2006/relationships/hyperlink" Target="https://es.wallapop.com/item/ford-fiesta-2008-1247015131" TargetMode="External" Id="rId295"/><Relationship Type="http://schemas.openxmlformats.org/officeDocument/2006/relationships/hyperlink" Target="https://es.wallapop.com/item/ford-fiesta-2012-1316074282" TargetMode="External" Id="rId296"/><Relationship Type="http://schemas.openxmlformats.org/officeDocument/2006/relationships/hyperlink" Target="https://es.wallapop.com/item/ford-ford-fiesta-2011-1315660957" TargetMode="External" Id="rId297"/><Relationship Type="http://schemas.openxmlformats.org/officeDocument/2006/relationships/hyperlink" Target="https://es.wallapop.com/item/ford-focus-2009-1317984979" TargetMode="External" Id="rId298"/><Relationship Type="http://schemas.openxmlformats.org/officeDocument/2006/relationships/hyperlink" Target="https://es.wallapop.com/item/ford-focus-2008-1315801957" TargetMode="External" Id="rId299"/><Relationship Type="http://schemas.openxmlformats.org/officeDocument/2006/relationships/hyperlink" Target="https://es.wallapop.com/item/ford-focus-2006-1312349242" TargetMode="External" Id="rId300"/><Relationship Type="http://schemas.openxmlformats.org/officeDocument/2006/relationships/hyperlink" Target="https://es.wallapop.com/item/ford-focus-2006-1318134950" TargetMode="External" Id="rId301"/><Relationship Type="http://schemas.openxmlformats.org/officeDocument/2006/relationships/hyperlink" Target="https://es.wallapop.com/item/ford-focus-2007-1302217553" TargetMode="External" Id="rId302"/><Relationship Type="http://schemas.openxmlformats.org/officeDocument/2006/relationships/hyperlink" Target="https://es.wallapop.com/item/fiat-punto-2007-1313114494" TargetMode="External" Id="rId303"/><Relationship Type="http://schemas.openxmlformats.org/officeDocument/2006/relationships/hyperlink" Target="https://es.wallapop.com/item/fiat-punto-evo-2011-1309755985" TargetMode="External" Id="rId304"/><Relationship Type="http://schemas.openxmlformats.org/officeDocument/2006/relationships/hyperlink" Target="https://es.wallapop.com/item/fiat-punto-2006-1313124669" TargetMode="External" Id="rId305"/><Relationship Type="http://schemas.openxmlformats.org/officeDocument/2006/relationships/hyperlink" Target="https://es.wallapop.com/item/fiat-punto-2007-1308782246" TargetMode="External" Id="rId306"/><Relationship Type="http://schemas.openxmlformats.org/officeDocument/2006/relationships/hyperlink" Target="https://es.wallapop.com/item/fiat-punto-1-4-t-jet-sport-88-kw-120-cv-1305071192" TargetMode="External" Id="rId307"/><Relationship Type="http://schemas.openxmlformats.org/officeDocument/2006/relationships/hyperlink" Target="https://es.wallapop.com/item/nissan-micra-2013-1316397731" TargetMode="External" Id="rId308"/><Relationship Type="http://schemas.openxmlformats.org/officeDocument/2006/relationships/hyperlink" Target="https://es.wallapop.com/item/nissan-micra-2006-1215062849" TargetMode="External" Id="rId309"/><Relationship Type="http://schemas.openxmlformats.org/officeDocument/2006/relationships/hyperlink" Target="https://es.wallapop.com/item/suzuki-swift-2006-1308792677" TargetMode="External" Id="rId310"/><Relationship Type="http://schemas.openxmlformats.org/officeDocument/2006/relationships/hyperlink" Target="https://es.wallapop.com/item/mitsubishi-colt-2006-1317562817" TargetMode="External" Id="rId311"/><Relationship Type="http://schemas.openxmlformats.org/officeDocument/2006/relationships/hyperlink" Target="https://es.wallapop.com/item/mitsubishi-colt-1-3-16v-invite-70-kw-95-cv-1305417932" TargetMode="External" Id="rId312"/><Relationship Type="http://schemas.openxmlformats.org/officeDocument/2006/relationships/hyperlink" Target="https://es.wallapop.com/item/audi-a3-2008-1310393842" TargetMode="External" Id="rId313"/><Relationship Type="http://schemas.openxmlformats.org/officeDocument/2006/relationships/hyperlink" Target="https://es.wallapop.com/item/chevrolet-aveo-2014-1283507982" TargetMode="External" Id="rId314"/><Relationship Type="http://schemas.openxmlformats.org/officeDocument/2006/relationships/hyperlink" Target="https://es.wallapop.com/item/chevrolet-cruze-2012-1221552223" TargetMode="External" Id="rId315"/><Relationship Type="http://schemas.openxmlformats.org/officeDocument/2006/relationships/hyperlink" Target="https://www.coches.net/seat-toledo-20-tdi-stylance-5p-diesel-2006-en-valencia-71876607-covo.aspx" TargetMode="External" Id="rId316"/><Relationship Type="http://schemas.openxmlformats.org/officeDocument/2006/relationships/hyperlink" Target="https://www.coches.net/opel-astra-13-cdti-111-years-gtc-3p-diesel-2011-en-valencia-71799024-covo.aspx" TargetMode="External" Id="rId317"/><Relationship Type="http://schemas.openxmlformats.org/officeDocument/2006/relationships/hyperlink" Target="https://www.coches.net/opel-astra-19-cdti-enjoy-120-cv-5p-diesel-2007-en-valencia-71599225-covo.aspx" TargetMode="External" Id="rId318"/><Relationship Type="http://schemas.openxmlformats.org/officeDocument/2006/relationships/hyperlink" Target="https://www.coches.net/opel-astra-20-cdti-165-cv-excellence-auto-st-5p-diesel-2015-en-valencia-71859065-covo.aspx" TargetMode="External" Id="rId319"/><Relationship Type="http://schemas.openxmlformats.org/officeDocument/2006/relationships/hyperlink" Target="https://www.coches.net/opel-astra-14-enjoy-5p-gasolina-2006-en-valencia-71722524-covo.aspx" TargetMode="External" Id="rId320"/><Relationship Type="http://schemas.openxmlformats.org/officeDocument/2006/relationships/hyperlink" Target="https://www.coches.net/opel-astra-19-cdti-sport-120-cv-5p-diesel-2007-en-valencia-71829456-covo.aspx" TargetMode="External" Id="rId321"/><Relationship Type="http://schemas.openxmlformats.org/officeDocument/2006/relationships/hyperlink" Target="https://www.coches.net/opel-astra-diesel-2006-en-valencia-71573870-covo.aspx" TargetMode="External" Id="rId322"/><Relationship Type="http://schemas.openxmlformats.org/officeDocument/2006/relationships/hyperlink" Target="https://www.coches.net/opel-astra-diesel-2007-en-valencia-71528758-covo.aspx" TargetMode="External" Id="rId323"/><Relationship Type="http://schemas.openxmlformats.org/officeDocument/2006/relationships/hyperlink" Target="https://www.coches.net/opel-astra-17-cdti-110-cv-sportive-5p-diesel-2012-en-valencia-71478387-covo.aspx" TargetMode="External" Id="rId324"/><Relationship Type="http://schemas.openxmlformats.org/officeDocument/2006/relationships/hyperlink" Target="https://www.coches.net/opel-astra-gasolina-2006-en-valencia-71450364-covo.aspx" TargetMode="External" Id="rId325"/><Relationship Type="http://schemas.openxmlformats.org/officeDocument/2006/relationships/hyperlink" Target="https://www.coches.net/opel-astra-17-cdti-enjoy-sw-5p-diesel-2007-en-valencia-71241892-covo.aspx" TargetMode="External" Id="rId326"/><Relationship Type="http://schemas.openxmlformats.org/officeDocument/2006/relationships/hyperlink" Target="https://www.coches.net/opel-astra-gtc-16-16v-enjoy-3p-gasolina-2007-en-valencia-71218282-covo.aspx" TargetMode="External" Id="rId327"/><Relationship Type="http://schemas.openxmlformats.org/officeDocument/2006/relationships/hyperlink" Target="https://www.coches.net/opel-astra-gtc-17-cdti-sport-3p-diesel-2006-en-valencia-71233866-covo.aspx" TargetMode="External" Id="rId328"/><Relationship Type="http://schemas.openxmlformats.org/officeDocument/2006/relationships/hyperlink" Target="https://www.coches.net/opel-astra-gasolina-2006-en-valencia-70786163-covo.aspx" TargetMode="External" Id="rId329"/><Relationship Type="http://schemas.openxmlformats.org/officeDocument/2006/relationships/hyperlink" Target="https://www.coches.net/opel-astra-diesel-2011-en-valencia-70647110-covo.aspx" TargetMode="External" Id="rId330"/><Relationship Type="http://schemas.openxmlformats.org/officeDocument/2006/relationships/hyperlink" Target="https://www.coches.net/opel-astra-gtc-19-cdti-120-cv-cosmo-3p-diesel-2007-en-valencia-55368252-covo.aspx" TargetMode="External" Id="rId331"/><Relationship Type="http://schemas.openxmlformats.org/officeDocument/2006/relationships/hyperlink" Target="https://www.coches.net/opel-astra-gtc-16-16v-enjoy-3p-gasolina-2006-en-valencia-55367607-covo.aspx" TargetMode="External" Id="rId332"/><Relationship Type="http://schemas.openxmlformats.org/officeDocument/2006/relationships/hyperlink" Target="https://www.coches.net/opel-meriva-14-net-excellence-5p-gasolina-2015-en-valencia-71780709-covo.aspx" TargetMode="External" Id="rId333"/><Relationship Type="http://schemas.openxmlformats.org/officeDocument/2006/relationships/hyperlink" Target="https://www.coches.net/renault-megane-coupecabrio-dynamique-16-16v-2p-gasolina-2007-en-valencia-71508169-covo.aspx" TargetMode="External" Id="rId334"/><Relationship Type="http://schemas.openxmlformats.org/officeDocument/2006/relationships/hyperlink" Target="https://www.coches.net/renault-megane-coupecabrio-dynamique-16-16v-2p-gasolina-2007-en-valencia-71662456-covo.aspx" TargetMode="External" Id="rId335"/><Relationship Type="http://schemas.openxmlformats.org/officeDocument/2006/relationships/hyperlink" Target="https://www.coches.net/renault-clio-rip-curl-15dci70-eco2-5p-diesel-2007-en-valencia-71827626-covo.aspx" TargetMode="External" Id="rId336"/><Relationship Type="http://schemas.openxmlformats.org/officeDocument/2006/relationships/hyperlink" Target="https://www.coches.net/renault-clio-expression-12-16v-5p-gasolina-2007-en-valencia-71693535-covo.aspx" TargetMode="External" Id="rId337"/><Relationship Type="http://schemas.openxmlformats.org/officeDocument/2006/relationships/hyperlink" Target="https://www.coches.net/renault-clio-luxe-privilege-15-dci105-5p-diesel-2006-en-valencia-71728280-covo.aspx" TargetMode="External" Id="rId338"/><Relationship Type="http://schemas.openxmlformats.org/officeDocument/2006/relationships/hyperlink" Target="https://www.coches.net/renault-clio-expression-12-16v-5p-gasolina-2006-en-valencia-71720117-covo.aspx" TargetMode="External" Id="rId339"/><Relationship Type="http://schemas.openxmlformats.org/officeDocument/2006/relationships/hyperlink" Target="https://www.coches.net/renault-clio-rip-curl-12-16v-3p-gasolina-2006-en-valencia-71579391-covo.aspx" TargetMode="External" Id="rId340"/><Relationship Type="http://schemas.openxmlformats.org/officeDocument/2006/relationships/hyperlink" Target="https://www.coches.net/renault-clio-authentique-12-16v-5p-gasolina-2006-en-valencia-61211557-covo.aspx" TargetMode="External" Id="rId341"/><Relationship Type="http://schemas.openxmlformats.org/officeDocument/2006/relationships/hyperlink" Target="https://www.coches.net/renault-clio-confort-dynamique-16-16v-3p-gasolina-2006-en-valencia-54869719-covo.aspx" TargetMode="External" Id="rId342"/><Relationship Type="http://schemas.openxmlformats.org/officeDocument/2006/relationships/hyperlink" Target="https://www.coches.net/renault-megane-emotion-16-16v-5p-gasolina-2006-en-valencia-71867959-covo.aspx" TargetMode="External" Id="rId343"/><Relationship Type="http://schemas.openxmlformats.org/officeDocument/2006/relationships/hyperlink" Target="https://www.coches.net/renault-megane-business-dci-110-5p-diesel-2012-en-valencia-71684364-covo.aspx" TargetMode="External" Id="rId344"/><Relationship Type="http://schemas.openxmlformats.org/officeDocument/2006/relationships/hyperlink" Target="https://www.coches.net/renault-megane-coupecabrio-privilege-19dci-2p-diesel-2007-en-valencia-71386380-covo.aspx" TargetMode="External" Id="rId345"/><Relationship Type="http://schemas.openxmlformats.org/officeDocument/2006/relationships/hyperlink" Target="https://www.coches.net/renault-megane-dynamique-energy-dci-110-ss-eco2-3p-diesel-2012-en-valencia-71537820-covo.aspx" TargetMode="External" Id="rId346"/><Relationship Type="http://schemas.openxmlformats.org/officeDocument/2006/relationships/hyperlink" Target="https://www.coches.net/renault-megane-confort-authentique-16-16v-5p-gasolina-2006-en-valencia-71852185-covo.aspx" TargetMode="External" Id="rId347"/><Relationship Type="http://schemas.openxmlformats.org/officeDocument/2006/relationships/hyperlink" Target="https://www.coches.net/renault-megane-dynamique-15dci105-3p-diesel-2007-en-valencia-71829418-covo.aspx" TargetMode="External" Id="rId348"/><Relationship Type="http://schemas.openxmlformats.org/officeDocument/2006/relationships/hyperlink" Target="https://www.coches.net/renault-megane-dynamique-energy-dci-110-ss-5p-diesel-2012-en-valencia-71821979-covo.aspx" TargetMode="External" Id="rId349"/><Relationship Type="http://schemas.openxmlformats.org/officeDocument/2006/relationships/hyperlink" Target="https://www.coches.net/renault-megane-sport-tourer-dynamique-15dci-105cv-eco2-5p-diesel-2009-en-valencia-71783816-covo.aspx" TargetMode="External" Id="rId350"/><Relationship Type="http://schemas.openxmlformats.org/officeDocument/2006/relationships/hyperlink" Target="https://www.coches.net/renault-megane-sedan-confort-authentique-16-16v-4p-gasolina-2006-en-valencia-71789007-covo.aspx" TargetMode="External" Id="rId351"/><Relationship Type="http://schemas.openxmlformats.org/officeDocument/2006/relationships/hyperlink" Target="https://www.coches.net/renault-megane-business-dci-110-eco2-5p-diesel-2012-en-valencia-71755437-covo.aspx" TargetMode="External" Id="rId352"/><Relationship Type="http://schemas.openxmlformats.org/officeDocument/2006/relationships/hyperlink" Target="https://www.coches.net/renault-megane-gasolina-2006-en-valencia-71440250-covo.aspx" TargetMode="External" Id="rId353"/><Relationship Type="http://schemas.openxmlformats.org/officeDocument/2006/relationships/hyperlink" Target="https://www.coches.net/renault-megane-confort-dynamique-19dci-5p-diesel-2006-en-valencia-70788485-covo.aspx" TargetMode="External" Id="rId354"/><Relationship Type="http://schemas.openxmlformats.org/officeDocument/2006/relationships/hyperlink" Target="https://www.coches.net/renault-megane-intens-dci-95-eco2-5p-diesel-2015-en-valencia-70660202-covo.aspx" TargetMode="External" Id="rId355"/><Relationship Type="http://schemas.openxmlformats.org/officeDocument/2006/relationships/hyperlink" Target="https://www.coches.net/renault-modus-confort-dynamique-14-16v-5p-gasolina-2006-en-valencia-70833355-covo.aspx" TargetMode="External" Id="rId356"/><Relationship Type="http://schemas.openxmlformats.org/officeDocument/2006/relationships/hyperlink" Target="https://www.coches.net/renault-fluence-dynamique-dci-110cv-4p-diesel-2010-en-valencia-71604371-covo.aspx" TargetMode="External" Id="rId357"/><Relationship Type="http://schemas.openxmlformats.org/officeDocument/2006/relationships/hyperlink" Target="https://www.coches.net/renault-fluence-dynamique-16-16v-110-4p-gasolina-2012-en-valencia-71334952-covo.aspx" TargetMode="External" Id="rId358"/><Relationship Type="http://schemas.openxmlformats.org/officeDocument/2006/relationships/hyperlink" Target="https://www.coches.net/dacia-sandero-laureate-12-16v-75cv-5p-gasolina-2009-en-valencia-71749298-covo.aspx" TargetMode="External" Id="rId359"/><Relationship Type="http://schemas.openxmlformats.org/officeDocument/2006/relationships/hyperlink" Target="https://www.coches.net/dacia-sandero-base-12-75cv-acc-12d-5ra-5p-gasolina-2014-en-valencia-71618631-covo.aspx" TargetMode="External" Id="rId360"/><Relationship Type="http://schemas.openxmlformats.org/officeDocument/2006/relationships/hyperlink" Target="https://www.coches.net/dacia-logan-diesel-2015-en-valencia-71041099-covo.aspx" TargetMode="External" Id="rId361"/><Relationship Type="http://schemas.openxmlformats.org/officeDocument/2006/relationships/hyperlink" Target="https://www.coches.net/peugeot-107-10i-urban-3p-gasolina-2006-en-valencia-71267831-covo.aspx" TargetMode="External" Id="rId362"/><Relationship Type="http://schemas.openxmlformats.org/officeDocument/2006/relationships/hyperlink" Target="https://www.coches.net/peugeot-107-gasolina-2006-en-valencia-71267111-covo.aspx" TargetMode="External" Id="rId363"/><Relationship Type="http://schemas.openxmlformats.org/officeDocument/2006/relationships/hyperlink" Target="https://www.coches.net/peugeot-207-confort-14-vti-16v-95-5p-gasolina-2008-en-valencia-71858806-covo.aspx" TargetMode="External" Id="rId364"/><Relationship Type="http://schemas.openxmlformats.org/officeDocument/2006/relationships/hyperlink" Target="https://www.coches.net/peugeot-207-14-16v-xt-5p-gasolina-2006-en-valencia-71866323-covo.aspx" TargetMode="External" Id="rId365"/><Relationship Type="http://schemas.openxmlformats.org/officeDocument/2006/relationships/hyperlink" Target="https://www.coches.net/peugeot-207-14-16v-xt-5p-gasolina-2006-en-valencia-71828437-covo.aspx" TargetMode="External" Id="rId366"/><Relationship Type="http://schemas.openxmlformats.org/officeDocument/2006/relationships/hyperlink" Target="https://www.coches.net/peugeot-207-sw-confort-14-vti-16v-95-5p-gasolina-2009-en-valencia-71764589-covo.aspx" TargetMode="External" Id="rId367"/><Relationship Type="http://schemas.openxmlformats.org/officeDocument/2006/relationships/hyperlink" Target="https://www.coches.net/peugeot-207-confort-14-vti-16v-95-5p-gasolina-2008-en-valencia-71618681-covo.aspx" TargetMode="External" Id="rId368"/><Relationship Type="http://schemas.openxmlformats.org/officeDocument/2006/relationships/hyperlink" Target="https://www.coches.net/peugeot-207-14-16v-xline-5p-gasolina-2006-en-valencia-71678457-covo.aspx" TargetMode="External" Id="rId369"/><Relationship Type="http://schemas.openxmlformats.org/officeDocument/2006/relationships/hyperlink" Target="https://www.coches.net/peugeot-207-14-75-urban-3p-gasolina-2007-en-valencia-71786783-covo.aspx" TargetMode="External" Id="rId370"/><Relationship Type="http://schemas.openxmlformats.org/officeDocument/2006/relationships/hyperlink" Target="https://www.coches.net/peugeot-207-gasolina-2006-en-valencia-71515167-covo.aspx" TargetMode="External" Id="rId371"/><Relationship Type="http://schemas.openxmlformats.org/officeDocument/2006/relationships/hyperlink" Target="https://www.coches.net/peugeot-207-diesel-2009-en-valencia-71330739-covo.aspx" TargetMode="External" Id="rId372"/><Relationship Type="http://schemas.openxmlformats.org/officeDocument/2006/relationships/hyperlink" Target="https://www.coches.net/peugeot-207-gasolina-2007-en-valencia-71262537-covo.aspx" TargetMode="External" Id="rId373"/><Relationship Type="http://schemas.openxmlformats.org/officeDocument/2006/relationships/hyperlink" Target="https://www.coches.net/peugeot-208-5p-access-10l-puretech-68-5p-gasolina-2013-en-valencia-71854218-covo.aspx" TargetMode="External" Id="rId374"/><Relationship Type="http://schemas.openxmlformats.org/officeDocument/2006/relationships/hyperlink" Target="https://www.coches.net/peugeot-208-5p-allure-12l-puretech-82-5p-gasolina-2016-en-valencia-71469134-covo.aspx" TargetMode="External" Id="rId375"/><Relationship Type="http://schemas.openxmlformats.org/officeDocument/2006/relationships/hyperlink" Target="https://www.coches.net/peugeot-208-gasolina-2016-en-valencia-71376986-covo.aspx" TargetMode="External" Id="rId376"/><Relationship Type="http://schemas.openxmlformats.org/officeDocument/2006/relationships/hyperlink" Target="https://www.coches.net/peugeot-208-gasolina-2013-en-valencia-71221918-covo.aspx" TargetMode="External" Id="rId377"/><Relationship Type="http://schemas.openxmlformats.org/officeDocument/2006/relationships/hyperlink" Target="https://www.coches.net/peugeot-308-premium-20-hdi-136-fap-5p-diesel-2007-en-valencia-71569605-covo.aspx" TargetMode="External" Id="rId378"/><Relationship Type="http://schemas.openxmlformats.org/officeDocument/2006/relationships/hyperlink" Target="https://www.coches.net/citroen-c3-picasso-hdi-110cv-fap-airdream-exclusive-5p-diesel-2009-en-valencia-71733143-covo.aspx" TargetMode="External" Id="rId379"/><Relationship Type="http://schemas.openxmlformats.org/officeDocument/2006/relationships/hyperlink" Target="https://www.coches.net/citroen-c1-10-x-5p-gasolina-2006-en-valencia-71713025-covo.aspx" TargetMode="External" Id="rId380"/><Relationship Type="http://schemas.openxmlformats.org/officeDocument/2006/relationships/hyperlink" Target="https://www.coches.net/citroen-c3-11i-furio-5p-gasolina-2005-en-valencia-71492958-covo.aspx" TargetMode="External" Id="rId381"/><Relationship Type="http://schemas.openxmlformats.org/officeDocument/2006/relationships/hyperlink" Target="https://www.coches.net/citroen-c3-14i-16v-collection-5p-gasolina-2007-en-valencia-71792868-covo.aspx" TargetMode="External" Id="rId382"/><Relationship Type="http://schemas.openxmlformats.org/officeDocument/2006/relationships/hyperlink" Target="https://www.coches.net/citroen-c3-gasolina-2007-en-valencia-71702836-covo.aspx" TargetMode="External" Id="rId383"/><Relationship Type="http://schemas.openxmlformats.org/officeDocument/2006/relationships/hyperlink" Target="https://www.coches.net/citroen-c3-ehdi-70-cmp-collection-5p-diesel-2015-en-valencia-71844510-covo.aspx" TargetMode="External" Id="rId384"/><Relationship Type="http://schemas.openxmlformats.org/officeDocument/2006/relationships/hyperlink" Target="https://www.coches.net/citroen-c3-diesel-2006-en-valencia-71646911-covo.aspx" TargetMode="External" Id="rId385"/><Relationship Type="http://schemas.openxmlformats.org/officeDocument/2006/relationships/hyperlink" Target="https://www.coches.net/citroen-c3-bluehdi-75-live-5p-diesel-2016-en-valencia-71494516-covo.aspx" TargetMode="External" Id="rId386"/><Relationship Type="http://schemas.openxmlformats.org/officeDocument/2006/relationships/hyperlink" Target="https://www.coches.net/citroen-c3-gasolina-2014-en-valencia-71487014-covo.aspx" TargetMode="External" Id="rId387"/><Relationship Type="http://schemas.openxmlformats.org/officeDocument/2006/relationships/hyperlink" Target="https://www.coches.net/citroen-c3-11i-sx-5p-gasolina-2006-en-valencia-71438007-covo.aspx" TargetMode="External" Id="rId388"/><Relationship Type="http://schemas.openxmlformats.org/officeDocument/2006/relationships/hyperlink" Target="https://www.coches.net/citroen-c3-diesel-2006-en-valencia-71437728-covo.aspx" TargetMode="External" Id="rId389"/><Relationship Type="http://schemas.openxmlformats.org/officeDocument/2006/relationships/hyperlink" Target="https://www.coches.net/citroen-c3-gasolina-2006-en-valencia-71427611-covo.aspx" TargetMode="External" Id="rId390"/><Relationship Type="http://schemas.openxmlformats.org/officeDocument/2006/relationships/hyperlink" Target="https://www.coches.net/citroen-c3-14i-sx-5p-gasolina-2012-en-valencia-71399382-covo.aspx" TargetMode="External" Id="rId391"/><Relationship Type="http://schemas.openxmlformats.org/officeDocument/2006/relationships/hyperlink" Target="https://www.coches.net/citroen-c3-diesel-2007-en-valencia-71398931-covo.aspx" TargetMode="External" Id="rId392"/><Relationship Type="http://schemas.openxmlformats.org/officeDocument/2006/relationships/hyperlink" Target="https://www.coches.net/citroen-c3-diesel-2007-en-valencia-71250967-covo.aspx" TargetMode="External" Id="rId393"/><Relationship Type="http://schemas.openxmlformats.org/officeDocument/2006/relationships/hyperlink" Target="https://www.coches.net/citroen-c3-hdi-70-attraction-5p-diesel-2011-en-valencia-71041894-covo.aspx" TargetMode="External" Id="rId394"/><Relationship Type="http://schemas.openxmlformats.org/officeDocument/2006/relationships/hyperlink" Target="https://www.coches.net/citroen-c3-ehdi-115-exclusive-5p-diesel-2013-en-valencia-71039872-covo.aspx" TargetMode="External" Id="rId395"/><Relationship Type="http://schemas.openxmlformats.org/officeDocument/2006/relationships/hyperlink" Target="https://www.coches.net/citroen-c3-vti-68cv-tonic-5p-gasolina-2013-en-valencia-71055232-covo.aspx" TargetMode="External" Id="rId396"/><Relationship Type="http://schemas.openxmlformats.org/officeDocument/2006/relationships/hyperlink" Target="https://www.coches.net/citroen-c4-14-16v-lx-5p-gasolina-2004-en-valencia-71679274-covo.aspx" TargetMode="External" Id="rId397"/><Relationship Type="http://schemas.openxmlformats.org/officeDocument/2006/relationships/hyperlink" Target="https://www.coches.net/citroen-c4-14-16v-collection-5p-gasolina-2007-en-valencia-71857272-covo.aspx" TargetMode="External" Id="rId398"/><Relationship Type="http://schemas.openxmlformats.org/officeDocument/2006/relationships/hyperlink" Target="https://www.coches.net/citroen-c4-14-16v-cool-5p-gasolina-2005-en-valencia-71777076-covo.aspx" TargetMode="External" Id="rId399"/><Relationship Type="http://schemas.openxmlformats.org/officeDocument/2006/relationships/hyperlink" Target="https://www.coches.net/citroen-c4-16-16v-exclusive-5p-gasolina-2006-en-valencia-71757769-covo.aspx" TargetMode="External" Id="rId400"/><Relationship Type="http://schemas.openxmlformats.org/officeDocument/2006/relationships/hyperlink" Target="https://www.coches.net/citroen-c4-gasolina-2006-en-valencia-71716161-covo.aspx" TargetMode="External" Id="rId401"/><Relationship Type="http://schemas.openxmlformats.org/officeDocument/2006/relationships/hyperlink" Target="https://www.coches.net/citroen-c4-16-thp-155cv-cmp-exclusive-5p-gasolina-2013-en-valencia-71685782-covo.aspx" TargetMode="External" Id="rId402"/><Relationship Type="http://schemas.openxmlformats.org/officeDocument/2006/relationships/hyperlink" Target="https://www.coches.net/citroen-c4-diesel-2006-en-valencia-71659228-covo.aspx" TargetMode="External" Id="rId403"/><Relationship Type="http://schemas.openxmlformats.org/officeDocument/2006/relationships/hyperlink" Target="https://www.coches.net/citroen-c4-14-16v-lx-5p-gasolina-2006-en-valencia-71324072-covo.aspx" TargetMode="External" Id="rId404"/><Relationship Type="http://schemas.openxmlformats.org/officeDocument/2006/relationships/hyperlink" Target="https://www.coches.net/citroen-c-elysee-hdi-90cv-millenium-4p-diesel-2014-en-valencia-71818180-covo.aspx" TargetMode="External" Id="rId405"/><Relationship Type="http://schemas.openxmlformats.org/officeDocument/2006/relationships/hyperlink" Target="https://www.coches.net/ford-fiesta-14-tdci-trend-5p-diesel-2010-en-valencia-71618923-covo.aspx" TargetMode="External" Id="rId406"/><Relationship Type="http://schemas.openxmlformats.org/officeDocument/2006/relationships/hyperlink" Target="https://www.coches.net/ford-focus-18-tdci-trend-5p-diesel-2007-en-valencia-71863788-covo.aspx" TargetMode="External" Id="rId407"/><Relationship Type="http://schemas.openxmlformats.org/officeDocument/2006/relationships/hyperlink" Target="https://www.coches.net/ford-ka-gasolina-2006-en-valencia-71461561-covo.aspx" TargetMode="External" Id="rId408"/><Relationship Type="http://schemas.openxmlformats.org/officeDocument/2006/relationships/hyperlink" Target="https://www.coches.net/ford-ka-16i-sportka-3p-gasolina-2005-en-valencia-71253044-covo.aspx" TargetMode="External" Id="rId409"/><Relationship Type="http://schemas.openxmlformats.org/officeDocument/2006/relationships/hyperlink" Target="https://www.coches.net/ford-ka-13-3p-gasolina-2006-en-valencia-71371893-covo.aspx" TargetMode="External" Id="rId410"/><Relationship Type="http://schemas.openxmlformats.org/officeDocument/2006/relationships/hyperlink" Target="https://www.coches.net/ford-fiesta-13-newport-5p-gasolina-2006-en-valencia-71841456-covo.aspx" TargetMode="External" Id="rId411"/><Relationship Type="http://schemas.openxmlformats.org/officeDocument/2006/relationships/hyperlink" Target="https://www.coches.net/ford-fiesta-14-tdci-trend-5p-diesel-2012-en-valencia-71654849-covo.aspx" TargetMode="External" Id="rId412"/><Relationship Type="http://schemas.openxmlformats.org/officeDocument/2006/relationships/hyperlink" Target="https://www.coches.net/ford-fiesta-14-tdci-trend-5p-diesel-2011-en-valencia-71021675-covo.aspx" TargetMode="External" Id="rId413"/><Relationship Type="http://schemas.openxmlformats.org/officeDocument/2006/relationships/hyperlink" Target="https://www.coches.net/ford-fiesta-14-tdci-ghia-5p-diesel-2009-en-valencia-71579775-covo.aspx" TargetMode="External" Id="rId414"/><Relationship Type="http://schemas.openxmlformats.org/officeDocument/2006/relationships/hyperlink" Target="https://www.coches.net/ford-fiesta-diesel-2006-en-valencia-71519458-covo.aspx" TargetMode="External" Id="rId415"/><Relationship Type="http://schemas.openxmlformats.org/officeDocument/2006/relationships/hyperlink" Target="https://www.coches.net/ford-fiesta-125-60cv-ambiente-5p-gasolina-2007-en-valencia-71488118-covo.aspx" TargetMode="External" Id="rId416"/><Relationship Type="http://schemas.openxmlformats.org/officeDocument/2006/relationships/hyperlink" Target="https://www.coches.net/ford-fiesta-diesel-2007-en-valencia-71434628-covo.aspx" TargetMode="External" Id="rId417"/><Relationship Type="http://schemas.openxmlformats.org/officeDocument/2006/relationships/hyperlink" Target="https://www.coches.net/ford-fiesta-diesel-2006-en-valencia-71399309-covo.aspx" TargetMode="External" Id="rId418"/><Relationship Type="http://schemas.openxmlformats.org/officeDocument/2006/relationships/hyperlink" Target="https://www.coches.net/ford-fiesta-diesel-2007-en-valencia-71396447-covo.aspx" TargetMode="External" Id="rId419"/><Relationship Type="http://schemas.openxmlformats.org/officeDocument/2006/relationships/hyperlink" Target="https://www.coches.net/ford-fiesta-20-st-3p-gasolina-2007-en-valencia-71356641-covo.aspx" TargetMode="External" Id="rId420"/><Relationship Type="http://schemas.openxmlformats.org/officeDocument/2006/relationships/hyperlink" Target="https://www.coches.net/ford-focus-18-tdci-sport-3p-diesel-2006-en-valencia-71868483-covo.aspx" TargetMode="External" Id="rId421"/><Relationship Type="http://schemas.openxmlformats.org/officeDocument/2006/relationships/hyperlink" Target="https://www.coches.net/ford-focus-16-trend-5p-gasolina-2006-en-valencia-71869539-covo.aspx" TargetMode="External" Id="rId422"/><Relationship Type="http://schemas.openxmlformats.org/officeDocument/2006/relationships/hyperlink" Target="https://www.coches.net/ford-focus-16ti-vct-ghia-5p-gasolina-2007-en-valencia-71824946-covo.aspx" TargetMode="External" Id="rId423"/><Relationship Type="http://schemas.openxmlformats.org/officeDocument/2006/relationships/hyperlink" Target="https://www.coches.net/ford-focus-18-tdci-ghia-5p-diesel-2005-en-valencia-71099479-covo.aspx" TargetMode="External" Id="rId424"/><Relationship Type="http://schemas.openxmlformats.org/officeDocument/2006/relationships/hyperlink" Target="https://www.coches.net/ford-focus-18-tdci-ghia-5p-diesel-2007-en-valencia-71021526-covo.aspx" TargetMode="External" Id="rId425"/><Relationship Type="http://schemas.openxmlformats.org/officeDocument/2006/relationships/hyperlink" Target="https://www.coches.net/ford-focus-20-tdci-s-3p-diesel-2007-en-valencia-71726866-covo.aspx" TargetMode="External" Id="rId426"/><Relationship Type="http://schemas.openxmlformats.org/officeDocument/2006/relationships/hyperlink" Target="https://www.coches.net/ford-focus-16-trend-5p-gasolina-2006-en-valencia-71700165-covo.aspx" TargetMode="External" Id="rId427"/><Relationship Type="http://schemas.openxmlformats.org/officeDocument/2006/relationships/hyperlink" Target="https://www.coches.net/ford-focus-diesel-2010-en-valencia-71699041-covo.aspx" TargetMode="External" Id="rId428"/><Relationship Type="http://schemas.openxmlformats.org/officeDocument/2006/relationships/hyperlink" Target="https://www.coches.net/ford-focus-diesel-2006-en-valencia-71678600-covo.aspx" TargetMode="External" Id="rId429"/><Relationship Type="http://schemas.openxmlformats.org/officeDocument/2006/relationships/hyperlink" Target="https://www.coches.net/ford-fusion-14-tdci-ambiente-5p-diesel-2009-en-valencia-71793171-covo.aspx" TargetMode="External" Id="rId430"/><Relationship Type="http://schemas.openxmlformats.org/officeDocument/2006/relationships/hyperlink" Target="https://www.coches.net/fiat-linea-14-16v-tjet-120cv-dynamic-4p-gasolina-2007-en-valencia-70514152-covo.aspx" TargetMode="External" Id="rId431"/><Relationship Type="http://schemas.openxmlformats.org/officeDocument/2006/relationships/hyperlink" Target="https://www.coches.net/fiat-500-12-8v-69-cv-lounge-3p-gasolina-2014-en-valencia-62365434-covo.aspx" TargetMode="External" Id="rId432"/><Relationship Type="http://schemas.openxmlformats.org/officeDocument/2006/relationships/hyperlink" Target="https://www.coches.net/fiat-bravo-16-multijet-120-cv-emotion-5p-diesel-2012-en-valencia-71808710-covo.aspx" TargetMode="External" Id="rId433"/><Relationship Type="http://schemas.openxmlformats.org/officeDocument/2006/relationships/hyperlink" Target="https://www.coches.net/fiat-500-12-8v-69-cv-sport-3p-gasolina-2009-en-valencia-71804422-covo.aspx" TargetMode="External" Id="rId434"/><Relationship Type="http://schemas.openxmlformats.org/officeDocument/2006/relationships/hyperlink" Target="https://www.coches.net/fiat-fiorino-combi-adventure-13-mjt-75cv-5plazas-e5-4p-diesel-2016-en-valencia-71800515-covo.aspx" TargetMode="External" Id="rId435"/><Relationship Type="http://schemas.openxmlformats.org/officeDocument/2006/relationships/hyperlink" Target="https://www.coches.net/fiat-punto-12-feel-5p-gasolina-2005-en-valencia-71702947-covo.aspx" TargetMode="External" Id="rId436"/><Relationship Type="http://schemas.openxmlformats.org/officeDocument/2006/relationships/hyperlink" Target="https://www.coches.net/fiat-500-12-8v-69-cv-lounge-3p-gasolina-2012-en-valencia-71487805-covo.aspx" TargetMode="External" Id="rId437"/><Relationship Type="http://schemas.openxmlformats.org/officeDocument/2006/relationships/hyperlink" Target="https://www.coches.net/fiat-bravo-diesel-2007-en-valencia-71258359-covo.aspx" TargetMode="External" Id="rId438"/><Relationship Type="http://schemas.openxmlformats.org/officeDocument/2006/relationships/hyperlink" Target="https://www.coches.net/nissan-note-5p-14g-88cv-acenta-5p-gasolina-2011-en-valencia-71643063-covo.aspx" TargetMode="External" Id="rId439"/><Relationship Type="http://schemas.openxmlformats.org/officeDocument/2006/relationships/hyperlink" Target="https://www.coches.net/suzuki-alto-10-gl-5p-gasolina-2009-en-valencia-71530109-covo.aspx" TargetMode="External" Id="rId440"/><Relationship Type="http://schemas.openxmlformats.org/officeDocument/2006/relationships/hyperlink" Target="https://www.coches.net/suzuki-swift-diesel-2006-en-valencia-71666662-covo.aspx" TargetMode="External" Id="rId441"/><Relationship Type="http://schemas.openxmlformats.org/officeDocument/2006/relationships/hyperlink" Target="https://www.coches.net/suzuki-swift-13-gl-5p-5p-gasolina-2006-en-valencia-71604098-covo.aspx" TargetMode="External" Id="rId442"/><Relationship Type="http://schemas.openxmlformats.org/officeDocument/2006/relationships/hyperlink" Target="https://www.coches.net/audi-a3-sportback-19-tdi-ambiente-dpf-5p-diesel-2006-en-valencia-71649260-covo.aspx" TargetMode="External" Id="rId443"/><Relationship Type="http://schemas.openxmlformats.org/officeDocument/2006/relationships/hyperlink" Target="https://www.coches.net/mini-mini-cooper-3p-gasolina-2009-en-valencia-71855000-covo.aspx" TargetMode="External" Id="rId444"/><Relationship Type="http://schemas.openxmlformats.org/officeDocument/2006/relationships/hyperlink" Target="https://www.coches.net/mini-mini-one-3p-gasolina-2008-en-valencia-71821326-covo.aspx" TargetMode="External" Id="rId445"/><Relationship Type="http://schemas.openxmlformats.org/officeDocument/2006/relationships/hyperlink" Target="https://www.coches.net/mini-mini-cooper-3p-gasolina-2007-en-valencia-71805914-covo.aspx" TargetMode="External" Id="rId446"/><Relationship Type="http://schemas.openxmlformats.org/officeDocument/2006/relationships/hyperlink" Target="https://www.coches.net/mini-mini-one-seven-3p-gasolina-2006-en-valencia-71745074-covo.aspx" TargetMode="External" Id="rId447"/><Relationship Type="http://schemas.openxmlformats.org/officeDocument/2006/relationships/hyperlink" Target="https://www.coches.net/mini-mini-diesel-2007-en-valencia-71599977-covo.aspx" TargetMode="External" Id="rId448"/><Relationship Type="http://schemas.openxmlformats.org/officeDocument/2006/relationships/hyperlink" Target="https://www.coches.net/mini-mini-gasolina-2006-en-valencia-71570664-covo.aspx" TargetMode="External" Id="rId449"/><Relationship Type="http://schemas.openxmlformats.org/officeDocument/2006/relationships/hyperlink" Target="https://www.coches.net/mini-mini-one-3p-gasolina-2009-en-valencia-71445782-covo.aspx" TargetMode="External" Id="rId450"/><Relationship Type="http://schemas.openxmlformats.org/officeDocument/2006/relationships/hyperlink" Target="https://www.coches.net/mini-mini-one-3p-gasolina-2009-en-valencia-71332504-covo.aspx" TargetMode="External" Id="rId451"/><Relationship Type="http://schemas.openxmlformats.org/officeDocument/2006/relationships/hyperlink" Target="https://www.coches.net/mini-mini-gasolina-2007-en-valencia-71026453-covo.aspx" TargetMode="External" Id="rId452"/><Relationship Type="http://schemas.openxmlformats.org/officeDocument/2006/relationships/hyperlink" Target="https://www.coches.net/chevrolet-aveo-12-16v-ls-5p-gasolina-2010-en-valencia-71527060-covo.aspx" TargetMode="External" Id="rId453"/><Relationship Type="http://schemas.openxmlformats.org/officeDocument/2006/relationships/hyperlink" Target="https://www.coches.net/chevrolet-epica-20-vcdi-16v-lt-4p-diesel-2008-en-valencia-71536876-covo.aspx" TargetMode="External" Id="rId454"/><Relationship Type="http://schemas.openxmlformats.org/officeDocument/2006/relationships/hyperlink" Target="https://www.coches.net/chevrolet-nubira-gasolina-2006-en-valencia-71677537-covo.aspx" TargetMode="External" Id="rId455"/><Relationship Type="http://schemas.openxmlformats.org/officeDocument/2006/relationships/hyperlink" Target="https://www.coches.net/chevrolet-matiz-gasolina-2009-en-valencia-71593732-covo.aspx" TargetMode="External" Id="rId456"/><Relationship Type="http://schemas.openxmlformats.org/officeDocument/2006/relationships/hyperlink" Target="https://www.coches.net/chevrolet-matiz-gasolina-2008-en-valencia-71463242-covo.aspx" TargetMode="External" Id="rId457"/><Relationship Type="http://schemas.openxmlformats.org/officeDocument/2006/relationships/hyperlink" Target="https://www.coches.net/chevrolet-nubira-gasolina-2010-en-valencia-71265158-covo.aspx" TargetMode="External" Id="rId458"/><Relationship Type="http://schemas.openxmlformats.org/officeDocument/2006/relationships/hyperlink" Target="https://www.coches.net/chevrolet-aveo-gasolina-2006-en-valencia-71109870-covo.aspx" TargetMode="External" Id="rId459"/><Relationship Type="http://schemas.openxmlformats.org/officeDocument/2006/relationships/hyperlink" Target="https://www.coches.net/chevrolet-epica-gasolina-2009-en-valencia-70954238-covo.aspx" TargetMode="External" Id="rId460"/><Relationship Type="http://schemas.openxmlformats.org/officeDocument/2006/relationships/hyperlink" Target="https://www.coches.net/chevrolet-matiz-gasolina-2007-en-valencia-61193809-covo.aspx" TargetMode="External" Id="rId461"/><Relationship Type="http://schemas.openxmlformats.org/officeDocument/2006/relationships/hyperlink" Target="https://www.coches.net/toyota-aygo-10-vvti-aygo-5p-gasolina-2008-en-castellon-71821051-covo.aspx" TargetMode="External" Id="rId462"/><Relationship Type="http://schemas.openxmlformats.org/officeDocument/2006/relationships/hyperlink" Target="https://www.coches.net/toyota-corolla-diesel-2006-en-castellon-71307943-covo.aspx" TargetMode="External" Id="rId463"/><Relationship Type="http://schemas.openxmlformats.org/officeDocument/2006/relationships/hyperlink" Target="https://www.coches.net/toyota-corolla-14-d4d-90cv-luna-5p-diesel-2006-en-castellon-71285724-covo.aspx" TargetMode="External" Id="rId464"/><Relationship Type="http://schemas.openxmlformats.org/officeDocument/2006/relationships/hyperlink" Target="https://www.coches.net/honda-civic-22-ictdi-sport-5p-diesel-2006-en-castellon-70981692-covo.aspx" TargetMode="External" Id="rId465"/><Relationship Type="http://schemas.openxmlformats.org/officeDocument/2006/relationships/hyperlink" Target="https://www.coches.net/mazda-mazda2-active-14-crtd-5p-diesel-2007-en-castellon-71743921-covo.aspx" TargetMode="External" Id="rId466"/><Relationship Type="http://schemas.openxmlformats.org/officeDocument/2006/relationships/hyperlink" Target="https://www.coches.net/kia-ceed-diesel-2009-en-castellon-70963914-covo.aspx" TargetMode="External" Id="rId467"/><Relationship Type="http://schemas.openxmlformats.org/officeDocument/2006/relationships/hyperlink" Target="https://www.coches.net/hyundai-matrix-16-gls-5p-gasolina-2007-en-castellon-71754825-covo.aspx" TargetMode="External" Id="rId468"/><Relationship Type="http://schemas.openxmlformats.org/officeDocument/2006/relationships/hyperlink" Target="https://www.coches.net/hyundai-i30-16-cvvt-style-5p-gasolina-2008-en-castellon-70497853-covo.aspx" TargetMode="External" Id="rId469"/><Relationship Type="http://schemas.openxmlformats.org/officeDocument/2006/relationships/hyperlink" Target="https://www.coches.net/skoda-fabia-combi-14-16v-75cv-young-5p-gasolina-2006-en-castellon-71735711-covo.aspx" TargetMode="External" Id="rId470"/><Relationship Type="http://schemas.openxmlformats.org/officeDocument/2006/relationships/hyperlink" Target="https://www.coches.net/skoda-fabia-12-12v-60cv-young-5p-gasolina-2011-en-castellon-71112200-covo.aspx" TargetMode="External" Id="rId471"/><Relationship Type="http://schemas.openxmlformats.org/officeDocument/2006/relationships/hyperlink" Target="https://www.coches.net/seat-ibiza-19-tdi-100cv-hit-5p-diesel-2007-en-castellon-62641273-covo.aspx" TargetMode="External" Id="rId472"/><Relationship Type="http://schemas.openxmlformats.org/officeDocument/2006/relationships/hyperlink" Target="https://www.coches.net/seat-ibiza-14-tdi-80cv-reference-5p-diesel-2007-en-castellon-71827782-covo.aspx" TargetMode="External" Id="rId473"/><Relationship Type="http://schemas.openxmlformats.org/officeDocument/2006/relationships/hyperlink" Target="https://www.coches.net/seat-ibiza-diesel-2009-en-castellon-71479587-covo.aspx" TargetMode="External" Id="rId474"/><Relationship Type="http://schemas.openxmlformats.org/officeDocument/2006/relationships/hyperlink" Target="https://www.coches.net/seat-cordoba-diesel-2007-en-castellon-71450904-covo.aspx" TargetMode="External" Id="rId475"/><Relationship Type="http://schemas.openxmlformats.org/officeDocument/2006/relationships/hyperlink" Target="https://www.coches.net/seat-leon-gasolina-2007-en-castellon-71374977-covo.aspx" TargetMode="External" Id="rId476"/><Relationship Type="http://schemas.openxmlformats.org/officeDocument/2006/relationships/hyperlink" Target="https://www.coches.net/seat-altea-xl-diesel-2006-en-castellon-71302646-covo.aspx" TargetMode="External" Id="rId477"/><Relationship Type="http://schemas.openxmlformats.org/officeDocument/2006/relationships/hyperlink" Target="https://www.coches.net/seat-leon-19-tdi-105cv-reference-5p-diesel-2007-en-castellon-71091125-covo.aspx" TargetMode="External" Id="rId478"/><Relationship Type="http://schemas.openxmlformats.org/officeDocument/2006/relationships/hyperlink" Target="https://www.coches.net/volkswagen-fox-14-3p-gasolina-2006-en-castellon-71837257-covo.aspx" TargetMode="External" Id="rId479"/><Relationship Type="http://schemas.openxmlformats.org/officeDocument/2006/relationships/hyperlink" Target="https://www.coches.net/volkswagen-polo-14-advance-75cv-3p-gasolina-2006-en-castellon-71807828-covo.aspx" TargetMode="External" Id="rId480"/><Relationship Type="http://schemas.openxmlformats.org/officeDocument/2006/relationships/hyperlink" Target="https://www.coches.net/volkswagen-polo-19-tdi-highline-100cv-5p-diesel-2007-en-castellon-71792798-covo.aspx" TargetMode="External" Id="rId481"/><Relationship Type="http://schemas.openxmlformats.org/officeDocument/2006/relationships/hyperlink" Target="https://www.coches.net/volkswagen-up-10-60cv-black-up-5p-gasolina-2012-en-castellon-71850085-covo.aspx" TargetMode="External" Id="rId482"/><Relationship Type="http://schemas.openxmlformats.org/officeDocument/2006/relationships/hyperlink" Target="https://www.coches.net/volkswagen-golf-variant-19-tdi-105cv-advance-5p-diesel-2007-en-castellon-71720362-covo.aspx" TargetMode="External" Id="rId483"/><Relationship Type="http://schemas.openxmlformats.org/officeDocument/2006/relationships/hyperlink" Target="https://www.coches.net/opel-astra-17-cdti-110-cv-sport-5p-diesel-2010-en-castellon-71874637-covo.aspx" TargetMode="External" Id="rId484"/><Relationship Type="http://schemas.openxmlformats.org/officeDocument/2006/relationships/hyperlink" Target="https://www.coches.net/opel-corsa-17-cdti-sport-3p-diesel-2010-en-castellon-71766461-covo.aspx" TargetMode="External" Id="rId485"/><Relationship Type="http://schemas.openxmlformats.org/officeDocument/2006/relationships/hyperlink" Target="https://www.coches.net/opel-corsa-14-expression-75-cv-3p-gasolina-2015-en-castellon-71743852-covo.aspx" TargetMode="External" Id="rId486"/><Relationship Type="http://schemas.openxmlformats.org/officeDocument/2006/relationships/hyperlink" Target="https://www.coches.net/opel-corsa-diesel-2015-en-castellon-71641526-covo.aspx" TargetMode="External" Id="rId487"/><Relationship Type="http://schemas.openxmlformats.org/officeDocument/2006/relationships/hyperlink" Target="https://www.coches.net/opel-astra-gtc-17-cdti-sport-3p-diesel-2007-en-castellon-71626737-covo.aspx" TargetMode="External" Id="rId488"/><Relationship Type="http://schemas.openxmlformats.org/officeDocument/2006/relationships/hyperlink" Target="https://www.coches.net/opel-corsa-enjoy-12-5p-gasolina-2008-en-castellon-71526255-covo.aspx" TargetMode="External" Id="rId489"/><Relationship Type="http://schemas.openxmlformats.org/officeDocument/2006/relationships/hyperlink" Target="https://www.coches.net/opel-corsa-cosmo-14-5p-gasolina-2008-en-castellon-71365444-covo.aspx" TargetMode="External" Id="rId490"/><Relationship Type="http://schemas.openxmlformats.org/officeDocument/2006/relationships/hyperlink" Target="https://www.coches.net/opel-astra-gtc-17-cdti-sport-6velocidades-3p-diesel-2006-en-castellon-71364410-covo.aspx" TargetMode="External" Id="rId491"/><Relationship Type="http://schemas.openxmlformats.org/officeDocument/2006/relationships/hyperlink" Target="https://www.coches.net/opel-corsa-gasolina-2008-en-castellon-71357426-covo.aspx" TargetMode="External" Id="rId492"/><Relationship Type="http://schemas.openxmlformats.org/officeDocument/2006/relationships/hyperlink" Target="https://www.coches.net/opel-astra-17-cdti-cosmo-5p-diesel-2010-en-castellon-71309711-covo.aspx" TargetMode="External" Id="rId493"/><Relationship Type="http://schemas.openxmlformats.org/officeDocument/2006/relationships/hyperlink" Target="https://www.coches.net/opel-corsa-diesel-2006-en-castellon-71431998-covo.aspx" TargetMode="External" Id="rId494"/><Relationship Type="http://schemas.openxmlformats.org/officeDocument/2006/relationships/hyperlink" Target="https://www.coches.net/renault-megane-limited-dci-110-eco2-5p-diesel-2014-en-castellon-71829616-covo.aspx" TargetMode="External" Id="rId495"/><Relationship Type="http://schemas.openxmlformats.org/officeDocument/2006/relationships/hyperlink" Target="https://www.coches.net/renault-megane-dynamique-16-16v-3p-gasolina-2006-en-castellon-71804078-covo.aspx" TargetMode="External" Id="rId496"/><Relationship Type="http://schemas.openxmlformats.org/officeDocument/2006/relationships/hyperlink" Target="https://www.coches.net/renault-laguna-expression-20dci-130cv-5p-diesel-2009-en-castellon-71721921-covo.aspx" TargetMode="External" Id="rId497"/><Relationship Type="http://schemas.openxmlformats.org/officeDocument/2006/relationships/hyperlink" Target="https://www.coches.net/renault-megane-gasolina-2009-en-castellon-71669228-covo.aspx" TargetMode="External" Id="rId498"/><Relationship Type="http://schemas.openxmlformats.org/officeDocument/2006/relationships/hyperlink" Target="https://www.coches.net/renault-megane-sport-tourer-business-dci-110-5p-diesel-2012-en-castellon-71609841-covo.aspx" TargetMode="External" Id="rId499"/><Relationship Type="http://schemas.openxmlformats.org/officeDocument/2006/relationships/hyperlink" Target="https://www.coches.net/renault-twingo-authentique-12-eco2-3p-gasolina-2008-en-castellon-70895846-covo.aspx" TargetMode="External" Id="rId500"/><Relationship Type="http://schemas.openxmlformats.org/officeDocument/2006/relationships/hyperlink" Target="https://www.coches.net/renault-megane-diesel-2011-en-castellon-71539906-covo.aspx" TargetMode="External" Id="rId501"/><Relationship Type="http://schemas.openxmlformats.org/officeDocument/2006/relationships/hyperlink" Target="https://www.coches.net/renault-megane-business-energy-dci-110-ss-eco2-5p-diesel-2013-en-castellon-71493075-covo.aspx" TargetMode="External" Id="rId502"/><Relationship Type="http://schemas.openxmlformats.org/officeDocument/2006/relationships/hyperlink" Target="https://www.coches.net/renault-clio-diesel-2012-en-castellon-71583806-covo.aspx" TargetMode="External" Id="rId503"/><Relationship Type="http://schemas.openxmlformats.org/officeDocument/2006/relationships/hyperlink" Target="https://www.coches.net/renault-clio-iii-diesel-2012-en-castellon-71222696-covo.aspx" TargetMode="External" Id="rId504"/><Relationship Type="http://schemas.openxmlformats.org/officeDocument/2006/relationships/hyperlink" Target="https://www.coches.net/renault-clio-campus-campus-authentique-12-5p-gasolina-2006-en-castellon-71287668-covo.aspx" TargetMode="External" Id="rId505"/><Relationship Type="http://schemas.openxmlformats.org/officeDocument/2006/relationships/hyperlink" Target="https://www.coches.net/dacia-sandero-podium-12-16v-75cv-5p-gasolina-2012-en-castellon-71669055-covo.aspx" TargetMode="External" Id="rId506"/><Relationship Type="http://schemas.openxmlformats.org/officeDocument/2006/relationships/hyperlink" Target="https://www.coches.net/dacia-sandero-ambiance-12-16v-75cv-5p-gasolina-2010-en-castellon-71800200-covo.aspx" TargetMode="External" Id="rId507"/><Relationship Type="http://schemas.openxmlformats.org/officeDocument/2006/relationships/hyperlink" Target="https://www.coches.net/dacia-sandero-gasolina-2010-en-castellon-71424773-covo.aspx" TargetMode="External" Id="rId508"/><Relationship Type="http://schemas.openxmlformats.org/officeDocument/2006/relationships/hyperlink" Target="https://www.coches.net/dacia-logan-ambiance-dci-90-eu6-4p-diesel-2016-en-castellon-71305630-covo.aspx" TargetMode="External" Id="rId509"/><Relationship Type="http://schemas.openxmlformats.org/officeDocument/2006/relationships/hyperlink" Target="https://www.coches.net/dacia-sandero-laureate-12-16v-75cv-5p-gasolina-2009-en-castellon-71299528-covo.aspx" TargetMode="External" Id="rId510"/><Relationship Type="http://schemas.openxmlformats.org/officeDocument/2006/relationships/hyperlink" Target="https://www.coches.net/peugeot-207-confort-14-vti-16v-95-5p-gasolina-2009-en-castellon-71576158-covo.aspx" TargetMode="External" Id="rId511"/><Relationship Type="http://schemas.openxmlformats.org/officeDocument/2006/relationships/hyperlink" Target="https://www.coches.net/peugeot-108-gasolina-2018-en-castellon-71718082-covo.aspx" TargetMode="External" Id="rId512"/><Relationship Type="http://schemas.openxmlformats.org/officeDocument/2006/relationships/hyperlink" Target="https://www.coches.net/peugeot-108-top-allure-12-puretech-60kw-82cv-5p-gasolina-2017-en-castellon-71692509-covo.aspx" TargetMode="External" Id="rId513"/><Relationship Type="http://schemas.openxmlformats.org/officeDocument/2006/relationships/hyperlink" Target="https://www.coches.net/peugeot-206-gasolina-2010-en-castellon-71623136-covo.aspx" TargetMode="External" Id="rId514"/><Relationship Type="http://schemas.openxmlformats.org/officeDocument/2006/relationships/hyperlink" Target="https://www.coches.net/peugeot-308-gasolina-2008-en-castellon-71554085-covo.aspx" TargetMode="External" Id="rId515"/><Relationship Type="http://schemas.openxmlformats.org/officeDocument/2006/relationships/hyperlink" Target="https://www.coches.net/peugeot-308-gasolina-2008-en-castellon-71336300-covo.aspx" TargetMode="External" Id="rId516"/><Relationship Type="http://schemas.openxmlformats.org/officeDocument/2006/relationships/hyperlink" Target="https://www.coches.net/citroen-c1-10-sx-3p-gasolina-2005-en-castellon-71743794-covo.aspx" TargetMode="External" Id="rId517"/><Relationship Type="http://schemas.openxmlformats.org/officeDocument/2006/relationships/hyperlink" Target="https://www.coches.net/citroen-c3-11i-sx-5p-gasolina-2007-en-castellon-71829623-covo.aspx" TargetMode="External" Id="rId518"/><Relationship Type="http://schemas.openxmlformats.org/officeDocument/2006/relationships/hyperlink" Target="https://www.coches.net/citroen-c4-gasolina-2006-en-castellon-71690884-covo.aspx" TargetMode="External" Id="rId519"/><Relationship Type="http://schemas.openxmlformats.org/officeDocument/2006/relationships/hyperlink" Target="https://www.coches.net/citroen-c4-14-16v-collection-5p-gasolina-2004-en-castellon-71573999-covo.aspx" TargetMode="External" Id="rId520"/><Relationship Type="http://schemas.openxmlformats.org/officeDocument/2006/relationships/hyperlink" Target="https://www.coches.net/citroen-c4-gasolina-2007-en-castellon-71545301-covo.aspx" TargetMode="External" Id="rId521"/><Relationship Type="http://schemas.openxmlformats.org/officeDocument/2006/relationships/hyperlink" Target="https://www.coches.net/citroen-c4-gasolina-2009-en-castellon-71487124-covo.aspx" TargetMode="External" Id="rId522"/><Relationship Type="http://schemas.openxmlformats.org/officeDocument/2006/relationships/hyperlink" Target="https://www.coches.net/citroen-c4-14-16v-sx-5p-gasolina-2006-en-castellon-71302665-covo.aspx" TargetMode="External" Id="rId523"/><Relationship Type="http://schemas.openxmlformats.org/officeDocument/2006/relationships/hyperlink" Target="https://www.coches.net/citroen-c3-gasolina-2006-en-castellon-71131545-covo.aspx" TargetMode="External" Id="rId524"/><Relationship Type="http://schemas.openxmlformats.org/officeDocument/2006/relationships/hyperlink" Target="https://www.coches.net/citroen-c4-16-16v-collection-3p-gasolina-2007-en-castellon-70992587-covo.aspx" TargetMode="External" Id="rId525"/><Relationship Type="http://schemas.openxmlformats.org/officeDocument/2006/relationships/hyperlink" Target="https://www.coches.net/ford-focus-16-trend-5p-gasolina-2009-en-castellon-71827603-covo.aspx" TargetMode="External" Id="rId526"/><Relationship Type="http://schemas.openxmlformats.org/officeDocument/2006/relationships/hyperlink" Target="https://www.coches.net/ford-fiesta-125-60cv-ambiente-5p-gasolina-2009-en-castellon-71566517-covo.aspx" TargetMode="External" Id="rId527"/><Relationship Type="http://schemas.openxmlformats.org/officeDocument/2006/relationships/hyperlink" Target="https://www.coches.net/ford-fiesta-diesel-2009-en-castellon-71452715-covo.aspx" TargetMode="External" Id="rId528"/><Relationship Type="http://schemas.openxmlformats.org/officeDocument/2006/relationships/hyperlink" Target="https://www.coches.net/fiat-bravo-19-multijet-120-cv-active-5p-diesel-2007-en-castellon-71781100-covo.aspx" TargetMode="External" Id="rId529"/><Relationship Type="http://schemas.openxmlformats.org/officeDocument/2006/relationships/hyperlink" Target="https://www.coches.net/fiat-500-09-turbo-twinair-85cv-blackjack-3p-gasolina-2007-en-castellon-70833137-covo.aspx" TargetMode="External" Id="rId530"/><Relationship Type="http://schemas.openxmlformats.org/officeDocument/2006/relationships/hyperlink" Target="https://www.coches.net/suzuki-swift-13-ddis-glx-5p-5p-diesel-2007-en-castellon-71874126-covo.aspx" TargetMode="External" Id="rId531"/><Relationship Type="http://schemas.openxmlformats.org/officeDocument/2006/relationships/hyperlink" Target="https://www.coches.net/mitsubishi-colt-gasolina-2006-en-castellon-71561708-covo.aspx" TargetMode="External" Id="rId532"/><Relationship Type="http://schemas.openxmlformats.org/officeDocument/2006/relationships/hyperlink" Target="https://www.coches.net/audi-a3-sportback-19-tdi-ambition-dpf-5p-diesel-2006-en-castellon-71260271-covo.aspx" TargetMode="External" Id="rId533"/><Relationship Type="http://schemas.openxmlformats.org/officeDocument/2006/relationships/hyperlink" Target="https://www.coches.net/mini-mini-gasolina-2010-en-castellon-71617678-covo.aspx" TargetMode="External" Id="rId534"/><Relationship Type="http://schemas.openxmlformats.org/officeDocument/2006/relationships/hyperlink" Target="https://www.coches.net/mini-mini-gasolina-2010-en-castellon-71575875-covo.aspx" TargetMode="External" Id="rId535"/><Relationship Type="http://schemas.openxmlformats.org/officeDocument/2006/relationships/hyperlink" Target="https://www.coches.net/mini-mini-one-3p-gasolina-2011-en-castellon-71405848-covo.aspx" TargetMode="External" Id="rId536"/><Relationship Type="http://schemas.openxmlformats.org/officeDocument/2006/relationships/hyperlink" Target="https://www.coches.net/mini-mini-one-d-3p-diesel-2006-en-castellon-71354523-covo.aspx" TargetMode="External" Id="rId537"/><Relationship Type="http://schemas.openxmlformats.org/officeDocument/2006/relationships/hyperlink" Target="https://www.coches.net/smart-forfour-15-cdi-68cv-pure-5p-diesel-2006-en-castellon-70558216-covo.aspx" TargetMode="External" Id="rId538"/><Relationship Type="http://schemas.openxmlformats.org/officeDocument/2006/relationships/hyperlink" Target="https://www.coches.net/chevrolet-aveo-12-16v-ls-5p-gasolina-2011-en-castellon-71789822-covo.aspx" TargetMode="External" Id="rId539"/><Relationship Type="http://schemas.openxmlformats.org/officeDocument/2006/relationships/hyperlink" Target="https://www.coches.net/chevrolet-matiz-10-s-5p-gasolina-2006-en-castellon-71686041-covo.aspx" TargetMode="External" Id="rId540"/><Relationship Type="http://schemas.openxmlformats.org/officeDocument/2006/relationships/hyperlink" Target="https://www.coches.net/chevrolet-kalos-gasolina-2008-en-castellon-71555558-covo.aspx" TargetMode="External" Id="rId541"/><Relationship Type="http://schemas.openxmlformats.org/officeDocument/2006/relationships/hyperlink" Target="https://www.coches.net/chevrolet-kalos-12-se-5p-gasolina-2007-en-castellon-71504768-covo.aspx" TargetMode="External" Id="rId542"/><Relationship Type="http://schemas.openxmlformats.org/officeDocument/2006/relationships/hyperlink" Target="https://www.coches.net/chevrolet-epica-20-vcdi-16v-lt-4p-diesel-2009-en-castellon-71502762-covo.aspx" TargetMode="External" Id="rId543"/><Relationship Type="http://schemas.openxmlformats.org/officeDocument/2006/relationships/hyperlink" Target="https://www.coches.net/chevrolet-kalos-12-se-3p-gasolina-2006-en-castellon-71319739-covo.aspx" TargetMode="External" Id="rId54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U545"/>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30" customWidth="1" min="49" max="49"/>
    <col width="40" customWidth="1" min="50" max="50"/>
    <col width="60" customWidth="1" min="51" max="51"/>
    <col width="30"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Matrícula</t>
        </is>
      </c>
      <c r="AO1" s="1" t="inlineStr">
        <is>
          <t>1.ª matriculación (anuncio)</t>
        </is>
      </c>
      <c r="AP1" s="1" t="inlineStr">
        <is>
          <t>Año 1.ª matric.</t>
        </is>
      </c>
      <c r="AQ1" s="1" t="inlineStr">
        <is>
          <t>Mes 1.ª matric.</t>
        </is>
      </c>
      <c r="AR1" s="1" t="inlineStr">
        <is>
          <t>Etiqueta DGT/anuncio</t>
        </is>
      </c>
      <c r="AS1" s="1" t="inlineStr">
        <is>
          <t>Fuente etiqueta</t>
        </is>
      </c>
      <c r="AT1" s="1" t="inlineStr">
        <is>
          <t>Mediana de mercado del segmento (€)</t>
        </is>
      </c>
      <c r="AU1" s="1" t="inlineStr">
        <is>
          <t>N mercado</t>
        </is>
      </c>
      <c r="AV1" s="1" t="inlineStr">
        <is>
          <t>Nivel mediana mercado</t>
        </is>
      </c>
      <c r="AW1" s="1" t="inlineStr">
        <is>
          <t>Duplicados fusionados</t>
        </is>
      </c>
      <c r="AX1" s="1" t="inlineStr">
        <is>
          <t>Avisos</t>
        </is>
      </c>
      <c r="AY1" s="1" t="inlineStr">
        <is>
          <t>Descripción</t>
        </is>
      </c>
      <c r="AZ1" s="1" t="inlineStr">
        <is>
          <t>Fuente (fichero /raw)</t>
        </is>
      </c>
      <c r="BA1" s="1" t="inlineStr">
        <is>
          <t>Edad (años)</t>
        </is>
      </c>
      <c r="BB1" s="1" t="inlineStr">
        <is>
          <t>Km/año</t>
        </is>
      </c>
      <c r="BC1" s="1" t="inlineStr">
        <is>
          <t>Seg. modelo</t>
        </is>
      </c>
      <c r="BD1" s="1" t="inlineStr">
        <is>
          <t>Seg. modelo+año</t>
        </is>
      </c>
      <c r="BE1" s="1" t="inlineStr">
        <is>
          <t>Seg. modelo+año+km</t>
        </is>
      </c>
      <c r="BF1" s="1" t="inlineStr">
        <is>
          <t>N modelo</t>
        </is>
      </c>
      <c r="BG1" s="1" t="inlineStr">
        <is>
          <t>N modelo+año</t>
        </is>
      </c>
      <c r="BH1" s="1" t="inlineStr">
        <is>
          <t>N modelo+año+km</t>
        </is>
      </c>
      <c r="BI1" s="1" t="inlineStr">
        <is>
          <t>Mediana segmento (€)</t>
        </is>
      </c>
      <c r="BJ1" s="1" t="inlineStr">
        <is>
          <t>Nivel mediana</t>
        </is>
      </c>
      <c r="BK1" s="1" t="inlineStr">
        <is>
          <t>Descuento vs mediana</t>
        </is>
      </c>
      <c r="BL1" s="1" t="inlineStr">
        <is>
          <t>Año frontera (1/0)</t>
        </is>
      </c>
      <c r="BM1" s="1" t="inlineStr">
        <is>
          <t>Año anterior frontera (1/0)</t>
        </is>
      </c>
      <c r="BN1" s="1" t="inlineStr">
        <is>
          <t>AAAAMM para la regla</t>
        </is>
      </c>
      <c r="BO1" s="1" t="inlineStr">
        <is>
          <t>Etiqueta por regla</t>
        </is>
      </c>
      <c r="BP1" s="1" t="inlineStr">
        <is>
          <t>ETIQUETA</t>
        </is>
      </c>
      <c r="BQ1" s="1" t="inlineStr">
        <is>
          <t>Etiqueta dudosa</t>
        </is>
      </c>
      <c r="BR1" s="1" t="inlineStr">
        <is>
          <t>Fiab. base modelo</t>
        </is>
      </c>
      <c r="BS1" s="1" t="inlineStr">
        <is>
          <t>Ajuste motor</t>
        </is>
      </c>
      <c r="BT1" s="1" t="inlineStr">
        <is>
          <t>Ajuste combustible</t>
        </is>
      </c>
      <c r="BU1" s="1" t="inlineStr">
        <is>
          <t>Motor con fuente (nº entradas)</t>
        </is>
      </c>
      <c r="BV1" s="1" t="inlineStr">
        <is>
          <t>Fiab. base aplicada</t>
        </is>
      </c>
      <c r="BW1" s="1" t="inlineStr">
        <is>
          <t>P. Fiabilidad</t>
        </is>
      </c>
      <c r="BX1" s="1" t="inlineStr">
        <is>
          <t>P. Precio</t>
        </is>
      </c>
      <c r="BY1" s="1" t="inlineStr">
        <is>
          <t>P. km totales</t>
        </is>
      </c>
      <c r="BZ1" s="1" t="inlineStr">
        <is>
          <t>P. km/año</t>
        </is>
      </c>
      <c r="CA1" s="1" t="inlineStr">
        <is>
          <t>P. edad</t>
        </is>
      </c>
      <c r="CB1" s="1" t="inlineStr">
        <is>
          <t>P. Km y edad</t>
        </is>
      </c>
      <c r="CC1" s="1" t="inlineStr">
        <is>
          <t>P. Anuncio</t>
        </is>
      </c>
      <c r="CD1" s="1" t="inlineStr">
        <is>
          <t>P. Etiqueta y ZBE</t>
        </is>
      </c>
      <c r="CE1" s="1" t="inlineStr">
        <is>
          <t>P. consumo (PENDIENTE)</t>
        </is>
      </c>
      <c r="CF1" s="1" t="inlineStr">
        <is>
          <t>Seguro estimado €/año (aprox.)</t>
        </is>
      </c>
      <c r="CG1" s="1" t="inlineStr">
        <is>
          <t>P. seguro</t>
        </is>
      </c>
      <c r="CH1" s="1" t="inlineStr">
        <is>
          <t>P. Coste uso</t>
        </is>
      </c>
      <c r="CI1" s="1" t="inlineStr">
        <is>
          <t>Garantía efectiva (meses)</t>
        </is>
      </c>
      <c r="CJ1" s="1" t="inlineStr">
        <is>
          <t>P. Seguridad compra</t>
        </is>
      </c>
      <c r="CK1" s="1" t="inlineStr">
        <is>
          <t>Penalización carrocería (puntos)</t>
        </is>
      </c>
      <c r="CL1" s="1" t="inlineStr">
        <is>
          <t>PUNTUACIÓN</t>
        </is>
      </c>
      <c r="CM1" s="1" t="inlineStr">
        <is>
          <t>cc para ITP</t>
        </is>
      </c>
      <c r="CN1" s="1" t="inlineStr">
        <is>
          <t>ITP (€)</t>
        </is>
      </c>
      <c r="CO1" s="1" t="inlineStr">
        <is>
          <t>Gastos vendedor en coste (€)</t>
        </is>
      </c>
      <c r="CP1" s="1" t="inlineStr">
        <is>
          <t>Tasa DGT (€)</t>
        </is>
      </c>
      <c r="CQ1" s="1" t="inlineStr">
        <is>
          <t>Informe DGT (€)</t>
        </is>
      </c>
      <c r="CR1" s="1" t="inlineStr">
        <is>
          <t>COSTE TOTAL (€)</t>
        </is>
      </c>
      <c r="CS1" s="1" t="inlineStr">
        <is>
          <t>Coste 1er año con seguro (€)</t>
        </is>
      </c>
      <c r="CT1" s="1" t="inlineStr">
        <is>
          <t>Presupuesto (sí / negociar / no)</t>
        </is>
      </c>
      <c r="CU1" s="1" t="inlineStr">
        <is>
          <t>Puesto</t>
        </is>
      </c>
    </row>
    <row r="2">
      <c r="A2" s="2" t="inlineStr">
        <is>
          <t>ocasionplus:b9f8hqaq</t>
        </is>
      </c>
      <c r="B2" s="2" t="inlineStr">
        <is>
          <t>ocasionplus</t>
        </is>
      </c>
      <c r="C2" s="2" t="inlineStr">
        <is>
          <t>https://www.ocasionplus.com/coches-segunda-mano/opel-astra-17-cdti-edition-con-174458km-2009-b9f8hqaq</t>
        </is>
      </c>
      <c r="D2" s="2" t="inlineStr">
        <is>
          <t>Opel Astra 1.7 CDTI Edition (110 CV)</t>
        </is>
      </c>
      <c r="E2" s="2" t="inlineStr">
        <is>
          <t>Opel</t>
        </is>
      </c>
      <c r="F2" s="2" t="inlineStr">
        <is>
          <t>Opel Astra</t>
        </is>
      </c>
      <c r="G2" s="2" t="inlineStr">
        <is>
          <t>1.7 CDTi</t>
        </is>
      </c>
      <c r="H2" s="2" t="inlineStr">
        <is>
          <t>Opel Astra 1.7 CDTI Edition (110 CV)</t>
        </is>
      </c>
      <c r="I2" s="2" t="n">
        <v>1686</v>
      </c>
      <c r="J2" s="2" t="n">
        <v>110</v>
      </c>
      <c r="K2" s="2" t="inlineStr">
        <is>
          <t>diesel</t>
        </is>
      </c>
      <c r="L2" s="2" t="inlineStr">
        <is>
          <t>compacto</t>
        </is>
      </c>
      <c r="M2" s="2" t="n">
        <v>2009</v>
      </c>
      <c r="N2" s="2" t="n">
        <v>174458</v>
      </c>
      <c r="O2" s="2" t="n">
        <v>4480</v>
      </c>
      <c r="P2" s="2" t="inlineStr">
        <is>
          <t>manual</t>
        </is>
      </c>
      <c r="Q2" s="2" t="inlineStr">
        <is>
          <t>no</t>
        </is>
      </c>
      <c r="R2" s="2" t="inlineStr">
        <is>
          <t>profesional</t>
        </is>
      </c>
      <c r="S2" s="2" t="inlineStr">
        <is>
          <t>Valencia - Gandía (Gandía, 46702)</t>
        </is>
      </c>
      <c r="T2" s="2" t="inlineStr">
        <is>
          <t>2026-10-27T00:00:00.000Z</t>
        </is>
      </c>
      <c r="U2" s="2" t="n">
        <v>103</v>
      </c>
      <c r="V2" s="2" t="inlineStr">
        <is>
          <t>sí</t>
        </is>
      </c>
      <c r="W2" s="2" t="inlineStr">
        <is>
          <t>sí</t>
        </is>
      </c>
      <c r="X2" s="2" t="n"/>
      <c r="Y2" s="2" t="n">
        <v>1</v>
      </c>
      <c r="Z2" s="2" t="inlineStr">
        <is>
          <t>sí</t>
        </is>
      </c>
      <c r="AA2" s="2" t="n"/>
      <c r="AB2" s="2" t="n">
        <v>12</v>
      </c>
      <c r="AC2" s="2" t="inlineStr">
        <is>
          <t>sí</t>
        </is>
      </c>
      <c r="AD2" s="2" t="n">
        <v>600</v>
      </c>
      <c r="AE2" s="2" t="n">
        <v>200</v>
      </c>
      <c r="AF2" s="2" t="inlineStr">
        <is>
          <t>sí</t>
        </is>
      </c>
      <c r="AG2" s="2" t="n"/>
      <c r="AH2" s="2" t="n">
        <v>4480</v>
      </c>
      <c r="AI2" s="2" t="n">
        <v>4480</v>
      </c>
      <c r="AJ2" s="2" t="inlineStr">
        <is>
          <t>no</t>
        </is>
      </c>
      <c r="AK2" s="2" t="n">
        <v>350</v>
      </c>
      <c r="AL2" s="2" t="inlineStr">
        <is>
          <t>sí</t>
        </is>
      </c>
      <c r="AM2" s="2" t="n">
        <v>58.4</v>
      </c>
      <c r="AN2" s="2" t="inlineStr">
        <is>
          <t>8611GSH</t>
        </is>
      </c>
      <c r="AO2" s="2" t="inlineStr">
        <is>
          <t>2009-12-16</t>
        </is>
      </c>
      <c r="AP2" s="2" t="n">
        <v>2009</v>
      </c>
      <c r="AQ2" s="2" t="n">
        <v>12</v>
      </c>
      <c r="AR2" s="2" t="inlineStr">
        <is>
          <t>B</t>
        </is>
      </c>
      <c r="AS2" s="2" t="inlineStr">
        <is>
          <t>DGT</t>
        </is>
      </c>
      <c r="AT2" s="2" t="n">
        <v>4300</v>
      </c>
      <c r="AU2" s="2" t="n">
        <v>17</v>
      </c>
      <c r="AV2" s="2" t="inlineStr">
        <is>
          <t>modelo+año+km</t>
        </is>
      </c>
      <c r="AW2" s="2" t="inlineStr">
        <is>
          <t>cochesnet:71847920 (https://www.coches.net/opel-astra-17-cdti-edition-5p-diesel-2010-en-valencia-71847920-covo.aspx); autoscout24:30a773f6-bab7-4317-b641-5999a4e84b1e (https://www.autoscout24.es/anuncios/opel-astra-1-7cdti-edition-110-diesel-negro-cat_ma54mo1916-30a773f6-bab7-4317-b641-5999a4e84b1e); wallapop:1317875143 (https://es.wallapop.com/item/opel-astra-1-7-cdti-edition-81-kw-110-cv-1317875143)</t>
        </is>
      </c>
      <c r="AX2" s="2" t="inlineStr">
        <is>
          <t>vendedor profesional: sin ITP (operación con IVA/REBU, confirmar en factura); diésel: motor sin fuente de fiabilidad (fiabilidad limitada a neutra)</t>
        </is>
      </c>
      <c r="AY2" s="2" t="inlineStr">
        <is>
          <t>Opel Astra 1.7 CDTI Edition (110 CV)</t>
        </is>
      </c>
      <c r="AZ2" s="2" t="inlineStr">
        <is>
          <t>https://www.ocasionplus.com/coches-segunda-mano/opel-astra-17-cdti-edition-con-174458km-2009-b9f8hqaq (payload RSC 'vehicle') /home/user/Alopecia/buscador-coches/raw/ocasionplus/ca754db5993f1a49.json</t>
        </is>
      </c>
      <c r="BA2" s="3">
        <f>MAX(ANIO_ACTUAL-M2,0)</f>
        <v/>
      </c>
      <c r="BB2" s="4">
        <f>N2/MAX(BA2,0.5)</f>
        <v/>
      </c>
      <c r="BC2" s="4">
        <f>F2</f>
        <v/>
      </c>
      <c r="BD2" s="3">
        <f>BC2&amp;"|"&amp;INT(M2/SEG_ANIO)*SEG_ANIO</f>
        <v/>
      </c>
      <c r="BE2" s="3">
        <f>BD2&amp;"|"&amp;INT(N2/SEG_KM)*SEG_KM</f>
        <v/>
      </c>
      <c r="BF2" s="4">
        <f>COUNTIF($BC$2:$BC$545,BC2)</f>
        <v/>
      </c>
      <c r="BG2" s="4">
        <f>COUNTIF($BD$2:$BD$545,BD2)</f>
        <v/>
      </c>
      <c r="BH2" s="4">
        <f>COUNTIF($BE$2:$BE$545,BE2)</f>
        <v/>
      </c>
      <c r="BI2" s="3">
        <f t="array" ref="BI2">IF(N(AU2)&gt;=MIN_N,AT2,IF(BH2&gt;=MIN_N,MEDIAN(IF($BE$2:$BE$545=BE2,$O$2:$O$545)),IF(BG2&gt;=MIN_N,MEDIAN(IF($BD$2:$BD$545=BD2,$O$2:$O$545)),MEDIAN(IF($BC$2:$BC$545=BC2,$O$2:$O$545)))))</f>
        <v/>
      </c>
      <c r="BJ2" s="3">
        <f>IF(N(AU2)&gt;=MIN_N,"mercado "&amp;AV2,IF(BH2&gt;=MIN_N,"modelo+año+km",IF(BG2&gt;=MIN_N,"modelo+año","modelo")))</f>
        <v/>
      </c>
      <c r="BK2" s="4">
        <f>(BI2-O2)/BI2</f>
        <v/>
      </c>
      <c r="BL2" s="3">
        <f>IF(COUNTIFS(FR_FUEL,K2,FR_YEAR,AP2)&gt;0,1,0)</f>
        <v/>
      </c>
      <c r="BM2" s="3">
        <f>IF(COUNTIFS(FR_FUEL,K2,FR_YEAR,AP2-1)&gt;0,1,0)</f>
        <v/>
      </c>
      <c r="BN2" s="4">
        <f>IF(N(AQ2)&gt;0,AP2*100+AQ2,IF(AND(BL2=1,BM2=1),(AP2-1)*100+1,AP2*100+1))</f>
        <v/>
      </c>
      <c r="BO2" s="3">
        <f>IF(OR(K2="hibrido",K2="glp",K2="gnc",K2="phev"),"ECO",IF(K2="electrico","CERO",IF(K2="gasolina",IF(BN2&gt;=GAS_C_YM,"C",IF(BN2&gt;=GAS_B_YM,"B","A")),IF(K2="diesel",IF(BN2&gt;=DIE_C_YM,"C",IF(BN2&gt;=DIE_B_YM,"B","A")),""))))</f>
        <v/>
      </c>
      <c r="BP2" s="2" t="inlineStr">
        <is>
          <t>B</t>
        </is>
      </c>
      <c r="BQ2" s="4">
        <f>IF(AS2="regla",IF(AND(N(AQ2)=0,BL2=1),"sí","no"),"no")</f>
        <v/>
      </c>
      <c r="BR2" s="3">
        <f>IFERROR(VLOOKUP(F2,MOD_TBL,11,0),IFERROR(VLOOKUP(E2,OCU_TBL,2,0),NEUTRO))</f>
        <v/>
      </c>
      <c r="BS2" s="3">
        <f>SUMIFS(MOT_AJUSTE,MOT_MOTOR,G2,MOT_MARCA,E2,MOT_DESDE,"&lt;="&amp;M2,MOT_HASTA,"&gt;="&amp;M2)+SUMIFS(MOT_AJUSTE,MOT_MOTOR,G2,MOT_MARCA,"(todas)",MOT_DESDE,"&lt;="&amp;M2,MOT_HASTA,"&gt;="&amp;M2)</f>
        <v/>
      </c>
      <c r="BT2" s="3">
        <f>SUMIFS(COMB_AJUSTE,COMB_COMB,K2)</f>
        <v/>
      </c>
      <c r="BU2" s="3">
        <f>COUNTIFS(MOT_MOTOR,G2,MOT_MARCA,E2,MOT_DESDE,"&lt;="&amp;M2,MOT_HASTA,"&gt;="&amp;M2)+COUNTIFS(MOT_MOTOR,G2,MOT_MARCA,"(todas)",MOT_DESDE,"&lt;="&amp;M2,MOT_HASTA,"&gt;="&amp;M2)</f>
        <v/>
      </c>
      <c r="BV2" s="3">
        <f>IF(AND(K2="diesel",BU2=0),MIN(BR2,NEUTRO),BR2)</f>
        <v/>
      </c>
      <c r="BW2" s="4">
        <f>MAX(0,MIN(100,BV2+BS2+BT2))</f>
        <v/>
      </c>
      <c r="BX2" s="3">
        <f>MAX(0,MIN(100,50+BK2*PRECIO_PEND))</f>
        <v/>
      </c>
      <c r="BY2" s="3">
        <f>MAX(0,100*(1-N2/KM_MAX))</f>
        <v/>
      </c>
      <c r="BZ2" s="3">
        <f>IF(BB2&lt;KMA_SOSP,IF(AA2="sí",100,KMA_PEN),IF(BB2&lt;=KMA_IDEAL_MAX,100,MAX(0,100*(KMA_CERO-BB2)/(KMA_CERO-KMA_IDEAL_MAX))))</f>
        <v/>
      </c>
      <c r="CA2" s="3">
        <f>MAX(0,MIN(100,100*(M2-ANIO_MIN)/(ANIO_ACTUAL-ANIO_MIN)))</f>
        <v/>
      </c>
      <c r="CB2" s="3">
        <f>W_KMT*BY2+W_KMA*BZ2+W_EDAD*CA2</f>
        <v/>
      </c>
      <c r="CC2" s="3">
        <f>P_ITV*(V2="sí")+P_LIBRO*(W2="sí")+P_CORREA*(X2="sí")+P_PROP*(Y2=1)+P_GAR*(Z2="sí")+P_FOTOS*MIN(1,N(U2)/FOTOS_OBJ)</f>
        <v/>
      </c>
      <c r="CD2" s="3">
        <f>MAX(0,MIN(100,IFERROR(VLOOKUP(BP2,ETQ_TBL,2,0),0)-IF(BQ2="sí",ETQ_PEN_DUD,IF(AS2="regla",ETQ_PEN_REGLA,0))))</f>
        <v/>
      </c>
      <c r="CE2" s="3">
        <f>NEUTRO</f>
        <v/>
      </c>
      <c r="CF2" s="3">
        <f>IFERROR(VLOOKUP(L2,SEGURO_TBL,3,0),"")</f>
        <v/>
      </c>
      <c r="CG2" s="3">
        <f>IF(CF2="",NEUTRO,MAX(0,MIN(100,100*(SEG_REF_MAX-CF2)/(SEG_REF_MAX-SEG_REF_MIN))))</f>
        <v/>
      </c>
      <c r="CH2" s="3">
        <f>W_CONS*CE2+W_SEG*CG2</f>
        <v/>
      </c>
      <c r="CI2" s="3">
        <f>IF(N(AB2)&gt;0,AB2,IF(AND(R2="profesional",SG_LEGAL_ON=1),GAR_LEGAL,0))</f>
        <v/>
      </c>
      <c r="CJ2" s="3">
        <f>SG_GAR*MIN(1,CI2/SG_GAR_FULL)+SG_AMPL*(AC2="sí")+SG_KMC*(AF2="sí")+SG_REV*(N(AE2)&gt;0)+SG_DEV*MIN(1,N(AG2)/SG_DEV_FULL)+SG_HIST*(W2="sí")</f>
        <v/>
      </c>
      <c r="CK2" s="3">
        <f>IFERROR(VLOOKUP(L2,CARR_PEN_TBL,2,0),0)</f>
        <v/>
      </c>
      <c r="CL2" s="3">
        <f>W_FIAB*BW2+W_PRECIO*BX2+W_KMEDAD*CB2+W_ANUNCIO*CC2+W_USO*CH2+W_SEGURIDAD*CJ2+W_ETIQUETA*CD2-CK2</f>
        <v/>
      </c>
      <c r="CM2" s="4">
        <f>IF(N(I2)&gt;0,I2,IFERROR(ROUND(_xlfn.NUMBERVALUE(LEFT(G2,FIND(" ",G2&amp;" ")-1),".")*1000,0),99999))</f>
        <v/>
      </c>
      <c r="CN2" s="3">
        <f>IF(R2="profesional",0,IF(O2&lt;CUOTA_VALOR_MAX,IF(BA2&gt;ITP_TRAMO_ALTO,SUMIFS(CF_CUOTA,CF_MAS,ITP_TRAMO_ALTO,CF_CCMIN,"&lt;="&amp;CM2,CF_CCMAX,"&gt;="&amp;CM2),IF(BA2&gt;ITP_TRAMO_BAJO,SUMIFS(CF_CUOTA,CF_MAS,ITP_TRAMO_BAJO,CF_CCMIN,"&lt;="&amp;CM2,CF_CCMAX,"&gt;="&amp;CM2),O2*ITP_TIPO)),O2*ITP_TIPO))</f>
        <v/>
      </c>
      <c r="CO2" s="4">
        <f>IF(R2="profesional",N(AK2),0)</f>
        <v/>
      </c>
      <c r="CP2" s="3">
        <f>IF(AND(R2="profesional",ISNUMBER(AK2),AL2="sí"),0,TASA_DGT)</f>
        <v/>
      </c>
      <c r="CQ2" s="3">
        <f>INFORME_DGT</f>
        <v/>
      </c>
      <c r="CR2" s="4">
        <f>O2+CO2+CN2+CP2+CQ2</f>
        <v/>
      </c>
      <c r="CS2" s="4">
        <f>CR2+N(CF2)</f>
        <v/>
      </c>
      <c r="CT2" s="3">
        <f>IF(CR2&lt;=TOTAL_MAX,"sí",IF(CR2&lt;=TOTAL_MAX+MARGEN_NEG,"negociar","no"))</f>
        <v/>
      </c>
      <c r="CU2" s="4">
        <f>IF(CT2&lt;&gt;"no",COUNTIFS($CT$2:$CT$545,"&lt;&gt;no",$CL$2:$CL$545,"&gt;"&amp;CL2)+COUNTIFS($CT$2:CT2,"&lt;&gt;no",$CL$2:CL2,CL2),"")</f>
        <v/>
      </c>
    </row>
    <row r="3">
      <c r="A3" s="2" t="inlineStr">
        <is>
          <t>ocasionplus:b9auzqaa</t>
        </is>
      </c>
      <c r="B3" s="2" t="inlineStr">
        <is>
          <t>ocasionplus</t>
        </is>
      </c>
      <c r="C3" s="2" t="inlineStr">
        <is>
          <t>https://www.ocasionplus.com/coches-segunda-mano/peugeot-207-14-confort-con-116183km-2008-b9auzqaa</t>
        </is>
      </c>
      <c r="D3" s="2" t="inlineStr">
        <is>
          <t>Peugeot 207 1.4 Confort (75 CV)</t>
        </is>
      </c>
      <c r="E3" s="2" t="inlineStr">
        <is>
          <t>Peugeot</t>
        </is>
      </c>
      <c r="F3" s="2" t="inlineStr">
        <is>
          <t>Peugeot 207</t>
        </is>
      </c>
      <c r="G3" s="2" t="inlineStr">
        <is>
          <t>1.4</t>
        </is>
      </c>
      <c r="H3" s="2" t="inlineStr">
        <is>
          <t>Peugeot 207 1.4 Confort (75 CV)</t>
        </is>
      </c>
      <c r="I3" s="2" t="n">
        <v>1360</v>
      </c>
      <c r="J3" s="2" t="n">
        <v>75</v>
      </c>
      <c r="K3" s="2" t="inlineStr">
        <is>
          <t>gasolina</t>
        </is>
      </c>
      <c r="L3" s="2" t="inlineStr">
        <is>
          <t>utilitario</t>
        </is>
      </c>
      <c r="M3" s="2" t="n">
        <v>2008</v>
      </c>
      <c r="N3" s="2" t="n">
        <v>116183</v>
      </c>
      <c r="O3" s="2" t="n">
        <v>2900</v>
      </c>
      <c r="P3" s="2" t="inlineStr">
        <is>
          <t>manual</t>
        </is>
      </c>
      <c r="Q3" s="2" t="inlineStr">
        <is>
          <t>no</t>
        </is>
      </c>
      <c r="R3" s="2" t="inlineStr">
        <is>
          <t>profesional</t>
        </is>
      </c>
      <c r="S3" s="2" t="inlineStr">
        <is>
          <t>Valencia - Sagunto (Sagunto, 46500)</t>
        </is>
      </c>
      <c r="T3" s="2" t="inlineStr">
        <is>
          <t>2026-10-27T00:00:00.000Z</t>
        </is>
      </c>
      <c r="U3" s="2" t="n">
        <v>25</v>
      </c>
      <c r="V3" s="2" t="inlineStr">
        <is>
          <t>sí</t>
        </is>
      </c>
      <c r="W3" s="2" t="n"/>
      <c r="X3" s="2" t="n"/>
      <c r="Y3" s="2" t="n">
        <v>0</v>
      </c>
      <c r="Z3" s="2" t="n"/>
      <c r="AA3" s="2" t="n"/>
      <c r="AB3" s="2" t="n"/>
      <c r="AC3" s="2" t="inlineStr">
        <is>
          <t>sí</t>
        </is>
      </c>
      <c r="AD3" s="2" t="n">
        <v>500</v>
      </c>
      <c r="AE3" s="2" t="n"/>
      <c r="AF3" s="2" t="inlineStr">
        <is>
          <t>sí</t>
        </is>
      </c>
      <c r="AG3" s="2" t="n"/>
      <c r="AH3" s="2" t="n">
        <v>2900</v>
      </c>
      <c r="AI3" s="2" t="n">
        <v>2900</v>
      </c>
      <c r="AJ3" s="2" t="inlineStr">
        <is>
          <t>no</t>
        </is>
      </c>
      <c r="AK3" s="2" t="n">
        <v>350</v>
      </c>
      <c r="AL3" s="2" t="inlineStr">
        <is>
          <t>sí</t>
        </is>
      </c>
      <c r="AM3" s="2" t="n">
        <v>25.5</v>
      </c>
      <c r="AN3" s="2" t="inlineStr">
        <is>
          <t>8408GBN</t>
        </is>
      </c>
      <c r="AO3" s="2" t="inlineStr">
        <is>
          <t>2008-03-03</t>
        </is>
      </c>
      <c r="AP3" s="2" t="n">
        <v>2008</v>
      </c>
      <c r="AQ3" s="2" t="n">
        <v>3</v>
      </c>
      <c r="AR3" s="2" t="inlineStr">
        <is>
          <t>C</t>
        </is>
      </c>
      <c r="AS3" s="2" t="inlineStr">
        <is>
          <t>DGT</t>
        </is>
      </c>
      <c r="AT3" s="2" t="n">
        <v>3550</v>
      </c>
      <c r="AU3" s="2" t="n">
        <v>30</v>
      </c>
      <c r="AV3" s="2" t="inlineStr">
        <is>
          <t>modelo+año+km</t>
        </is>
      </c>
      <c r="AW3" s="2" t="n"/>
      <c r="AX3" s="2" t="inlineStr">
        <is>
          <t>vendedor profesional: sin ITP (operación con IVA/REBU, confirmar en factura); fiabilidad del modelo PENDIENTE de fuente (puntuación neutra)</t>
        </is>
      </c>
      <c r="AY3" s="2" t="inlineStr">
        <is>
          <t>Peugeot 207 1.4 Confort (75 CV)</t>
        </is>
      </c>
      <c r="AZ3" s="2" t="inlineStr">
        <is>
          <t>https://www.ocasionplus.com/coches-segunda-mano/peugeot-207-14-confort-con-116183km-2008-b9auzqaa (payload RSC 'vehicle') /home/user/Alopecia/buscador-coches/raw/ocasionplus/fc0eb20181760918.json</t>
        </is>
      </c>
      <c r="BA3" s="3">
        <f>MAX(ANIO_ACTUAL-M3,0)</f>
        <v/>
      </c>
      <c r="BB3" s="4">
        <f>N3/MAX(BA3,0.5)</f>
        <v/>
      </c>
      <c r="BC3" s="4">
        <f>F3</f>
        <v/>
      </c>
      <c r="BD3" s="3">
        <f>BC3&amp;"|"&amp;INT(M3/SEG_ANIO)*SEG_ANIO</f>
        <v/>
      </c>
      <c r="BE3" s="3">
        <f>BD3&amp;"|"&amp;INT(N3/SEG_KM)*SEG_KM</f>
        <v/>
      </c>
      <c r="BF3" s="4">
        <f>COUNTIF($BC$2:$BC$545,BC3)</f>
        <v/>
      </c>
      <c r="BG3" s="4">
        <f>COUNTIF($BD$2:$BD$545,BD3)</f>
        <v/>
      </c>
      <c r="BH3" s="4">
        <f>COUNTIF($BE$2:$BE$545,BE3)</f>
        <v/>
      </c>
      <c r="BI3" s="3">
        <f t="array" ref="BI3">IF(N(AU3)&gt;=MIN_N,AT3,IF(BH3&gt;=MIN_N,MEDIAN(IF($BE$2:$BE$545=BE3,$O$2:$O$545)),IF(BG3&gt;=MIN_N,MEDIAN(IF($BD$2:$BD$545=BD3,$O$2:$O$545)),MEDIAN(IF($BC$2:$BC$545=BC3,$O$2:$O$545)))))</f>
        <v/>
      </c>
      <c r="BJ3" s="3">
        <f>IF(N(AU3)&gt;=MIN_N,"mercado "&amp;AV3,IF(BH3&gt;=MIN_N,"modelo+año+km",IF(BG3&gt;=MIN_N,"modelo+año","modelo")))</f>
        <v/>
      </c>
      <c r="BK3" s="4">
        <f>(BI3-O3)/BI3</f>
        <v/>
      </c>
      <c r="BL3" s="3">
        <f>IF(COUNTIFS(FR_FUEL,K3,FR_YEAR,AP3)&gt;0,1,0)</f>
        <v/>
      </c>
      <c r="BM3" s="3">
        <f>IF(COUNTIFS(FR_FUEL,K3,FR_YEAR,AP3-1)&gt;0,1,0)</f>
        <v/>
      </c>
      <c r="BN3" s="4">
        <f>IF(N(AQ3)&gt;0,AP3*100+AQ3,IF(AND(BL3=1,BM3=1),(AP3-1)*100+1,AP3*100+1))</f>
        <v/>
      </c>
      <c r="BO3" s="3">
        <f>IF(OR(K3="hibrido",K3="glp",K3="gnc",K3="phev"),"ECO",IF(K3="electrico","CERO",IF(K3="gasolina",IF(BN3&gt;=GAS_C_YM,"C",IF(BN3&gt;=GAS_B_YM,"B","A")),IF(K3="diesel",IF(BN3&gt;=DIE_C_YM,"C",IF(BN3&gt;=DIE_B_YM,"B","A")),""))))</f>
        <v/>
      </c>
      <c r="BP3" s="2" t="inlineStr">
        <is>
          <t>C</t>
        </is>
      </c>
      <c r="BQ3" s="4">
        <f>IF(AS3="regla",IF(AND(N(AQ3)=0,BL3=1),"sí","no"),"no")</f>
        <v/>
      </c>
      <c r="BR3" s="3">
        <f>IFERROR(VLOOKUP(F3,MOD_TBL,11,0),IFERROR(VLOOKUP(E3,OCU_TBL,2,0),NEUTRO))</f>
        <v/>
      </c>
      <c r="BS3" s="3">
        <f>SUMIFS(MOT_AJUSTE,MOT_MOTOR,G3,MOT_MARCA,E3,MOT_DESDE,"&lt;="&amp;M3,MOT_HASTA,"&gt;="&amp;M3)+SUMIFS(MOT_AJUSTE,MOT_MOTOR,G3,MOT_MARCA,"(todas)",MOT_DESDE,"&lt;="&amp;M3,MOT_HASTA,"&gt;="&amp;M3)</f>
        <v/>
      </c>
      <c r="BT3" s="3">
        <f>SUMIFS(COMB_AJUSTE,COMB_COMB,K3)</f>
        <v/>
      </c>
      <c r="BU3" s="3">
        <f>COUNTIFS(MOT_MOTOR,G3,MOT_MARCA,E3,MOT_DESDE,"&lt;="&amp;M3,MOT_HASTA,"&gt;="&amp;M3)+COUNTIFS(MOT_MOTOR,G3,MOT_MARCA,"(todas)",MOT_DESDE,"&lt;="&amp;M3,MOT_HASTA,"&gt;="&amp;M3)</f>
        <v/>
      </c>
      <c r="BV3" s="3">
        <f>IF(AND(K3="diesel",BU3=0),MIN(BR3,NEUTRO),BR3)</f>
        <v/>
      </c>
      <c r="BW3" s="4">
        <f>MAX(0,MIN(100,BV3+BS3+BT3))</f>
        <v/>
      </c>
      <c r="BX3" s="3">
        <f>MAX(0,MIN(100,50+BK3*PRECIO_PEND))</f>
        <v/>
      </c>
      <c r="BY3" s="3">
        <f>MAX(0,100*(1-N3/KM_MAX))</f>
        <v/>
      </c>
      <c r="BZ3" s="3">
        <f>IF(BB3&lt;KMA_SOSP,IF(AA3="sí",100,KMA_PEN),IF(BB3&lt;=KMA_IDEAL_MAX,100,MAX(0,100*(KMA_CERO-BB3)/(KMA_CERO-KMA_IDEAL_MAX))))</f>
        <v/>
      </c>
      <c r="CA3" s="3">
        <f>MAX(0,MIN(100,100*(M3-ANIO_MIN)/(ANIO_ACTUAL-ANIO_MIN)))</f>
        <v/>
      </c>
      <c r="CB3" s="3">
        <f>W_KMT*BY3+W_KMA*BZ3+W_EDAD*CA3</f>
        <v/>
      </c>
      <c r="CC3" s="3">
        <f>P_ITV*(V3="sí")+P_LIBRO*(W3="sí")+P_CORREA*(X3="sí")+P_PROP*(Y3=1)+P_GAR*(Z3="sí")+P_FOTOS*MIN(1,N(U3)/FOTOS_OBJ)</f>
        <v/>
      </c>
      <c r="CD3" s="3">
        <f>MAX(0,MIN(100,IFERROR(VLOOKUP(BP3,ETQ_TBL,2,0),0)-IF(BQ3="sí",ETQ_PEN_DUD,IF(AS3="regla",ETQ_PEN_REGLA,0))))</f>
        <v/>
      </c>
      <c r="CE3" s="3">
        <f>NEUTRO</f>
        <v/>
      </c>
      <c r="CF3" s="3">
        <f>IFERROR(VLOOKUP(L3,SEGURO_TBL,3,0),"")</f>
        <v/>
      </c>
      <c r="CG3" s="3">
        <f>IF(CF3="",NEUTRO,MAX(0,MIN(100,100*(SEG_REF_MAX-CF3)/(SEG_REF_MAX-SEG_REF_MIN))))</f>
        <v/>
      </c>
      <c r="CH3" s="3">
        <f>W_CONS*CE3+W_SEG*CG3</f>
        <v/>
      </c>
      <c r="CI3" s="3">
        <f>IF(N(AB3)&gt;0,AB3,IF(AND(R3="profesional",SG_LEGAL_ON=1),GAR_LEGAL,0))</f>
        <v/>
      </c>
      <c r="CJ3" s="3">
        <f>SG_GAR*MIN(1,CI3/SG_GAR_FULL)+SG_AMPL*(AC3="sí")+SG_KMC*(AF3="sí")+SG_REV*(N(AE3)&gt;0)+SG_DEV*MIN(1,N(AG3)/SG_DEV_FULL)+SG_HIST*(W3="sí")</f>
        <v/>
      </c>
      <c r="CK3" s="3">
        <f>IFERROR(VLOOKUP(L3,CARR_PEN_TBL,2,0),0)</f>
        <v/>
      </c>
      <c r="CL3" s="3">
        <f>W_FIAB*BW3+W_PRECIO*BX3+W_KMEDAD*CB3+W_ANUNCIO*CC3+W_USO*CH3+W_SEGURIDAD*CJ3+W_ETIQUETA*CD3-CK3</f>
        <v/>
      </c>
      <c r="CM3" s="4">
        <f>IF(N(I3)&gt;0,I3,IFERROR(ROUND(_xlfn.NUMBERVALUE(LEFT(G3,FIND(" ",G3&amp;" ")-1),".")*1000,0),99999))</f>
        <v/>
      </c>
      <c r="CN3" s="3">
        <f>IF(R3="profesional",0,IF(O3&lt;CUOTA_VALOR_MAX,IF(BA3&gt;ITP_TRAMO_ALTO,SUMIFS(CF_CUOTA,CF_MAS,ITP_TRAMO_ALTO,CF_CCMIN,"&lt;="&amp;CM3,CF_CCMAX,"&gt;="&amp;CM3),IF(BA3&gt;ITP_TRAMO_BAJO,SUMIFS(CF_CUOTA,CF_MAS,ITP_TRAMO_BAJO,CF_CCMIN,"&lt;="&amp;CM3,CF_CCMAX,"&gt;="&amp;CM3),O3*ITP_TIPO)),O3*ITP_TIPO))</f>
        <v/>
      </c>
      <c r="CO3" s="4">
        <f>IF(R3="profesional",N(AK3),0)</f>
        <v/>
      </c>
      <c r="CP3" s="3">
        <f>IF(AND(R3="profesional",ISNUMBER(AK3),AL3="sí"),0,TASA_DGT)</f>
        <v/>
      </c>
      <c r="CQ3" s="3">
        <f>INFORME_DGT</f>
        <v/>
      </c>
      <c r="CR3" s="4">
        <f>O3+CO3+CN3+CP3+CQ3</f>
        <v/>
      </c>
      <c r="CS3" s="4">
        <f>CR3+N(CF3)</f>
        <v/>
      </c>
      <c r="CT3" s="3">
        <f>IF(CR3&lt;=TOTAL_MAX,"sí",IF(CR3&lt;=TOTAL_MAX+MARGEN_NEG,"negociar","no"))</f>
        <v/>
      </c>
      <c r="CU3" s="4">
        <f>IF(CT3&lt;&gt;"no",COUNTIFS($CT$2:$CT$545,"&lt;&gt;no",$CL$2:$CL$545,"&gt;"&amp;CL3)+COUNTIFS($CT$2:CT3,"&lt;&gt;no",$CL$2:CL3,CL3),"")</f>
        <v/>
      </c>
    </row>
    <row r="4">
      <c r="A4" s="2" t="inlineStr">
        <is>
          <t>ocasionplus:saqsyqa5</t>
        </is>
      </c>
      <c r="B4" s="2" t="inlineStr">
        <is>
          <t>ocasionplus</t>
        </is>
      </c>
      <c r="C4" s="2" t="inlineStr">
        <is>
          <t>https://www.ocasionplus.com/coches-segunda-mano/ford-ka-13-collection-con-115071km-2008-saqsyqa5</t>
        </is>
      </c>
      <c r="D4" s="2" t="inlineStr">
        <is>
          <t>Ford Ka 1.3 Collection (70 CV)</t>
        </is>
      </c>
      <c r="E4" s="2" t="inlineStr">
        <is>
          <t>Ford</t>
        </is>
      </c>
      <c r="F4" s="2" t="inlineStr">
        <is>
          <t>Ford Ka</t>
        </is>
      </c>
      <c r="G4" s="2" t="inlineStr">
        <is>
          <t>1.3</t>
        </is>
      </c>
      <c r="H4" s="2" t="inlineStr">
        <is>
          <t>Ford Ka 1.3 Collection (70 CV)</t>
        </is>
      </c>
      <c r="I4" s="2" t="n">
        <v>1299</v>
      </c>
      <c r="J4" s="2" t="n">
        <v>70</v>
      </c>
      <c r="K4" s="2" t="inlineStr">
        <is>
          <t>gasolina</t>
        </is>
      </c>
      <c r="L4" s="2" t="inlineStr">
        <is>
          <t>utilitario</t>
        </is>
      </c>
      <c r="M4" s="2" t="n">
        <v>2008</v>
      </c>
      <c r="N4" s="2" t="n">
        <v>115071</v>
      </c>
      <c r="O4" s="2" t="n">
        <v>3900</v>
      </c>
      <c r="P4" s="2" t="inlineStr">
        <is>
          <t>manual</t>
        </is>
      </c>
      <c r="Q4" s="2" t="inlineStr">
        <is>
          <t>no</t>
        </is>
      </c>
      <c r="R4" s="2" t="inlineStr">
        <is>
          <t>profesional</t>
        </is>
      </c>
      <c r="S4" s="2" t="inlineStr">
        <is>
          <t>Valencia - Gandía (Gandía, 46702)</t>
        </is>
      </c>
      <c r="T4" s="2" t="inlineStr">
        <is>
          <t>2026-05-21T00:00:00.000Z</t>
        </is>
      </c>
      <c r="U4" s="2" t="n">
        <v>22</v>
      </c>
      <c r="V4" s="2" t="inlineStr">
        <is>
          <t>sí</t>
        </is>
      </c>
      <c r="W4" s="2" t="n"/>
      <c r="X4" s="2" t="n"/>
      <c r="Y4" s="2" t="n">
        <v>0</v>
      </c>
      <c r="Z4" s="2" t="n"/>
      <c r="AA4" s="2" t="n"/>
      <c r="AB4" s="2" t="n"/>
      <c r="AC4" s="2" t="inlineStr">
        <is>
          <t>sí</t>
        </is>
      </c>
      <c r="AD4" s="2" t="n">
        <v>500</v>
      </c>
      <c r="AE4" s="2" t="n"/>
      <c r="AF4" s="2" t="inlineStr">
        <is>
          <t>sí</t>
        </is>
      </c>
      <c r="AG4" s="2" t="n"/>
      <c r="AH4" s="2" t="n">
        <v>3900</v>
      </c>
      <c r="AI4" s="2" t="n">
        <v>1700</v>
      </c>
      <c r="AJ4" s="2" t="inlineStr">
        <is>
          <t>sí</t>
        </is>
      </c>
      <c r="AK4" s="2" t="n">
        <v>350</v>
      </c>
      <c r="AL4" s="2" t="inlineStr">
        <is>
          <t>sí</t>
        </is>
      </c>
      <c r="AM4" s="2" t="n">
        <v>58.4</v>
      </c>
      <c r="AN4" s="2" t="inlineStr">
        <is>
          <t>2715GGP</t>
        </is>
      </c>
      <c r="AO4" s="2" t="inlineStr">
        <is>
          <t>2008-07-25</t>
        </is>
      </c>
      <c r="AP4" s="2" t="n">
        <v>2008</v>
      </c>
      <c r="AQ4" s="2" t="n">
        <v>7</v>
      </c>
      <c r="AR4" s="2" t="inlineStr">
        <is>
          <t>C</t>
        </is>
      </c>
      <c r="AS4" s="2" t="inlineStr">
        <is>
          <t>DGT</t>
        </is>
      </c>
      <c r="AT4" s="2" t="n"/>
      <c r="AU4" s="2" t="n"/>
      <c r="AV4" s="2" t="n"/>
      <c r="AW4" s="2" t="n"/>
      <c r="AX4" s="2" t="inlineStr">
        <is>
          <t>vendedor profesional: sin ITP (operación con IVA/REBU, confirmar en factura); el precio anunciado (1.700 €) solo vale financiando; se usa el precio al contado; fiabilidad del modelo PENDIENTE de fuente (puntuación neutra)</t>
        </is>
      </c>
      <c r="AY4" s="2" t="inlineStr">
        <is>
          <t>Ford Ka 1.3 Collection (70 CV)</t>
        </is>
      </c>
      <c r="AZ4" s="2" t="inlineStr">
        <is>
          <t>https://www.ocasionplus.com/coches-segunda-mano/ford-ka-13-collection-con-115071km-2008-saqsyqa5 (payload RSC 'vehicle') /home/user/Alopecia/buscador-coches/raw/ocasionplus/91b2d0d1fcf52c76.json</t>
        </is>
      </c>
      <c r="BA4" s="3">
        <f>MAX(ANIO_ACTUAL-M4,0)</f>
        <v/>
      </c>
      <c r="BB4" s="4">
        <f>N4/MAX(BA4,0.5)</f>
        <v/>
      </c>
      <c r="BC4" s="4">
        <f>F4</f>
        <v/>
      </c>
      <c r="BD4" s="3">
        <f>BC4&amp;"|"&amp;INT(M4/SEG_ANIO)*SEG_ANIO</f>
        <v/>
      </c>
      <c r="BE4" s="3">
        <f>BD4&amp;"|"&amp;INT(N4/SEG_KM)*SEG_KM</f>
        <v/>
      </c>
      <c r="BF4" s="4">
        <f>COUNTIF($BC$2:$BC$545,BC4)</f>
        <v/>
      </c>
      <c r="BG4" s="4">
        <f>COUNTIF($BD$2:$BD$545,BD4)</f>
        <v/>
      </c>
      <c r="BH4" s="4">
        <f>COUNTIF($BE$2:$BE$545,BE4)</f>
        <v/>
      </c>
      <c r="BI4" s="3">
        <f t="array" ref="BI4">IF(N(AU4)&gt;=MIN_N,AT4,IF(BH4&gt;=MIN_N,MEDIAN(IF($BE$2:$BE$545=BE4,$O$2:$O$545)),IF(BG4&gt;=MIN_N,MEDIAN(IF($BD$2:$BD$545=BD4,$O$2:$O$545)),MEDIAN(IF($BC$2:$BC$545=BC4,$O$2:$O$545)))))</f>
        <v/>
      </c>
      <c r="BJ4" s="3">
        <f>IF(N(AU4)&gt;=MIN_N,"mercado "&amp;AV4,IF(BH4&gt;=MIN_N,"modelo+año+km",IF(BG4&gt;=MIN_N,"modelo+año","modelo")))</f>
        <v/>
      </c>
      <c r="BK4" s="4">
        <f>(BI4-O4)/BI4</f>
        <v/>
      </c>
      <c r="BL4" s="3">
        <f>IF(COUNTIFS(FR_FUEL,K4,FR_YEAR,AP4)&gt;0,1,0)</f>
        <v/>
      </c>
      <c r="BM4" s="3">
        <f>IF(COUNTIFS(FR_FUEL,K4,FR_YEAR,AP4-1)&gt;0,1,0)</f>
        <v/>
      </c>
      <c r="BN4" s="4">
        <f>IF(N(AQ4)&gt;0,AP4*100+AQ4,IF(AND(BL4=1,BM4=1),(AP4-1)*100+1,AP4*100+1))</f>
        <v/>
      </c>
      <c r="BO4" s="3">
        <f>IF(OR(K4="hibrido",K4="glp",K4="gnc",K4="phev"),"ECO",IF(K4="electrico","CERO",IF(K4="gasolina",IF(BN4&gt;=GAS_C_YM,"C",IF(BN4&gt;=GAS_B_YM,"B","A")),IF(K4="diesel",IF(BN4&gt;=DIE_C_YM,"C",IF(BN4&gt;=DIE_B_YM,"B","A")),""))))</f>
        <v/>
      </c>
      <c r="BP4" s="2" t="inlineStr">
        <is>
          <t>C</t>
        </is>
      </c>
      <c r="BQ4" s="4">
        <f>IF(AS4="regla",IF(AND(N(AQ4)=0,BL4=1),"sí","no"),"no")</f>
        <v/>
      </c>
      <c r="BR4" s="3">
        <f>IFERROR(VLOOKUP(F4,MOD_TBL,11,0),IFERROR(VLOOKUP(E4,OCU_TBL,2,0),NEUTRO))</f>
        <v/>
      </c>
      <c r="BS4" s="3">
        <f>SUMIFS(MOT_AJUSTE,MOT_MOTOR,G4,MOT_MARCA,E4,MOT_DESDE,"&lt;="&amp;M4,MOT_HASTA,"&gt;="&amp;M4)+SUMIFS(MOT_AJUSTE,MOT_MOTOR,G4,MOT_MARCA,"(todas)",MOT_DESDE,"&lt;="&amp;M4,MOT_HASTA,"&gt;="&amp;M4)</f>
        <v/>
      </c>
      <c r="BT4" s="3">
        <f>SUMIFS(COMB_AJUSTE,COMB_COMB,K4)</f>
        <v/>
      </c>
      <c r="BU4" s="3">
        <f>COUNTIFS(MOT_MOTOR,G4,MOT_MARCA,E4,MOT_DESDE,"&lt;="&amp;M4,MOT_HASTA,"&gt;="&amp;M4)+COUNTIFS(MOT_MOTOR,G4,MOT_MARCA,"(todas)",MOT_DESDE,"&lt;="&amp;M4,MOT_HASTA,"&gt;="&amp;M4)</f>
        <v/>
      </c>
      <c r="BV4" s="3">
        <f>IF(AND(K4="diesel",BU4=0),MIN(BR4,NEUTRO),BR4)</f>
        <v/>
      </c>
      <c r="BW4" s="4">
        <f>MAX(0,MIN(100,BV4+BS4+BT4))</f>
        <v/>
      </c>
      <c r="BX4" s="3">
        <f>MAX(0,MIN(100,50+BK4*PRECIO_PEND))</f>
        <v/>
      </c>
      <c r="BY4" s="3">
        <f>MAX(0,100*(1-N4/KM_MAX))</f>
        <v/>
      </c>
      <c r="BZ4" s="3">
        <f>IF(BB4&lt;KMA_SOSP,IF(AA4="sí",100,KMA_PEN),IF(BB4&lt;=KMA_IDEAL_MAX,100,MAX(0,100*(KMA_CERO-BB4)/(KMA_CERO-KMA_IDEAL_MAX))))</f>
        <v/>
      </c>
      <c r="CA4" s="3">
        <f>MAX(0,MIN(100,100*(M4-ANIO_MIN)/(ANIO_ACTUAL-ANIO_MIN)))</f>
        <v/>
      </c>
      <c r="CB4" s="3">
        <f>W_KMT*BY4+W_KMA*BZ4+W_EDAD*CA4</f>
        <v/>
      </c>
      <c r="CC4" s="3">
        <f>P_ITV*(V4="sí")+P_LIBRO*(W4="sí")+P_CORREA*(X4="sí")+P_PROP*(Y4=1)+P_GAR*(Z4="sí")+P_FOTOS*MIN(1,N(U4)/FOTOS_OBJ)</f>
        <v/>
      </c>
      <c r="CD4" s="3">
        <f>MAX(0,MIN(100,IFERROR(VLOOKUP(BP4,ETQ_TBL,2,0),0)-IF(BQ4="sí",ETQ_PEN_DUD,IF(AS4="regla",ETQ_PEN_REGLA,0))))</f>
        <v/>
      </c>
      <c r="CE4" s="3">
        <f>NEUTRO</f>
        <v/>
      </c>
      <c r="CF4" s="3">
        <f>IFERROR(VLOOKUP(L4,SEGURO_TBL,3,0),"")</f>
        <v/>
      </c>
      <c r="CG4" s="3">
        <f>IF(CF4="",NEUTRO,MAX(0,MIN(100,100*(SEG_REF_MAX-CF4)/(SEG_REF_MAX-SEG_REF_MIN))))</f>
        <v/>
      </c>
      <c r="CH4" s="3">
        <f>W_CONS*CE4+W_SEG*CG4</f>
        <v/>
      </c>
      <c r="CI4" s="3">
        <f>IF(N(AB4)&gt;0,AB4,IF(AND(R4="profesional",SG_LEGAL_ON=1),GAR_LEGAL,0))</f>
        <v/>
      </c>
      <c r="CJ4" s="3">
        <f>SG_GAR*MIN(1,CI4/SG_GAR_FULL)+SG_AMPL*(AC4="sí")+SG_KMC*(AF4="sí")+SG_REV*(N(AE4)&gt;0)+SG_DEV*MIN(1,N(AG4)/SG_DEV_FULL)+SG_HIST*(W4="sí")</f>
        <v/>
      </c>
      <c r="CK4" s="3">
        <f>IFERROR(VLOOKUP(L4,CARR_PEN_TBL,2,0),0)</f>
        <v/>
      </c>
      <c r="CL4" s="3">
        <f>W_FIAB*BW4+W_PRECIO*BX4+W_KMEDAD*CB4+W_ANUNCIO*CC4+W_USO*CH4+W_SEGURIDAD*CJ4+W_ETIQUETA*CD4-CK4</f>
        <v/>
      </c>
      <c r="CM4" s="4">
        <f>IF(N(I4)&gt;0,I4,IFERROR(ROUND(_xlfn.NUMBERVALUE(LEFT(G4,FIND(" ",G4&amp;" ")-1),".")*1000,0),99999))</f>
        <v/>
      </c>
      <c r="CN4" s="3">
        <f>IF(R4="profesional",0,IF(O4&lt;CUOTA_VALOR_MAX,IF(BA4&gt;ITP_TRAMO_ALTO,SUMIFS(CF_CUOTA,CF_MAS,ITP_TRAMO_ALTO,CF_CCMIN,"&lt;="&amp;CM4,CF_CCMAX,"&gt;="&amp;CM4),IF(BA4&gt;ITP_TRAMO_BAJO,SUMIFS(CF_CUOTA,CF_MAS,ITP_TRAMO_BAJO,CF_CCMIN,"&lt;="&amp;CM4,CF_CCMAX,"&gt;="&amp;CM4),O4*ITP_TIPO)),O4*ITP_TIPO))</f>
        <v/>
      </c>
      <c r="CO4" s="4">
        <f>IF(R4="profesional",N(AK4),0)</f>
        <v/>
      </c>
      <c r="CP4" s="3">
        <f>IF(AND(R4="profesional",ISNUMBER(AK4),AL4="sí"),0,TASA_DGT)</f>
        <v/>
      </c>
      <c r="CQ4" s="3">
        <f>INFORME_DGT</f>
        <v/>
      </c>
      <c r="CR4" s="4">
        <f>O4+CO4+CN4+CP4+CQ4</f>
        <v/>
      </c>
      <c r="CS4" s="4">
        <f>CR4+N(CF4)</f>
        <v/>
      </c>
      <c r="CT4" s="3">
        <f>IF(CR4&lt;=TOTAL_MAX,"sí",IF(CR4&lt;=TOTAL_MAX+MARGEN_NEG,"negociar","no"))</f>
        <v/>
      </c>
      <c r="CU4" s="4">
        <f>IF(CT4&lt;&gt;"no",COUNTIFS($CT$2:$CT$545,"&lt;&gt;no",$CL$2:$CL$545,"&gt;"&amp;CL4)+COUNTIFS($CT$2:CT4,"&lt;&gt;no",$CL$2:CL4,CL4),"")</f>
        <v/>
      </c>
    </row>
    <row r="5">
      <c r="A5" s="2" t="inlineStr">
        <is>
          <t>autoscout24:78433a06-4502-4d6e-8fd3-0fdd67d99ab8</t>
        </is>
      </c>
      <c r="B5" s="2" t="inlineStr">
        <is>
          <t>autoscout24</t>
        </is>
      </c>
      <c r="C5" s="2" t="inlineStr">
        <is>
          <t>https://www.autoscout24.es/anuncios/skoda-fabia-1-4tdi-style-80-diesel-cat_ma65mo15878-78433a06-4502-4d6e-8fd3-0fdd67d99ab8</t>
        </is>
      </c>
      <c r="D5" s="2" t="inlineStr">
        <is>
          <t>Skoda Fabia 1.4TDI Style 80</t>
        </is>
      </c>
      <c r="E5" s="2" t="inlineStr">
        <is>
          <t>Skoda</t>
        </is>
      </c>
      <c r="F5" s="2" t="inlineStr">
        <is>
          <t>Skoda Fabia</t>
        </is>
      </c>
      <c r="G5" s="2" t="inlineStr">
        <is>
          <t>1.4 TDI</t>
        </is>
      </c>
      <c r="H5" s="2" t="inlineStr">
        <is>
          <t>1.4TDI Style 80 1.4 TDI</t>
        </is>
      </c>
      <c r="I5" s="2" t="n">
        <v>1422</v>
      </c>
      <c r="J5" s="2" t="n">
        <v>80</v>
      </c>
      <c r="K5" s="2" t="inlineStr">
        <is>
          <t>diesel</t>
        </is>
      </c>
      <c r="L5" s="2" t="inlineStr">
        <is>
          <t>utilitario</t>
        </is>
      </c>
      <c r="M5" s="2" t="n">
        <v>2008</v>
      </c>
      <c r="N5" s="2" t="n">
        <v>166789</v>
      </c>
      <c r="O5" s="2" t="n">
        <v>4200</v>
      </c>
      <c r="P5" s="2" t="inlineStr">
        <is>
          <t>manual</t>
        </is>
      </c>
      <c r="Q5" s="2" t="inlineStr">
        <is>
          <t>no</t>
        </is>
      </c>
      <c r="R5" s="2" t="inlineStr">
        <is>
          <t>particular</t>
        </is>
      </c>
      <c r="S5" s="2" t="inlineStr">
        <is>
          <t>Picassent (46220)</t>
        </is>
      </c>
      <c r="T5" s="2" t="n"/>
      <c r="U5" s="2" t="n">
        <v>5</v>
      </c>
      <c r="V5" s="2" t="inlineStr">
        <is>
          <t>sí</t>
        </is>
      </c>
      <c r="W5" s="2" t="n"/>
      <c r="X5" s="2" t="n"/>
      <c r="Y5" s="2" t="n"/>
      <c r="Z5" s="2" t="n"/>
      <c r="AA5" s="2" t="n"/>
      <c r="AB5" s="2" t="n"/>
      <c r="AC5" s="2" t="n"/>
      <c r="AD5" s="2" t="n"/>
      <c r="AE5" s="2" t="n"/>
      <c r="AF5" s="2" t="n"/>
      <c r="AG5" s="2" t="n"/>
      <c r="AH5" s="2" t="n"/>
      <c r="AI5" s="2" t="n"/>
      <c r="AJ5" s="2" t="n"/>
      <c r="AK5" s="2" t="n"/>
      <c r="AL5" s="2" t="n"/>
      <c r="AM5" s="2" t="n">
        <v>12.7</v>
      </c>
      <c r="AN5" s="2" t="n"/>
      <c r="AO5" s="2" t="inlineStr">
        <is>
          <t>2008-02</t>
        </is>
      </c>
      <c r="AP5" s="2" t="n">
        <v>2008</v>
      </c>
      <c r="AQ5" s="2" t="n">
        <v>2</v>
      </c>
      <c r="AR5" s="2" t="n"/>
      <c r="AS5" s="2" t="inlineStr">
        <is>
          <t>regla</t>
        </is>
      </c>
      <c r="AT5" s="2" t="n">
        <v>3300</v>
      </c>
      <c r="AU5" s="2" t="n">
        <v>5</v>
      </c>
      <c r="AV5" s="2" t="inlineStr">
        <is>
          <t>modelo+año</t>
        </is>
      </c>
      <c r="AW5" s="2" t="n"/>
      <c r="AX5" s="2" t="inlineStr">
        <is>
          <t>cuota fija ITP: &gt;12 años, hasta 1.500 cc; diésel: motor sin fuente de fiabilidad (fiabilidad limitada a neutra)</t>
        </is>
      </c>
      <c r="AY5" s="2" t="inlineStr">
        <is>
          <t>ITV hasta 11/07/2027&lt;br /&gt;Le cambié el aceite del motor y el filtro y todo Todo en él está arreglado 💯</t>
        </is>
      </c>
      <c r="AZ5" s="2" t="inlineStr">
        <is>
          <t>https://www.autoscout24.es/anuncios/skoda-fabia-1-4tdi-style-80-diesel-cat_ma65mo15878-78433a06-4502-4d6e-8fd3-0fdd67d99ab8 (__NEXT_DATA__ listingDetails) /home/user/Alopecia/buscador-coches/raw/autoscout24/a7414d5259e05d65.json</t>
        </is>
      </c>
      <c r="BA5" s="3">
        <f>MAX(ANIO_ACTUAL-M5,0)</f>
        <v/>
      </c>
      <c r="BB5" s="4">
        <f>N5/MAX(BA5,0.5)</f>
        <v/>
      </c>
      <c r="BC5" s="4">
        <f>F5</f>
        <v/>
      </c>
      <c r="BD5" s="3">
        <f>BC5&amp;"|"&amp;INT(M5/SEG_ANIO)*SEG_ANIO</f>
        <v/>
      </c>
      <c r="BE5" s="3">
        <f>BD5&amp;"|"&amp;INT(N5/SEG_KM)*SEG_KM</f>
        <v/>
      </c>
      <c r="BF5" s="4">
        <f>COUNTIF($BC$2:$BC$545,BC5)</f>
        <v/>
      </c>
      <c r="BG5" s="4">
        <f>COUNTIF($BD$2:$BD$545,BD5)</f>
        <v/>
      </c>
      <c r="BH5" s="4">
        <f>COUNTIF($BE$2:$BE$545,BE5)</f>
        <v/>
      </c>
      <c r="BI5" s="3">
        <f t="array" ref="BI5">IF(N(AU5)&gt;=MIN_N,AT5,IF(BH5&gt;=MIN_N,MEDIAN(IF($BE$2:$BE$545=BE5,$O$2:$O$545)),IF(BG5&gt;=MIN_N,MEDIAN(IF($BD$2:$BD$545=BD5,$O$2:$O$545)),MEDIAN(IF($BC$2:$BC$545=BC5,$O$2:$O$545)))))</f>
        <v/>
      </c>
      <c r="BJ5" s="3">
        <f>IF(N(AU5)&gt;=MIN_N,"mercado "&amp;AV5,IF(BH5&gt;=MIN_N,"modelo+año+km",IF(BG5&gt;=MIN_N,"modelo+año","modelo")))</f>
        <v/>
      </c>
      <c r="BK5" s="4">
        <f>(BI5-O5)/BI5</f>
        <v/>
      </c>
      <c r="BL5" s="3">
        <f>IF(COUNTIFS(FR_FUEL,K5,FR_YEAR,AP5)&gt;0,1,0)</f>
        <v/>
      </c>
      <c r="BM5" s="3">
        <f>IF(COUNTIFS(FR_FUEL,K5,FR_YEAR,AP5-1)&gt;0,1,0)</f>
        <v/>
      </c>
      <c r="BN5" s="4">
        <f>IF(N(AQ5)&gt;0,AP5*100+AQ5,IF(AND(BL5=1,BM5=1),(AP5-1)*100+1,AP5*100+1))</f>
        <v/>
      </c>
      <c r="BO5" s="3">
        <f>IF(OR(K5="hibrido",K5="glp",K5="gnc",K5="phev"),"ECO",IF(K5="electrico","CERO",IF(K5="gasolina",IF(BN5&gt;=GAS_C_YM,"C",IF(BN5&gt;=GAS_B_YM,"B","A")),IF(K5="diesel",IF(BN5&gt;=DIE_C_YM,"C",IF(BN5&gt;=DIE_B_YM,"B","A")),""))))</f>
        <v/>
      </c>
      <c r="BP5" s="4">
        <f>BO5</f>
        <v/>
      </c>
      <c r="BQ5" s="4">
        <f>IF(AS5="regla",IF(AND(N(AQ5)=0,BL5=1),"sí","no"),"no")</f>
        <v/>
      </c>
      <c r="BR5" s="3">
        <f>IFERROR(VLOOKUP(F5,MOD_TBL,11,0),IFERROR(VLOOKUP(E5,OCU_TBL,2,0),NEUTRO))</f>
        <v/>
      </c>
      <c r="BS5" s="3">
        <f>SUMIFS(MOT_AJUSTE,MOT_MOTOR,G5,MOT_MARCA,E5,MOT_DESDE,"&lt;="&amp;M5,MOT_HASTA,"&gt;="&amp;M5)+SUMIFS(MOT_AJUSTE,MOT_MOTOR,G5,MOT_MARCA,"(todas)",MOT_DESDE,"&lt;="&amp;M5,MOT_HASTA,"&gt;="&amp;M5)</f>
        <v/>
      </c>
      <c r="BT5" s="3">
        <f>SUMIFS(COMB_AJUSTE,COMB_COMB,K5)</f>
        <v/>
      </c>
      <c r="BU5" s="3">
        <f>COUNTIFS(MOT_MOTOR,G5,MOT_MARCA,E5,MOT_DESDE,"&lt;="&amp;M5,MOT_HASTA,"&gt;="&amp;M5)+COUNTIFS(MOT_MOTOR,G5,MOT_MARCA,"(todas)",MOT_DESDE,"&lt;="&amp;M5,MOT_HASTA,"&gt;="&amp;M5)</f>
        <v/>
      </c>
      <c r="BV5" s="3">
        <f>IF(AND(K5="diesel",BU5=0),MIN(BR5,NEUTRO),BR5)</f>
        <v/>
      </c>
      <c r="BW5" s="4">
        <f>MAX(0,MIN(100,BV5+BS5+BT5))</f>
        <v/>
      </c>
      <c r="BX5" s="3">
        <f>MAX(0,MIN(100,50+BK5*PRECIO_PEND))</f>
        <v/>
      </c>
      <c r="BY5" s="3">
        <f>MAX(0,100*(1-N5/KM_MAX))</f>
        <v/>
      </c>
      <c r="BZ5" s="3">
        <f>IF(BB5&lt;KMA_SOSP,IF(AA5="sí",100,KMA_PEN),IF(BB5&lt;=KMA_IDEAL_MAX,100,MAX(0,100*(KMA_CERO-BB5)/(KMA_CERO-KMA_IDEAL_MAX))))</f>
        <v/>
      </c>
      <c r="CA5" s="3">
        <f>MAX(0,MIN(100,100*(M5-ANIO_MIN)/(ANIO_ACTUAL-ANIO_MIN)))</f>
        <v/>
      </c>
      <c r="CB5" s="3">
        <f>W_KMT*BY5+W_KMA*BZ5+W_EDAD*CA5</f>
        <v/>
      </c>
      <c r="CC5" s="3">
        <f>P_ITV*(V5="sí")+P_LIBRO*(W5="sí")+P_CORREA*(X5="sí")+P_PROP*(Y5=1)+P_GAR*(Z5="sí")+P_FOTOS*MIN(1,N(U5)/FOTOS_OBJ)</f>
        <v/>
      </c>
      <c r="CD5" s="3">
        <f>MAX(0,MIN(100,IFERROR(VLOOKUP(BP5,ETQ_TBL,2,0),0)-IF(BQ5="sí",ETQ_PEN_DUD,IF(AS5="regla",ETQ_PEN_REGLA,0))))</f>
        <v/>
      </c>
      <c r="CE5" s="3">
        <f>NEUTRO</f>
        <v/>
      </c>
      <c r="CF5" s="3">
        <f>IFERROR(VLOOKUP(L5,SEGURO_TBL,3,0),"")</f>
        <v/>
      </c>
      <c r="CG5" s="3">
        <f>IF(CF5="",NEUTRO,MAX(0,MIN(100,100*(SEG_REF_MAX-CF5)/(SEG_REF_MAX-SEG_REF_MIN))))</f>
        <v/>
      </c>
      <c r="CH5" s="3">
        <f>W_CONS*CE5+W_SEG*CG5</f>
        <v/>
      </c>
      <c r="CI5" s="3">
        <f>IF(N(AB5)&gt;0,AB5,IF(AND(R5="profesional",SG_LEGAL_ON=1),GAR_LEGAL,0))</f>
        <v/>
      </c>
      <c r="CJ5" s="3">
        <f>SG_GAR*MIN(1,CI5/SG_GAR_FULL)+SG_AMPL*(AC5="sí")+SG_KMC*(AF5="sí")+SG_REV*(N(AE5)&gt;0)+SG_DEV*MIN(1,N(AG5)/SG_DEV_FULL)+SG_HIST*(W5="sí")</f>
        <v/>
      </c>
      <c r="CK5" s="3">
        <f>IFERROR(VLOOKUP(L5,CARR_PEN_TBL,2,0),0)</f>
        <v/>
      </c>
      <c r="CL5" s="3">
        <f>W_FIAB*BW5+W_PRECIO*BX5+W_KMEDAD*CB5+W_ANUNCIO*CC5+W_USO*CH5+W_SEGURIDAD*CJ5+W_ETIQUETA*CD5-CK5</f>
        <v/>
      </c>
      <c r="CM5" s="4">
        <f>IF(N(I5)&gt;0,I5,IFERROR(ROUND(_xlfn.NUMBERVALUE(LEFT(G5,FIND(" ",G5&amp;" ")-1),".")*1000,0),99999))</f>
        <v/>
      </c>
      <c r="CN5" s="3">
        <f>IF(R5="profesional",0,IF(O5&lt;CUOTA_VALOR_MAX,IF(BA5&gt;ITP_TRAMO_ALTO,SUMIFS(CF_CUOTA,CF_MAS,ITP_TRAMO_ALTO,CF_CCMIN,"&lt;="&amp;CM5,CF_CCMAX,"&gt;="&amp;CM5),IF(BA5&gt;ITP_TRAMO_BAJO,SUMIFS(CF_CUOTA,CF_MAS,ITP_TRAMO_BAJO,CF_CCMIN,"&lt;="&amp;CM5,CF_CCMAX,"&gt;="&amp;CM5),O5*ITP_TIPO)),O5*ITP_TIPO))</f>
        <v/>
      </c>
      <c r="CO5" s="4">
        <f>IF(R5="profesional",N(AK5),0)</f>
        <v/>
      </c>
      <c r="CP5" s="3">
        <f>IF(AND(R5="profesional",ISNUMBER(AK5),AL5="sí"),0,TASA_DGT)</f>
        <v/>
      </c>
      <c r="CQ5" s="3">
        <f>INFORME_DGT</f>
        <v/>
      </c>
      <c r="CR5" s="4">
        <f>O5+CO5+CN5+CP5+CQ5</f>
        <v/>
      </c>
      <c r="CS5" s="4">
        <f>CR5+N(CF5)</f>
        <v/>
      </c>
      <c r="CT5" s="3">
        <f>IF(CR5&lt;=TOTAL_MAX,"sí",IF(CR5&lt;=TOTAL_MAX+MARGEN_NEG,"negociar","no"))</f>
        <v/>
      </c>
      <c r="CU5" s="4">
        <f>IF(CT5&lt;&gt;"no",COUNTIFS($CT$2:$CT$545,"&lt;&gt;no",$CL$2:$CL$545,"&gt;"&amp;CL5)+COUNTIFS($CT$2:CT5,"&lt;&gt;no",$CL$2:CL5,CL5),"")</f>
        <v/>
      </c>
    </row>
    <row r="6">
      <c r="A6" s="2" t="inlineStr">
        <is>
          <t>autoscout24:e82e2b46-304d-45e7-b319-e5896690fc01</t>
        </is>
      </c>
      <c r="B6" s="2" t="inlineStr">
        <is>
          <t>autoscout24</t>
        </is>
      </c>
      <c r="C6" s="2" t="inlineStr">
        <is>
          <t>https://www.autoscout24.es/anuncios/seat-ibiza-1-4-sport-gasolina-cat_ma64mo2006-e82e2b46-304d-45e7-b319-e5896690fc01</t>
        </is>
      </c>
      <c r="D6" s="2" t="inlineStr">
        <is>
          <t>SEAT Ibiza 1.4 Sport</t>
        </is>
      </c>
      <c r="E6" s="2" t="inlineStr">
        <is>
          <t>Seat</t>
        </is>
      </c>
      <c r="F6" s="2" t="inlineStr">
        <is>
          <t>Seat Ibiza</t>
        </is>
      </c>
      <c r="G6" s="2" t="inlineStr">
        <is>
          <t>1.4</t>
        </is>
      </c>
      <c r="H6" s="2" t="inlineStr">
        <is>
          <t>1.4 Sport 1.4</t>
        </is>
      </c>
      <c r="I6" s="2" t="n">
        <v>1390</v>
      </c>
      <c r="J6" s="2" t="n">
        <v>86</v>
      </c>
      <c r="K6" s="2" t="inlineStr">
        <is>
          <t>gasolina</t>
        </is>
      </c>
      <c r="L6" s="2" t="inlineStr">
        <is>
          <t>utilitario</t>
        </is>
      </c>
      <c r="M6" s="2" t="n">
        <v>2009</v>
      </c>
      <c r="N6" s="2" t="n">
        <v>180000</v>
      </c>
      <c r="O6" s="2" t="n">
        <v>4400</v>
      </c>
      <c r="P6" s="2" t="inlineStr">
        <is>
          <t>manual</t>
        </is>
      </c>
      <c r="Q6" s="2" t="inlineStr">
        <is>
          <t>no</t>
        </is>
      </c>
      <c r="R6" s="2" t="inlineStr">
        <is>
          <t>particular</t>
        </is>
      </c>
      <c r="S6" s="2" t="inlineStr">
        <is>
          <t>Vinalesa (46114)</t>
        </is>
      </c>
      <c r="T6" s="2" t="n"/>
      <c r="U6" s="2" t="n">
        <v>1</v>
      </c>
      <c r="V6" s="2" t="inlineStr">
        <is>
          <t>sí</t>
        </is>
      </c>
      <c r="W6" s="2" t="n"/>
      <c r="X6" s="2" t="inlineStr">
        <is>
          <t>sí</t>
        </is>
      </c>
      <c r="Y6" s="2" t="n"/>
      <c r="Z6" s="2" t="n"/>
      <c r="AA6" s="2" t="n"/>
      <c r="AB6" s="2" t="n"/>
      <c r="AC6" s="2" t="n"/>
      <c r="AD6" s="2" t="n"/>
      <c r="AE6" s="2" t="n"/>
      <c r="AF6" s="2" t="n"/>
      <c r="AG6" s="2" t="n"/>
      <c r="AH6" s="2" t="n"/>
      <c r="AI6" s="2" t="n"/>
      <c r="AJ6" s="2" t="n"/>
      <c r="AK6" s="2" t="n"/>
      <c r="AL6" s="2" t="n"/>
      <c r="AM6" s="2" t="n">
        <v>7.8</v>
      </c>
      <c r="AN6" s="2" t="n"/>
      <c r="AO6" s="2" t="inlineStr">
        <is>
          <t>2009-09</t>
        </is>
      </c>
      <c r="AP6" s="2" t="n">
        <v>2009</v>
      </c>
      <c r="AQ6" s="2" t="n">
        <v>9</v>
      </c>
      <c r="AR6" s="2" t="n"/>
      <c r="AS6" s="2" t="inlineStr">
        <is>
          <t>regla</t>
        </is>
      </c>
      <c r="AT6" s="2" t="n">
        <v>4750</v>
      </c>
      <c r="AU6" s="2" t="n">
        <v>4</v>
      </c>
      <c r="AV6" s="2" t="inlineStr">
        <is>
          <t>modelo+año+km</t>
        </is>
      </c>
      <c r="AW6" s="2" t="n"/>
      <c r="AX6" s="2" t="inlineStr">
        <is>
          <t>cuota fija ITP: &gt;12 años, hasta 1.500 cc</t>
        </is>
      </c>
      <c r="AY6" s="2" t="inlineStr">
        <is>
          <t>🚗 SE VENDE SEAT IBIZA 1.4 SPORT – GASOLINA&lt;br /&gt;&lt;br /&gt;📅 Año: 2009&lt;br /&gt;⛽ Motor: Gasolina 1.4&lt;br /&gt;🏁 Versión: Sport&lt;br /&gt;📍 Kilómetros: 180.000 km&lt;br /&gt;✅ ITV pasada en mayo de 2026&lt;br /&gt;✅ Sin accidentes&lt;br /&gt;✅ Sin reparaciones graves&lt;br /&gt;✅ Buen estado general&lt;br /&gt;✅ Sistema multimedia Android instalado&lt;br /&gt;📱 Pantalla tipo tablet con Bluetooth y navegador GPS&lt;br /&gt;&lt;br /&gt;Coche ideal para uso diario, económico de mantener y con motor fiable.&lt;br /&gt;Se vende por cambio de vehículo.&lt;br /&gt;&lt;br /&gt;Caja de cambios y correa cambiados a los 140.000 kms por desgaste.</t>
        </is>
      </c>
      <c r="AZ6" s="2" t="inlineStr">
        <is>
          <t>https://www.autoscout24.es/anuncios/seat-ibiza-1-4-sport-gasolina-cat_ma64mo2006-e82e2b46-304d-45e7-b319-e5896690fc01 (__NEXT_DATA__ listingDetails) /home/user/Alopecia/buscador-coches/raw/autoscout24/3b8e903b836218fd.json</t>
        </is>
      </c>
      <c r="BA6" s="3">
        <f>MAX(ANIO_ACTUAL-M6,0)</f>
        <v/>
      </c>
      <c r="BB6" s="4">
        <f>N6/MAX(BA6,0.5)</f>
        <v/>
      </c>
      <c r="BC6" s="4">
        <f>F6</f>
        <v/>
      </c>
      <c r="BD6" s="3">
        <f>BC6&amp;"|"&amp;INT(M6/SEG_ANIO)*SEG_ANIO</f>
        <v/>
      </c>
      <c r="BE6" s="3">
        <f>BD6&amp;"|"&amp;INT(N6/SEG_KM)*SEG_KM</f>
        <v/>
      </c>
      <c r="BF6" s="4">
        <f>COUNTIF($BC$2:$BC$545,BC6)</f>
        <v/>
      </c>
      <c r="BG6" s="4">
        <f>COUNTIF($BD$2:$BD$545,BD6)</f>
        <v/>
      </c>
      <c r="BH6" s="4">
        <f>COUNTIF($BE$2:$BE$545,BE6)</f>
        <v/>
      </c>
      <c r="BI6" s="3">
        <f t="array" ref="BI6">IF(N(AU6)&gt;=MIN_N,AT6,IF(BH6&gt;=MIN_N,MEDIAN(IF($BE$2:$BE$545=BE6,$O$2:$O$545)),IF(BG6&gt;=MIN_N,MEDIAN(IF($BD$2:$BD$545=BD6,$O$2:$O$545)),MEDIAN(IF($BC$2:$BC$545=BC6,$O$2:$O$545)))))</f>
        <v/>
      </c>
      <c r="BJ6" s="3">
        <f>IF(N(AU6)&gt;=MIN_N,"mercado "&amp;AV6,IF(BH6&gt;=MIN_N,"modelo+año+km",IF(BG6&gt;=MIN_N,"modelo+año","modelo")))</f>
        <v/>
      </c>
      <c r="BK6" s="4">
        <f>(BI6-O6)/BI6</f>
        <v/>
      </c>
      <c r="BL6" s="3">
        <f>IF(COUNTIFS(FR_FUEL,K6,FR_YEAR,AP6)&gt;0,1,0)</f>
        <v/>
      </c>
      <c r="BM6" s="3">
        <f>IF(COUNTIFS(FR_FUEL,K6,FR_YEAR,AP6-1)&gt;0,1,0)</f>
        <v/>
      </c>
      <c r="BN6" s="4">
        <f>IF(N(AQ6)&gt;0,AP6*100+AQ6,IF(AND(BL6=1,BM6=1),(AP6-1)*100+1,AP6*100+1))</f>
        <v/>
      </c>
      <c r="BO6" s="3">
        <f>IF(OR(K6="hibrido",K6="glp",K6="gnc",K6="phev"),"ECO",IF(K6="electrico","CERO",IF(K6="gasolina",IF(BN6&gt;=GAS_C_YM,"C",IF(BN6&gt;=GAS_B_YM,"B","A")),IF(K6="diesel",IF(BN6&gt;=DIE_C_YM,"C",IF(BN6&gt;=DIE_B_YM,"B","A")),""))))</f>
        <v/>
      </c>
      <c r="BP6" s="4">
        <f>BO6</f>
        <v/>
      </c>
      <c r="BQ6" s="4">
        <f>IF(AS6="regla",IF(AND(N(AQ6)=0,BL6=1),"sí","no"),"no")</f>
        <v/>
      </c>
      <c r="BR6" s="3">
        <f>IFERROR(VLOOKUP(F6,MOD_TBL,11,0),IFERROR(VLOOKUP(E6,OCU_TBL,2,0),NEUTRO))</f>
        <v/>
      </c>
      <c r="BS6" s="3">
        <f>SUMIFS(MOT_AJUSTE,MOT_MOTOR,G6,MOT_MARCA,E6,MOT_DESDE,"&lt;="&amp;M6,MOT_HASTA,"&gt;="&amp;M6)+SUMIFS(MOT_AJUSTE,MOT_MOTOR,G6,MOT_MARCA,"(todas)",MOT_DESDE,"&lt;="&amp;M6,MOT_HASTA,"&gt;="&amp;M6)</f>
        <v/>
      </c>
      <c r="BT6" s="3">
        <f>SUMIFS(COMB_AJUSTE,COMB_COMB,K6)</f>
        <v/>
      </c>
      <c r="BU6" s="3">
        <f>COUNTIFS(MOT_MOTOR,G6,MOT_MARCA,E6,MOT_DESDE,"&lt;="&amp;M6,MOT_HASTA,"&gt;="&amp;M6)+COUNTIFS(MOT_MOTOR,G6,MOT_MARCA,"(todas)",MOT_DESDE,"&lt;="&amp;M6,MOT_HASTA,"&gt;="&amp;M6)</f>
        <v/>
      </c>
      <c r="BV6" s="3">
        <f>IF(AND(K6="diesel",BU6=0),MIN(BR6,NEUTRO),BR6)</f>
        <v/>
      </c>
      <c r="BW6" s="4">
        <f>MAX(0,MIN(100,BV6+BS6+BT6))</f>
        <v/>
      </c>
      <c r="BX6" s="3">
        <f>MAX(0,MIN(100,50+BK6*PRECIO_PEND))</f>
        <v/>
      </c>
      <c r="BY6" s="3">
        <f>MAX(0,100*(1-N6/KM_MAX))</f>
        <v/>
      </c>
      <c r="BZ6" s="3">
        <f>IF(BB6&lt;KMA_SOSP,IF(AA6="sí",100,KMA_PEN),IF(BB6&lt;=KMA_IDEAL_MAX,100,MAX(0,100*(KMA_CERO-BB6)/(KMA_CERO-KMA_IDEAL_MAX))))</f>
        <v/>
      </c>
      <c r="CA6" s="3">
        <f>MAX(0,MIN(100,100*(M6-ANIO_MIN)/(ANIO_ACTUAL-ANIO_MIN)))</f>
        <v/>
      </c>
      <c r="CB6" s="3">
        <f>W_KMT*BY6+W_KMA*BZ6+W_EDAD*CA6</f>
        <v/>
      </c>
      <c r="CC6" s="3">
        <f>P_ITV*(V6="sí")+P_LIBRO*(W6="sí")+P_CORREA*(X6="sí")+P_PROP*(Y6=1)+P_GAR*(Z6="sí")+P_FOTOS*MIN(1,N(U6)/FOTOS_OBJ)</f>
        <v/>
      </c>
      <c r="CD6" s="3">
        <f>MAX(0,MIN(100,IFERROR(VLOOKUP(BP6,ETQ_TBL,2,0),0)-IF(BQ6="sí",ETQ_PEN_DUD,IF(AS6="regla",ETQ_PEN_REGLA,0))))</f>
        <v/>
      </c>
      <c r="CE6" s="3">
        <f>NEUTRO</f>
        <v/>
      </c>
      <c r="CF6" s="3">
        <f>IFERROR(VLOOKUP(L6,SEGURO_TBL,3,0),"")</f>
        <v/>
      </c>
      <c r="CG6" s="3">
        <f>IF(CF6="",NEUTRO,MAX(0,MIN(100,100*(SEG_REF_MAX-CF6)/(SEG_REF_MAX-SEG_REF_MIN))))</f>
        <v/>
      </c>
      <c r="CH6" s="3">
        <f>W_CONS*CE6+W_SEG*CG6</f>
        <v/>
      </c>
      <c r="CI6" s="3">
        <f>IF(N(AB6)&gt;0,AB6,IF(AND(R6="profesional",SG_LEGAL_ON=1),GAR_LEGAL,0))</f>
        <v/>
      </c>
      <c r="CJ6" s="3">
        <f>SG_GAR*MIN(1,CI6/SG_GAR_FULL)+SG_AMPL*(AC6="sí")+SG_KMC*(AF6="sí")+SG_REV*(N(AE6)&gt;0)+SG_DEV*MIN(1,N(AG6)/SG_DEV_FULL)+SG_HIST*(W6="sí")</f>
        <v/>
      </c>
      <c r="CK6" s="3">
        <f>IFERROR(VLOOKUP(L6,CARR_PEN_TBL,2,0),0)</f>
        <v/>
      </c>
      <c r="CL6" s="3">
        <f>W_FIAB*BW6+W_PRECIO*BX6+W_KMEDAD*CB6+W_ANUNCIO*CC6+W_USO*CH6+W_SEGURIDAD*CJ6+W_ETIQUETA*CD6-CK6</f>
        <v/>
      </c>
      <c r="CM6" s="4">
        <f>IF(N(I6)&gt;0,I6,IFERROR(ROUND(_xlfn.NUMBERVALUE(LEFT(G6,FIND(" ",G6&amp;" ")-1),".")*1000,0),99999))</f>
        <v/>
      </c>
      <c r="CN6" s="3">
        <f>IF(R6="profesional",0,IF(O6&lt;CUOTA_VALOR_MAX,IF(BA6&gt;ITP_TRAMO_ALTO,SUMIFS(CF_CUOTA,CF_MAS,ITP_TRAMO_ALTO,CF_CCMIN,"&lt;="&amp;CM6,CF_CCMAX,"&gt;="&amp;CM6),IF(BA6&gt;ITP_TRAMO_BAJO,SUMIFS(CF_CUOTA,CF_MAS,ITP_TRAMO_BAJO,CF_CCMIN,"&lt;="&amp;CM6,CF_CCMAX,"&gt;="&amp;CM6),O6*ITP_TIPO)),O6*ITP_TIPO))</f>
        <v/>
      </c>
      <c r="CO6" s="4">
        <f>IF(R6="profesional",N(AK6),0)</f>
        <v/>
      </c>
      <c r="CP6" s="3">
        <f>IF(AND(R6="profesional",ISNUMBER(AK6),AL6="sí"),0,TASA_DGT)</f>
        <v/>
      </c>
      <c r="CQ6" s="3">
        <f>INFORME_DGT</f>
        <v/>
      </c>
      <c r="CR6" s="4">
        <f>O6+CO6+CN6+CP6+CQ6</f>
        <v/>
      </c>
      <c r="CS6" s="4">
        <f>CR6+N(CF6)</f>
        <v/>
      </c>
      <c r="CT6" s="3">
        <f>IF(CR6&lt;=TOTAL_MAX,"sí",IF(CR6&lt;=TOTAL_MAX+MARGEN_NEG,"negociar","no"))</f>
        <v/>
      </c>
      <c r="CU6" s="4">
        <f>IF(CT6&lt;&gt;"no",COUNTIFS($CT$2:$CT$545,"&lt;&gt;no",$CL$2:$CL$545,"&gt;"&amp;CL6)+COUNTIFS($CT$2:CT6,"&lt;&gt;no",$CL$2:CL6,CL6),"")</f>
        <v/>
      </c>
    </row>
    <row r="7">
      <c r="A7" s="2" t="inlineStr">
        <is>
          <t>autoscout24:2d71c35d-97f3-41e3-9fb7-f1bc373d9421</t>
        </is>
      </c>
      <c r="B7" s="2" t="inlineStr">
        <is>
          <t>autoscout24</t>
        </is>
      </c>
      <c r="C7" s="2" t="inlineStr">
        <is>
          <t>https://www.autoscout24.es/anuncios/seat-leon-leon-1-9tdi-reference-ecomotive-dpf-diesel-cat_ma64mo15869-2d71c35d-97f3-41e3-9fb7-f1bc373d9421</t>
        </is>
      </c>
      <c r="D7" s="2" t="inlineStr">
        <is>
          <t>SEAT Leon León 1.9TDI Reference Ecomotive DPF</t>
        </is>
      </c>
      <c r="E7" s="2" t="inlineStr">
        <is>
          <t>Seat</t>
        </is>
      </c>
      <c r="F7" s="2" t="inlineStr">
        <is>
          <t>Seat León</t>
        </is>
      </c>
      <c r="G7" s="2" t="inlineStr">
        <is>
          <t>1.9 TDI</t>
        </is>
      </c>
      <c r="H7" s="2" t="inlineStr">
        <is>
          <t>León 1.9TDI Reference Ecomotive DPF 1.9 TDI</t>
        </is>
      </c>
      <c r="I7" s="2" t="n">
        <v>1896</v>
      </c>
      <c r="J7" s="2" t="n">
        <v>105</v>
      </c>
      <c r="K7" s="2" t="inlineStr">
        <is>
          <t>diesel</t>
        </is>
      </c>
      <c r="L7" s="2" t="inlineStr">
        <is>
          <t>compacto</t>
        </is>
      </c>
      <c r="M7" s="2" t="n">
        <v>2008</v>
      </c>
      <c r="N7" s="2" t="n">
        <v>200000</v>
      </c>
      <c r="O7" s="2" t="n">
        <v>4500</v>
      </c>
      <c r="P7" s="2" t="inlineStr">
        <is>
          <t>manual</t>
        </is>
      </c>
      <c r="Q7" s="2" t="inlineStr">
        <is>
          <t>no</t>
        </is>
      </c>
      <c r="R7" s="2" t="inlineStr">
        <is>
          <t>particular</t>
        </is>
      </c>
      <c r="S7" s="2" t="inlineStr">
        <is>
          <t>València (46191)</t>
        </is>
      </c>
      <c r="T7" s="2" t="n"/>
      <c r="U7" s="2" t="n">
        <v>11</v>
      </c>
      <c r="V7" s="2" t="n"/>
      <c r="W7" s="2" t="n"/>
      <c r="X7" s="2" t="n"/>
      <c r="Y7" s="2" t="n"/>
      <c r="Z7" s="2" t="n"/>
      <c r="AA7" s="2" t="n"/>
      <c r="AB7" s="2" t="n"/>
      <c r="AC7" s="2" t="n"/>
      <c r="AD7" s="2" t="n"/>
      <c r="AE7" s="2" t="n"/>
      <c r="AF7" s="2" t="n"/>
      <c r="AG7" s="2" t="n"/>
      <c r="AH7" s="2" t="n"/>
      <c r="AI7" s="2" t="n"/>
      <c r="AJ7" s="2" t="n"/>
      <c r="AK7" s="2" t="n"/>
      <c r="AL7" s="2" t="n"/>
      <c r="AM7" s="2" t="n">
        <v>20.6</v>
      </c>
      <c r="AN7" s="2" t="n"/>
      <c r="AO7" s="2" t="inlineStr">
        <is>
          <t>2008-09</t>
        </is>
      </c>
      <c r="AP7" s="2" t="n">
        <v>2008</v>
      </c>
      <c r="AQ7" s="2" t="n">
        <v>9</v>
      </c>
      <c r="AR7" s="2" t="n"/>
      <c r="AS7" s="2" t="inlineStr">
        <is>
          <t>regla</t>
        </is>
      </c>
      <c r="AT7" s="2" t="n">
        <v>4500</v>
      </c>
      <c r="AU7" s="2" t="n">
        <v>10</v>
      </c>
      <c r="AV7" s="2" t="inlineStr">
        <is>
          <t>modelo+año+km</t>
        </is>
      </c>
      <c r="AW7" s="2" t="n"/>
      <c r="AX7" s="2" t="inlineStr">
        <is>
          <t>cuota fija ITP: &gt;12 años, 1.501-2.000 cc; diésel: motor sin fuente de fiabilidad (fiabilidad limitada a neutra)</t>
        </is>
      </c>
      <c r="AY7" s="2" t="inlineStr">
        <is>
          <t>se vende Seat León en condiciones aceptables con embrague recién cambiado todo con factura motor 1900 potente se puede ver y probar saludos teléfono 631862154</t>
        </is>
      </c>
      <c r="AZ7" s="2" t="inlineStr">
        <is>
          <t>https://www.autoscout24.es/anuncios/seat-leon-leon-1-9tdi-reference-ecomotive-dpf-diesel-cat_ma64mo15869-2d71c35d-97f3-41e3-9fb7-f1bc373d9421 (__NEXT_DATA__ listingDetails) /home/user/Alopecia/buscador-coches/raw/autoscout24/22197e73cc7a77c1.json</t>
        </is>
      </c>
      <c r="BA7" s="3">
        <f>MAX(ANIO_ACTUAL-M7,0)</f>
        <v/>
      </c>
      <c r="BB7" s="4">
        <f>N7/MAX(BA7,0.5)</f>
        <v/>
      </c>
      <c r="BC7" s="4">
        <f>F7</f>
        <v/>
      </c>
      <c r="BD7" s="3">
        <f>BC7&amp;"|"&amp;INT(M7/SEG_ANIO)*SEG_ANIO</f>
        <v/>
      </c>
      <c r="BE7" s="3">
        <f>BD7&amp;"|"&amp;INT(N7/SEG_KM)*SEG_KM</f>
        <v/>
      </c>
      <c r="BF7" s="4">
        <f>COUNTIF($BC$2:$BC$545,BC7)</f>
        <v/>
      </c>
      <c r="BG7" s="4">
        <f>COUNTIF($BD$2:$BD$545,BD7)</f>
        <v/>
      </c>
      <c r="BH7" s="4">
        <f>COUNTIF($BE$2:$BE$545,BE7)</f>
        <v/>
      </c>
      <c r="BI7" s="3">
        <f t="array" ref="BI7">IF(N(AU7)&gt;=MIN_N,AT7,IF(BH7&gt;=MIN_N,MEDIAN(IF($BE$2:$BE$545=BE7,$O$2:$O$545)),IF(BG7&gt;=MIN_N,MEDIAN(IF($BD$2:$BD$545=BD7,$O$2:$O$545)),MEDIAN(IF($BC$2:$BC$545=BC7,$O$2:$O$545)))))</f>
        <v/>
      </c>
      <c r="BJ7" s="3">
        <f>IF(N(AU7)&gt;=MIN_N,"mercado "&amp;AV7,IF(BH7&gt;=MIN_N,"modelo+año+km",IF(BG7&gt;=MIN_N,"modelo+año","modelo")))</f>
        <v/>
      </c>
      <c r="BK7" s="4">
        <f>(BI7-O7)/BI7</f>
        <v/>
      </c>
      <c r="BL7" s="3">
        <f>IF(COUNTIFS(FR_FUEL,K7,FR_YEAR,AP7)&gt;0,1,0)</f>
        <v/>
      </c>
      <c r="BM7" s="3">
        <f>IF(COUNTIFS(FR_FUEL,K7,FR_YEAR,AP7-1)&gt;0,1,0)</f>
        <v/>
      </c>
      <c r="BN7" s="4">
        <f>IF(N(AQ7)&gt;0,AP7*100+AQ7,IF(AND(BL7=1,BM7=1),(AP7-1)*100+1,AP7*100+1))</f>
        <v/>
      </c>
      <c r="BO7" s="3">
        <f>IF(OR(K7="hibrido",K7="glp",K7="gnc",K7="phev"),"ECO",IF(K7="electrico","CERO",IF(K7="gasolina",IF(BN7&gt;=GAS_C_YM,"C",IF(BN7&gt;=GAS_B_YM,"B","A")),IF(K7="diesel",IF(BN7&gt;=DIE_C_YM,"C",IF(BN7&gt;=DIE_B_YM,"B","A")),""))))</f>
        <v/>
      </c>
      <c r="BP7" s="4">
        <f>BO7</f>
        <v/>
      </c>
      <c r="BQ7" s="4">
        <f>IF(AS7="regla",IF(AND(N(AQ7)=0,BL7=1),"sí","no"),"no")</f>
        <v/>
      </c>
      <c r="BR7" s="3">
        <f>IFERROR(VLOOKUP(F7,MOD_TBL,11,0),IFERROR(VLOOKUP(E7,OCU_TBL,2,0),NEUTRO))</f>
        <v/>
      </c>
      <c r="BS7" s="3">
        <f>SUMIFS(MOT_AJUSTE,MOT_MOTOR,G7,MOT_MARCA,E7,MOT_DESDE,"&lt;="&amp;M7,MOT_HASTA,"&gt;="&amp;M7)+SUMIFS(MOT_AJUSTE,MOT_MOTOR,G7,MOT_MARCA,"(todas)",MOT_DESDE,"&lt;="&amp;M7,MOT_HASTA,"&gt;="&amp;M7)</f>
        <v/>
      </c>
      <c r="BT7" s="3">
        <f>SUMIFS(COMB_AJUSTE,COMB_COMB,K7)</f>
        <v/>
      </c>
      <c r="BU7" s="3">
        <f>COUNTIFS(MOT_MOTOR,G7,MOT_MARCA,E7,MOT_DESDE,"&lt;="&amp;M7,MOT_HASTA,"&gt;="&amp;M7)+COUNTIFS(MOT_MOTOR,G7,MOT_MARCA,"(todas)",MOT_DESDE,"&lt;="&amp;M7,MOT_HASTA,"&gt;="&amp;M7)</f>
        <v/>
      </c>
      <c r="BV7" s="3">
        <f>IF(AND(K7="diesel",BU7=0),MIN(BR7,NEUTRO),BR7)</f>
        <v/>
      </c>
      <c r="BW7" s="4">
        <f>MAX(0,MIN(100,BV7+BS7+BT7))</f>
        <v/>
      </c>
      <c r="BX7" s="3">
        <f>MAX(0,MIN(100,50+BK7*PRECIO_PEND))</f>
        <v/>
      </c>
      <c r="BY7" s="3">
        <f>MAX(0,100*(1-N7/KM_MAX))</f>
        <v/>
      </c>
      <c r="BZ7" s="3">
        <f>IF(BB7&lt;KMA_SOSP,IF(AA7="sí",100,KMA_PEN),IF(BB7&lt;=KMA_IDEAL_MAX,100,MAX(0,100*(KMA_CERO-BB7)/(KMA_CERO-KMA_IDEAL_MAX))))</f>
        <v/>
      </c>
      <c r="CA7" s="3">
        <f>MAX(0,MIN(100,100*(M7-ANIO_MIN)/(ANIO_ACTUAL-ANIO_MIN)))</f>
        <v/>
      </c>
      <c r="CB7" s="3">
        <f>W_KMT*BY7+W_KMA*BZ7+W_EDAD*CA7</f>
        <v/>
      </c>
      <c r="CC7" s="3">
        <f>P_ITV*(V7="sí")+P_LIBRO*(W7="sí")+P_CORREA*(X7="sí")+P_PROP*(Y7=1)+P_GAR*(Z7="sí")+P_FOTOS*MIN(1,N(U7)/FOTOS_OBJ)</f>
        <v/>
      </c>
      <c r="CD7" s="3">
        <f>MAX(0,MIN(100,IFERROR(VLOOKUP(BP7,ETQ_TBL,2,0),0)-IF(BQ7="sí",ETQ_PEN_DUD,IF(AS7="regla",ETQ_PEN_REGLA,0))))</f>
        <v/>
      </c>
      <c r="CE7" s="3">
        <f>NEUTRO</f>
        <v/>
      </c>
      <c r="CF7" s="3">
        <f>IFERROR(VLOOKUP(L7,SEGURO_TBL,3,0),"")</f>
        <v/>
      </c>
      <c r="CG7" s="3">
        <f>IF(CF7="",NEUTRO,MAX(0,MIN(100,100*(SEG_REF_MAX-CF7)/(SEG_REF_MAX-SEG_REF_MIN))))</f>
        <v/>
      </c>
      <c r="CH7" s="3">
        <f>W_CONS*CE7+W_SEG*CG7</f>
        <v/>
      </c>
      <c r="CI7" s="3">
        <f>IF(N(AB7)&gt;0,AB7,IF(AND(R7="profesional",SG_LEGAL_ON=1),GAR_LEGAL,0))</f>
        <v/>
      </c>
      <c r="CJ7" s="3">
        <f>SG_GAR*MIN(1,CI7/SG_GAR_FULL)+SG_AMPL*(AC7="sí")+SG_KMC*(AF7="sí")+SG_REV*(N(AE7)&gt;0)+SG_DEV*MIN(1,N(AG7)/SG_DEV_FULL)+SG_HIST*(W7="sí")</f>
        <v/>
      </c>
      <c r="CK7" s="3">
        <f>IFERROR(VLOOKUP(L7,CARR_PEN_TBL,2,0),0)</f>
        <v/>
      </c>
      <c r="CL7" s="3">
        <f>W_FIAB*BW7+W_PRECIO*BX7+W_KMEDAD*CB7+W_ANUNCIO*CC7+W_USO*CH7+W_SEGURIDAD*CJ7+W_ETIQUETA*CD7-CK7</f>
        <v/>
      </c>
      <c r="CM7" s="4">
        <f>IF(N(I7)&gt;0,I7,IFERROR(ROUND(_xlfn.NUMBERVALUE(LEFT(G7,FIND(" ",G7&amp;" ")-1),".")*1000,0),99999))</f>
        <v/>
      </c>
      <c r="CN7" s="3">
        <f>IF(R7="profesional",0,IF(O7&lt;CUOTA_VALOR_MAX,IF(BA7&gt;ITP_TRAMO_ALTO,SUMIFS(CF_CUOTA,CF_MAS,ITP_TRAMO_ALTO,CF_CCMIN,"&lt;="&amp;CM7,CF_CCMAX,"&gt;="&amp;CM7),IF(BA7&gt;ITP_TRAMO_BAJO,SUMIFS(CF_CUOTA,CF_MAS,ITP_TRAMO_BAJO,CF_CCMIN,"&lt;="&amp;CM7,CF_CCMAX,"&gt;="&amp;CM7),O7*ITP_TIPO)),O7*ITP_TIPO))</f>
        <v/>
      </c>
      <c r="CO7" s="4">
        <f>IF(R7="profesional",N(AK7),0)</f>
        <v/>
      </c>
      <c r="CP7" s="3">
        <f>IF(AND(R7="profesional",ISNUMBER(AK7),AL7="sí"),0,TASA_DGT)</f>
        <v/>
      </c>
      <c r="CQ7" s="3">
        <f>INFORME_DGT</f>
        <v/>
      </c>
      <c r="CR7" s="4">
        <f>O7+CO7+CN7+CP7+CQ7</f>
        <v/>
      </c>
      <c r="CS7" s="4">
        <f>CR7+N(CF7)</f>
        <v/>
      </c>
      <c r="CT7" s="3">
        <f>IF(CR7&lt;=TOTAL_MAX,"sí",IF(CR7&lt;=TOTAL_MAX+MARGEN_NEG,"negociar","no"))</f>
        <v/>
      </c>
      <c r="CU7" s="4">
        <f>IF(CT7&lt;&gt;"no",COUNTIFS($CT$2:$CT$545,"&lt;&gt;no",$CL$2:$CL$545,"&gt;"&amp;CL7)+COUNTIFS($CT$2:CT7,"&lt;&gt;no",$CL$2:CL7,CL7),"")</f>
        <v/>
      </c>
    </row>
    <row r="8">
      <c r="A8" s="2" t="inlineStr">
        <is>
          <t>autoscout24:827f958f-8688-4b6d-8737-916b285573e8</t>
        </is>
      </c>
      <c r="B8" s="2" t="inlineStr">
        <is>
          <t>autoscout24</t>
        </is>
      </c>
      <c r="C8" s="2" t="inlineStr">
        <is>
          <t>https://www.autoscout24.es/anuncios/volkswagen-polo-1-2-advance-bmt-gasolina-gris-cat_ma74mo2090-827f958f-8688-4b6d-8737-916b285573e8</t>
        </is>
      </c>
      <c r="D8" s="2" t="inlineStr">
        <is>
          <t>Volkswagen Polo 1.2 Advance BMT</t>
        </is>
      </c>
      <c r="E8" s="2" t="inlineStr">
        <is>
          <t>Volkswagen</t>
        </is>
      </c>
      <c r="F8" s="2" t="inlineStr">
        <is>
          <t>Volkswagen Polo</t>
        </is>
      </c>
      <c r="G8" s="2" t="inlineStr">
        <is>
          <t>1.2</t>
        </is>
      </c>
      <c r="H8" s="2" t="inlineStr">
        <is>
          <t>1.2 Advance BMT 1.2</t>
        </is>
      </c>
      <c r="I8" s="2" t="n">
        <v>1198</v>
      </c>
      <c r="J8" s="2" t="n">
        <v>69</v>
      </c>
      <c r="K8" s="2" t="inlineStr">
        <is>
          <t>gasolina</t>
        </is>
      </c>
      <c r="L8" s="2" t="inlineStr">
        <is>
          <t>utilitario</t>
        </is>
      </c>
      <c r="M8" s="2" t="n">
        <v>2011</v>
      </c>
      <c r="N8" s="2" t="n">
        <v>211000</v>
      </c>
      <c r="O8" s="2" t="n">
        <v>4400</v>
      </c>
      <c r="P8" s="2" t="inlineStr">
        <is>
          <t>manual</t>
        </is>
      </c>
      <c r="Q8" s="2" t="inlineStr">
        <is>
          <t>no</t>
        </is>
      </c>
      <c r="R8" s="2" t="inlineStr">
        <is>
          <t>profesional</t>
        </is>
      </c>
      <c r="S8" s="2" t="inlineStr">
        <is>
          <t>Star Car Valencia — ALDAIA (46960)</t>
        </is>
      </c>
      <c r="T8" s="2" t="n"/>
      <c r="U8" s="2" t="n">
        <v>8</v>
      </c>
      <c r="V8" s="2" t="n"/>
      <c r="W8" s="2" t="n"/>
      <c r="X8" s="2" t="n"/>
      <c r="Y8" s="2" t="n"/>
      <c r="Z8" s="2" t="inlineStr">
        <is>
          <t>sí</t>
        </is>
      </c>
      <c r="AA8" s="2" t="n"/>
      <c r="AB8" s="2" t="n">
        <v>24</v>
      </c>
      <c r="AC8" s="2" t="n"/>
      <c r="AD8" s="2" t="n"/>
      <c r="AE8" s="2" t="n"/>
      <c r="AF8" s="2" t="n"/>
      <c r="AG8" s="2" t="n"/>
      <c r="AH8" s="2" t="n">
        <v>4400</v>
      </c>
      <c r="AI8" s="2" t="n"/>
      <c r="AJ8" s="2" t="n"/>
      <c r="AK8" s="2" t="n"/>
      <c r="AL8" s="2" t="n"/>
      <c r="AM8" s="2" t="n">
        <v>6.8</v>
      </c>
      <c r="AN8" s="2" t="n"/>
      <c r="AO8" s="2" t="inlineStr">
        <is>
          <t>2011-07</t>
        </is>
      </c>
      <c r="AP8" s="2" t="n">
        <v>2011</v>
      </c>
      <c r="AQ8" s="2" t="n">
        <v>7</v>
      </c>
      <c r="AR8" s="2" t="n"/>
      <c r="AS8" s="2" t="inlineStr">
        <is>
          <t>regla</t>
        </is>
      </c>
      <c r="AT8" s="2" t="n">
        <v>4900</v>
      </c>
      <c r="AU8" s="2" t="n">
        <v>8</v>
      </c>
      <c r="AV8" s="2" t="inlineStr">
        <is>
          <t>modelo+año+km</t>
        </is>
      </c>
      <c r="AW8" s="2" t="n"/>
      <c r="AX8" s="2" t="inlineStr">
        <is>
          <t>vendedor profesional: sin ITP (operación con IVA/REBU, confirmar en factura); gastos de gestión del vendedor no indicados: se suma la tasa DGT; preguntar el precio final</t>
        </is>
      </c>
      <c r="AY8" s="2" t="inlineStr">
        <is>
          <t>&lt;strong&gt;Precio al contado: 4400 euros&lt;/strong&gt; &lt;br /&gt;&lt;br /&gt;&lt;strong&gt;Condiciones de la financiación&lt;/strong&gt; &lt;br /&gt;&lt;br /&gt;REQUISITOS&lt;br /&gt;LTIMA NOMINA&lt;br /&gt;TITULARIDAD BANCARIA&lt;br /&gt;DNI&lt;br /&gt;TELEFONO&lt;br /&gt;⅕&lt;br /&gt; &lt;br /&gt;&lt;br /&gt;1 AÑO DE GARANTÍA  o 2 AÑOS DE GARANTÍA DE MOTOR&lt;br /&gt;POSIBILIDAD DE FINANCIACION 100%&lt;br /&gt;MANTENIMIENTO REALIZADO&lt;br /&gt;ENTREGA INMEDIATA&lt;br /&gt;1ª Matriculación:	02/2011&lt;br /&gt;Lectura cuentakilómetros:	211.407 km&lt;br /&gt;Combustible:	Gasolina&lt;br /&gt;Potencia:	51 KW / 70 CV&lt;br /&gt;Cilindrada:	1.198 cc&lt;br /&gt;Caja de cambios:	Cambio tipo manual&lt;br /&gt;Fecha de vencimiento ITV:	01/2027&lt;br /&gt; Si necesitas cualquier coche — modelo, color, año y kilómetros — te lo traemos.&lt;br /&gt;Dinos qué necesitas y lo tendrás. &lt;br /&gt;&lt;br /&gt; El anuncio puede contener errores.&lt;br /&gt;&lt;br /&gt;</t>
        </is>
      </c>
      <c r="AZ8" s="2" t="inlineStr">
        <is>
          <t>https://www.autoscout24.es/anuncios/volkswagen-polo-1-2-advance-bmt-gasolina-gris-cat_ma74mo2090-827f958f-8688-4b6d-8737-916b285573e8 (__NEXT_DATA__ listingDetails) /home/user/Alopecia/buscador-coches/raw/autoscout24/d6fff8df76fd308b.json</t>
        </is>
      </c>
      <c r="BA8" s="3">
        <f>MAX(ANIO_ACTUAL-M8,0)</f>
        <v/>
      </c>
      <c r="BB8" s="4">
        <f>N8/MAX(BA8,0.5)</f>
        <v/>
      </c>
      <c r="BC8" s="4">
        <f>F8</f>
        <v/>
      </c>
      <c r="BD8" s="3">
        <f>BC8&amp;"|"&amp;INT(M8/SEG_ANIO)*SEG_ANIO</f>
        <v/>
      </c>
      <c r="BE8" s="3">
        <f>BD8&amp;"|"&amp;INT(N8/SEG_KM)*SEG_KM</f>
        <v/>
      </c>
      <c r="BF8" s="4">
        <f>COUNTIF($BC$2:$BC$545,BC8)</f>
        <v/>
      </c>
      <c r="BG8" s="4">
        <f>COUNTIF($BD$2:$BD$545,BD8)</f>
        <v/>
      </c>
      <c r="BH8" s="4">
        <f>COUNTIF($BE$2:$BE$545,BE8)</f>
        <v/>
      </c>
      <c r="BI8" s="3">
        <f t="array" ref="BI8">IF(N(AU8)&gt;=MIN_N,AT8,IF(BH8&gt;=MIN_N,MEDIAN(IF($BE$2:$BE$545=BE8,$O$2:$O$545)),IF(BG8&gt;=MIN_N,MEDIAN(IF($BD$2:$BD$545=BD8,$O$2:$O$545)),MEDIAN(IF($BC$2:$BC$545=BC8,$O$2:$O$545)))))</f>
        <v/>
      </c>
      <c r="BJ8" s="3">
        <f>IF(N(AU8)&gt;=MIN_N,"mercado "&amp;AV8,IF(BH8&gt;=MIN_N,"modelo+año+km",IF(BG8&gt;=MIN_N,"modelo+año","modelo")))</f>
        <v/>
      </c>
      <c r="BK8" s="4">
        <f>(BI8-O8)/BI8</f>
        <v/>
      </c>
      <c r="BL8" s="3">
        <f>IF(COUNTIFS(FR_FUEL,K8,FR_YEAR,AP8)&gt;0,1,0)</f>
        <v/>
      </c>
      <c r="BM8" s="3">
        <f>IF(COUNTIFS(FR_FUEL,K8,FR_YEAR,AP8-1)&gt;0,1,0)</f>
        <v/>
      </c>
      <c r="BN8" s="4">
        <f>IF(N(AQ8)&gt;0,AP8*100+AQ8,IF(AND(BL8=1,BM8=1),(AP8-1)*100+1,AP8*100+1))</f>
        <v/>
      </c>
      <c r="BO8" s="3">
        <f>IF(OR(K8="hibrido",K8="glp",K8="gnc",K8="phev"),"ECO",IF(K8="electrico","CERO",IF(K8="gasolina",IF(BN8&gt;=GAS_C_YM,"C",IF(BN8&gt;=GAS_B_YM,"B","A")),IF(K8="diesel",IF(BN8&gt;=DIE_C_YM,"C",IF(BN8&gt;=DIE_B_YM,"B","A")),""))))</f>
        <v/>
      </c>
      <c r="BP8" s="4">
        <f>BO8</f>
        <v/>
      </c>
      <c r="BQ8" s="4">
        <f>IF(AS8="regla",IF(AND(N(AQ8)=0,BL8=1),"sí","no"),"no")</f>
        <v/>
      </c>
      <c r="BR8" s="3">
        <f>IFERROR(VLOOKUP(F8,MOD_TBL,11,0),IFERROR(VLOOKUP(E8,OCU_TBL,2,0),NEUTRO))</f>
        <v/>
      </c>
      <c r="BS8" s="3">
        <f>SUMIFS(MOT_AJUSTE,MOT_MOTOR,G8,MOT_MARCA,E8,MOT_DESDE,"&lt;="&amp;M8,MOT_HASTA,"&gt;="&amp;M8)+SUMIFS(MOT_AJUSTE,MOT_MOTOR,G8,MOT_MARCA,"(todas)",MOT_DESDE,"&lt;="&amp;M8,MOT_HASTA,"&gt;="&amp;M8)</f>
        <v/>
      </c>
      <c r="BT8" s="3">
        <f>SUMIFS(COMB_AJUSTE,COMB_COMB,K8)</f>
        <v/>
      </c>
      <c r="BU8" s="3">
        <f>COUNTIFS(MOT_MOTOR,G8,MOT_MARCA,E8,MOT_DESDE,"&lt;="&amp;M8,MOT_HASTA,"&gt;="&amp;M8)+COUNTIFS(MOT_MOTOR,G8,MOT_MARCA,"(todas)",MOT_DESDE,"&lt;="&amp;M8,MOT_HASTA,"&gt;="&amp;M8)</f>
        <v/>
      </c>
      <c r="BV8" s="3">
        <f>IF(AND(K8="diesel",BU8=0),MIN(BR8,NEUTRO),BR8)</f>
        <v/>
      </c>
      <c r="BW8" s="4">
        <f>MAX(0,MIN(100,BV8+BS8+BT8))</f>
        <v/>
      </c>
      <c r="BX8" s="3">
        <f>MAX(0,MIN(100,50+BK8*PRECIO_PEND))</f>
        <v/>
      </c>
      <c r="BY8" s="3">
        <f>MAX(0,100*(1-N8/KM_MAX))</f>
        <v/>
      </c>
      <c r="BZ8" s="3">
        <f>IF(BB8&lt;KMA_SOSP,IF(AA8="sí",100,KMA_PEN),IF(BB8&lt;=KMA_IDEAL_MAX,100,MAX(0,100*(KMA_CERO-BB8)/(KMA_CERO-KMA_IDEAL_MAX))))</f>
        <v/>
      </c>
      <c r="CA8" s="3">
        <f>MAX(0,MIN(100,100*(M8-ANIO_MIN)/(ANIO_ACTUAL-ANIO_MIN)))</f>
        <v/>
      </c>
      <c r="CB8" s="3">
        <f>W_KMT*BY8+W_KMA*BZ8+W_EDAD*CA8</f>
        <v/>
      </c>
      <c r="CC8" s="3">
        <f>P_ITV*(V8="sí")+P_LIBRO*(W8="sí")+P_CORREA*(X8="sí")+P_PROP*(Y8=1)+P_GAR*(Z8="sí")+P_FOTOS*MIN(1,N(U8)/FOTOS_OBJ)</f>
        <v/>
      </c>
      <c r="CD8" s="3">
        <f>MAX(0,MIN(100,IFERROR(VLOOKUP(BP8,ETQ_TBL,2,0),0)-IF(BQ8="sí",ETQ_PEN_DUD,IF(AS8="regla",ETQ_PEN_REGLA,0))))</f>
        <v/>
      </c>
      <c r="CE8" s="3">
        <f>NEUTRO</f>
        <v/>
      </c>
      <c r="CF8" s="3">
        <f>IFERROR(VLOOKUP(L8,SEGURO_TBL,3,0),"")</f>
        <v/>
      </c>
      <c r="CG8" s="3">
        <f>IF(CF8="",NEUTRO,MAX(0,MIN(100,100*(SEG_REF_MAX-CF8)/(SEG_REF_MAX-SEG_REF_MIN))))</f>
        <v/>
      </c>
      <c r="CH8" s="3">
        <f>W_CONS*CE8+W_SEG*CG8</f>
        <v/>
      </c>
      <c r="CI8" s="3">
        <f>IF(N(AB8)&gt;0,AB8,IF(AND(R8="profesional",SG_LEGAL_ON=1),GAR_LEGAL,0))</f>
        <v/>
      </c>
      <c r="CJ8" s="3">
        <f>SG_GAR*MIN(1,CI8/SG_GAR_FULL)+SG_AMPL*(AC8="sí")+SG_KMC*(AF8="sí")+SG_REV*(N(AE8)&gt;0)+SG_DEV*MIN(1,N(AG8)/SG_DEV_FULL)+SG_HIST*(W8="sí")</f>
        <v/>
      </c>
      <c r="CK8" s="3">
        <f>IFERROR(VLOOKUP(L8,CARR_PEN_TBL,2,0),0)</f>
        <v/>
      </c>
      <c r="CL8" s="3">
        <f>W_FIAB*BW8+W_PRECIO*BX8+W_KMEDAD*CB8+W_ANUNCIO*CC8+W_USO*CH8+W_SEGURIDAD*CJ8+W_ETIQUETA*CD8-CK8</f>
        <v/>
      </c>
      <c r="CM8" s="4">
        <f>IF(N(I8)&gt;0,I8,IFERROR(ROUND(_xlfn.NUMBERVALUE(LEFT(G8,FIND(" ",G8&amp;" ")-1),".")*1000,0),99999))</f>
        <v/>
      </c>
      <c r="CN8" s="3">
        <f>IF(R8="profesional",0,IF(O8&lt;CUOTA_VALOR_MAX,IF(BA8&gt;ITP_TRAMO_ALTO,SUMIFS(CF_CUOTA,CF_MAS,ITP_TRAMO_ALTO,CF_CCMIN,"&lt;="&amp;CM8,CF_CCMAX,"&gt;="&amp;CM8),IF(BA8&gt;ITP_TRAMO_BAJO,SUMIFS(CF_CUOTA,CF_MAS,ITP_TRAMO_BAJO,CF_CCMIN,"&lt;="&amp;CM8,CF_CCMAX,"&gt;="&amp;CM8),O8*ITP_TIPO)),O8*ITP_TIPO))</f>
        <v/>
      </c>
      <c r="CO8" s="4">
        <f>IF(R8="profesional",N(AK8),0)</f>
        <v/>
      </c>
      <c r="CP8" s="3">
        <f>IF(AND(R8="profesional",ISNUMBER(AK8),AL8="sí"),0,TASA_DGT)</f>
        <v/>
      </c>
      <c r="CQ8" s="3">
        <f>INFORME_DGT</f>
        <v/>
      </c>
      <c r="CR8" s="4">
        <f>O8+CO8+CN8+CP8+CQ8</f>
        <v/>
      </c>
      <c r="CS8" s="4">
        <f>CR8+N(CF8)</f>
        <v/>
      </c>
      <c r="CT8" s="3">
        <f>IF(CR8&lt;=TOTAL_MAX,"sí",IF(CR8&lt;=TOTAL_MAX+MARGEN_NEG,"negociar","no"))</f>
        <v/>
      </c>
      <c r="CU8" s="4">
        <f>IF(CT8&lt;&gt;"no",COUNTIFS($CT$2:$CT$545,"&lt;&gt;no",$CL$2:$CL$545,"&gt;"&amp;CL8)+COUNTIFS($CT$2:CT8,"&lt;&gt;no",$CL$2:CL8,CL8),"")</f>
        <v/>
      </c>
    </row>
    <row r="9">
      <c r="A9" s="2" t="inlineStr">
        <is>
          <t>autoscout24:eedca07e-c241-4b5e-92f9-ca201479b1f6</t>
        </is>
      </c>
      <c r="B9" s="2" t="inlineStr">
        <is>
          <t>autoscout24</t>
        </is>
      </c>
      <c r="C9" s="2" t="inlineStr">
        <is>
          <t>https://www.autoscout24.es/anuncios/opel-corsa-1-2-essentia-gasolina-cat_ma54mo1918-eedca07e-c241-4b5e-92f9-ca201479b1f6</t>
        </is>
      </c>
      <c r="D9" s="2" t="inlineStr">
        <is>
          <t>Opel Corsa 1.2 Essentia</t>
        </is>
      </c>
      <c r="E9" s="2" t="inlineStr">
        <is>
          <t>Opel</t>
        </is>
      </c>
      <c r="F9" s="2" t="inlineStr">
        <is>
          <t>Opel Corsa</t>
        </is>
      </c>
      <c r="G9" s="2" t="inlineStr">
        <is>
          <t>1.2</t>
        </is>
      </c>
      <c r="H9" s="2" t="inlineStr">
        <is>
          <t>1.2 Essentia 1.2</t>
        </is>
      </c>
      <c r="I9" s="2" t="n">
        <v>1229</v>
      </c>
      <c r="J9" s="2" t="n">
        <v>86</v>
      </c>
      <c r="K9" s="2" t="inlineStr">
        <is>
          <t>gasolina</t>
        </is>
      </c>
      <c r="L9" s="2" t="inlineStr">
        <is>
          <t>utilitario</t>
        </is>
      </c>
      <c r="M9" s="2" t="n">
        <v>2010</v>
      </c>
      <c r="N9" s="2" t="n">
        <v>163000</v>
      </c>
      <c r="O9" s="2" t="n">
        <v>3490</v>
      </c>
      <c r="P9" s="2" t="inlineStr">
        <is>
          <t>manual</t>
        </is>
      </c>
      <c r="Q9" s="2" t="inlineStr">
        <is>
          <t>no</t>
        </is>
      </c>
      <c r="R9" s="2" t="inlineStr">
        <is>
          <t>particular</t>
        </is>
      </c>
      <c r="S9" s="2" t="inlineStr">
        <is>
          <t>València (46007)</t>
        </is>
      </c>
      <c r="T9" s="2" t="n"/>
      <c r="U9" s="2" t="n">
        <v>14</v>
      </c>
      <c r="V9" s="2" t="n"/>
      <c r="W9" s="2" t="n"/>
      <c r="X9" s="2" t="n"/>
      <c r="Y9" s="2" t="n"/>
      <c r="Z9" s="2" t="n"/>
      <c r="AA9" s="2" t="n"/>
      <c r="AB9" s="2" t="n"/>
      <c r="AC9" s="2" t="n"/>
      <c r="AD9" s="2" t="n"/>
      <c r="AE9" s="2" t="n"/>
      <c r="AF9" s="2" t="n"/>
      <c r="AG9" s="2" t="n"/>
      <c r="AH9" s="2" t="n"/>
      <c r="AI9" s="2" t="n"/>
      <c r="AJ9" s="2" t="n"/>
      <c r="AK9" s="2" t="n"/>
      <c r="AL9" s="2" t="n"/>
      <c r="AM9" s="2" t="n">
        <v>1.2</v>
      </c>
      <c r="AN9" s="2" t="n"/>
      <c r="AO9" s="2" t="inlineStr">
        <is>
          <t>2010-05</t>
        </is>
      </c>
      <c r="AP9" s="2" t="n">
        <v>2010</v>
      </c>
      <c r="AQ9" s="2" t="n">
        <v>5</v>
      </c>
      <c r="AR9" s="2" t="n"/>
      <c r="AS9" s="2" t="inlineStr">
        <is>
          <t>regla</t>
        </is>
      </c>
      <c r="AT9" s="2" t="n">
        <v>3500</v>
      </c>
      <c r="AU9" s="2" t="n">
        <v>7</v>
      </c>
      <c r="AV9" s="2" t="inlineStr">
        <is>
          <t>modelo+año+km</t>
        </is>
      </c>
      <c r="AW9" s="2" t="inlineStr">
        <is>
          <t>wallapop:1318387590 (https://es.wallapop.com/item/opel-corsa-2010-1318387590); cochesnet:71859737 (https://www.coches.net/opel-corsa-12-111-years-3p-gasolina-2010-en-valencia-71859737-covo.aspx)</t>
        </is>
      </c>
      <c r="AX9" s="2" t="inlineStr">
        <is>
          <t>cuota fija ITP: &gt;12 años, hasta 1.500 cc</t>
        </is>
      </c>
      <c r="AY9" s="2" t="inlineStr">
        <is>
          <t>Vendo mi Opel Corsa 1.2 gasolina con 163.000 km.&lt;br /&gt;&lt;br /&gt;Es un coche que está súper cuidado y muy bien conservado. Tiene motor con cadena de distribución, por lo que no hay que preocuparse de cambiar la correa.&lt;br /&gt;&lt;br /&gt;Es muy cómodo de conducir, consume poquito y tiene un mantenimiento económico. Ideal para el día a día, para ir a trabajar o como primer coche.&lt;br /&gt;&lt;br /&gt;Es un coche sencillo, práctico y que da muy buen servicio.&lt;br /&gt;&lt;br /&gt;Se puede venir a ver y probar sin ningún compromiso.&lt;br /&gt;&lt;br /&gt;Cualquier duda, preguntadme sin problema, estaré encantado de responder.</t>
        </is>
      </c>
      <c r="AZ9" s="2" t="inlineStr">
        <is>
          <t>https://www.autoscout24.es/anuncios/opel-corsa-1-2-essentia-gasolina-cat_ma54mo1918-eedca07e-c241-4b5e-92f9-ca201479b1f6 (__NEXT_DATA__ listingDetails) /home/user/Alopecia/buscador-coches/raw/autoscout24/316e205209890238.json</t>
        </is>
      </c>
      <c r="BA9" s="3">
        <f>MAX(ANIO_ACTUAL-M9,0)</f>
        <v/>
      </c>
      <c r="BB9" s="4">
        <f>N9/MAX(BA9,0.5)</f>
        <v/>
      </c>
      <c r="BC9" s="4">
        <f>F9</f>
        <v/>
      </c>
      <c r="BD9" s="3">
        <f>BC9&amp;"|"&amp;INT(M9/SEG_ANIO)*SEG_ANIO</f>
        <v/>
      </c>
      <c r="BE9" s="3">
        <f>BD9&amp;"|"&amp;INT(N9/SEG_KM)*SEG_KM</f>
        <v/>
      </c>
      <c r="BF9" s="4">
        <f>COUNTIF($BC$2:$BC$545,BC9)</f>
        <v/>
      </c>
      <c r="BG9" s="4">
        <f>COUNTIF($BD$2:$BD$545,BD9)</f>
        <v/>
      </c>
      <c r="BH9" s="4">
        <f>COUNTIF($BE$2:$BE$545,BE9)</f>
        <v/>
      </c>
      <c r="BI9" s="3">
        <f t="array" ref="BI9">IF(N(AU9)&gt;=MIN_N,AT9,IF(BH9&gt;=MIN_N,MEDIAN(IF($BE$2:$BE$545=BE9,$O$2:$O$545)),IF(BG9&gt;=MIN_N,MEDIAN(IF($BD$2:$BD$545=BD9,$O$2:$O$545)),MEDIAN(IF($BC$2:$BC$545=BC9,$O$2:$O$545)))))</f>
        <v/>
      </c>
      <c r="BJ9" s="3">
        <f>IF(N(AU9)&gt;=MIN_N,"mercado "&amp;AV9,IF(BH9&gt;=MIN_N,"modelo+año+km",IF(BG9&gt;=MIN_N,"modelo+año","modelo")))</f>
        <v/>
      </c>
      <c r="BK9" s="4">
        <f>(BI9-O9)/BI9</f>
        <v/>
      </c>
      <c r="BL9" s="3">
        <f>IF(COUNTIFS(FR_FUEL,K9,FR_YEAR,AP9)&gt;0,1,0)</f>
        <v/>
      </c>
      <c r="BM9" s="3">
        <f>IF(COUNTIFS(FR_FUEL,K9,FR_YEAR,AP9-1)&gt;0,1,0)</f>
        <v/>
      </c>
      <c r="BN9" s="4">
        <f>IF(N(AQ9)&gt;0,AP9*100+AQ9,IF(AND(BL9=1,BM9=1),(AP9-1)*100+1,AP9*100+1))</f>
        <v/>
      </c>
      <c r="BO9" s="3">
        <f>IF(OR(K9="hibrido",K9="glp",K9="gnc",K9="phev"),"ECO",IF(K9="electrico","CERO",IF(K9="gasolina",IF(BN9&gt;=GAS_C_YM,"C",IF(BN9&gt;=GAS_B_YM,"B","A")),IF(K9="diesel",IF(BN9&gt;=DIE_C_YM,"C",IF(BN9&gt;=DIE_B_YM,"B","A")),""))))</f>
        <v/>
      </c>
      <c r="BP9" s="4">
        <f>BO9</f>
        <v/>
      </c>
      <c r="BQ9" s="4">
        <f>IF(AS9="regla",IF(AND(N(AQ9)=0,BL9=1),"sí","no"),"no")</f>
        <v/>
      </c>
      <c r="BR9" s="3">
        <f>IFERROR(VLOOKUP(F9,MOD_TBL,11,0),IFERROR(VLOOKUP(E9,OCU_TBL,2,0),NEUTRO))</f>
        <v/>
      </c>
      <c r="BS9" s="3">
        <f>SUMIFS(MOT_AJUSTE,MOT_MOTOR,G9,MOT_MARCA,E9,MOT_DESDE,"&lt;="&amp;M9,MOT_HASTA,"&gt;="&amp;M9)+SUMIFS(MOT_AJUSTE,MOT_MOTOR,G9,MOT_MARCA,"(todas)",MOT_DESDE,"&lt;="&amp;M9,MOT_HASTA,"&gt;="&amp;M9)</f>
        <v/>
      </c>
      <c r="BT9" s="3">
        <f>SUMIFS(COMB_AJUSTE,COMB_COMB,K9)</f>
        <v/>
      </c>
      <c r="BU9" s="3">
        <f>COUNTIFS(MOT_MOTOR,G9,MOT_MARCA,E9,MOT_DESDE,"&lt;="&amp;M9,MOT_HASTA,"&gt;="&amp;M9)+COUNTIFS(MOT_MOTOR,G9,MOT_MARCA,"(todas)",MOT_DESDE,"&lt;="&amp;M9,MOT_HASTA,"&gt;="&amp;M9)</f>
        <v/>
      </c>
      <c r="BV9" s="3">
        <f>IF(AND(K9="diesel",BU9=0),MIN(BR9,NEUTRO),BR9)</f>
        <v/>
      </c>
      <c r="BW9" s="4">
        <f>MAX(0,MIN(100,BV9+BS9+BT9))</f>
        <v/>
      </c>
      <c r="BX9" s="3">
        <f>MAX(0,MIN(100,50+BK9*PRECIO_PEND))</f>
        <v/>
      </c>
      <c r="BY9" s="3">
        <f>MAX(0,100*(1-N9/KM_MAX))</f>
        <v/>
      </c>
      <c r="BZ9" s="3">
        <f>IF(BB9&lt;KMA_SOSP,IF(AA9="sí",100,KMA_PEN),IF(BB9&lt;=KMA_IDEAL_MAX,100,MAX(0,100*(KMA_CERO-BB9)/(KMA_CERO-KMA_IDEAL_MAX))))</f>
        <v/>
      </c>
      <c r="CA9" s="3">
        <f>MAX(0,MIN(100,100*(M9-ANIO_MIN)/(ANIO_ACTUAL-ANIO_MIN)))</f>
        <v/>
      </c>
      <c r="CB9" s="3">
        <f>W_KMT*BY9+W_KMA*BZ9+W_EDAD*CA9</f>
        <v/>
      </c>
      <c r="CC9" s="3">
        <f>P_ITV*(V9="sí")+P_LIBRO*(W9="sí")+P_CORREA*(X9="sí")+P_PROP*(Y9=1)+P_GAR*(Z9="sí")+P_FOTOS*MIN(1,N(U9)/FOTOS_OBJ)</f>
        <v/>
      </c>
      <c r="CD9" s="3">
        <f>MAX(0,MIN(100,IFERROR(VLOOKUP(BP9,ETQ_TBL,2,0),0)-IF(BQ9="sí",ETQ_PEN_DUD,IF(AS9="regla",ETQ_PEN_REGLA,0))))</f>
        <v/>
      </c>
      <c r="CE9" s="3">
        <f>NEUTRO</f>
        <v/>
      </c>
      <c r="CF9" s="3">
        <f>IFERROR(VLOOKUP(L9,SEGURO_TBL,3,0),"")</f>
        <v/>
      </c>
      <c r="CG9" s="3">
        <f>IF(CF9="",NEUTRO,MAX(0,MIN(100,100*(SEG_REF_MAX-CF9)/(SEG_REF_MAX-SEG_REF_MIN))))</f>
        <v/>
      </c>
      <c r="CH9" s="3">
        <f>W_CONS*CE9+W_SEG*CG9</f>
        <v/>
      </c>
      <c r="CI9" s="3">
        <f>IF(N(AB9)&gt;0,AB9,IF(AND(R9="profesional",SG_LEGAL_ON=1),GAR_LEGAL,0))</f>
        <v/>
      </c>
      <c r="CJ9" s="3">
        <f>SG_GAR*MIN(1,CI9/SG_GAR_FULL)+SG_AMPL*(AC9="sí")+SG_KMC*(AF9="sí")+SG_REV*(N(AE9)&gt;0)+SG_DEV*MIN(1,N(AG9)/SG_DEV_FULL)+SG_HIST*(W9="sí")</f>
        <v/>
      </c>
      <c r="CK9" s="3">
        <f>IFERROR(VLOOKUP(L9,CARR_PEN_TBL,2,0),0)</f>
        <v/>
      </c>
      <c r="CL9" s="3">
        <f>W_FIAB*BW9+W_PRECIO*BX9+W_KMEDAD*CB9+W_ANUNCIO*CC9+W_USO*CH9+W_SEGURIDAD*CJ9+W_ETIQUETA*CD9-CK9</f>
        <v/>
      </c>
      <c r="CM9" s="4">
        <f>IF(N(I9)&gt;0,I9,IFERROR(ROUND(_xlfn.NUMBERVALUE(LEFT(G9,FIND(" ",G9&amp;" ")-1),".")*1000,0),99999))</f>
        <v/>
      </c>
      <c r="CN9" s="3">
        <f>IF(R9="profesional",0,IF(O9&lt;CUOTA_VALOR_MAX,IF(BA9&gt;ITP_TRAMO_ALTO,SUMIFS(CF_CUOTA,CF_MAS,ITP_TRAMO_ALTO,CF_CCMIN,"&lt;="&amp;CM9,CF_CCMAX,"&gt;="&amp;CM9),IF(BA9&gt;ITP_TRAMO_BAJO,SUMIFS(CF_CUOTA,CF_MAS,ITP_TRAMO_BAJO,CF_CCMIN,"&lt;="&amp;CM9,CF_CCMAX,"&gt;="&amp;CM9),O9*ITP_TIPO)),O9*ITP_TIPO))</f>
        <v/>
      </c>
      <c r="CO9" s="4">
        <f>IF(R9="profesional",N(AK9),0)</f>
        <v/>
      </c>
      <c r="CP9" s="3">
        <f>IF(AND(R9="profesional",ISNUMBER(AK9),AL9="sí"),0,TASA_DGT)</f>
        <v/>
      </c>
      <c r="CQ9" s="3">
        <f>INFORME_DGT</f>
        <v/>
      </c>
      <c r="CR9" s="4">
        <f>O9+CO9+CN9+CP9+CQ9</f>
        <v/>
      </c>
      <c r="CS9" s="4">
        <f>CR9+N(CF9)</f>
        <v/>
      </c>
      <c r="CT9" s="3">
        <f>IF(CR9&lt;=TOTAL_MAX,"sí",IF(CR9&lt;=TOTAL_MAX+MARGEN_NEG,"negociar","no"))</f>
        <v/>
      </c>
      <c r="CU9" s="4">
        <f>IF(CT9&lt;&gt;"no",COUNTIFS($CT$2:$CT$545,"&lt;&gt;no",$CL$2:$CL$545,"&gt;"&amp;CL9)+COUNTIFS($CT$2:CT9,"&lt;&gt;no",$CL$2:CL9,CL9),"")</f>
        <v/>
      </c>
    </row>
    <row r="10">
      <c r="A10" s="2" t="inlineStr">
        <is>
          <t>autoscout24:530a78a6-41a7-4caa-9407-81ae2c44ad35</t>
        </is>
      </c>
      <c r="B10" s="2" t="inlineStr">
        <is>
          <t>autoscout24</t>
        </is>
      </c>
      <c r="C10" s="2" t="inlineStr">
        <is>
          <t>https://www.autoscout24.es/anuncios/opel-corsa-1-4-c-mon-139co2-gasolina-gris-cat_ma54mo1918-530a78a6-41a7-4caa-9407-81ae2c44ad35</t>
        </is>
      </c>
      <c r="D10" s="2" t="inlineStr">
        <is>
          <t>Opel Corsa 1.4 C Mon (139CO2)</t>
        </is>
      </c>
      <c r="E10" s="2" t="inlineStr">
        <is>
          <t>Opel</t>
        </is>
      </c>
      <c r="F10" s="2" t="inlineStr">
        <is>
          <t>Opel Corsa</t>
        </is>
      </c>
      <c r="G10" s="2" t="inlineStr">
        <is>
          <t>1.4</t>
        </is>
      </c>
      <c r="H10" s="2" t="inlineStr">
        <is>
          <t>1.4 C Mon (139CO2) 1.4</t>
        </is>
      </c>
      <c r="I10" s="2" t="n">
        <v>1364</v>
      </c>
      <c r="J10" s="2" t="n">
        <v>90</v>
      </c>
      <c r="K10" s="2" t="inlineStr">
        <is>
          <t>gasolina</t>
        </is>
      </c>
      <c r="L10" s="2" t="inlineStr">
        <is>
          <t>utilitario</t>
        </is>
      </c>
      <c r="M10" s="2" t="n">
        <v>2009</v>
      </c>
      <c r="N10" s="2" t="n">
        <v>136000</v>
      </c>
      <c r="O10" s="2" t="n">
        <v>4500</v>
      </c>
      <c r="P10" s="2" t="inlineStr">
        <is>
          <t>manual</t>
        </is>
      </c>
      <c r="Q10" s="2" t="inlineStr">
        <is>
          <t>no</t>
        </is>
      </c>
      <c r="R10" s="2" t="inlineStr">
        <is>
          <t>profesional</t>
        </is>
      </c>
      <c r="S10" s="2" t="inlineStr">
        <is>
          <t>EUROREPAR AUTOS MERCHAN — MASANASSA (46470)</t>
        </is>
      </c>
      <c r="T10" s="2" t="n"/>
      <c r="U10" s="2" t="n">
        <v>8</v>
      </c>
      <c r="V10" s="2" t="inlineStr">
        <is>
          <t>sí</t>
        </is>
      </c>
      <c r="W10" s="2" t="n"/>
      <c r="X10" s="2" t="n"/>
      <c r="Y10" s="2" t="n"/>
      <c r="Z10" s="2" t="inlineStr">
        <is>
          <t>sí</t>
        </is>
      </c>
      <c r="AA10" s="2" t="n"/>
      <c r="AB10" s="2" t="n">
        <v>12</v>
      </c>
      <c r="AC10" s="2" t="n"/>
      <c r="AD10" s="2" t="n"/>
      <c r="AE10" s="2" t="n"/>
      <c r="AF10" s="2" t="n"/>
      <c r="AG10" s="2" t="n"/>
      <c r="AH10" s="2" t="n"/>
      <c r="AI10" s="2" t="n"/>
      <c r="AJ10" s="2" t="n"/>
      <c r="AK10" s="2" t="n"/>
      <c r="AL10" s="2" t="n"/>
      <c r="AM10" s="2" t="n">
        <v>6.7</v>
      </c>
      <c r="AN10" s="2" t="n"/>
      <c r="AO10" s="2" t="inlineStr">
        <is>
          <t>2009-01</t>
        </is>
      </c>
      <c r="AP10" s="2" t="n">
        <v>2009</v>
      </c>
      <c r="AQ10" s="2" t="n">
        <v>1</v>
      </c>
      <c r="AR10" s="2" t="n"/>
      <c r="AS10" s="2" t="inlineStr">
        <is>
          <t>regla</t>
        </is>
      </c>
      <c r="AT10" s="2" t="n">
        <v>3600</v>
      </c>
      <c r="AU10" s="2" t="n">
        <v>9</v>
      </c>
      <c r="AV10" s="2" t="inlineStr">
        <is>
          <t>modelo+año+km</t>
        </is>
      </c>
      <c r="AW10" s="2" t="inlineStr">
        <is>
          <t>cochesnet:71842537 (https://www.coches.net/opel-corsa-cmon-14-3p-gasolina-2009-en-valencia-71842537-covo.aspx)</t>
        </is>
      </c>
      <c r="AX10" s="2" t="inlineStr">
        <is>
          <t>vendedor profesional: sin ITP (operación con IVA/REBU, confirmar en factura); gastos de gestión del vendedor no indicados: se suma la tasa DGT; preguntar el precio final</t>
        </is>
      </c>
      <c r="AY10" s="2" t="inlineStr">
        <is>
          <t>Se vende Opel Corsa 1.4 Gasolina (90CV) y fecha matriculación Enero 2009. Vehiculo muy bien cuidado tanto interior como exterior y motor . Se entrega con revisión completa aceite y filtros, bujías , 4 neumáticos nuevos, 2 llaves e itv recién pasada.&lt;br /&gt;&lt;br /&gt;</t>
        </is>
      </c>
      <c r="AZ10" s="2" t="inlineStr">
        <is>
          <t>https://www.autoscout24.es/anuncios/opel-corsa-1-4-c-mon-139co2-gasolina-gris-cat_ma54mo1918-530a78a6-41a7-4caa-9407-81ae2c44ad35 (__NEXT_DATA__ listingDetails) /home/user/Alopecia/buscador-coches/raw/autoscout24/ea1df8b55d5dba3e.json</t>
        </is>
      </c>
      <c r="BA10" s="3">
        <f>MAX(ANIO_ACTUAL-M10,0)</f>
        <v/>
      </c>
      <c r="BB10" s="4">
        <f>N10/MAX(BA10,0.5)</f>
        <v/>
      </c>
      <c r="BC10" s="4">
        <f>F10</f>
        <v/>
      </c>
      <c r="BD10" s="3">
        <f>BC10&amp;"|"&amp;INT(M10/SEG_ANIO)*SEG_ANIO</f>
        <v/>
      </c>
      <c r="BE10" s="3">
        <f>BD10&amp;"|"&amp;INT(N10/SEG_KM)*SEG_KM</f>
        <v/>
      </c>
      <c r="BF10" s="4">
        <f>COUNTIF($BC$2:$BC$545,BC10)</f>
        <v/>
      </c>
      <c r="BG10" s="4">
        <f>COUNTIF($BD$2:$BD$545,BD10)</f>
        <v/>
      </c>
      <c r="BH10" s="4">
        <f>COUNTIF($BE$2:$BE$545,BE10)</f>
        <v/>
      </c>
      <c r="BI10" s="3">
        <f t="array" ref="BI10">IF(N(AU10)&gt;=MIN_N,AT10,IF(BH10&gt;=MIN_N,MEDIAN(IF($BE$2:$BE$545=BE10,$O$2:$O$545)),IF(BG10&gt;=MIN_N,MEDIAN(IF($BD$2:$BD$545=BD10,$O$2:$O$545)),MEDIAN(IF($BC$2:$BC$545=BC10,$O$2:$O$545)))))</f>
        <v/>
      </c>
      <c r="BJ10" s="3">
        <f>IF(N(AU10)&gt;=MIN_N,"mercado "&amp;AV10,IF(BH10&gt;=MIN_N,"modelo+año+km",IF(BG10&gt;=MIN_N,"modelo+año","modelo")))</f>
        <v/>
      </c>
      <c r="BK10" s="4">
        <f>(BI10-O10)/BI10</f>
        <v/>
      </c>
      <c r="BL10" s="3">
        <f>IF(COUNTIFS(FR_FUEL,K10,FR_YEAR,AP10)&gt;0,1,0)</f>
        <v/>
      </c>
      <c r="BM10" s="3">
        <f>IF(COUNTIFS(FR_FUEL,K10,FR_YEAR,AP10-1)&gt;0,1,0)</f>
        <v/>
      </c>
      <c r="BN10" s="4">
        <f>IF(N(AQ10)&gt;0,AP10*100+AQ10,IF(AND(BL10=1,BM10=1),(AP10-1)*100+1,AP10*100+1))</f>
        <v/>
      </c>
      <c r="BO10" s="3">
        <f>IF(OR(K10="hibrido",K10="glp",K10="gnc",K10="phev"),"ECO",IF(K10="electrico","CERO",IF(K10="gasolina",IF(BN10&gt;=GAS_C_YM,"C",IF(BN10&gt;=GAS_B_YM,"B","A")),IF(K10="diesel",IF(BN10&gt;=DIE_C_YM,"C",IF(BN10&gt;=DIE_B_YM,"B","A")),""))))</f>
        <v/>
      </c>
      <c r="BP10" s="4">
        <f>BO10</f>
        <v/>
      </c>
      <c r="BQ10" s="4">
        <f>IF(AS10="regla",IF(AND(N(AQ10)=0,BL10=1),"sí","no"),"no")</f>
        <v/>
      </c>
      <c r="BR10" s="3">
        <f>IFERROR(VLOOKUP(F10,MOD_TBL,11,0),IFERROR(VLOOKUP(E10,OCU_TBL,2,0),NEUTRO))</f>
        <v/>
      </c>
      <c r="BS10" s="3">
        <f>SUMIFS(MOT_AJUSTE,MOT_MOTOR,G10,MOT_MARCA,E10,MOT_DESDE,"&lt;="&amp;M10,MOT_HASTA,"&gt;="&amp;M10)+SUMIFS(MOT_AJUSTE,MOT_MOTOR,G10,MOT_MARCA,"(todas)",MOT_DESDE,"&lt;="&amp;M10,MOT_HASTA,"&gt;="&amp;M10)</f>
        <v/>
      </c>
      <c r="BT10" s="3">
        <f>SUMIFS(COMB_AJUSTE,COMB_COMB,K10)</f>
        <v/>
      </c>
      <c r="BU10" s="3">
        <f>COUNTIFS(MOT_MOTOR,G10,MOT_MARCA,E10,MOT_DESDE,"&lt;="&amp;M10,MOT_HASTA,"&gt;="&amp;M10)+COUNTIFS(MOT_MOTOR,G10,MOT_MARCA,"(todas)",MOT_DESDE,"&lt;="&amp;M10,MOT_HASTA,"&gt;="&amp;M10)</f>
        <v/>
      </c>
      <c r="BV10" s="3">
        <f>IF(AND(K10="diesel",BU10=0),MIN(BR10,NEUTRO),BR10)</f>
        <v/>
      </c>
      <c r="BW10" s="4">
        <f>MAX(0,MIN(100,BV10+BS10+BT10))</f>
        <v/>
      </c>
      <c r="BX10" s="3">
        <f>MAX(0,MIN(100,50+BK10*PRECIO_PEND))</f>
        <v/>
      </c>
      <c r="BY10" s="3">
        <f>MAX(0,100*(1-N10/KM_MAX))</f>
        <v/>
      </c>
      <c r="BZ10" s="3">
        <f>IF(BB10&lt;KMA_SOSP,IF(AA10="sí",100,KMA_PEN),IF(BB10&lt;=KMA_IDEAL_MAX,100,MAX(0,100*(KMA_CERO-BB10)/(KMA_CERO-KMA_IDEAL_MAX))))</f>
        <v/>
      </c>
      <c r="CA10" s="3">
        <f>MAX(0,MIN(100,100*(M10-ANIO_MIN)/(ANIO_ACTUAL-ANIO_MIN)))</f>
        <v/>
      </c>
      <c r="CB10" s="3">
        <f>W_KMT*BY10+W_KMA*BZ10+W_EDAD*CA10</f>
        <v/>
      </c>
      <c r="CC10" s="3">
        <f>P_ITV*(V10="sí")+P_LIBRO*(W10="sí")+P_CORREA*(X10="sí")+P_PROP*(Y10=1)+P_GAR*(Z10="sí")+P_FOTOS*MIN(1,N(U10)/FOTOS_OBJ)</f>
        <v/>
      </c>
      <c r="CD10" s="3">
        <f>MAX(0,MIN(100,IFERROR(VLOOKUP(BP10,ETQ_TBL,2,0),0)-IF(BQ10="sí",ETQ_PEN_DUD,IF(AS10="regla",ETQ_PEN_REGLA,0))))</f>
        <v/>
      </c>
      <c r="CE10" s="3">
        <f>NEUTRO</f>
        <v/>
      </c>
      <c r="CF10" s="3">
        <f>IFERROR(VLOOKUP(L10,SEGURO_TBL,3,0),"")</f>
        <v/>
      </c>
      <c r="CG10" s="3">
        <f>IF(CF10="",NEUTRO,MAX(0,MIN(100,100*(SEG_REF_MAX-CF10)/(SEG_REF_MAX-SEG_REF_MIN))))</f>
        <v/>
      </c>
      <c r="CH10" s="3">
        <f>W_CONS*CE10+W_SEG*CG10</f>
        <v/>
      </c>
      <c r="CI10" s="3">
        <f>IF(N(AB10)&gt;0,AB10,IF(AND(R10="profesional",SG_LEGAL_ON=1),GAR_LEGAL,0))</f>
        <v/>
      </c>
      <c r="CJ10" s="3">
        <f>SG_GAR*MIN(1,CI10/SG_GAR_FULL)+SG_AMPL*(AC10="sí")+SG_KMC*(AF10="sí")+SG_REV*(N(AE10)&gt;0)+SG_DEV*MIN(1,N(AG10)/SG_DEV_FULL)+SG_HIST*(W10="sí")</f>
        <v/>
      </c>
      <c r="CK10" s="3">
        <f>IFERROR(VLOOKUP(L10,CARR_PEN_TBL,2,0),0)</f>
        <v/>
      </c>
      <c r="CL10" s="3">
        <f>W_FIAB*BW10+W_PRECIO*BX10+W_KMEDAD*CB10+W_ANUNCIO*CC10+W_USO*CH10+W_SEGURIDAD*CJ10+W_ETIQUETA*CD10-CK10</f>
        <v/>
      </c>
      <c r="CM10" s="4">
        <f>IF(N(I10)&gt;0,I10,IFERROR(ROUND(_xlfn.NUMBERVALUE(LEFT(G10,FIND(" ",G10&amp;" ")-1),".")*1000,0),99999))</f>
        <v/>
      </c>
      <c r="CN10" s="3">
        <f>IF(R10="profesional",0,IF(O10&lt;CUOTA_VALOR_MAX,IF(BA10&gt;ITP_TRAMO_ALTO,SUMIFS(CF_CUOTA,CF_MAS,ITP_TRAMO_ALTO,CF_CCMIN,"&lt;="&amp;CM10,CF_CCMAX,"&gt;="&amp;CM10),IF(BA10&gt;ITP_TRAMO_BAJO,SUMIFS(CF_CUOTA,CF_MAS,ITP_TRAMO_BAJO,CF_CCMIN,"&lt;="&amp;CM10,CF_CCMAX,"&gt;="&amp;CM10),O10*ITP_TIPO)),O10*ITP_TIPO))</f>
        <v/>
      </c>
      <c r="CO10" s="4">
        <f>IF(R10="profesional",N(AK10),0)</f>
        <v/>
      </c>
      <c r="CP10" s="3">
        <f>IF(AND(R10="profesional",ISNUMBER(AK10),AL10="sí"),0,TASA_DGT)</f>
        <v/>
      </c>
      <c r="CQ10" s="3">
        <f>INFORME_DGT</f>
        <v/>
      </c>
      <c r="CR10" s="4">
        <f>O10+CO10+CN10+CP10+CQ10</f>
        <v/>
      </c>
      <c r="CS10" s="4">
        <f>CR10+N(CF10)</f>
        <v/>
      </c>
      <c r="CT10" s="3">
        <f>IF(CR10&lt;=TOTAL_MAX,"sí",IF(CR10&lt;=TOTAL_MAX+MARGEN_NEG,"negociar","no"))</f>
        <v/>
      </c>
      <c r="CU10" s="4">
        <f>IF(CT10&lt;&gt;"no",COUNTIFS($CT$2:$CT$545,"&lt;&gt;no",$CL$2:$CL$545,"&gt;"&amp;CL10)+COUNTIFS($CT$2:CT10,"&lt;&gt;no",$CL$2:CL10,CL10),"")</f>
        <v/>
      </c>
    </row>
    <row r="11">
      <c r="A11" s="2" t="inlineStr">
        <is>
          <t>autoscout24:a7d76d98-e33b-4af3-9d7c-e4cd6a65aa00</t>
        </is>
      </c>
      <c r="B11" s="2" t="inlineStr">
        <is>
          <t>autoscout24</t>
        </is>
      </c>
      <c r="C11" s="2" t="inlineStr">
        <is>
          <t>https://www.autoscout24.es/anuncios/opel-corsa-5p-1-3-cdti-edition-elective-95cv-fap-diesel-cat_ma54mo1918-a7d76d98-e33b-4af3-9d7c-e4cd6a65aa00</t>
        </is>
      </c>
      <c r="D11" s="2" t="inlineStr">
        <is>
          <t>Opel Corsa 5p 1.3 cdti Edition (elective) 95cv fap</t>
        </is>
      </c>
      <c r="E11" s="2" t="inlineStr">
        <is>
          <t>Opel</t>
        </is>
      </c>
      <c r="F11" s="2" t="inlineStr">
        <is>
          <t>Opel Corsa</t>
        </is>
      </c>
      <c r="G11" s="2" t="inlineStr">
        <is>
          <t>1.2 CDTi</t>
        </is>
      </c>
      <c r="H11" s="2" t="inlineStr">
        <is>
          <t>5p 1.3 cdti Edition (elective) 95cv fap 1.3 CDTI</t>
        </is>
      </c>
      <c r="I11" s="2" t="n">
        <v>1248</v>
      </c>
      <c r="J11" s="2" t="n">
        <v>95</v>
      </c>
      <c r="K11" s="2" t="inlineStr">
        <is>
          <t>diesel</t>
        </is>
      </c>
      <c r="L11" s="2" t="inlineStr">
        <is>
          <t>utilitario</t>
        </is>
      </c>
      <c r="M11" s="2" t="n">
        <v>2012</v>
      </c>
      <c r="N11" s="2" t="n">
        <v>145000</v>
      </c>
      <c r="O11" s="2" t="n">
        <v>4500</v>
      </c>
      <c r="P11" s="2" t="inlineStr">
        <is>
          <t>manual</t>
        </is>
      </c>
      <c r="Q11" s="2" t="inlineStr">
        <is>
          <t>no</t>
        </is>
      </c>
      <c r="R11" s="2" t="inlineStr">
        <is>
          <t>particular</t>
        </is>
      </c>
      <c r="S11" s="2" t="inlineStr">
        <is>
          <t>Godelleta (46388)</t>
        </is>
      </c>
      <c r="T11" s="2" t="n"/>
      <c r="U11" s="2" t="n">
        <v>10</v>
      </c>
      <c r="V11" s="2" t="n"/>
      <c r="W11" s="2" t="n"/>
      <c r="X11" s="2" t="n"/>
      <c r="Y11" s="2" t="n"/>
      <c r="Z11" s="2" t="n"/>
      <c r="AA11" s="2" t="n"/>
      <c r="AB11" s="2" t="n"/>
      <c r="AC11" s="2" t="n"/>
      <c r="AD11" s="2" t="n"/>
      <c r="AE11" s="2" t="n"/>
      <c r="AF11" s="2" t="n"/>
      <c r="AG11" s="2" t="n"/>
      <c r="AH11" s="2" t="n"/>
      <c r="AI11" s="2" t="n"/>
      <c r="AJ11" s="2" t="n"/>
      <c r="AK11" s="2" t="n"/>
      <c r="AL11" s="2" t="n"/>
      <c r="AM11" s="2" t="n">
        <v>31</v>
      </c>
      <c r="AN11" s="2" t="n"/>
      <c r="AO11" s="2" t="inlineStr">
        <is>
          <t>2012-01</t>
        </is>
      </c>
      <c r="AP11" s="2" t="n">
        <v>2012</v>
      </c>
      <c r="AQ11" s="2" t="n">
        <v>1</v>
      </c>
      <c r="AR11" s="2" t="n"/>
      <c r="AS11" s="2" t="inlineStr">
        <is>
          <t>regla</t>
        </is>
      </c>
      <c r="AT11" s="2" t="n">
        <v>4625</v>
      </c>
      <c r="AU11" s="2" t="n">
        <v>8</v>
      </c>
      <c r="AV11" s="2" t="inlineStr">
        <is>
          <t>modelo+año+km</t>
        </is>
      </c>
      <c r="AW11" s="2" t="n"/>
      <c r="AX11" s="2" t="inlineStr">
        <is>
          <t>cuota fija ITP: &gt;12 años, hasta 1.500 cc; diésel: motor sin fuente de fiabilidad (fiabilidad limitada a neutra)</t>
        </is>
      </c>
      <c r="AY11" s="2" t="inlineStr"/>
      <c r="AZ11" s="2" t="inlineStr">
        <is>
          <t>https://www.autoscout24.es/anuncios/opel-corsa-5p-1-3-cdti-edition-elective-95cv-fap-diesel-cat_ma54mo1918-a7d76d98-e33b-4af3-9d7c-e4cd6a65aa00 (__NEXT_DATA__ listingDetails) /home/user/Alopecia/buscador-coches/raw/autoscout24/910f7dd4aee272e6.json</t>
        </is>
      </c>
      <c r="BA11" s="3">
        <f>MAX(ANIO_ACTUAL-M11,0)</f>
        <v/>
      </c>
      <c r="BB11" s="4">
        <f>N11/MAX(BA11,0.5)</f>
        <v/>
      </c>
      <c r="BC11" s="4">
        <f>F11</f>
        <v/>
      </c>
      <c r="BD11" s="3">
        <f>BC11&amp;"|"&amp;INT(M11/SEG_ANIO)*SEG_ANIO</f>
        <v/>
      </c>
      <c r="BE11" s="3">
        <f>BD11&amp;"|"&amp;INT(N11/SEG_KM)*SEG_KM</f>
        <v/>
      </c>
      <c r="BF11" s="4">
        <f>COUNTIF($BC$2:$BC$545,BC11)</f>
        <v/>
      </c>
      <c r="BG11" s="4">
        <f>COUNTIF($BD$2:$BD$545,BD11)</f>
        <v/>
      </c>
      <c r="BH11" s="4">
        <f>COUNTIF($BE$2:$BE$545,BE11)</f>
        <v/>
      </c>
      <c r="BI11" s="3">
        <f t="array" ref="BI11">IF(N(AU11)&gt;=MIN_N,AT11,IF(BH11&gt;=MIN_N,MEDIAN(IF($BE$2:$BE$545=BE11,$O$2:$O$545)),IF(BG11&gt;=MIN_N,MEDIAN(IF($BD$2:$BD$545=BD11,$O$2:$O$545)),MEDIAN(IF($BC$2:$BC$545=BC11,$O$2:$O$545)))))</f>
        <v/>
      </c>
      <c r="BJ11" s="3">
        <f>IF(N(AU11)&gt;=MIN_N,"mercado "&amp;AV11,IF(BH11&gt;=MIN_N,"modelo+año+km",IF(BG11&gt;=MIN_N,"modelo+año","modelo")))</f>
        <v/>
      </c>
      <c r="BK11" s="4">
        <f>(BI11-O11)/BI11</f>
        <v/>
      </c>
      <c r="BL11" s="3">
        <f>IF(COUNTIFS(FR_FUEL,K11,FR_YEAR,AP11)&gt;0,1,0)</f>
        <v/>
      </c>
      <c r="BM11" s="3">
        <f>IF(COUNTIFS(FR_FUEL,K11,FR_YEAR,AP11-1)&gt;0,1,0)</f>
        <v/>
      </c>
      <c r="BN11" s="4">
        <f>IF(N(AQ11)&gt;0,AP11*100+AQ11,IF(AND(BL11=1,BM11=1),(AP11-1)*100+1,AP11*100+1))</f>
        <v/>
      </c>
      <c r="BO11" s="3">
        <f>IF(OR(K11="hibrido",K11="glp",K11="gnc",K11="phev"),"ECO",IF(K11="electrico","CERO",IF(K11="gasolina",IF(BN11&gt;=GAS_C_YM,"C",IF(BN11&gt;=GAS_B_YM,"B","A")),IF(K11="diesel",IF(BN11&gt;=DIE_C_YM,"C",IF(BN11&gt;=DIE_B_YM,"B","A")),""))))</f>
        <v/>
      </c>
      <c r="BP11" s="4">
        <f>BO11</f>
        <v/>
      </c>
      <c r="BQ11" s="4">
        <f>IF(AS11="regla",IF(AND(N(AQ11)=0,BL11=1),"sí","no"),"no")</f>
        <v/>
      </c>
      <c r="BR11" s="3">
        <f>IFERROR(VLOOKUP(F11,MOD_TBL,11,0),IFERROR(VLOOKUP(E11,OCU_TBL,2,0),NEUTRO))</f>
        <v/>
      </c>
      <c r="BS11" s="3">
        <f>SUMIFS(MOT_AJUSTE,MOT_MOTOR,G11,MOT_MARCA,E11,MOT_DESDE,"&lt;="&amp;M11,MOT_HASTA,"&gt;="&amp;M11)+SUMIFS(MOT_AJUSTE,MOT_MOTOR,G11,MOT_MARCA,"(todas)",MOT_DESDE,"&lt;="&amp;M11,MOT_HASTA,"&gt;="&amp;M11)</f>
        <v/>
      </c>
      <c r="BT11" s="3">
        <f>SUMIFS(COMB_AJUSTE,COMB_COMB,K11)</f>
        <v/>
      </c>
      <c r="BU11" s="3">
        <f>COUNTIFS(MOT_MOTOR,G11,MOT_MARCA,E11,MOT_DESDE,"&lt;="&amp;M11,MOT_HASTA,"&gt;="&amp;M11)+COUNTIFS(MOT_MOTOR,G11,MOT_MARCA,"(todas)",MOT_DESDE,"&lt;="&amp;M11,MOT_HASTA,"&gt;="&amp;M11)</f>
        <v/>
      </c>
      <c r="BV11" s="3">
        <f>IF(AND(K11="diesel",BU11=0),MIN(BR11,NEUTRO),BR11)</f>
        <v/>
      </c>
      <c r="BW11" s="4">
        <f>MAX(0,MIN(100,BV11+BS11+BT11))</f>
        <v/>
      </c>
      <c r="BX11" s="3">
        <f>MAX(0,MIN(100,50+BK11*PRECIO_PEND))</f>
        <v/>
      </c>
      <c r="BY11" s="3">
        <f>MAX(0,100*(1-N11/KM_MAX))</f>
        <v/>
      </c>
      <c r="BZ11" s="3">
        <f>IF(BB11&lt;KMA_SOSP,IF(AA11="sí",100,KMA_PEN),IF(BB11&lt;=KMA_IDEAL_MAX,100,MAX(0,100*(KMA_CERO-BB11)/(KMA_CERO-KMA_IDEAL_MAX))))</f>
        <v/>
      </c>
      <c r="CA11" s="3">
        <f>MAX(0,MIN(100,100*(M11-ANIO_MIN)/(ANIO_ACTUAL-ANIO_MIN)))</f>
        <v/>
      </c>
      <c r="CB11" s="3">
        <f>W_KMT*BY11+W_KMA*BZ11+W_EDAD*CA11</f>
        <v/>
      </c>
      <c r="CC11" s="3">
        <f>P_ITV*(V11="sí")+P_LIBRO*(W11="sí")+P_CORREA*(X11="sí")+P_PROP*(Y11=1)+P_GAR*(Z11="sí")+P_FOTOS*MIN(1,N(U11)/FOTOS_OBJ)</f>
        <v/>
      </c>
      <c r="CD11" s="3">
        <f>MAX(0,MIN(100,IFERROR(VLOOKUP(BP11,ETQ_TBL,2,0),0)-IF(BQ11="sí",ETQ_PEN_DUD,IF(AS11="regla",ETQ_PEN_REGLA,0))))</f>
        <v/>
      </c>
      <c r="CE11" s="3">
        <f>NEUTRO</f>
        <v/>
      </c>
      <c r="CF11" s="3">
        <f>IFERROR(VLOOKUP(L11,SEGURO_TBL,3,0),"")</f>
        <v/>
      </c>
      <c r="CG11" s="3">
        <f>IF(CF11="",NEUTRO,MAX(0,MIN(100,100*(SEG_REF_MAX-CF11)/(SEG_REF_MAX-SEG_REF_MIN))))</f>
        <v/>
      </c>
      <c r="CH11" s="3">
        <f>W_CONS*CE11+W_SEG*CG11</f>
        <v/>
      </c>
      <c r="CI11" s="3">
        <f>IF(N(AB11)&gt;0,AB11,IF(AND(R11="profesional",SG_LEGAL_ON=1),GAR_LEGAL,0))</f>
        <v/>
      </c>
      <c r="CJ11" s="3">
        <f>SG_GAR*MIN(1,CI11/SG_GAR_FULL)+SG_AMPL*(AC11="sí")+SG_KMC*(AF11="sí")+SG_REV*(N(AE11)&gt;0)+SG_DEV*MIN(1,N(AG11)/SG_DEV_FULL)+SG_HIST*(W11="sí")</f>
        <v/>
      </c>
      <c r="CK11" s="3">
        <f>IFERROR(VLOOKUP(L11,CARR_PEN_TBL,2,0),0)</f>
        <v/>
      </c>
      <c r="CL11" s="3">
        <f>W_FIAB*BW11+W_PRECIO*BX11+W_KMEDAD*CB11+W_ANUNCIO*CC11+W_USO*CH11+W_SEGURIDAD*CJ11+W_ETIQUETA*CD11-CK11</f>
        <v/>
      </c>
      <c r="CM11" s="4">
        <f>IF(N(I11)&gt;0,I11,IFERROR(ROUND(_xlfn.NUMBERVALUE(LEFT(G11,FIND(" ",G11&amp;" ")-1),".")*1000,0),99999))</f>
        <v/>
      </c>
      <c r="CN11" s="3">
        <f>IF(R11="profesional",0,IF(O11&lt;CUOTA_VALOR_MAX,IF(BA11&gt;ITP_TRAMO_ALTO,SUMIFS(CF_CUOTA,CF_MAS,ITP_TRAMO_ALTO,CF_CCMIN,"&lt;="&amp;CM11,CF_CCMAX,"&gt;="&amp;CM11),IF(BA11&gt;ITP_TRAMO_BAJO,SUMIFS(CF_CUOTA,CF_MAS,ITP_TRAMO_BAJO,CF_CCMIN,"&lt;="&amp;CM11,CF_CCMAX,"&gt;="&amp;CM11),O11*ITP_TIPO)),O11*ITP_TIPO))</f>
        <v/>
      </c>
      <c r="CO11" s="4">
        <f>IF(R11="profesional",N(AK11),0)</f>
        <v/>
      </c>
      <c r="CP11" s="3">
        <f>IF(AND(R11="profesional",ISNUMBER(AK11),AL11="sí"),0,TASA_DGT)</f>
        <v/>
      </c>
      <c r="CQ11" s="3">
        <f>INFORME_DGT</f>
        <v/>
      </c>
      <c r="CR11" s="4">
        <f>O11+CO11+CN11+CP11+CQ11</f>
        <v/>
      </c>
      <c r="CS11" s="4">
        <f>CR11+N(CF11)</f>
        <v/>
      </c>
      <c r="CT11" s="3">
        <f>IF(CR11&lt;=TOTAL_MAX,"sí",IF(CR11&lt;=TOTAL_MAX+MARGEN_NEG,"negociar","no"))</f>
        <v/>
      </c>
      <c r="CU11" s="4">
        <f>IF(CT11&lt;&gt;"no",COUNTIFS($CT$2:$CT$545,"&lt;&gt;no",$CL$2:$CL$545,"&gt;"&amp;CL11)+COUNTIFS($CT$2:CT11,"&lt;&gt;no",$CL$2:CL11,CL11),"")</f>
        <v/>
      </c>
    </row>
    <row r="12">
      <c r="A12" s="2" t="inlineStr">
        <is>
          <t>autoscout24:98e81ab3-945a-4a40-a02e-686a76c720ea</t>
        </is>
      </c>
      <c r="B12" s="2" t="inlineStr">
        <is>
          <t>autoscout24</t>
        </is>
      </c>
      <c r="C12" s="2" t="inlineStr">
        <is>
          <t>https://www.autoscout24.es/anuncios/opel-corsa-gasolina-cat_ma54mo1918-98e81ab3-945a-4a40-a02e-686a76c720ea</t>
        </is>
      </c>
      <c r="D12" s="2" t="inlineStr">
        <is>
          <t>Opel Corsa</t>
        </is>
      </c>
      <c r="E12" s="2" t="inlineStr">
        <is>
          <t>Opel</t>
        </is>
      </c>
      <c r="F12" s="2" t="inlineStr">
        <is>
          <t>Opel Corsa</t>
        </is>
      </c>
      <c r="G12" s="2" t="inlineStr">
        <is>
          <t>1.6</t>
        </is>
      </c>
      <c r="H12" s="2" t="inlineStr">
        <is>
          <t>1.4</t>
        </is>
      </c>
      <c r="I12" s="2" t="n">
        <v>1598</v>
      </c>
      <c r="J12" s="2" t="n">
        <v>109</v>
      </c>
      <c r="K12" s="2" t="inlineStr">
        <is>
          <t>gasolina</t>
        </is>
      </c>
      <c r="L12" s="2" t="inlineStr">
        <is>
          <t>utilitario</t>
        </is>
      </c>
      <c r="M12" s="2" t="n">
        <v>2014</v>
      </c>
      <c r="N12" s="2" t="n">
        <v>160000</v>
      </c>
      <c r="O12" s="2" t="n">
        <v>4500</v>
      </c>
      <c r="P12" s="2" t="inlineStr">
        <is>
          <t>manual</t>
        </is>
      </c>
      <c r="Q12" s="2" t="inlineStr">
        <is>
          <t>no</t>
        </is>
      </c>
      <c r="R12" s="2" t="inlineStr">
        <is>
          <t>particular</t>
        </is>
      </c>
      <c r="S12" s="2" t="inlineStr">
        <is>
          <t>Alzira (46600)</t>
        </is>
      </c>
      <c r="T12" s="2" t="n"/>
      <c r="U12" s="2" t="n">
        <v>7</v>
      </c>
      <c r="V12" s="2" t="n"/>
      <c r="W12" s="2" t="n"/>
      <c r="X12" s="2" t="n"/>
      <c r="Y12" s="2" t="n"/>
      <c r="Z12" s="2" t="n"/>
      <c r="AA12" s="2" t="n"/>
      <c r="AB12" s="2" t="n"/>
      <c r="AC12" s="2" t="n"/>
      <c r="AD12" s="2" t="n"/>
      <c r="AE12" s="2" t="n"/>
      <c r="AF12" s="2" t="n"/>
      <c r="AG12" s="2" t="n"/>
      <c r="AH12" s="2" t="n"/>
      <c r="AI12" s="2" t="n"/>
      <c r="AJ12" s="2" t="n"/>
      <c r="AK12" s="2" t="n"/>
      <c r="AL12" s="2" t="n"/>
      <c r="AM12" s="2" t="n">
        <v>35.8</v>
      </c>
      <c r="AN12" s="2" t="n"/>
      <c r="AO12" s="2" t="inlineStr">
        <is>
          <t>2014-01</t>
        </is>
      </c>
      <c r="AP12" s="2" t="n">
        <v>2014</v>
      </c>
      <c r="AQ12" s="2" t="n">
        <v>1</v>
      </c>
      <c r="AR12" s="2" t="n"/>
      <c r="AS12" s="2" t="inlineStr">
        <is>
          <t>regla</t>
        </is>
      </c>
      <c r="AT12" s="2" t="n">
        <v>4550</v>
      </c>
      <c r="AU12" s="2" t="n">
        <v>8</v>
      </c>
      <c r="AV12" s="2" t="inlineStr">
        <is>
          <t>modelo+año+km</t>
        </is>
      </c>
      <c r="AW12" s="2" t="n"/>
      <c r="AX12" s="2" t="inlineStr">
        <is>
          <t>cuota fija ITP: &gt;5 y &lt;=12 años, 1.501-2.000 cc</t>
        </is>
      </c>
      <c r="AY12" s="2" t="inlineStr"/>
      <c r="AZ12" s="2" t="inlineStr">
        <is>
          <t>https://www.autoscout24.es/anuncios/opel-corsa-gasolina-cat_ma54mo1918-98e81ab3-945a-4a40-a02e-686a76c720ea (__NEXT_DATA__ listingDetails) /home/user/Alopecia/buscador-coches/raw/autoscout24/91af491fffed3c36.json</t>
        </is>
      </c>
      <c r="BA12" s="3">
        <f>MAX(ANIO_ACTUAL-M12,0)</f>
        <v/>
      </c>
      <c r="BB12" s="4">
        <f>N12/MAX(BA12,0.5)</f>
        <v/>
      </c>
      <c r="BC12" s="4">
        <f>F12</f>
        <v/>
      </c>
      <c r="BD12" s="3">
        <f>BC12&amp;"|"&amp;INT(M12/SEG_ANIO)*SEG_ANIO</f>
        <v/>
      </c>
      <c r="BE12" s="3">
        <f>BD12&amp;"|"&amp;INT(N12/SEG_KM)*SEG_KM</f>
        <v/>
      </c>
      <c r="BF12" s="4">
        <f>COUNTIF($BC$2:$BC$545,BC12)</f>
        <v/>
      </c>
      <c r="BG12" s="4">
        <f>COUNTIF($BD$2:$BD$545,BD12)</f>
        <v/>
      </c>
      <c r="BH12" s="4">
        <f>COUNTIF($BE$2:$BE$545,BE12)</f>
        <v/>
      </c>
      <c r="BI12" s="3">
        <f t="array" ref="BI12">IF(N(AU12)&gt;=MIN_N,AT12,IF(BH12&gt;=MIN_N,MEDIAN(IF($BE$2:$BE$545=BE12,$O$2:$O$545)),IF(BG12&gt;=MIN_N,MEDIAN(IF($BD$2:$BD$545=BD12,$O$2:$O$545)),MEDIAN(IF($BC$2:$BC$545=BC12,$O$2:$O$545)))))</f>
        <v/>
      </c>
      <c r="BJ12" s="3">
        <f>IF(N(AU12)&gt;=MIN_N,"mercado "&amp;AV12,IF(BH12&gt;=MIN_N,"modelo+año+km",IF(BG12&gt;=MIN_N,"modelo+año","modelo")))</f>
        <v/>
      </c>
      <c r="BK12" s="4">
        <f>(BI12-O12)/BI12</f>
        <v/>
      </c>
      <c r="BL12" s="3">
        <f>IF(COUNTIFS(FR_FUEL,K12,FR_YEAR,AP12)&gt;0,1,0)</f>
        <v/>
      </c>
      <c r="BM12" s="3">
        <f>IF(COUNTIFS(FR_FUEL,K12,FR_YEAR,AP12-1)&gt;0,1,0)</f>
        <v/>
      </c>
      <c r="BN12" s="4">
        <f>IF(N(AQ12)&gt;0,AP12*100+AQ12,IF(AND(BL12=1,BM12=1),(AP12-1)*100+1,AP12*100+1))</f>
        <v/>
      </c>
      <c r="BO12" s="3">
        <f>IF(OR(K12="hibrido",K12="glp",K12="gnc",K12="phev"),"ECO",IF(K12="electrico","CERO",IF(K12="gasolina",IF(BN12&gt;=GAS_C_YM,"C",IF(BN12&gt;=GAS_B_YM,"B","A")),IF(K12="diesel",IF(BN12&gt;=DIE_C_YM,"C",IF(BN12&gt;=DIE_B_YM,"B","A")),""))))</f>
        <v/>
      </c>
      <c r="BP12" s="4">
        <f>BO12</f>
        <v/>
      </c>
      <c r="BQ12" s="4">
        <f>IF(AS12="regla",IF(AND(N(AQ12)=0,BL12=1),"sí","no"),"no")</f>
        <v/>
      </c>
      <c r="BR12" s="3">
        <f>IFERROR(VLOOKUP(F12,MOD_TBL,11,0),IFERROR(VLOOKUP(E12,OCU_TBL,2,0),NEUTRO))</f>
        <v/>
      </c>
      <c r="BS12" s="3">
        <f>SUMIFS(MOT_AJUSTE,MOT_MOTOR,G12,MOT_MARCA,E12,MOT_DESDE,"&lt;="&amp;M12,MOT_HASTA,"&gt;="&amp;M12)+SUMIFS(MOT_AJUSTE,MOT_MOTOR,G12,MOT_MARCA,"(todas)",MOT_DESDE,"&lt;="&amp;M12,MOT_HASTA,"&gt;="&amp;M12)</f>
        <v/>
      </c>
      <c r="BT12" s="3">
        <f>SUMIFS(COMB_AJUSTE,COMB_COMB,K12)</f>
        <v/>
      </c>
      <c r="BU12" s="3">
        <f>COUNTIFS(MOT_MOTOR,G12,MOT_MARCA,E12,MOT_DESDE,"&lt;="&amp;M12,MOT_HASTA,"&gt;="&amp;M12)+COUNTIFS(MOT_MOTOR,G12,MOT_MARCA,"(todas)",MOT_DESDE,"&lt;="&amp;M12,MOT_HASTA,"&gt;="&amp;M12)</f>
        <v/>
      </c>
      <c r="BV12" s="3">
        <f>IF(AND(K12="diesel",BU12=0),MIN(BR12,NEUTRO),BR12)</f>
        <v/>
      </c>
      <c r="BW12" s="4">
        <f>MAX(0,MIN(100,BV12+BS12+BT12))</f>
        <v/>
      </c>
      <c r="BX12" s="3">
        <f>MAX(0,MIN(100,50+BK12*PRECIO_PEND))</f>
        <v/>
      </c>
      <c r="BY12" s="3">
        <f>MAX(0,100*(1-N12/KM_MAX))</f>
        <v/>
      </c>
      <c r="BZ12" s="3">
        <f>IF(BB12&lt;KMA_SOSP,IF(AA12="sí",100,KMA_PEN),IF(BB12&lt;=KMA_IDEAL_MAX,100,MAX(0,100*(KMA_CERO-BB12)/(KMA_CERO-KMA_IDEAL_MAX))))</f>
        <v/>
      </c>
      <c r="CA12" s="3">
        <f>MAX(0,MIN(100,100*(M12-ANIO_MIN)/(ANIO_ACTUAL-ANIO_MIN)))</f>
        <v/>
      </c>
      <c r="CB12" s="3">
        <f>W_KMT*BY12+W_KMA*BZ12+W_EDAD*CA12</f>
        <v/>
      </c>
      <c r="CC12" s="3">
        <f>P_ITV*(V12="sí")+P_LIBRO*(W12="sí")+P_CORREA*(X12="sí")+P_PROP*(Y12=1)+P_GAR*(Z12="sí")+P_FOTOS*MIN(1,N(U12)/FOTOS_OBJ)</f>
        <v/>
      </c>
      <c r="CD12" s="3">
        <f>MAX(0,MIN(100,IFERROR(VLOOKUP(BP12,ETQ_TBL,2,0),0)-IF(BQ12="sí",ETQ_PEN_DUD,IF(AS12="regla",ETQ_PEN_REGLA,0))))</f>
        <v/>
      </c>
      <c r="CE12" s="3">
        <f>NEUTRO</f>
        <v/>
      </c>
      <c r="CF12" s="3">
        <f>IFERROR(VLOOKUP(L12,SEGURO_TBL,3,0),"")</f>
        <v/>
      </c>
      <c r="CG12" s="3">
        <f>IF(CF12="",NEUTRO,MAX(0,MIN(100,100*(SEG_REF_MAX-CF12)/(SEG_REF_MAX-SEG_REF_MIN))))</f>
        <v/>
      </c>
      <c r="CH12" s="3">
        <f>W_CONS*CE12+W_SEG*CG12</f>
        <v/>
      </c>
      <c r="CI12" s="3">
        <f>IF(N(AB12)&gt;0,AB12,IF(AND(R12="profesional",SG_LEGAL_ON=1),GAR_LEGAL,0))</f>
        <v/>
      </c>
      <c r="CJ12" s="3">
        <f>SG_GAR*MIN(1,CI12/SG_GAR_FULL)+SG_AMPL*(AC12="sí")+SG_KMC*(AF12="sí")+SG_REV*(N(AE12)&gt;0)+SG_DEV*MIN(1,N(AG12)/SG_DEV_FULL)+SG_HIST*(W12="sí")</f>
        <v/>
      </c>
      <c r="CK12" s="3">
        <f>IFERROR(VLOOKUP(L12,CARR_PEN_TBL,2,0),0)</f>
        <v/>
      </c>
      <c r="CL12" s="3">
        <f>W_FIAB*BW12+W_PRECIO*BX12+W_KMEDAD*CB12+W_ANUNCIO*CC12+W_USO*CH12+W_SEGURIDAD*CJ12+W_ETIQUETA*CD12-CK12</f>
        <v/>
      </c>
      <c r="CM12" s="4">
        <f>IF(N(I12)&gt;0,I12,IFERROR(ROUND(_xlfn.NUMBERVALUE(LEFT(G12,FIND(" ",G12&amp;" ")-1),".")*1000,0),99999))</f>
        <v/>
      </c>
      <c r="CN12" s="3">
        <f>IF(R12="profesional",0,IF(O12&lt;CUOTA_VALOR_MAX,IF(BA12&gt;ITP_TRAMO_ALTO,SUMIFS(CF_CUOTA,CF_MAS,ITP_TRAMO_ALTO,CF_CCMIN,"&lt;="&amp;CM12,CF_CCMAX,"&gt;="&amp;CM12),IF(BA12&gt;ITP_TRAMO_BAJO,SUMIFS(CF_CUOTA,CF_MAS,ITP_TRAMO_BAJO,CF_CCMIN,"&lt;="&amp;CM12,CF_CCMAX,"&gt;="&amp;CM12),O12*ITP_TIPO)),O12*ITP_TIPO))</f>
        <v/>
      </c>
      <c r="CO12" s="4">
        <f>IF(R12="profesional",N(AK12),0)</f>
        <v/>
      </c>
      <c r="CP12" s="3">
        <f>IF(AND(R12="profesional",ISNUMBER(AK12),AL12="sí"),0,TASA_DGT)</f>
        <v/>
      </c>
      <c r="CQ12" s="3">
        <f>INFORME_DGT</f>
        <v/>
      </c>
      <c r="CR12" s="4">
        <f>O12+CO12+CN12+CP12+CQ12</f>
        <v/>
      </c>
      <c r="CS12" s="4">
        <f>CR12+N(CF12)</f>
        <v/>
      </c>
      <c r="CT12" s="3">
        <f>IF(CR12&lt;=TOTAL_MAX,"sí",IF(CR12&lt;=TOTAL_MAX+MARGEN_NEG,"negociar","no"))</f>
        <v/>
      </c>
      <c r="CU12" s="4">
        <f>IF(CT12&lt;&gt;"no",COUNTIFS($CT$2:$CT$545,"&lt;&gt;no",$CL$2:$CL$545,"&gt;"&amp;CL12)+COUNTIFS($CT$2:CT12,"&lt;&gt;no",$CL$2:CL12,CL12),"")</f>
        <v/>
      </c>
    </row>
    <row r="13">
      <c r="A13" s="2" t="inlineStr">
        <is>
          <t>autoscout24:eff1fd1c-995f-4e05-b13f-0025ae2ba8f5</t>
        </is>
      </c>
      <c r="B13" s="2" t="inlineStr">
        <is>
          <t>autoscout24</t>
        </is>
      </c>
      <c r="C13" s="2" t="inlineStr">
        <is>
          <t>https://www.autoscout24.es/anuncios/opel-astra-1-7cdti-enjoy-diesel-azul-cat_ma54mo1916-eff1fd1c-995f-4e05-b13f-0025ae2ba8f5</t>
        </is>
      </c>
      <c r="D13" s="2" t="inlineStr">
        <is>
          <t>Opel Astra 1.7CDTi Enjoy</t>
        </is>
      </c>
      <c r="E13" s="2" t="inlineStr">
        <is>
          <t>Opel</t>
        </is>
      </c>
      <c r="F13" s="2" t="inlineStr">
        <is>
          <t>Opel Astra</t>
        </is>
      </c>
      <c r="G13" s="2" t="inlineStr">
        <is>
          <t>1.7</t>
        </is>
      </c>
      <c r="H13" s="2" t="inlineStr">
        <is>
          <t>1.7CDTi Enjoy 1.7</t>
        </is>
      </c>
      <c r="I13" s="2" t="n">
        <v>1686</v>
      </c>
      <c r="J13" s="2" t="n">
        <v>99</v>
      </c>
      <c r="K13" s="2" t="inlineStr">
        <is>
          <t>diesel</t>
        </is>
      </c>
      <c r="L13" s="2" t="inlineStr">
        <is>
          <t>compacto</t>
        </is>
      </c>
      <c r="M13" s="2" t="n">
        <v>2008</v>
      </c>
      <c r="N13" s="2" t="n">
        <v>180065</v>
      </c>
      <c r="O13" s="2" t="n">
        <v>3599</v>
      </c>
      <c r="P13" s="2" t="inlineStr">
        <is>
          <t>manual</t>
        </is>
      </c>
      <c r="Q13" s="2" t="inlineStr">
        <is>
          <t>no</t>
        </is>
      </c>
      <c r="R13" s="2" t="inlineStr">
        <is>
          <t>profesional</t>
        </is>
      </c>
      <c r="S13" s="2" t="inlineStr">
        <is>
          <t>AUTOS XUQUER — SUECA (46410)</t>
        </is>
      </c>
      <c r="T13" s="2" t="n"/>
      <c r="U13" s="2" t="n">
        <v>12</v>
      </c>
      <c r="V13" s="2" t="inlineStr">
        <is>
          <t>sí</t>
        </is>
      </c>
      <c r="W13" s="2" t="n"/>
      <c r="X13" s="2" t="n"/>
      <c r="Y13" s="2" t="n"/>
      <c r="Z13" s="2" t="inlineStr">
        <is>
          <t>sí</t>
        </is>
      </c>
      <c r="AA13" s="2" t="n"/>
      <c r="AB13" s="2" t="n">
        <v>12</v>
      </c>
      <c r="AC13" s="2" t="n"/>
      <c r="AD13" s="2" t="n"/>
      <c r="AE13" s="2" t="n"/>
      <c r="AF13" s="2" t="n"/>
      <c r="AG13" s="2" t="n"/>
      <c r="AH13" s="2" t="n"/>
      <c r="AI13" s="2" t="n"/>
      <c r="AJ13" s="2" t="n"/>
      <c r="AK13" s="2" t="n"/>
      <c r="AL13" s="2" t="n"/>
      <c r="AM13" s="2" t="n">
        <v>30.8</v>
      </c>
      <c r="AN13" s="2" t="n"/>
      <c r="AO13" s="2" t="inlineStr">
        <is>
          <t>2008-03</t>
        </is>
      </c>
      <c r="AP13" s="2" t="n">
        <v>2008</v>
      </c>
      <c r="AQ13" s="2" t="n">
        <v>3</v>
      </c>
      <c r="AR13" s="2" t="n"/>
      <c r="AS13" s="2" t="inlineStr">
        <is>
          <t>regla</t>
        </is>
      </c>
      <c r="AT13" s="2" t="n">
        <v>4300</v>
      </c>
      <c r="AU13" s="2" t="n">
        <v>17</v>
      </c>
      <c r="AV13" s="2" t="inlineStr">
        <is>
          <t>modelo+año+km</t>
        </is>
      </c>
      <c r="AW13" s="2" t="n"/>
      <c r="AX13" s="2" t="inlineStr">
        <is>
          <t>vendedor profesional: sin ITP (operación con IVA/REBU, confirmar en factura); gastos de gestión del vendedor no indicados: se suma la tasa DGT; preguntar el precio final; diésel: motor sin fuente de fiabilidad (fiabilidad limitada a neutra)</t>
        </is>
      </c>
      <c r="AY13" s="2" t="inlineStr">
        <is>
          <t>Opel Astra SW 1.7 CDTI Familiar, espacioso y muy económico&lt;br /&gt;¿Buscas un coche espacioso, fiable y que no te haga temblar cada vez que vas a la gasolinera? Este Opel Astra SW es la combinación perfecta entre practicidad para el día a día y confort para viajar.&lt;br /&gt;Con su motor 1.7 CDTI de 100 CV, te llevas uno de los motores diésel más duros y contrastados del mercado: consumo muy ajustado y mantenimiento económico. Además, su carrocería familiar te ofrece un maletero amplísimo con boca de carga baja, ideal para familias, viajes con equipaje o para quien necesita espacio extra sin renunciar a la agilidad de un turismo.&lt;br /&gt;Volante con control velocidad de crucero, Radio CD, Aire Acondicionado, llantas de aleación, amplio maletero, elevalunas eléctricos. Cuenta con Baca porta equipajes.&lt;br /&gt;Coche económico, con revisiones e ITV al dia.&lt;br /&gt;En Autos Xúquer Albelda entregamos todos nuestros vehículos totalmente revisados y con garantía de 12 meses incluida. La financiación es 100 % flexible y sin trámites complicados, y te asesoramos en todo el proceso, antes y después de la compra. &lt;br /&gt;Cambio de nombre no incluido (+200 €). &lt;br /&gt;Visítanos en Sueca (Valencia) o escríbenos para concertar una prueba sin ningún compromiso.&lt;br /&gt;Este anuncio no es vinculante y puede contener errores.&lt;br /&gt;&lt;br /&gt;&lt;br /&gt;</t>
        </is>
      </c>
      <c r="AZ13" s="2" t="inlineStr">
        <is>
          <t>https://www.autoscout24.es/anuncios/opel-astra-1-7cdti-enjoy-diesel-azul-cat_ma54mo1916-eff1fd1c-995f-4e05-b13f-0025ae2ba8f5 (__NEXT_DATA__ listingDetails) /home/user/Alopecia/buscador-coches/raw/autoscout24/f2becdc4ebbeca89.json</t>
        </is>
      </c>
      <c r="BA13" s="3">
        <f>MAX(ANIO_ACTUAL-M13,0)</f>
        <v/>
      </c>
      <c r="BB13" s="4">
        <f>N13/MAX(BA13,0.5)</f>
        <v/>
      </c>
      <c r="BC13" s="4">
        <f>F13</f>
        <v/>
      </c>
      <c r="BD13" s="3">
        <f>BC13&amp;"|"&amp;INT(M13/SEG_ANIO)*SEG_ANIO</f>
        <v/>
      </c>
      <c r="BE13" s="3">
        <f>BD13&amp;"|"&amp;INT(N13/SEG_KM)*SEG_KM</f>
        <v/>
      </c>
      <c r="BF13" s="4">
        <f>COUNTIF($BC$2:$BC$545,BC13)</f>
        <v/>
      </c>
      <c r="BG13" s="4">
        <f>COUNTIF($BD$2:$BD$545,BD13)</f>
        <v/>
      </c>
      <c r="BH13" s="4">
        <f>COUNTIF($BE$2:$BE$545,BE13)</f>
        <v/>
      </c>
      <c r="BI13" s="3">
        <f t="array" ref="BI13">IF(N(AU13)&gt;=MIN_N,AT13,IF(BH13&gt;=MIN_N,MEDIAN(IF($BE$2:$BE$545=BE13,$O$2:$O$545)),IF(BG13&gt;=MIN_N,MEDIAN(IF($BD$2:$BD$545=BD13,$O$2:$O$545)),MEDIAN(IF($BC$2:$BC$545=BC13,$O$2:$O$545)))))</f>
        <v/>
      </c>
      <c r="BJ13" s="3">
        <f>IF(N(AU13)&gt;=MIN_N,"mercado "&amp;AV13,IF(BH13&gt;=MIN_N,"modelo+año+km",IF(BG13&gt;=MIN_N,"modelo+año","modelo")))</f>
        <v/>
      </c>
      <c r="BK13" s="4">
        <f>(BI13-O13)/BI13</f>
        <v/>
      </c>
      <c r="BL13" s="3">
        <f>IF(COUNTIFS(FR_FUEL,K13,FR_YEAR,AP13)&gt;0,1,0)</f>
        <v/>
      </c>
      <c r="BM13" s="3">
        <f>IF(COUNTIFS(FR_FUEL,K13,FR_YEAR,AP13-1)&gt;0,1,0)</f>
        <v/>
      </c>
      <c r="BN13" s="4">
        <f>IF(N(AQ13)&gt;0,AP13*100+AQ13,IF(AND(BL13=1,BM13=1),(AP13-1)*100+1,AP13*100+1))</f>
        <v/>
      </c>
      <c r="BO13" s="3">
        <f>IF(OR(K13="hibrido",K13="glp",K13="gnc",K13="phev"),"ECO",IF(K13="electrico","CERO",IF(K13="gasolina",IF(BN13&gt;=GAS_C_YM,"C",IF(BN13&gt;=GAS_B_YM,"B","A")),IF(K13="diesel",IF(BN13&gt;=DIE_C_YM,"C",IF(BN13&gt;=DIE_B_YM,"B","A")),""))))</f>
        <v/>
      </c>
      <c r="BP13" s="4">
        <f>BO13</f>
        <v/>
      </c>
      <c r="BQ13" s="4">
        <f>IF(AS13="regla",IF(AND(N(AQ13)=0,BL13=1),"sí","no"),"no")</f>
        <v/>
      </c>
      <c r="BR13" s="3">
        <f>IFERROR(VLOOKUP(F13,MOD_TBL,11,0),IFERROR(VLOOKUP(E13,OCU_TBL,2,0),NEUTRO))</f>
        <v/>
      </c>
      <c r="BS13" s="3">
        <f>SUMIFS(MOT_AJUSTE,MOT_MOTOR,G13,MOT_MARCA,E13,MOT_DESDE,"&lt;="&amp;M13,MOT_HASTA,"&gt;="&amp;M13)+SUMIFS(MOT_AJUSTE,MOT_MOTOR,G13,MOT_MARCA,"(todas)",MOT_DESDE,"&lt;="&amp;M13,MOT_HASTA,"&gt;="&amp;M13)</f>
        <v/>
      </c>
      <c r="BT13" s="3">
        <f>SUMIFS(COMB_AJUSTE,COMB_COMB,K13)</f>
        <v/>
      </c>
      <c r="BU13" s="3">
        <f>COUNTIFS(MOT_MOTOR,G13,MOT_MARCA,E13,MOT_DESDE,"&lt;="&amp;M13,MOT_HASTA,"&gt;="&amp;M13)+COUNTIFS(MOT_MOTOR,G13,MOT_MARCA,"(todas)",MOT_DESDE,"&lt;="&amp;M13,MOT_HASTA,"&gt;="&amp;M13)</f>
        <v/>
      </c>
      <c r="BV13" s="3">
        <f>IF(AND(K13="diesel",BU13=0),MIN(BR13,NEUTRO),BR13)</f>
        <v/>
      </c>
      <c r="BW13" s="4">
        <f>MAX(0,MIN(100,BV13+BS13+BT13))</f>
        <v/>
      </c>
      <c r="BX13" s="3">
        <f>MAX(0,MIN(100,50+BK13*PRECIO_PEND))</f>
        <v/>
      </c>
      <c r="BY13" s="3">
        <f>MAX(0,100*(1-N13/KM_MAX))</f>
        <v/>
      </c>
      <c r="BZ13" s="3">
        <f>IF(BB13&lt;KMA_SOSP,IF(AA13="sí",100,KMA_PEN),IF(BB13&lt;=KMA_IDEAL_MAX,100,MAX(0,100*(KMA_CERO-BB13)/(KMA_CERO-KMA_IDEAL_MAX))))</f>
        <v/>
      </c>
      <c r="CA13" s="3">
        <f>MAX(0,MIN(100,100*(M13-ANIO_MIN)/(ANIO_ACTUAL-ANIO_MIN)))</f>
        <v/>
      </c>
      <c r="CB13" s="3">
        <f>W_KMT*BY13+W_KMA*BZ13+W_EDAD*CA13</f>
        <v/>
      </c>
      <c r="CC13" s="3">
        <f>P_ITV*(V13="sí")+P_LIBRO*(W13="sí")+P_CORREA*(X13="sí")+P_PROP*(Y13=1)+P_GAR*(Z13="sí")+P_FOTOS*MIN(1,N(U13)/FOTOS_OBJ)</f>
        <v/>
      </c>
      <c r="CD13" s="3">
        <f>MAX(0,MIN(100,IFERROR(VLOOKUP(BP13,ETQ_TBL,2,0),0)-IF(BQ13="sí",ETQ_PEN_DUD,IF(AS13="regla",ETQ_PEN_REGLA,0))))</f>
        <v/>
      </c>
      <c r="CE13" s="3">
        <f>NEUTRO</f>
        <v/>
      </c>
      <c r="CF13" s="3">
        <f>IFERROR(VLOOKUP(L13,SEGURO_TBL,3,0),"")</f>
        <v/>
      </c>
      <c r="CG13" s="3">
        <f>IF(CF13="",NEUTRO,MAX(0,MIN(100,100*(SEG_REF_MAX-CF13)/(SEG_REF_MAX-SEG_REF_MIN))))</f>
        <v/>
      </c>
      <c r="CH13" s="3">
        <f>W_CONS*CE13+W_SEG*CG13</f>
        <v/>
      </c>
      <c r="CI13" s="3">
        <f>IF(N(AB13)&gt;0,AB13,IF(AND(R13="profesional",SG_LEGAL_ON=1),GAR_LEGAL,0))</f>
        <v/>
      </c>
      <c r="CJ13" s="3">
        <f>SG_GAR*MIN(1,CI13/SG_GAR_FULL)+SG_AMPL*(AC13="sí")+SG_KMC*(AF13="sí")+SG_REV*(N(AE13)&gt;0)+SG_DEV*MIN(1,N(AG13)/SG_DEV_FULL)+SG_HIST*(W13="sí")</f>
        <v/>
      </c>
      <c r="CK13" s="3">
        <f>IFERROR(VLOOKUP(L13,CARR_PEN_TBL,2,0),0)</f>
        <v/>
      </c>
      <c r="CL13" s="3">
        <f>W_FIAB*BW13+W_PRECIO*BX13+W_KMEDAD*CB13+W_ANUNCIO*CC13+W_USO*CH13+W_SEGURIDAD*CJ13+W_ETIQUETA*CD13-CK13</f>
        <v/>
      </c>
      <c r="CM13" s="4">
        <f>IF(N(I13)&gt;0,I13,IFERROR(ROUND(_xlfn.NUMBERVALUE(LEFT(G13,FIND(" ",G13&amp;" ")-1),".")*1000,0),99999))</f>
        <v/>
      </c>
      <c r="CN13" s="3">
        <f>IF(R13="profesional",0,IF(O13&lt;CUOTA_VALOR_MAX,IF(BA13&gt;ITP_TRAMO_ALTO,SUMIFS(CF_CUOTA,CF_MAS,ITP_TRAMO_ALTO,CF_CCMIN,"&lt;="&amp;CM13,CF_CCMAX,"&gt;="&amp;CM13),IF(BA13&gt;ITP_TRAMO_BAJO,SUMIFS(CF_CUOTA,CF_MAS,ITP_TRAMO_BAJO,CF_CCMIN,"&lt;="&amp;CM13,CF_CCMAX,"&gt;="&amp;CM13),O13*ITP_TIPO)),O13*ITP_TIPO))</f>
        <v/>
      </c>
      <c r="CO13" s="4">
        <f>IF(R13="profesional",N(AK13),0)</f>
        <v/>
      </c>
      <c r="CP13" s="3">
        <f>IF(AND(R13="profesional",ISNUMBER(AK13),AL13="sí"),0,TASA_DGT)</f>
        <v/>
      </c>
      <c r="CQ13" s="3">
        <f>INFORME_DGT</f>
        <v/>
      </c>
      <c r="CR13" s="4">
        <f>O13+CO13+CN13+CP13+CQ13</f>
        <v/>
      </c>
      <c r="CS13" s="4">
        <f>CR13+N(CF13)</f>
        <v/>
      </c>
      <c r="CT13" s="3">
        <f>IF(CR13&lt;=TOTAL_MAX,"sí",IF(CR13&lt;=TOTAL_MAX+MARGEN_NEG,"negociar","no"))</f>
        <v/>
      </c>
      <c r="CU13" s="4">
        <f>IF(CT13&lt;&gt;"no",COUNTIFS($CT$2:$CT$545,"&lt;&gt;no",$CL$2:$CL$545,"&gt;"&amp;CL13)+COUNTIFS($CT$2:CT13,"&lt;&gt;no",$CL$2:CL13,CL13),"")</f>
        <v/>
      </c>
    </row>
    <row r="14">
      <c r="A14" s="2" t="inlineStr">
        <is>
          <t>autoscout24:1bbab641-53ca-4d9b-80c6-f99884b3bd80</t>
        </is>
      </c>
      <c r="B14" s="2" t="inlineStr">
        <is>
          <t>autoscout24</t>
        </is>
      </c>
      <c r="C14" s="2" t="inlineStr">
        <is>
          <t>https://www.autoscout24.es/anuncios/opel-meriva-meriva-1-7cdti-enjoy-110-enjoy-diesel-beige-cat_ma54mo18341-1bbab641-53ca-4d9b-80c6-f99884b3bd80</t>
        </is>
      </c>
      <c r="D14" s="2" t="inlineStr">
        <is>
          <t>Opel Meriva Meriva 1.7CDTi Enjoy 110 Enjoy</t>
        </is>
      </c>
      <c r="E14" s="2" t="inlineStr">
        <is>
          <t>Opel</t>
        </is>
      </c>
      <c r="F14" s="2" t="inlineStr">
        <is>
          <t>Opel Meriva</t>
        </is>
      </c>
      <c r="G14" s="2" t="inlineStr">
        <is>
          <t>1.7 CDTi</t>
        </is>
      </c>
      <c r="H14" s="2" t="inlineStr">
        <is>
          <t>Meriva 1.7CDTi Enjoy 110 Enjoy 1.7 CDTI</t>
        </is>
      </c>
      <c r="I14" s="2" t="n">
        <v>1686</v>
      </c>
      <c r="J14" s="2" t="n">
        <v>110</v>
      </c>
      <c r="K14" s="2" t="inlineStr">
        <is>
          <t>diesel</t>
        </is>
      </c>
      <c r="L14" s="2" t="inlineStr">
        <is>
          <t>monovolumen_pequeno</t>
        </is>
      </c>
      <c r="M14" s="2" t="n">
        <v>2010</v>
      </c>
      <c r="N14" s="2" t="n">
        <v>164500</v>
      </c>
      <c r="O14" s="2" t="n">
        <v>3900</v>
      </c>
      <c r="P14" s="2" t="inlineStr">
        <is>
          <t>manual</t>
        </is>
      </c>
      <c r="Q14" s="2" t="inlineStr">
        <is>
          <t>no</t>
        </is>
      </c>
      <c r="R14" s="2" t="inlineStr">
        <is>
          <t>particular</t>
        </is>
      </c>
      <c r="S14" s="2" t="inlineStr">
        <is>
          <t>Torrent (46900)</t>
        </is>
      </c>
      <c r="T14" s="2" t="n"/>
      <c r="U14" s="2" t="n">
        <v>5</v>
      </c>
      <c r="V14" s="2" t="inlineStr">
        <is>
          <t>sí</t>
        </is>
      </c>
      <c r="W14" s="2" t="inlineStr">
        <is>
          <t>sí</t>
        </is>
      </c>
      <c r="X14" s="2" t="n"/>
      <c r="Y14" s="2" t="n">
        <v>1</v>
      </c>
      <c r="Z14" s="2" t="n"/>
      <c r="AA14" s="2" t="n"/>
      <c r="AB14" s="2" t="n"/>
      <c r="AC14" s="2" t="n"/>
      <c r="AD14" s="2" t="n"/>
      <c r="AE14" s="2" t="n"/>
      <c r="AF14" s="2" t="n"/>
      <c r="AG14" s="2" t="n"/>
      <c r="AH14" s="2" t="n"/>
      <c r="AI14" s="2" t="n"/>
      <c r="AJ14" s="2" t="n"/>
      <c r="AK14" s="2" t="n"/>
      <c r="AL14" s="2" t="n"/>
      <c r="AM14" s="2" t="n">
        <v>8.5</v>
      </c>
      <c r="AN14" s="2" t="n"/>
      <c r="AO14" s="2" t="inlineStr">
        <is>
          <t>2010-10</t>
        </is>
      </c>
      <c r="AP14" s="2" t="n">
        <v>2010</v>
      </c>
      <c r="AQ14" s="2" t="n">
        <v>10</v>
      </c>
      <c r="AR14" s="2" t="n"/>
      <c r="AS14" s="2" t="inlineStr">
        <is>
          <t>regla</t>
        </is>
      </c>
      <c r="AT14" s="2" t="n">
        <v>4990</v>
      </c>
      <c r="AU14" s="2" t="n">
        <v>4</v>
      </c>
      <c r="AV14" s="2" t="inlineStr">
        <is>
          <t>modelo+año</t>
        </is>
      </c>
      <c r="AW14" s="2" t="n"/>
      <c r="AX14" s="2" t="inlineStr">
        <is>
          <t>cuota fija ITP: &gt;12 años, 1.501-2.000 cc; diésel: motor sin fuente de fiabilidad (fiabilidad limitada a neutra); carrocería monovolumen_pequeno: -6 puntos; fiabilidad del modelo PENDIENTE de fuente (puntuación neutra)</t>
        </is>
      </c>
      <c r="AY14" s="2" t="inlineStr">
        <is>
          <t>Rebajado porque Urge.&lt;br /&gt;&lt;br /&gt;Urge venta, de ahí el precio. Coche en muy buen estado, único dueño y siempre bien cuidado. Primera matriculación en octubre de 2010. El vehículo funciona perfectamente, mecánica al día y listo para usar.&lt;br /&gt;Exterior en buen estado general, sin abolladuras, únicamente algunos rayones normales del uso y los años. Interior cuidado y limpio.&lt;br /&gt;Coche fiable, cómodo y económico de mantener. Ideal para quien busca un vehículo práctico y en buen estado.&lt;br /&gt;&lt;br /&gt;✔ Único propietario&lt;br /&gt;✔ Funciona perfectamente&lt;br /&gt;✔ ITV y mantenimiento al día (todas sus revisiones hechas y la itv pasada feb/2026)&lt;br /&gt;✔ Sin golpes ni abolladuras, algunas marcas de rayas del parking.&lt;br /&gt;✔ Precio negociable&lt;br /&gt;&lt;br /&gt;&lt;br /&gt;&lt;br /&gt;Se puede ver y probar sin compromiso.</t>
        </is>
      </c>
      <c r="AZ14" s="2" t="inlineStr">
        <is>
          <t>https://www.autoscout24.es/anuncios/opel-meriva-meriva-1-7cdti-enjoy-110-enjoy-diesel-beige-cat_ma54mo18341-1bbab641-53ca-4d9b-80c6-f99884b3bd80 (__NEXT_DATA__ listingDetails) /home/user/Alopecia/buscador-coches/raw/autoscout24/5a478802c3aae019.json</t>
        </is>
      </c>
      <c r="BA14" s="3">
        <f>MAX(ANIO_ACTUAL-M14,0)</f>
        <v/>
      </c>
      <c r="BB14" s="4">
        <f>N14/MAX(BA14,0.5)</f>
        <v/>
      </c>
      <c r="BC14" s="4">
        <f>F14</f>
        <v/>
      </c>
      <c r="BD14" s="3">
        <f>BC14&amp;"|"&amp;INT(M14/SEG_ANIO)*SEG_ANIO</f>
        <v/>
      </c>
      <c r="BE14" s="3">
        <f>BD14&amp;"|"&amp;INT(N14/SEG_KM)*SEG_KM</f>
        <v/>
      </c>
      <c r="BF14" s="4">
        <f>COUNTIF($BC$2:$BC$545,BC14)</f>
        <v/>
      </c>
      <c r="BG14" s="4">
        <f>COUNTIF($BD$2:$BD$545,BD14)</f>
        <v/>
      </c>
      <c r="BH14" s="4">
        <f>COUNTIF($BE$2:$BE$545,BE14)</f>
        <v/>
      </c>
      <c r="BI14" s="3">
        <f t="array" ref="BI14">IF(N(AU14)&gt;=MIN_N,AT14,IF(BH14&gt;=MIN_N,MEDIAN(IF($BE$2:$BE$545=BE14,$O$2:$O$545)),IF(BG14&gt;=MIN_N,MEDIAN(IF($BD$2:$BD$545=BD14,$O$2:$O$545)),MEDIAN(IF($BC$2:$BC$545=BC14,$O$2:$O$545)))))</f>
        <v/>
      </c>
      <c r="BJ14" s="3">
        <f>IF(N(AU14)&gt;=MIN_N,"mercado "&amp;AV14,IF(BH14&gt;=MIN_N,"modelo+año+km",IF(BG14&gt;=MIN_N,"modelo+año","modelo")))</f>
        <v/>
      </c>
      <c r="BK14" s="4">
        <f>(BI14-O14)/BI14</f>
        <v/>
      </c>
      <c r="BL14" s="3">
        <f>IF(COUNTIFS(FR_FUEL,K14,FR_YEAR,AP14)&gt;0,1,0)</f>
        <v/>
      </c>
      <c r="BM14" s="3">
        <f>IF(COUNTIFS(FR_FUEL,K14,FR_YEAR,AP14-1)&gt;0,1,0)</f>
        <v/>
      </c>
      <c r="BN14" s="4">
        <f>IF(N(AQ14)&gt;0,AP14*100+AQ14,IF(AND(BL14=1,BM14=1),(AP14-1)*100+1,AP14*100+1))</f>
        <v/>
      </c>
      <c r="BO14" s="3">
        <f>IF(OR(K14="hibrido",K14="glp",K14="gnc",K14="phev"),"ECO",IF(K14="electrico","CERO",IF(K14="gasolina",IF(BN14&gt;=GAS_C_YM,"C",IF(BN14&gt;=GAS_B_YM,"B","A")),IF(K14="diesel",IF(BN14&gt;=DIE_C_YM,"C",IF(BN14&gt;=DIE_B_YM,"B","A")),""))))</f>
        <v/>
      </c>
      <c r="BP14" s="4">
        <f>BO14</f>
        <v/>
      </c>
      <c r="BQ14" s="4">
        <f>IF(AS14="regla",IF(AND(N(AQ14)=0,BL14=1),"sí","no"),"no")</f>
        <v/>
      </c>
      <c r="BR14" s="3">
        <f>IFERROR(VLOOKUP(F14,MOD_TBL,11,0),IFERROR(VLOOKUP(E14,OCU_TBL,2,0),NEUTRO))</f>
        <v/>
      </c>
      <c r="BS14" s="3">
        <f>SUMIFS(MOT_AJUSTE,MOT_MOTOR,G14,MOT_MARCA,E14,MOT_DESDE,"&lt;="&amp;M14,MOT_HASTA,"&gt;="&amp;M14)+SUMIFS(MOT_AJUSTE,MOT_MOTOR,G14,MOT_MARCA,"(todas)",MOT_DESDE,"&lt;="&amp;M14,MOT_HASTA,"&gt;="&amp;M14)</f>
        <v/>
      </c>
      <c r="BT14" s="3">
        <f>SUMIFS(COMB_AJUSTE,COMB_COMB,K14)</f>
        <v/>
      </c>
      <c r="BU14" s="3">
        <f>COUNTIFS(MOT_MOTOR,G14,MOT_MARCA,E14,MOT_DESDE,"&lt;="&amp;M14,MOT_HASTA,"&gt;="&amp;M14)+COUNTIFS(MOT_MOTOR,G14,MOT_MARCA,"(todas)",MOT_DESDE,"&lt;="&amp;M14,MOT_HASTA,"&gt;="&amp;M14)</f>
        <v/>
      </c>
      <c r="BV14" s="3">
        <f>IF(AND(K14="diesel",BU14=0),MIN(BR14,NEUTRO),BR14)</f>
        <v/>
      </c>
      <c r="BW14" s="4">
        <f>MAX(0,MIN(100,BV14+BS14+BT14))</f>
        <v/>
      </c>
      <c r="BX14" s="3">
        <f>MAX(0,MIN(100,50+BK14*PRECIO_PEND))</f>
        <v/>
      </c>
      <c r="BY14" s="3">
        <f>MAX(0,100*(1-N14/KM_MAX))</f>
        <v/>
      </c>
      <c r="BZ14" s="3">
        <f>IF(BB14&lt;KMA_SOSP,IF(AA14="sí",100,KMA_PEN),IF(BB14&lt;=KMA_IDEAL_MAX,100,MAX(0,100*(KMA_CERO-BB14)/(KMA_CERO-KMA_IDEAL_MAX))))</f>
        <v/>
      </c>
      <c r="CA14" s="3">
        <f>MAX(0,MIN(100,100*(M14-ANIO_MIN)/(ANIO_ACTUAL-ANIO_MIN)))</f>
        <v/>
      </c>
      <c r="CB14" s="3">
        <f>W_KMT*BY14+W_KMA*BZ14+W_EDAD*CA14</f>
        <v/>
      </c>
      <c r="CC14" s="3">
        <f>P_ITV*(V14="sí")+P_LIBRO*(W14="sí")+P_CORREA*(X14="sí")+P_PROP*(Y14=1)+P_GAR*(Z14="sí")+P_FOTOS*MIN(1,N(U14)/FOTOS_OBJ)</f>
        <v/>
      </c>
      <c r="CD14" s="3">
        <f>MAX(0,MIN(100,IFERROR(VLOOKUP(BP14,ETQ_TBL,2,0),0)-IF(BQ14="sí",ETQ_PEN_DUD,IF(AS14="regla",ETQ_PEN_REGLA,0))))</f>
        <v/>
      </c>
      <c r="CE14" s="3">
        <f>NEUTRO</f>
        <v/>
      </c>
      <c r="CF14" s="3">
        <f>IFERROR(VLOOKUP(L14,SEGURO_TBL,3,0),"")</f>
        <v/>
      </c>
      <c r="CG14" s="3">
        <f>IF(CF14="",NEUTRO,MAX(0,MIN(100,100*(SEG_REF_MAX-CF14)/(SEG_REF_MAX-SEG_REF_MIN))))</f>
        <v/>
      </c>
      <c r="CH14" s="3">
        <f>W_CONS*CE14+W_SEG*CG14</f>
        <v/>
      </c>
      <c r="CI14" s="3">
        <f>IF(N(AB14)&gt;0,AB14,IF(AND(R14="profesional",SG_LEGAL_ON=1),GAR_LEGAL,0))</f>
        <v/>
      </c>
      <c r="CJ14" s="3">
        <f>SG_GAR*MIN(1,CI14/SG_GAR_FULL)+SG_AMPL*(AC14="sí")+SG_KMC*(AF14="sí")+SG_REV*(N(AE14)&gt;0)+SG_DEV*MIN(1,N(AG14)/SG_DEV_FULL)+SG_HIST*(W14="sí")</f>
        <v/>
      </c>
      <c r="CK14" s="3">
        <f>IFERROR(VLOOKUP(L14,CARR_PEN_TBL,2,0),0)</f>
        <v/>
      </c>
      <c r="CL14" s="3">
        <f>W_FIAB*BW14+W_PRECIO*BX14+W_KMEDAD*CB14+W_ANUNCIO*CC14+W_USO*CH14+W_SEGURIDAD*CJ14+W_ETIQUETA*CD14-CK14</f>
        <v/>
      </c>
      <c r="CM14" s="4">
        <f>IF(N(I14)&gt;0,I14,IFERROR(ROUND(_xlfn.NUMBERVALUE(LEFT(G14,FIND(" ",G14&amp;" ")-1),".")*1000,0),99999))</f>
        <v/>
      </c>
      <c r="CN14" s="3">
        <f>IF(R14="profesional",0,IF(O14&lt;CUOTA_VALOR_MAX,IF(BA14&gt;ITP_TRAMO_ALTO,SUMIFS(CF_CUOTA,CF_MAS,ITP_TRAMO_ALTO,CF_CCMIN,"&lt;="&amp;CM14,CF_CCMAX,"&gt;="&amp;CM14),IF(BA14&gt;ITP_TRAMO_BAJO,SUMIFS(CF_CUOTA,CF_MAS,ITP_TRAMO_BAJO,CF_CCMIN,"&lt;="&amp;CM14,CF_CCMAX,"&gt;="&amp;CM14),O14*ITP_TIPO)),O14*ITP_TIPO))</f>
        <v/>
      </c>
      <c r="CO14" s="4">
        <f>IF(R14="profesional",N(AK14),0)</f>
        <v/>
      </c>
      <c r="CP14" s="3">
        <f>IF(AND(R14="profesional",ISNUMBER(AK14),AL14="sí"),0,TASA_DGT)</f>
        <v/>
      </c>
      <c r="CQ14" s="3">
        <f>INFORME_DGT</f>
        <v/>
      </c>
      <c r="CR14" s="4">
        <f>O14+CO14+CN14+CP14+CQ14</f>
        <v/>
      </c>
      <c r="CS14" s="4">
        <f>CR14+N(CF14)</f>
        <v/>
      </c>
      <c r="CT14" s="3">
        <f>IF(CR14&lt;=TOTAL_MAX,"sí",IF(CR14&lt;=TOTAL_MAX+MARGEN_NEG,"negociar","no"))</f>
        <v/>
      </c>
      <c r="CU14" s="4">
        <f>IF(CT14&lt;&gt;"no",COUNTIFS($CT$2:$CT$545,"&lt;&gt;no",$CL$2:$CL$545,"&gt;"&amp;CL14)+COUNTIFS($CT$2:CT14,"&lt;&gt;no",$CL$2:CL14,CL14),"")</f>
        <v/>
      </c>
    </row>
    <row r="15">
      <c r="A15" s="2" t="inlineStr">
        <is>
          <t>autoscout24:9a094bfd-f634-4d5d-9612-b134882a2a0b</t>
        </is>
      </c>
      <c r="B15" s="2" t="inlineStr">
        <is>
          <t>autoscout24</t>
        </is>
      </c>
      <c r="C15" s="2" t="inlineStr">
        <is>
          <t>https://www.autoscout24.es/anuncios/opel-corsa-1-3cdti-c-mon-ecoflex-diesel-cat_ma54mo1918-9a094bfd-f634-4d5d-9612-b134882a2a0b</t>
        </is>
      </c>
      <c r="D15" s="2" t="inlineStr">
        <is>
          <t>Opel Corsa 1.3CDTi C Mon ecoFlex</t>
        </is>
      </c>
      <c r="E15" s="2" t="inlineStr">
        <is>
          <t>Opel</t>
        </is>
      </c>
      <c r="F15" s="2" t="inlineStr">
        <is>
          <t>Opel Corsa</t>
        </is>
      </c>
      <c r="G15" s="2" t="inlineStr">
        <is>
          <t>1.2 CDTi</t>
        </is>
      </c>
      <c r="H15" s="2" t="inlineStr">
        <is>
          <t>1.3CDTi C Mon ecoFlex 1.3 CDTI</t>
        </is>
      </c>
      <c r="I15" s="2" t="n">
        <v>1248</v>
      </c>
      <c r="J15" s="2" t="n">
        <v>75</v>
      </c>
      <c r="K15" s="2" t="inlineStr">
        <is>
          <t>diesel</t>
        </is>
      </c>
      <c r="L15" s="2" t="inlineStr">
        <is>
          <t>utilitario</t>
        </is>
      </c>
      <c r="M15" s="2" t="n">
        <v>2009</v>
      </c>
      <c r="N15" s="2" t="n">
        <v>172000</v>
      </c>
      <c r="O15" s="2" t="n">
        <v>3990</v>
      </c>
      <c r="P15" s="2" t="inlineStr">
        <is>
          <t>manual</t>
        </is>
      </c>
      <c r="Q15" s="2" t="inlineStr">
        <is>
          <t>no</t>
        </is>
      </c>
      <c r="R15" s="2" t="inlineStr">
        <is>
          <t>profesional</t>
        </is>
      </c>
      <c r="S15" s="2" t="inlineStr">
        <is>
          <t>ORLANDO CARS — PATERNA (46980)</t>
        </is>
      </c>
      <c r="T15" s="2" t="n"/>
      <c r="U15" s="2" t="n">
        <v>37</v>
      </c>
      <c r="V15" s="2" t="inlineStr">
        <is>
          <t>sí</t>
        </is>
      </c>
      <c r="W15" s="2" t="n"/>
      <c r="X15" s="2" t="n"/>
      <c r="Y15" s="2" t="n"/>
      <c r="Z15" s="2" t="inlineStr">
        <is>
          <t>sí</t>
        </is>
      </c>
      <c r="AA15" s="2" t="n"/>
      <c r="AB15" s="2" t="n">
        <v>12</v>
      </c>
      <c r="AC15" s="2" t="n"/>
      <c r="AD15" s="2" t="n"/>
      <c r="AE15" s="2" t="n"/>
      <c r="AF15" s="2" t="n"/>
      <c r="AG15" s="2" t="n"/>
      <c r="AH15" s="2" t="n">
        <v>3990</v>
      </c>
      <c r="AI15" s="2" t="n">
        <v>3990</v>
      </c>
      <c r="AJ15" s="2" t="n"/>
      <c r="AK15" s="2" t="n"/>
      <c r="AL15" s="2" t="n"/>
      <c r="AM15" s="2" t="n">
        <v>9.4</v>
      </c>
      <c r="AN15" s="2" t="n"/>
      <c r="AO15" s="2" t="inlineStr">
        <is>
          <t>2009-06</t>
        </is>
      </c>
      <c r="AP15" s="2" t="n">
        <v>2009</v>
      </c>
      <c r="AQ15" s="2" t="n">
        <v>6</v>
      </c>
      <c r="AR15" s="2" t="n"/>
      <c r="AS15" s="2" t="inlineStr">
        <is>
          <t>regla</t>
        </is>
      </c>
      <c r="AT15" s="2" t="n">
        <v>3150</v>
      </c>
      <c r="AU15" s="2" t="n">
        <v>8</v>
      </c>
      <c r="AV15" s="2" t="inlineStr">
        <is>
          <t>modelo+año+km</t>
        </is>
      </c>
      <c r="AW15" s="2" t="n"/>
      <c r="AX15" s="2" t="inlineStr">
        <is>
          <t>vendedor profesional: sin ITP (operación con IVA/REBU, confirmar en factura); gastos de gestión del vendedor no indicados: se suma la tasa DGT; preguntar el precio final; diésel: motor sin fuente de fiabilidad (fiabilidad limitada a neutra)</t>
        </is>
      </c>
      <c r="AY15" s="2" t="inlineStr">
        <is>
          <t>&lt;strong&gt;Precio al contado: 3990 euros&lt;/strong&gt; &lt;br /&gt;&lt;br /&gt;&lt;strong&gt;Condiciones de la financiación&lt;/strong&gt; &lt;br /&gt;&lt;br /&gt;Precio al contado: 3.990€&lt;br /&gt;Precio financiado: 3.990€&lt;br /&gt;&lt;br /&gt; &lt;br /&gt;&lt;br /&gt;&lt;strong&gt;OPEL CORSA ECOFLEX 1.3 75CV&lt;/strong&gt;&lt;br /&gt;&lt;strong&gt; &lt;/strong&gt;&lt;br /&gt;&lt;strong&gt;Nacional – Año 2009&lt;/strong&gt;&lt;br /&gt;&lt;strong&gt;Diesel – Con  172.000Km&lt;/strong&gt;&lt;br /&gt;&lt;strong&gt; &lt;/strong&gt;&lt;br /&gt;Equipado con: -3 Puertas. -2 Llaves. -Bajo consumo. -Radio. -CD. -USB. -AUX. . -Aire acondicionado. -Cierre centralizado. -Airbag. -Elevalunas eléctricos. -Retrovisores eléctricos. -Rueda de repuesto.&lt;br /&gt; &lt;br /&gt;Precio al contado: 3.990€&lt;br /&gt;Precio financiado: 3.990€&lt;br /&gt; &lt;br /&gt; &lt;br /&gt;Aceptamos vehículo como parte de pago. Financiación a medida. Se entrega totalmente revisado, con ITV al día, y 12 meses de garantía. Para más información, estaremos encantados de atenderle en nuestras instalaciones en c/ Ciutat de Llíria, Nº 61 en polígono industrial fuente del jarro, paterna. (cerca de Mislata, Burjasot, Llíria, Bétera, Manises).&lt;br /&gt; &lt;br /&gt;Este anuncio es de carácter informativo. Las especificaciones sobre equipamiento, modelo y precio no tienen carácter vinculante, ni puede constituir base de un futuro contrato ya que pueden contener algún error. Consulte con nuestros comerciales la información detallada de este vehículo.&lt;br /&gt;</t>
        </is>
      </c>
      <c r="AZ15" s="2" t="inlineStr">
        <is>
          <t>https://www.autoscout24.es/anuncios/opel-corsa-1-3cdti-c-mon-ecoflex-diesel-cat_ma54mo1918-9a094bfd-f634-4d5d-9612-b134882a2a0b (__NEXT_DATA__ listingDetails) /home/user/Alopecia/buscador-coches/raw/autoscout24/1927e479532d8469.json</t>
        </is>
      </c>
      <c r="BA15" s="3">
        <f>MAX(ANIO_ACTUAL-M15,0)</f>
        <v/>
      </c>
      <c r="BB15" s="4">
        <f>N15/MAX(BA15,0.5)</f>
        <v/>
      </c>
      <c r="BC15" s="4">
        <f>F15</f>
        <v/>
      </c>
      <c r="BD15" s="3">
        <f>BC15&amp;"|"&amp;INT(M15/SEG_ANIO)*SEG_ANIO</f>
        <v/>
      </c>
      <c r="BE15" s="3">
        <f>BD15&amp;"|"&amp;INT(N15/SEG_KM)*SEG_KM</f>
        <v/>
      </c>
      <c r="BF15" s="4">
        <f>COUNTIF($BC$2:$BC$545,BC15)</f>
        <v/>
      </c>
      <c r="BG15" s="4">
        <f>COUNTIF($BD$2:$BD$545,BD15)</f>
        <v/>
      </c>
      <c r="BH15" s="4">
        <f>COUNTIF($BE$2:$BE$545,BE15)</f>
        <v/>
      </c>
      <c r="BI15" s="3">
        <f t="array" ref="BI15">IF(N(AU15)&gt;=MIN_N,AT15,IF(BH15&gt;=MIN_N,MEDIAN(IF($BE$2:$BE$545=BE15,$O$2:$O$545)),IF(BG15&gt;=MIN_N,MEDIAN(IF($BD$2:$BD$545=BD15,$O$2:$O$545)),MEDIAN(IF($BC$2:$BC$545=BC15,$O$2:$O$545)))))</f>
        <v/>
      </c>
      <c r="BJ15" s="3">
        <f>IF(N(AU15)&gt;=MIN_N,"mercado "&amp;AV15,IF(BH15&gt;=MIN_N,"modelo+año+km",IF(BG15&gt;=MIN_N,"modelo+año","modelo")))</f>
        <v/>
      </c>
      <c r="BK15" s="4">
        <f>(BI15-O15)/BI15</f>
        <v/>
      </c>
      <c r="BL15" s="3">
        <f>IF(COUNTIFS(FR_FUEL,K15,FR_YEAR,AP15)&gt;0,1,0)</f>
        <v/>
      </c>
      <c r="BM15" s="3">
        <f>IF(COUNTIFS(FR_FUEL,K15,FR_YEAR,AP15-1)&gt;0,1,0)</f>
        <v/>
      </c>
      <c r="BN15" s="4">
        <f>IF(N(AQ15)&gt;0,AP15*100+AQ15,IF(AND(BL15=1,BM15=1),(AP15-1)*100+1,AP15*100+1))</f>
        <v/>
      </c>
      <c r="BO15" s="3">
        <f>IF(OR(K15="hibrido",K15="glp",K15="gnc",K15="phev"),"ECO",IF(K15="electrico","CERO",IF(K15="gasolina",IF(BN15&gt;=GAS_C_YM,"C",IF(BN15&gt;=GAS_B_YM,"B","A")),IF(K15="diesel",IF(BN15&gt;=DIE_C_YM,"C",IF(BN15&gt;=DIE_B_YM,"B","A")),""))))</f>
        <v/>
      </c>
      <c r="BP15" s="4">
        <f>BO15</f>
        <v/>
      </c>
      <c r="BQ15" s="4">
        <f>IF(AS15="regla",IF(AND(N(AQ15)=0,BL15=1),"sí","no"),"no")</f>
        <v/>
      </c>
      <c r="BR15" s="3">
        <f>IFERROR(VLOOKUP(F15,MOD_TBL,11,0),IFERROR(VLOOKUP(E15,OCU_TBL,2,0),NEUTRO))</f>
        <v/>
      </c>
      <c r="BS15" s="3">
        <f>SUMIFS(MOT_AJUSTE,MOT_MOTOR,G15,MOT_MARCA,E15,MOT_DESDE,"&lt;="&amp;M15,MOT_HASTA,"&gt;="&amp;M15)+SUMIFS(MOT_AJUSTE,MOT_MOTOR,G15,MOT_MARCA,"(todas)",MOT_DESDE,"&lt;="&amp;M15,MOT_HASTA,"&gt;="&amp;M15)</f>
        <v/>
      </c>
      <c r="BT15" s="3">
        <f>SUMIFS(COMB_AJUSTE,COMB_COMB,K15)</f>
        <v/>
      </c>
      <c r="BU15" s="3">
        <f>COUNTIFS(MOT_MOTOR,G15,MOT_MARCA,E15,MOT_DESDE,"&lt;="&amp;M15,MOT_HASTA,"&gt;="&amp;M15)+COUNTIFS(MOT_MOTOR,G15,MOT_MARCA,"(todas)",MOT_DESDE,"&lt;="&amp;M15,MOT_HASTA,"&gt;="&amp;M15)</f>
        <v/>
      </c>
      <c r="BV15" s="3">
        <f>IF(AND(K15="diesel",BU15=0),MIN(BR15,NEUTRO),BR15)</f>
        <v/>
      </c>
      <c r="BW15" s="4">
        <f>MAX(0,MIN(100,BV15+BS15+BT15))</f>
        <v/>
      </c>
      <c r="BX15" s="3">
        <f>MAX(0,MIN(100,50+BK15*PRECIO_PEND))</f>
        <v/>
      </c>
      <c r="BY15" s="3">
        <f>MAX(0,100*(1-N15/KM_MAX))</f>
        <v/>
      </c>
      <c r="BZ15" s="3">
        <f>IF(BB15&lt;KMA_SOSP,IF(AA15="sí",100,KMA_PEN),IF(BB15&lt;=KMA_IDEAL_MAX,100,MAX(0,100*(KMA_CERO-BB15)/(KMA_CERO-KMA_IDEAL_MAX))))</f>
        <v/>
      </c>
      <c r="CA15" s="3">
        <f>MAX(0,MIN(100,100*(M15-ANIO_MIN)/(ANIO_ACTUAL-ANIO_MIN)))</f>
        <v/>
      </c>
      <c r="CB15" s="3">
        <f>W_KMT*BY15+W_KMA*BZ15+W_EDAD*CA15</f>
        <v/>
      </c>
      <c r="CC15" s="3">
        <f>P_ITV*(V15="sí")+P_LIBRO*(W15="sí")+P_CORREA*(X15="sí")+P_PROP*(Y15=1)+P_GAR*(Z15="sí")+P_FOTOS*MIN(1,N(U15)/FOTOS_OBJ)</f>
        <v/>
      </c>
      <c r="CD15" s="3">
        <f>MAX(0,MIN(100,IFERROR(VLOOKUP(BP15,ETQ_TBL,2,0),0)-IF(BQ15="sí",ETQ_PEN_DUD,IF(AS15="regla",ETQ_PEN_REGLA,0))))</f>
        <v/>
      </c>
      <c r="CE15" s="3">
        <f>NEUTRO</f>
        <v/>
      </c>
      <c r="CF15" s="3">
        <f>IFERROR(VLOOKUP(L15,SEGURO_TBL,3,0),"")</f>
        <v/>
      </c>
      <c r="CG15" s="3">
        <f>IF(CF15="",NEUTRO,MAX(0,MIN(100,100*(SEG_REF_MAX-CF15)/(SEG_REF_MAX-SEG_REF_MIN))))</f>
        <v/>
      </c>
      <c r="CH15" s="3">
        <f>W_CONS*CE15+W_SEG*CG15</f>
        <v/>
      </c>
      <c r="CI15" s="3">
        <f>IF(N(AB15)&gt;0,AB15,IF(AND(R15="profesional",SG_LEGAL_ON=1),GAR_LEGAL,0))</f>
        <v/>
      </c>
      <c r="CJ15" s="3">
        <f>SG_GAR*MIN(1,CI15/SG_GAR_FULL)+SG_AMPL*(AC15="sí")+SG_KMC*(AF15="sí")+SG_REV*(N(AE15)&gt;0)+SG_DEV*MIN(1,N(AG15)/SG_DEV_FULL)+SG_HIST*(W15="sí")</f>
        <v/>
      </c>
      <c r="CK15" s="3">
        <f>IFERROR(VLOOKUP(L15,CARR_PEN_TBL,2,0),0)</f>
        <v/>
      </c>
      <c r="CL15" s="3">
        <f>W_FIAB*BW15+W_PRECIO*BX15+W_KMEDAD*CB15+W_ANUNCIO*CC15+W_USO*CH15+W_SEGURIDAD*CJ15+W_ETIQUETA*CD15-CK15</f>
        <v/>
      </c>
      <c r="CM15" s="4">
        <f>IF(N(I15)&gt;0,I15,IFERROR(ROUND(_xlfn.NUMBERVALUE(LEFT(G15,FIND(" ",G15&amp;" ")-1),".")*1000,0),99999))</f>
        <v/>
      </c>
      <c r="CN15" s="3">
        <f>IF(R15="profesional",0,IF(O15&lt;CUOTA_VALOR_MAX,IF(BA15&gt;ITP_TRAMO_ALTO,SUMIFS(CF_CUOTA,CF_MAS,ITP_TRAMO_ALTO,CF_CCMIN,"&lt;="&amp;CM15,CF_CCMAX,"&gt;="&amp;CM15),IF(BA15&gt;ITP_TRAMO_BAJO,SUMIFS(CF_CUOTA,CF_MAS,ITP_TRAMO_BAJO,CF_CCMIN,"&lt;="&amp;CM15,CF_CCMAX,"&gt;="&amp;CM15),O15*ITP_TIPO)),O15*ITP_TIPO))</f>
        <v/>
      </c>
      <c r="CO15" s="4">
        <f>IF(R15="profesional",N(AK15),0)</f>
        <v/>
      </c>
      <c r="CP15" s="3">
        <f>IF(AND(R15="profesional",ISNUMBER(AK15),AL15="sí"),0,TASA_DGT)</f>
        <v/>
      </c>
      <c r="CQ15" s="3">
        <f>INFORME_DGT</f>
        <v/>
      </c>
      <c r="CR15" s="4">
        <f>O15+CO15+CN15+CP15+CQ15</f>
        <v/>
      </c>
      <c r="CS15" s="4">
        <f>CR15+N(CF15)</f>
        <v/>
      </c>
      <c r="CT15" s="3">
        <f>IF(CR15&lt;=TOTAL_MAX,"sí",IF(CR15&lt;=TOTAL_MAX+MARGEN_NEG,"negociar","no"))</f>
        <v/>
      </c>
      <c r="CU15" s="4">
        <f>IF(CT15&lt;&gt;"no",COUNTIFS($CT$2:$CT$545,"&lt;&gt;no",$CL$2:$CL$545,"&gt;"&amp;CL15)+COUNTIFS($CT$2:CT15,"&lt;&gt;no",$CL$2:CL15,CL15),"")</f>
        <v/>
      </c>
    </row>
    <row r="16">
      <c r="A16" s="2" t="inlineStr">
        <is>
          <t>autoscout24:a9f25c00-f19e-4e5c-80ed-f8556168c772</t>
        </is>
      </c>
      <c r="B16" s="2" t="inlineStr">
        <is>
          <t>autoscout24</t>
        </is>
      </c>
      <c r="C16" s="2" t="inlineStr">
        <is>
          <t>https://www.autoscout24.es/anuncios/peugeot-207-207-1-4i-confort-75-confort-gasolina-negro-cat_ma55mo18797-a9f25c00-f19e-4e5c-80ed-f8556168c772</t>
        </is>
      </c>
      <c r="D16" s="2" t="inlineStr">
        <is>
          <t>Peugeot 207 207 1.4i Confort 75 Confort</t>
        </is>
      </c>
      <c r="E16" s="2" t="inlineStr">
        <is>
          <t>Peugeot</t>
        </is>
      </c>
      <c r="F16" s="2" t="inlineStr">
        <is>
          <t>Peugeot 207</t>
        </is>
      </c>
      <c r="G16" s="2" t="inlineStr">
        <is>
          <t>1.4</t>
        </is>
      </c>
      <c r="H16" s="2" t="inlineStr">
        <is>
          <t>207 1.4i Confort 75 Confort 75</t>
        </is>
      </c>
      <c r="I16" s="2" t="n">
        <v>1360</v>
      </c>
      <c r="J16" s="2" t="n">
        <v>75</v>
      </c>
      <c r="K16" s="2" t="inlineStr">
        <is>
          <t>gasolina</t>
        </is>
      </c>
      <c r="L16" s="2" t="inlineStr">
        <is>
          <t>utilitario</t>
        </is>
      </c>
      <c r="M16" s="2" t="n">
        <v>2008</v>
      </c>
      <c r="N16" s="2" t="n">
        <v>218000</v>
      </c>
      <c r="O16" s="2" t="n">
        <v>2600</v>
      </c>
      <c r="P16" s="2" t="inlineStr">
        <is>
          <t>manual</t>
        </is>
      </c>
      <c r="Q16" s="2" t="inlineStr">
        <is>
          <t>no</t>
        </is>
      </c>
      <c r="R16" s="2" t="inlineStr">
        <is>
          <t>particular</t>
        </is>
      </c>
      <c r="S16" s="2" t="inlineStr">
        <is>
          <t>València (46022)</t>
        </is>
      </c>
      <c r="T16" s="2" t="n"/>
      <c r="U16" s="2" t="n">
        <v>14</v>
      </c>
      <c r="V16" s="2" t="n"/>
      <c r="W16" s="2" t="n"/>
      <c r="X16" s="2" t="n"/>
      <c r="Y16" s="2" t="n"/>
      <c r="Z16" s="2" t="n"/>
      <c r="AA16" s="2" t="n"/>
      <c r="AB16" s="2" t="n"/>
      <c r="AC16" s="2" t="n"/>
      <c r="AD16" s="2" t="n"/>
      <c r="AE16" s="2" t="n"/>
      <c r="AF16" s="2" t="n"/>
      <c r="AG16" s="2" t="n"/>
      <c r="AH16" s="2" t="n"/>
      <c r="AI16" s="2" t="n"/>
      <c r="AJ16" s="2" t="n"/>
      <c r="AK16" s="2" t="n"/>
      <c r="AL16" s="2" t="n"/>
      <c r="AM16" s="2" t="n">
        <v>3.1</v>
      </c>
      <c r="AN16" s="2" t="n"/>
      <c r="AO16" s="2" t="inlineStr">
        <is>
          <t>2008-01</t>
        </is>
      </c>
      <c r="AP16" s="2" t="n">
        <v>2008</v>
      </c>
      <c r="AQ16" s="2" t="n">
        <v>1</v>
      </c>
      <c r="AR16" s="2" t="n"/>
      <c r="AS16" s="2" t="inlineStr">
        <is>
          <t>regla</t>
        </is>
      </c>
      <c r="AT16" s="2" t="n">
        <v>2950</v>
      </c>
      <c r="AU16" s="2" t="n">
        <v>13</v>
      </c>
      <c r="AV16" s="2" t="inlineStr">
        <is>
          <t>modelo+año+km</t>
        </is>
      </c>
      <c r="AW16" s="2" t="n"/>
      <c r="AX16" s="2" t="inlineStr">
        <is>
          <t>cuota fija ITP: &gt;12 años, hasta 1.500 cc; fiabilidad del modelo PENDIENTE de fuente (puntuación neutra)</t>
        </is>
      </c>
      <c r="AY16" s="2" t="inlineStr"/>
      <c r="AZ16" s="2" t="inlineStr">
        <is>
          <t>https://www.autoscout24.es/anuncios/peugeot-207-207-1-4i-confort-75-confort-gasolina-negro-cat_ma55mo18797-a9f25c00-f19e-4e5c-80ed-f8556168c772 (__NEXT_DATA__ listingDetails) /home/user/Alopecia/buscador-coches/raw/autoscout24/db9e1974065f04e5.json</t>
        </is>
      </c>
      <c r="BA16" s="3">
        <f>MAX(ANIO_ACTUAL-M16,0)</f>
        <v/>
      </c>
      <c r="BB16" s="4">
        <f>N16/MAX(BA16,0.5)</f>
        <v/>
      </c>
      <c r="BC16" s="4">
        <f>F16</f>
        <v/>
      </c>
      <c r="BD16" s="3">
        <f>BC16&amp;"|"&amp;INT(M16/SEG_ANIO)*SEG_ANIO</f>
        <v/>
      </c>
      <c r="BE16" s="3">
        <f>BD16&amp;"|"&amp;INT(N16/SEG_KM)*SEG_KM</f>
        <v/>
      </c>
      <c r="BF16" s="4">
        <f>COUNTIF($BC$2:$BC$545,BC16)</f>
        <v/>
      </c>
      <c r="BG16" s="4">
        <f>COUNTIF($BD$2:$BD$545,BD16)</f>
        <v/>
      </c>
      <c r="BH16" s="4">
        <f>COUNTIF($BE$2:$BE$545,BE16)</f>
        <v/>
      </c>
      <c r="BI16" s="3">
        <f t="array" ref="BI16">IF(N(AU16)&gt;=MIN_N,AT16,IF(BH16&gt;=MIN_N,MEDIAN(IF($BE$2:$BE$545=BE16,$O$2:$O$545)),IF(BG16&gt;=MIN_N,MEDIAN(IF($BD$2:$BD$545=BD16,$O$2:$O$545)),MEDIAN(IF($BC$2:$BC$545=BC16,$O$2:$O$545)))))</f>
        <v/>
      </c>
      <c r="BJ16" s="3">
        <f>IF(N(AU16)&gt;=MIN_N,"mercado "&amp;AV16,IF(BH16&gt;=MIN_N,"modelo+año+km",IF(BG16&gt;=MIN_N,"modelo+año","modelo")))</f>
        <v/>
      </c>
      <c r="BK16" s="4">
        <f>(BI16-O16)/BI16</f>
        <v/>
      </c>
      <c r="BL16" s="3">
        <f>IF(COUNTIFS(FR_FUEL,K16,FR_YEAR,AP16)&gt;0,1,0)</f>
        <v/>
      </c>
      <c r="BM16" s="3">
        <f>IF(COUNTIFS(FR_FUEL,K16,FR_YEAR,AP16-1)&gt;0,1,0)</f>
        <v/>
      </c>
      <c r="BN16" s="4">
        <f>IF(N(AQ16)&gt;0,AP16*100+AQ16,IF(AND(BL16=1,BM16=1),(AP16-1)*100+1,AP16*100+1))</f>
        <v/>
      </c>
      <c r="BO16" s="3">
        <f>IF(OR(K16="hibrido",K16="glp",K16="gnc",K16="phev"),"ECO",IF(K16="electrico","CERO",IF(K16="gasolina",IF(BN16&gt;=GAS_C_YM,"C",IF(BN16&gt;=GAS_B_YM,"B","A")),IF(K16="diesel",IF(BN16&gt;=DIE_C_YM,"C",IF(BN16&gt;=DIE_B_YM,"B","A")),""))))</f>
        <v/>
      </c>
      <c r="BP16" s="4">
        <f>BO16</f>
        <v/>
      </c>
      <c r="BQ16" s="4">
        <f>IF(AS16="regla",IF(AND(N(AQ16)=0,BL16=1),"sí","no"),"no")</f>
        <v/>
      </c>
      <c r="BR16" s="3">
        <f>IFERROR(VLOOKUP(F16,MOD_TBL,11,0),IFERROR(VLOOKUP(E16,OCU_TBL,2,0),NEUTRO))</f>
        <v/>
      </c>
      <c r="BS16" s="3">
        <f>SUMIFS(MOT_AJUSTE,MOT_MOTOR,G16,MOT_MARCA,E16,MOT_DESDE,"&lt;="&amp;M16,MOT_HASTA,"&gt;="&amp;M16)+SUMIFS(MOT_AJUSTE,MOT_MOTOR,G16,MOT_MARCA,"(todas)",MOT_DESDE,"&lt;="&amp;M16,MOT_HASTA,"&gt;="&amp;M16)</f>
        <v/>
      </c>
      <c r="BT16" s="3">
        <f>SUMIFS(COMB_AJUSTE,COMB_COMB,K16)</f>
        <v/>
      </c>
      <c r="BU16" s="3">
        <f>COUNTIFS(MOT_MOTOR,G16,MOT_MARCA,E16,MOT_DESDE,"&lt;="&amp;M16,MOT_HASTA,"&gt;="&amp;M16)+COUNTIFS(MOT_MOTOR,G16,MOT_MARCA,"(todas)",MOT_DESDE,"&lt;="&amp;M16,MOT_HASTA,"&gt;="&amp;M16)</f>
        <v/>
      </c>
      <c r="BV16" s="3">
        <f>IF(AND(K16="diesel",BU16=0),MIN(BR16,NEUTRO),BR16)</f>
        <v/>
      </c>
      <c r="BW16" s="4">
        <f>MAX(0,MIN(100,BV16+BS16+BT16))</f>
        <v/>
      </c>
      <c r="BX16" s="3">
        <f>MAX(0,MIN(100,50+BK16*PRECIO_PEND))</f>
        <v/>
      </c>
      <c r="BY16" s="3">
        <f>MAX(0,100*(1-N16/KM_MAX))</f>
        <v/>
      </c>
      <c r="BZ16" s="3">
        <f>IF(BB16&lt;KMA_SOSP,IF(AA16="sí",100,KMA_PEN),IF(BB16&lt;=KMA_IDEAL_MAX,100,MAX(0,100*(KMA_CERO-BB16)/(KMA_CERO-KMA_IDEAL_MAX))))</f>
        <v/>
      </c>
      <c r="CA16" s="3">
        <f>MAX(0,MIN(100,100*(M16-ANIO_MIN)/(ANIO_ACTUAL-ANIO_MIN)))</f>
        <v/>
      </c>
      <c r="CB16" s="3">
        <f>W_KMT*BY16+W_KMA*BZ16+W_EDAD*CA16</f>
        <v/>
      </c>
      <c r="CC16" s="3">
        <f>P_ITV*(V16="sí")+P_LIBRO*(W16="sí")+P_CORREA*(X16="sí")+P_PROP*(Y16=1)+P_GAR*(Z16="sí")+P_FOTOS*MIN(1,N(U16)/FOTOS_OBJ)</f>
        <v/>
      </c>
      <c r="CD16" s="3">
        <f>MAX(0,MIN(100,IFERROR(VLOOKUP(BP16,ETQ_TBL,2,0),0)-IF(BQ16="sí",ETQ_PEN_DUD,IF(AS16="regla",ETQ_PEN_REGLA,0))))</f>
        <v/>
      </c>
      <c r="CE16" s="3">
        <f>NEUTRO</f>
        <v/>
      </c>
      <c r="CF16" s="3">
        <f>IFERROR(VLOOKUP(L16,SEGURO_TBL,3,0),"")</f>
        <v/>
      </c>
      <c r="CG16" s="3">
        <f>IF(CF16="",NEUTRO,MAX(0,MIN(100,100*(SEG_REF_MAX-CF16)/(SEG_REF_MAX-SEG_REF_MIN))))</f>
        <v/>
      </c>
      <c r="CH16" s="3">
        <f>W_CONS*CE16+W_SEG*CG16</f>
        <v/>
      </c>
      <c r="CI16" s="3">
        <f>IF(N(AB16)&gt;0,AB16,IF(AND(R16="profesional",SG_LEGAL_ON=1),GAR_LEGAL,0))</f>
        <v/>
      </c>
      <c r="CJ16" s="3">
        <f>SG_GAR*MIN(1,CI16/SG_GAR_FULL)+SG_AMPL*(AC16="sí")+SG_KMC*(AF16="sí")+SG_REV*(N(AE16)&gt;0)+SG_DEV*MIN(1,N(AG16)/SG_DEV_FULL)+SG_HIST*(W16="sí")</f>
        <v/>
      </c>
      <c r="CK16" s="3">
        <f>IFERROR(VLOOKUP(L16,CARR_PEN_TBL,2,0),0)</f>
        <v/>
      </c>
      <c r="CL16" s="3">
        <f>W_FIAB*BW16+W_PRECIO*BX16+W_KMEDAD*CB16+W_ANUNCIO*CC16+W_USO*CH16+W_SEGURIDAD*CJ16+W_ETIQUETA*CD16-CK16</f>
        <v/>
      </c>
      <c r="CM16" s="4">
        <f>IF(N(I16)&gt;0,I16,IFERROR(ROUND(_xlfn.NUMBERVALUE(LEFT(G16,FIND(" ",G16&amp;" ")-1),".")*1000,0),99999))</f>
        <v/>
      </c>
      <c r="CN16" s="3">
        <f>IF(R16="profesional",0,IF(O16&lt;CUOTA_VALOR_MAX,IF(BA16&gt;ITP_TRAMO_ALTO,SUMIFS(CF_CUOTA,CF_MAS,ITP_TRAMO_ALTO,CF_CCMIN,"&lt;="&amp;CM16,CF_CCMAX,"&gt;="&amp;CM16),IF(BA16&gt;ITP_TRAMO_BAJO,SUMIFS(CF_CUOTA,CF_MAS,ITP_TRAMO_BAJO,CF_CCMIN,"&lt;="&amp;CM16,CF_CCMAX,"&gt;="&amp;CM16),O16*ITP_TIPO)),O16*ITP_TIPO))</f>
        <v/>
      </c>
      <c r="CO16" s="4">
        <f>IF(R16="profesional",N(AK16),0)</f>
        <v/>
      </c>
      <c r="CP16" s="3">
        <f>IF(AND(R16="profesional",ISNUMBER(AK16),AL16="sí"),0,TASA_DGT)</f>
        <v/>
      </c>
      <c r="CQ16" s="3">
        <f>INFORME_DGT</f>
        <v/>
      </c>
      <c r="CR16" s="4">
        <f>O16+CO16+CN16+CP16+CQ16</f>
        <v/>
      </c>
      <c r="CS16" s="4">
        <f>CR16+N(CF16)</f>
        <v/>
      </c>
      <c r="CT16" s="3">
        <f>IF(CR16&lt;=TOTAL_MAX,"sí",IF(CR16&lt;=TOTAL_MAX+MARGEN_NEG,"negociar","no"))</f>
        <v/>
      </c>
      <c r="CU16" s="4">
        <f>IF(CT16&lt;&gt;"no",COUNTIFS($CT$2:$CT$545,"&lt;&gt;no",$CL$2:$CL$545,"&gt;"&amp;CL16)+COUNTIFS($CT$2:CT16,"&lt;&gt;no",$CL$2:CL16,CL16),"")</f>
        <v/>
      </c>
    </row>
    <row r="17">
      <c r="A17" s="2" t="inlineStr">
        <is>
          <t>autoscout24:e18153a1-5cc8-4840-b81b-f019a8139379</t>
        </is>
      </c>
      <c r="B17" s="2" t="inlineStr">
        <is>
          <t>autoscout24</t>
        </is>
      </c>
      <c r="C17" s="2" t="inlineStr">
        <is>
          <t>https://www.autoscout24.es/anuncios/citroen-c4-1-6hdi-cool-diesel-cat_ma21mo18545-e18153a1-5cc8-4840-b81b-f019a8139379</t>
        </is>
      </c>
      <c r="D17" s="2" t="inlineStr">
        <is>
          <t>Citroën C4 1.6HDI Cool</t>
        </is>
      </c>
      <c r="E17" s="2" t="inlineStr">
        <is>
          <t>Citroën</t>
        </is>
      </c>
      <c r="F17" s="2" t="inlineStr">
        <is>
          <t>Citroën C4</t>
        </is>
      </c>
      <c r="G17" s="2" t="inlineStr">
        <is>
          <t>1.6</t>
        </is>
      </c>
      <c r="H17" s="2" t="inlineStr">
        <is>
          <t>1.6HDI Cool 1.4</t>
        </is>
      </c>
      <c r="I17" s="2" t="n">
        <v>1560</v>
      </c>
      <c r="J17" s="2" t="n">
        <v>90</v>
      </c>
      <c r="K17" s="2" t="inlineStr">
        <is>
          <t>diesel</t>
        </is>
      </c>
      <c r="L17" s="2" t="inlineStr">
        <is>
          <t>compacto</t>
        </is>
      </c>
      <c r="M17" s="2" t="n">
        <v>2010</v>
      </c>
      <c r="N17" s="2" t="n">
        <v>206000</v>
      </c>
      <c r="O17" s="2" t="n">
        <v>4000</v>
      </c>
      <c r="P17" s="2" t="inlineStr">
        <is>
          <t>manual</t>
        </is>
      </c>
      <c r="Q17" s="2" t="inlineStr">
        <is>
          <t>no</t>
        </is>
      </c>
      <c r="R17" s="2" t="inlineStr">
        <is>
          <t>particular</t>
        </is>
      </c>
      <c r="S17" s="2" t="inlineStr">
        <is>
          <t>València (46018)</t>
        </is>
      </c>
      <c r="T17" s="2" t="n"/>
      <c r="U17" s="2" t="n">
        <v>7</v>
      </c>
      <c r="V17" s="2" t="inlineStr">
        <is>
          <t>sí</t>
        </is>
      </c>
      <c r="W17" s="2" t="inlineStr">
        <is>
          <t>sí</t>
        </is>
      </c>
      <c r="X17" s="2" t="n"/>
      <c r="Y17" s="2" t="n">
        <v>1</v>
      </c>
      <c r="Z17" s="2" t="n"/>
      <c r="AA17" s="2" t="n"/>
      <c r="AB17" s="2" t="n"/>
      <c r="AC17" s="2" t="n"/>
      <c r="AD17" s="2" t="n"/>
      <c r="AE17" s="2" t="n"/>
      <c r="AF17" s="2" t="n"/>
      <c r="AG17" s="2" t="n"/>
      <c r="AH17" s="2" t="n"/>
      <c r="AI17" s="2" t="n"/>
      <c r="AJ17" s="2" t="n"/>
      <c r="AK17" s="2" t="n"/>
      <c r="AL17" s="2" t="n"/>
      <c r="AM17" s="2" t="n">
        <v>2</v>
      </c>
      <c r="AN17" s="2" t="n"/>
      <c r="AO17" s="2" t="inlineStr">
        <is>
          <t>2010-02</t>
        </is>
      </c>
      <c r="AP17" s="2" t="n">
        <v>2010</v>
      </c>
      <c r="AQ17" s="2" t="n">
        <v>2</v>
      </c>
      <c r="AR17" s="2" t="n"/>
      <c r="AS17" s="2" t="inlineStr">
        <is>
          <t>regla</t>
        </is>
      </c>
      <c r="AT17" s="2" t="n">
        <v>4000</v>
      </c>
      <c r="AU17" s="2" t="n">
        <v>16</v>
      </c>
      <c r="AV17" s="2" t="inlineStr">
        <is>
          <t>modelo+año+km</t>
        </is>
      </c>
      <c r="AW17" s="2" t="n"/>
      <c r="AX17" s="2" t="inlineStr">
        <is>
          <t>cuota fija ITP: &gt;12 años, 1.501-2.000 cc; diésel: motor sin fuente de fiabilidad (fiabilidad limitada a neutra); fiabilidad del modelo PENDIENTE de fuente (puntuación neutra)</t>
        </is>
      </c>
      <c r="AY17" s="2" t="inlineStr">
        <is>
          <t>Mantenimiento al día. ITV en vigor (hasta abril de 2027). Neumáticos nuevos, pastillas y discos nuevos. Tela del techo interior nueva. &lt;br /&gt;&lt;br /&gt;Único propietario. &lt;br /&gt;&lt;br /&gt;Muy buen estado de chapa y pintura. &lt;br /&gt;&lt;br /&gt;Autorradio con pantalla táctil. &lt;br /&gt;&lt;br /&gt;Maletero amplio de 408 litros.</t>
        </is>
      </c>
      <c r="AZ17" s="2" t="inlineStr">
        <is>
          <t>https://www.autoscout24.es/anuncios/citroen-c4-1-6hdi-cool-diesel-cat_ma21mo18545-e18153a1-5cc8-4840-b81b-f019a8139379 (__NEXT_DATA__ listingDetails) /home/user/Alopecia/buscador-coches/raw/autoscout24/4cd37ca3cf3540bc.json</t>
        </is>
      </c>
      <c r="BA17" s="3">
        <f>MAX(ANIO_ACTUAL-M17,0)</f>
        <v/>
      </c>
      <c r="BB17" s="4">
        <f>N17/MAX(BA17,0.5)</f>
        <v/>
      </c>
      <c r="BC17" s="4">
        <f>F17</f>
        <v/>
      </c>
      <c r="BD17" s="3">
        <f>BC17&amp;"|"&amp;INT(M17/SEG_ANIO)*SEG_ANIO</f>
        <v/>
      </c>
      <c r="BE17" s="3">
        <f>BD17&amp;"|"&amp;INT(N17/SEG_KM)*SEG_KM</f>
        <v/>
      </c>
      <c r="BF17" s="4">
        <f>COUNTIF($BC$2:$BC$545,BC17)</f>
        <v/>
      </c>
      <c r="BG17" s="4">
        <f>COUNTIF($BD$2:$BD$545,BD17)</f>
        <v/>
      </c>
      <c r="BH17" s="4">
        <f>COUNTIF($BE$2:$BE$545,BE17)</f>
        <v/>
      </c>
      <c r="BI17" s="3">
        <f t="array" ref="BI17">IF(N(AU17)&gt;=MIN_N,AT17,IF(BH17&gt;=MIN_N,MEDIAN(IF($BE$2:$BE$545=BE17,$O$2:$O$545)),IF(BG17&gt;=MIN_N,MEDIAN(IF($BD$2:$BD$545=BD17,$O$2:$O$545)),MEDIAN(IF($BC$2:$BC$545=BC17,$O$2:$O$545)))))</f>
        <v/>
      </c>
      <c r="BJ17" s="3">
        <f>IF(N(AU17)&gt;=MIN_N,"mercado "&amp;AV17,IF(BH17&gt;=MIN_N,"modelo+año+km",IF(BG17&gt;=MIN_N,"modelo+año","modelo")))</f>
        <v/>
      </c>
      <c r="BK17" s="4">
        <f>(BI17-O17)/BI17</f>
        <v/>
      </c>
      <c r="BL17" s="3">
        <f>IF(COUNTIFS(FR_FUEL,K17,FR_YEAR,AP17)&gt;0,1,0)</f>
        <v/>
      </c>
      <c r="BM17" s="3">
        <f>IF(COUNTIFS(FR_FUEL,K17,FR_YEAR,AP17-1)&gt;0,1,0)</f>
        <v/>
      </c>
      <c r="BN17" s="4">
        <f>IF(N(AQ17)&gt;0,AP17*100+AQ17,IF(AND(BL17=1,BM17=1),(AP17-1)*100+1,AP17*100+1))</f>
        <v/>
      </c>
      <c r="BO17" s="3">
        <f>IF(OR(K17="hibrido",K17="glp",K17="gnc",K17="phev"),"ECO",IF(K17="electrico","CERO",IF(K17="gasolina",IF(BN17&gt;=GAS_C_YM,"C",IF(BN17&gt;=GAS_B_YM,"B","A")),IF(K17="diesel",IF(BN17&gt;=DIE_C_YM,"C",IF(BN17&gt;=DIE_B_YM,"B","A")),""))))</f>
        <v/>
      </c>
      <c r="BP17" s="4">
        <f>BO17</f>
        <v/>
      </c>
      <c r="BQ17" s="4">
        <f>IF(AS17="regla",IF(AND(N(AQ17)=0,BL17=1),"sí","no"),"no")</f>
        <v/>
      </c>
      <c r="BR17" s="3">
        <f>IFERROR(VLOOKUP(F17,MOD_TBL,11,0),IFERROR(VLOOKUP(E17,OCU_TBL,2,0),NEUTRO))</f>
        <v/>
      </c>
      <c r="BS17" s="3">
        <f>SUMIFS(MOT_AJUSTE,MOT_MOTOR,G17,MOT_MARCA,E17,MOT_DESDE,"&lt;="&amp;M17,MOT_HASTA,"&gt;="&amp;M17)+SUMIFS(MOT_AJUSTE,MOT_MOTOR,G17,MOT_MARCA,"(todas)",MOT_DESDE,"&lt;="&amp;M17,MOT_HASTA,"&gt;="&amp;M17)</f>
        <v/>
      </c>
      <c r="BT17" s="3">
        <f>SUMIFS(COMB_AJUSTE,COMB_COMB,K17)</f>
        <v/>
      </c>
      <c r="BU17" s="3">
        <f>COUNTIFS(MOT_MOTOR,G17,MOT_MARCA,E17,MOT_DESDE,"&lt;="&amp;M17,MOT_HASTA,"&gt;="&amp;M17)+COUNTIFS(MOT_MOTOR,G17,MOT_MARCA,"(todas)",MOT_DESDE,"&lt;="&amp;M17,MOT_HASTA,"&gt;="&amp;M17)</f>
        <v/>
      </c>
      <c r="BV17" s="3">
        <f>IF(AND(K17="diesel",BU17=0),MIN(BR17,NEUTRO),BR17)</f>
        <v/>
      </c>
      <c r="BW17" s="4">
        <f>MAX(0,MIN(100,BV17+BS17+BT17))</f>
        <v/>
      </c>
      <c r="BX17" s="3">
        <f>MAX(0,MIN(100,50+BK17*PRECIO_PEND))</f>
        <v/>
      </c>
      <c r="BY17" s="3">
        <f>MAX(0,100*(1-N17/KM_MAX))</f>
        <v/>
      </c>
      <c r="BZ17" s="3">
        <f>IF(BB17&lt;KMA_SOSP,IF(AA17="sí",100,KMA_PEN),IF(BB17&lt;=KMA_IDEAL_MAX,100,MAX(0,100*(KMA_CERO-BB17)/(KMA_CERO-KMA_IDEAL_MAX))))</f>
        <v/>
      </c>
      <c r="CA17" s="3">
        <f>MAX(0,MIN(100,100*(M17-ANIO_MIN)/(ANIO_ACTUAL-ANIO_MIN)))</f>
        <v/>
      </c>
      <c r="CB17" s="3">
        <f>W_KMT*BY17+W_KMA*BZ17+W_EDAD*CA17</f>
        <v/>
      </c>
      <c r="CC17" s="3">
        <f>P_ITV*(V17="sí")+P_LIBRO*(W17="sí")+P_CORREA*(X17="sí")+P_PROP*(Y17=1)+P_GAR*(Z17="sí")+P_FOTOS*MIN(1,N(U17)/FOTOS_OBJ)</f>
        <v/>
      </c>
      <c r="CD17" s="3">
        <f>MAX(0,MIN(100,IFERROR(VLOOKUP(BP17,ETQ_TBL,2,0),0)-IF(BQ17="sí",ETQ_PEN_DUD,IF(AS17="regla",ETQ_PEN_REGLA,0))))</f>
        <v/>
      </c>
      <c r="CE17" s="3">
        <f>NEUTRO</f>
        <v/>
      </c>
      <c r="CF17" s="3">
        <f>IFERROR(VLOOKUP(L17,SEGURO_TBL,3,0),"")</f>
        <v/>
      </c>
      <c r="CG17" s="3">
        <f>IF(CF17="",NEUTRO,MAX(0,MIN(100,100*(SEG_REF_MAX-CF17)/(SEG_REF_MAX-SEG_REF_MIN))))</f>
        <v/>
      </c>
      <c r="CH17" s="3">
        <f>W_CONS*CE17+W_SEG*CG17</f>
        <v/>
      </c>
      <c r="CI17" s="3">
        <f>IF(N(AB17)&gt;0,AB17,IF(AND(R17="profesional",SG_LEGAL_ON=1),GAR_LEGAL,0))</f>
        <v/>
      </c>
      <c r="CJ17" s="3">
        <f>SG_GAR*MIN(1,CI17/SG_GAR_FULL)+SG_AMPL*(AC17="sí")+SG_KMC*(AF17="sí")+SG_REV*(N(AE17)&gt;0)+SG_DEV*MIN(1,N(AG17)/SG_DEV_FULL)+SG_HIST*(W17="sí")</f>
        <v/>
      </c>
      <c r="CK17" s="3">
        <f>IFERROR(VLOOKUP(L17,CARR_PEN_TBL,2,0),0)</f>
        <v/>
      </c>
      <c r="CL17" s="3">
        <f>W_FIAB*BW17+W_PRECIO*BX17+W_KMEDAD*CB17+W_ANUNCIO*CC17+W_USO*CH17+W_SEGURIDAD*CJ17+W_ETIQUETA*CD17-CK17</f>
        <v/>
      </c>
      <c r="CM17" s="4">
        <f>IF(N(I17)&gt;0,I17,IFERROR(ROUND(_xlfn.NUMBERVALUE(LEFT(G17,FIND(" ",G17&amp;" ")-1),".")*1000,0),99999))</f>
        <v/>
      </c>
      <c r="CN17" s="3">
        <f>IF(R17="profesional",0,IF(O17&lt;CUOTA_VALOR_MAX,IF(BA17&gt;ITP_TRAMO_ALTO,SUMIFS(CF_CUOTA,CF_MAS,ITP_TRAMO_ALTO,CF_CCMIN,"&lt;="&amp;CM17,CF_CCMAX,"&gt;="&amp;CM17),IF(BA17&gt;ITP_TRAMO_BAJO,SUMIFS(CF_CUOTA,CF_MAS,ITP_TRAMO_BAJO,CF_CCMIN,"&lt;="&amp;CM17,CF_CCMAX,"&gt;="&amp;CM17),O17*ITP_TIPO)),O17*ITP_TIPO))</f>
        <v/>
      </c>
      <c r="CO17" s="4">
        <f>IF(R17="profesional",N(AK17),0)</f>
        <v/>
      </c>
      <c r="CP17" s="3">
        <f>IF(AND(R17="profesional",ISNUMBER(AK17),AL17="sí"),0,TASA_DGT)</f>
        <v/>
      </c>
      <c r="CQ17" s="3">
        <f>INFORME_DGT</f>
        <v/>
      </c>
      <c r="CR17" s="4">
        <f>O17+CO17+CN17+CP17+CQ17</f>
        <v/>
      </c>
      <c r="CS17" s="4">
        <f>CR17+N(CF17)</f>
        <v/>
      </c>
      <c r="CT17" s="3">
        <f>IF(CR17&lt;=TOTAL_MAX,"sí",IF(CR17&lt;=TOTAL_MAX+MARGEN_NEG,"negociar","no"))</f>
        <v/>
      </c>
      <c r="CU17" s="4">
        <f>IF(CT17&lt;&gt;"no",COUNTIFS($CT$2:$CT$545,"&lt;&gt;no",$CL$2:$CL$545,"&gt;"&amp;CL17)+COUNTIFS($CT$2:CT17,"&lt;&gt;no",$CL$2:CL17,CL17),"")</f>
        <v/>
      </c>
    </row>
    <row r="18">
      <c r="A18" s="2" t="inlineStr">
        <is>
          <t>wallapop:1313427276</t>
        </is>
      </c>
      <c r="B18" s="2" t="inlineStr">
        <is>
          <t>wallapop</t>
        </is>
      </c>
      <c r="C18" s="2" t="inlineStr">
        <is>
          <t>https://es.wallapop.com/item/ford-fiesta-ford-fiesta-1-3-ambiente-1313427276</t>
        </is>
      </c>
      <c r="D18" s="2" t="inlineStr">
        <is>
          <t>Ford Fiesta Ford Fiesta 1.3 Ambiente</t>
        </is>
      </c>
      <c r="E18" s="2" t="inlineStr">
        <is>
          <t>Ford</t>
        </is>
      </c>
      <c r="F18" s="2" t="inlineStr">
        <is>
          <t>Ford Fiesta</t>
        </is>
      </c>
      <c r="G18" s="2" t="inlineStr">
        <is>
          <t>1.3</t>
        </is>
      </c>
      <c r="H18" s="2" t="inlineStr">
        <is>
          <t>Ford Fiesta 1.3 Ambiente</t>
        </is>
      </c>
      <c r="I18" s="2" t="n"/>
      <c r="J18" s="2" t="n">
        <v>70</v>
      </c>
      <c r="K18" s="2" t="inlineStr">
        <is>
          <t>gasolina</t>
        </is>
      </c>
      <c r="L18" s="2" t="inlineStr">
        <is>
          <t>utilitario</t>
        </is>
      </c>
      <c r="M18" s="2" t="n">
        <v>2008</v>
      </c>
      <c r="N18" s="2" t="n">
        <v>82000</v>
      </c>
      <c r="O18" s="2" t="n">
        <v>3500</v>
      </c>
      <c r="P18" s="2" t="inlineStr">
        <is>
          <t>manual</t>
        </is>
      </c>
      <c r="Q18" s="2" t="inlineStr">
        <is>
          <t>no</t>
        </is>
      </c>
      <c r="R18" s="2" t="inlineStr">
        <is>
          <t>profesional</t>
        </is>
      </c>
      <c r="S18" s="2" t="inlineStr">
        <is>
          <t>Manises (46940)</t>
        </is>
      </c>
      <c r="T18" s="2" t="inlineStr">
        <is>
          <t>2026-10-30T18:10:07</t>
        </is>
      </c>
      <c r="U18" s="2" t="n">
        <v>9</v>
      </c>
      <c r="V18" s="2" t="n"/>
      <c r="W18" s="2" t="n"/>
      <c r="X18" s="2" t="n"/>
      <c r="Y18" s="2" t="n"/>
      <c r="Z18" s="2" t="n"/>
      <c r="AA18" s="2" t="n"/>
      <c r="AB18" s="2" t="n"/>
      <c r="AC18" s="2" t="n"/>
      <c r="AD18" s="2" t="n"/>
      <c r="AE18" s="2" t="n"/>
      <c r="AF18" s="2" t="n"/>
      <c r="AG18" s="2" t="n"/>
      <c r="AH18" s="2" t="n"/>
      <c r="AI18" s="2" t="n"/>
      <c r="AJ18" s="2" t="n"/>
      <c r="AK18" s="2" t="n"/>
      <c r="AL18" s="2" t="n"/>
      <c r="AM18" s="2" t="n">
        <v>7.2</v>
      </c>
      <c r="AN18" s="2" t="n"/>
      <c r="AO18" s="2" t="inlineStr">
        <is>
          <t>2008</t>
        </is>
      </c>
      <c r="AP18" s="2" t="n">
        <v>2008</v>
      </c>
      <c r="AQ18" s="2" t="n"/>
      <c r="AR18" s="2" t="n"/>
      <c r="AS18" s="2" t="inlineStr">
        <is>
          <t>regla</t>
        </is>
      </c>
      <c r="AT18" s="2" t="n">
        <v>3500</v>
      </c>
      <c r="AU18" s="2" t="n">
        <v>47</v>
      </c>
      <c r="AV18" s="2" t="inlineStr">
        <is>
          <t>modelo+año</t>
        </is>
      </c>
      <c r="AW18" s="2" t="inlineStr">
        <is>
          <t>autoscout24:cb47557d-00cb-449b-8153-e5de1e64bdaf (https://www.autoscout24.es/anuncios/ford-fiesta-1-3-ambiente-gasolina-gris-cat_ma29mo1758-cb47557d-00cb-449b-8153-e5de1e64bdaf)</t>
        </is>
      </c>
      <c r="AX18" s="2" t="inlineStr">
        <is>
          <t>vendedor profesional: sin ITP (operación con IVA/REBU, confirmar en factura); gastos de gestión del vendedor no indicados: se suma la tasa DGT; preguntar el precio final</t>
        </is>
      </c>
      <c r="AY18" s="2" t="inlineStr">
        <is>
          <t>🔹- con posibilidad de financiar desde 🔹79€ al mes-🤝🚗
🔹-Ford fiesta 2008 
🔹-1.3 60cv gasolina( a cadena)
🔹-82.000 kilómetros 
🔹-se entrega totalmente al día
🔹- 1 año de garantía 
🔺-3.500€🔻
-SE ACEPTA COCHE INFERIOR COMO PARTE DE PAGO!!🤝🚗
-tiktok @eurocochesmanival
-instam eloy_manival 
(Mini,208,Clío,micra,Ibiza,kalos,picanto,i10,i20,Mazda 2,Golf,polo,a3,Leon,Ibiza,i30,Astra,Megane,307)</t>
        </is>
      </c>
      <c r="AZ18" s="2" t="inlineStr">
        <is>
          <t>https://es.wallapop.com/item/ford-fiesta-ford-fiesta-1-3-ambiente-1313427276 (__NEXT_DATA__ item) /home/user/Alopecia/buscador-coches/raw/wallapop/564731e59dcd7515.json</t>
        </is>
      </c>
      <c r="BA18" s="3">
        <f>MAX(ANIO_ACTUAL-M18,0)</f>
        <v/>
      </c>
      <c r="BB18" s="4">
        <f>N18/MAX(BA18,0.5)</f>
        <v/>
      </c>
      <c r="BC18" s="4">
        <f>F18</f>
        <v/>
      </c>
      <c r="BD18" s="3">
        <f>BC18&amp;"|"&amp;INT(M18/SEG_ANIO)*SEG_ANIO</f>
        <v/>
      </c>
      <c r="BE18" s="3">
        <f>BD18&amp;"|"&amp;INT(N18/SEG_KM)*SEG_KM</f>
        <v/>
      </c>
      <c r="BF18" s="4">
        <f>COUNTIF($BC$2:$BC$545,BC18)</f>
        <v/>
      </c>
      <c r="BG18" s="4">
        <f>COUNTIF($BD$2:$BD$545,BD18)</f>
        <v/>
      </c>
      <c r="BH18" s="4">
        <f>COUNTIF($BE$2:$BE$545,BE18)</f>
        <v/>
      </c>
      <c r="BI18" s="3">
        <f t="array" ref="BI18">IF(N(AU18)&gt;=MIN_N,AT18,IF(BH18&gt;=MIN_N,MEDIAN(IF($BE$2:$BE$545=BE18,$O$2:$O$545)),IF(BG18&gt;=MIN_N,MEDIAN(IF($BD$2:$BD$545=BD18,$O$2:$O$545)),MEDIAN(IF($BC$2:$BC$545=BC18,$O$2:$O$545)))))</f>
        <v/>
      </c>
      <c r="BJ18" s="3">
        <f>IF(N(AU18)&gt;=MIN_N,"mercado "&amp;AV18,IF(BH18&gt;=MIN_N,"modelo+año+km",IF(BG18&gt;=MIN_N,"modelo+año","modelo")))</f>
        <v/>
      </c>
      <c r="BK18" s="4">
        <f>(BI18-O18)/BI18</f>
        <v/>
      </c>
      <c r="BL18" s="3">
        <f>IF(COUNTIFS(FR_FUEL,K18,FR_YEAR,AP18)&gt;0,1,0)</f>
        <v/>
      </c>
      <c r="BM18" s="3">
        <f>IF(COUNTIFS(FR_FUEL,K18,FR_YEAR,AP18-1)&gt;0,1,0)</f>
        <v/>
      </c>
      <c r="BN18" s="4">
        <f>IF(N(AQ18)&gt;0,AP18*100+AQ18,IF(AND(BL18=1,BM18=1),(AP18-1)*100+1,AP18*100+1))</f>
        <v/>
      </c>
      <c r="BO18" s="3">
        <f>IF(OR(K18="hibrido",K18="glp",K18="gnc",K18="phev"),"ECO",IF(K18="electrico","CERO",IF(K18="gasolina",IF(BN18&gt;=GAS_C_YM,"C",IF(BN18&gt;=GAS_B_YM,"B","A")),IF(K18="diesel",IF(BN18&gt;=DIE_C_YM,"C",IF(BN18&gt;=DIE_B_YM,"B","A")),""))))</f>
        <v/>
      </c>
      <c r="BP18" s="4">
        <f>BO18</f>
        <v/>
      </c>
      <c r="BQ18" s="4">
        <f>IF(AS18="regla",IF(AND(N(AQ18)=0,BL18=1),"sí","no"),"no")</f>
        <v/>
      </c>
      <c r="BR18" s="3">
        <f>IFERROR(VLOOKUP(F18,MOD_TBL,11,0),IFERROR(VLOOKUP(E18,OCU_TBL,2,0),NEUTRO))</f>
        <v/>
      </c>
      <c r="BS18" s="3">
        <f>SUMIFS(MOT_AJUSTE,MOT_MOTOR,G18,MOT_MARCA,E18,MOT_DESDE,"&lt;="&amp;M18,MOT_HASTA,"&gt;="&amp;M18)+SUMIFS(MOT_AJUSTE,MOT_MOTOR,G18,MOT_MARCA,"(todas)",MOT_DESDE,"&lt;="&amp;M18,MOT_HASTA,"&gt;="&amp;M18)</f>
        <v/>
      </c>
      <c r="BT18" s="3">
        <f>SUMIFS(COMB_AJUSTE,COMB_COMB,K18)</f>
        <v/>
      </c>
      <c r="BU18" s="3">
        <f>COUNTIFS(MOT_MOTOR,G18,MOT_MARCA,E18,MOT_DESDE,"&lt;="&amp;M18,MOT_HASTA,"&gt;="&amp;M18)+COUNTIFS(MOT_MOTOR,G18,MOT_MARCA,"(todas)",MOT_DESDE,"&lt;="&amp;M18,MOT_HASTA,"&gt;="&amp;M18)</f>
        <v/>
      </c>
      <c r="BV18" s="3">
        <f>IF(AND(K18="diesel",BU18=0),MIN(BR18,NEUTRO),BR18)</f>
        <v/>
      </c>
      <c r="BW18" s="4">
        <f>MAX(0,MIN(100,BV18+BS18+BT18))</f>
        <v/>
      </c>
      <c r="BX18" s="3">
        <f>MAX(0,MIN(100,50+BK18*PRECIO_PEND))</f>
        <v/>
      </c>
      <c r="BY18" s="3">
        <f>MAX(0,100*(1-N18/KM_MAX))</f>
        <v/>
      </c>
      <c r="BZ18" s="3">
        <f>IF(BB18&lt;KMA_SOSP,IF(AA18="sí",100,KMA_PEN),IF(BB18&lt;=KMA_IDEAL_MAX,100,MAX(0,100*(KMA_CERO-BB18)/(KMA_CERO-KMA_IDEAL_MAX))))</f>
        <v/>
      </c>
      <c r="CA18" s="3">
        <f>MAX(0,MIN(100,100*(M18-ANIO_MIN)/(ANIO_ACTUAL-ANIO_MIN)))</f>
        <v/>
      </c>
      <c r="CB18" s="3">
        <f>W_KMT*BY18+W_KMA*BZ18+W_EDAD*CA18</f>
        <v/>
      </c>
      <c r="CC18" s="3">
        <f>P_ITV*(V18="sí")+P_LIBRO*(W18="sí")+P_CORREA*(X18="sí")+P_PROP*(Y18=1)+P_GAR*(Z18="sí")+P_FOTOS*MIN(1,N(U18)/FOTOS_OBJ)</f>
        <v/>
      </c>
      <c r="CD18" s="3">
        <f>MAX(0,MIN(100,IFERROR(VLOOKUP(BP18,ETQ_TBL,2,0),0)-IF(BQ18="sí",ETQ_PEN_DUD,IF(AS18="regla",ETQ_PEN_REGLA,0))))</f>
        <v/>
      </c>
      <c r="CE18" s="3">
        <f>NEUTRO</f>
        <v/>
      </c>
      <c r="CF18" s="3">
        <f>IFERROR(VLOOKUP(L18,SEGURO_TBL,3,0),"")</f>
        <v/>
      </c>
      <c r="CG18" s="3">
        <f>IF(CF18="",NEUTRO,MAX(0,MIN(100,100*(SEG_REF_MAX-CF18)/(SEG_REF_MAX-SEG_REF_MIN))))</f>
        <v/>
      </c>
      <c r="CH18" s="3">
        <f>W_CONS*CE18+W_SEG*CG18</f>
        <v/>
      </c>
      <c r="CI18" s="3">
        <f>IF(N(AB18)&gt;0,AB18,IF(AND(R18="profesional",SG_LEGAL_ON=1),GAR_LEGAL,0))</f>
        <v/>
      </c>
      <c r="CJ18" s="3">
        <f>SG_GAR*MIN(1,CI18/SG_GAR_FULL)+SG_AMPL*(AC18="sí")+SG_KMC*(AF18="sí")+SG_REV*(N(AE18)&gt;0)+SG_DEV*MIN(1,N(AG18)/SG_DEV_FULL)+SG_HIST*(W18="sí")</f>
        <v/>
      </c>
      <c r="CK18" s="3">
        <f>IFERROR(VLOOKUP(L18,CARR_PEN_TBL,2,0),0)</f>
        <v/>
      </c>
      <c r="CL18" s="3">
        <f>W_FIAB*BW18+W_PRECIO*BX18+W_KMEDAD*CB18+W_ANUNCIO*CC18+W_USO*CH18+W_SEGURIDAD*CJ18+W_ETIQUETA*CD18-CK18</f>
        <v/>
      </c>
      <c r="CM18" s="4">
        <f>IF(N(I18)&gt;0,I18,IFERROR(ROUND(_xlfn.NUMBERVALUE(LEFT(G18,FIND(" ",G18&amp;" ")-1),".")*1000,0),99999))</f>
        <v/>
      </c>
      <c r="CN18" s="3">
        <f>IF(R18="profesional",0,IF(O18&lt;CUOTA_VALOR_MAX,IF(BA18&gt;ITP_TRAMO_ALTO,SUMIFS(CF_CUOTA,CF_MAS,ITP_TRAMO_ALTO,CF_CCMIN,"&lt;="&amp;CM18,CF_CCMAX,"&gt;="&amp;CM18),IF(BA18&gt;ITP_TRAMO_BAJO,SUMIFS(CF_CUOTA,CF_MAS,ITP_TRAMO_BAJO,CF_CCMIN,"&lt;="&amp;CM18,CF_CCMAX,"&gt;="&amp;CM18),O18*ITP_TIPO)),O18*ITP_TIPO))</f>
        <v/>
      </c>
      <c r="CO18" s="4">
        <f>IF(R18="profesional",N(AK18),0)</f>
        <v/>
      </c>
      <c r="CP18" s="3">
        <f>IF(AND(R18="profesional",ISNUMBER(AK18),AL18="sí"),0,TASA_DGT)</f>
        <v/>
      </c>
      <c r="CQ18" s="3">
        <f>INFORME_DGT</f>
        <v/>
      </c>
      <c r="CR18" s="4">
        <f>O18+CO18+CN18+CP18+CQ18</f>
        <v/>
      </c>
      <c r="CS18" s="4">
        <f>CR18+N(CF18)</f>
        <v/>
      </c>
      <c r="CT18" s="3">
        <f>IF(CR18&lt;=TOTAL_MAX,"sí",IF(CR18&lt;=TOTAL_MAX+MARGEN_NEG,"negociar","no"))</f>
        <v/>
      </c>
      <c r="CU18" s="4">
        <f>IF(CT18&lt;&gt;"no",COUNTIFS($CT$2:$CT$545,"&lt;&gt;no",$CL$2:$CL$545,"&gt;"&amp;CL18)+COUNTIFS($CT$2:CT18,"&lt;&gt;no",$CL$2:CL18,CL18),"")</f>
        <v/>
      </c>
    </row>
    <row r="19">
      <c r="A19" s="2" t="inlineStr">
        <is>
          <t>autoscout24:a57f66ac-145f-4765-9ec5-fb1cfb789a07</t>
        </is>
      </c>
      <c r="B19" s="2" t="inlineStr">
        <is>
          <t>autoscout24</t>
        </is>
      </c>
      <c r="C19" s="2" t="inlineStr">
        <is>
          <t>https://www.autoscout24.es/anuncios/ford-ka-ka+-ka-1-30tdci-titanium+-diesel-cat_ma29mo1761-a57f66ac-145f-4765-9ec5-fb1cfb789a07</t>
        </is>
      </c>
      <c r="D19" s="2" t="inlineStr">
        <is>
          <t>Ford Ka/Ka+ Ka 1.30TDCi Titanium+</t>
        </is>
      </c>
      <c r="E19" s="2" t="inlineStr">
        <is>
          <t>Ford</t>
        </is>
      </c>
      <c r="F19" s="2" t="inlineStr">
        <is>
          <t>Ford Ka</t>
        </is>
      </c>
      <c r="G19" s="2" t="inlineStr">
        <is>
          <t>1.2 TDCi</t>
        </is>
      </c>
      <c r="H19" s="2" t="inlineStr">
        <is>
          <t>Ka 1.30TDCi Titanium+ 1.3 TDCi</t>
        </is>
      </c>
      <c r="I19" s="2" t="n">
        <v>1248</v>
      </c>
      <c r="J19" s="2" t="n">
        <v>75</v>
      </c>
      <c r="K19" s="2" t="inlineStr">
        <is>
          <t>diesel</t>
        </is>
      </c>
      <c r="L19" s="2" t="inlineStr">
        <is>
          <t>utilitario</t>
        </is>
      </c>
      <c r="M19" s="2" t="n">
        <v>2010</v>
      </c>
      <c r="N19" s="2" t="n">
        <v>172730</v>
      </c>
      <c r="O19" s="2" t="n">
        <v>3500</v>
      </c>
      <c r="P19" s="2" t="inlineStr">
        <is>
          <t>manual</t>
        </is>
      </c>
      <c r="Q19" s="2" t="inlineStr">
        <is>
          <t>no</t>
        </is>
      </c>
      <c r="R19" s="2" t="inlineStr">
        <is>
          <t>particular</t>
        </is>
      </c>
      <c r="S19" s="2" t="inlineStr">
        <is>
          <t>Riba-roja de Túria (46190)</t>
        </is>
      </c>
      <c r="T19" s="2" t="n"/>
      <c r="U19" s="2" t="n">
        <v>8</v>
      </c>
      <c r="V19" s="2" t="n"/>
      <c r="W19" s="2" t="n"/>
      <c r="X19" s="2" t="n"/>
      <c r="Y19" s="2" t="n"/>
      <c r="Z19" s="2" t="n"/>
      <c r="AA19" s="2" t="n"/>
      <c r="AB19" s="2" t="n"/>
      <c r="AC19" s="2" t="n"/>
      <c r="AD19" s="2" t="n"/>
      <c r="AE19" s="2" t="n"/>
      <c r="AF19" s="2" t="n"/>
      <c r="AG19" s="2" t="n"/>
      <c r="AH19" s="2" t="n"/>
      <c r="AI19" s="2" t="n"/>
      <c r="AJ19" s="2" t="n"/>
      <c r="AK19" s="2" t="n"/>
      <c r="AL19" s="2" t="n"/>
      <c r="AM19" s="2" t="n">
        <v>18.4</v>
      </c>
      <c r="AN19" s="2" t="n"/>
      <c r="AO19" s="2" t="inlineStr">
        <is>
          <t>2010-11</t>
        </is>
      </c>
      <c r="AP19" s="2" t="n">
        <v>2010</v>
      </c>
      <c r="AQ19" s="2" t="n">
        <v>11</v>
      </c>
      <c r="AR19" s="2" t="n"/>
      <c r="AS19" s="2" t="inlineStr">
        <is>
          <t>regla</t>
        </is>
      </c>
      <c r="AT19" s="2" t="n">
        <v>3000</v>
      </c>
      <c r="AU19" s="2" t="n">
        <v>9</v>
      </c>
      <c r="AV19" s="2" t="inlineStr">
        <is>
          <t>modelo+año</t>
        </is>
      </c>
      <c r="AW19" s="2" t="n"/>
      <c r="AX19" s="2" t="inlineStr">
        <is>
          <t>cuota fija ITP: &gt;12 años, hasta 1.500 cc; diésel: motor sin fuente de fiabilidad (fiabilidad limitada a neutra); fiabilidad del modelo PENDIENTE de fuente (puntuación neutra)</t>
        </is>
      </c>
      <c r="AY19" s="2" t="inlineStr">
        <is>
          <t>Mecánica e historial impecables con todas sus facturas. Solo detalles estéticos de uso exterior. Ford Ka en Valencia</t>
        </is>
      </c>
      <c r="AZ19" s="2" t="inlineStr">
        <is>
          <t>https://www.autoscout24.es/anuncios/ford-ka-ka+-ka-1-30tdci-titanium+-diesel-cat_ma29mo1761-a57f66ac-145f-4765-9ec5-fb1cfb789a07 (__NEXT_DATA__ listingDetails) /home/user/Alopecia/buscador-coches/raw/autoscout24/18605a6df58af184.json</t>
        </is>
      </c>
      <c r="BA19" s="3">
        <f>MAX(ANIO_ACTUAL-M19,0)</f>
        <v/>
      </c>
      <c r="BB19" s="4">
        <f>N19/MAX(BA19,0.5)</f>
        <v/>
      </c>
      <c r="BC19" s="4">
        <f>F19</f>
        <v/>
      </c>
      <c r="BD19" s="3">
        <f>BC19&amp;"|"&amp;INT(M19/SEG_ANIO)*SEG_ANIO</f>
        <v/>
      </c>
      <c r="BE19" s="3">
        <f>BD19&amp;"|"&amp;INT(N19/SEG_KM)*SEG_KM</f>
        <v/>
      </c>
      <c r="BF19" s="4">
        <f>COUNTIF($BC$2:$BC$545,BC19)</f>
        <v/>
      </c>
      <c r="BG19" s="4">
        <f>COUNTIF($BD$2:$BD$545,BD19)</f>
        <v/>
      </c>
      <c r="BH19" s="4">
        <f>COUNTIF($BE$2:$BE$545,BE19)</f>
        <v/>
      </c>
      <c r="BI19" s="3">
        <f t="array" ref="BI19">IF(N(AU19)&gt;=MIN_N,AT19,IF(BH19&gt;=MIN_N,MEDIAN(IF($BE$2:$BE$545=BE19,$O$2:$O$545)),IF(BG19&gt;=MIN_N,MEDIAN(IF($BD$2:$BD$545=BD19,$O$2:$O$545)),MEDIAN(IF($BC$2:$BC$545=BC19,$O$2:$O$545)))))</f>
        <v/>
      </c>
      <c r="BJ19" s="3">
        <f>IF(N(AU19)&gt;=MIN_N,"mercado "&amp;AV19,IF(BH19&gt;=MIN_N,"modelo+año+km",IF(BG19&gt;=MIN_N,"modelo+año","modelo")))</f>
        <v/>
      </c>
      <c r="BK19" s="4">
        <f>(BI19-O19)/BI19</f>
        <v/>
      </c>
      <c r="BL19" s="3">
        <f>IF(COUNTIFS(FR_FUEL,K19,FR_YEAR,AP19)&gt;0,1,0)</f>
        <v/>
      </c>
      <c r="BM19" s="3">
        <f>IF(COUNTIFS(FR_FUEL,K19,FR_YEAR,AP19-1)&gt;0,1,0)</f>
        <v/>
      </c>
      <c r="BN19" s="4">
        <f>IF(N(AQ19)&gt;0,AP19*100+AQ19,IF(AND(BL19=1,BM19=1),(AP19-1)*100+1,AP19*100+1))</f>
        <v/>
      </c>
      <c r="BO19" s="3">
        <f>IF(OR(K19="hibrido",K19="glp",K19="gnc",K19="phev"),"ECO",IF(K19="electrico","CERO",IF(K19="gasolina",IF(BN19&gt;=GAS_C_YM,"C",IF(BN19&gt;=GAS_B_YM,"B","A")),IF(K19="diesel",IF(BN19&gt;=DIE_C_YM,"C",IF(BN19&gt;=DIE_B_YM,"B","A")),""))))</f>
        <v/>
      </c>
      <c r="BP19" s="4">
        <f>BO19</f>
        <v/>
      </c>
      <c r="BQ19" s="4">
        <f>IF(AS19="regla",IF(AND(N(AQ19)=0,BL19=1),"sí","no"),"no")</f>
        <v/>
      </c>
      <c r="BR19" s="3">
        <f>IFERROR(VLOOKUP(F19,MOD_TBL,11,0),IFERROR(VLOOKUP(E19,OCU_TBL,2,0),NEUTRO))</f>
        <v/>
      </c>
      <c r="BS19" s="3">
        <f>SUMIFS(MOT_AJUSTE,MOT_MOTOR,G19,MOT_MARCA,E19,MOT_DESDE,"&lt;="&amp;M19,MOT_HASTA,"&gt;="&amp;M19)+SUMIFS(MOT_AJUSTE,MOT_MOTOR,G19,MOT_MARCA,"(todas)",MOT_DESDE,"&lt;="&amp;M19,MOT_HASTA,"&gt;="&amp;M19)</f>
        <v/>
      </c>
      <c r="BT19" s="3">
        <f>SUMIFS(COMB_AJUSTE,COMB_COMB,K19)</f>
        <v/>
      </c>
      <c r="BU19" s="3">
        <f>COUNTIFS(MOT_MOTOR,G19,MOT_MARCA,E19,MOT_DESDE,"&lt;="&amp;M19,MOT_HASTA,"&gt;="&amp;M19)+COUNTIFS(MOT_MOTOR,G19,MOT_MARCA,"(todas)",MOT_DESDE,"&lt;="&amp;M19,MOT_HASTA,"&gt;="&amp;M19)</f>
        <v/>
      </c>
      <c r="BV19" s="3">
        <f>IF(AND(K19="diesel",BU19=0),MIN(BR19,NEUTRO),BR19)</f>
        <v/>
      </c>
      <c r="BW19" s="4">
        <f>MAX(0,MIN(100,BV19+BS19+BT19))</f>
        <v/>
      </c>
      <c r="BX19" s="3">
        <f>MAX(0,MIN(100,50+BK19*PRECIO_PEND))</f>
        <v/>
      </c>
      <c r="BY19" s="3">
        <f>MAX(0,100*(1-N19/KM_MAX))</f>
        <v/>
      </c>
      <c r="BZ19" s="3">
        <f>IF(BB19&lt;KMA_SOSP,IF(AA19="sí",100,KMA_PEN),IF(BB19&lt;=KMA_IDEAL_MAX,100,MAX(0,100*(KMA_CERO-BB19)/(KMA_CERO-KMA_IDEAL_MAX))))</f>
        <v/>
      </c>
      <c r="CA19" s="3">
        <f>MAX(0,MIN(100,100*(M19-ANIO_MIN)/(ANIO_ACTUAL-ANIO_MIN)))</f>
        <v/>
      </c>
      <c r="CB19" s="3">
        <f>W_KMT*BY19+W_KMA*BZ19+W_EDAD*CA19</f>
        <v/>
      </c>
      <c r="CC19" s="3">
        <f>P_ITV*(V19="sí")+P_LIBRO*(W19="sí")+P_CORREA*(X19="sí")+P_PROP*(Y19=1)+P_GAR*(Z19="sí")+P_FOTOS*MIN(1,N(U19)/FOTOS_OBJ)</f>
        <v/>
      </c>
      <c r="CD19" s="3">
        <f>MAX(0,MIN(100,IFERROR(VLOOKUP(BP19,ETQ_TBL,2,0),0)-IF(BQ19="sí",ETQ_PEN_DUD,IF(AS19="regla",ETQ_PEN_REGLA,0))))</f>
        <v/>
      </c>
      <c r="CE19" s="3">
        <f>NEUTRO</f>
        <v/>
      </c>
      <c r="CF19" s="3">
        <f>IFERROR(VLOOKUP(L19,SEGURO_TBL,3,0),"")</f>
        <v/>
      </c>
      <c r="CG19" s="3">
        <f>IF(CF19="",NEUTRO,MAX(0,MIN(100,100*(SEG_REF_MAX-CF19)/(SEG_REF_MAX-SEG_REF_MIN))))</f>
        <v/>
      </c>
      <c r="CH19" s="3">
        <f>W_CONS*CE19+W_SEG*CG19</f>
        <v/>
      </c>
      <c r="CI19" s="3">
        <f>IF(N(AB19)&gt;0,AB19,IF(AND(R19="profesional",SG_LEGAL_ON=1),GAR_LEGAL,0))</f>
        <v/>
      </c>
      <c r="CJ19" s="3">
        <f>SG_GAR*MIN(1,CI19/SG_GAR_FULL)+SG_AMPL*(AC19="sí")+SG_KMC*(AF19="sí")+SG_REV*(N(AE19)&gt;0)+SG_DEV*MIN(1,N(AG19)/SG_DEV_FULL)+SG_HIST*(W19="sí")</f>
        <v/>
      </c>
      <c r="CK19" s="3">
        <f>IFERROR(VLOOKUP(L19,CARR_PEN_TBL,2,0),0)</f>
        <v/>
      </c>
      <c r="CL19" s="3">
        <f>W_FIAB*BW19+W_PRECIO*BX19+W_KMEDAD*CB19+W_ANUNCIO*CC19+W_USO*CH19+W_SEGURIDAD*CJ19+W_ETIQUETA*CD19-CK19</f>
        <v/>
      </c>
      <c r="CM19" s="4">
        <f>IF(N(I19)&gt;0,I19,IFERROR(ROUND(_xlfn.NUMBERVALUE(LEFT(G19,FIND(" ",G19&amp;" ")-1),".")*1000,0),99999))</f>
        <v/>
      </c>
      <c r="CN19" s="3">
        <f>IF(R19="profesional",0,IF(O19&lt;CUOTA_VALOR_MAX,IF(BA19&gt;ITP_TRAMO_ALTO,SUMIFS(CF_CUOTA,CF_MAS,ITP_TRAMO_ALTO,CF_CCMIN,"&lt;="&amp;CM19,CF_CCMAX,"&gt;="&amp;CM19),IF(BA19&gt;ITP_TRAMO_BAJO,SUMIFS(CF_CUOTA,CF_MAS,ITP_TRAMO_BAJO,CF_CCMIN,"&lt;="&amp;CM19,CF_CCMAX,"&gt;="&amp;CM19),O19*ITP_TIPO)),O19*ITP_TIPO))</f>
        <v/>
      </c>
      <c r="CO19" s="4">
        <f>IF(R19="profesional",N(AK19),0)</f>
        <v/>
      </c>
      <c r="CP19" s="3">
        <f>IF(AND(R19="profesional",ISNUMBER(AK19),AL19="sí"),0,TASA_DGT)</f>
        <v/>
      </c>
      <c r="CQ19" s="3">
        <f>INFORME_DGT</f>
        <v/>
      </c>
      <c r="CR19" s="4">
        <f>O19+CO19+CN19+CP19+CQ19</f>
        <v/>
      </c>
      <c r="CS19" s="4">
        <f>CR19+N(CF19)</f>
        <v/>
      </c>
      <c r="CT19" s="3">
        <f>IF(CR19&lt;=TOTAL_MAX,"sí",IF(CR19&lt;=TOTAL_MAX+MARGEN_NEG,"negociar","no"))</f>
        <v/>
      </c>
      <c r="CU19" s="4">
        <f>IF(CT19&lt;&gt;"no",COUNTIFS($CT$2:$CT$545,"&lt;&gt;no",$CL$2:$CL$545,"&gt;"&amp;CL19)+COUNTIFS($CT$2:CT19,"&lt;&gt;no",$CL$2:CL19,CL19),"")</f>
        <v/>
      </c>
    </row>
    <row r="20">
      <c r="A20" s="2" t="inlineStr">
        <is>
          <t>autoscout24:c0e51c94-8ec0-4a36-8134-caae0331b183</t>
        </is>
      </c>
      <c r="B20" s="2" t="inlineStr">
        <is>
          <t>autoscout24</t>
        </is>
      </c>
      <c r="C20" s="2" t="inlineStr">
        <is>
          <t>https://www.autoscout24.es/anuncios/fiat-punto-punto-1-2-feel-classic-feel-classic-gasolina-rojo-cat_ma28mo1747-c0e51c94-8ec0-4a36-8134-caae0331b183</t>
        </is>
      </c>
      <c r="D20" s="2" t="inlineStr">
        <is>
          <t>Fiat Punto Punto 1.2 Feel/Classic Feel/Classic</t>
        </is>
      </c>
      <c r="E20" s="2" t="inlineStr">
        <is>
          <t>Fiat</t>
        </is>
      </c>
      <c r="F20" s="2" t="inlineStr">
        <is>
          <t>Fiat Punto</t>
        </is>
      </c>
      <c r="G20" s="2" t="inlineStr">
        <is>
          <t>1.2</t>
        </is>
      </c>
      <c r="H20" s="2" t="inlineStr">
        <is>
          <t>Punto 1.2 Feel/Classic Feel/Classic 1.2 8V</t>
        </is>
      </c>
      <c r="I20" s="2" t="n">
        <v>1242</v>
      </c>
      <c r="J20" s="2" t="n">
        <v>60</v>
      </c>
      <c r="K20" s="2" t="inlineStr">
        <is>
          <t>gasolina</t>
        </is>
      </c>
      <c r="L20" s="2" t="inlineStr">
        <is>
          <t>utilitario</t>
        </is>
      </c>
      <c r="M20" s="2" t="n">
        <v>2009</v>
      </c>
      <c r="N20" s="2" t="n">
        <v>114000</v>
      </c>
      <c r="O20" s="2" t="n">
        <v>3900</v>
      </c>
      <c r="P20" s="2" t="inlineStr">
        <is>
          <t>manual</t>
        </is>
      </c>
      <c r="Q20" s="2" t="inlineStr">
        <is>
          <t>no</t>
        </is>
      </c>
      <c r="R20" s="2" t="inlineStr">
        <is>
          <t>particular</t>
        </is>
      </c>
      <c r="S20" s="2" t="inlineStr">
        <is>
          <t>Vilamarxant (46191)</t>
        </is>
      </c>
      <c r="T20" s="2" t="n"/>
      <c r="U20" s="2" t="n">
        <v>5</v>
      </c>
      <c r="V20" s="2" t="inlineStr">
        <is>
          <t>sí</t>
        </is>
      </c>
      <c r="W20" s="2" t="n"/>
      <c r="X20" s="2" t="n"/>
      <c r="Y20" s="2" t="n"/>
      <c r="Z20" s="2" t="n"/>
      <c r="AA20" s="2" t="n"/>
      <c r="AB20" s="2" t="n"/>
      <c r="AC20" s="2" t="n"/>
      <c r="AD20" s="2" t="n"/>
      <c r="AE20" s="2" t="n"/>
      <c r="AF20" s="2" t="n"/>
      <c r="AG20" s="2" t="n"/>
      <c r="AH20" s="2" t="n"/>
      <c r="AI20" s="2" t="n"/>
      <c r="AJ20" s="2" t="n"/>
      <c r="AK20" s="2" t="n"/>
      <c r="AL20" s="2" t="n"/>
      <c r="AM20" s="2" t="n">
        <v>20.6</v>
      </c>
      <c r="AN20" s="2" t="n"/>
      <c r="AO20" s="2" t="inlineStr">
        <is>
          <t>2009-06</t>
        </is>
      </c>
      <c r="AP20" s="2" t="n">
        <v>2009</v>
      </c>
      <c r="AQ20" s="2" t="n">
        <v>6</v>
      </c>
      <c r="AR20" s="2" t="n"/>
      <c r="AS20" s="2" t="inlineStr">
        <is>
          <t>regla</t>
        </is>
      </c>
      <c r="AT20" s="2" t="n">
        <v>2500</v>
      </c>
      <c r="AU20" s="2" t="n">
        <v>13</v>
      </c>
      <c r="AV20" s="2" t="inlineStr">
        <is>
          <t>modelo+año</t>
        </is>
      </c>
      <c r="AW20" s="2" t="n"/>
      <c r="AX20" s="2" t="inlineStr">
        <is>
          <t>cuota fija ITP: &gt;12 años, hasta 1.500 cc; fiabilidad del modelo PENDIENTE de fuente (puntuación neutra)</t>
        </is>
      </c>
      <c r="AY20" s="2" t="inlineStr">
        <is>
          <t>Vendo Fiat Punto gasolina del año 2009, con 114. 000km por cambio a coche eléctrico . Coche cuidado y en buen estado general, ideal como coche urbano o segundo vehículo.&lt;br /&gt;- Etiqueta C&lt;br /&gt;- ITV hasta noviembre de 2026.&lt;br /&gt;- Aire Acondicionado&lt;br /&gt;- Mantenimiento realizado regularmente, con facturas disponibles.&lt;br /&gt;-Pastillas de freno delanteras sustituidas.&lt;br /&gt;- Batería nueva.&lt;br /&gt;- Bujías nuevas.&lt;br /&gt;- 4 neumáticos sustituidos: traseros en noviembre y delanteros recientemente .&lt;br /&gt;- 2 llaves&lt;br /&gt;Se puede ver y probar sin compromiso&lt;br /&gt;€ Precio negociable&lt;br /&gt;Se escuchan ofertas razonables una vez visto el vehículo.&lt;br /&gt;</t>
        </is>
      </c>
      <c r="AZ20" s="2" t="inlineStr">
        <is>
          <t>https://www.autoscout24.es/anuncios/fiat-punto-punto-1-2-feel-classic-feel-classic-gasolina-rojo-cat_ma28mo1747-c0e51c94-8ec0-4a36-8134-caae0331b183 (__NEXT_DATA__ listingDetails) /home/user/Alopecia/buscador-coches/raw/autoscout24/4d7631f2559e0d7b.json</t>
        </is>
      </c>
      <c r="BA20" s="3">
        <f>MAX(ANIO_ACTUAL-M20,0)</f>
        <v/>
      </c>
      <c r="BB20" s="4">
        <f>N20/MAX(BA20,0.5)</f>
        <v/>
      </c>
      <c r="BC20" s="4">
        <f>F20</f>
        <v/>
      </c>
      <c r="BD20" s="3">
        <f>BC20&amp;"|"&amp;INT(M20/SEG_ANIO)*SEG_ANIO</f>
        <v/>
      </c>
      <c r="BE20" s="3">
        <f>BD20&amp;"|"&amp;INT(N20/SEG_KM)*SEG_KM</f>
        <v/>
      </c>
      <c r="BF20" s="4">
        <f>COUNTIF($BC$2:$BC$545,BC20)</f>
        <v/>
      </c>
      <c r="BG20" s="4">
        <f>COUNTIF($BD$2:$BD$545,BD20)</f>
        <v/>
      </c>
      <c r="BH20" s="4">
        <f>COUNTIF($BE$2:$BE$545,BE20)</f>
        <v/>
      </c>
      <c r="BI20" s="3">
        <f t="array" ref="BI20">IF(N(AU20)&gt;=MIN_N,AT20,IF(BH20&gt;=MIN_N,MEDIAN(IF($BE$2:$BE$545=BE20,$O$2:$O$545)),IF(BG20&gt;=MIN_N,MEDIAN(IF($BD$2:$BD$545=BD20,$O$2:$O$545)),MEDIAN(IF($BC$2:$BC$545=BC20,$O$2:$O$545)))))</f>
        <v/>
      </c>
      <c r="BJ20" s="3">
        <f>IF(N(AU20)&gt;=MIN_N,"mercado "&amp;AV20,IF(BH20&gt;=MIN_N,"modelo+año+km",IF(BG20&gt;=MIN_N,"modelo+año","modelo")))</f>
        <v/>
      </c>
      <c r="BK20" s="4">
        <f>(BI20-O20)/BI20</f>
        <v/>
      </c>
      <c r="BL20" s="3">
        <f>IF(COUNTIFS(FR_FUEL,K20,FR_YEAR,AP20)&gt;0,1,0)</f>
        <v/>
      </c>
      <c r="BM20" s="3">
        <f>IF(COUNTIFS(FR_FUEL,K20,FR_YEAR,AP20-1)&gt;0,1,0)</f>
        <v/>
      </c>
      <c r="BN20" s="4">
        <f>IF(N(AQ20)&gt;0,AP20*100+AQ20,IF(AND(BL20=1,BM20=1),(AP20-1)*100+1,AP20*100+1))</f>
        <v/>
      </c>
      <c r="BO20" s="3">
        <f>IF(OR(K20="hibrido",K20="glp",K20="gnc",K20="phev"),"ECO",IF(K20="electrico","CERO",IF(K20="gasolina",IF(BN20&gt;=GAS_C_YM,"C",IF(BN20&gt;=GAS_B_YM,"B","A")),IF(K20="diesel",IF(BN20&gt;=DIE_C_YM,"C",IF(BN20&gt;=DIE_B_YM,"B","A")),""))))</f>
        <v/>
      </c>
      <c r="BP20" s="4">
        <f>BO20</f>
        <v/>
      </c>
      <c r="BQ20" s="4">
        <f>IF(AS20="regla",IF(AND(N(AQ20)=0,BL20=1),"sí","no"),"no")</f>
        <v/>
      </c>
      <c r="BR20" s="3">
        <f>IFERROR(VLOOKUP(F20,MOD_TBL,11,0),IFERROR(VLOOKUP(E20,OCU_TBL,2,0),NEUTRO))</f>
        <v/>
      </c>
      <c r="BS20" s="3">
        <f>SUMIFS(MOT_AJUSTE,MOT_MOTOR,G20,MOT_MARCA,E20,MOT_DESDE,"&lt;="&amp;M20,MOT_HASTA,"&gt;="&amp;M20)+SUMIFS(MOT_AJUSTE,MOT_MOTOR,G20,MOT_MARCA,"(todas)",MOT_DESDE,"&lt;="&amp;M20,MOT_HASTA,"&gt;="&amp;M20)</f>
        <v/>
      </c>
      <c r="BT20" s="3">
        <f>SUMIFS(COMB_AJUSTE,COMB_COMB,K20)</f>
        <v/>
      </c>
      <c r="BU20" s="3">
        <f>COUNTIFS(MOT_MOTOR,G20,MOT_MARCA,E20,MOT_DESDE,"&lt;="&amp;M20,MOT_HASTA,"&gt;="&amp;M20)+COUNTIFS(MOT_MOTOR,G20,MOT_MARCA,"(todas)",MOT_DESDE,"&lt;="&amp;M20,MOT_HASTA,"&gt;="&amp;M20)</f>
        <v/>
      </c>
      <c r="BV20" s="3">
        <f>IF(AND(K20="diesel",BU20=0),MIN(BR20,NEUTRO),BR20)</f>
        <v/>
      </c>
      <c r="BW20" s="4">
        <f>MAX(0,MIN(100,BV20+BS20+BT20))</f>
        <v/>
      </c>
      <c r="BX20" s="3">
        <f>MAX(0,MIN(100,50+BK20*PRECIO_PEND))</f>
        <v/>
      </c>
      <c r="BY20" s="3">
        <f>MAX(0,100*(1-N20/KM_MAX))</f>
        <v/>
      </c>
      <c r="BZ20" s="3">
        <f>IF(BB20&lt;KMA_SOSP,IF(AA20="sí",100,KMA_PEN),IF(BB20&lt;=KMA_IDEAL_MAX,100,MAX(0,100*(KMA_CERO-BB20)/(KMA_CERO-KMA_IDEAL_MAX))))</f>
        <v/>
      </c>
      <c r="CA20" s="3">
        <f>MAX(0,MIN(100,100*(M20-ANIO_MIN)/(ANIO_ACTUAL-ANIO_MIN)))</f>
        <v/>
      </c>
      <c r="CB20" s="3">
        <f>W_KMT*BY20+W_KMA*BZ20+W_EDAD*CA20</f>
        <v/>
      </c>
      <c r="CC20" s="3">
        <f>P_ITV*(V20="sí")+P_LIBRO*(W20="sí")+P_CORREA*(X20="sí")+P_PROP*(Y20=1)+P_GAR*(Z20="sí")+P_FOTOS*MIN(1,N(U20)/FOTOS_OBJ)</f>
        <v/>
      </c>
      <c r="CD20" s="3">
        <f>MAX(0,MIN(100,IFERROR(VLOOKUP(BP20,ETQ_TBL,2,0),0)-IF(BQ20="sí",ETQ_PEN_DUD,IF(AS20="regla",ETQ_PEN_REGLA,0))))</f>
        <v/>
      </c>
      <c r="CE20" s="3">
        <f>NEUTRO</f>
        <v/>
      </c>
      <c r="CF20" s="3">
        <f>IFERROR(VLOOKUP(L20,SEGURO_TBL,3,0),"")</f>
        <v/>
      </c>
      <c r="CG20" s="3">
        <f>IF(CF20="",NEUTRO,MAX(0,MIN(100,100*(SEG_REF_MAX-CF20)/(SEG_REF_MAX-SEG_REF_MIN))))</f>
        <v/>
      </c>
      <c r="CH20" s="3">
        <f>W_CONS*CE20+W_SEG*CG20</f>
        <v/>
      </c>
      <c r="CI20" s="3">
        <f>IF(N(AB20)&gt;0,AB20,IF(AND(R20="profesional",SG_LEGAL_ON=1),GAR_LEGAL,0))</f>
        <v/>
      </c>
      <c r="CJ20" s="3">
        <f>SG_GAR*MIN(1,CI20/SG_GAR_FULL)+SG_AMPL*(AC20="sí")+SG_KMC*(AF20="sí")+SG_REV*(N(AE20)&gt;0)+SG_DEV*MIN(1,N(AG20)/SG_DEV_FULL)+SG_HIST*(W20="sí")</f>
        <v/>
      </c>
      <c r="CK20" s="3">
        <f>IFERROR(VLOOKUP(L20,CARR_PEN_TBL,2,0),0)</f>
        <v/>
      </c>
      <c r="CL20" s="3">
        <f>W_FIAB*BW20+W_PRECIO*BX20+W_KMEDAD*CB20+W_ANUNCIO*CC20+W_USO*CH20+W_SEGURIDAD*CJ20+W_ETIQUETA*CD20-CK20</f>
        <v/>
      </c>
      <c r="CM20" s="4">
        <f>IF(N(I20)&gt;0,I20,IFERROR(ROUND(_xlfn.NUMBERVALUE(LEFT(G20,FIND(" ",G20&amp;" ")-1),".")*1000,0),99999))</f>
        <v/>
      </c>
      <c r="CN20" s="3">
        <f>IF(R20="profesional",0,IF(O20&lt;CUOTA_VALOR_MAX,IF(BA20&gt;ITP_TRAMO_ALTO,SUMIFS(CF_CUOTA,CF_MAS,ITP_TRAMO_ALTO,CF_CCMIN,"&lt;="&amp;CM20,CF_CCMAX,"&gt;="&amp;CM20),IF(BA20&gt;ITP_TRAMO_BAJO,SUMIFS(CF_CUOTA,CF_MAS,ITP_TRAMO_BAJO,CF_CCMIN,"&lt;="&amp;CM20,CF_CCMAX,"&gt;="&amp;CM20),O20*ITP_TIPO)),O20*ITP_TIPO))</f>
        <v/>
      </c>
      <c r="CO20" s="4">
        <f>IF(R20="profesional",N(AK20),0)</f>
        <v/>
      </c>
      <c r="CP20" s="3">
        <f>IF(AND(R20="profesional",ISNUMBER(AK20),AL20="sí"),0,TASA_DGT)</f>
        <v/>
      </c>
      <c r="CQ20" s="3">
        <f>INFORME_DGT</f>
        <v/>
      </c>
      <c r="CR20" s="4">
        <f>O20+CO20+CN20+CP20+CQ20</f>
        <v/>
      </c>
      <c r="CS20" s="4">
        <f>CR20+N(CF20)</f>
        <v/>
      </c>
      <c r="CT20" s="3">
        <f>IF(CR20&lt;=TOTAL_MAX,"sí",IF(CR20&lt;=TOTAL_MAX+MARGEN_NEG,"negociar","no"))</f>
        <v/>
      </c>
      <c r="CU20" s="4">
        <f>IF(CT20&lt;&gt;"no",COUNTIFS($CT$2:$CT$545,"&lt;&gt;no",$CL$2:$CL$545,"&gt;"&amp;CL20)+COUNTIFS($CT$2:CT20,"&lt;&gt;no",$CL$2:CL20,CL20),"")</f>
        <v/>
      </c>
    </row>
    <row r="21">
      <c r="A21" s="2" t="inlineStr">
        <is>
          <t>autoscout24:8b610c99-c37b-4f70-8870-40b71f5c62f6</t>
        </is>
      </c>
      <c r="B21" s="2" t="inlineStr">
        <is>
          <t>autoscout24</t>
        </is>
      </c>
      <c r="C21" s="2" t="inlineStr">
        <is>
          <t>https://www.autoscout24.es/anuncios/fiat-500-500-0-9-t-twinair-pop-85-pop-gasolina-azul-cat_ma28mo15160-8b610c99-c37b-4f70-8870-40b71f5c62f6</t>
        </is>
      </c>
      <c r="D21" s="2" t="inlineStr">
        <is>
          <t>Fiat 500 500 0.9 T TwinAir Pop 85 Pop</t>
        </is>
      </c>
      <c r="E21" s="2" t="inlineStr">
        <is>
          <t>Fiat</t>
        </is>
      </c>
      <c r="F21" s="2" t="inlineStr">
        <is>
          <t>Fiat 500</t>
        </is>
      </c>
      <c r="G21" s="2" t="inlineStr">
        <is>
          <t>0.9</t>
        </is>
      </c>
      <c r="H21" s="2" t="inlineStr">
        <is>
          <t>500 0.9 T TwinAir Pop 85 Pop 0.9</t>
        </is>
      </c>
      <c r="I21" s="2" t="n">
        <v>875</v>
      </c>
      <c r="J21" s="2" t="n">
        <v>84</v>
      </c>
      <c r="K21" s="2" t="inlineStr">
        <is>
          <t>gasolina</t>
        </is>
      </c>
      <c r="L21" s="2" t="inlineStr">
        <is>
          <t>utilitario</t>
        </is>
      </c>
      <c r="M21" s="2" t="n">
        <v>2010</v>
      </c>
      <c r="N21" s="2" t="n">
        <v>133218</v>
      </c>
      <c r="O21" s="2" t="n">
        <v>4200</v>
      </c>
      <c r="P21" s="2" t="inlineStr">
        <is>
          <t>manual</t>
        </is>
      </c>
      <c r="Q21" s="2" t="inlineStr">
        <is>
          <t>no</t>
        </is>
      </c>
      <c r="R21" s="2" t="inlineStr">
        <is>
          <t>particular</t>
        </is>
      </c>
      <c r="S21" s="2" t="inlineStr">
        <is>
          <t>València (46006)</t>
        </is>
      </c>
      <c r="T21" s="2" t="n"/>
      <c r="U21" s="2" t="n">
        <v>19</v>
      </c>
      <c r="V21" s="2" t="n"/>
      <c r="W21" s="2" t="n"/>
      <c r="X21" s="2" t="n"/>
      <c r="Y21" s="2" t="n"/>
      <c r="Z21" s="2" t="n"/>
      <c r="AA21" s="2" t="n"/>
      <c r="AB21" s="2" t="n"/>
      <c r="AC21" s="2" t="n"/>
      <c r="AD21" s="2" t="n"/>
      <c r="AE21" s="2" t="n"/>
      <c r="AF21" s="2" t="n"/>
      <c r="AG21" s="2" t="n"/>
      <c r="AH21" s="2" t="n"/>
      <c r="AI21" s="2" t="n"/>
      <c r="AJ21" s="2" t="n"/>
      <c r="AK21" s="2" t="n"/>
      <c r="AL21" s="2" t="n"/>
      <c r="AM21" s="2" t="n">
        <v>1.4</v>
      </c>
      <c r="AN21" s="2" t="n"/>
      <c r="AO21" s="2" t="inlineStr">
        <is>
          <t>2010-12</t>
        </is>
      </c>
      <c r="AP21" s="2" t="n">
        <v>2010</v>
      </c>
      <c r="AQ21" s="2" t="n">
        <v>12</v>
      </c>
      <c r="AR21" s="2" t="n"/>
      <c r="AS21" s="2" t="inlineStr">
        <is>
          <t>regla</t>
        </is>
      </c>
      <c r="AT21" s="2" t="n">
        <v>5500</v>
      </c>
      <c r="AU21" s="2" t="n">
        <v>7</v>
      </c>
      <c r="AV21" s="2" t="inlineStr">
        <is>
          <t>modelo+año+km</t>
        </is>
      </c>
      <c r="AW21" s="2" t="n"/>
      <c r="AX21" s="2" t="inlineStr">
        <is>
          <t>cuota fija ITP: &gt;12 años, hasta 1.500 cc</t>
        </is>
      </c>
      <c r="AY21" s="2" t="inlineStr">
        <is>
          <t>Se vende Fiat 500 1.2 de 69 CV, un vehículo fiable, económico y perfecto tanto para ciudad como para carretera. Destaca por su bajo consumo, facilidad de aparcamiento y mantenimiento asequible.&lt;br /&gt;El coche cuenta con 133.218 km y se encuentra en buen estado, listo para seguir circulando. Se puede ver y probar sin compromiso en Valencia.&lt;br /&gt;Características&lt;br /&gt;* Motor 1.2 Gasolina (1.242 cc)&lt;br /&gt;* 69 CV (51 kW)&lt;br /&gt;* Cambio manual&lt;br /&gt;* 4 plazas&lt;br /&gt;* 133.218 km&lt;br /&gt;* Bajo consumo&lt;br /&gt;* Mantenimiento económico&lt;br /&gt;* Documentación al día&lt;br /&gt;Ideal como primer coche, para desplazamientos diarios o como vehículo urbano.</t>
        </is>
      </c>
      <c r="AZ21" s="2" t="inlineStr">
        <is>
          <t>https://www.autoscout24.es/anuncios/fiat-500-500-0-9-t-twinair-pop-85-pop-gasolina-azul-cat_ma28mo15160-8b610c99-c37b-4f70-8870-40b71f5c62f6 (__NEXT_DATA__ listingDetails) /home/user/Alopecia/buscador-coches/raw/autoscout24/8c6a9964f7b01d4a.json</t>
        </is>
      </c>
      <c r="BA21" s="3">
        <f>MAX(ANIO_ACTUAL-M21,0)</f>
        <v/>
      </c>
      <c r="BB21" s="4">
        <f>N21/MAX(BA21,0.5)</f>
        <v/>
      </c>
      <c r="BC21" s="4">
        <f>F21</f>
        <v/>
      </c>
      <c r="BD21" s="3">
        <f>BC21&amp;"|"&amp;INT(M21/SEG_ANIO)*SEG_ANIO</f>
        <v/>
      </c>
      <c r="BE21" s="3">
        <f>BD21&amp;"|"&amp;INT(N21/SEG_KM)*SEG_KM</f>
        <v/>
      </c>
      <c r="BF21" s="4">
        <f>COUNTIF($BC$2:$BC$545,BC21)</f>
        <v/>
      </c>
      <c r="BG21" s="4">
        <f>COUNTIF($BD$2:$BD$545,BD21)</f>
        <v/>
      </c>
      <c r="BH21" s="4">
        <f>COUNTIF($BE$2:$BE$545,BE21)</f>
        <v/>
      </c>
      <c r="BI21" s="3">
        <f t="array" ref="BI21">IF(N(AU21)&gt;=MIN_N,AT21,IF(BH21&gt;=MIN_N,MEDIAN(IF($BE$2:$BE$545=BE21,$O$2:$O$545)),IF(BG21&gt;=MIN_N,MEDIAN(IF($BD$2:$BD$545=BD21,$O$2:$O$545)),MEDIAN(IF($BC$2:$BC$545=BC21,$O$2:$O$545)))))</f>
        <v/>
      </c>
      <c r="BJ21" s="3">
        <f>IF(N(AU21)&gt;=MIN_N,"mercado "&amp;AV21,IF(BH21&gt;=MIN_N,"modelo+año+km",IF(BG21&gt;=MIN_N,"modelo+año","modelo")))</f>
        <v/>
      </c>
      <c r="BK21" s="4">
        <f>(BI21-O21)/BI21</f>
        <v/>
      </c>
      <c r="BL21" s="3">
        <f>IF(COUNTIFS(FR_FUEL,K21,FR_YEAR,AP21)&gt;0,1,0)</f>
        <v/>
      </c>
      <c r="BM21" s="3">
        <f>IF(COUNTIFS(FR_FUEL,K21,FR_YEAR,AP21-1)&gt;0,1,0)</f>
        <v/>
      </c>
      <c r="BN21" s="4">
        <f>IF(N(AQ21)&gt;0,AP21*100+AQ21,IF(AND(BL21=1,BM21=1),(AP21-1)*100+1,AP21*100+1))</f>
        <v/>
      </c>
      <c r="BO21" s="3">
        <f>IF(OR(K21="hibrido",K21="glp",K21="gnc",K21="phev"),"ECO",IF(K21="electrico","CERO",IF(K21="gasolina",IF(BN21&gt;=GAS_C_YM,"C",IF(BN21&gt;=GAS_B_YM,"B","A")),IF(K21="diesel",IF(BN21&gt;=DIE_C_YM,"C",IF(BN21&gt;=DIE_B_YM,"B","A")),""))))</f>
        <v/>
      </c>
      <c r="BP21" s="4">
        <f>BO21</f>
        <v/>
      </c>
      <c r="BQ21" s="4">
        <f>IF(AS21="regla",IF(AND(N(AQ21)=0,BL21=1),"sí","no"),"no")</f>
        <v/>
      </c>
      <c r="BR21" s="3">
        <f>IFERROR(VLOOKUP(F21,MOD_TBL,11,0),IFERROR(VLOOKUP(E21,OCU_TBL,2,0),NEUTRO))</f>
        <v/>
      </c>
      <c r="BS21" s="3">
        <f>SUMIFS(MOT_AJUSTE,MOT_MOTOR,G21,MOT_MARCA,E21,MOT_DESDE,"&lt;="&amp;M21,MOT_HASTA,"&gt;="&amp;M21)+SUMIFS(MOT_AJUSTE,MOT_MOTOR,G21,MOT_MARCA,"(todas)",MOT_DESDE,"&lt;="&amp;M21,MOT_HASTA,"&gt;="&amp;M21)</f>
        <v/>
      </c>
      <c r="BT21" s="3">
        <f>SUMIFS(COMB_AJUSTE,COMB_COMB,K21)</f>
        <v/>
      </c>
      <c r="BU21" s="3">
        <f>COUNTIFS(MOT_MOTOR,G21,MOT_MARCA,E21,MOT_DESDE,"&lt;="&amp;M21,MOT_HASTA,"&gt;="&amp;M21)+COUNTIFS(MOT_MOTOR,G21,MOT_MARCA,"(todas)",MOT_DESDE,"&lt;="&amp;M21,MOT_HASTA,"&gt;="&amp;M21)</f>
        <v/>
      </c>
      <c r="BV21" s="3">
        <f>IF(AND(K21="diesel",BU21=0),MIN(BR21,NEUTRO),BR21)</f>
        <v/>
      </c>
      <c r="BW21" s="4">
        <f>MAX(0,MIN(100,BV21+BS21+BT21))</f>
        <v/>
      </c>
      <c r="BX21" s="3">
        <f>MAX(0,MIN(100,50+BK21*PRECIO_PEND))</f>
        <v/>
      </c>
      <c r="BY21" s="3">
        <f>MAX(0,100*(1-N21/KM_MAX))</f>
        <v/>
      </c>
      <c r="BZ21" s="3">
        <f>IF(BB21&lt;KMA_SOSP,IF(AA21="sí",100,KMA_PEN),IF(BB21&lt;=KMA_IDEAL_MAX,100,MAX(0,100*(KMA_CERO-BB21)/(KMA_CERO-KMA_IDEAL_MAX))))</f>
        <v/>
      </c>
      <c r="CA21" s="3">
        <f>MAX(0,MIN(100,100*(M21-ANIO_MIN)/(ANIO_ACTUAL-ANIO_MIN)))</f>
        <v/>
      </c>
      <c r="CB21" s="3">
        <f>W_KMT*BY21+W_KMA*BZ21+W_EDAD*CA21</f>
        <v/>
      </c>
      <c r="CC21" s="3">
        <f>P_ITV*(V21="sí")+P_LIBRO*(W21="sí")+P_CORREA*(X21="sí")+P_PROP*(Y21=1)+P_GAR*(Z21="sí")+P_FOTOS*MIN(1,N(U21)/FOTOS_OBJ)</f>
        <v/>
      </c>
      <c r="CD21" s="3">
        <f>MAX(0,MIN(100,IFERROR(VLOOKUP(BP21,ETQ_TBL,2,0),0)-IF(BQ21="sí",ETQ_PEN_DUD,IF(AS21="regla",ETQ_PEN_REGLA,0))))</f>
        <v/>
      </c>
      <c r="CE21" s="3">
        <f>NEUTRO</f>
        <v/>
      </c>
      <c r="CF21" s="3">
        <f>IFERROR(VLOOKUP(L21,SEGURO_TBL,3,0),"")</f>
        <v/>
      </c>
      <c r="CG21" s="3">
        <f>IF(CF21="",NEUTRO,MAX(0,MIN(100,100*(SEG_REF_MAX-CF21)/(SEG_REF_MAX-SEG_REF_MIN))))</f>
        <v/>
      </c>
      <c r="CH21" s="3">
        <f>W_CONS*CE21+W_SEG*CG21</f>
        <v/>
      </c>
      <c r="CI21" s="3">
        <f>IF(N(AB21)&gt;0,AB21,IF(AND(R21="profesional",SG_LEGAL_ON=1),GAR_LEGAL,0))</f>
        <v/>
      </c>
      <c r="CJ21" s="3">
        <f>SG_GAR*MIN(1,CI21/SG_GAR_FULL)+SG_AMPL*(AC21="sí")+SG_KMC*(AF21="sí")+SG_REV*(N(AE21)&gt;0)+SG_DEV*MIN(1,N(AG21)/SG_DEV_FULL)+SG_HIST*(W21="sí")</f>
        <v/>
      </c>
      <c r="CK21" s="3">
        <f>IFERROR(VLOOKUP(L21,CARR_PEN_TBL,2,0),0)</f>
        <v/>
      </c>
      <c r="CL21" s="3">
        <f>W_FIAB*BW21+W_PRECIO*BX21+W_KMEDAD*CB21+W_ANUNCIO*CC21+W_USO*CH21+W_SEGURIDAD*CJ21+W_ETIQUETA*CD21-CK21</f>
        <v/>
      </c>
      <c r="CM21" s="4">
        <f>IF(N(I21)&gt;0,I21,IFERROR(ROUND(_xlfn.NUMBERVALUE(LEFT(G21,FIND(" ",G21&amp;" ")-1),".")*1000,0),99999))</f>
        <v/>
      </c>
      <c r="CN21" s="3">
        <f>IF(R21="profesional",0,IF(O21&lt;CUOTA_VALOR_MAX,IF(BA21&gt;ITP_TRAMO_ALTO,SUMIFS(CF_CUOTA,CF_MAS,ITP_TRAMO_ALTO,CF_CCMIN,"&lt;="&amp;CM21,CF_CCMAX,"&gt;="&amp;CM21),IF(BA21&gt;ITP_TRAMO_BAJO,SUMIFS(CF_CUOTA,CF_MAS,ITP_TRAMO_BAJO,CF_CCMIN,"&lt;="&amp;CM21,CF_CCMAX,"&gt;="&amp;CM21),O21*ITP_TIPO)),O21*ITP_TIPO))</f>
        <v/>
      </c>
      <c r="CO21" s="4">
        <f>IF(R21="profesional",N(AK21),0)</f>
        <v/>
      </c>
      <c r="CP21" s="3">
        <f>IF(AND(R21="profesional",ISNUMBER(AK21),AL21="sí"),0,TASA_DGT)</f>
        <v/>
      </c>
      <c r="CQ21" s="3">
        <f>INFORME_DGT</f>
        <v/>
      </c>
      <c r="CR21" s="4">
        <f>O21+CO21+CN21+CP21+CQ21</f>
        <v/>
      </c>
      <c r="CS21" s="4">
        <f>CR21+N(CF21)</f>
        <v/>
      </c>
      <c r="CT21" s="3">
        <f>IF(CR21&lt;=TOTAL_MAX,"sí",IF(CR21&lt;=TOTAL_MAX+MARGEN_NEG,"negociar","no"))</f>
        <v/>
      </c>
      <c r="CU21" s="4">
        <f>IF(CT21&lt;&gt;"no",COUNTIFS($CT$2:$CT$545,"&lt;&gt;no",$CL$2:$CL$545,"&gt;"&amp;CL21)+COUNTIFS($CT$2:CT21,"&lt;&gt;no",$CL$2:CL21,CL21),"")</f>
        <v/>
      </c>
    </row>
    <row r="22">
      <c r="A22" s="2" t="inlineStr">
        <is>
          <t>autoscout24:5df9bdd9-27ce-4647-b70f-976633b13f7a</t>
        </is>
      </c>
      <c r="B22" s="2" t="inlineStr">
        <is>
          <t>autoscout24</t>
        </is>
      </c>
      <c r="C22" s="2" t="inlineStr">
        <is>
          <t>https://www.autoscout24.es/anuncios/chevrolet-aveo-sedan-1-4-16v-lt-gasolina-gris-cat_ma19mo18685-5df9bdd9-27ce-4647-b70f-976633b13f7a</t>
        </is>
      </c>
      <c r="D22" s="2" t="inlineStr">
        <is>
          <t>Chevrolet Aveo Sedán 1.4 16v LT</t>
        </is>
      </c>
      <c r="E22" s="2" t="inlineStr">
        <is>
          <t>Chevrolet</t>
        </is>
      </c>
      <c r="F22" s="2" t="inlineStr">
        <is>
          <t>Chevrolet Aveo</t>
        </is>
      </c>
      <c r="G22" s="2" t="inlineStr">
        <is>
          <t>1.4</t>
        </is>
      </c>
      <c r="H22" s="2" t="inlineStr">
        <is>
          <t>Sedán 1.4 16v LT 1.4</t>
        </is>
      </c>
      <c r="I22" s="2" t="n">
        <v>1399</v>
      </c>
      <c r="J22" s="2" t="n">
        <v>94</v>
      </c>
      <c r="K22" s="2" t="inlineStr">
        <is>
          <t>gasolina</t>
        </is>
      </c>
      <c r="L22" s="2" t="inlineStr">
        <is>
          <t>berlina</t>
        </is>
      </c>
      <c r="M22" s="2" t="n">
        <v>2008</v>
      </c>
      <c r="N22" s="2" t="n">
        <v>138000</v>
      </c>
      <c r="O22" s="2" t="n">
        <v>3990</v>
      </c>
      <c r="P22" s="2" t="inlineStr">
        <is>
          <t>manual</t>
        </is>
      </c>
      <c r="Q22" s="2" t="inlineStr">
        <is>
          <t>no</t>
        </is>
      </c>
      <c r="R22" s="2" t="inlineStr">
        <is>
          <t>profesional</t>
        </is>
      </c>
      <c r="S22" s="2" t="inlineStr">
        <is>
          <t>SAGA VEHICULOS — MASSANASSA (46470)</t>
        </is>
      </c>
      <c r="T22" s="2" t="n"/>
      <c r="U22" s="2" t="n">
        <v>26</v>
      </c>
      <c r="V22" s="2" t="n"/>
      <c r="W22" s="2" t="n"/>
      <c r="X22" s="2" t="n"/>
      <c r="Y22" s="2" t="n"/>
      <c r="Z22" s="2" t="inlineStr">
        <is>
          <t>sí</t>
        </is>
      </c>
      <c r="AA22" s="2" t="n"/>
      <c r="AB22" s="2" t="n">
        <v>12</v>
      </c>
      <c r="AC22" s="2" t="inlineStr">
        <is>
          <t>sí</t>
        </is>
      </c>
      <c r="AD22" s="2" t="n"/>
      <c r="AE22" s="2" t="n"/>
      <c r="AF22" s="2" t="n"/>
      <c r="AG22" s="2" t="n"/>
      <c r="AH22" s="2" t="n"/>
      <c r="AI22" s="2" t="n"/>
      <c r="AJ22" s="2" t="n"/>
      <c r="AK22" s="2" t="n">
        <v>350</v>
      </c>
      <c r="AL22" s="2" t="inlineStr">
        <is>
          <t>no</t>
        </is>
      </c>
      <c r="AM22" s="2" t="n">
        <v>7.1</v>
      </c>
      <c r="AN22" s="2" t="n"/>
      <c r="AO22" s="2" t="inlineStr">
        <is>
          <t>2008-10</t>
        </is>
      </c>
      <c r="AP22" s="2" t="n">
        <v>2008</v>
      </c>
      <c r="AQ22" s="2" t="n">
        <v>10</v>
      </c>
      <c r="AR22" s="2" t="n"/>
      <c r="AS22" s="2" t="inlineStr">
        <is>
          <t>regla</t>
        </is>
      </c>
      <c r="AT22" s="2" t="n">
        <v>3990</v>
      </c>
      <c r="AU22" s="2" t="n">
        <v>4</v>
      </c>
      <c r="AV22" s="2" t="inlineStr">
        <is>
          <t>modelo+año+km</t>
        </is>
      </c>
      <c r="AW22" s="2" t="inlineStr">
        <is>
          <t>cochesnet:71651301 (https://www.coches.net/chevrolet-aveo-14-16v-lt-4p-gasolina-2008-en-valencia-71651301-covo.aspx)</t>
        </is>
      </c>
      <c r="AX22" s="2" t="inlineStr">
        <is>
          <t>vendedor profesional: sin ITP (operación con IVA/REBU, confirmar en factura); gastos del vendedor sin indicar si incluyen la transferencia: se suma la tasa DGT; carrocería berlina: -4 puntos; fiabilidad del modelo PENDIENTE de fuente (puntuación neutra)</t>
        </is>
      </c>
      <c r="AY22" s="2" t="inlineStr">
        <is>
          <t>Chevrolet Aveo LT 1.4 E-TEC ll, 95CV,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&lt;br /&gt;- Dirección asistida&lt;br /&gt;- Frenos ABS/EBD&lt;br /&gt;- Airbags&lt;br /&gt;- Ordenador abordo&lt;br /&gt;- Android Auto / Apple CarPlay &lt;br /&gt;- Sistema multimedia Bluetooth&lt;br /&gt;- GPS navegación &lt;br /&gt;- Camara trasera &lt;br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Pintura metalizada&lt;br /&gt;</t>
        </is>
      </c>
      <c r="AZ22" s="2" t="inlineStr">
        <is>
          <t>https://www.autoscout24.es/anuncios/chevrolet-aveo-sedan-1-4-16v-lt-gasolina-gris-cat_ma19mo18685-5df9bdd9-27ce-4647-b70f-976633b13f7a (__NEXT_DATA__ listingDetails) /home/user/Alopecia/buscador-coches/raw/autoscout24/b2dc71ccfcad6c3c.json</t>
        </is>
      </c>
      <c r="BA22" s="3">
        <f>MAX(ANIO_ACTUAL-M22,0)</f>
        <v/>
      </c>
      <c r="BB22" s="4">
        <f>N22/MAX(BA22,0.5)</f>
        <v/>
      </c>
      <c r="BC22" s="4">
        <f>F22</f>
        <v/>
      </c>
      <c r="BD22" s="3">
        <f>BC22&amp;"|"&amp;INT(M22/SEG_ANIO)*SEG_ANIO</f>
        <v/>
      </c>
      <c r="BE22" s="3">
        <f>BD22&amp;"|"&amp;INT(N22/SEG_KM)*SEG_KM</f>
        <v/>
      </c>
      <c r="BF22" s="4">
        <f>COUNTIF($BC$2:$BC$545,BC22)</f>
        <v/>
      </c>
      <c r="BG22" s="4">
        <f>COUNTIF($BD$2:$BD$545,BD22)</f>
        <v/>
      </c>
      <c r="BH22" s="4">
        <f>COUNTIF($BE$2:$BE$545,BE22)</f>
        <v/>
      </c>
      <c r="BI22" s="3">
        <f t="array" ref="BI22">IF(N(AU22)&gt;=MIN_N,AT22,IF(BH22&gt;=MIN_N,MEDIAN(IF($BE$2:$BE$545=BE22,$O$2:$O$545)),IF(BG22&gt;=MIN_N,MEDIAN(IF($BD$2:$BD$545=BD22,$O$2:$O$545)),MEDIAN(IF($BC$2:$BC$545=BC22,$O$2:$O$545)))))</f>
        <v/>
      </c>
      <c r="BJ22" s="3">
        <f>IF(N(AU22)&gt;=MIN_N,"mercado "&amp;AV22,IF(BH22&gt;=MIN_N,"modelo+año+km",IF(BG22&gt;=MIN_N,"modelo+año","modelo")))</f>
        <v/>
      </c>
      <c r="BK22" s="4">
        <f>(BI22-O22)/BI22</f>
        <v/>
      </c>
      <c r="BL22" s="3">
        <f>IF(COUNTIFS(FR_FUEL,K22,FR_YEAR,AP22)&gt;0,1,0)</f>
        <v/>
      </c>
      <c r="BM22" s="3">
        <f>IF(COUNTIFS(FR_FUEL,K22,FR_YEAR,AP22-1)&gt;0,1,0)</f>
        <v/>
      </c>
      <c r="BN22" s="4">
        <f>IF(N(AQ22)&gt;0,AP22*100+AQ22,IF(AND(BL22=1,BM22=1),(AP22-1)*100+1,AP22*100+1))</f>
        <v/>
      </c>
      <c r="BO22" s="3">
        <f>IF(OR(K22="hibrido",K22="glp",K22="gnc",K22="phev"),"ECO",IF(K22="electrico","CERO",IF(K22="gasolina",IF(BN22&gt;=GAS_C_YM,"C",IF(BN22&gt;=GAS_B_YM,"B","A")),IF(K22="diesel",IF(BN22&gt;=DIE_C_YM,"C",IF(BN22&gt;=DIE_B_YM,"B","A")),""))))</f>
        <v/>
      </c>
      <c r="BP22" s="4">
        <f>BO22</f>
        <v/>
      </c>
      <c r="BQ22" s="4">
        <f>IF(AS22="regla",IF(AND(N(AQ22)=0,BL22=1),"sí","no"),"no")</f>
        <v/>
      </c>
      <c r="BR22" s="3">
        <f>IFERROR(VLOOKUP(F22,MOD_TBL,11,0),IFERROR(VLOOKUP(E22,OCU_TBL,2,0),NEUTRO))</f>
        <v/>
      </c>
      <c r="BS22" s="3">
        <f>SUMIFS(MOT_AJUSTE,MOT_MOTOR,G22,MOT_MARCA,E22,MOT_DESDE,"&lt;="&amp;M22,MOT_HASTA,"&gt;="&amp;M22)+SUMIFS(MOT_AJUSTE,MOT_MOTOR,G22,MOT_MARCA,"(todas)",MOT_DESDE,"&lt;="&amp;M22,MOT_HASTA,"&gt;="&amp;M22)</f>
        <v/>
      </c>
      <c r="BT22" s="3">
        <f>SUMIFS(COMB_AJUSTE,COMB_COMB,K22)</f>
        <v/>
      </c>
      <c r="BU22" s="3">
        <f>COUNTIFS(MOT_MOTOR,G22,MOT_MARCA,E22,MOT_DESDE,"&lt;="&amp;M22,MOT_HASTA,"&gt;="&amp;M22)+COUNTIFS(MOT_MOTOR,G22,MOT_MARCA,"(todas)",MOT_DESDE,"&lt;="&amp;M22,MOT_HASTA,"&gt;="&amp;M22)</f>
        <v/>
      </c>
      <c r="BV22" s="3">
        <f>IF(AND(K22="diesel",BU22=0),MIN(BR22,NEUTRO),BR22)</f>
        <v/>
      </c>
      <c r="BW22" s="4">
        <f>MAX(0,MIN(100,BV22+BS22+BT22))</f>
        <v/>
      </c>
      <c r="BX22" s="3">
        <f>MAX(0,MIN(100,50+BK22*PRECIO_PEND))</f>
        <v/>
      </c>
      <c r="BY22" s="3">
        <f>MAX(0,100*(1-N22/KM_MAX))</f>
        <v/>
      </c>
      <c r="BZ22" s="3">
        <f>IF(BB22&lt;KMA_SOSP,IF(AA22="sí",100,KMA_PEN),IF(BB22&lt;=KMA_IDEAL_MAX,100,MAX(0,100*(KMA_CERO-BB22)/(KMA_CERO-KMA_IDEAL_MAX))))</f>
        <v/>
      </c>
      <c r="CA22" s="3">
        <f>MAX(0,MIN(100,100*(M22-ANIO_MIN)/(ANIO_ACTUAL-ANIO_MIN)))</f>
        <v/>
      </c>
      <c r="CB22" s="3">
        <f>W_KMT*BY22+W_KMA*BZ22+W_EDAD*CA22</f>
        <v/>
      </c>
      <c r="CC22" s="3">
        <f>P_ITV*(V22="sí")+P_LIBRO*(W22="sí")+P_CORREA*(X22="sí")+P_PROP*(Y22=1)+P_GAR*(Z22="sí")+P_FOTOS*MIN(1,N(U22)/FOTOS_OBJ)</f>
        <v/>
      </c>
      <c r="CD22" s="3">
        <f>MAX(0,MIN(100,IFERROR(VLOOKUP(BP22,ETQ_TBL,2,0),0)-IF(BQ22="sí",ETQ_PEN_DUD,IF(AS22="regla",ETQ_PEN_REGLA,0))))</f>
        <v/>
      </c>
      <c r="CE22" s="3">
        <f>NEUTRO</f>
        <v/>
      </c>
      <c r="CF22" s="3">
        <f>IFERROR(VLOOKUP(L22,SEGURO_TBL,3,0),"")</f>
        <v/>
      </c>
      <c r="CG22" s="3">
        <f>IF(CF22="",NEUTRO,MAX(0,MIN(100,100*(SEG_REF_MAX-CF22)/(SEG_REF_MAX-SEG_REF_MIN))))</f>
        <v/>
      </c>
      <c r="CH22" s="3">
        <f>W_CONS*CE22+W_SEG*CG22</f>
        <v/>
      </c>
      <c r="CI22" s="3">
        <f>IF(N(AB22)&gt;0,AB22,IF(AND(R22="profesional",SG_LEGAL_ON=1),GAR_LEGAL,0))</f>
        <v/>
      </c>
      <c r="CJ22" s="3">
        <f>SG_GAR*MIN(1,CI22/SG_GAR_FULL)+SG_AMPL*(AC22="sí")+SG_KMC*(AF22="sí")+SG_REV*(N(AE22)&gt;0)+SG_DEV*MIN(1,N(AG22)/SG_DEV_FULL)+SG_HIST*(W22="sí")</f>
        <v/>
      </c>
      <c r="CK22" s="3">
        <f>IFERROR(VLOOKUP(L22,CARR_PEN_TBL,2,0),0)</f>
        <v/>
      </c>
      <c r="CL22" s="3">
        <f>W_FIAB*BW22+W_PRECIO*BX22+W_KMEDAD*CB22+W_ANUNCIO*CC22+W_USO*CH22+W_SEGURIDAD*CJ22+W_ETIQUETA*CD22-CK22</f>
        <v/>
      </c>
      <c r="CM22" s="4">
        <f>IF(N(I22)&gt;0,I22,IFERROR(ROUND(_xlfn.NUMBERVALUE(LEFT(G22,FIND(" ",G22&amp;" ")-1),".")*1000,0),99999))</f>
        <v/>
      </c>
      <c r="CN22" s="3">
        <f>IF(R22="profesional",0,IF(O22&lt;CUOTA_VALOR_MAX,IF(BA22&gt;ITP_TRAMO_ALTO,SUMIFS(CF_CUOTA,CF_MAS,ITP_TRAMO_ALTO,CF_CCMIN,"&lt;="&amp;CM22,CF_CCMAX,"&gt;="&amp;CM22),IF(BA22&gt;ITP_TRAMO_BAJO,SUMIFS(CF_CUOTA,CF_MAS,ITP_TRAMO_BAJO,CF_CCMIN,"&lt;="&amp;CM22,CF_CCMAX,"&gt;="&amp;CM22),O22*ITP_TIPO)),O22*ITP_TIPO))</f>
        <v/>
      </c>
      <c r="CO22" s="4">
        <f>IF(R22="profesional",N(AK22),0)</f>
        <v/>
      </c>
      <c r="CP22" s="3">
        <f>IF(AND(R22="profesional",ISNUMBER(AK22),AL22="sí"),0,TASA_DGT)</f>
        <v/>
      </c>
      <c r="CQ22" s="3">
        <f>INFORME_DGT</f>
        <v/>
      </c>
      <c r="CR22" s="4">
        <f>O22+CO22+CN22+CP22+CQ22</f>
        <v/>
      </c>
      <c r="CS22" s="4">
        <f>CR22+N(CF22)</f>
        <v/>
      </c>
      <c r="CT22" s="3">
        <f>IF(CR22&lt;=TOTAL_MAX,"sí",IF(CR22&lt;=TOTAL_MAX+MARGEN_NEG,"negociar","no"))</f>
        <v/>
      </c>
      <c r="CU22" s="4">
        <f>IF(CT22&lt;&gt;"no",COUNTIFS($CT$2:$CT$545,"&lt;&gt;no",$CL$2:$CL$545,"&gt;"&amp;CL22)+COUNTIFS($CT$2:CT22,"&lt;&gt;no",$CL$2:CL22,CL22),"")</f>
        <v/>
      </c>
    </row>
    <row r="23">
      <c r="A23" s="2" t="inlineStr">
        <is>
          <t>autoscout24:10ad7f0c-c270-4daf-8b53-d4973d7d0201</t>
        </is>
      </c>
      <c r="B23" s="2" t="inlineStr">
        <is>
          <t>autoscout24</t>
        </is>
      </c>
      <c r="C23" s="2" t="inlineStr">
        <is>
          <t>https://www.autoscout24.es/anuncios/chevrolet-aveo-aveo-1-4-16v-ls-ls-gasolina-blanco-cat_ma19mo18685-10ad7f0c-c270-4daf-8b53-d4973d7d0201</t>
        </is>
      </c>
      <c r="D23" s="2" t="inlineStr">
        <is>
          <t>Chevrolet Aveo Aveo 1.4 16v LS LS</t>
        </is>
      </c>
      <c r="E23" s="2" t="inlineStr">
        <is>
          <t>Chevrolet</t>
        </is>
      </c>
      <c r="F23" s="2" t="inlineStr">
        <is>
          <t>Chevrolet Aveo</t>
        </is>
      </c>
      <c r="G23" s="2" t="inlineStr">
        <is>
          <t>1.4</t>
        </is>
      </c>
      <c r="H23" s="2" t="inlineStr">
        <is>
          <t>Aveo 1.4 16v LS LS 1.4</t>
        </is>
      </c>
      <c r="I23" s="2" t="n">
        <v>1399</v>
      </c>
      <c r="J23" s="2" t="n">
        <v>101</v>
      </c>
      <c r="K23" s="2" t="inlineStr">
        <is>
          <t>gasolina</t>
        </is>
      </c>
      <c r="L23" s="2" t="inlineStr">
        <is>
          <t>utilitario</t>
        </is>
      </c>
      <c r="M23" s="2" t="n">
        <v>2009</v>
      </c>
      <c r="N23" s="2" t="n">
        <v>121000</v>
      </c>
      <c r="O23" s="2" t="n">
        <v>3800</v>
      </c>
      <c r="P23" s="2" t="inlineStr">
        <is>
          <t>manual</t>
        </is>
      </c>
      <c r="Q23" s="2" t="inlineStr">
        <is>
          <t>no</t>
        </is>
      </c>
      <c r="R23" s="2" t="inlineStr">
        <is>
          <t>particular</t>
        </is>
      </c>
      <c r="S23" s="2" t="inlineStr">
        <is>
          <t>València (46006)</t>
        </is>
      </c>
      <c r="T23" s="2" t="n"/>
      <c r="U23" s="2" t="n">
        <v>5</v>
      </c>
      <c r="V23" s="2" t="inlineStr">
        <is>
          <t>sí</t>
        </is>
      </c>
      <c r="W23" s="2" t="inlineStr">
        <is>
          <t>sí</t>
        </is>
      </c>
      <c r="X23" s="2" t="n"/>
      <c r="Y23" s="2" t="n"/>
      <c r="Z23" s="2" t="n"/>
      <c r="AA23" s="2" t="n"/>
      <c r="AB23" s="2" t="n"/>
      <c r="AC23" s="2" t="n"/>
      <c r="AD23" s="2" t="n"/>
      <c r="AE23" s="2" t="n"/>
      <c r="AF23" s="2" t="n"/>
      <c r="AG23" s="2" t="n"/>
      <c r="AH23" s="2" t="n"/>
      <c r="AI23" s="2" t="n"/>
      <c r="AJ23" s="2" t="n"/>
      <c r="AK23" s="2" t="n"/>
      <c r="AL23" s="2" t="n"/>
      <c r="AM23" s="2" t="n">
        <v>1.4</v>
      </c>
      <c r="AN23" s="2" t="n"/>
      <c r="AO23" s="2" t="inlineStr">
        <is>
          <t>2009-09</t>
        </is>
      </c>
      <c r="AP23" s="2" t="n">
        <v>2009</v>
      </c>
      <c r="AQ23" s="2" t="n">
        <v>9</v>
      </c>
      <c r="AR23" s="2" t="n"/>
      <c r="AS23" s="2" t="inlineStr">
        <is>
          <t>regla</t>
        </is>
      </c>
      <c r="AT23" s="2" t="n">
        <v>3990</v>
      </c>
      <c r="AU23" s="2" t="n">
        <v>4</v>
      </c>
      <c r="AV23" s="2" t="inlineStr">
        <is>
          <t>modelo+año+km</t>
        </is>
      </c>
      <c r="AW23" s="2" t="n"/>
      <c r="AX23" s="2" t="inlineStr">
        <is>
          <t>cuota fija ITP: &gt;12 años, hasta 1.500 cc; fiabilidad del modelo PENDIENTE de fuente (puntuación neutra)</t>
        </is>
      </c>
      <c r="AY23" s="2" t="inlineStr">
        <is>
          <t>ITV hasta enero del 2027, mantenimiento al día, impecable de todo tanto de pintura como de mecánica</t>
        </is>
      </c>
      <c r="AZ23" s="2" t="inlineStr">
        <is>
          <t>https://www.autoscout24.es/anuncios/chevrolet-aveo-aveo-1-4-16v-ls-ls-gasolina-blanco-cat_ma19mo18685-10ad7f0c-c270-4daf-8b53-d4973d7d0201 (__NEXT_DATA__ listingDetails) /home/user/Alopecia/buscador-coches/raw/autoscout24/06ab9d01a2dbe980.json</t>
        </is>
      </c>
      <c r="BA23" s="3">
        <f>MAX(ANIO_ACTUAL-M23,0)</f>
        <v/>
      </c>
      <c r="BB23" s="4">
        <f>N23/MAX(BA23,0.5)</f>
        <v/>
      </c>
      <c r="BC23" s="4">
        <f>F23</f>
        <v/>
      </c>
      <c r="BD23" s="3">
        <f>BC23&amp;"|"&amp;INT(M23/SEG_ANIO)*SEG_ANIO</f>
        <v/>
      </c>
      <c r="BE23" s="3">
        <f>BD23&amp;"|"&amp;INT(N23/SEG_KM)*SEG_KM</f>
        <v/>
      </c>
      <c r="BF23" s="4">
        <f>COUNTIF($BC$2:$BC$545,BC23)</f>
        <v/>
      </c>
      <c r="BG23" s="4">
        <f>COUNTIF($BD$2:$BD$545,BD23)</f>
        <v/>
      </c>
      <c r="BH23" s="4">
        <f>COUNTIF($BE$2:$BE$545,BE23)</f>
        <v/>
      </c>
      <c r="BI23" s="3">
        <f t="array" ref="BI23">IF(N(AU23)&gt;=MIN_N,AT23,IF(BH23&gt;=MIN_N,MEDIAN(IF($BE$2:$BE$545=BE23,$O$2:$O$545)),IF(BG23&gt;=MIN_N,MEDIAN(IF($BD$2:$BD$545=BD23,$O$2:$O$545)),MEDIAN(IF($BC$2:$BC$545=BC23,$O$2:$O$545)))))</f>
        <v/>
      </c>
      <c r="BJ23" s="3">
        <f>IF(N(AU23)&gt;=MIN_N,"mercado "&amp;AV23,IF(BH23&gt;=MIN_N,"modelo+año+km",IF(BG23&gt;=MIN_N,"modelo+año","modelo")))</f>
        <v/>
      </c>
      <c r="BK23" s="4">
        <f>(BI23-O23)/BI23</f>
        <v/>
      </c>
      <c r="BL23" s="3">
        <f>IF(COUNTIFS(FR_FUEL,K23,FR_YEAR,AP23)&gt;0,1,0)</f>
        <v/>
      </c>
      <c r="BM23" s="3">
        <f>IF(COUNTIFS(FR_FUEL,K23,FR_YEAR,AP23-1)&gt;0,1,0)</f>
        <v/>
      </c>
      <c r="BN23" s="4">
        <f>IF(N(AQ23)&gt;0,AP23*100+AQ23,IF(AND(BL23=1,BM23=1),(AP23-1)*100+1,AP23*100+1))</f>
        <v/>
      </c>
      <c r="BO23" s="3">
        <f>IF(OR(K23="hibrido",K23="glp",K23="gnc",K23="phev"),"ECO",IF(K23="electrico","CERO",IF(K23="gasolina",IF(BN23&gt;=GAS_C_YM,"C",IF(BN23&gt;=GAS_B_YM,"B","A")),IF(K23="diesel",IF(BN23&gt;=DIE_C_YM,"C",IF(BN23&gt;=DIE_B_YM,"B","A")),""))))</f>
        <v/>
      </c>
      <c r="BP23" s="4">
        <f>BO23</f>
        <v/>
      </c>
      <c r="BQ23" s="4">
        <f>IF(AS23="regla",IF(AND(N(AQ23)=0,BL23=1),"sí","no"),"no")</f>
        <v/>
      </c>
      <c r="BR23" s="3">
        <f>IFERROR(VLOOKUP(F23,MOD_TBL,11,0),IFERROR(VLOOKUP(E23,OCU_TBL,2,0),NEUTRO))</f>
        <v/>
      </c>
      <c r="BS23" s="3">
        <f>SUMIFS(MOT_AJUSTE,MOT_MOTOR,G23,MOT_MARCA,E23,MOT_DESDE,"&lt;="&amp;M23,MOT_HASTA,"&gt;="&amp;M23)+SUMIFS(MOT_AJUSTE,MOT_MOTOR,G23,MOT_MARCA,"(todas)",MOT_DESDE,"&lt;="&amp;M23,MOT_HASTA,"&gt;="&amp;M23)</f>
        <v/>
      </c>
      <c r="BT23" s="3">
        <f>SUMIFS(COMB_AJUSTE,COMB_COMB,K23)</f>
        <v/>
      </c>
      <c r="BU23" s="3">
        <f>COUNTIFS(MOT_MOTOR,G23,MOT_MARCA,E23,MOT_DESDE,"&lt;="&amp;M23,MOT_HASTA,"&gt;="&amp;M23)+COUNTIFS(MOT_MOTOR,G23,MOT_MARCA,"(todas)",MOT_DESDE,"&lt;="&amp;M23,MOT_HASTA,"&gt;="&amp;M23)</f>
        <v/>
      </c>
      <c r="BV23" s="3">
        <f>IF(AND(K23="diesel",BU23=0),MIN(BR23,NEUTRO),BR23)</f>
        <v/>
      </c>
      <c r="BW23" s="4">
        <f>MAX(0,MIN(100,BV23+BS23+BT23))</f>
        <v/>
      </c>
      <c r="BX23" s="3">
        <f>MAX(0,MIN(100,50+BK23*PRECIO_PEND))</f>
        <v/>
      </c>
      <c r="BY23" s="3">
        <f>MAX(0,100*(1-N23/KM_MAX))</f>
        <v/>
      </c>
      <c r="BZ23" s="3">
        <f>IF(BB23&lt;KMA_SOSP,IF(AA23="sí",100,KMA_PEN),IF(BB23&lt;=KMA_IDEAL_MAX,100,MAX(0,100*(KMA_CERO-BB23)/(KMA_CERO-KMA_IDEAL_MAX))))</f>
        <v/>
      </c>
      <c r="CA23" s="3">
        <f>MAX(0,MIN(100,100*(M23-ANIO_MIN)/(ANIO_ACTUAL-ANIO_MIN)))</f>
        <v/>
      </c>
      <c r="CB23" s="3">
        <f>W_KMT*BY23+W_KMA*BZ23+W_EDAD*CA23</f>
        <v/>
      </c>
      <c r="CC23" s="3">
        <f>P_ITV*(V23="sí")+P_LIBRO*(W23="sí")+P_CORREA*(X23="sí")+P_PROP*(Y23=1)+P_GAR*(Z23="sí")+P_FOTOS*MIN(1,N(U23)/FOTOS_OBJ)</f>
        <v/>
      </c>
      <c r="CD23" s="3">
        <f>MAX(0,MIN(100,IFERROR(VLOOKUP(BP23,ETQ_TBL,2,0),0)-IF(BQ23="sí",ETQ_PEN_DUD,IF(AS23="regla",ETQ_PEN_REGLA,0))))</f>
        <v/>
      </c>
      <c r="CE23" s="3">
        <f>NEUTRO</f>
        <v/>
      </c>
      <c r="CF23" s="3">
        <f>IFERROR(VLOOKUP(L23,SEGURO_TBL,3,0),"")</f>
        <v/>
      </c>
      <c r="CG23" s="3">
        <f>IF(CF23="",NEUTRO,MAX(0,MIN(100,100*(SEG_REF_MAX-CF23)/(SEG_REF_MAX-SEG_REF_MIN))))</f>
        <v/>
      </c>
      <c r="CH23" s="3">
        <f>W_CONS*CE23+W_SEG*CG23</f>
        <v/>
      </c>
      <c r="CI23" s="3">
        <f>IF(N(AB23)&gt;0,AB23,IF(AND(R23="profesional",SG_LEGAL_ON=1),GAR_LEGAL,0))</f>
        <v/>
      </c>
      <c r="CJ23" s="3">
        <f>SG_GAR*MIN(1,CI23/SG_GAR_FULL)+SG_AMPL*(AC23="sí")+SG_KMC*(AF23="sí")+SG_REV*(N(AE23)&gt;0)+SG_DEV*MIN(1,N(AG23)/SG_DEV_FULL)+SG_HIST*(W23="sí")</f>
        <v/>
      </c>
      <c r="CK23" s="3">
        <f>IFERROR(VLOOKUP(L23,CARR_PEN_TBL,2,0),0)</f>
        <v/>
      </c>
      <c r="CL23" s="3">
        <f>W_FIAB*BW23+W_PRECIO*BX23+W_KMEDAD*CB23+W_ANUNCIO*CC23+W_USO*CH23+W_SEGURIDAD*CJ23+W_ETIQUETA*CD23-CK23</f>
        <v/>
      </c>
      <c r="CM23" s="4">
        <f>IF(N(I23)&gt;0,I23,IFERROR(ROUND(_xlfn.NUMBERVALUE(LEFT(G23,FIND(" ",G23&amp;" ")-1),".")*1000,0),99999))</f>
        <v/>
      </c>
      <c r="CN23" s="3">
        <f>IF(R23="profesional",0,IF(O23&lt;CUOTA_VALOR_MAX,IF(BA23&gt;ITP_TRAMO_ALTO,SUMIFS(CF_CUOTA,CF_MAS,ITP_TRAMO_ALTO,CF_CCMIN,"&lt;="&amp;CM23,CF_CCMAX,"&gt;="&amp;CM23),IF(BA23&gt;ITP_TRAMO_BAJO,SUMIFS(CF_CUOTA,CF_MAS,ITP_TRAMO_BAJO,CF_CCMIN,"&lt;="&amp;CM23,CF_CCMAX,"&gt;="&amp;CM23),O23*ITP_TIPO)),O23*ITP_TIPO))</f>
        <v/>
      </c>
      <c r="CO23" s="4">
        <f>IF(R23="profesional",N(AK23),0)</f>
        <v/>
      </c>
      <c r="CP23" s="3">
        <f>IF(AND(R23="profesional",ISNUMBER(AK23),AL23="sí"),0,TASA_DGT)</f>
        <v/>
      </c>
      <c r="CQ23" s="3">
        <f>INFORME_DGT</f>
        <v/>
      </c>
      <c r="CR23" s="4">
        <f>O23+CO23+CN23+CP23+CQ23</f>
        <v/>
      </c>
      <c r="CS23" s="4">
        <f>CR23+N(CF23)</f>
        <v/>
      </c>
      <c r="CT23" s="3">
        <f>IF(CR23&lt;=TOTAL_MAX,"sí",IF(CR23&lt;=TOTAL_MAX+MARGEN_NEG,"negociar","no"))</f>
        <v/>
      </c>
      <c r="CU23" s="4">
        <f>IF(CT23&lt;&gt;"no",COUNTIFS($CT$2:$CT$545,"&lt;&gt;no",$CL$2:$CL$545,"&gt;"&amp;CL23)+COUNTIFS($CT$2:CT23,"&lt;&gt;no",$CL$2:CL23,CL23),"")</f>
        <v/>
      </c>
    </row>
    <row r="24">
      <c r="A24" s="2" t="inlineStr">
        <is>
          <t>wallapop:1306587390</t>
        </is>
      </c>
      <c r="B24" s="2" t="inlineStr">
        <is>
          <t>wallapop</t>
        </is>
      </c>
      <c r="C24" s="2" t="inlineStr">
        <is>
          <t>https://es.wallapop.com/item/toyota-aygo-2009-1306587390</t>
        </is>
      </c>
      <c r="D24" s="2" t="inlineStr">
        <is>
          <t>Toyota Aygo 2009</t>
        </is>
      </c>
      <c r="E24" s="2" t="inlineStr">
        <is>
          <t>Toyota</t>
        </is>
      </c>
      <c r="F24" s="2" t="inlineStr">
        <is>
          <t>Toyota Aygo</t>
        </is>
      </c>
      <c r="G24" s="2" t="n"/>
      <c r="H24" s="2" t="n"/>
      <c r="I24" s="2" t="n"/>
      <c r="J24" s="2" t="n"/>
      <c r="K24" s="2" t="inlineStr">
        <is>
          <t>diesel</t>
        </is>
      </c>
      <c r="L24" s="2" t="inlineStr">
        <is>
          <t>utilitario</t>
        </is>
      </c>
      <c r="M24" s="2" t="n">
        <v>2009</v>
      </c>
      <c r="N24" s="2" t="n">
        <v>177605</v>
      </c>
      <c r="O24" s="2" t="n">
        <v>3600</v>
      </c>
      <c r="P24" s="2" t="inlineStr">
        <is>
          <t>manual</t>
        </is>
      </c>
      <c r="Q24" s="2" t="inlineStr">
        <is>
          <t>no</t>
        </is>
      </c>
      <c r="R24" s="2" t="inlineStr">
        <is>
          <t>particular</t>
        </is>
      </c>
      <c r="S24" s="2" t="inlineStr">
        <is>
          <t>Valencia (46002)</t>
        </is>
      </c>
      <c r="T24" s="2" t="inlineStr">
        <is>
          <t>2026-09-30T22:08:17</t>
        </is>
      </c>
      <c r="U24" s="2" t="n">
        <v>7</v>
      </c>
      <c r="V24" s="2" t="inlineStr">
        <is>
          <t>sí</t>
        </is>
      </c>
      <c r="W24" s="2" t="n"/>
      <c r="X24" s="2" t="n"/>
      <c r="Y24" s="2" t="n"/>
      <c r="Z24" s="2" t="n"/>
      <c r="AA24" s="2" t="n"/>
      <c r="AB24" s="2" t="n"/>
      <c r="AC24" s="2" t="n"/>
      <c r="AD24" s="2" t="n"/>
      <c r="AE24" s="2" t="n"/>
      <c r="AF24" s="2" t="n"/>
      <c r="AG24" s="2" t="n"/>
      <c r="AH24" s="2" t="n"/>
      <c r="AI24" s="2" t="n"/>
      <c r="AJ24" s="2" t="n"/>
      <c r="AK24" s="2" t="n"/>
      <c r="AL24" s="2" t="n"/>
      <c r="AM24" s="2" t="n">
        <v>0.8</v>
      </c>
      <c r="AN24" s="2" t="n"/>
      <c r="AO24" s="2" t="inlineStr">
        <is>
          <t>2009</t>
        </is>
      </c>
      <c r="AP24" s="2" t="n">
        <v>2009</v>
      </c>
      <c r="AQ24" s="2" t="n"/>
      <c r="AR24" s="2" t="n"/>
      <c r="AS24" s="2" t="inlineStr">
        <is>
          <t>regla</t>
        </is>
      </c>
      <c r="AT24" s="2" t="n">
        <v>3795</v>
      </c>
      <c r="AU24" s="2" t="n">
        <v>4</v>
      </c>
      <c r="AV24" s="2" t="inlineStr">
        <is>
          <t>modelo+año</t>
        </is>
      </c>
      <c r="AW24" s="2" t="inlineStr">
        <is>
          <t>cochesnet:71716808 (https://www.coches.net/toyota-aygo-diesel-2009-en-valencia-71716808-covo.aspx)</t>
        </is>
      </c>
      <c r="AX24" s="2" t="inlineStr">
        <is>
          <t>cilindrada desconocida: se aplica el tramo de cuota fija más alto; cuota fija ITP: &gt;12 años, más de 2.000 cc; diésel: motor sin fuente de fiabilidad (fiabilidad limitada a neutra)</t>
        </is>
      </c>
      <c r="AY24" s="2" t="inlineStr">
        <is>
          <t xml:space="preserve">Vendo Toyota Aygo 1.4 D-4D 5 puertas del año 2009. Coche ideal para Valencia, muy económico y fácil de aparcar.
•  ITV recién pasada el 22/06/2026, válida hasta el 22/06/2027 (1 año entero)
 •  Neumáticos nuevos
 •  Mecánica perfecta, motor Toyota muy fiable
 •  Interior limpio y cuidado
 •  Listo para conducir, no necesita nada
Tiene pequeños detalles de pintura por el uso y los años, normal. Nada importante.
Precio: 3.600€ algo negociable al verlo.
No cambios, solo venta.
</t>
        </is>
      </c>
      <c r="AZ24" s="2" t="inlineStr">
        <is>
          <t>https://es.wallapop.com/item/toyota-aygo-2009-1306587390 (__NEXT_DATA__ item) /home/user/Alopecia/buscador-coches/raw/wallapop/c2aecd9ab2334fb5.json</t>
        </is>
      </c>
      <c r="BA24" s="3">
        <f>MAX(ANIO_ACTUAL-M24,0)</f>
        <v/>
      </c>
      <c r="BB24" s="4">
        <f>N24/MAX(BA24,0.5)</f>
        <v/>
      </c>
      <c r="BC24" s="4">
        <f>F24</f>
        <v/>
      </c>
      <c r="BD24" s="3">
        <f>BC24&amp;"|"&amp;INT(M24/SEG_ANIO)*SEG_ANIO</f>
        <v/>
      </c>
      <c r="BE24" s="3">
        <f>BD24&amp;"|"&amp;INT(N24/SEG_KM)*SEG_KM</f>
        <v/>
      </c>
      <c r="BF24" s="4">
        <f>COUNTIF($BC$2:$BC$545,BC24)</f>
        <v/>
      </c>
      <c r="BG24" s="4">
        <f>COUNTIF($BD$2:$BD$545,BD24)</f>
        <v/>
      </c>
      <c r="BH24" s="4">
        <f>COUNTIF($BE$2:$BE$545,BE24)</f>
        <v/>
      </c>
      <c r="BI24" s="3">
        <f t="array" ref="BI24">IF(N(AU24)&gt;=MIN_N,AT24,IF(BH24&gt;=MIN_N,MEDIAN(IF($BE$2:$BE$545=BE24,$O$2:$O$545)),IF(BG24&gt;=MIN_N,MEDIAN(IF($BD$2:$BD$545=BD24,$O$2:$O$545)),MEDIAN(IF($BC$2:$BC$545=BC24,$O$2:$O$545)))))</f>
        <v/>
      </c>
      <c r="BJ24" s="3">
        <f>IF(N(AU24)&gt;=MIN_N,"mercado "&amp;AV24,IF(BH24&gt;=MIN_N,"modelo+año+km",IF(BG24&gt;=MIN_N,"modelo+año","modelo")))</f>
        <v/>
      </c>
      <c r="BK24" s="4">
        <f>(BI24-O24)/BI24</f>
        <v/>
      </c>
      <c r="BL24" s="3">
        <f>IF(COUNTIFS(FR_FUEL,K24,FR_YEAR,AP24)&gt;0,1,0)</f>
        <v/>
      </c>
      <c r="BM24" s="3">
        <f>IF(COUNTIFS(FR_FUEL,K24,FR_YEAR,AP24-1)&gt;0,1,0)</f>
        <v/>
      </c>
      <c r="BN24" s="4">
        <f>IF(N(AQ24)&gt;0,AP24*100+AQ24,IF(AND(BL24=1,BM24=1),(AP24-1)*100+1,AP24*100+1))</f>
        <v/>
      </c>
      <c r="BO24" s="3">
        <f>IF(OR(K24="hibrido",K24="glp",K24="gnc",K24="phev"),"ECO",IF(K24="electrico","CERO",IF(K24="gasolina",IF(BN24&gt;=GAS_C_YM,"C",IF(BN24&gt;=GAS_B_YM,"B","A")),IF(K24="diesel",IF(BN24&gt;=DIE_C_YM,"C",IF(BN24&gt;=DIE_B_YM,"B","A")),""))))</f>
        <v/>
      </c>
      <c r="BP24" s="4">
        <f>BO24</f>
        <v/>
      </c>
      <c r="BQ24" s="4">
        <f>IF(AS24="regla",IF(AND(N(AQ24)=0,BL24=1),"sí","no"),"no")</f>
        <v/>
      </c>
      <c r="BR24" s="3">
        <f>IFERROR(VLOOKUP(F24,MOD_TBL,11,0),IFERROR(VLOOKUP(E24,OCU_TBL,2,0),NEUTRO))</f>
        <v/>
      </c>
      <c r="BS24" s="3">
        <f>SUMIFS(MOT_AJUSTE,MOT_MOTOR,G24,MOT_MARCA,E24,MOT_DESDE,"&lt;="&amp;M24,MOT_HASTA,"&gt;="&amp;M24)+SUMIFS(MOT_AJUSTE,MOT_MOTOR,G24,MOT_MARCA,"(todas)",MOT_DESDE,"&lt;="&amp;M24,MOT_HASTA,"&gt;="&amp;M24)</f>
        <v/>
      </c>
      <c r="BT24" s="3">
        <f>SUMIFS(COMB_AJUSTE,COMB_COMB,K24)</f>
        <v/>
      </c>
      <c r="BU24" s="3">
        <f>COUNTIFS(MOT_MOTOR,G24,MOT_MARCA,E24,MOT_DESDE,"&lt;="&amp;M24,MOT_HASTA,"&gt;="&amp;M24)+COUNTIFS(MOT_MOTOR,G24,MOT_MARCA,"(todas)",MOT_DESDE,"&lt;="&amp;M24,MOT_HASTA,"&gt;="&amp;M24)</f>
        <v/>
      </c>
      <c r="BV24" s="3">
        <f>IF(AND(K24="diesel",BU24=0),MIN(BR24,NEUTRO),BR24)</f>
        <v/>
      </c>
      <c r="BW24" s="4">
        <f>MAX(0,MIN(100,BV24+BS24+BT24))</f>
        <v/>
      </c>
      <c r="BX24" s="3">
        <f>MAX(0,MIN(100,50+BK24*PRECIO_PEND))</f>
        <v/>
      </c>
      <c r="BY24" s="3">
        <f>MAX(0,100*(1-N24/KM_MAX))</f>
        <v/>
      </c>
      <c r="BZ24" s="3">
        <f>IF(BB24&lt;KMA_SOSP,IF(AA24="sí",100,KMA_PEN),IF(BB24&lt;=KMA_IDEAL_MAX,100,MAX(0,100*(KMA_CERO-BB24)/(KMA_CERO-KMA_IDEAL_MAX))))</f>
        <v/>
      </c>
      <c r="CA24" s="3">
        <f>MAX(0,MIN(100,100*(M24-ANIO_MIN)/(ANIO_ACTUAL-ANIO_MIN)))</f>
        <v/>
      </c>
      <c r="CB24" s="3">
        <f>W_KMT*BY24+W_KMA*BZ24+W_EDAD*CA24</f>
        <v/>
      </c>
      <c r="CC24" s="3">
        <f>P_ITV*(V24="sí")+P_LIBRO*(W24="sí")+P_CORREA*(X24="sí")+P_PROP*(Y24=1)+P_GAR*(Z24="sí")+P_FOTOS*MIN(1,N(U24)/FOTOS_OBJ)</f>
        <v/>
      </c>
      <c r="CD24" s="3">
        <f>MAX(0,MIN(100,IFERROR(VLOOKUP(BP24,ETQ_TBL,2,0),0)-IF(BQ24="sí",ETQ_PEN_DUD,IF(AS24="regla",ETQ_PEN_REGLA,0))))</f>
        <v/>
      </c>
      <c r="CE24" s="3">
        <f>NEUTRO</f>
        <v/>
      </c>
      <c r="CF24" s="3">
        <f>IFERROR(VLOOKUP(L24,SEGURO_TBL,3,0),"")</f>
        <v/>
      </c>
      <c r="CG24" s="3">
        <f>IF(CF24="",NEUTRO,MAX(0,MIN(100,100*(SEG_REF_MAX-CF24)/(SEG_REF_MAX-SEG_REF_MIN))))</f>
        <v/>
      </c>
      <c r="CH24" s="3">
        <f>W_CONS*CE24+W_SEG*CG24</f>
        <v/>
      </c>
      <c r="CI24" s="3">
        <f>IF(N(AB24)&gt;0,AB24,IF(AND(R24="profesional",SG_LEGAL_ON=1),GAR_LEGAL,0))</f>
        <v/>
      </c>
      <c r="CJ24" s="3">
        <f>SG_GAR*MIN(1,CI24/SG_GAR_FULL)+SG_AMPL*(AC24="sí")+SG_KMC*(AF24="sí")+SG_REV*(N(AE24)&gt;0)+SG_DEV*MIN(1,N(AG24)/SG_DEV_FULL)+SG_HIST*(W24="sí")</f>
        <v/>
      </c>
      <c r="CK24" s="3">
        <f>IFERROR(VLOOKUP(L24,CARR_PEN_TBL,2,0),0)</f>
        <v/>
      </c>
      <c r="CL24" s="3">
        <f>W_FIAB*BW24+W_PRECIO*BX24+W_KMEDAD*CB24+W_ANUNCIO*CC24+W_USO*CH24+W_SEGURIDAD*CJ24+W_ETIQUETA*CD24-CK24</f>
        <v/>
      </c>
      <c r="CM24" s="4">
        <f>IF(N(I24)&gt;0,I24,IFERROR(ROUND(_xlfn.NUMBERVALUE(LEFT(G24,FIND(" ",G24&amp;" ")-1),".")*1000,0),99999))</f>
        <v/>
      </c>
      <c r="CN24" s="3">
        <f>IF(R24="profesional",0,IF(O24&lt;CUOTA_VALOR_MAX,IF(BA24&gt;ITP_TRAMO_ALTO,SUMIFS(CF_CUOTA,CF_MAS,ITP_TRAMO_ALTO,CF_CCMIN,"&lt;="&amp;CM24,CF_CCMAX,"&gt;="&amp;CM24),IF(BA24&gt;ITP_TRAMO_BAJO,SUMIFS(CF_CUOTA,CF_MAS,ITP_TRAMO_BAJO,CF_CCMIN,"&lt;="&amp;CM24,CF_CCMAX,"&gt;="&amp;CM24),O24*ITP_TIPO)),O24*ITP_TIPO))</f>
        <v/>
      </c>
      <c r="CO24" s="4">
        <f>IF(R24="profesional",N(AK24),0)</f>
        <v/>
      </c>
      <c r="CP24" s="3">
        <f>IF(AND(R24="profesional",ISNUMBER(AK24),AL24="sí"),0,TASA_DGT)</f>
        <v/>
      </c>
      <c r="CQ24" s="3">
        <f>INFORME_DGT</f>
        <v/>
      </c>
      <c r="CR24" s="4">
        <f>O24+CO24+CN24+CP24+CQ24</f>
        <v/>
      </c>
      <c r="CS24" s="4">
        <f>CR24+N(CF24)</f>
        <v/>
      </c>
      <c r="CT24" s="3">
        <f>IF(CR24&lt;=TOTAL_MAX,"sí",IF(CR24&lt;=TOTAL_MAX+MARGEN_NEG,"negociar","no"))</f>
        <v/>
      </c>
      <c r="CU24" s="4">
        <f>IF(CT24&lt;&gt;"no",COUNTIFS($CT$2:$CT$545,"&lt;&gt;no",$CL$2:$CL$545,"&gt;"&amp;CL24)+COUNTIFS($CT$2:CT24,"&lt;&gt;no",$CL$2:CL24,CL24),"")</f>
        <v/>
      </c>
    </row>
    <row r="25">
      <c r="A25" s="2" t="inlineStr">
        <is>
          <t>wallapop:1254410344</t>
        </is>
      </c>
      <c r="B25" s="2" t="inlineStr">
        <is>
          <t>wallapop</t>
        </is>
      </c>
      <c r="C25" s="2" t="inlineStr">
        <is>
          <t>https://es.wallapop.com/item/toyota-prius-2009-1254410344</t>
        </is>
      </c>
      <c r="D25" s="2" t="inlineStr">
        <is>
          <t>Toyota Prius 2009</t>
        </is>
      </c>
      <c r="E25" s="2" t="inlineStr">
        <is>
          <t>Toyota</t>
        </is>
      </c>
      <c r="F25" s="2" t="inlineStr">
        <is>
          <t>Toyota Prius</t>
        </is>
      </c>
      <c r="G25" s="2" t="inlineStr">
        <is>
          <t>1.8 Hybrid</t>
        </is>
      </c>
      <c r="H25" s="2" t="inlineStr">
        <is>
          <t>1.8 136 HSD Advance 5p</t>
        </is>
      </c>
      <c r="I25" s="2" t="n"/>
      <c r="J25" s="2" t="n">
        <v>136</v>
      </c>
      <c r="K25" s="2" t="inlineStr">
        <is>
          <t>hibrido</t>
        </is>
      </c>
      <c r="L25" s="2" t="inlineStr">
        <is>
          <t>compacto</t>
        </is>
      </c>
      <c r="M25" s="2" t="n">
        <v>2009</v>
      </c>
      <c r="N25" s="2" t="n">
        <v>70000</v>
      </c>
      <c r="O25" s="2" t="n">
        <v>3999</v>
      </c>
      <c r="P25" s="2" t="inlineStr">
        <is>
          <t>automatico</t>
        </is>
      </c>
      <c r="Q25" s="2" t="inlineStr">
        <is>
          <t>sí</t>
        </is>
      </c>
      <c r="R25" s="2" t="inlineStr">
        <is>
          <t>particular</t>
        </is>
      </c>
      <c r="S25" s="2" t="inlineStr">
        <is>
          <t>Valencia (46002)</t>
        </is>
      </c>
      <c r="T25" s="2" t="inlineStr">
        <is>
          <t>2026-10-08T19:28:02</t>
        </is>
      </c>
      <c r="U25" s="2" t="n">
        <v>8</v>
      </c>
      <c r="V25" s="2" t="n"/>
      <c r="W25" s="2" t="n"/>
      <c r="X25" s="2" t="n"/>
      <c r="Y25" s="2" t="n"/>
      <c r="Z25" s="2" t="n"/>
      <c r="AA25" s="2" t="n"/>
      <c r="AB25" s="2" t="n"/>
      <c r="AC25" s="2" t="n"/>
      <c r="AD25" s="2" t="n"/>
      <c r="AE25" s="2" t="n"/>
      <c r="AF25" s="2" t="n"/>
      <c r="AG25" s="2" t="n"/>
      <c r="AH25" s="2" t="n"/>
      <c r="AI25" s="2" t="n"/>
      <c r="AJ25" s="2" t="n"/>
      <c r="AK25" s="2" t="n"/>
      <c r="AL25" s="2" t="n"/>
      <c r="AM25" s="2" t="n">
        <v>0.9</v>
      </c>
      <c r="AN25" s="2" t="n"/>
      <c r="AO25" s="2" t="inlineStr">
        <is>
          <t>2009</t>
        </is>
      </c>
      <c r="AP25" s="2" t="n">
        <v>2009</v>
      </c>
      <c r="AQ25" s="2" t="n"/>
      <c r="AR25" s="2" t="n"/>
      <c r="AS25" s="2" t="inlineStr">
        <is>
          <t>regla</t>
        </is>
      </c>
      <c r="AT25" s="2" t="n"/>
      <c r="AU25" s="2" t="n"/>
      <c r="AV25" s="2" t="n"/>
      <c r="AW25" s="2" t="n"/>
      <c r="AX25" s="2" t="inlineStr">
        <is>
          <t>cuota fija ITP: &gt;12 años, 1.501-2.000 cc; mediana con solo 1 anuncio(s)</t>
        </is>
      </c>
      <c r="AY25" s="2" t="inlineStr">
        <is>
          <t xml:space="preserve">Sin catalizador.(350€ en desguace) Le falta la marca toyota delantera como se ve en la foto y parachoques delantero para reparar o cambiar de ( desguace 150€ )Por lo demás en perfecto estado. Sin problemas, con motor cambiado de 70.000 km carroceria 490.000 km y bateria hibrida cambiada. Fue taxi. Muy bien cuidado
</t>
        </is>
      </c>
      <c r="AZ25" s="2" t="inlineStr">
        <is>
          <t>https://es.wallapop.com/item/toyota-prius-2009-1254410344 (__NEXT_DATA__ item) /home/user/Alopecia/buscador-coches/raw/wallapop/830f984b89666fd2.json</t>
        </is>
      </c>
      <c r="BA25" s="3">
        <f>MAX(ANIO_ACTUAL-M25,0)</f>
        <v/>
      </c>
      <c r="BB25" s="4">
        <f>N25/MAX(BA25,0.5)</f>
        <v/>
      </c>
      <c r="BC25" s="4">
        <f>F25</f>
        <v/>
      </c>
      <c r="BD25" s="3">
        <f>BC25&amp;"|"&amp;INT(M25/SEG_ANIO)*SEG_ANIO</f>
        <v/>
      </c>
      <c r="BE25" s="3">
        <f>BD25&amp;"|"&amp;INT(N25/SEG_KM)*SEG_KM</f>
        <v/>
      </c>
      <c r="BF25" s="4">
        <f>COUNTIF($BC$2:$BC$545,BC25)</f>
        <v/>
      </c>
      <c r="BG25" s="4">
        <f>COUNTIF($BD$2:$BD$545,BD25)</f>
        <v/>
      </c>
      <c r="BH25" s="4">
        <f>COUNTIF($BE$2:$BE$545,BE25)</f>
        <v/>
      </c>
      <c r="BI25" s="3">
        <f t="array" ref="BI25">IF(N(AU25)&gt;=MIN_N,AT25,IF(BH25&gt;=MIN_N,MEDIAN(IF($BE$2:$BE$545=BE25,$O$2:$O$545)),IF(BG25&gt;=MIN_N,MEDIAN(IF($BD$2:$BD$545=BD25,$O$2:$O$545)),MEDIAN(IF($BC$2:$BC$545=BC25,$O$2:$O$545)))))</f>
        <v/>
      </c>
      <c r="BJ25" s="3">
        <f>IF(N(AU25)&gt;=MIN_N,"mercado "&amp;AV25,IF(BH25&gt;=MIN_N,"modelo+año+km",IF(BG25&gt;=MIN_N,"modelo+año","modelo")))</f>
        <v/>
      </c>
      <c r="BK25" s="4">
        <f>(BI25-O25)/BI25</f>
        <v/>
      </c>
      <c r="BL25" s="3">
        <f>IF(COUNTIFS(FR_FUEL,K25,FR_YEAR,AP25)&gt;0,1,0)</f>
        <v/>
      </c>
      <c r="BM25" s="3">
        <f>IF(COUNTIFS(FR_FUEL,K25,FR_YEAR,AP25-1)&gt;0,1,0)</f>
        <v/>
      </c>
      <c r="BN25" s="4">
        <f>IF(N(AQ25)&gt;0,AP25*100+AQ25,IF(AND(BL25=1,BM25=1),(AP25-1)*100+1,AP25*100+1))</f>
        <v/>
      </c>
      <c r="BO25" s="3">
        <f>IF(OR(K25="hibrido",K25="glp",K25="gnc",K25="phev"),"ECO",IF(K25="electrico","CERO",IF(K25="gasolina",IF(BN25&gt;=GAS_C_YM,"C",IF(BN25&gt;=GAS_B_YM,"B","A")),IF(K25="diesel",IF(BN25&gt;=DIE_C_YM,"C",IF(BN25&gt;=DIE_B_YM,"B","A")),""))))</f>
        <v/>
      </c>
      <c r="BP25" s="4">
        <f>BO25</f>
        <v/>
      </c>
      <c r="BQ25" s="4">
        <f>IF(AS25="regla",IF(AND(N(AQ25)=0,BL25=1),"sí","no"),"no")</f>
        <v/>
      </c>
      <c r="BR25" s="3">
        <f>IFERROR(VLOOKUP(F25,MOD_TBL,11,0),IFERROR(VLOOKUP(E25,OCU_TBL,2,0),NEUTRO))</f>
        <v/>
      </c>
      <c r="BS25" s="3">
        <f>SUMIFS(MOT_AJUSTE,MOT_MOTOR,G25,MOT_MARCA,E25,MOT_DESDE,"&lt;="&amp;M25,MOT_HASTA,"&gt;="&amp;M25)+SUMIFS(MOT_AJUSTE,MOT_MOTOR,G25,MOT_MARCA,"(todas)",MOT_DESDE,"&lt;="&amp;M25,MOT_HASTA,"&gt;="&amp;M25)</f>
        <v/>
      </c>
      <c r="BT25" s="3">
        <f>SUMIFS(COMB_AJUSTE,COMB_COMB,K25)</f>
        <v/>
      </c>
      <c r="BU25" s="3">
        <f>COUNTIFS(MOT_MOTOR,G25,MOT_MARCA,E25,MOT_DESDE,"&lt;="&amp;M25,MOT_HASTA,"&gt;="&amp;M25)+COUNTIFS(MOT_MOTOR,G25,MOT_MARCA,"(todas)",MOT_DESDE,"&lt;="&amp;M25,MOT_HASTA,"&gt;="&amp;M25)</f>
        <v/>
      </c>
      <c r="BV25" s="3">
        <f>IF(AND(K25="diesel",BU25=0),MIN(BR25,NEUTRO),BR25)</f>
        <v/>
      </c>
      <c r="BW25" s="4">
        <f>MAX(0,MIN(100,BV25+BS25+BT25))</f>
        <v/>
      </c>
      <c r="BX25" s="3">
        <f>MAX(0,MIN(100,50+BK25*PRECIO_PEND))</f>
        <v/>
      </c>
      <c r="BY25" s="3">
        <f>MAX(0,100*(1-N25/KM_MAX))</f>
        <v/>
      </c>
      <c r="BZ25" s="3">
        <f>IF(BB25&lt;KMA_SOSP,IF(AA25="sí",100,KMA_PEN),IF(BB25&lt;=KMA_IDEAL_MAX,100,MAX(0,100*(KMA_CERO-BB25)/(KMA_CERO-KMA_IDEAL_MAX))))</f>
        <v/>
      </c>
      <c r="CA25" s="3">
        <f>MAX(0,MIN(100,100*(M25-ANIO_MIN)/(ANIO_ACTUAL-ANIO_MIN)))</f>
        <v/>
      </c>
      <c r="CB25" s="3">
        <f>W_KMT*BY25+W_KMA*BZ25+W_EDAD*CA25</f>
        <v/>
      </c>
      <c r="CC25" s="3">
        <f>P_ITV*(V25="sí")+P_LIBRO*(W25="sí")+P_CORREA*(X25="sí")+P_PROP*(Y25=1)+P_GAR*(Z25="sí")+P_FOTOS*MIN(1,N(U25)/FOTOS_OBJ)</f>
        <v/>
      </c>
      <c r="CD25" s="3">
        <f>MAX(0,MIN(100,IFERROR(VLOOKUP(BP25,ETQ_TBL,2,0),0)-IF(BQ25="sí",ETQ_PEN_DUD,IF(AS25="regla",ETQ_PEN_REGLA,0))))</f>
        <v/>
      </c>
      <c r="CE25" s="3">
        <f>NEUTRO</f>
        <v/>
      </c>
      <c r="CF25" s="3">
        <f>IFERROR(VLOOKUP(L25,SEGURO_TBL,3,0),"")</f>
        <v/>
      </c>
      <c r="CG25" s="3">
        <f>IF(CF25="",NEUTRO,MAX(0,MIN(100,100*(SEG_REF_MAX-CF25)/(SEG_REF_MAX-SEG_REF_MIN))))</f>
        <v/>
      </c>
      <c r="CH25" s="3">
        <f>W_CONS*CE25+W_SEG*CG25</f>
        <v/>
      </c>
      <c r="CI25" s="3">
        <f>IF(N(AB25)&gt;0,AB25,IF(AND(R25="profesional",SG_LEGAL_ON=1),GAR_LEGAL,0))</f>
        <v/>
      </c>
      <c r="CJ25" s="3">
        <f>SG_GAR*MIN(1,CI25/SG_GAR_FULL)+SG_AMPL*(AC25="sí")+SG_KMC*(AF25="sí")+SG_REV*(N(AE25)&gt;0)+SG_DEV*MIN(1,N(AG25)/SG_DEV_FULL)+SG_HIST*(W25="sí")</f>
        <v/>
      </c>
      <c r="CK25" s="3">
        <f>IFERROR(VLOOKUP(L25,CARR_PEN_TBL,2,0),0)</f>
        <v/>
      </c>
      <c r="CL25" s="3">
        <f>W_FIAB*BW25+W_PRECIO*BX25+W_KMEDAD*CB25+W_ANUNCIO*CC25+W_USO*CH25+W_SEGURIDAD*CJ25+W_ETIQUETA*CD25-CK25</f>
        <v/>
      </c>
      <c r="CM25" s="4">
        <f>IF(N(I25)&gt;0,I25,IFERROR(ROUND(_xlfn.NUMBERVALUE(LEFT(G25,FIND(" ",G25&amp;" ")-1),".")*1000,0),99999))</f>
        <v/>
      </c>
      <c r="CN25" s="3">
        <f>IF(R25="profesional",0,IF(O25&lt;CUOTA_VALOR_MAX,IF(BA25&gt;ITP_TRAMO_ALTO,SUMIFS(CF_CUOTA,CF_MAS,ITP_TRAMO_ALTO,CF_CCMIN,"&lt;="&amp;CM25,CF_CCMAX,"&gt;="&amp;CM25),IF(BA25&gt;ITP_TRAMO_BAJO,SUMIFS(CF_CUOTA,CF_MAS,ITP_TRAMO_BAJO,CF_CCMIN,"&lt;="&amp;CM25,CF_CCMAX,"&gt;="&amp;CM25),O25*ITP_TIPO)),O25*ITP_TIPO))</f>
        <v/>
      </c>
      <c r="CO25" s="4">
        <f>IF(R25="profesional",N(AK25),0)</f>
        <v/>
      </c>
      <c r="CP25" s="3">
        <f>IF(AND(R25="profesional",ISNUMBER(AK25),AL25="sí"),0,TASA_DGT)</f>
        <v/>
      </c>
      <c r="CQ25" s="3">
        <f>INFORME_DGT</f>
        <v/>
      </c>
      <c r="CR25" s="4">
        <f>O25+CO25+CN25+CP25+CQ25</f>
        <v/>
      </c>
      <c r="CS25" s="4">
        <f>CR25+N(CF25)</f>
        <v/>
      </c>
      <c r="CT25" s="3">
        <f>IF(CR25&lt;=TOTAL_MAX,"sí",IF(CR25&lt;=TOTAL_MAX+MARGEN_NEG,"negociar","no"))</f>
        <v/>
      </c>
      <c r="CU25" s="4">
        <f>IF(CT25&lt;&gt;"no",COUNTIFS($CT$2:$CT$545,"&lt;&gt;no",$CL$2:$CL$545,"&gt;"&amp;CL25)+COUNTIFS($CT$2:CT25,"&lt;&gt;no",$CL$2:CL25,CL25),"")</f>
        <v/>
      </c>
    </row>
    <row r="26">
      <c r="A26" s="2" t="inlineStr">
        <is>
          <t>wallapop:1306889282</t>
        </is>
      </c>
      <c r="B26" s="2" t="inlineStr">
        <is>
          <t>wallapop</t>
        </is>
      </c>
      <c r="C26" s="2" t="inlineStr">
        <is>
          <t>https://es.wallapop.com/item/hyundai-i10-2008-1306889282</t>
        </is>
      </c>
      <c r="D26" s="2" t="inlineStr">
        <is>
          <t>Hyundai i10 2008</t>
        </is>
      </c>
      <c r="E26" s="2" t="inlineStr">
        <is>
          <t>Hyundai</t>
        </is>
      </c>
      <c r="F26" s="2" t="inlineStr">
        <is>
          <t>Hyundai i10</t>
        </is>
      </c>
      <c r="G26" s="2" t="inlineStr">
        <is>
          <t>1.1</t>
        </is>
      </c>
      <c r="H26" s="2" t="inlineStr">
        <is>
          <t>1.1 66 Classic 5p</t>
        </is>
      </c>
      <c r="I26" s="2" t="n"/>
      <c r="J26" s="2" t="n">
        <v>66</v>
      </c>
      <c r="K26" s="2" t="inlineStr">
        <is>
          <t>gasolina</t>
        </is>
      </c>
      <c r="L26" s="2" t="inlineStr">
        <is>
          <t>utilitario</t>
        </is>
      </c>
      <c r="M26" s="2" t="n">
        <v>2008</v>
      </c>
      <c r="N26" s="2" t="n">
        <v>133000</v>
      </c>
      <c r="O26" s="2" t="n">
        <v>3300</v>
      </c>
      <c r="P26" s="2" t="inlineStr">
        <is>
          <t>manual</t>
        </is>
      </c>
      <c r="Q26" s="2" t="inlineStr">
        <is>
          <t>no</t>
        </is>
      </c>
      <c r="R26" s="2" t="inlineStr">
        <is>
          <t>particular</t>
        </is>
      </c>
      <c r="S26" s="2" t="inlineStr">
        <is>
          <t>Valencia (46002)</t>
        </is>
      </c>
      <c r="T26" s="2" t="inlineStr">
        <is>
          <t>2026-10-22T18:44:25</t>
        </is>
      </c>
      <c r="U26" s="2" t="n">
        <v>4</v>
      </c>
      <c r="V26" s="2" t="n"/>
      <c r="W26" s="2" t="n"/>
      <c r="X26" s="2" t="inlineStr">
        <is>
          <t>sí</t>
        </is>
      </c>
      <c r="Y26" s="2" t="n"/>
      <c r="Z26" s="2" t="n"/>
      <c r="AA26" s="2" t="n"/>
      <c r="AB26" s="2" t="n"/>
      <c r="AC26" s="2" t="n"/>
      <c r="AD26" s="2" t="n"/>
      <c r="AE26" s="2" t="n"/>
      <c r="AF26" s="2" t="n"/>
      <c r="AG26" s="2" t="n"/>
      <c r="AH26" s="2" t="n"/>
      <c r="AI26" s="2" t="n"/>
      <c r="AJ26" s="2" t="n"/>
      <c r="AK26" s="2" t="n"/>
      <c r="AL26" s="2" t="n"/>
      <c r="AM26" s="2" t="n">
        <v>0.3</v>
      </c>
      <c r="AN26" s="2" t="n"/>
      <c r="AO26" s="2" t="inlineStr">
        <is>
          <t>2008</t>
        </is>
      </c>
      <c r="AP26" s="2" t="n">
        <v>2008</v>
      </c>
      <c r="AQ26" s="2" t="n"/>
      <c r="AR26" s="2" t="n"/>
      <c r="AS26" s="2" t="inlineStr">
        <is>
          <t>regla</t>
        </is>
      </c>
      <c r="AT26" s="2" t="n"/>
      <c r="AU26" s="2" t="n"/>
      <c r="AV26" s="2" t="n"/>
      <c r="AW26" s="2" t="n"/>
      <c r="AX26" s="2" t="inlineStr">
        <is>
          <t>cuota fija ITP: &gt;12 años, hasta 1.500 cc; mediana con solo 3 anuncio(s)</t>
        </is>
      </c>
      <c r="AY26" s="2" t="inlineStr">
        <is>
          <t xml:space="preserve">Coche muy cuco, recién pasada la ITV, mecánica en perfecto estado. Correa distribución cambiada a los 130000km. Precio negociable, razonable. </t>
        </is>
      </c>
      <c r="AZ26" s="2" t="inlineStr">
        <is>
          <t>https://es.wallapop.com/item/hyundai-i10-2008-1306889282 (__NEXT_DATA__ item) /home/user/Alopecia/buscador-coches/raw/wallapop/4d32262f32fcc6c8.json</t>
        </is>
      </c>
      <c r="BA26" s="3">
        <f>MAX(ANIO_ACTUAL-M26,0)</f>
        <v/>
      </c>
      <c r="BB26" s="4">
        <f>N26/MAX(BA26,0.5)</f>
        <v/>
      </c>
      <c r="BC26" s="4">
        <f>F26</f>
        <v/>
      </c>
      <c r="BD26" s="3">
        <f>BC26&amp;"|"&amp;INT(M26/SEG_ANIO)*SEG_ANIO</f>
        <v/>
      </c>
      <c r="BE26" s="3">
        <f>BD26&amp;"|"&amp;INT(N26/SEG_KM)*SEG_KM</f>
        <v/>
      </c>
      <c r="BF26" s="4">
        <f>COUNTIF($BC$2:$BC$545,BC26)</f>
        <v/>
      </c>
      <c r="BG26" s="4">
        <f>COUNTIF($BD$2:$BD$545,BD26)</f>
        <v/>
      </c>
      <c r="BH26" s="4">
        <f>COUNTIF($BE$2:$BE$545,BE26)</f>
        <v/>
      </c>
      <c r="BI26" s="3">
        <f t="array" ref="BI26">IF(N(AU26)&gt;=MIN_N,AT26,IF(BH26&gt;=MIN_N,MEDIAN(IF($BE$2:$BE$545=BE26,$O$2:$O$545)),IF(BG26&gt;=MIN_N,MEDIAN(IF($BD$2:$BD$545=BD26,$O$2:$O$545)),MEDIAN(IF($BC$2:$BC$545=BC26,$O$2:$O$545)))))</f>
        <v/>
      </c>
      <c r="BJ26" s="3">
        <f>IF(N(AU26)&gt;=MIN_N,"mercado "&amp;AV26,IF(BH26&gt;=MIN_N,"modelo+año+km",IF(BG26&gt;=MIN_N,"modelo+año","modelo")))</f>
        <v/>
      </c>
      <c r="BK26" s="4">
        <f>(BI26-O26)/BI26</f>
        <v/>
      </c>
      <c r="BL26" s="3">
        <f>IF(COUNTIFS(FR_FUEL,K26,FR_YEAR,AP26)&gt;0,1,0)</f>
        <v/>
      </c>
      <c r="BM26" s="3">
        <f>IF(COUNTIFS(FR_FUEL,K26,FR_YEAR,AP26-1)&gt;0,1,0)</f>
        <v/>
      </c>
      <c r="BN26" s="4">
        <f>IF(N(AQ26)&gt;0,AP26*100+AQ26,IF(AND(BL26=1,BM26=1),(AP26-1)*100+1,AP26*100+1))</f>
        <v/>
      </c>
      <c r="BO26" s="3">
        <f>IF(OR(K26="hibrido",K26="glp",K26="gnc",K26="phev"),"ECO",IF(K26="electrico","CERO",IF(K26="gasolina",IF(BN26&gt;=GAS_C_YM,"C",IF(BN26&gt;=GAS_B_YM,"B","A")),IF(K26="diesel",IF(BN26&gt;=DIE_C_YM,"C",IF(BN26&gt;=DIE_B_YM,"B","A")),""))))</f>
        <v/>
      </c>
      <c r="BP26" s="4">
        <f>BO26</f>
        <v/>
      </c>
      <c r="BQ26" s="4">
        <f>IF(AS26="regla",IF(AND(N(AQ26)=0,BL26=1),"sí","no"),"no")</f>
        <v/>
      </c>
      <c r="BR26" s="3">
        <f>IFERROR(VLOOKUP(F26,MOD_TBL,11,0),IFERROR(VLOOKUP(E26,OCU_TBL,2,0),NEUTRO))</f>
        <v/>
      </c>
      <c r="BS26" s="3">
        <f>SUMIFS(MOT_AJUSTE,MOT_MOTOR,G26,MOT_MARCA,E26,MOT_DESDE,"&lt;="&amp;M26,MOT_HASTA,"&gt;="&amp;M26)+SUMIFS(MOT_AJUSTE,MOT_MOTOR,G26,MOT_MARCA,"(todas)",MOT_DESDE,"&lt;="&amp;M26,MOT_HASTA,"&gt;="&amp;M26)</f>
        <v/>
      </c>
      <c r="BT26" s="3">
        <f>SUMIFS(COMB_AJUSTE,COMB_COMB,K26)</f>
        <v/>
      </c>
      <c r="BU26" s="3">
        <f>COUNTIFS(MOT_MOTOR,G26,MOT_MARCA,E26,MOT_DESDE,"&lt;="&amp;M26,MOT_HASTA,"&gt;="&amp;M26)+COUNTIFS(MOT_MOTOR,G26,MOT_MARCA,"(todas)",MOT_DESDE,"&lt;="&amp;M26,MOT_HASTA,"&gt;="&amp;M26)</f>
        <v/>
      </c>
      <c r="BV26" s="3">
        <f>IF(AND(K26="diesel",BU26=0),MIN(BR26,NEUTRO),BR26)</f>
        <v/>
      </c>
      <c r="BW26" s="4">
        <f>MAX(0,MIN(100,BV26+BS26+BT26))</f>
        <v/>
      </c>
      <c r="BX26" s="3">
        <f>MAX(0,MIN(100,50+BK26*PRECIO_PEND))</f>
        <v/>
      </c>
      <c r="BY26" s="3">
        <f>MAX(0,100*(1-N26/KM_MAX))</f>
        <v/>
      </c>
      <c r="BZ26" s="3">
        <f>IF(BB26&lt;KMA_SOSP,IF(AA26="sí",100,KMA_PEN),IF(BB26&lt;=KMA_IDEAL_MAX,100,MAX(0,100*(KMA_CERO-BB26)/(KMA_CERO-KMA_IDEAL_MAX))))</f>
        <v/>
      </c>
      <c r="CA26" s="3">
        <f>MAX(0,MIN(100,100*(M26-ANIO_MIN)/(ANIO_ACTUAL-ANIO_MIN)))</f>
        <v/>
      </c>
      <c r="CB26" s="3">
        <f>W_KMT*BY26+W_KMA*BZ26+W_EDAD*CA26</f>
        <v/>
      </c>
      <c r="CC26" s="3">
        <f>P_ITV*(V26="sí")+P_LIBRO*(W26="sí")+P_CORREA*(X26="sí")+P_PROP*(Y26=1)+P_GAR*(Z26="sí")+P_FOTOS*MIN(1,N(U26)/FOTOS_OBJ)</f>
        <v/>
      </c>
      <c r="CD26" s="3">
        <f>MAX(0,MIN(100,IFERROR(VLOOKUP(BP26,ETQ_TBL,2,0),0)-IF(BQ26="sí",ETQ_PEN_DUD,IF(AS26="regla",ETQ_PEN_REGLA,0))))</f>
        <v/>
      </c>
      <c r="CE26" s="3">
        <f>NEUTRO</f>
        <v/>
      </c>
      <c r="CF26" s="3">
        <f>IFERROR(VLOOKUP(L26,SEGURO_TBL,3,0),"")</f>
        <v/>
      </c>
      <c r="CG26" s="3">
        <f>IF(CF26="",NEUTRO,MAX(0,MIN(100,100*(SEG_REF_MAX-CF26)/(SEG_REF_MAX-SEG_REF_MIN))))</f>
        <v/>
      </c>
      <c r="CH26" s="3">
        <f>W_CONS*CE26+W_SEG*CG26</f>
        <v/>
      </c>
      <c r="CI26" s="3">
        <f>IF(N(AB26)&gt;0,AB26,IF(AND(R26="profesional",SG_LEGAL_ON=1),GAR_LEGAL,0))</f>
        <v/>
      </c>
      <c r="CJ26" s="3">
        <f>SG_GAR*MIN(1,CI26/SG_GAR_FULL)+SG_AMPL*(AC26="sí")+SG_KMC*(AF26="sí")+SG_REV*(N(AE26)&gt;0)+SG_DEV*MIN(1,N(AG26)/SG_DEV_FULL)+SG_HIST*(W26="sí")</f>
        <v/>
      </c>
      <c r="CK26" s="3">
        <f>IFERROR(VLOOKUP(L26,CARR_PEN_TBL,2,0),0)</f>
        <v/>
      </c>
      <c r="CL26" s="3">
        <f>W_FIAB*BW26+W_PRECIO*BX26+W_KMEDAD*CB26+W_ANUNCIO*CC26+W_USO*CH26+W_SEGURIDAD*CJ26+W_ETIQUETA*CD26-CK26</f>
        <v/>
      </c>
      <c r="CM26" s="4">
        <f>IF(N(I26)&gt;0,I26,IFERROR(ROUND(_xlfn.NUMBERVALUE(LEFT(G26,FIND(" ",G26&amp;" ")-1),".")*1000,0),99999))</f>
        <v/>
      </c>
      <c r="CN26" s="3">
        <f>IF(R26="profesional",0,IF(O26&lt;CUOTA_VALOR_MAX,IF(BA26&gt;ITP_TRAMO_ALTO,SUMIFS(CF_CUOTA,CF_MAS,ITP_TRAMO_ALTO,CF_CCMIN,"&lt;="&amp;CM26,CF_CCMAX,"&gt;="&amp;CM26),IF(BA26&gt;ITP_TRAMO_BAJO,SUMIFS(CF_CUOTA,CF_MAS,ITP_TRAMO_BAJO,CF_CCMIN,"&lt;="&amp;CM26,CF_CCMAX,"&gt;="&amp;CM26),O26*ITP_TIPO)),O26*ITP_TIPO))</f>
        <v/>
      </c>
      <c r="CO26" s="4">
        <f>IF(R26="profesional",N(AK26),0)</f>
        <v/>
      </c>
      <c r="CP26" s="3">
        <f>IF(AND(R26="profesional",ISNUMBER(AK26),AL26="sí"),0,TASA_DGT)</f>
        <v/>
      </c>
      <c r="CQ26" s="3">
        <f>INFORME_DGT</f>
        <v/>
      </c>
      <c r="CR26" s="4">
        <f>O26+CO26+CN26+CP26+CQ26</f>
        <v/>
      </c>
      <c r="CS26" s="4">
        <f>CR26+N(CF26)</f>
        <v/>
      </c>
      <c r="CT26" s="3">
        <f>IF(CR26&lt;=TOTAL_MAX,"sí",IF(CR26&lt;=TOTAL_MAX+MARGEN_NEG,"negociar","no"))</f>
        <v/>
      </c>
      <c r="CU26" s="4">
        <f>IF(CT26&lt;&gt;"no",COUNTIFS($CT$2:$CT$545,"&lt;&gt;no",$CL$2:$CL$545,"&gt;"&amp;CL26)+COUNTIFS($CT$2:CT26,"&lt;&gt;no",$CL$2:CL26,CL26),"")</f>
        <v/>
      </c>
    </row>
    <row r="27">
      <c r="A27" s="2" t="inlineStr">
        <is>
          <t>wallapop:1303258356</t>
        </is>
      </c>
      <c r="B27" s="2" t="inlineStr">
        <is>
          <t>wallapop</t>
        </is>
      </c>
      <c r="C27" s="2" t="inlineStr">
        <is>
          <t>https://es.wallapop.com/item/hyundai-i30-2009-1303258356</t>
        </is>
      </c>
      <c r="D27" s="2" t="inlineStr">
        <is>
          <t>Hyundai i30 2009</t>
        </is>
      </c>
      <c r="E27" s="2" t="inlineStr">
        <is>
          <t>Hyundai</t>
        </is>
      </c>
      <c r="F27" s="2" t="inlineStr">
        <is>
          <t>Hyundai i30</t>
        </is>
      </c>
      <c r="G27" s="2" t="inlineStr">
        <is>
          <t>1.4</t>
        </is>
      </c>
      <c r="H27" s="2" t="inlineStr">
        <is>
          <t>1.4 109 Classic 5p</t>
        </is>
      </c>
      <c r="I27" s="2" t="n"/>
      <c r="J27" s="2" t="n">
        <v>109</v>
      </c>
      <c r="K27" s="2" t="inlineStr">
        <is>
          <t>gasolina</t>
        </is>
      </c>
      <c r="L27" s="2" t="inlineStr">
        <is>
          <t>compacto</t>
        </is>
      </c>
      <c r="M27" s="2" t="n">
        <v>2009</v>
      </c>
      <c r="N27" s="2" t="n">
        <v>177000</v>
      </c>
      <c r="O27" s="2" t="n">
        <v>4000</v>
      </c>
      <c r="P27" s="2" t="inlineStr">
        <is>
          <t>manual</t>
        </is>
      </c>
      <c r="Q27" s="2" t="inlineStr">
        <is>
          <t>no</t>
        </is>
      </c>
      <c r="R27" s="2" t="inlineStr">
        <is>
          <t>particular</t>
        </is>
      </c>
      <c r="S27" s="2" t="inlineStr">
        <is>
          <t>Valencia (46018)</t>
        </is>
      </c>
      <c r="T27" s="2" t="inlineStr">
        <is>
          <t>2026-10-21T07:05:34</t>
        </is>
      </c>
      <c r="U27" s="2" t="n">
        <v>3</v>
      </c>
      <c r="V27" s="2" t="n"/>
      <c r="W27" s="2" t="n"/>
      <c r="X27" s="2" t="n"/>
      <c r="Y27" s="2" t="n"/>
      <c r="Z27" s="2" t="n"/>
      <c r="AA27" s="2" t="n"/>
      <c r="AB27" s="2" t="n"/>
      <c r="AC27" s="2" t="n"/>
      <c r="AD27" s="2" t="n"/>
      <c r="AE27" s="2" t="n"/>
      <c r="AF27" s="2" t="n"/>
      <c r="AG27" s="2" t="n"/>
      <c r="AH27" s="2" t="n"/>
      <c r="AI27" s="2" t="n"/>
      <c r="AJ27" s="2" t="n"/>
      <c r="AK27" s="2" t="n"/>
      <c r="AL27" s="2" t="n"/>
      <c r="AM27" s="2" t="n">
        <v>1.2</v>
      </c>
      <c r="AN27" s="2" t="n"/>
      <c r="AO27" s="2" t="inlineStr">
        <is>
          <t>2009</t>
        </is>
      </c>
      <c r="AP27" s="2" t="n">
        <v>2009</v>
      </c>
      <c r="AQ27" s="2" t="n"/>
      <c r="AR27" s="2" t="n"/>
      <c r="AS27" s="2" t="inlineStr">
        <is>
          <t>regla</t>
        </is>
      </c>
      <c r="AT27" s="2" t="n">
        <v>5850</v>
      </c>
      <c r="AU27" s="2" t="n">
        <v>7</v>
      </c>
      <c r="AV27" s="2" t="inlineStr">
        <is>
          <t>modelo+año</t>
        </is>
      </c>
      <c r="AW27" s="2" t="n"/>
      <c r="AX27" s="2" t="inlineStr">
        <is>
          <t>cuota fija ITP: &gt;12 años, hasta 1.500 cc</t>
        </is>
      </c>
      <c r="AY27" s="2" t="inlineStr">
        <is>
          <t xml:space="preserve">
Hyundai I30 en Valencia</t>
        </is>
      </c>
      <c r="AZ27" s="2" t="inlineStr">
        <is>
          <t>https://es.wallapop.com/item/hyundai-i30-2009-1303258356 (__NEXT_DATA__ item) /home/user/Alopecia/buscador-coches/raw/wallapop/275a620999c29339.json</t>
        </is>
      </c>
      <c r="BA27" s="3">
        <f>MAX(ANIO_ACTUAL-M27,0)</f>
        <v/>
      </c>
      <c r="BB27" s="4">
        <f>N27/MAX(BA27,0.5)</f>
        <v/>
      </c>
      <c r="BC27" s="4">
        <f>F27</f>
        <v/>
      </c>
      <c r="BD27" s="3">
        <f>BC27&amp;"|"&amp;INT(M27/SEG_ANIO)*SEG_ANIO</f>
        <v/>
      </c>
      <c r="BE27" s="3">
        <f>BD27&amp;"|"&amp;INT(N27/SEG_KM)*SEG_KM</f>
        <v/>
      </c>
      <c r="BF27" s="4">
        <f>COUNTIF($BC$2:$BC$545,BC27)</f>
        <v/>
      </c>
      <c r="BG27" s="4">
        <f>COUNTIF($BD$2:$BD$545,BD27)</f>
        <v/>
      </c>
      <c r="BH27" s="4">
        <f>COUNTIF($BE$2:$BE$545,BE27)</f>
        <v/>
      </c>
      <c r="BI27" s="3">
        <f t="array" ref="BI27">IF(N(AU27)&gt;=MIN_N,AT27,IF(BH27&gt;=MIN_N,MEDIAN(IF($BE$2:$BE$545=BE27,$O$2:$O$545)),IF(BG27&gt;=MIN_N,MEDIAN(IF($BD$2:$BD$545=BD27,$O$2:$O$545)),MEDIAN(IF($BC$2:$BC$545=BC27,$O$2:$O$545)))))</f>
        <v/>
      </c>
      <c r="BJ27" s="3">
        <f>IF(N(AU27)&gt;=MIN_N,"mercado "&amp;AV27,IF(BH27&gt;=MIN_N,"modelo+año+km",IF(BG27&gt;=MIN_N,"modelo+año","modelo")))</f>
        <v/>
      </c>
      <c r="BK27" s="4">
        <f>(BI27-O27)/BI27</f>
        <v/>
      </c>
      <c r="BL27" s="3">
        <f>IF(COUNTIFS(FR_FUEL,K27,FR_YEAR,AP27)&gt;0,1,0)</f>
        <v/>
      </c>
      <c r="BM27" s="3">
        <f>IF(COUNTIFS(FR_FUEL,K27,FR_YEAR,AP27-1)&gt;0,1,0)</f>
        <v/>
      </c>
      <c r="BN27" s="4">
        <f>IF(N(AQ27)&gt;0,AP27*100+AQ27,IF(AND(BL27=1,BM27=1),(AP27-1)*100+1,AP27*100+1))</f>
        <v/>
      </c>
      <c r="BO27" s="3">
        <f>IF(OR(K27="hibrido",K27="glp",K27="gnc",K27="phev"),"ECO",IF(K27="electrico","CERO",IF(K27="gasolina",IF(BN27&gt;=GAS_C_YM,"C",IF(BN27&gt;=GAS_B_YM,"B","A")),IF(K27="diesel",IF(BN27&gt;=DIE_C_YM,"C",IF(BN27&gt;=DIE_B_YM,"B","A")),""))))</f>
        <v/>
      </c>
      <c r="BP27" s="4">
        <f>BO27</f>
        <v/>
      </c>
      <c r="BQ27" s="4">
        <f>IF(AS27="regla",IF(AND(N(AQ27)=0,BL27=1),"sí","no"),"no")</f>
        <v/>
      </c>
      <c r="BR27" s="3">
        <f>IFERROR(VLOOKUP(F27,MOD_TBL,11,0),IFERROR(VLOOKUP(E27,OCU_TBL,2,0),NEUTRO))</f>
        <v/>
      </c>
      <c r="BS27" s="3">
        <f>SUMIFS(MOT_AJUSTE,MOT_MOTOR,G27,MOT_MARCA,E27,MOT_DESDE,"&lt;="&amp;M27,MOT_HASTA,"&gt;="&amp;M27)+SUMIFS(MOT_AJUSTE,MOT_MOTOR,G27,MOT_MARCA,"(todas)",MOT_DESDE,"&lt;="&amp;M27,MOT_HASTA,"&gt;="&amp;M27)</f>
        <v/>
      </c>
      <c r="BT27" s="3">
        <f>SUMIFS(COMB_AJUSTE,COMB_COMB,K27)</f>
        <v/>
      </c>
      <c r="BU27" s="3">
        <f>COUNTIFS(MOT_MOTOR,G27,MOT_MARCA,E27,MOT_DESDE,"&lt;="&amp;M27,MOT_HASTA,"&gt;="&amp;M27)+COUNTIFS(MOT_MOTOR,G27,MOT_MARCA,"(todas)",MOT_DESDE,"&lt;="&amp;M27,MOT_HASTA,"&gt;="&amp;M27)</f>
        <v/>
      </c>
      <c r="BV27" s="3">
        <f>IF(AND(K27="diesel",BU27=0),MIN(BR27,NEUTRO),BR27)</f>
        <v/>
      </c>
      <c r="BW27" s="4">
        <f>MAX(0,MIN(100,BV27+BS27+BT27))</f>
        <v/>
      </c>
      <c r="BX27" s="3">
        <f>MAX(0,MIN(100,50+BK27*PRECIO_PEND))</f>
        <v/>
      </c>
      <c r="BY27" s="3">
        <f>MAX(0,100*(1-N27/KM_MAX))</f>
        <v/>
      </c>
      <c r="BZ27" s="3">
        <f>IF(BB27&lt;KMA_SOSP,IF(AA27="sí",100,KMA_PEN),IF(BB27&lt;=KMA_IDEAL_MAX,100,MAX(0,100*(KMA_CERO-BB27)/(KMA_CERO-KMA_IDEAL_MAX))))</f>
        <v/>
      </c>
      <c r="CA27" s="3">
        <f>MAX(0,MIN(100,100*(M27-ANIO_MIN)/(ANIO_ACTUAL-ANIO_MIN)))</f>
        <v/>
      </c>
      <c r="CB27" s="3">
        <f>W_KMT*BY27+W_KMA*BZ27+W_EDAD*CA27</f>
        <v/>
      </c>
      <c r="CC27" s="3">
        <f>P_ITV*(V27="sí")+P_LIBRO*(W27="sí")+P_CORREA*(X27="sí")+P_PROP*(Y27=1)+P_GAR*(Z27="sí")+P_FOTOS*MIN(1,N(U27)/FOTOS_OBJ)</f>
        <v/>
      </c>
      <c r="CD27" s="3">
        <f>MAX(0,MIN(100,IFERROR(VLOOKUP(BP27,ETQ_TBL,2,0),0)-IF(BQ27="sí",ETQ_PEN_DUD,IF(AS27="regla",ETQ_PEN_REGLA,0))))</f>
        <v/>
      </c>
      <c r="CE27" s="3">
        <f>NEUTRO</f>
        <v/>
      </c>
      <c r="CF27" s="3">
        <f>IFERROR(VLOOKUP(L27,SEGURO_TBL,3,0),"")</f>
        <v/>
      </c>
      <c r="CG27" s="3">
        <f>IF(CF27="",NEUTRO,MAX(0,MIN(100,100*(SEG_REF_MAX-CF27)/(SEG_REF_MAX-SEG_REF_MIN))))</f>
        <v/>
      </c>
      <c r="CH27" s="3">
        <f>W_CONS*CE27+W_SEG*CG27</f>
        <v/>
      </c>
      <c r="CI27" s="3">
        <f>IF(N(AB27)&gt;0,AB27,IF(AND(R27="profesional",SG_LEGAL_ON=1),GAR_LEGAL,0))</f>
        <v/>
      </c>
      <c r="CJ27" s="3">
        <f>SG_GAR*MIN(1,CI27/SG_GAR_FULL)+SG_AMPL*(AC27="sí")+SG_KMC*(AF27="sí")+SG_REV*(N(AE27)&gt;0)+SG_DEV*MIN(1,N(AG27)/SG_DEV_FULL)+SG_HIST*(W27="sí")</f>
        <v/>
      </c>
      <c r="CK27" s="3">
        <f>IFERROR(VLOOKUP(L27,CARR_PEN_TBL,2,0),0)</f>
        <v/>
      </c>
      <c r="CL27" s="3">
        <f>W_FIAB*BW27+W_PRECIO*BX27+W_KMEDAD*CB27+W_ANUNCIO*CC27+W_USO*CH27+W_SEGURIDAD*CJ27+W_ETIQUETA*CD27-CK27</f>
        <v/>
      </c>
      <c r="CM27" s="4">
        <f>IF(N(I27)&gt;0,I27,IFERROR(ROUND(_xlfn.NUMBERVALUE(LEFT(G27,FIND(" ",G27&amp;" ")-1),".")*1000,0),99999))</f>
        <v/>
      </c>
      <c r="CN27" s="3">
        <f>IF(R27="profesional",0,IF(O27&lt;CUOTA_VALOR_MAX,IF(BA27&gt;ITP_TRAMO_ALTO,SUMIFS(CF_CUOTA,CF_MAS,ITP_TRAMO_ALTO,CF_CCMIN,"&lt;="&amp;CM27,CF_CCMAX,"&gt;="&amp;CM27),IF(BA27&gt;ITP_TRAMO_BAJO,SUMIFS(CF_CUOTA,CF_MAS,ITP_TRAMO_BAJO,CF_CCMIN,"&lt;="&amp;CM27,CF_CCMAX,"&gt;="&amp;CM27),O27*ITP_TIPO)),O27*ITP_TIPO))</f>
        <v/>
      </c>
      <c r="CO27" s="4">
        <f>IF(R27="profesional",N(AK27),0)</f>
        <v/>
      </c>
      <c r="CP27" s="3">
        <f>IF(AND(R27="profesional",ISNUMBER(AK27),AL27="sí"),0,TASA_DGT)</f>
        <v/>
      </c>
      <c r="CQ27" s="3">
        <f>INFORME_DGT</f>
        <v/>
      </c>
      <c r="CR27" s="4">
        <f>O27+CO27+CN27+CP27+CQ27</f>
        <v/>
      </c>
      <c r="CS27" s="4">
        <f>CR27+N(CF27)</f>
        <v/>
      </c>
      <c r="CT27" s="3">
        <f>IF(CR27&lt;=TOTAL_MAX,"sí",IF(CR27&lt;=TOTAL_MAX+MARGEN_NEG,"negociar","no"))</f>
        <v/>
      </c>
      <c r="CU27" s="4">
        <f>IF(CT27&lt;&gt;"no",COUNTIFS($CT$2:$CT$545,"&lt;&gt;no",$CL$2:$CL$545,"&gt;"&amp;CL27)+COUNTIFS($CT$2:CT27,"&lt;&gt;no",$CL$2:CL27,CL27),"")</f>
        <v/>
      </c>
    </row>
    <row r="28">
      <c r="A28" s="2" t="inlineStr">
        <is>
          <t>cochesnet:71311230</t>
        </is>
      </c>
      <c r="B28" s="2" t="inlineStr">
        <is>
          <t>cochesnet</t>
        </is>
      </c>
      <c r="C28" s="2" t="inlineStr">
        <is>
          <t>https://www.coches.net/volkswagen-fox-14-tdi-70cv-3p-diesel-2008-en-valencia-71311230-covo.aspx</t>
        </is>
      </c>
      <c r="D28" s="2" t="inlineStr">
        <is>
          <t>VOLKSWAGEN Fox 1.4 TDI</t>
        </is>
      </c>
      <c r="E28" s="2" t="inlineStr">
        <is>
          <t>Volkswagen</t>
        </is>
      </c>
      <c r="F28" s="2" t="inlineStr">
        <is>
          <t>Volkswagen Fox</t>
        </is>
      </c>
      <c r="G28" s="2" t="inlineStr">
        <is>
          <t>1.4 TDI</t>
        </is>
      </c>
      <c r="H28" s="2" t="inlineStr">
        <is>
          <t>1.4 TDI 70cv</t>
        </is>
      </c>
      <c r="I28" s="2" t="n"/>
      <c r="J28" s="2" t="n">
        <v>70</v>
      </c>
      <c r="K28" s="2" t="inlineStr">
        <is>
          <t>diesel</t>
        </is>
      </c>
      <c r="L28" s="2" t="inlineStr">
        <is>
          <t>utilitario</t>
        </is>
      </c>
      <c r="M28" s="2" t="n">
        <v>2008</v>
      </c>
      <c r="N28" s="2" t="n">
        <v>205000</v>
      </c>
      <c r="O28" s="2" t="n">
        <v>2200</v>
      </c>
      <c r="P28" s="2" t="inlineStr">
        <is>
          <t>manual</t>
        </is>
      </c>
      <c r="Q28" s="2" t="inlineStr">
        <is>
          <t>no</t>
        </is>
      </c>
      <c r="R28" s="2" t="inlineStr">
        <is>
          <t>particular</t>
        </is>
      </c>
      <c r="S28" s="2" t="inlineStr">
        <is>
          <t>Valencia</t>
        </is>
      </c>
      <c r="T28" s="2" t="inlineStr">
        <is>
          <t>2026-08-18T10:05:07Z</t>
        </is>
      </c>
      <c r="U28" s="2" t="n">
        <v>8</v>
      </c>
      <c r="V28" s="2" t="inlineStr">
        <is>
          <t>sí</t>
        </is>
      </c>
      <c r="W28" s="2" t="n"/>
      <c r="X28" s="2" t="n"/>
      <c r="Y28" s="2" t="n"/>
      <c r="Z28" s="2" t="inlineStr">
        <is>
          <t>no</t>
        </is>
      </c>
      <c r="AA28" s="2" t="n"/>
      <c r="AB28" s="2" t="n"/>
      <c r="AC28" s="2" t="n"/>
      <c r="AD28" s="2" t="n"/>
      <c r="AE28" s="2" t="n"/>
      <c r="AF28" s="2" t="n"/>
      <c r="AG28" s="2" t="n"/>
      <c r="AH28" s="2" t="n">
        <v>2200</v>
      </c>
      <c r="AI28" s="2" t="n"/>
      <c r="AJ28" s="2" t="n"/>
      <c r="AK28" s="2" t="n"/>
      <c r="AL28" s="2" t="n"/>
      <c r="AM28" s="2" t="n">
        <v>0.1</v>
      </c>
      <c r="AN28" s="2" t="n"/>
      <c r="AO28" s="2" t="inlineStr">
        <is>
          <t>2008</t>
        </is>
      </c>
      <c r="AP28" s="2" t="n">
        <v>2008</v>
      </c>
      <c r="AQ28" s="2" t="n"/>
      <c r="AR28" s="2" t="inlineStr">
        <is>
          <t>B</t>
        </is>
      </c>
      <c r="AS28" s="2" t="inlineStr">
        <is>
          <t>anuncio</t>
        </is>
      </c>
      <c r="AT28" s="2" t="n"/>
      <c r="AU28" s="2" t="n"/>
      <c r="AV28" s="2" t="n"/>
      <c r="AW28" s="2" t="inlineStr">
        <is>
          <t>wallapop:1296442115 (https://es.wallapop.com/item/volkswagen-fox-2008-1296442115)</t>
        </is>
      </c>
      <c r="AX28" s="2" t="inlineStr">
        <is>
          <t>cuota fija ITP: &gt;12 años, hasta 1.500 cc; diésel: motor sin fuente de fiabilidad (fiabilidad limitada a neutra); fiabilidad del modelo PENDIENTE de fuente (puntuación neutra); mediana con solo 2 anuncio(s)</t>
        </is>
      </c>
      <c r="AY28" s="2" t="inlineStr">
        <is>
          <t xml:space="preserve">Volkswagen Fox 1.4 TDI Diesel 70cv
Matriculado en enero de 2008
Muy bajo consumo 4.3 L/100km
205.000 km
ITV hasta marzo
Ruedas delanteras al 60%
Ruedas traseras al 80%
Aire acondicionado hay que recargar cada año
2 llaves
Radio Android
Rueda de repuesto
Elevalunas eléctricos
Tiene arañazos por aparcar en la calle
El aire acondicionado tiene un poro y pierde el gas, pero la recarga dura un año aproximadamente.
La ITV la pasó bien en Marzo de 2026.
La última revisión fue hace 20.000 km.
</t>
        </is>
      </c>
      <c r="AZ28" s="2" t="inlineStr">
        <is>
          <t>https://www.coches.net/volkswagen-fox-14-tdi-70cv-3p-diesel-2008-en-valencia-71311230-covo.aspx (window.__INITIAL_PROPS__.ad) /home/user/Alopecia/buscador-coches/raw/cochesnet/500b38fdc0db8218.json</t>
        </is>
      </c>
      <c r="BA28" s="3">
        <f>MAX(ANIO_ACTUAL-M28,0)</f>
        <v/>
      </c>
      <c r="BB28" s="4">
        <f>N28/MAX(BA28,0.5)</f>
        <v/>
      </c>
      <c r="BC28" s="4">
        <f>F28</f>
        <v/>
      </c>
      <c r="BD28" s="3">
        <f>BC28&amp;"|"&amp;INT(M28/SEG_ANIO)*SEG_ANIO</f>
        <v/>
      </c>
      <c r="BE28" s="3">
        <f>BD28&amp;"|"&amp;INT(N28/SEG_KM)*SEG_KM</f>
        <v/>
      </c>
      <c r="BF28" s="4">
        <f>COUNTIF($BC$2:$BC$545,BC28)</f>
        <v/>
      </c>
      <c r="BG28" s="4">
        <f>COUNTIF($BD$2:$BD$545,BD28)</f>
        <v/>
      </c>
      <c r="BH28" s="4">
        <f>COUNTIF($BE$2:$BE$545,BE28)</f>
        <v/>
      </c>
      <c r="BI28" s="3">
        <f t="array" ref="BI28">IF(N(AU28)&gt;=MIN_N,AT28,IF(BH28&gt;=MIN_N,MEDIAN(IF($BE$2:$BE$545=BE28,$O$2:$O$545)),IF(BG28&gt;=MIN_N,MEDIAN(IF($BD$2:$BD$545=BD28,$O$2:$O$545)),MEDIAN(IF($BC$2:$BC$545=BC28,$O$2:$O$545)))))</f>
        <v/>
      </c>
      <c r="BJ28" s="3">
        <f>IF(N(AU28)&gt;=MIN_N,"mercado "&amp;AV28,IF(BH28&gt;=MIN_N,"modelo+año+km",IF(BG28&gt;=MIN_N,"modelo+año","modelo")))</f>
        <v/>
      </c>
      <c r="BK28" s="4">
        <f>(BI28-O28)/BI28</f>
        <v/>
      </c>
      <c r="BL28" s="3">
        <f>IF(COUNTIFS(FR_FUEL,K28,FR_YEAR,AP28)&gt;0,1,0)</f>
        <v/>
      </c>
      <c r="BM28" s="3">
        <f>IF(COUNTIFS(FR_FUEL,K28,FR_YEAR,AP28-1)&gt;0,1,0)</f>
        <v/>
      </c>
      <c r="BN28" s="4">
        <f>IF(N(AQ28)&gt;0,AP28*100+AQ28,IF(AND(BL28=1,BM28=1),(AP28-1)*100+1,AP28*100+1))</f>
        <v/>
      </c>
      <c r="BO28" s="3">
        <f>IF(OR(K28="hibrido",K28="glp",K28="gnc",K28="phev"),"ECO",IF(K28="electrico","CERO",IF(K28="gasolina",IF(BN28&gt;=GAS_C_YM,"C",IF(BN28&gt;=GAS_B_YM,"B","A")),IF(K28="diesel",IF(BN28&gt;=DIE_C_YM,"C",IF(BN28&gt;=DIE_B_YM,"B","A")),""))))</f>
        <v/>
      </c>
      <c r="BP28" s="2" t="inlineStr">
        <is>
          <t>B</t>
        </is>
      </c>
      <c r="BQ28" s="4">
        <f>IF(AS28="regla",IF(AND(N(AQ28)=0,BL28=1),"sí","no"),"no")</f>
        <v/>
      </c>
      <c r="BR28" s="3">
        <f>IFERROR(VLOOKUP(F28,MOD_TBL,11,0),IFERROR(VLOOKUP(E28,OCU_TBL,2,0),NEUTRO))</f>
        <v/>
      </c>
      <c r="BS28" s="3">
        <f>SUMIFS(MOT_AJUSTE,MOT_MOTOR,G28,MOT_MARCA,E28,MOT_DESDE,"&lt;="&amp;M28,MOT_HASTA,"&gt;="&amp;M28)+SUMIFS(MOT_AJUSTE,MOT_MOTOR,G28,MOT_MARCA,"(todas)",MOT_DESDE,"&lt;="&amp;M28,MOT_HASTA,"&gt;="&amp;M28)</f>
        <v/>
      </c>
      <c r="BT28" s="3">
        <f>SUMIFS(COMB_AJUSTE,COMB_COMB,K28)</f>
        <v/>
      </c>
      <c r="BU28" s="3">
        <f>COUNTIFS(MOT_MOTOR,G28,MOT_MARCA,E28,MOT_DESDE,"&lt;="&amp;M28,MOT_HASTA,"&gt;="&amp;M28)+COUNTIFS(MOT_MOTOR,G28,MOT_MARCA,"(todas)",MOT_DESDE,"&lt;="&amp;M28,MOT_HASTA,"&gt;="&amp;M28)</f>
        <v/>
      </c>
      <c r="BV28" s="3">
        <f>IF(AND(K28="diesel",BU28=0),MIN(BR28,NEUTRO),BR28)</f>
        <v/>
      </c>
      <c r="BW28" s="4">
        <f>MAX(0,MIN(100,BV28+BS28+BT28))</f>
        <v/>
      </c>
      <c r="BX28" s="3">
        <f>MAX(0,MIN(100,50+BK28*PRECIO_PEND))</f>
        <v/>
      </c>
      <c r="BY28" s="3">
        <f>MAX(0,100*(1-N28/KM_MAX))</f>
        <v/>
      </c>
      <c r="BZ28" s="3">
        <f>IF(BB28&lt;KMA_SOSP,IF(AA28="sí",100,KMA_PEN),IF(BB28&lt;=KMA_IDEAL_MAX,100,MAX(0,100*(KMA_CERO-BB28)/(KMA_CERO-KMA_IDEAL_MAX))))</f>
        <v/>
      </c>
      <c r="CA28" s="3">
        <f>MAX(0,MIN(100,100*(M28-ANIO_MIN)/(ANIO_ACTUAL-ANIO_MIN)))</f>
        <v/>
      </c>
      <c r="CB28" s="3">
        <f>W_KMT*BY28+W_KMA*BZ28+W_EDAD*CA28</f>
        <v/>
      </c>
      <c r="CC28" s="3">
        <f>P_ITV*(V28="sí")+P_LIBRO*(W28="sí")+P_CORREA*(X28="sí")+P_PROP*(Y28=1)+P_GAR*(Z28="sí")+P_FOTOS*MIN(1,N(U28)/FOTOS_OBJ)</f>
        <v/>
      </c>
      <c r="CD28" s="3">
        <f>MAX(0,MIN(100,IFERROR(VLOOKUP(BP28,ETQ_TBL,2,0),0)-IF(BQ28="sí",ETQ_PEN_DUD,IF(AS28="regla",ETQ_PEN_REGLA,0))))</f>
        <v/>
      </c>
      <c r="CE28" s="3">
        <f>NEUTRO</f>
        <v/>
      </c>
      <c r="CF28" s="3">
        <f>IFERROR(VLOOKUP(L28,SEGURO_TBL,3,0),"")</f>
        <v/>
      </c>
      <c r="CG28" s="3">
        <f>IF(CF28="",NEUTRO,MAX(0,MIN(100,100*(SEG_REF_MAX-CF28)/(SEG_REF_MAX-SEG_REF_MIN))))</f>
        <v/>
      </c>
      <c r="CH28" s="3">
        <f>W_CONS*CE28+W_SEG*CG28</f>
        <v/>
      </c>
      <c r="CI28" s="3">
        <f>IF(N(AB28)&gt;0,AB28,IF(AND(R28="profesional",SG_LEGAL_ON=1),GAR_LEGAL,0))</f>
        <v/>
      </c>
      <c r="CJ28" s="3">
        <f>SG_GAR*MIN(1,CI28/SG_GAR_FULL)+SG_AMPL*(AC28="sí")+SG_KMC*(AF28="sí")+SG_REV*(N(AE28)&gt;0)+SG_DEV*MIN(1,N(AG28)/SG_DEV_FULL)+SG_HIST*(W28="sí")</f>
        <v/>
      </c>
      <c r="CK28" s="3">
        <f>IFERROR(VLOOKUP(L28,CARR_PEN_TBL,2,0),0)</f>
        <v/>
      </c>
      <c r="CL28" s="3">
        <f>W_FIAB*BW28+W_PRECIO*BX28+W_KMEDAD*CB28+W_ANUNCIO*CC28+W_USO*CH28+W_SEGURIDAD*CJ28+W_ETIQUETA*CD28-CK28</f>
        <v/>
      </c>
      <c r="CM28" s="4">
        <f>IF(N(I28)&gt;0,I28,IFERROR(ROUND(_xlfn.NUMBERVALUE(LEFT(G28,FIND(" ",G28&amp;" ")-1),".")*1000,0),99999))</f>
        <v/>
      </c>
      <c r="CN28" s="3">
        <f>IF(R28="profesional",0,IF(O28&lt;CUOTA_VALOR_MAX,IF(BA28&gt;ITP_TRAMO_ALTO,SUMIFS(CF_CUOTA,CF_MAS,ITP_TRAMO_ALTO,CF_CCMIN,"&lt;="&amp;CM28,CF_CCMAX,"&gt;="&amp;CM28),IF(BA28&gt;ITP_TRAMO_BAJO,SUMIFS(CF_CUOTA,CF_MAS,ITP_TRAMO_BAJO,CF_CCMIN,"&lt;="&amp;CM28,CF_CCMAX,"&gt;="&amp;CM28),O28*ITP_TIPO)),O28*ITP_TIPO))</f>
        <v/>
      </c>
      <c r="CO28" s="4">
        <f>IF(R28="profesional",N(AK28),0)</f>
        <v/>
      </c>
      <c r="CP28" s="3">
        <f>IF(AND(R28="profesional",ISNUMBER(AK28),AL28="sí"),0,TASA_DGT)</f>
        <v/>
      </c>
      <c r="CQ28" s="3">
        <f>INFORME_DGT</f>
        <v/>
      </c>
      <c r="CR28" s="4">
        <f>O28+CO28+CN28+CP28+CQ28</f>
        <v/>
      </c>
      <c r="CS28" s="4">
        <f>CR28+N(CF28)</f>
        <v/>
      </c>
      <c r="CT28" s="3">
        <f>IF(CR28&lt;=TOTAL_MAX,"sí",IF(CR28&lt;=TOTAL_MAX+MARGEN_NEG,"negociar","no"))</f>
        <v/>
      </c>
      <c r="CU28" s="4">
        <f>IF(CT28&lt;&gt;"no",COUNTIFS($CT$2:$CT$545,"&lt;&gt;no",$CL$2:$CL$545,"&gt;"&amp;CL28)+COUNTIFS($CT$2:CT28,"&lt;&gt;no",$CL$2:CL28,CL28),"")</f>
        <v/>
      </c>
    </row>
    <row r="29">
      <c r="A29" s="2" t="inlineStr">
        <is>
          <t>wallapop:1310385297</t>
        </is>
      </c>
      <c r="B29" s="2" t="inlineStr">
        <is>
          <t>wallapop</t>
        </is>
      </c>
      <c r="C29" s="2" t="inlineStr">
        <is>
          <t>https://es.wallapop.com/item/opel-corsa-2008-1310385297</t>
        </is>
      </c>
      <c r="D29" s="2" t="inlineStr">
        <is>
          <t>Opel Corsa 2008</t>
        </is>
      </c>
      <c r="E29" s="2" t="inlineStr">
        <is>
          <t>Opel</t>
        </is>
      </c>
      <c r="F29" s="2" t="inlineStr">
        <is>
          <t>Opel Corsa</t>
        </is>
      </c>
      <c r="G29" s="2" t="inlineStr">
        <is>
          <t>1.4</t>
        </is>
      </c>
      <c r="H29" s="2" t="inlineStr">
        <is>
          <t>1.4 90 C Mon 3p</t>
        </is>
      </c>
      <c r="I29" s="2" t="n"/>
      <c r="J29" s="2" t="n">
        <v>90</v>
      </c>
      <c r="K29" s="2" t="inlineStr">
        <is>
          <t>gasolina</t>
        </is>
      </c>
      <c r="L29" s="2" t="inlineStr">
        <is>
          <t>utilitario</t>
        </is>
      </c>
      <c r="M29" s="2" t="n">
        <v>2008</v>
      </c>
      <c r="N29" s="2" t="n">
        <v>185000</v>
      </c>
      <c r="O29" s="2" t="n">
        <v>2399</v>
      </c>
      <c r="P29" s="2" t="inlineStr">
        <is>
          <t>manual</t>
        </is>
      </c>
      <c r="Q29" s="2" t="inlineStr">
        <is>
          <t>no</t>
        </is>
      </c>
      <c r="R29" s="2" t="inlineStr">
        <is>
          <t>particular</t>
        </is>
      </c>
      <c r="S29" s="2" t="inlineStr">
        <is>
          <t>Valencia (46002)</t>
        </is>
      </c>
      <c r="T29" s="2" t="inlineStr">
        <is>
          <t>2026-10-13T09:25:00</t>
        </is>
      </c>
      <c r="U29" s="2" t="n">
        <v>10</v>
      </c>
      <c r="V29" s="2" t="inlineStr">
        <is>
          <t>sí</t>
        </is>
      </c>
      <c r="W29" s="2" t="n"/>
      <c r="X29" s="2" t="n"/>
      <c r="Y29" s="2" t="n"/>
      <c r="Z29" s="2" t="n"/>
      <c r="AA29" s="2" t="n"/>
      <c r="AB29" s="2" t="n"/>
      <c r="AC29" s="2" t="n"/>
      <c r="AD29" s="2" t="n"/>
      <c r="AE29" s="2" t="n"/>
      <c r="AF29" s="2" t="n"/>
      <c r="AG29" s="2" t="n"/>
      <c r="AH29" s="2" t="n"/>
      <c r="AI29" s="2" t="n"/>
      <c r="AJ29" s="2" t="n"/>
      <c r="AK29" s="2" t="n"/>
      <c r="AL29" s="2" t="n"/>
      <c r="AM29" s="2" t="n">
        <v>0</v>
      </c>
      <c r="AN29" s="2" t="n"/>
      <c r="AO29" s="2" t="inlineStr">
        <is>
          <t>2008</t>
        </is>
      </c>
      <c r="AP29" s="2" t="n">
        <v>2008</v>
      </c>
      <c r="AQ29" s="2" t="n"/>
      <c r="AR29" s="2" t="n"/>
      <c r="AS29" s="2" t="inlineStr">
        <is>
          <t>regla</t>
        </is>
      </c>
      <c r="AT29" s="2" t="n">
        <v>3150</v>
      </c>
      <c r="AU29" s="2" t="n">
        <v>8</v>
      </c>
      <c r="AV29" s="2" t="inlineStr">
        <is>
          <t>modelo+año+km</t>
        </is>
      </c>
      <c r="AW29" s="2" t="n"/>
      <c r="AX29" s="2" t="inlineStr">
        <is>
          <t>cuota fija ITP: &gt;12 años, hasta 1.500 cc</t>
        </is>
      </c>
      <c r="AY29" s="2" t="inlineStr">
        <is>
          <t xml:space="preserve">Se vende opel corsa 1.4i coche fiable y robusto, itv hasta julio de 27 un utilitario para el dia dia, ya que tiene un consumo contenido y no tiene tendencia a las averias. 
Tiene techo solar, aire acondicionado, elevalunas electricos, control cruzero cierre centralizado. No es un coche de alta gama pero si un coche funcional.
Se encuentra en la poblacion de benifaio, cambio de nombre incluido en el precio.
Cualquier duda la respondere encantado.
Gancho:
Golf focus ford mondeo audi diesel gasolina dci tdi sdi cdti 1.9 2.0 meriva astra lupo polo clio megane a3 a4 fiesta </t>
        </is>
      </c>
      <c r="AZ29" s="2" t="inlineStr">
        <is>
          <t>https://es.wallapop.com/item/opel-corsa-2008-1310385297 (__NEXT_DATA__ item) /home/user/Alopecia/buscador-coches/raw/wallapop/01eab1cf519f8463.json</t>
        </is>
      </c>
      <c r="BA29" s="3">
        <f>MAX(ANIO_ACTUAL-M29,0)</f>
        <v/>
      </c>
      <c r="BB29" s="4">
        <f>N29/MAX(BA29,0.5)</f>
        <v/>
      </c>
      <c r="BC29" s="4">
        <f>F29</f>
        <v/>
      </c>
      <c r="BD29" s="3">
        <f>BC29&amp;"|"&amp;INT(M29/SEG_ANIO)*SEG_ANIO</f>
        <v/>
      </c>
      <c r="BE29" s="3">
        <f>BD29&amp;"|"&amp;INT(N29/SEG_KM)*SEG_KM</f>
        <v/>
      </c>
      <c r="BF29" s="4">
        <f>COUNTIF($BC$2:$BC$545,BC29)</f>
        <v/>
      </c>
      <c r="BG29" s="4">
        <f>COUNTIF($BD$2:$BD$545,BD29)</f>
        <v/>
      </c>
      <c r="BH29" s="4">
        <f>COUNTIF($BE$2:$BE$545,BE29)</f>
        <v/>
      </c>
      <c r="BI29" s="3">
        <f t="array" ref="BI29">IF(N(AU29)&gt;=MIN_N,AT29,IF(BH29&gt;=MIN_N,MEDIAN(IF($BE$2:$BE$545=BE29,$O$2:$O$545)),IF(BG29&gt;=MIN_N,MEDIAN(IF($BD$2:$BD$545=BD29,$O$2:$O$545)),MEDIAN(IF($BC$2:$BC$545=BC29,$O$2:$O$545)))))</f>
        <v/>
      </c>
      <c r="BJ29" s="3">
        <f>IF(N(AU29)&gt;=MIN_N,"mercado "&amp;AV29,IF(BH29&gt;=MIN_N,"modelo+año+km",IF(BG29&gt;=MIN_N,"modelo+año","modelo")))</f>
        <v/>
      </c>
      <c r="BK29" s="4">
        <f>(BI29-O29)/BI29</f>
        <v/>
      </c>
      <c r="BL29" s="3">
        <f>IF(COUNTIFS(FR_FUEL,K29,FR_YEAR,AP29)&gt;0,1,0)</f>
        <v/>
      </c>
      <c r="BM29" s="3">
        <f>IF(COUNTIFS(FR_FUEL,K29,FR_YEAR,AP29-1)&gt;0,1,0)</f>
        <v/>
      </c>
      <c r="BN29" s="4">
        <f>IF(N(AQ29)&gt;0,AP29*100+AQ29,IF(AND(BL29=1,BM29=1),(AP29-1)*100+1,AP29*100+1))</f>
        <v/>
      </c>
      <c r="BO29" s="3">
        <f>IF(OR(K29="hibrido",K29="glp",K29="gnc",K29="phev"),"ECO",IF(K29="electrico","CERO",IF(K29="gasolina",IF(BN29&gt;=GAS_C_YM,"C",IF(BN29&gt;=GAS_B_YM,"B","A")),IF(K29="diesel",IF(BN29&gt;=DIE_C_YM,"C",IF(BN29&gt;=DIE_B_YM,"B","A")),""))))</f>
        <v/>
      </c>
      <c r="BP29" s="4">
        <f>BO29</f>
        <v/>
      </c>
      <c r="BQ29" s="4">
        <f>IF(AS29="regla",IF(AND(N(AQ29)=0,BL29=1),"sí","no"),"no")</f>
        <v/>
      </c>
      <c r="BR29" s="3">
        <f>IFERROR(VLOOKUP(F29,MOD_TBL,11,0),IFERROR(VLOOKUP(E29,OCU_TBL,2,0),NEUTRO))</f>
        <v/>
      </c>
      <c r="BS29" s="3">
        <f>SUMIFS(MOT_AJUSTE,MOT_MOTOR,G29,MOT_MARCA,E29,MOT_DESDE,"&lt;="&amp;M29,MOT_HASTA,"&gt;="&amp;M29)+SUMIFS(MOT_AJUSTE,MOT_MOTOR,G29,MOT_MARCA,"(todas)",MOT_DESDE,"&lt;="&amp;M29,MOT_HASTA,"&gt;="&amp;M29)</f>
        <v/>
      </c>
      <c r="BT29" s="3">
        <f>SUMIFS(COMB_AJUSTE,COMB_COMB,K29)</f>
        <v/>
      </c>
      <c r="BU29" s="3">
        <f>COUNTIFS(MOT_MOTOR,G29,MOT_MARCA,E29,MOT_DESDE,"&lt;="&amp;M29,MOT_HASTA,"&gt;="&amp;M29)+COUNTIFS(MOT_MOTOR,G29,MOT_MARCA,"(todas)",MOT_DESDE,"&lt;="&amp;M29,MOT_HASTA,"&gt;="&amp;M29)</f>
        <v/>
      </c>
      <c r="BV29" s="3">
        <f>IF(AND(K29="diesel",BU29=0),MIN(BR29,NEUTRO),BR29)</f>
        <v/>
      </c>
      <c r="BW29" s="4">
        <f>MAX(0,MIN(100,BV29+BS29+BT29))</f>
        <v/>
      </c>
      <c r="BX29" s="3">
        <f>MAX(0,MIN(100,50+BK29*PRECIO_PEND))</f>
        <v/>
      </c>
      <c r="BY29" s="3">
        <f>MAX(0,100*(1-N29/KM_MAX))</f>
        <v/>
      </c>
      <c r="BZ29" s="3">
        <f>IF(BB29&lt;KMA_SOSP,IF(AA29="sí",100,KMA_PEN),IF(BB29&lt;=KMA_IDEAL_MAX,100,MAX(0,100*(KMA_CERO-BB29)/(KMA_CERO-KMA_IDEAL_MAX))))</f>
        <v/>
      </c>
      <c r="CA29" s="3">
        <f>MAX(0,MIN(100,100*(M29-ANIO_MIN)/(ANIO_ACTUAL-ANIO_MIN)))</f>
        <v/>
      </c>
      <c r="CB29" s="3">
        <f>W_KMT*BY29+W_KMA*BZ29+W_EDAD*CA29</f>
        <v/>
      </c>
      <c r="CC29" s="3">
        <f>P_ITV*(V29="sí")+P_LIBRO*(W29="sí")+P_CORREA*(X29="sí")+P_PROP*(Y29=1)+P_GAR*(Z29="sí")+P_FOTOS*MIN(1,N(U29)/FOTOS_OBJ)</f>
        <v/>
      </c>
      <c r="CD29" s="3">
        <f>MAX(0,MIN(100,IFERROR(VLOOKUP(BP29,ETQ_TBL,2,0),0)-IF(BQ29="sí",ETQ_PEN_DUD,IF(AS29="regla",ETQ_PEN_REGLA,0))))</f>
        <v/>
      </c>
      <c r="CE29" s="3">
        <f>NEUTRO</f>
        <v/>
      </c>
      <c r="CF29" s="3">
        <f>IFERROR(VLOOKUP(L29,SEGURO_TBL,3,0),"")</f>
        <v/>
      </c>
      <c r="CG29" s="3">
        <f>IF(CF29="",NEUTRO,MAX(0,MIN(100,100*(SEG_REF_MAX-CF29)/(SEG_REF_MAX-SEG_REF_MIN))))</f>
        <v/>
      </c>
      <c r="CH29" s="3">
        <f>W_CONS*CE29+W_SEG*CG29</f>
        <v/>
      </c>
      <c r="CI29" s="3">
        <f>IF(N(AB29)&gt;0,AB29,IF(AND(R29="profesional",SG_LEGAL_ON=1),GAR_LEGAL,0))</f>
        <v/>
      </c>
      <c r="CJ29" s="3">
        <f>SG_GAR*MIN(1,CI29/SG_GAR_FULL)+SG_AMPL*(AC29="sí")+SG_KMC*(AF29="sí")+SG_REV*(N(AE29)&gt;0)+SG_DEV*MIN(1,N(AG29)/SG_DEV_FULL)+SG_HIST*(W29="sí")</f>
        <v/>
      </c>
      <c r="CK29" s="3">
        <f>IFERROR(VLOOKUP(L29,CARR_PEN_TBL,2,0),0)</f>
        <v/>
      </c>
      <c r="CL29" s="3">
        <f>W_FIAB*BW29+W_PRECIO*BX29+W_KMEDAD*CB29+W_ANUNCIO*CC29+W_USO*CH29+W_SEGURIDAD*CJ29+W_ETIQUETA*CD29-CK29</f>
        <v/>
      </c>
      <c r="CM29" s="4">
        <f>IF(N(I29)&gt;0,I29,IFERROR(ROUND(_xlfn.NUMBERVALUE(LEFT(G29,FIND(" ",G29&amp;" ")-1),".")*1000,0),99999))</f>
        <v/>
      </c>
      <c r="CN29" s="3">
        <f>IF(R29="profesional",0,IF(O29&lt;CUOTA_VALOR_MAX,IF(BA29&gt;ITP_TRAMO_ALTO,SUMIFS(CF_CUOTA,CF_MAS,ITP_TRAMO_ALTO,CF_CCMIN,"&lt;="&amp;CM29,CF_CCMAX,"&gt;="&amp;CM29),IF(BA29&gt;ITP_TRAMO_BAJO,SUMIFS(CF_CUOTA,CF_MAS,ITP_TRAMO_BAJO,CF_CCMIN,"&lt;="&amp;CM29,CF_CCMAX,"&gt;="&amp;CM29),O29*ITP_TIPO)),O29*ITP_TIPO))</f>
        <v/>
      </c>
      <c r="CO29" s="4">
        <f>IF(R29="profesional",N(AK29),0)</f>
        <v/>
      </c>
      <c r="CP29" s="3">
        <f>IF(AND(R29="profesional",ISNUMBER(AK29),AL29="sí"),0,TASA_DGT)</f>
        <v/>
      </c>
      <c r="CQ29" s="3">
        <f>INFORME_DGT</f>
        <v/>
      </c>
      <c r="CR29" s="4">
        <f>O29+CO29+CN29+CP29+CQ29</f>
        <v/>
      </c>
      <c r="CS29" s="4">
        <f>CR29+N(CF29)</f>
        <v/>
      </c>
      <c r="CT29" s="3">
        <f>IF(CR29&lt;=TOTAL_MAX,"sí",IF(CR29&lt;=TOTAL_MAX+MARGEN_NEG,"negociar","no"))</f>
        <v/>
      </c>
      <c r="CU29" s="4">
        <f>IF(CT29&lt;&gt;"no",COUNTIFS($CT$2:$CT$545,"&lt;&gt;no",$CL$2:$CL$545,"&gt;"&amp;CL29)+COUNTIFS($CT$2:CT29,"&lt;&gt;no",$CL$2:CL29,CL29),"")</f>
        <v/>
      </c>
    </row>
    <row r="30">
      <c r="A30" s="2" t="inlineStr">
        <is>
          <t>wallapop:1318223085</t>
        </is>
      </c>
      <c r="B30" s="2" t="inlineStr">
        <is>
          <t>wallapop</t>
        </is>
      </c>
      <c r="C30" s="2" t="inlineStr">
        <is>
          <t>https://es.wallapop.com/item/opel-corsa-2009-1318223085</t>
        </is>
      </c>
      <c r="D30" s="2" t="inlineStr">
        <is>
          <t>Opel  Corsa 2009</t>
        </is>
      </c>
      <c r="E30" s="2" t="inlineStr">
        <is>
          <t>Opel</t>
        </is>
      </c>
      <c r="F30" s="2" t="inlineStr">
        <is>
          <t>Opel Corsa</t>
        </is>
      </c>
      <c r="G30" s="2" t="n"/>
      <c r="H30" s="2" t="n"/>
      <c r="I30" s="2" t="n"/>
      <c r="J30" s="2" t="n">
        <v>90</v>
      </c>
      <c r="K30" s="2" t="inlineStr">
        <is>
          <t>gasolina</t>
        </is>
      </c>
      <c r="L30" s="2" t="inlineStr">
        <is>
          <t>utilitario</t>
        </is>
      </c>
      <c r="M30" s="2" t="n">
        <v>2009</v>
      </c>
      <c r="N30" s="2" t="n">
        <v>118857</v>
      </c>
      <c r="O30" s="2" t="n">
        <v>3600</v>
      </c>
      <c r="P30" s="2" t="inlineStr">
        <is>
          <t>manual</t>
        </is>
      </c>
      <c r="Q30" s="2" t="inlineStr">
        <is>
          <t>no</t>
        </is>
      </c>
      <c r="R30" s="2" t="inlineStr">
        <is>
          <t>particular</t>
        </is>
      </c>
      <c r="S30" s="2" t="inlineStr">
        <is>
          <t>Valencia (46026)</t>
        </is>
      </c>
      <c r="T30" s="2" t="inlineStr">
        <is>
          <t>2026-10-28T18:33:29</t>
        </is>
      </c>
      <c r="U30" s="2" t="n">
        <v>8</v>
      </c>
      <c r="V30" s="2" t="n"/>
      <c r="W30" s="2" t="n"/>
      <c r="X30" s="2" t="n"/>
      <c r="Y30" s="2" t="n"/>
      <c r="Z30" s="2" t="n"/>
      <c r="AA30" s="2" t="n"/>
      <c r="AB30" s="2" t="n"/>
      <c r="AC30" s="2" t="n"/>
      <c r="AD30" s="2" t="n"/>
      <c r="AE30" s="2" t="n"/>
      <c r="AF30" s="2" t="n"/>
      <c r="AG30" s="2" t="n"/>
      <c r="AH30" s="2" t="n"/>
      <c r="AI30" s="2" t="n"/>
      <c r="AJ30" s="2" t="n"/>
      <c r="AK30" s="2" t="n"/>
      <c r="AL30" s="2" t="n"/>
      <c r="AM30" s="2" t="n">
        <v>2.8</v>
      </c>
      <c r="AN30" s="2" t="n"/>
      <c r="AO30" s="2" t="inlineStr">
        <is>
          <t>2009</t>
        </is>
      </c>
      <c r="AP30" s="2" t="n">
        <v>2009</v>
      </c>
      <c r="AQ30" s="2" t="n"/>
      <c r="AR30" s="2" t="n"/>
      <c r="AS30" s="2" t="inlineStr">
        <is>
          <t>regla</t>
        </is>
      </c>
      <c r="AT30" s="2" t="n">
        <v>3600</v>
      </c>
      <c r="AU30" s="2" t="n">
        <v>9</v>
      </c>
      <c r="AV30" s="2" t="inlineStr">
        <is>
          <t>modelo+año+km</t>
        </is>
      </c>
      <c r="AW30" s="2" t="n"/>
      <c r="AX30" s="2" t="inlineStr">
        <is>
          <t>cilindrada desconocida: se aplica el tramo de cuota fija más alto; cuota fija ITP: &gt;12 años, más de 2.000 cc</t>
        </is>
      </c>
      <c r="AY30" s="2" t="inlineStr">
        <is>
          <t xml:space="preserve">Tiene bloqueo de volante, parrot para llamadas y control crucero </t>
        </is>
      </c>
      <c r="AZ30" s="2" t="inlineStr">
        <is>
          <t>https://es.wallapop.com/item/opel-corsa-2009-1318223085 (__NEXT_DATA__ item) /home/user/Alopecia/buscador-coches/raw/wallapop/2a391b383404390b.json</t>
        </is>
      </c>
      <c r="BA30" s="3">
        <f>MAX(ANIO_ACTUAL-M30,0)</f>
        <v/>
      </c>
      <c r="BB30" s="4">
        <f>N30/MAX(BA30,0.5)</f>
        <v/>
      </c>
      <c r="BC30" s="4">
        <f>F30</f>
        <v/>
      </c>
      <c r="BD30" s="3">
        <f>BC30&amp;"|"&amp;INT(M30/SEG_ANIO)*SEG_ANIO</f>
        <v/>
      </c>
      <c r="BE30" s="3">
        <f>BD30&amp;"|"&amp;INT(N30/SEG_KM)*SEG_KM</f>
        <v/>
      </c>
      <c r="BF30" s="4">
        <f>COUNTIF($BC$2:$BC$545,BC30)</f>
        <v/>
      </c>
      <c r="BG30" s="4">
        <f>COUNTIF($BD$2:$BD$545,BD30)</f>
        <v/>
      </c>
      <c r="BH30" s="4">
        <f>COUNTIF($BE$2:$BE$545,BE30)</f>
        <v/>
      </c>
      <c r="BI30" s="3">
        <f t="array" ref="BI30">IF(N(AU30)&gt;=MIN_N,AT30,IF(BH30&gt;=MIN_N,MEDIAN(IF($BE$2:$BE$545=BE30,$O$2:$O$545)),IF(BG30&gt;=MIN_N,MEDIAN(IF($BD$2:$BD$545=BD30,$O$2:$O$545)),MEDIAN(IF($BC$2:$BC$545=BC30,$O$2:$O$545)))))</f>
        <v/>
      </c>
      <c r="BJ30" s="3">
        <f>IF(N(AU30)&gt;=MIN_N,"mercado "&amp;AV30,IF(BH30&gt;=MIN_N,"modelo+año+km",IF(BG30&gt;=MIN_N,"modelo+año","modelo")))</f>
        <v/>
      </c>
      <c r="BK30" s="4">
        <f>(BI30-O30)/BI30</f>
        <v/>
      </c>
      <c r="BL30" s="3">
        <f>IF(COUNTIFS(FR_FUEL,K30,FR_YEAR,AP30)&gt;0,1,0)</f>
        <v/>
      </c>
      <c r="BM30" s="3">
        <f>IF(COUNTIFS(FR_FUEL,K30,FR_YEAR,AP30-1)&gt;0,1,0)</f>
        <v/>
      </c>
      <c r="BN30" s="4">
        <f>IF(N(AQ30)&gt;0,AP30*100+AQ30,IF(AND(BL30=1,BM30=1),(AP30-1)*100+1,AP30*100+1))</f>
        <v/>
      </c>
      <c r="BO30" s="3">
        <f>IF(OR(K30="hibrido",K30="glp",K30="gnc",K30="phev"),"ECO",IF(K30="electrico","CERO",IF(K30="gasolina",IF(BN30&gt;=GAS_C_YM,"C",IF(BN30&gt;=GAS_B_YM,"B","A")),IF(K30="diesel",IF(BN30&gt;=DIE_C_YM,"C",IF(BN30&gt;=DIE_B_YM,"B","A")),""))))</f>
        <v/>
      </c>
      <c r="BP30" s="4">
        <f>BO30</f>
        <v/>
      </c>
      <c r="BQ30" s="4">
        <f>IF(AS30="regla",IF(AND(N(AQ30)=0,BL30=1),"sí","no"),"no")</f>
        <v/>
      </c>
      <c r="BR30" s="3">
        <f>IFERROR(VLOOKUP(F30,MOD_TBL,11,0),IFERROR(VLOOKUP(E30,OCU_TBL,2,0),NEUTRO))</f>
        <v/>
      </c>
      <c r="BS30" s="3">
        <f>SUMIFS(MOT_AJUSTE,MOT_MOTOR,G30,MOT_MARCA,E30,MOT_DESDE,"&lt;="&amp;M30,MOT_HASTA,"&gt;="&amp;M30)+SUMIFS(MOT_AJUSTE,MOT_MOTOR,G30,MOT_MARCA,"(todas)",MOT_DESDE,"&lt;="&amp;M30,MOT_HASTA,"&gt;="&amp;M30)</f>
        <v/>
      </c>
      <c r="BT30" s="3">
        <f>SUMIFS(COMB_AJUSTE,COMB_COMB,K30)</f>
        <v/>
      </c>
      <c r="BU30" s="3">
        <f>COUNTIFS(MOT_MOTOR,G30,MOT_MARCA,E30,MOT_DESDE,"&lt;="&amp;M30,MOT_HASTA,"&gt;="&amp;M30)+COUNTIFS(MOT_MOTOR,G30,MOT_MARCA,"(todas)",MOT_DESDE,"&lt;="&amp;M30,MOT_HASTA,"&gt;="&amp;M30)</f>
        <v/>
      </c>
      <c r="BV30" s="3">
        <f>IF(AND(K30="diesel",BU30=0),MIN(BR30,NEUTRO),BR30)</f>
        <v/>
      </c>
      <c r="BW30" s="4">
        <f>MAX(0,MIN(100,BV30+BS30+BT30))</f>
        <v/>
      </c>
      <c r="BX30" s="3">
        <f>MAX(0,MIN(100,50+BK30*PRECIO_PEND))</f>
        <v/>
      </c>
      <c r="BY30" s="3">
        <f>MAX(0,100*(1-N30/KM_MAX))</f>
        <v/>
      </c>
      <c r="BZ30" s="3">
        <f>IF(BB30&lt;KMA_SOSP,IF(AA30="sí",100,KMA_PEN),IF(BB30&lt;=KMA_IDEAL_MAX,100,MAX(0,100*(KMA_CERO-BB30)/(KMA_CERO-KMA_IDEAL_MAX))))</f>
        <v/>
      </c>
      <c r="CA30" s="3">
        <f>MAX(0,MIN(100,100*(M30-ANIO_MIN)/(ANIO_ACTUAL-ANIO_MIN)))</f>
        <v/>
      </c>
      <c r="CB30" s="3">
        <f>W_KMT*BY30+W_KMA*BZ30+W_EDAD*CA30</f>
        <v/>
      </c>
      <c r="CC30" s="3">
        <f>P_ITV*(V30="sí")+P_LIBRO*(W30="sí")+P_CORREA*(X30="sí")+P_PROP*(Y30=1)+P_GAR*(Z30="sí")+P_FOTOS*MIN(1,N(U30)/FOTOS_OBJ)</f>
        <v/>
      </c>
      <c r="CD30" s="3">
        <f>MAX(0,MIN(100,IFERROR(VLOOKUP(BP30,ETQ_TBL,2,0),0)-IF(BQ30="sí",ETQ_PEN_DUD,IF(AS30="regla",ETQ_PEN_REGLA,0))))</f>
        <v/>
      </c>
      <c r="CE30" s="3">
        <f>NEUTRO</f>
        <v/>
      </c>
      <c r="CF30" s="3">
        <f>IFERROR(VLOOKUP(L30,SEGURO_TBL,3,0),"")</f>
        <v/>
      </c>
      <c r="CG30" s="3">
        <f>IF(CF30="",NEUTRO,MAX(0,MIN(100,100*(SEG_REF_MAX-CF30)/(SEG_REF_MAX-SEG_REF_MIN))))</f>
        <v/>
      </c>
      <c r="CH30" s="3">
        <f>W_CONS*CE30+W_SEG*CG30</f>
        <v/>
      </c>
      <c r="CI30" s="3">
        <f>IF(N(AB30)&gt;0,AB30,IF(AND(R30="profesional",SG_LEGAL_ON=1),GAR_LEGAL,0))</f>
        <v/>
      </c>
      <c r="CJ30" s="3">
        <f>SG_GAR*MIN(1,CI30/SG_GAR_FULL)+SG_AMPL*(AC30="sí")+SG_KMC*(AF30="sí")+SG_REV*(N(AE30)&gt;0)+SG_DEV*MIN(1,N(AG30)/SG_DEV_FULL)+SG_HIST*(W30="sí")</f>
        <v/>
      </c>
      <c r="CK30" s="3">
        <f>IFERROR(VLOOKUP(L30,CARR_PEN_TBL,2,0),0)</f>
        <v/>
      </c>
      <c r="CL30" s="3">
        <f>W_FIAB*BW30+W_PRECIO*BX30+W_KMEDAD*CB30+W_ANUNCIO*CC30+W_USO*CH30+W_SEGURIDAD*CJ30+W_ETIQUETA*CD30-CK30</f>
        <v/>
      </c>
      <c r="CM30" s="4">
        <f>IF(N(I30)&gt;0,I30,IFERROR(ROUND(_xlfn.NUMBERVALUE(LEFT(G30,FIND(" ",G30&amp;" ")-1),".")*1000,0),99999))</f>
        <v/>
      </c>
      <c r="CN30" s="3">
        <f>IF(R30="profesional",0,IF(O30&lt;CUOTA_VALOR_MAX,IF(BA30&gt;ITP_TRAMO_ALTO,SUMIFS(CF_CUOTA,CF_MAS,ITP_TRAMO_ALTO,CF_CCMIN,"&lt;="&amp;CM30,CF_CCMAX,"&gt;="&amp;CM30),IF(BA30&gt;ITP_TRAMO_BAJO,SUMIFS(CF_CUOTA,CF_MAS,ITP_TRAMO_BAJO,CF_CCMIN,"&lt;="&amp;CM30,CF_CCMAX,"&gt;="&amp;CM30),O30*ITP_TIPO)),O30*ITP_TIPO))</f>
        <v/>
      </c>
      <c r="CO30" s="4">
        <f>IF(R30="profesional",N(AK30),0)</f>
        <v/>
      </c>
      <c r="CP30" s="3">
        <f>IF(AND(R30="profesional",ISNUMBER(AK30),AL30="sí"),0,TASA_DGT)</f>
        <v/>
      </c>
      <c r="CQ30" s="3">
        <f>INFORME_DGT</f>
        <v/>
      </c>
      <c r="CR30" s="4">
        <f>O30+CO30+CN30+CP30+CQ30</f>
        <v/>
      </c>
      <c r="CS30" s="4">
        <f>CR30+N(CF30)</f>
        <v/>
      </c>
      <c r="CT30" s="3">
        <f>IF(CR30&lt;=TOTAL_MAX,"sí",IF(CR30&lt;=TOTAL_MAX+MARGEN_NEG,"negociar","no"))</f>
        <v/>
      </c>
      <c r="CU30" s="4">
        <f>IF(CT30&lt;&gt;"no",COUNTIFS($CT$2:$CT$545,"&lt;&gt;no",$CL$2:$CL$545,"&gt;"&amp;CL30)+COUNTIFS($CT$2:CT30,"&lt;&gt;no",$CL$2:CL30,CL30),"")</f>
        <v/>
      </c>
    </row>
    <row r="31">
      <c r="A31" s="2" t="inlineStr">
        <is>
          <t>wallapop:1316461365</t>
        </is>
      </c>
      <c r="B31" s="2" t="inlineStr">
        <is>
          <t>wallapop</t>
        </is>
      </c>
      <c r="C31" s="2" t="inlineStr">
        <is>
          <t>https://es.wallapop.com/item/opel-corsa-d-2013-1316461365</t>
        </is>
      </c>
      <c r="D31" s="2" t="inlineStr">
        <is>
          <t>Opel corsa d 2013</t>
        </is>
      </c>
      <c r="E31" s="2" t="inlineStr">
        <is>
          <t>Opel</t>
        </is>
      </c>
      <c r="F31" s="2" t="inlineStr">
        <is>
          <t>Opel Corsa</t>
        </is>
      </c>
      <c r="G31" s="2" t="n"/>
      <c r="H31" s="2" t="n"/>
      <c r="I31" s="2" t="n"/>
      <c r="J31" s="2" t="n">
        <v>90</v>
      </c>
      <c r="K31" s="2" t="inlineStr">
        <is>
          <t>gasolina</t>
        </is>
      </c>
      <c r="L31" s="2" t="inlineStr">
        <is>
          <t>utilitario</t>
        </is>
      </c>
      <c r="M31" s="2" t="n">
        <v>2013</v>
      </c>
      <c r="N31" s="2" t="n">
        <v>208000</v>
      </c>
      <c r="O31" s="2" t="n">
        <v>4000</v>
      </c>
      <c r="P31" s="2" t="inlineStr">
        <is>
          <t>manual</t>
        </is>
      </c>
      <c r="Q31" s="2" t="inlineStr">
        <is>
          <t>no</t>
        </is>
      </c>
      <c r="R31" s="2" t="inlineStr">
        <is>
          <t>particular</t>
        </is>
      </c>
      <c r="S31" s="2" t="inlineStr">
        <is>
          <t>Valencia (46002)</t>
        </is>
      </c>
      <c r="T31" s="2" t="inlineStr">
        <is>
          <t>2026-10-27T19:35:38</t>
        </is>
      </c>
      <c r="U31" s="2" t="n">
        <v>10</v>
      </c>
      <c r="V31" s="2" t="n"/>
      <c r="W31" s="2" t="n"/>
      <c r="X31" s="2" t="n"/>
      <c r="Y31" s="2" t="n"/>
      <c r="Z31" s="2" t="n"/>
      <c r="AA31" s="2" t="n"/>
      <c r="AB31" s="2" t="n"/>
      <c r="AC31" s="2" t="n"/>
      <c r="AD31" s="2" t="n"/>
      <c r="AE31" s="2" t="n"/>
      <c r="AF31" s="2" t="n"/>
      <c r="AG31" s="2" t="n"/>
      <c r="AH31" s="2" t="n"/>
      <c r="AI31" s="2" t="n"/>
      <c r="AJ31" s="2" t="n"/>
      <c r="AK31" s="2" t="n"/>
      <c r="AL31" s="2" t="n"/>
      <c r="AM31" s="2" t="n">
        <v>0.4</v>
      </c>
      <c r="AN31" s="2" t="n"/>
      <c r="AO31" s="2" t="inlineStr">
        <is>
          <t>2013</t>
        </is>
      </c>
      <c r="AP31" s="2" t="n">
        <v>2013</v>
      </c>
      <c r="AQ31" s="2" t="n"/>
      <c r="AR31" s="2" t="n"/>
      <c r="AS31" s="2" t="inlineStr">
        <is>
          <t>regla</t>
        </is>
      </c>
      <c r="AT31" s="2" t="n">
        <v>4690</v>
      </c>
      <c r="AU31" s="2" t="n">
        <v>8</v>
      </c>
      <c r="AV31" s="2" t="inlineStr">
        <is>
          <t>modelo+año+km</t>
        </is>
      </c>
      <c r="AW31" s="2" t="n"/>
      <c r="AX31" s="2" t="inlineStr">
        <is>
          <t>cilindrada desconocida: se aplica el tramo de cuota fija más alto; antigüedad en el límite del tramo: depende de la fecha exacta de matriculación; cuota fija ITP: &gt;12 años, más de 2.000 cc</t>
        </is>
      </c>
      <c r="AY31" s="2" t="inlineStr">
        <is>
          <t>Vendo Opel corsa D del año 2013 , cuenta con 208.300 km , tiene recién cambiado el aceite , filtro de aire , filtro de aceite y filtro de habitáculo, se le cambiaron las 2 bieletas, el embrague lo cambié hace 5 meses más o menos unos 4.500 km de ruedas está bien , motor a cadena impuestos al día , algún que otro detalle por algún roce, no hay que hacerle nada , mejor ver y probar , precio negociable .</t>
        </is>
      </c>
      <c r="AZ31" s="2" t="inlineStr">
        <is>
          <t>https://es.wallapop.com/item/opel-corsa-d-2013-1316461365 (__NEXT_DATA__ item) /home/user/Alopecia/buscador-coches/raw/wallapop/15045070d8c7f62b.json</t>
        </is>
      </c>
      <c r="BA31" s="3">
        <f>MAX(ANIO_ACTUAL-M31,0)</f>
        <v/>
      </c>
      <c r="BB31" s="4">
        <f>N31/MAX(BA31,0.5)</f>
        <v/>
      </c>
      <c r="BC31" s="4">
        <f>F31</f>
        <v/>
      </c>
      <c r="BD31" s="3">
        <f>BC31&amp;"|"&amp;INT(M31/SEG_ANIO)*SEG_ANIO</f>
        <v/>
      </c>
      <c r="BE31" s="3">
        <f>BD31&amp;"|"&amp;INT(N31/SEG_KM)*SEG_KM</f>
        <v/>
      </c>
      <c r="BF31" s="4">
        <f>COUNTIF($BC$2:$BC$545,BC31)</f>
        <v/>
      </c>
      <c r="BG31" s="4">
        <f>COUNTIF($BD$2:$BD$545,BD31)</f>
        <v/>
      </c>
      <c r="BH31" s="4">
        <f>COUNTIF($BE$2:$BE$545,BE31)</f>
        <v/>
      </c>
      <c r="BI31" s="3">
        <f t="array" ref="BI31">IF(N(AU31)&gt;=MIN_N,AT31,IF(BH31&gt;=MIN_N,MEDIAN(IF($BE$2:$BE$545=BE31,$O$2:$O$545)),IF(BG31&gt;=MIN_N,MEDIAN(IF($BD$2:$BD$545=BD31,$O$2:$O$545)),MEDIAN(IF($BC$2:$BC$545=BC31,$O$2:$O$545)))))</f>
        <v/>
      </c>
      <c r="BJ31" s="3">
        <f>IF(N(AU31)&gt;=MIN_N,"mercado "&amp;AV31,IF(BH31&gt;=MIN_N,"modelo+año+km",IF(BG31&gt;=MIN_N,"modelo+año","modelo")))</f>
        <v/>
      </c>
      <c r="BK31" s="4">
        <f>(BI31-O31)/BI31</f>
        <v/>
      </c>
      <c r="BL31" s="3">
        <f>IF(COUNTIFS(FR_FUEL,K31,FR_YEAR,AP31)&gt;0,1,0)</f>
        <v/>
      </c>
      <c r="BM31" s="3">
        <f>IF(COUNTIFS(FR_FUEL,K31,FR_YEAR,AP31-1)&gt;0,1,0)</f>
        <v/>
      </c>
      <c r="BN31" s="4">
        <f>IF(N(AQ31)&gt;0,AP31*100+AQ31,IF(AND(BL31=1,BM31=1),(AP31-1)*100+1,AP31*100+1))</f>
        <v/>
      </c>
      <c r="BO31" s="3">
        <f>IF(OR(K31="hibrido",K31="glp",K31="gnc",K31="phev"),"ECO",IF(K31="electrico","CERO",IF(K31="gasolina",IF(BN31&gt;=GAS_C_YM,"C",IF(BN31&gt;=GAS_B_YM,"B","A")),IF(K31="diesel",IF(BN31&gt;=DIE_C_YM,"C",IF(BN31&gt;=DIE_B_YM,"B","A")),""))))</f>
        <v/>
      </c>
      <c r="BP31" s="4">
        <f>BO31</f>
        <v/>
      </c>
      <c r="BQ31" s="4">
        <f>IF(AS31="regla",IF(AND(N(AQ31)=0,BL31=1),"sí","no"),"no")</f>
        <v/>
      </c>
      <c r="BR31" s="3">
        <f>IFERROR(VLOOKUP(F31,MOD_TBL,11,0),IFERROR(VLOOKUP(E31,OCU_TBL,2,0),NEUTRO))</f>
        <v/>
      </c>
      <c r="BS31" s="3">
        <f>SUMIFS(MOT_AJUSTE,MOT_MOTOR,G31,MOT_MARCA,E31,MOT_DESDE,"&lt;="&amp;M31,MOT_HASTA,"&gt;="&amp;M31)+SUMIFS(MOT_AJUSTE,MOT_MOTOR,G31,MOT_MARCA,"(todas)",MOT_DESDE,"&lt;="&amp;M31,MOT_HASTA,"&gt;="&amp;M31)</f>
        <v/>
      </c>
      <c r="BT31" s="3">
        <f>SUMIFS(COMB_AJUSTE,COMB_COMB,K31)</f>
        <v/>
      </c>
      <c r="BU31" s="3">
        <f>COUNTIFS(MOT_MOTOR,G31,MOT_MARCA,E31,MOT_DESDE,"&lt;="&amp;M31,MOT_HASTA,"&gt;="&amp;M31)+COUNTIFS(MOT_MOTOR,G31,MOT_MARCA,"(todas)",MOT_DESDE,"&lt;="&amp;M31,MOT_HASTA,"&gt;="&amp;M31)</f>
        <v/>
      </c>
      <c r="BV31" s="3">
        <f>IF(AND(K31="diesel",BU31=0),MIN(BR31,NEUTRO),BR31)</f>
        <v/>
      </c>
      <c r="BW31" s="4">
        <f>MAX(0,MIN(100,BV31+BS31+BT31))</f>
        <v/>
      </c>
      <c r="BX31" s="3">
        <f>MAX(0,MIN(100,50+BK31*PRECIO_PEND))</f>
        <v/>
      </c>
      <c r="BY31" s="3">
        <f>MAX(0,100*(1-N31/KM_MAX))</f>
        <v/>
      </c>
      <c r="BZ31" s="3">
        <f>IF(BB31&lt;KMA_SOSP,IF(AA31="sí",100,KMA_PEN),IF(BB31&lt;=KMA_IDEAL_MAX,100,MAX(0,100*(KMA_CERO-BB31)/(KMA_CERO-KMA_IDEAL_MAX))))</f>
        <v/>
      </c>
      <c r="CA31" s="3">
        <f>MAX(0,MIN(100,100*(M31-ANIO_MIN)/(ANIO_ACTUAL-ANIO_MIN)))</f>
        <v/>
      </c>
      <c r="CB31" s="3">
        <f>W_KMT*BY31+W_KMA*BZ31+W_EDAD*CA31</f>
        <v/>
      </c>
      <c r="CC31" s="3">
        <f>P_ITV*(V31="sí")+P_LIBRO*(W31="sí")+P_CORREA*(X31="sí")+P_PROP*(Y31=1)+P_GAR*(Z31="sí")+P_FOTOS*MIN(1,N(U31)/FOTOS_OBJ)</f>
        <v/>
      </c>
      <c r="CD31" s="3">
        <f>MAX(0,MIN(100,IFERROR(VLOOKUP(BP31,ETQ_TBL,2,0),0)-IF(BQ31="sí",ETQ_PEN_DUD,IF(AS31="regla",ETQ_PEN_REGLA,0))))</f>
        <v/>
      </c>
      <c r="CE31" s="3">
        <f>NEUTRO</f>
        <v/>
      </c>
      <c r="CF31" s="3">
        <f>IFERROR(VLOOKUP(L31,SEGURO_TBL,3,0),"")</f>
        <v/>
      </c>
      <c r="CG31" s="3">
        <f>IF(CF31="",NEUTRO,MAX(0,MIN(100,100*(SEG_REF_MAX-CF31)/(SEG_REF_MAX-SEG_REF_MIN))))</f>
        <v/>
      </c>
      <c r="CH31" s="3">
        <f>W_CONS*CE31+W_SEG*CG31</f>
        <v/>
      </c>
      <c r="CI31" s="3">
        <f>IF(N(AB31)&gt;0,AB31,IF(AND(R31="profesional",SG_LEGAL_ON=1),GAR_LEGAL,0))</f>
        <v/>
      </c>
      <c r="CJ31" s="3">
        <f>SG_GAR*MIN(1,CI31/SG_GAR_FULL)+SG_AMPL*(AC31="sí")+SG_KMC*(AF31="sí")+SG_REV*(N(AE31)&gt;0)+SG_DEV*MIN(1,N(AG31)/SG_DEV_FULL)+SG_HIST*(W31="sí")</f>
        <v/>
      </c>
      <c r="CK31" s="3">
        <f>IFERROR(VLOOKUP(L31,CARR_PEN_TBL,2,0),0)</f>
        <v/>
      </c>
      <c r="CL31" s="3">
        <f>W_FIAB*BW31+W_PRECIO*BX31+W_KMEDAD*CB31+W_ANUNCIO*CC31+W_USO*CH31+W_SEGURIDAD*CJ31+W_ETIQUETA*CD31-CK31</f>
        <v/>
      </c>
      <c r="CM31" s="4">
        <f>IF(N(I31)&gt;0,I31,IFERROR(ROUND(_xlfn.NUMBERVALUE(LEFT(G31,FIND(" ",G31&amp;" ")-1),".")*1000,0),99999))</f>
        <v/>
      </c>
      <c r="CN31" s="3">
        <f>IF(R31="profesional",0,IF(O31&lt;CUOTA_VALOR_MAX,IF(BA31&gt;ITP_TRAMO_ALTO,SUMIFS(CF_CUOTA,CF_MAS,ITP_TRAMO_ALTO,CF_CCMIN,"&lt;="&amp;CM31,CF_CCMAX,"&gt;="&amp;CM31),IF(BA31&gt;ITP_TRAMO_BAJO,SUMIFS(CF_CUOTA,CF_MAS,ITP_TRAMO_BAJO,CF_CCMIN,"&lt;="&amp;CM31,CF_CCMAX,"&gt;="&amp;CM31),O31*ITP_TIPO)),O31*ITP_TIPO))</f>
        <v/>
      </c>
      <c r="CO31" s="4">
        <f>IF(R31="profesional",N(AK31),0)</f>
        <v/>
      </c>
      <c r="CP31" s="3">
        <f>IF(AND(R31="profesional",ISNUMBER(AK31),AL31="sí"),0,TASA_DGT)</f>
        <v/>
      </c>
      <c r="CQ31" s="3">
        <f>INFORME_DGT</f>
        <v/>
      </c>
      <c r="CR31" s="4">
        <f>O31+CO31+CN31+CP31+CQ31</f>
        <v/>
      </c>
      <c r="CS31" s="4">
        <f>CR31+N(CF31)</f>
        <v/>
      </c>
      <c r="CT31" s="3">
        <f>IF(CR31&lt;=TOTAL_MAX,"sí",IF(CR31&lt;=TOTAL_MAX+MARGEN_NEG,"negociar","no"))</f>
        <v/>
      </c>
      <c r="CU31" s="4">
        <f>IF(CT31&lt;&gt;"no",COUNTIFS($CT$2:$CT$545,"&lt;&gt;no",$CL$2:$CL$545,"&gt;"&amp;CL31)+COUNTIFS($CT$2:CT31,"&lt;&gt;no",$CL$2:CL31,CL31),"")</f>
        <v/>
      </c>
    </row>
    <row r="32">
      <c r="A32" s="2" t="inlineStr">
        <is>
          <t>wallapop:1317824509</t>
        </is>
      </c>
      <c r="B32" s="2" t="inlineStr">
        <is>
          <t>wallapop</t>
        </is>
      </c>
      <c r="C32" s="2" t="inlineStr">
        <is>
          <t>https://es.wallapop.com/item/opel-astra-2010-1317824509</t>
        </is>
      </c>
      <c r="D32" s="2" t="inlineStr">
        <is>
          <t>Opel Astra 2010</t>
        </is>
      </c>
      <c r="E32" s="2" t="inlineStr">
        <is>
          <t>Opel</t>
        </is>
      </c>
      <c r="F32" s="2" t="inlineStr">
        <is>
          <t>Opel Astra</t>
        </is>
      </c>
      <c r="G32" s="2" t="n"/>
      <c r="H32" s="2" t="n"/>
      <c r="I32" s="2" t="n"/>
      <c r="J32" s="2" t="n"/>
      <c r="K32" s="2" t="inlineStr">
        <is>
          <t>diesel</t>
        </is>
      </c>
      <c r="L32" s="2" t="inlineStr">
        <is>
          <t>compacto</t>
        </is>
      </c>
      <c r="M32" s="2" t="n">
        <v>2010</v>
      </c>
      <c r="N32" s="2" t="n">
        <v>179000</v>
      </c>
      <c r="O32" s="2" t="n">
        <v>3300</v>
      </c>
      <c r="P32" s="2" t="n"/>
      <c r="Q32" s="2" t="n"/>
      <c r="R32" s="2" t="inlineStr">
        <is>
          <t>particular</t>
        </is>
      </c>
      <c r="S32" s="2" t="inlineStr">
        <is>
          <t>Valencia (46002)</t>
        </is>
      </c>
      <c r="T32" s="2" t="inlineStr">
        <is>
          <t>2026-10-27T16:22:15</t>
        </is>
      </c>
      <c r="U32" s="2" t="n">
        <v>5</v>
      </c>
      <c r="V32" s="2" t="n"/>
      <c r="W32" s="2" t="n"/>
      <c r="X32" s="2" t="n"/>
      <c r="Y32" s="2" t="n"/>
      <c r="Z32" s="2" t="n"/>
      <c r="AA32" s="2" t="n"/>
      <c r="AB32" s="2" t="n"/>
      <c r="AC32" s="2" t="n"/>
      <c r="AD32" s="2" t="n"/>
      <c r="AE32" s="2" t="n"/>
      <c r="AF32" s="2" t="n"/>
      <c r="AG32" s="2" t="n"/>
      <c r="AH32" s="2" t="n"/>
      <c r="AI32" s="2" t="n"/>
      <c r="AJ32" s="2" t="n"/>
      <c r="AK32" s="2" t="n"/>
      <c r="AL32" s="2" t="n"/>
      <c r="AM32" s="2" t="n">
        <v>0.5</v>
      </c>
      <c r="AN32" s="2" t="n"/>
      <c r="AO32" s="2" t="inlineStr">
        <is>
          <t>2010</t>
        </is>
      </c>
      <c r="AP32" s="2" t="n">
        <v>2010</v>
      </c>
      <c r="AQ32" s="2" t="n"/>
      <c r="AR32" s="2" t="n"/>
      <c r="AS32" s="2" t="inlineStr">
        <is>
          <t>regla</t>
        </is>
      </c>
      <c r="AT32" s="2" t="n">
        <v>4745</v>
      </c>
      <c r="AU32" s="2" t="n">
        <v>10</v>
      </c>
      <c r="AV32" s="2" t="inlineStr">
        <is>
          <t>modelo+año+km</t>
        </is>
      </c>
      <c r="AW32" s="2" t="n"/>
      <c r="AX32" s="2" t="inlineStr">
        <is>
          <t>cilindrada desconocida: se aplica el tramo de cuota fija más alto; cuota fija ITP: &gt;12 años, más de 2.000 cc; diésel: motor sin fuente de fiabilidad (fiabilidad limitada a neutra)</t>
        </is>
      </c>
      <c r="AY32" s="2" t="inlineStr">
        <is>
          <t xml:space="preserve">
Opel Astra en Valencia</t>
        </is>
      </c>
      <c r="AZ32" s="2" t="inlineStr">
        <is>
          <t>https://es.wallapop.com/item/opel-astra-2010-1317824509 (__NEXT_DATA__ item) /home/user/Alopecia/buscador-coches/raw/wallapop/486badb9085186d2.json</t>
        </is>
      </c>
      <c r="BA32" s="3">
        <f>MAX(ANIO_ACTUAL-M32,0)</f>
        <v/>
      </c>
      <c r="BB32" s="4">
        <f>N32/MAX(BA32,0.5)</f>
        <v/>
      </c>
      <c r="BC32" s="4">
        <f>F32</f>
        <v/>
      </c>
      <c r="BD32" s="3">
        <f>BC32&amp;"|"&amp;INT(M32/SEG_ANIO)*SEG_ANIO</f>
        <v/>
      </c>
      <c r="BE32" s="3">
        <f>BD32&amp;"|"&amp;INT(N32/SEG_KM)*SEG_KM</f>
        <v/>
      </c>
      <c r="BF32" s="4">
        <f>COUNTIF($BC$2:$BC$545,BC32)</f>
        <v/>
      </c>
      <c r="BG32" s="4">
        <f>COUNTIF($BD$2:$BD$545,BD32)</f>
        <v/>
      </c>
      <c r="BH32" s="4">
        <f>COUNTIF($BE$2:$BE$545,BE32)</f>
        <v/>
      </c>
      <c r="BI32" s="3">
        <f t="array" ref="BI32">IF(N(AU32)&gt;=MIN_N,AT32,IF(BH32&gt;=MIN_N,MEDIAN(IF($BE$2:$BE$545=BE32,$O$2:$O$545)),IF(BG32&gt;=MIN_N,MEDIAN(IF($BD$2:$BD$545=BD32,$O$2:$O$545)),MEDIAN(IF($BC$2:$BC$545=BC32,$O$2:$O$545)))))</f>
        <v/>
      </c>
      <c r="BJ32" s="3">
        <f>IF(N(AU32)&gt;=MIN_N,"mercado "&amp;AV32,IF(BH32&gt;=MIN_N,"modelo+año+km",IF(BG32&gt;=MIN_N,"modelo+año","modelo")))</f>
        <v/>
      </c>
      <c r="BK32" s="4">
        <f>(BI32-O32)/BI32</f>
        <v/>
      </c>
      <c r="BL32" s="3">
        <f>IF(COUNTIFS(FR_FUEL,K32,FR_YEAR,AP32)&gt;0,1,0)</f>
        <v/>
      </c>
      <c r="BM32" s="3">
        <f>IF(COUNTIFS(FR_FUEL,K32,FR_YEAR,AP32-1)&gt;0,1,0)</f>
        <v/>
      </c>
      <c r="BN32" s="4">
        <f>IF(N(AQ32)&gt;0,AP32*100+AQ32,IF(AND(BL32=1,BM32=1),(AP32-1)*100+1,AP32*100+1))</f>
        <v/>
      </c>
      <c r="BO32" s="3">
        <f>IF(OR(K32="hibrido",K32="glp",K32="gnc",K32="phev"),"ECO",IF(K32="electrico","CERO",IF(K32="gasolina",IF(BN32&gt;=GAS_C_YM,"C",IF(BN32&gt;=GAS_B_YM,"B","A")),IF(K32="diesel",IF(BN32&gt;=DIE_C_YM,"C",IF(BN32&gt;=DIE_B_YM,"B","A")),""))))</f>
        <v/>
      </c>
      <c r="BP32" s="4">
        <f>BO32</f>
        <v/>
      </c>
      <c r="BQ32" s="4">
        <f>IF(AS32="regla",IF(AND(N(AQ32)=0,BL32=1),"sí","no"),"no")</f>
        <v/>
      </c>
      <c r="BR32" s="3">
        <f>IFERROR(VLOOKUP(F32,MOD_TBL,11,0),IFERROR(VLOOKUP(E32,OCU_TBL,2,0),NEUTRO))</f>
        <v/>
      </c>
      <c r="BS32" s="3">
        <f>SUMIFS(MOT_AJUSTE,MOT_MOTOR,G32,MOT_MARCA,E32,MOT_DESDE,"&lt;="&amp;M32,MOT_HASTA,"&gt;="&amp;M32)+SUMIFS(MOT_AJUSTE,MOT_MOTOR,G32,MOT_MARCA,"(todas)",MOT_DESDE,"&lt;="&amp;M32,MOT_HASTA,"&gt;="&amp;M32)</f>
        <v/>
      </c>
      <c r="BT32" s="3">
        <f>SUMIFS(COMB_AJUSTE,COMB_COMB,K32)</f>
        <v/>
      </c>
      <c r="BU32" s="3">
        <f>COUNTIFS(MOT_MOTOR,G32,MOT_MARCA,E32,MOT_DESDE,"&lt;="&amp;M32,MOT_HASTA,"&gt;="&amp;M32)+COUNTIFS(MOT_MOTOR,G32,MOT_MARCA,"(todas)",MOT_DESDE,"&lt;="&amp;M32,MOT_HASTA,"&gt;="&amp;M32)</f>
        <v/>
      </c>
      <c r="BV32" s="3">
        <f>IF(AND(K32="diesel",BU32=0),MIN(BR32,NEUTRO),BR32)</f>
        <v/>
      </c>
      <c r="BW32" s="4">
        <f>MAX(0,MIN(100,BV32+BS32+BT32))</f>
        <v/>
      </c>
      <c r="BX32" s="3">
        <f>MAX(0,MIN(100,50+BK32*PRECIO_PEND))</f>
        <v/>
      </c>
      <c r="BY32" s="3">
        <f>MAX(0,100*(1-N32/KM_MAX))</f>
        <v/>
      </c>
      <c r="BZ32" s="3">
        <f>IF(BB32&lt;KMA_SOSP,IF(AA32="sí",100,KMA_PEN),IF(BB32&lt;=KMA_IDEAL_MAX,100,MAX(0,100*(KMA_CERO-BB32)/(KMA_CERO-KMA_IDEAL_MAX))))</f>
        <v/>
      </c>
      <c r="CA32" s="3">
        <f>MAX(0,MIN(100,100*(M32-ANIO_MIN)/(ANIO_ACTUAL-ANIO_MIN)))</f>
        <v/>
      </c>
      <c r="CB32" s="3">
        <f>W_KMT*BY32+W_KMA*BZ32+W_EDAD*CA32</f>
        <v/>
      </c>
      <c r="CC32" s="3">
        <f>P_ITV*(V32="sí")+P_LIBRO*(W32="sí")+P_CORREA*(X32="sí")+P_PROP*(Y32=1)+P_GAR*(Z32="sí")+P_FOTOS*MIN(1,N(U32)/FOTOS_OBJ)</f>
        <v/>
      </c>
      <c r="CD32" s="3">
        <f>MAX(0,MIN(100,IFERROR(VLOOKUP(BP32,ETQ_TBL,2,0),0)-IF(BQ32="sí",ETQ_PEN_DUD,IF(AS32="regla",ETQ_PEN_REGLA,0))))</f>
        <v/>
      </c>
      <c r="CE32" s="3">
        <f>NEUTRO</f>
        <v/>
      </c>
      <c r="CF32" s="3">
        <f>IFERROR(VLOOKUP(L32,SEGURO_TBL,3,0),"")</f>
        <v/>
      </c>
      <c r="CG32" s="3">
        <f>IF(CF32="",NEUTRO,MAX(0,MIN(100,100*(SEG_REF_MAX-CF32)/(SEG_REF_MAX-SEG_REF_MIN))))</f>
        <v/>
      </c>
      <c r="CH32" s="3">
        <f>W_CONS*CE32+W_SEG*CG32</f>
        <v/>
      </c>
      <c r="CI32" s="3">
        <f>IF(N(AB32)&gt;0,AB32,IF(AND(R32="profesional",SG_LEGAL_ON=1),GAR_LEGAL,0))</f>
        <v/>
      </c>
      <c r="CJ32" s="3">
        <f>SG_GAR*MIN(1,CI32/SG_GAR_FULL)+SG_AMPL*(AC32="sí")+SG_KMC*(AF32="sí")+SG_REV*(N(AE32)&gt;0)+SG_DEV*MIN(1,N(AG32)/SG_DEV_FULL)+SG_HIST*(W32="sí")</f>
        <v/>
      </c>
      <c r="CK32" s="3">
        <f>IFERROR(VLOOKUP(L32,CARR_PEN_TBL,2,0),0)</f>
        <v/>
      </c>
      <c r="CL32" s="3">
        <f>W_FIAB*BW32+W_PRECIO*BX32+W_KMEDAD*CB32+W_ANUNCIO*CC32+W_USO*CH32+W_SEGURIDAD*CJ32+W_ETIQUETA*CD32-CK32</f>
        <v/>
      </c>
      <c r="CM32" s="4">
        <f>IF(N(I32)&gt;0,I32,IFERROR(ROUND(_xlfn.NUMBERVALUE(LEFT(G32,FIND(" ",G32&amp;" ")-1),".")*1000,0),99999))</f>
        <v/>
      </c>
      <c r="CN32" s="3">
        <f>IF(R32="profesional",0,IF(O32&lt;CUOTA_VALOR_MAX,IF(BA32&gt;ITP_TRAMO_ALTO,SUMIFS(CF_CUOTA,CF_MAS,ITP_TRAMO_ALTO,CF_CCMIN,"&lt;="&amp;CM32,CF_CCMAX,"&gt;="&amp;CM32),IF(BA32&gt;ITP_TRAMO_BAJO,SUMIFS(CF_CUOTA,CF_MAS,ITP_TRAMO_BAJO,CF_CCMIN,"&lt;="&amp;CM32,CF_CCMAX,"&gt;="&amp;CM32),O32*ITP_TIPO)),O32*ITP_TIPO))</f>
        <v/>
      </c>
      <c r="CO32" s="4">
        <f>IF(R32="profesional",N(AK32),0)</f>
        <v/>
      </c>
      <c r="CP32" s="3">
        <f>IF(AND(R32="profesional",ISNUMBER(AK32),AL32="sí"),0,TASA_DGT)</f>
        <v/>
      </c>
      <c r="CQ32" s="3">
        <f>INFORME_DGT</f>
        <v/>
      </c>
      <c r="CR32" s="4">
        <f>O32+CO32+CN32+CP32+CQ32</f>
        <v/>
      </c>
      <c r="CS32" s="4">
        <f>CR32+N(CF32)</f>
        <v/>
      </c>
      <c r="CT32" s="3">
        <f>IF(CR32&lt;=TOTAL_MAX,"sí",IF(CR32&lt;=TOTAL_MAX+MARGEN_NEG,"negociar","no"))</f>
        <v/>
      </c>
      <c r="CU32" s="4">
        <f>IF(CT32&lt;&gt;"no",COUNTIFS($CT$2:$CT$545,"&lt;&gt;no",$CL$2:$CL$545,"&gt;"&amp;CL32)+COUNTIFS($CT$2:CT32,"&lt;&gt;no",$CL$2:CL32,CL32),"")</f>
        <v/>
      </c>
    </row>
    <row r="33">
      <c r="A33" s="2" t="inlineStr">
        <is>
          <t>wallapop:1308429797</t>
        </is>
      </c>
      <c r="B33" s="2" t="inlineStr">
        <is>
          <t>wallapop</t>
        </is>
      </c>
      <c r="C33" s="2" t="inlineStr">
        <is>
          <t>https://es.wallapop.com/item/opel-astra-2012-1308429797</t>
        </is>
      </c>
      <c r="D33" s="2" t="inlineStr">
        <is>
          <t>Opel Astra 2012</t>
        </is>
      </c>
      <c r="E33" s="2" t="inlineStr">
        <is>
          <t>Opel</t>
        </is>
      </c>
      <c r="F33" s="2" t="inlineStr">
        <is>
          <t>Opel Astra</t>
        </is>
      </c>
      <c r="G33" s="2" t="inlineStr">
        <is>
          <t>1.7 CDTi</t>
        </is>
      </c>
      <c r="H33" s="2" t="inlineStr">
        <is>
          <t>1.7 CDTi 110 Selective 5p</t>
        </is>
      </c>
      <c r="I33" s="2" t="n"/>
      <c r="J33" s="2" t="n">
        <v>110</v>
      </c>
      <c r="K33" s="2" t="inlineStr">
        <is>
          <t>diesel</t>
        </is>
      </c>
      <c r="L33" s="2" t="inlineStr">
        <is>
          <t>compacto</t>
        </is>
      </c>
      <c r="M33" s="2" t="n">
        <v>2012</v>
      </c>
      <c r="N33" s="2" t="n">
        <v>200000</v>
      </c>
      <c r="O33" s="2" t="n">
        <v>4300</v>
      </c>
      <c r="P33" s="2" t="inlineStr">
        <is>
          <t>manual</t>
        </is>
      </c>
      <c r="Q33" s="2" t="inlineStr">
        <is>
          <t>no</t>
        </is>
      </c>
      <c r="R33" s="2" t="inlineStr">
        <is>
          <t>particular</t>
        </is>
      </c>
      <c r="S33" s="2" t="inlineStr">
        <is>
          <t>Valencia (46002)</t>
        </is>
      </c>
      <c r="T33" s="2" t="inlineStr">
        <is>
          <t>2026-10-02T17:30:59</t>
        </is>
      </c>
      <c r="U33" s="2" t="n">
        <v>7</v>
      </c>
      <c r="V33" s="2" t="inlineStr">
        <is>
          <t>sí</t>
        </is>
      </c>
      <c r="W33" s="2" t="n"/>
      <c r="X33" s="2" t="n"/>
      <c r="Y33" s="2" t="n"/>
      <c r="Z33" s="2" t="n"/>
      <c r="AA33" s="2" t="n"/>
      <c r="AB33" s="2" t="n"/>
      <c r="AC33" s="2" t="n"/>
      <c r="AD33" s="2" t="n"/>
      <c r="AE33" s="2" t="n"/>
      <c r="AF33" s="2" t="n"/>
      <c r="AG33" s="2" t="n"/>
      <c r="AH33" s="2" t="n"/>
      <c r="AI33" s="2" t="n"/>
      <c r="AJ33" s="2" t="n"/>
      <c r="AK33" s="2" t="n"/>
      <c r="AL33" s="2" t="n"/>
      <c r="AM33" s="2" t="n">
        <v>0.7</v>
      </c>
      <c r="AN33" s="2" t="n"/>
      <c r="AO33" s="2" t="inlineStr">
        <is>
          <t>2012</t>
        </is>
      </c>
      <c r="AP33" s="2" t="n">
        <v>2012</v>
      </c>
      <c r="AQ33" s="2" t="n"/>
      <c r="AR33" s="2" t="n"/>
      <c r="AS33" s="2" t="inlineStr">
        <is>
          <t>regla</t>
        </is>
      </c>
      <c r="AT33" s="2" t="n">
        <v>4490</v>
      </c>
      <c r="AU33" s="2" t="n">
        <v>7</v>
      </c>
      <c r="AV33" s="2" t="inlineStr">
        <is>
          <t>modelo+año+km</t>
        </is>
      </c>
      <c r="AW33" s="2" t="n"/>
      <c r="AX33" s="2" t="inlineStr">
        <is>
          <t>cuota fija ITP: &gt;12 años, 1.501-2.000 cc; diésel: motor sin fuente de fiabilidad (fiabilidad limitada a neutra)</t>
        </is>
      </c>
      <c r="AY33" s="2" t="inlineStr">
        <is>
          <t>Coche en perfecto estado, itv recién pasada y seguro 1 año, mejor ven a ver y probar. El coche no tiene ni un fallo va perfecto.</t>
        </is>
      </c>
      <c r="AZ33" s="2" t="inlineStr">
        <is>
          <t>https://es.wallapop.com/item/opel-astra-2012-1308429797 (__NEXT_DATA__ item) /home/user/Alopecia/buscador-coches/raw/wallapop/1aef2b8818be428c.json</t>
        </is>
      </c>
      <c r="BA33" s="3">
        <f>MAX(ANIO_ACTUAL-M33,0)</f>
        <v/>
      </c>
      <c r="BB33" s="4">
        <f>N33/MAX(BA33,0.5)</f>
        <v/>
      </c>
      <c r="BC33" s="4">
        <f>F33</f>
        <v/>
      </c>
      <c r="BD33" s="3">
        <f>BC33&amp;"|"&amp;INT(M33/SEG_ANIO)*SEG_ANIO</f>
        <v/>
      </c>
      <c r="BE33" s="3">
        <f>BD33&amp;"|"&amp;INT(N33/SEG_KM)*SEG_KM</f>
        <v/>
      </c>
      <c r="BF33" s="4">
        <f>COUNTIF($BC$2:$BC$545,BC33)</f>
        <v/>
      </c>
      <c r="BG33" s="4">
        <f>COUNTIF($BD$2:$BD$545,BD33)</f>
        <v/>
      </c>
      <c r="BH33" s="4">
        <f>COUNTIF($BE$2:$BE$545,BE33)</f>
        <v/>
      </c>
      <c r="BI33" s="3">
        <f t="array" ref="BI33">IF(N(AU33)&gt;=MIN_N,AT33,IF(BH33&gt;=MIN_N,MEDIAN(IF($BE$2:$BE$545=BE33,$O$2:$O$545)),IF(BG33&gt;=MIN_N,MEDIAN(IF($BD$2:$BD$545=BD33,$O$2:$O$545)),MEDIAN(IF($BC$2:$BC$545=BC33,$O$2:$O$545)))))</f>
        <v/>
      </c>
      <c r="BJ33" s="3">
        <f>IF(N(AU33)&gt;=MIN_N,"mercado "&amp;AV33,IF(BH33&gt;=MIN_N,"modelo+año+km",IF(BG33&gt;=MIN_N,"modelo+año","modelo")))</f>
        <v/>
      </c>
      <c r="BK33" s="4">
        <f>(BI33-O33)/BI33</f>
        <v/>
      </c>
      <c r="BL33" s="3">
        <f>IF(COUNTIFS(FR_FUEL,K33,FR_YEAR,AP33)&gt;0,1,0)</f>
        <v/>
      </c>
      <c r="BM33" s="3">
        <f>IF(COUNTIFS(FR_FUEL,K33,FR_YEAR,AP33-1)&gt;0,1,0)</f>
        <v/>
      </c>
      <c r="BN33" s="4">
        <f>IF(N(AQ33)&gt;0,AP33*100+AQ33,IF(AND(BL33=1,BM33=1),(AP33-1)*100+1,AP33*100+1))</f>
        <v/>
      </c>
      <c r="BO33" s="3">
        <f>IF(OR(K33="hibrido",K33="glp",K33="gnc",K33="phev"),"ECO",IF(K33="electrico","CERO",IF(K33="gasolina",IF(BN33&gt;=GAS_C_YM,"C",IF(BN33&gt;=GAS_B_YM,"B","A")),IF(K33="diesel",IF(BN33&gt;=DIE_C_YM,"C",IF(BN33&gt;=DIE_B_YM,"B","A")),""))))</f>
        <v/>
      </c>
      <c r="BP33" s="4">
        <f>BO33</f>
        <v/>
      </c>
      <c r="BQ33" s="4">
        <f>IF(AS33="regla",IF(AND(N(AQ33)=0,BL33=1),"sí","no"),"no")</f>
        <v/>
      </c>
      <c r="BR33" s="3">
        <f>IFERROR(VLOOKUP(F33,MOD_TBL,11,0),IFERROR(VLOOKUP(E33,OCU_TBL,2,0),NEUTRO))</f>
        <v/>
      </c>
      <c r="BS33" s="3">
        <f>SUMIFS(MOT_AJUSTE,MOT_MOTOR,G33,MOT_MARCA,E33,MOT_DESDE,"&lt;="&amp;M33,MOT_HASTA,"&gt;="&amp;M33)+SUMIFS(MOT_AJUSTE,MOT_MOTOR,G33,MOT_MARCA,"(todas)",MOT_DESDE,"&lt;="&amp;M33,MOT_HASTA,"&gt;="&amp;M33)</f>
        <v/>
      </c>
      <c r="BT33" s="3">
        <f>SUMIFS(COMB_AJUSTE,COMB_COMB,K33)</f>
        <v/>
      </c>
      <c r="BU33" s="3">
        <f>COUNTIFS(MOT_MOTOR,G33,MOT_MARCA,E33,MOT_DESDE,"&lt;="&amp;M33,MOT_HASTA,"&gt;="&amp;M33)+COUNTIFS(MOT_MOTOR,G33,MOT_MARCA,"(todas)",MOT_DESDE,"&lt;="&amp;M33,MOT_HASTA,"&gt;="&amp;M33)</f>
        <v/>
      </c>
      <c r="BV33" s="3">
        <f>IF(AND(K33="diesel",BU33=0),MIN(BR33,NEUTRO),BR33)</f>
        <v/>
      </c>
      <c r="BW33" s="4">
        <f>MAX(0,MIN(100,BV33+BS33+BT33))</f>
        <v/>
      </c>
      <c r="BX33" s="3">
        <f>MAX(0,MIN(100,50+BK33*PRECIO_PEND))</f>
        <v/>
      </c>
      <c r="BY33" s="3">
        <f>MAX(0,100*(1-N33/KM_MAX))</f>
        <v/>
      </c>
      <c r="BZ33" s="3">
        <f>IF(BB33&lt;KMA_SOSP,IF(AA33="sí",100,KMA_PEN),IF(BB33&lt;=KMA_IDEAL_MAX,100,MAX(0,100*(KMA_CERO-BB33)/(KMA_CERO-KMA_IDEAL_MAX))))</f>
        <v/>
      </c>
      <c r="CA33" s="3">
        <f>MAX(0,MIN(100,100*(M33-ANIO_MIN)/(ANIO_ACTUAL-ANIO_MIN)))</f>
        <v/>
      </c>
      <c r="CB33" s="3">
        <f>W_KMT*BY33+W_KMA*BZ33+W_EDAD*CA33</f>
        <v/>
      </c>
      <c r="CC33" s="3">
        <f>P_ITV*(V33="sí")+P_LIBRO*(W33="sí")+P_CORREA*(X33="sí")+P_PROP*(Y33=1)+P_GAR*(Z33="sí")+P_FOTOS*MIN(1,N(U33)/FOTOS_OBJ)</f>
        <v/>
      </c>
      <c r="CD33" s="3">
        <f>MAX(0,MIN(100,IFERROR(VLOOKUP(BP33,ETQ_TBL,2,0),0)-IF(BQ33="sí",ETQ_PEN_DUD,IF(AS33="regla",ETQ_PEN_REGLA,0))))</f>
        <v/>
      </c>
      <c r="CE33" s="3">
        <f>NEUTRO</f>
        <v/>
      </c>
      <c r="CF33" s="3">
        <f>IFERROR(VLOOKUP(L33,SEGURO_TBL,3,0),"")</f>
        <v/>
      </c>
      <c r="CG33" s="3">
        <f>IF(CF33="",NEUTRO,MAX(0,MIN(100,100*(SEG_REF_MAX-CF33)/(SEG_REF_MAX-SEG_REF_MIN))))</f>
        <v/>
      </c>
      <c r="CH33" s="3">
        <f>W_CONS*CE33+W_SEG*CG33</f>
        <v/>
      </c>
      <c r="CI33" s="3">
        <f>IF(N(AB33)&gt;0,AB33,IF(AND(R33="profesional",SG_LEGAL_ON=1),GAR_LEGAL,0))</f>
        <v/>
      </c>
      <c r="CJ33" s="3">
        <f>SG_GAR*MIN(1,CI33/SG_GAR_FULL)+SG_AMPL*(AC33="sí")+SG_KMC*(AF33="sí")+SG_REV*(N(AE33)&gt;0)+SG_DEV*MIN(1,N(AG33)/SG_DEV_FULL)+SG_HIST*(W33="sí")</f>
        <v/>
      </c>
      <c r="CK33" s="3">
        <f>IFERROR(VLOOKUP(L33,CARR_PEN_TBL,2,0),0)</f>
        <v/>
      </c>
      <c r="CL33" s="3">
        <f>W_FIAB*BW33+W_PRECIO*BX33+W_KMEDAD*CB33+W_ANUNCIO*CC33+W_USO*CH33+W_SEGURIDAD*CJ33+W_ETIQUETA*CD33-CK33</f>
        <v/>
      </c>
      <c r="CM33" s="4">
        <f>IF(N(I33)&gt;0,I33,IFERROR(ROUND(_xlfn.NUMBERVALUE(LEFT(G33,FIND(" ",G33&amp;" ")-1),".")*1000,0),99999))</f>
        <v/>
      </c>
      <c r="CN33" s="3">
        <f>IF(R33="profesional",0,IF(O33&lt;CUOTA_VALOR_MAX,IF(BA33&gt;ITP_TRAMO_ALTO,SUMIFS(CF_CUOTA,CF_MAS,ITP_TRAMO_ALTO,CF_CCMIN,"&lt;="&amp;CM33,CF_CCMAX,"&gt;="&amp;CM33),IF(BA33&gt;ITP_TRAMO_BAJO,SUMIFS(CF_CUOTA,CF_MAS,ITP_TRAMO_BAJO,CF_CCMIN,"&lt;="&amp;CM33,CF_CCMAX,"&gt;="&amp;CM33),O33*ITP_TIPO)),O33*ITP_TIPO))</f>
        <v/>
      </c>
      <c r="CO33" s="4">
        <f>IF(R33="profesional",N(AK33),0)</f>
        <v/>
      </c>
      <c r="CP33" s="3">
        <f>IF(AND(R33="profesional",ISNUMBER(AK33),AL33="sí"),0,TASA_DGT)</f>
        <v/>
      </c>
      <c r="CQ33" s="3">
        <f>INFORME_DGT</f>
        <v/>
      </c>
      <c r="CR33" s="4">
        <f>O33+CO33+CN33+CP33+CQ33</f>
        <v/>
      </c>
      <c r="CS33" s="4">
        <f>CR33+N(CF33)</f>
        <v/>
      </c>
      <c r="CT33" s="3">
        <f>IF(CR33&lt;=TOTAL_MAX,"sí",IF(CR33&lt;=TOTAL_MAX+MARGEN_NEG,"negociar","no"))</f>
        <v/>
      </c>
      <c r="CU33" s="4">
        <f>IF(CT33&lt;&gt;"no",COUNTIFS($CT$2:$CT$545,"&lt;&gt;no",$CL$2:$CL$545,"&gt;"&amp;CL33)+COUNTIFS($CT$2:CT33,"&lt;&gt;no",$CL$2:CL33,CL33),"")</f>
        <v/>
      </c>
    </row>
    <row r="34">
      <c r="A34" s="2" t="inlineStr">
        <is>
          <t>wallapop:1282088556</t>
        </is>
      </c>
      <c r="B34" s="2" t="inlineStr">
        <is>
          <t>wallapop</t>
        </is>
      </c>
      <c r="C34" s="2" t="inlineStr">
        <is>
          <t>https://es.wallapop.com/item/opel-agila-2009-1282088556</t>
        </is>
      </c>
      <c r="D34" s="2" t="inlineStr">
        <is>
          <t>Opel Agila 2009</t>
        </is>
      </c>
      <c r="E34" s="2" t="inlineStr">
        <is>
          <t>Opel</t>
        </is>
      </c>
      <c r="F34" s="2" t="inlineStr">
        <is>
          <t>Opel Agila</t>
        </is>
      </c>
      <c r="G34" s="2" t="inlineStr">
        <is>
          <t>1.0</t>
        </is>
      </c>
      <c r="H34" s="2" t="inlineStr">
        <is>
          <t>1.0 12v 65 Enjoy 5p</t>
        </is>
      </c>
      <c r="I34" s="2" t="n"/>
      <c r="J34" s="2" t="n">
        <v>65</v>
      </c>
      <c r="K34" s="2" t="inlineStr">
        <is>
          <t>gasolina</t>
        </is>
      </c>
      <c r="L34" s="2" t="inlineStr">
        <is>
          <t>utilitario</t>
        </is>
      </c>
      <c r="M34" s="2" t="n">
        <v>2009</v>
      </c>
      <c r="N34" s="2" t="n">
        <v>134000</v>
      </c>
      <c r="O34" s="2" t="n">
        <v>3300</v>
      </c>
      <c r="P34" s="2" t="inlineStr">
        <is>
          <t>manual</t>
        </is>
      </c>
      <c r="Q34" s="2" t="inlineStr">
        <is>
          <t>no</t>
        </is>
      </c>
      <c r="R34" s="2" t="inlineStr">
        <is>
          <t>particular</t>
        </is>
      </c>
      <c r="S34" s="2" t="inlineStr">
        <is>
          <t>Valencia (46018)</t>
        </is>
      </c>
      <c r="T34" s="2" t="inlineStr">
        <is>
          <t>2026-10-06T12:43:20</t>
        </is>
      </c>
      <c r="U34" s="2" t="n">
        <v>9</v>
      </c>
      <c r="V34" s="2" t="inlineStr">
        <is>
          <t>sí</t>
        </is>
      </c>
      <c r="W34" s="2" t="n"/>
      <c r="X34" s="2" t="n"/>
      <c r="Y34" s="2" t="n"/>
      <c r="Z34" s="2" t="n"/>
      <c r="AA34" s="2" t="n"/>
      <c r="AB34" s="2" t="n"/>
      <c r="AC34" s="2" t="n"/>
      <c r="AD34" s="2" t="n"/>
      <c r="AE34" s="2" t="n"/>
      <c r="AF34" s="2" t="n"/>
      <c r="AG34" s="2" t="n"/>
      <c r="AH34" s="2" t="n"/>
      <c r="AI34" s="2" t="n"/>
      <c r="AJ34" s="2" t="n"/>
      <c r="AK34" s="2" t="n"/>
      <c r="AL34" s="2" t="n"/>
      <c r="AM34" s="2" t="n">
        <v>1.5</v>
      </c>
      <c r="AN34" s="2" t="n"/>
      <c r="AO34" s="2" t="inlineStr">
        <is>
          <t>2009</t>
        </is>
      </c>
      <c r="AP34" s="2" t="n">
        <v>2009</v>
      </c>
      <c r="AQ34" s="2" t="n"/>
      <c r="AR34" s="2" t="n"/>
      <c r="AS34" s="2" t="inlineStr">
        <is>
          <t>regla</t>
        </is>
      </c>
      <c r="AT34" s="2" t="n"/>
      <c r="AU34" s="2" t="n"/>
      <c r="AV34" s="2" t="n"/>
      <c r="AW34" s="2" t="n"/>
      <c r="AX34" s="2" t="inlineStr">
        <is>
          <t>cuota fija ITP: &gt;12 años, hasta 1.500 cc; fiabilidad del modelo PENDIENTE de fuente (puntuación neutra); mediana con solo 1 anuncio(s)</t>
        </is>
      </c>
      <c r="AY34" s="2" t="inlineStr">
        <is>
          <t>Opel Agila con tan solo 134.000km
Itv recien pasada y con todos los mantenimientos al dia
El coche se encuentra en buen estado pero con algunos roces por el paso de los años
Mecánicamente revisado y sin ningun problema 
Coche ideal para el dia a dia con etiqueta C</t>
        </is>
      </c>
      <c r="AZ34" s="2" t="inlineStr">
        <is>
          <t>https://es.wallapop.com/item/opel-agila-2009-1282088556 (__NEXT_DATA__ item) /home/user/Alopecia/buscador-coches/raw/wallapop/1758bdcff44eb808.json</t>
        </is>
      </c>
      <c r="BA34" s="3">
        <f>MAX(ANIO_ACTUAL-M34,0)</f>
        <v/>
      </c>
      <c r="BB34" s="4">
        <f>N34/MAX(BA34,0.5)</f>
        <v/>
      </c>
      <c r="BC34" s="4">
        <f>F34</f>
        <v/>
      </c>
      <c r="BD34" s="3">
        <f>BC34&amp;"|"&amp;INT(M34/SEG_ANIO)*SEG_ANIO</f>
        <v/>
      </c>
      <c r="BE34" s="3">
        <f>BD34&amp;"|"&amp;INT(N34/SEG_KM)*SEG_KM</f>
        <v/>
      </c>
      <c r="BF34" s="4">
        <f>COUNTIF($BC$2:$BC$545,BC34)</f>
        <v/>
      </c>
      <c r="BG34" s="4">
        <f>COUNTIF($BD$2:$BD$545,BD34)</f>
        <v/>
      </c>
      <c r="BH34" s="4">
        <f>COUNTIF($BE$2:$BE$545,BE34)</f>
        <v/>
      </c>
      <c r="BI34" s="3">
        <f t="array" ref="BI34">IF(N(AU34)&gt;=MIN_N,AT34,IF(BH34&gt;=MIN_N,MEDIAN(IF($BE$2:$BE$545=BE34,$O$2:$O$545)),IF(BG34&gt;=MIN_N,MEDIAN(IF($BD$2:$BD$545=BD34,$O$2:$O$545)),MEDIAN(IF($BC$2:$BC$545=BC34,$O$2:$O$545)))))</f>
        <v/>
      </c>
      <c r="BJ34" s="3">
        <f>IF(N(AU34)&gt;=MIN_N,"mercado "&amp;AV34,IF(BH34&gt;=MIN_N,"modelo+año+km",IF(BG34&gt;=MIN_N,"modelo+año","modelo")))</f>
        <v/>
      </c>
      <c r="BK34" s="4">
        <f>(BI34-O34)/BI34</f>
        <v/>
      </c>
      <c r="BL34" s="3">
        <f>IF(COUNTIFS(FR_FUEL,K34,FR_YEAR,AP34)&gt;0,1,0)</f>
        <v/>
      </c>
      <c r="BM34" s="3">
        <f>IF(COUNTIFS(FR_FUEL,K34,FR_YEAR,AP34-1)&gt;0,1,0)</f>
        <v/>
      </c>
      <c r="BN34" s="4">
        <f>IF(N(AQ34)&gt;0,AP34*100+AQ34,IF(AND(BL34=1,BM34=1),(AP34-1)*100+1,AP34*100+1))</f>
        <v/>
      </c>
      <c r="BO34" s="3">
        <f>IF(OR(K34="hibrido",K34="glp",K34="gnc",K34="phev"),"ECO",IF(K34="electrico","CERO",IF(K34="gasolina",IF(BN34&gt;=GAS_C_YM,"C",IF(BN34&gt;=GAS_B_YM,"B","A")),IF(K34="diesel",IF(BN34&gt;=DIE_C_YM,"C",IF(BN34&gt;=DIE_B_YM,"B","A")),""))))</f>
        <v/>
      </c>
      <c r="BP34" s="4">
        <f>BO34</f>
        <v/>
      </c>
      <c r="BQ34" s="4">
        <f>IF(AS34="regla",IF(AND(N(AQ34)=0,BL34=1),"sí","no"),"no")</f>
        <v/>
      </c>
      <c r="BR34" s="3">
        <f>IFERROR(VLOOKUP(F34,MOD_TBL,11,0),IFERROR(VLOOKUP(E34,OCU_TBL,2,0),NEUTRO))</f>
        <v/>
      </c>
      <c r="BS34" s="3">
        <f>SUMIFS(MOT_AJUSTE,MOT_MOTOR,G34,MOT_MARCA,E34,MOT_DESDE,"&lt;="&amp;M34,MOT_HASTA,"&gt;="&amp;M34)+SUMIFS(MOT_AJUSTE,MOT_MOTOR,G34,MOT_MARCA,"(todas)",MOT_DESDE,"&lt;="&amp;M34,MOT_HASTA,"&gt;="&amp;M34)</f>
        <v/>
      </c>
      <c r="BT34" s="3">
        <f>SUMIFS(COMB_AJUSTE,COMB_COMB,K34)</f>
        <v/>
      </c>
      <c r="BU34" s="3">
        <f>COUNTIFS(MOT_MOTOR,G34,MOT_MARCA,E34,MOT_DESDE,"&lt;="&amp;M34,MOT_HASTA,"&gt;="&amp;M34)+COUNTIFS(MOT_MOTOR,G34,MOT_MARCA,"(todas)",MOT_DESDE,"&lt;="&amp;M34,MOT_HASTA,"&gt;="&amp;M34)</f>
        <v/>
      </c>
      <c r="BV34" s="3">
        <f>IF(AND(K34="diesel",BU34=0),MIN(BR34,NEUTRO),BR34)</f>
        <v/>
      </c>
      <c r="BW34" s="4">
        <f>MAX(0,MIN(100,BV34+BS34+BT34))</f>
        <v/>
      </c>
      <c r="BX34" s="3">
        <f>MAX(0,MIN(100,50+BK34*PRECIO_PEND))</f>
        <v/>
      </c>
      <c r="BY34" s="3">
        <f>MAX(0,100*(1-N34/KM_MAX))</f>
        <v/>
      </c>
      <c r="BZ34" s="3">
        <f>IF(BB34&lt;KMA_SOSP,IF(AA34="sí",100,KMA_PEN),IF(BB34&lt;=KMA_IDEAL_MAX,100,MAX(0,100*(KMA_CERO-BB34)/(KMA_CERO-KMA_IDEAL_MAX))))</f>
        <v/>
      </c>
      <c r="CA34" s="3">
        <f>MAX(0,MIN(100,100*(M34-ANIO_MIN)/(ANIO_ACTUAL-ANIO_MIN)))</f>
        <v/>
      </c>
      <c r="CB34" s="3">
        <f>W_KMT*BY34+W_KMA*BZ34+W_EDAD*CA34</f>
        <v/>
      </c>
      <c r="CC34" s="3">
        <f>P_ITV*(V34="sí")+P_LIBRO*(W34="sí")+P_CORREA*(X34="sí")+P_PROP*(Y34=1)+P_GAR*(Z34="sí")+P_FOTOS*MIN(1,N(U34)/FOTOS_OBJ)</f>
        <v/>
      </c>
      <c r="CD34" s="3">
        <f>MAX(0,MIN(100,IFERROR(VLOOKUP(BP34,ETQ_TBL,2,0),0)-IF(BQ34="sí",ETQ_PEN_DUD,IF(AS34="regla",ETQ_PEN_REGLA,0))))</f>
        <v/>
      </c>
      <c r="CE34" s="3">
        <f>NEUTRO</f>
        <v/>
      </c>
      <c r="CF34" s="3">
        <f>IFERROR(VLOOKUP(L34,SEGURO_TBL,3,0),"")</f>
        <v/>
      </c>
      <c r="CG34" s="3">
        <f>IF(CF34="",NEUTRO,MAX(0,MIN(100,100*(SEG_REF_MAX-CF34)/(SEG_REF_MAX-SEG_REF_MIN))))</f>
        <v/>
      </c>
      <c r="CH34" s="3">
        <f>W_CONS*CE34+W_SEG*CG34</f>
        <v/>
      </c>
      <c r="CI34" s="3">
        <f>IF(N(AB34)&gt;0,AB34,IF(AND(R34="profesional",SG_LEGAL_ON=1),GAR_LEGAL,0))</f>
        <v/>
      </c>
      <c r="CJ34" s="3">
        <f>SG_GAR*MIN(1,CI34/SG_GAR_FULL)+SG_AMPL*(AC34="sí")+SG_KMC*(AF34="sí")+SG_REV*(N(AE34)&gt;0)+SG_DEV*MIN(1,N(AG34)/SG_DEV_FULL)+SG_HIST*(W34="sí")</f>
        <v/>
      </c>
      <c r="CK34" s="3">
        <f>IFERROR(VLOOKUP(L34,CARR_PEN_TBL,2,0),0)</f>
        <v/>
      </c>
      <c r="CL34" s="3">
        <f>W_FIAB*BW34+W_PRECIO*BX34+W_KMEDAD*CB34+W_ANUNCIO*CC34+W_USO*CH34+W_SEGURIDAD*CJ34+W_ETIQUETA*CD34-CK34</f>
        <v/>
      </c>
      <c r="CM34" s="4">
        <f>IF(N(I34)&gt;0,I34,IFERROR(ROUND(_xlfn.NUMBERVALUE(LEFT(G34,FIND(" ",G34&amp;" ")-1),".")*1000,0),99999))</f>
        <v/>
      </c>
      <c r="CN34" s="3">
        <f>IF(R34="profesional",0,IF(O34&lt;CUOTA_VALOR_MAX,IF(BA34&gt;ITP_TRAMO_ALTO,SUMIFS(CF_CUOTA,CF_MAS,ITP_TRAMO_ALTO,CF_CCMIN,"&lt;="&amp;CM34,CF_CCMAX,"&gt;="&amp;CM34),IF(BA34&gt;ITP_TRAMO_BAJO,SUMIFS(CF_CUOTA,CF_MAS,ITP_TRAMO_BAJO,CF_CCMIN,"&lt;="&amp;CM34,CF_CCMAX,"&gt;="&amp;CM34),O34*ITP_TIPO)),O34*ITP_TIPO))</f>
        <v/>
      </c>
      <c r="CO34" s="4">
        <f>IF(R34="profesional",N(AK34),0)</f>
        <v/>
      </c>
      <c r="CP34" s="3">
        <f>IF(AND(R34="profesional",ISNUMBER(AK34),AL34="sí"),0,TASA_DGT)</f>
        <v/>
      </c>
      <c r="CQ34" s="3">
        <f>INFORME_DGT</f>
        <v/>
      </c>
      <c r="CR34" s="4">
        <f>O34+CO34+CN34+CP34+CQ34</f>
        <v/>
      </c>
      <c r="CS34" s="4">
        <f>CR34+N(CF34)</f>
        <v/>
      </c>
      <c r="CT34" s="3">
        <f>IF(CR34&lt;=TOTAL_MAX,"sí",IF(CR34&lt;=TOTAL_MAX+MARGEN_NEG,"negociar","no"))</f>
        <v/>
      </c>
      <c r="CU34" s="4">
        <f>IF(CT34&lt;&gt;"no",COUNTIFS($CT$2:$CT$545,"&lt;&gt;no",$CL$2:$CL$545,"&gt;"&amp;CL34)+COUNTIFS($CT$2:CT34,"&lt;&gt;no",$CL$2:CL34,CL34),"")</f>
        <v/>
      </c>
    </row>
    <row r="35">
      <c r="A35" s="2" t="inlineStr">
        <is>
          <t>wallapop:1316237992</t>
        </is>
      </c>
      <c r="B35" s="2" t="inlineStr">
        <is>
          <t>wallapop</t>
        </is>
      </c>
      <c r="C35" s="2" t="inlineStr">
        <is>
          <t>https://es.wallapop.com/item/renault-megane-2009-1316237992</t>
        </is>
      </c>
      <c r="D35" s="2" t="inlineStr">
        <is>
          <t>Renault Megane 2009</t>
        </is>
      </c>
      <c r="E35" s="2" t="inlineStr">
        <is>
          <t>Renault</t>
        </is>
      </c>
      <c r="F35" s="2" t="inlineStr">
        <is>
          <t>Renault Mégane</t>
        </is>
      </c>
      <c r="G35" s="2" t="n"/>
      <c r="H35" s="2" t="n"/>
      <c r="I35" s="2" t="n"/>
      <c r="J35" s="2" t="n"/>
      <c r="K35" s="2" t="inlineStr">
        <is>
          <t>diesel</t>
        </is>
      </c>
      <c r="L35" s="2" t="inlineStr">
        <is>
          <t>compacto</t>
        </is>
      </c>
      <c r="M35" s="2" t="n">
        <v>2009</v>
      </c>
      <c r="N35" s="2" t="n">
        <v>206000</v>
      </c>
      <c r="O35" s="2" t="n">
        <v>2500</v>
      </c>
      <c r="P35" s="2" t="inlineStr">
        <is>
          <t>manual</t>
        </is>
      </c>
      <c r="Q35" s="2" t="inlineStr">
        <is>
          <t>no</t>
        </is>
      </c>
      <c r="R35" s="2" t="inlineStr">
        <is>
          <t>particular</t>
        </is>
      </c>
      <c r="S35" s="2" t="inlineStr">
        <is>
          <t>Valencia (46006)</t>
        </is>
      </c>
      <c r="T35" s="2" t="inlineStr">
        <is>
          <t>2026-10-23T08:58:02</t>
        </is>
      </c>
      <c r="U35" s="2" t="n">
        <v>3</v>
      </c>
      <c r="V35" s="2" t="inlineStr">
        <is>
          <t>no</t>
        </is>
      </c>
      <c r="W35" s="2" t="n"/>
      <c r="X35" s="2" t="n"/>
      <c r="Y35" s="2" t="n"/>
      <c r="Z35" s="2" t="n"/>
      <c r="AA35" s="2" t="n"/>
      <c r="AB35" s="2" t="n"/>
      <c r="AC35" s="2" t="n"/>
      <c r="AD35" s="2" t="n"/>
      <c r="AE35" s="2" t="n"/>
      <c r="AF35" s="2" t="n"/>
      <c r="AG35" s="2" t="n"/>
      <c r="AH35" s="2" t="n"/>
      <c r="AI35" s="2" t="n"/>
      <c r="AJ35" s="2" t="n"/>
      <c r="AK35" s="2" t="n"/>
      <c r="AL35" s="2" t="n"/>
      <c r="AM35" s="2" t="n">
        <v>1.8</v>
      </c>
      <c r="AN35" s="2" t="n"/>
      <c r="AO35" s="2" t="inlineStr">
        <is>
          <t>2009</t>
        </is>
      </c>
      <c r="AP35" s="2" t="n">
        <v>2009</v>
      </c>
      <c r="AQ35" s="2" t="n"/>
      <c r="AR35" s="2" t="n"/>
      <c r="AS35" s="2" t="inlineStr">
        <is>
          <t>regla</t>
        </is>
      </c>
      <c r="AT35" s="2" t="n">
        <v>2350</v>
      </c>
      <c r="AU35" s="2" t="n">
        <v>11</v>
      </c>
      <c r="AV35" s="2" t="inlineStr">
        <is>
          <t>modelo+año+km</t>
        </is>
      </c>
      <c r="AW35" s="2" t="n"/>
      <c r="AX35" s="2" t="inlineStr">
        <is>
          <t>cilindrada desconocida: se aplica el tramo de cuota fija más alto; cuota fija ITP: &gt;12 años, más de 2.000 cc; diésel: motor sin fuente de fiabilidad (fiabilidad limitada a neutra)</t>
        </is>
      </c>
      <c r="AY35" s="2" t="inlineStr">
        <is>
          <t>Queda pendiente el cambio del retrovisor por el seguro 
Lo vendo urgentemente  tiene desgaste de pintura 
No tiene la ITV
Para mas información al 611561794</t>
        </is>
      </c>
      <c r="AZ35" s="2" t="inlineStr">
        <is>
          <t>https://es.wallapop.com/item/renault-megane-2009-1316237992 (__NEXT_DATA__ item) /home/user/Alopecia/buscador-coches/raw/wallapop/3ba146450e2d08b1.json</t>
        </is>
      </c>
      <c r="BA35" s="3">
        <f>MAX(ANIO_ACTUAL-M35,0)</f>
        <v/>
      </c>
      <c r="BB35" s="4">
        <f>N35/MAX(BA35,0.5)</f>
        <v/>
      </c>
      <c r="BC35" s="4">
        <f>F35</f>
        <v/>
      </c>
      <c r="BD35" s="3">
        <f>BC35&amp;"|"&amp;INT(M35/SEG_ANIO)*SEG_ANIO</f>
        <v/>
      </c>
      <c r="BE35" s="3">
        <f>BD35&amp;"|"&amp;INT(N35/SEG_KM)*SEG_KM</f>
        <v/>
      </c>
      <c r="BF35" s="4">
        <f>COUNTIF($BC$2:$BC$545,BC35)</f>
        <v/>
      </c>
      <c r="BG35" s="4">
        <f>COUNTIF($BD$2:$BD$545,BD35)</f>
        <v/>
      </c>
      <c r="BH35" s="4">
        <f>COUNTIF($BE$2:$BE$545,BE35)</f>
        <v/>
      </c>
      <c r="BI35" s="3">
        <f t="array" ref="BI35">IF(N(AU35)&gt;=MIN_N,AT35,IF(BH35&gt;=MIN_N,MEDIAN(IF($BE$2:$BE$545=BE35,$O$2:$O$545)),IF(BG35&gt;=MIN_N,MEDIAN(IF($BD$2:$BD$545=BD35,$O$2:$O$545)),MEDIAN(IF($BC$2:$BC$545=BC35,$O$2:$O$545)))))</f>
        <v/>
      </c>
      <c r="BJ35" s="3">
        <f>IF(N(AU35)&gt;=MIN_N,"mercado "&amp;AV35,IF(BH35&gt;=MIN_N,"modelo+año+km",IF(BG35&gt;=MIN_N,"modelo+año","modelo")))</f>
        <v/>
      </c>
      <c r="BK35" s="4">
        <f>(BI35-O35)/BI35</f>
        <v/>
      </c>
      <c r="BL35" s="3">
        <f>IF(COUNTIFS(FR_FUEL,K35,FR_YEAR,AP35)&gt;0,1,0)</f>
        <v/>
      </c>
      <c r="BM35" s="3">
        <f>IF(COUNTIFS(FR_FUEL,K35,FR_YEAR,AP35-1)&gt;0,1,0)</f>
        <v/>
      </c>
      <c r="BN35" s="4">
        <f>IF(N(AQ35)&gt;0,AP35*100+AQ35,IF(AND(BL35=1,BM35=1),(AP35-1)*100+1,AP35*100+1))</f>
        <v/>
      </c>
      <c r="BO35" s="3">
        <f>IF(OR(K35="hibrido",K35="glp",K35="gnc",K35="phev"),"ECO",IF(K35="electrico","CERO",IF(K35="gasolina",IF(BN35&gt;=GAS_C_YM,"C",IF(BN35&gt;=GAS_B_YM,"B","A")),IF(K35="diesel",IF(BN35&gt;=DIE_C_YM,"C",IF(BN35&gt;=DIE_B_YM,"B","A")),""))))</f>
        <v/>
      </c>
      <c r="BP35" s="4">
        <f>BO35</f>
        <v/>
      </c>
      <c r="BQ35" s="4">
        <f>IF(AS35="regla",IF(AND(N(AQ35)=0,BL35=1),"sí","no"),"no")</f>
        <v/>
      </c>
      <c r="BR35" s="3">
        <f>IFERROR(VLOOKUP(F35,MOD_TBL,11,0),IFERROR(VLOOKUP(E35,OCU_TBL,2,0),NEUTRO))</f>
        <v/>
      </c>
      <c r="BS35" s="3">
        <f>SUMIFS(MOT_AJUSTE,MOT_MOTOR,G35,MOT_MARCA,E35,MOT_DESDE,"&lt;="&amp;M35,MOT_HASTA,"&gt;="&amp;M35)+SUMIFS(MOT_AJUSTE,MOT_MOTOR,G35,MOT_MARCA,"(todas)",MOT_DESDE,"&lt;="&amp;M35,MOT_HASTA,"&gt;="&amp;M35)</f>
        <v/>
      </c>
      <c r="BT35" s="3">
        <f>SUMIFS(COMB_AJUSTE,COMB_COMB,K35)</f>
        <v/>
      </c>
      <c r="BU35" s="3">
        <f>COUNTIFS(MOT_MOTOR,G35,MOT_MARCA,E35,MOT_DESDE,"&lt;="&amp;M35,MOT_HASTA,"&gt;="&amp;M35)+COUNTIFS(MOT_MOTOR,G35,MOT_MARCA,"(todas)",MOT_DESDE,"&lt;="&amp;M35,MOT_HASTA,"&gt;="&amp;M35)</f>
        <v/>
      </c>
      <c r="BV35" s="3">
        <f>IF(AND(K35="diesel",BU35=0),MIN(BR35,NEUTRO),BR35)</f>
        <v/>
      </c>
      <c r="BW35" s="4">
        <f>MAX(0,MIN(100,BV35+BS35+BT35))</f>
        <v/>
      </c>
      <c r="BX35" s="3">
        <f>MAX(0,MIN(100,50+BK35*PRECIO_PEND))</f>
        <v/>
      </c>
      <c r="BY35" s="3">
        <f>MAX(0,100*(1-N35/KM_MAX))</f>
        <v/>
      </c>
      <c r="BZ35" s="3">
        <f>IF(BB35&lt;KMA_SOSP,IF(AA35="sí",100,KMA_PEN),IF(BB35&lt;=KMA_IDEAL_MAX,100,MAX(0,100*(KMA_CERO-BB35)/(KMA_CERO-KMA_IDEAL_MAX))))</f>
        <v/>
      </c>
      <c r="CA35" s="3">
        <f>MAX(0,MIN(100,100*(M35-ANIO_MIN)/(ANIO_ACTUAL-ANIO_MIN)))</f>
        <v/>
      </c>
      <c r="CB35" s="3">
        <f>W_KMT*BY35+W_KMA*BZ35+W_EDAD*CA35</f>
        <v/>
      </c>
      <c r="CC35" s="3">
        <f>P_ITV*(V35="sí")+P_LIBRO*(W35="sí")+P_CORREA*(X35="sí")+P_PROP*(Y35=1)+P_GAR*(Z35="sí")+P_FOTOS*MIN(1,N(U35)/FOTOS_OBJ)</f>
        <v/>
      </c>
      <c r="CD35" s="3">
        <f>MAX(0,MIN(100,IFERROR(VLOOKUP(BP35,ETQ_TBL,2,0),0)-IF(BQ35="sí",ETQ_PEN_DUD,IF(AS35="regla",ETQ_PEN_REGLA,0))))</f>
        <v/>
      </c>
      <c r="CE35" s="3">
        <f>NEUTRO</f>
        <v/>
      </c>
      <c r="CF35" s="3">
        <f>IFERROR(VLOOKUP(L35,SEGURO_TBL,3,0),"")</f>
        <v/>
      </c>
      <c r="CG35" s="3">
        <f>IF(CF35="",NEUTRO,MAX(0,MIN(100,100*(SEG_REF_MAX-CF35)/(SEG_REF_MAX-SEG_REF_MIN))))</f>
        <v/>
      </c>
      <c r="CH35" s="3">
        <f>W_CONS*CE35+W_SEG*CG35</f>
        <v/>
      </c>
      <c r="CI35" s="3">
        <f>IF(N(AB35)&gt;0,AB35,IF(AND(R35="profesional",SG_LEGAL_ON=1),GAR_LEGAL,0))</f>
        <v/>
      </c>
      <c r="CJ35" s="3">
        <f>SG_GAR*MIN(1,CI35/SG_GAR_FULL)+SG_AMPL*(AC35="sí")+SG_KMC*(AF35="sí")+SG_REV*(N(AE35)&gt;0)+SG_DEV*MIN(1,N(AG35)/SG_DEV_FULL)+SG_HIST*(W35="sí")</f>
        <v/>
      </c>
      <c r="CK35" s="3">
        <f>IFERROR(VLOOKUP(L35,CARR_PEN_TBL,2,0),0)</f>
        <v/>
      </c>
      <c r="CL35" s="3">
        <f>W_FIAB*BW35+W_PRECIO*BX35+W_KMEDAD*CB35+W_ANUNCIO*CC35+W_USO*CH35+W_SEGURIDAD*CJ35+W_ETIQUETA*CD35-CK35</f>
        <v/>
      </c>
      <c r="CM35" s="4">
        <f>IF(N(I35)&gt;0,I35,IFERROR(ROUND(_xlfn.NUMBERVALUE(LEFT(G35,FIND(" ",G35&amp;" ")-1),".")*1000,0),99999))</f>
        <v/>
      </c>
      <c r="CN35" s="3">
        <f>IF(R35="profesional",0,IF(O35&lt;CUOTA_VALOR_MAX,IF(BA35&gt;ITP_TRAMO_ALTO,SUMIFS(CF_CUOTA,CF_MAS,ITP_TRAMO_ALTO,CF_CCMIN,"&lt;="&amp;CM35,CF_CCMAX,"&gt;="&amp;CM35),IF(BA35&gt;ITP_TRAMO_BAJO,SUMIFS(CF_CUOTA,CF_MAS,ITP_TRAMO_BAJO,CF_CCMIN,"&lt;="&amp;CM35,CF_CCMAX,"&gt;="&amp;CM35),O35*ITP_TIPO)),O35*ITP_TIPO))</f>
        <v/>
      </c>
      <c r="CO35" s="4">
        <f>IF(R35="profesional",N(AK35),0)</f>
        <v/>
      </c>
      <c r="CP35" s="3">
        <f>IF(AND(R35="profesional",ISNUMBER(AK35),AL35="sí"),0,TASA_DGT)</f>
        <v/>
      </c>
      <c r="CQ35" s="3">
        <f>INFORME_DGT</f>
        <v/>
      </c>
      <c r="CR35" s="4">
        <f>O35+CO35+CN35+CP35+CQ35</f>
        <v/>
      </c>
      <c r="CS35" s="4">
        <f>CR35+N(CF35)</f>
        <v/>
      </c>
      <c r="CT35" s="3">
        <f>IF(CR35&lt;=TOTAL_MAX,"sí",IF(CR35&lt;=TOTAL_MAX+MARGEN_NEG,"negociar","no"))</f>
        <v/>
      </c>
      <c r="CU35" s="4">
        <f>IF(CT35&lt;&gt;"no",COUNTIFS($CT$2:$CT$545,"&lt;&gt;no",$CL$2:$CL$545,"&gt;"&amp;CL35)+COUNTIFS($CT$2:CT35,"&lt;&gt;no",$CL$2:CL35,CL35),"")</f>
        <v/>
      </c>
    </row>
    <row r="36">
      <c r="A36" s="2" t="inlineStr">
        <is>
          <t>wallapop:1311131743</t>
        </is>
      </c>
      <c r="B36" s="2" t="inlineStr">
        <is>
          <t>wallapop</t>
        </is>
      </c>
      <c r="C36" s="2" t="inlineStr">
        <is>
          <t>https://es.wallapop.com/item/renault-twingo-2009-1311131743</t>
        </is>
      </c>
      <c r="D36" s="2" t="inlineStr">
        <is>
          <t>Renault Twingo 2009</t>
        </is>
      </c>
      <c r="E36" s="2" t="inlineStr">
        <is>
          <t>Renault</t>
        </is>
      </c>
      <c r="F36" s="2" t="inlineStr">
        <is>
          <t>Renault Twingo</t>
        </is>
      </c>
      <c r="G36" s="2" t="inlineStr">
        <is>
          <t>1.2</t>
        </is>
      </c>
      <c r="H36" s="2" t="inlineStr">
        <is>
          <t>1.2 16v 75 eco2 dynamique 3p quickshift</t>
        </is>
      </c>
      <c r="I36" s="2" t="n"/>
      <c r="J36" s="2" t="n">
        <v>75</v>
      </c>
      <c r="K36" s="2" t="inlineStr">
        <is>
          <t>gasolina</t>
        </is>
      </c>
      <c r="L36" s="2" t="inlineStr">
        <is>
          <t>utilitario</t>
        </is>
      </c>
      <c r="M36" s="2" t="n">
        <v>2009</v>
      </c>
      <c r="N36" s="2" t="n">
        <v>85000</v>
      </c>
      <c r="O36" s="2" t="n">
        <v>4500</v>
      </c>
      <c r="P36" s="2" t="inlineStr">
        <is>
          <t>automatico</t>
        </is>
      </c>
      <c r="Q36" s="2" t="inlineStr">
        <is>
          <t>sí</t>
        </is>
      </c>
      <c r="R36" s="2" t="inlineStr">
        <is>
          <t>particular</t>
        </is>
      </c>
      <c r="S36" s="2" t="inlineStr">
        <is>
          <t>Valencia (46003)</t>
        </is>
      </c>
      <c r="T36" s="2" t="inlineStr">
        <is>
          <t>2026-10-09T21:15:55</t>
        </is>
      </c>
      <c r="U36" s="2" t="n">
        <v>9</v>
      </c>
      <c r="V36" s="2" t="n"/>
      <c r="W36" s="2" t="n"/>
      <c r="X36" s="2" t="n"/>
      <c r="Y36" s="2" t="n"/>
      <c r="Z36" s="2" t="n"/>
      <c r="AA36" s="2" t="n"/>
      <c r="AB36" s="2" t="n"/>
      <c r="AC36" s="2" t="n"/>
      <c r="AD36" s="2" t="n"/>
      <c r="AE36" s="2" t="n"/>
      <c r="AF36" s="2" t="n"/>
      <c r="AG36" s="2" t="n"/>
      <c r="AH36" s="2" t="n"/>
      <c r="AI36" s="2" t="n"/>
      <c r="AJ36" s="2" t="n"/>
      <c r="AK36" s="2" t="n"/>
      <c r="AL36" s="2" t="n"/>
      <c r="AM36" s="2" t="n">
        <v>1.6</v>
      </c>
      <c r="AN36" s="2" t="n"/>
      <c r="AO36" s="2" t="inlineStr">
        <is>
          <t>2009</t>
        </is>
      </c>
      <c r="AP36" s="2" t="n">
        <v>2009</v>
      </c>
      <c r="AQ36" s="2" t="n"/>
      <c r="AR36" s="2" t="n"/>
      <c r="AS36" s="2" t="inlineStr">
        <is>
          <t>regla</t>
        </is>
      </c>
      <c r="AT36" s="2" t="n"/>
      <c r="AU36" s="2" t="n"/>
      <c r="AV36" s="2" t="n"/>
      <c r="AW36" s="2" t="n"/>
      <c r="AX36" s="2" t="inlineStr">
        <is>
          <t>cuota fija ITP: &gt;12 años, hasta 1.500 cc; fiabilidad del modelo PENDIENTE de fuente (puntuación neutra); mediana con solo 3 anuncio(s)</t>
        </is>
      </c>
      <c r="AY36" s="2" t="inlineStr">
        <is>
          <t xml:space="preserve">Se vende recién revisado </t>
        </is>
      </c>
      <c r="AZ36" s="2" t="inlineStr">
        <is>
          <t>https://es.wallapop.com/item/renault-twingo-2009-1311131743 (__NEXT_DATA__ item) /home/user/Alopecia/buscador-coches/raw/wallapop/0cb3d92209fa0e19.json</t>
        </is>
      </c>
      <c r="BA36" s="3">
        <f>MAX(ANIO_ACTUAL-M36,0)</f>
        <v/>
      </c>
      <c r="BB36" s="4">
        <f>N36/MAX(BA36,0.5)</f>
        <v/>
      </c>
      <c r="BC36" s="4">
        <f>F36</f>
        <v/>
      </c>
      <c r="BD36" s="3">
        <f>BC36&amp;"|"&amp;INT(M36/SEG_ANIO)*SEG_ANIO</f>
        <v/>
      </c>
      <c r="BE36" s="3">
        <f>BD36&amp;"|"&amp;INT(N36/SEG_KM)*SEG_KM</f>
        <v/>
      </c>
      <c r="BF36" s="4">
        <f>COUNTIF($BC$2:$BC$545,BC36)</f>
        <v/>
      </c>
      <c r="BG36" s="4">
        <f>COUNTIF($BD$2:$BD$545,BD36)</f>
        <v/>
      </c>
      <c r="BH36" s="4">
        <f>COUNTIF($BE$2:$BE$545,BE36)</f>
        <v/>
      </c>
      <c r="BI36" s="3">
        <f t="array" ref="BI36">IF(N(AU36)&gt;=MIN_N,AT36,IF(BH36&gt;=MIN_N,MEDIAN(IF($BE$2:$BE$545=BE36,$O$2:$O$545)),IF(BG36&gt;=MIN_N,MEDIAN(IF($BD$2:$BD$545=BD36,$O$2:$O$545)),MEDIAN(IF($BC$2:$BC$545=BC36,$O$2:$O$545)))))</f>
        <v/>
      </c>
      <c r="BJ36" s="3">
        <f>IF(N(AU36)&gt;=MIN_N,"mercado "&amp;AV36,IF(BH36&gt;=MIN_N,"modelo+año+km",IF(BG36&gt;=MIN_N,"modelo+año","modelo")))</f>
        <v/>
      </c>
      <c r="BK36" s="4">
        <f>(BI36-O36)/BI36</f>
        <v/>
      </c>
      <c r="BL36" s="3">
        <f>IF(COUNTIFS(FR_FUEL,K36,FR_YEAR,AP36)&gt;0,1,0)</f>
        <v/>
      </c>
      <c r="BM36" s="3">
        <f>IF(COUNTIFS(FR_FUEL,K36,FR_YEAR,AP36-1)&gt;0,1,0)</f>
        <v/>
      </c>
      <c r="BN36" s="4">
        <f>IF(N(AQ36)&gt;0,AP36*100+AQ36,IF(AND(BL36=1,BM36=1),(AP36-1)*100+1,AP36*100+1))</f>
        <v/>
      </c>
      <c r="BO36" s="3">
        <f>IF(OR(K36="hibrido",K36="glp",K36="gnc",K36="phev"),"ECO",IF(K36="electrico","CERO",IF(K36="gasolina",IF(BN36&gt;=GAS_C_YM,"C",IF(BN36&gt;=GAS_B_YM,"B","A")),IF(K36="diesel",IF(BN36&gt;=DIE_C_YM,"C",IF(BN36&gt;=DIE_B_YM,"B","A")),""))))</f>
        <v/>
      </c>
      <c r="BP36" s="4">
        <f>BO36</f>
        <v/>
      </c>
      <c r="BQ36" s="4">
        <f>IF(AS36="regla",IF(AND(N(AQ36)=0,BL36=1),"sí","no"),"no")</f>
        <v/>
      </c>
      <c r="BR36" s="3">
        <f>IFERROR(VLOOKUP(F36,MOD_TBL,11,0),IFERROR(VLOOKUP(E36,OCU_TBL,2,0),NEUTRO))</f>
        <v/>
      </c>
      <c r="BS36" s="3">
        <f>SUMIFS(MOT_AJUSTE,MOT_MOTOR,G36,MOT_MARCA,E36,MOT_DESDE,"&lt;="&amp;M36,MOT_HASTA,"&gt;="&amp;M36)+SUMIFS(MOT_AJUSTE,MOT_MOTOR,G36,MOT_MARCA,"(todas)",MOT_DESDE,"&lt;="&amp;M36,MOT_HASTA,"&gt;="&amp;M36)</f>
        <v/>
      </c>
      <c r="BT36" s="3">
        <f>SUMIFS(COMB_AJUSTE,COMB_COMB,K36)</f>
        <v/>
      </c>
      <c r="BU36" s="3">
        <f>COUNTIFS(MOT_MOTOR,G36,MOT_MARCA,E36,MOT_DESDE,"&lt;="&amp;M36,MOT_HASTA,"&gt;="&amp;M36)+COUNTIFS(MOT_MOTOR,G36,MOT_MARCA,"(todas)",MOT_DESDE,"&lt;="&amp;M36,MOT_HASTA,"&gt;="&amp;M36)</f>
        <v/>
      </c>
      <c r="BV36" s="3">
        <f>IF(AND(K36="diesel",BU36=0),MIN(BR36,NEUTRO),BR36)</f>
        <v/>
      </c>
      <c r="BW36" s="4">
        <f>MAX(0,MIN(100,BV36+BS36+BT36))</f>
        <v/>
      </c>
      <c r="BX36" s="3">
        <f>MAX(0,MIN(100,50+BK36*PRECIO_PEND))</f>
        <v/>
      </c>
      <c r="BY36" s="3">
        <f>MAX(0,100*(1-N36/KM_MAX))</f>
        <v/>
      </c>
      <c r="BZ36" s="3">
        <f>IF(BB36&lt;KMA_SOSP,IF(AA36="sí",100,KMA_PEN),IF(BB36&lt;=KMA_IDEAL_MAX,100,MAX(0,100*(KMA_CERO-BB36)/(KMA_CERO-KMA_IDEAL_MAX))))</f>
        <v/>
      </c>
      <c r="CA36" s="3">
        <f>MAX(0,MIN(100,100*(M36-ANIO_MIN)/(ANIO_ACTUAL-ANIO_MIN)))</f>
        <v/>
      </c>
      <c r="CB36" s="3">
        <f>W_KMT*BY36+W_KMA*BZ36+W_EDAD*CA36</f>
        <v/>
      </c>
      <c r="CC36" s="3">
        <f>P_ITV*(V36="sí")+P_LIBRO*(W36="sí")+P_CORREA*(X36="sí")+P_PROP*(Y36=1)+P_GAR*(Z36="sí")+P_FOTOS*MIN(1,N(U36)/FOTOS_OBJ)</f>
        <v/>
      </c>
      <c r="CD36" s="3">
        <f>MAX(0,MIN(100,IFERROR(VLOOKUP(BP36,ETQ_TBL,2,0),0)-IF(BQ36="sí",ETQ_PEN_DUD,IF(AS36="regla",ETQ_PEN_REGLA,0))))</f>
        <v/>
      </c>
      <c r="CE36" s="3">
        <f>NEUTRO</f>
        <v/>
      </c>
      <c r="CF36" s="3">
        <f>IFERROR(VLOOKUP(L36,SEGURO_TBL,3,0),"")</f>
        <v/>
      </c>
      <c r="CG36" s="3">
        <f>IF(CF36="",NEUTRO,MAX(0,MIN(100,100*(SEG_REF_MAX-CF36)/(SEG_REF_MAX-SEG_REF_MIN))))</f>
        <v/>
      </c>
      <c r="CH36" s="3">
        <f>W_CONS*CE36+W_SEG*CG36</f>
        <v/>
      </c>
      <c r="CI36" s="3">
        <f>IF(N(AB36)&gt;0,AB36,IF(AND(R36="profesional",SG_LEGAL_ON=1),GAR_LEGAL,0))</f>
        <v/>
      </c>
      <c r="CJ36" s="3">
        <f>SG_GAR*MIN(1,CI36/SG_GAR_FULL)+SG_AMPL*(AC36="sí")+SG_KMC*(AF36="sí")+SG_REV*(N(AE36)&gt;0)+SG_DEV*MIN(1,N(AG36)/SG_DEV_FULL)+SG_HIST*(W36="sí")</f>
        <v/>
      </c>
      <c r="CK36" s="3">
        <f>IFERROR(VLOOKUP(L36,CARR_PEN_TBL,2,0),0)</f>
        <v/>
      </c>
      <c r="CL36" s="3">
        <f>W_FIAB*BW36+W_PRECIO*BX36+W_KMEDAD*CB36+W_ANUNCIO*CC36+W_USO*CH36+W_SEGURIDAD*CJ36+W_ETIQUETA*CD36-CK36</f>
        <v/>
      </c>
      <c r="CM36" s="4">
        <f>IF(N(I36)&gt;0,I36,IFERROR(ROUND(_xlfn.NUMBERVALUE(LEFT(G36,FIND(" ",G36&amp;" ")-1),".")*1000,0),99999))</f>
        <v/>
      </c>
      <c r="CN36" s="3">
        <f>IF(R36="profesional",0,IF(O36&lt;CUOTA_VALOR_MAX,IF(BA36&gt;ITP_TRAMO_ALTO,SUMIFS(CF_CUOTA,CF_MAS,ITP_TRAMO_ALTO,CF_CCMIN,"&lt;="&amp;CM36,CF_CCMAX,"&gt;="&amp;CM36),IF(BA36&gt;ITP_TRAMO_BAJO,SUMIFS(CF_CUOTA,CF_MAS,ITP_TRAMO_BAJO,CF_CCMIN,"&lt;="&amp;CM36,CF_CCMAX,"&gt;="&amp;CM36),O36*ITP_TIPO)),O36*ITP_TIPO))</f>
        <v/>
      </c>
      <c r="CO36" s="4">
        <f>IF(R36="profesional",N(AK36),0)</f>
        <v/>
      </c>
      <c r="CP36" s="3">
        <f>IF(AND(R36="profesional",ISNUMBER(AK36),AL36="sí"),0,TASA_DGT)</f>
        <v/>
      </c>
      <c r="CQ36" s="3">
        <f>INFORME_DGT</f>
        <v/>
      </c>
      <c r="CR36" s="4">
        <f>O36+CO36+CN36+CP36+CQ36</f>
        <v/>
      </c>
      <c r="CS36" s="4">
        <f>CR36+N(CF36)</f>
        <v/>
      </c>
      <c r="CT36" s="3">
        <f>IF(CR36&lt;=TOTAL_MAX,"sí",IF(CR36&lt;=TOTAL_MAX+MARGEN_NEG,"negociar","no"))</f>
        <v/>
      </c>
      <c r="CU36" s="4">
        <f>IF(CT36&lt;&gt;"no",COUNTIFS($CT$2:$CT$545,"&lt;&gt;no",$CL$2:$CL$545,"&gt;"&amp;CL36)+COUNTIFS($CT$2:CT36,"&lt;&gt;no",$CL$2:CL36,CL36),"")</f>
        <v/>
      </c>
    </row>
    <row r="37">
      <c r="A37" s="2" t="inlineStr">
        <is>
          <t>wallapop:1310485042</t>
        </is>
      </c>
      <c r="B37" s="2" t="inlineStr">
        <is>
          <t>wallapop</t>
        </is>
      </c>
      <c r="C37" s="2" t="inlineStr">
        <is>
          <t>https://es.wallapop.com/item/dacia-sandero-2009-1310485042</t>
        </is>
      </c>
      <c r="D37" s="2" t="inlineStr">
        <is>
          <t>Dacia Sandero 2009</t>
        </is>
      </c>
      <c r="E37" s="2" t="inlineStr">
        <is>
          <t>Dacia</t>
        </is>
      </c>
      <c r="F37" s="2" t="inlineStr">
        <is>
          <t>Dacia Sandero</t>
        </is>
      </c>
      <c r="G37" s="2" t="inlineStr">
        <is>
          <t>1.4</t>
        </is>
      </c>
      <c r="H37" s="2" t="inlineStr">
        <is>
          <t>1.4 75 Base 5p</t>
        </is>
      </c>
      <c r="I37" s="2" t="n"/>
      <c r="J37" s="2" t="n">
        <v>75</v>
      </c>
      <c r="K37" s="2" t="inlineStr">
        <is>
          <t>gasolina</t>
        </is>
      </c>
      <c r="L37" s="2" t="inlineStr">
        <is>
          <t>utilitario</t>
        </is>
      </c>
      <c r="M37" s="2" t="n">
        <v>2009</v>
      </c>
      <c r="N37" s="2" t="n">
        <v>183000</v>
      </c>
      <c r="O37" s="2" t="n">
        <v>3800</v>
      </c>
      <c r="P37" s="2" t="inlineStr">
        <is>
          <t>manual</t>
        </is>
      </c>
      <c r="Q37" s="2" t="inlineStr">
        <is>
          <t>no</t>
        </is>
      </c>
      <c r="R37" s="2" t="inlineStr">
        <is>
          <t>particular</t>
        </is>
      </c>
      <c r="S37" s="2" t="inlineStr">
        <is>
          <t>Valencia (46014)</t>
        </is>
      </c>
      <c r="T37" s="2" t="inlineStr">
        <is>
          <t>2026-10-07T18:41:29</t>
        </is>
      </c>
      <c r="U37" s="2" t="n">
        <v>10</v>
      </c>
      <c r="V37" s="2" t="n"/>
      <c r="W37" s="2" t="n"/>
      <c r="X37" s="2" t="n"/>
      <c r="Y37" s="2" t="n"/>
      <c r="Z37" s="2" t="n"/>
      <c r="AA37" s="2" t="n"/>
      <c r="AB37" s="2" t="n"/>
      <c r="AC37" s="2" t="n"/>
      <c r="AD37" s="2" t="n"/>
      <c r="AE37" s="2" t="n"/>
      <c r="AF37" s="2" t="n"/>
      <c r="AG37" s="2" t="n"/>
      <c r="AH37" s="2" t="n"/>
      <c r="AI37" s="2" t="n"/>
      <c r="AJ37" s="2" t="n"/>
      <c r="AK37" s="2" t="n"/>
      <c r="AL37" s="2" t="n"/>
      <c r="AM37" s="2" t="n">
        <v>2.8</v>
      </c>
      <c r="AN37" s="2" t="n"/>
      <c r="AO37" s="2" t="inlineStr">
        <is>
          <t>2009</t>
        </is>
      </c>
      <c r="AP37" s="2" t="n">
        <v>2009</v>
      </c>
      <c r="AQ37" s="2" t="n"/>
      <c r="AR37" s="2" t="n"/>
      <c r="AS37" s="2" t="inlineStr">
        <is>
          <t>regla</t>
        </is>
      </c>
      <c r="AT37" s="2" t="n">
        <v>3225</v>
      </c>
      <c r="AU37" s="2" t="n">
        <v>4</v>
      </c>
      <c r="AV37" s="2" t="inlineStr">
        <is>
          <t>modelo+año+km</t>
        </is>
      </c>
      <c r="AW37" s="2" t="n"/>
      <c r="AX37" s="2" t="inlineStr">
        <is>
          <t>cuota fija ITP: &gt;12 años, hasta 1.500 cc</t>
        </is>
      </c>
      <c r="AY37" s="2" t="inlineStr">
        <is>
          <t xml:space="preserve">Dacia sandero en muy buen estado se le cambio correa de distribución y bomba de agua embrague en buen estado aire funcionando la itv la tiene para marzo del próximo año coche en muy buena condiciones listo para usar discos y pastillas delanteras cambiadas </t>
        </is>
      </c>
      <c r="AZ37" s="2" t="inlineStr">
        <is>
          <t>https://es.wallapop.com/item/dacia-sandero-2009-1310485042 (__NEXT_DATA__ item) /home/user/Alopecia/buscador-coches/raw/wallapop/33f6bc963392d242.json</t>
        </is>
      </c>
      <c r="BA37" s="3">
        <f>MAX(ANIO_ACTUAL-M37,0)</f>
        <v/>
      </c>
      <c r="BB37" s="4">
        <f>N37/MAX(BA37,0.5)</f>
        <v/>
      </c>
      <c r="BC37" s="4">
        <f>F37</f>
        <v/>
      </c>
      <c r="BD37" s="3">
        <f>BC37&amp;"|"&amp;INT(M37/SEG_ANIO)*SEG_ANIO</f>
        <v/>
      </c>
      <c r="BE37" s="3">
        <f>BD37&amp;"|"&amp;INT(N37/SEG_KM)*SEG_KM</f>
        <v/>
      </c>
      <c r="BF37" s="4">
        <f>COUNTIF($BC$2:$BC$545,BC37)</f>
        <v/>
      </c>
      <c r="BG37" s="4">
        <f>COUNTIF($BD$2:$BD$545,BD37)</f>
        <v/>
      </c>
      <c r="BH37" s="4">
        <f>COUNTIF($BE$2:$BE$545,BE37)</f>
        <v/>
      </c>
      <c r="BI37" s="3">
        <f t="array" ref="BI37">IF(N(AU37)&gt;=MIN_N,AT37,IF(BH37&gt;=MIN_N,MEDIAN(IF($BE$2:$BE$545=BE37,$O$2:$O$545)),IF(BG37&gt;=MIN_N,MEDIAN(IF($BD$2:$BD$545=BD37,$O$2:$O$545)),MEDIAN(IF($BC$2:$BC$545=BC37,$O$2:$O$545)))))</f>
        <v/>
      </c>
      <c r="BJ37" s="3">
        <f>IF(N(AU37)&gt;=MIN_N,"mercado "&amp;AV37,IF(BH37&gt;=MIN_N,"modelo+año+km",IF(BG37&gt;=MIN_N,"modelo+año","modelo")))</f>
        <v/>
      </c>
      <c r="BK37" s="4">
        <f>(BI37-O37)/BI37</f>
        <v/>
      </c>
      <c r="BL37" s="3">
        <f>IF(COUNTIFS(FR_FUEL,K37,FR_YEAR,AP37)&gt;0,1,0)</f>
        <v/>
      </c>
      <c r="BM37" s="3">
        <f>IF(COUNTIFS(FR_FUEL,K37,FR_YEAR,AP37-1)&gt;0,1,0)</f>
        <v/>
      </c>
      <c r="BN37" s="4">
        <f>IF(N(AQ37)&gt;0,AP37*100+AQ37,IF(AND(BL37=1,BM37=1),(AP37-1)*100+1,AP37*100+1))</f>
        <v/>
      </c>
      <c r="BO37" s="3">
        <f>IF(OR(K37="hibrido",K37="glp",K37="gnc",K37="phev"),"ECO",IF(K37="electrico","CERO",IF(K37="gasolina",IF(BN37&gt;=GAS_C_YM,"C",IF(BN37&gt;=GAS_B_YM,"B","A")),IF(K37="diesel",IF(BN37&gt;=DIE_C_YM,"C",IF(BN37&gt;=DIE_B_YM,"B","A")),""))))</f>
        <v/>
      </c>
      <c r="BP37" s="4">
        <f>BO37</f>
        <v/>
      </c>
      <c r="BQ37" s="4">
        <f>IF(AS37="regla",IF(AND(N(AQ37)=0,BL37=1),"sí","no"),"no")</f>
        <v/>
      </c>
      <c r="BR37" s="3">
        <f>IFERROR(VLOOKUP(F37,MOD_TBL,11,0),IFERROR(VLOOKUP(E37,OCU_TBL,2,0),NEUTRO))</f>
        <v/>
      </c>
      <c r="BS37" s="3">
        <f>SUMIFS(MOT_AJUSTE,MOT_MOTOR,G37,MOT_MARCA,E37,MOT_DESDE,"&lt;="&amp;M37,MOT_HASTA,"&gt;="&amp;M37)+SUMIFS(MOT_AJUSTE,MOT_MOTOR,G37,MOT_MARCA,"(todas)",MOT_DESDE,"&lt;="&amp;M37,MOT_HASTA,"&gt;="&amp;M37)</f>
        <v/>
      </c>
      <c r="BT37" s="3">
        <f>SUMIFS(COMB_AJUSTE,COMB_COMB,K37)</f>
        <v/>
      </c>
      <c r="BU37" s="3">
        <f>COUNTIFS(MOT_MOTOR,G37,MOT_MARCA,E37,MOT_DESDE,"&lt;="&amp;M37,MOT_HASTA,"&gt;="&amp;M37)+COUNTIFS(MOT_MOTOR,G37,MOT_MARCA,"(todas)",MOT_DESDE,"&lt;="&amp;M37,MOT_HASTA,"&gt;="&amp;M37)</f>
        <v/>
      </c>
      <c r="BV37" s="3">
        <f>IF(AND(K37="diesel",BU37=0),MIN(BR37,NEUTRO),BR37)</f>
        <v/>
      </c>
      <c r="BW37" s="4">
        <f>MAX(0,MIN(100,BV37+BS37+BT37))</f>
        <v/>
      </c>
      <c r="BX37" s="3">
        <f>MAX(0,MIN(100,50+BK37*PRECIO_PEND))</f>
        <v/>
      </c>
      <c r="BY37" s="3">
        <f>MAX(0,100*(1-N37/KM_MAX))</f>
        <v/>
      </c>
      <c r="BZ37" s="3">
        <f>IF(BB37&lt;KMA_SOSP,IF(AA37="sí",100,KMA_PEN),IF(BB37&lt;=KMA_IDEAL_MAX,100,MAX(0,100*(KMA_CERO-BB37)/(KMA_CERO-KMA_IDEAL_MAX))))</f>
        <v/>
      </c>
      <c r="CA37" s="3">
        <f>MAX(0,MIN(100,100*(M37-ANIO_MIN)/(ANIO_ACTUAL-ANIO_MIN)))</f>
        <v/>
      </c>
      <c r="CB37" s="3">
        <f>W_KMT*BY37+W_KMA*BZ37+W_EDAD*CA37</f>
        <v/>
      </c>
      <c r="CC37" s="3">
        <f>P_ITV*(V37="sí")+P_LIBRO*(W37="sí")+P_CORREA*(X37="sí")+P_PROP*(Y37=1)+P_GAR*(Z37="sí")+P_FOTOS*MIN(1,N(U37)/FOTOS_OBJ)</f>
        <v/>
      </c>
      <c r="CD37" s="3">
        <f>MAX(0,MIN(100,IFERROR(VLOOKUP(BP37,ETQ_TBL,2,0),0)-IF(BQ37="sí",ETQ_PEN_DUD,IF(AS37="regla",ETQ_PEN_REGLA,0))))</f>
        <v/>
      </c>
      <c r="CE37" s="3">
        <f>NEUTRO</f>
        <v/>
      </c>
      <c r="CF37" s="3">
        <f>IFERROR(VLOOKUP(L37,SEGURO_TBL,3,0),"")</f>
        <v/>
      </c>
      <c r="CG37" s="3">
        <f>IF(CF37="",NEUTRO,MAX(0,MIN(100,100*(SEG_REF_MAX-CF37)/(SEG_REF_MAX-SEG_REF_MIN))))</f>
        <v/>
      </c>
      <c r="CH37" s="3">
        <f>W_CONS*CE37+W_SEG*CG37</f>
        <v/>
      </c>
      <c r="CI37" s="3">
        <f>IF(N(AB37)&gt;0,AB37,IF(AND(R37="profesional",SG_LEGAL_ON=1),GAR_LEGAL,0))</f>
        <v/>
      </c>
      <c r="CJ37" s="3">
        <f>SG_GAR*MIN(1,CI37/SG_GAR_FULL)+SG_AMPL*(AC37="sí")+SG_KMC*(AF37="sí")+SG_REV*(N(AE37)&gt;0)+SG_DEV*MIN(1,N(AG37)/SG_DEV_FULL)+SG_HIST*(W37="sí")</f>
        <v/>
      </c>
      <c r="CK37" s="3">
        <f>IFERROR(VLOOKUP(L37,CARR_PEN_TBL,2,0),0)</f>
        <v/>
      </c>
      <c r="CL37" s="3">
        <f>W_FIAB*BW37+W_PRECIO*BX37+W_KMEDAD*CB37+W_ANUNCIO*CC37+W_USO*CH37+W_SEGURIDAD*CJ37+W_ETIQUETA*CD37-CK37</f>
        <v/>
      </c>
      <c r="CM37" s="4">
        <f>IF(N(I37)&gt;0,I37,IFERROR(ROUND(_xlfn.NUMBERVALUE(LEFT(G37,FIND(" ",G37&amp;" ")-1),".")*1000,0),99999))</f>
        <v/>
      </c>
      <c r="CN37" s="3">
        <f>IF(R37="profesional",0,IF(O37&lt;CUOTA_VALOR_MAX,IF(BA37&gt;ITP_TRAMO_ALTO,SUMIFS(CF_CUOTA,CF_MAS,ITP_TRAMO_ALTO,CF_CCMIN,"&lt;="&amp;CM37,CF_CCMAX,"&gt;="&amp;CM37),IF(BA37&gt;ITP_TRAMO_BAJO,SUMIFS(CF_CUOTA,CF_MAS,ITP_TRAMO_BAJO,CF_CCMIN,"&lt;="&amp;CM37,CF_CCMAX,"&gt;="&amp;CM37),O37*ITP_TIPO)),O37*ITP_TIPO))</f>
        <v/>
      </c>
      <c r="CO37" s="4">
        <f>IF(R37="profesional",N(AK37),0)</f>
        <v/>
      </c>
      <c r="CP37" s="3">
        <f>IF(AND(R37="profesional",ISNUMBER(AK37),AL37="sí"),0,TASA_DGT)</f>
        <v/>
      </c>
      <c r="CQ37" s="3">
        <f>INFORME_DGT</f>
        <v/>
      </c>
      <c r="CR37" s="4">
        <f>O37+CO37+CN37+CP37+CQ37</f>
        <v/>
      </c>
      <c r="CS37" s="4">
        <f>CR37+N(CF37)</f>
        <v/>
      </c>
      <c r="CT37" s="3">
        <f>IF(CR37&lt;=TOTAL_MAX,"sí",IF(CR37&lt;=TOTAL_MAX+MARGEN_NEG,"negociar","no"))</f>
        <v/>
      </c>
      <c r="CU37" s="4">
        <f>IF(CT37&lt;&gt;"no",COUNTIFS($CT$2:$CT$545,"&lt;&gt;no",$CL$2:$CL$545,"&gt;"&amp;CL37)+COUNTIFS($CT$2:CT37,"&lt;&gt;no",$CL$2:CL37,CL37),"")</f>
        <v/>
      </c>
    </row>
    <row r="38">
      <c r="A38" s="2" t="inlineStr">
        <is>
          <t>wallapop:1285784488</t>
        </is>
      </c>
      <c r="B38" s="2" t="inlineStr">
        <is>
          <t>wallapop</t>
        </is>
      </c>
      <c r="C38" s="2" t="inlineStr">
        <is>
          <t>https://es.wallapop.com/item/dacia-logan-2015-1285784488</t>
        </is>
      </c>
      <c r="D38" s="2" t="inlineStr">
        <is>
          <t>Dacia Logan 2015</t>
        </is>
      </c>
      <c r="E38" s="2" t="inlineStr">
        <is>
          <t>Dacia</t>
        </is>
      </c>
      <c r="F38" s="2" t="inlineStr">
        <is>
          <t>Dacia Logan</t>
        </is>
      </c>
      <c r="G38" s="2" t="inlineStr">
        <is>
          <t>1.5 dCi</t>
        </is>
      </c>
      <c r="H38" s="2" t="inlineStr">
        <is>
          <t>1.5 dCi 90 Laureate 4p</t>
        </is>
      </c>
      <c r="I38" s="2" t="n"/>
      <c r="J38" s="2" t="n">
        <v>90</v>
      </c>
      <c r="K38" s="2" t="inlineStr">
        <is>
          <t>diesel</t>
        </is>
      </c>
      <c r="L38" s="2" t="inlineStr">
        <is>
          <t>berlina</t>
        </is>
      </c>
      <c r="M38" s="2" t="n">
        <v>2015</v>
      </c>
      <c r="N38" s="2" t="n">
        <v>183000</v>
      </c>
      <c r="O38" s="2" t="n">
        <v>3900</v>
      </c>
      <c r="P38" s="2" t="inlineStr">
        <is>
          <t>manual</t>
        </is>
      </c>
      <c r="Q38" s="2" t="inlineStr">
        <is>
          <t>no</t>
        </is>
      </c>
      <c r="R38" s="2" t="inlineStr">
        <is>
          <t>particular</t>
        </is>
      </c>
      <c r="S38" s="2" t="inlineStr">
        <is>
          <t>Valencia (46002)</t>
        </is>
      </c>
      <c r="T38" s="2" t="inlineStr">
        <is>
          <t>2026-09-26T13:05:59</t>
        </is>
      </c>
      <c r="U38" s="2" t="n">
        <v>9</v>
      </c>
      <c r="V38" s="2" t="n"/>
      <c r="W38" s="2" t="n"/>
      <c r="X38" s="2" t="n"/>
      <c r="Y38" s="2" t="n"/>
      <c r="Z38" s="2" t="n"/>
      <c r="AA38" s="2" t="n"/>
      <c r="AB38" s="2" t="n"/>
      <c r="AC38" s="2" t="n"/>
      <c r="AD38" s="2" t="n"/>
      <c r="AE38" s="2" t="n"/>
      <c r="AF38" s="2" t="n"/>
      <c r="AG38" s="2" t="n"/>
      <c r="AH38" s="2" t="n"/>
      <c r="AI38" s="2" t="n"/>
      <c r="AJ38" s="2" t="n"/>
      <c r="AK38" s="2" t="n"/>
      <c r="AL38" s="2" t="n"/>
      <c r="AM38" s="2" t="n">
        <v>0.9</v>
      </c>
      <c r="AN38" s="2" t="n"/>
      <c r="AO38" s="2" t="inlineStr">
        <is>
          <t>2015</t>
        </is>
      </c>
      <c r="AP38" s="2" t="n">
        <v>2015</v>
      </c>
      <c r="AQ38" s="2" t="n"/>
      <c r="AR38" s="2" t="n"/>
      <c r="AS38" s="2" t="inlineStr">
        <is>
          <t>regla</t>
        </is>
      </c>
      <c r="AT38" s="2" t="n"/>
      <c r="AU38" s="2" t="n"/>
      <c r="AV38" s="2" t="n"/>
      <c r="AW38" s="2" t="n"/>
      <c r="AX38" s="2" t="inlineStr">
        <is>
          <t>etiqueta B dudosa: confirmar etiqueta con la DGT antes de comprar; cuota fija ITP: &gt;5 y &lt;=12 años, hasta 1.500 cc; carrocería berlina: -4 puntos</t>
        </is>
      </c>
      <c r="AY38" s="2" t="inlineStr">
        <is>
          <t>Se vende dacia logan en buen estado</t>
        </is>
      </c>
      <c r="AZ38" s="2" t="inlineStr">
        <is>
          <t>https://es.wallapop.com/item/dacia-logan-2015-1285784488 (__NEXT_DATA__ item) /home/user/Alopecia/buscador-coches/raw/wallapop/4811da9a3ddf9dd4.json</t>
        </is>
      </c>
      <c r="BA38" s="3">
        <f>MAX(ANIO_ACTUAL-M38,0)</f>
        <v/>
      </c>
      <c r="BB38" s="4">
        <f>N38/MAX(BA38,0.5)</f>
        <v/>
      </c>
      <c r="BC38" s="4">
        <f>F38</f>
        <v/>
      </c>
      <c r="BD38" s="3">
        <f>BC38&amp;"|"&amp;INT(M38/SEG_ANIO)*SEG_ANIO</f>
        <v/>
      </c>
      <c r="BE38" s="3">
        <f>BD38&amp;"|"&amp;INT(N38/SEG_KM)*SEG_KM</f>
        <v/>
      </c>
      <c r="BF38" s="4">
        <f>COUNTIF($BC$2:$BC$545,BC38)</f>
        <v/>
      </c>
      <c r="BG38" s="4">
        <f>COUNTIF($BD$2:$BD$545,BD38)</f>
        <v/>
      </c>
      <c r="BH38" s="4">
        <f>COUNTIF($BE$2:$BE$545,BE38)</f>
        <v/>
      </c>
      <c r="BI38" s="3">
        <f t="array" ref="BI38">IF(N(AU38)&gt;=MIN_N,AT38,IF(BH38&gt;=MIN_N,MEDIAN(IF($BE$2:$BE$545=BE38,$O$2:$O$545)),IF(BG38&gt;=MIN_N,MEDIAN(IF($BD$2:$BD$545=BD38,$O$2:$O$545)),MEDIAN(IF($BC$2:$BC$545=BC38,$O$2:$O$545)))))</f>
        <v/>
      </c>
      <c r="BJ38" s="3">
        <f>IF(N(AU38)&gt;=MIN_N,"mercado "&amp;AV38,IF(BH38&gt;=MIN_N,"modelo+año+km",IF(BG38&gt;=MIN_N,"modelo+año","modelo")))</f>
        <v/>
      </c>
      <c r="BK38" s="4">
        <f>(BI38-O38)/BI38</f>
        <v/>
      </c>
      <c r="BL38" s="3">
        <f>IF(COUNTIFS(FR_FUEL,K38,FR_YEAR,AP38)&gt;0,1,0)</f>
        <v/>
      </c>
      <c r="BM38" s="3">
        <f>IF(COUNTIFS(FR_FUEL,K38,FR_YEAR,AP38-1)&gt;0,1,0)</f>
        <v/>
      </c>
      <c r="BN38" s="4">
        <f>IF(N(AQ38)&gt;0,AP38*100+AQ38,IF(AND(BL38=1,BM38=1),(AP38-1)*100+1,AP38*100+1))</f>
        <v/>
      </c>
      <c r="BO38" s="3">
        <f>IF(OR(K38="hibrido",K38="glp",K38="gnc",K38="phev"),"ECO",IF(K38="electrico","CERO",IF(K38="gasolina",IF(BN38&gt;=GAS_C_YM,"C",IF(BN38&gt;=GAS_B_YM,"B","A")),IF(K38="diesel",IF(BN38&gt;=DIE_C_YM,"C",IF(BN38&gt;=DIE_B_YM,"B","A")),""))))</f>
        <v/>
      </c>
      <c r="BP38" s="4">
        <f>BO38</f>
        <v/>
      </c>
      <c r="BQ38" s="4">
        <f>IF(AS38="regla",IF(AND(N(AQ38)=0,BL38=1),"sí","no"),"no")</f>
        <v/>
      </c>
      <c r="BR38" s="3">
        <f>IFERROR(VLOOKUP(F38,MOD_TBL,11,0),IFERROR(VLOOKUP(E38,OCU_TBL,2,0),NEUTRO))</f>
        <v/>
      </c>
      <c r="BS38" s="3">
        <f>SUMIFS(MOT_AJUSTE,MOT_MOTOR,G38,MOT_MARCA,E38,MOT_DESDE,"&lt;="&amp;M38,MOT_HASTA,"&gt;="&amp;M38)+SUMIFS(MOT_AJUSTE,MOT_MOTOR,G38,MOT_MARCA,"(todas)",MOT_DESDE,"&lt;="&amp;M38,MOT_HASTA,"&gt;="&amp;M38)</f>
        <v/>
      </c>
      <c r="BT38" s="3">
        <f>SUMIFS(COMB_AJUSTE,COMB_COMB,K38)</f>
        <v/>
      </c>
      <c r="BU38" s="3">
        <f>COUNTIFS(MOT_MOTOR,G38,MOT_MARCA,E38,MOT_DESDE,"&lt;="&amp;M38,MOT_HASTA,"&gt;="&amp;M38)+COUNTIFS(MOT_MOTOR,G38,MOT_MARCA,"(todas)",MOT_DESDE,"&lt;="&amp;M38,MOT_HASTA,"&gt;="&amp;M38)</f>
        <v/>
      </c>
      <c r="BV38" s="3">
        <f>IF(AND(K38="diesel",BU38=0),MIN(BR38,NEUTRO),BR38)</f>
        <v/>
      </c>
      <c r="BW38" s="4">
        <f>MAX(0,MIN(100,BV38+BS38+BT38))</f>
        <v/>
      </c>
      <c r="BX38" s="3">
        <f>MAX(0,MIN(100,50+BK38*PRECIO_PEND))</f>
        <v/>
      </c>
      <c r="BY38" s="3">
        <f>MAX(0,100*(1-N38/KM_MAX))</f>
        <v/>
      </c>
      <c r="BZ38" s="3">
        <f>IF(BB38&lt;KMA_SOSP,IF(AA38="sí",100,KMA_PEN),IF(BB38&lt;=KMA_IDEAL_MAX,100,MAX(0,100*(KMA_CERO-BB38)/(KMA_CERO-KMA_IDEAL_MAX))))</f>
        <v/>
      </c>
      <c r="CA38" s="3">
        <f>MAX(0,MIN(100,100*(M38-ANIO_MIN)/(ANIO_ACTUAL-ANIO_MIN)))</f>
        <v/>
      </c>
      <c r="CB38" s="3">
        <f>W_KMT*BY38+W_KMA*BZ38+W_EDAD*CA38</f>
        <v/>
      </c>
      <c r="CC38" s="3">
        <f>P_ITV*(V38="sí")+P_LIBRO*(W38="sí")+P_CORREA*(X38="sí")+P_PROP*(Y38=1)+P_GAR*(Z38="sí")+P_FOTOS*MIN(1,N(U38)/FOTOS_OBJ)</f>
        <v/>
      </c>
      <c r="CD38" s="3">
        <f>MAX(0,MIN(100,IFERROR(VLOOKUP(BP38,ETQ_TBL,2,0),0)-IF(BQ38="sí",ETQ_PEN_DUD,IF(AS38="regla",ETQ_PEN_REGLA,0))))</f>
        <v/>
      </c>
      <c r="CE38" s="3">
        <f>NEUTRO</f>
        <v/>
      </c>
      <c r="CF38" s="3">
        <f>IFERROR(VLOOKUP(L38,SEGURO_TBL,3,0),"")</f>
        <v/>
      </c>
      <c r="CG38" s="3">
        <f>IF(CF38="",NEUTRO,MAX(0,MIN(100,100*(SEG_REF_MAX-CF38)/(SEG_REF_MAX-SEG_REF_MIN))))</f>
        <v/>
      </c>
      <c r="CH38" s="3">
        <f>W_CONS*CE38+W_SEG*CG38</f>
        <v/>
      </c>
      <c r="CI38" s="3">
        <f>IF(N(AB38)&gt;0,AB38,IF(AND(R38="profesional",SG_LEGAL_ON=1),GAR_LEGAL,0))</f>
        <v/>
      </c>
      <c r="CJ38" s="3">
        <f>SG_GAR*MIN(1,CI38/SG_GAR_FULL)+SG_AMPL*(AC38="sí")+SG_KMC*(AF38="sí")+SG_REV*(N(AE38)&gt;0)+SG_DEV*MIN(1,N(AG38)/SG_DEV_FULL)+SG_HIST*(W38="sí")</f>
        <v/>
      </c>
      <c r="CK38" s="3">
        <f>IFERROR(VLOOKUP(L38,CARR_PEN_TBL,2,0),0)</f>
        <v/>
      </c>
      <c r="CL38" s="3">
        <f>W_FIAB*BW38+W_PRECIO*BX38+W_KMEDAD*CB38+W_ANUNCIO*CC38+W_USO*CH38+W_SEGURIDAD*CJ38+W_ETIQUETA*CD38-CK38</f>
        <v/>
      </c>
      <c r="CM38" s="4">
        <f>IF(N(I38)&gt;0,I38,IFERROR(ROUND(_xlfn.NUMBERVALUE(LEFT(G38,FIND(" ",G38&amp;" ")-1),".")*1000,0),99999))</f>
        <v/>
      </c>
      <c r="CN38" s="3">
        <f>IF(R38="profesional",0,IF(O38&lt;CUOTA_VALOR_MAX,IF(BA38&gt;ITP_TRAMO_ALTO,SUMIFS(CF_CUOTA,CF_MAS,ITP_TRAMO_ALTO,CF_CCMIN,"&lt;="&amp;CM38,CF_CCMAX,"&gt;="&amp;CM38),IF(BA38&gt;ITP_TRAMO_BAJO,SUMIFS(CF_CUOTA,CF_MAS,ITP_TRAMO_BAJO,CF_CCMIN,"&lt;="&amp;CM38,CF_CCMAX,"&gt;="&amp;CM38),O38*ITP_TIPO)),O38*ITP_TIPO))</f>
        <v/>
      </c>
      <c r="CO38" s="4">
        <f>IF(R38="profesional",N(AK38),0)</f>
        <v/>
      </c>
      <c r="CP38" s="3">
        <f>IF(AND(R38="profesional",ISNUMBER(AK38),AL38="sí"),0,TASA_DGT)</f>
        <v/>
      </c>
      <c r="CQ38" s="3">
        <f>INFORME_DGT</f>
        <v/>
      </c>
      <c r="CR38" s="4">
        <f>O38+CO38+CN38+CP38+CQ38</f>
        <v/>
      </c>
      <c r="CS38" s="4">
        <f>CR38+N(CF38)</f>
        <v/>
      </c>
      <c r="CT38" s="3">
        <f>IF(CR38&lt;=TOTAL_MAX,"sí",IF(CR38&lt;=TOTAL_MAX+MARGEN_NEG,"negociar","no"))</f>
        <v/>
      </c>
      <c r="CU38" s="4">
        <f>IF(CT38&lt;&gt;"no",COUNTIFS($CT$2:$CT$545,"&lt;&gt;no",$CL$2:$CL$545,"&gt;"&amp;CL38)+COUNTIFS($CT$2:CT38,"&lt;&gt;no",$CL$2:CL38,CL38),"")</f>
        <v/>
      </c>
    </row>
    <row r="39">
      <c r="A39" s="2" t="inlineStr">
        <is>
          <t>wallapop:1318790630</t>
        </is>
      </c>
      <c r="B39" s="2" t="inlineStr">
        <is>
          <t>wallapop</t>
        </is>
      </c>
      <c r="C39" s="2" t="inlineStr">
        <is>
          <t>https://es.wallapop.com/item/peugeot-207-2008-1318790630</t>
        </is>
      </c>
      <c r="D39" s="2" t="inlineStr">
        <is>
          <t>Peugeot 207 2008</t>
        </is>
      </c>
      <c r="E39" s="2" t="inlineStr">
        <is>
          <t>Peugeot</t>
        </is>
      </c>
      <c r="F39" s="2" t="inlineStr">
        <is>
          <t>Peugeot 207</t>
        </is>
      </c>
      <c r="G39" s="2" t="n"/>
      <c r="H39" s="2" t="n"/>
      <c r="I39" s="2" t="n"/>
      <c r="J39" s="2" t="n"/>
      <c r="K39" s="2" t="inlineStr">
        <is>
          <t>gasolina</t>
        </is>
      </c>
      <c r="L39" s="2" t="inlineStr">
        <is>
          <t>utilitario</t>
        </is>
      </c>
      <c r="M39" s="2" t="n">
        <v>2008</v>
      </c>
      <c r="N39" s="2" t="n">
        <v>107433</v>
      </c>
      <c r="O39" s="2" t="n">
        <v>3000</v>
      </c>
      <c r="P39" s="2" t="inlineStr">
        <is>
          <t>manual</t>
        </is>
      </c>
      <c r="Q39" s="2" t="inlineStr">
        <is>
          <t>no</t>
        </is>
      </c>
      <c r="R39" s="2" t="inlineStr">
        <is>
          <t>particular</t>
        </is>
      </c>
      <c r="S39" s="2" t="inlineStr">
        <is>
          <t>Valencia (46003)</t>
        </is>
      </c>
      <c r="T39" s="2" t="inlineStr">
        <is>
          <t>2026-10-31T06:34:24</t>
        </is>
      </c>
      <c r="U39" s="2" t="n">
        <v>1</v>
      </c>
      <c r="V39" s="2" t="inlineStr">
        <is>
          <t>sí</t>
        </is>
      </c>
      <c r="W39" s="2" t="n"/>
      <c r="X39" s="2" t="n"/>
      <c r="Y39" s="2" t="n"/>
      <c r="Z39" s="2" t="n"/>
      <c r="AA39" s="2" t="n"/>
      <c r="AB39" s="2" t="n"/>
      <c r="AC39" s="2" t="n"/>
      <c r="AD39" s="2" t="n"/>
      <c r="AE39" s="2" t="n"/>
      <c r="AF39" s="2" t="n"/>
      <c r="AG39" s="2" t="n"/>
      <c r="AH39" s="2" t="n"/>
      <c r="AI39" s="2" t="n"/>
      <c r="AJ39" s="2" t="n"/>
      <c r="AK39" s="2" t="n"/>
      <c r="AL39" s="2" t="n"/>
      <c r="AM39" s="2" t="n">
        <v>0.9</v>
      </c>
      <c r="AN39" s="2" t="n"/>
      <c r="AO39" s="2" t="inlineStr">
        <is>
          <t>2008</t>
        </is>
      </c>
      <c r="AP39" s="2" t="n">
        <v>2008</v>
      </c>
      <c r="AQ39" s="2" t="n"/>
      <c r="AR39" s="2" t="n"/>
      <c r="AS39" s="2" t="inlineStr">
        <is>
          <t>regla</t>
        </is>
      </c>
      <c r="AT39" s="2" t="n">
        <v>3550</v>
      </c>
      <c r="AU39" s="2" t="n">
        <v>30</v>
      </c>
      <c r="AV39" s="2" t="inlineStr">
        <is>
          <t>modelo+año+km</t>
        </is>
      </c>
      <c r="AW39" s="2" t="n"/>
      <c r="AX39" s="2" t="inlineStr">
        <is>
          <t>cilindrada desconocida: se aplica el tramo de cuota fija más alto; cuota fija ITP: &gt;12 años, más de 2.000 cc; fiabilidad del modelo PENDIENTE de fuente (puntuación neutra)</t>
        </is>
      </c>
      <c r="AY39" s="2" t="inlineStr">
        <is>
          <t>Se vende coche por 3000€ con fallo en el cilindro 4 baja compresión. Embrague nuevo ,caja de cambios nueva, filtros recién cambiados y las 4 bobinas nuevas . ITV hasta mayo.</t>
        </is>
      </c>
      <c r="AZ39" s="2" t="inlineStr">
        <is>
          <t>https://es.wallapop.com/item/peugeot-207-2008-1318790630 (__NEXT_DATA__ item) /home/user/Alopecia/buscador-coches/raw/wallapop/2849de789c65555b.json</t>
        </is>
      </c>
      <c r="BA39" s="3">
        <f>MAX(ANIO_ACTUAL-M39,0)</f>
        <v/>
      </c>
      <c r="BB39" s="4">
        <f>N39/MAX(BA39,0.5)</f>
        <v/>
      </c>
      <c r="BC39" s="4">
        <f>F39</f>
        <v/>
      </c>
      <c r="BD39" s="3">
        <f>BC39&amp;"|"&amp;INT(M39/SEG_ANIO)*SEG_ANIO</f>
        <v/>
      </c>
      <c r="BE39" s="3">
        <f>BD39&amp;"|"&amp;INT(N39/SEG_KM)*SEG_KM</f>
        <v/>
      </c>
      <c r="BF39" s="4">
        <f>COUNTIF($BC$2:$BC$545,BC39)</f>
        <v/>
      </c>
      <c r="BG39" s="4">
        <f>COUNTIF($BD$2:$BD$545,BD39)</f>
        <v/>
      </c>
      <c r="BH39" s="4">
        <f>COUNTIF($BE$2:$BE$545,BE39)</f>
        <v/>
      </c>
      <c r="BI39" s="3">
        <f t="array" ref="BI39">IF(N(AU39)&gt;=MIN_N,AT39,IF(BH39&gt;=MIN_N,MEDIAN(IF($BE$2:$BE$545=BE39,$O$2:$O$545)),IF(BG39&gt;=MIN_N,MEDIAN(IF($BD$2:$BD$545=BD39,$O$2:$O$545)),MEDIAN(IF($BC$2:$BC$545=BC39,$O$2:$O$545)))))</f>
        <v/>
      </c>
      <c r="BJ39" s="3">
        <f>IF(N(AU39)&gt;=MIN_N,"mercado "&amp;AV39,IF(BH39&gt;=MIN_N,"modelo+año+km",IF(BG39&gt;=MIN_N,"modelo+año","modelo")))</f>
        <v/>
      </c>
      <c r="BK39" s="4">
        <f>(BI39-O39)/BI39</f>
        <v/>
      </c>
      <c r="BL39" s="3">
        <f>IF(COUNTIFS(FR_FUEL,K39,FR_YEAR,AP39)&gt;0,1,0)</f>
        <v/>
      </c>
      <c r="BM39" s="3">
        <f>IF(COUNTIFS(FR_FUEL,K39,FR_YEAR,AP39-1)&gt;0,1,0)</f>
        <v/>
      </c>
      <c r="BN39" s="4">
        <f>IF(N(AQ39)&gt;0,AP39*100+AQ39,IF(AND(BL39=1,BM39=1),(AP39-1)*100+1,AP39*100+1))</f>
        <v/>
      </c>
      <c r="BO39" s="3">
        <f>IF(OR(K39="hibrido",K39="glp",K39="gnc",K39="phev"),"ECO",IF(K39="electrico","CERO",IF(K39="gasolina",IF(BN39&gt;=GAS_C_YM,"C",IF(BN39&gt;=GAS_B_YM,"B","A")),IF(K39="diesel",IF(BN39&gt;=DIE_C_YM,"C",IF(BN39&gt;=DIE_B_YM,"B","A")),""))))</f>
        <v/>
      </c>
      <c r="BP39" s="4">
        <f>BO39</f>
        <v/>
      </c>
      <c r="BQ39" s="4">
        <f>IF(AS39="regla",IF(AND(N(AQ39)=0,BL39=1),"sí","no"),"no")</f>
        <v/>
      </c>
      <c r="BR39" s="3">
        <f>IFERROR(VLOOKUP(F39,MOD_TBL,11,0),IFERROR(VLOOKUP(E39,OCU_TBL,2,0),NEUTRO))</f>
        <v/>
      </c>
      <c r="BS39" s="3">
        <f>SUMIFS(MOT_AJUSTE,MOT_MOTOR,G39,MOT_MARCA,E39,MOT_DESDE,"&lt;="&amp;M39,MOT_HASTA,"&gt;="&amp;M39)+SUMIFS(MOT_AJUSTE,MOT_MOTOR,G39,MOT_MARCA,"(todas)",MOT_DESDE,"&lt;="&amp;M39,MOT_HASTA,"&gt;="&amp;M39)</f>
        <v/>
      </c>
      <c r="BT39" s="3">
        <f>SUMIFS(COMB_AJUSTE,COMB_COMB,K39)</f>
        <v/>
      </c>
      <c r="BU39" s="3">
        <f>COUNTIFS(MOT_MOTOR,G39,MOT_MARCA,E39,MOT_DESDE,"&lt;="&amp;M39,MOT_HASTA,"&gt;="&amp;M39)+COUNTIFS(MOT_MOTOR,G39,MOT_MARCA,"(todas)",MOT_DESDE,"&lt;="&amp;M39,MOT_HASTA,"&gt;="&amp;M39)</f>
        <v/>
      </c>
      <c r="BV39" s="3">
        <f>IF(AND(K39="diesel",BU39=0),MIN(BR39,NEUTRO),BR39)</f>
        <v/>
      </c>
      <c r="BW39" s="4">
        <f>MAX(0,MIN(100,BV39+BS39+BT39))</f>
        <v/>
      </c>
      <c r="BX39" s="3">
        <f>MAX(0,MIN(100,50+BK39*PRECIO_PEND))</f>
        <v/>
      </c>
      <c r="BY39" s="3">
        <f>MAX(0,100*(1-N39/KM_MAX))</f>
        <v/>
      </c>
      <c r="BZ39" s="3">
        <f>IF(BB39&lt;KMA_SOSP,IF(AA39="sí",100,KMA_PEN),IF(BB39&lt;=KMA_IDEAL_MAX,100,MAX(0,100*(KMA_CERO-BB39)/(KMA_CERO-KMA_IDEAL_MAX))))</f>
        <v/>
      </c>
      <c r="CA39" s="3">
        <f>MAX(0,MIN(100,100*(M39-ANIO_MIN)/(ANIO_ACTUAL-ANIO_MIN)))</f>
        <v/>
      </c>
      <c r="CB39" s="3">
        <f>W_KMT*BY39+W_KMA*BZ39+W_EDAD*CA39</f>
        <v/>
      </c>
      <c r="CC39" s="3">
        <f>P_ITV*(V39="sí")+P_LIBRO*(W39="sí")+P_CORREA*(X39="sí")+P_PROP*(Y39=1)+P_GAR*(Z39="sí")+P_FOTOS*MIN(1,N(U39)/FOTOS_OBJ)</f>
        <v/>
      </c>
      <c r="CD39" s="3">
        <f>MAX(0,MIN(100,IFERROR(VLOOKUP(BP39,ETQ_TBL,2,0),0)-IF(BQ39="sí",ETQ_PEN_DUD,IF(AS39="regla",ETQ_PEN_REGLA,0))))</f>
        <v/>
      </c>
      <c r="CE39" s="3">
        <f>NEUTRO</f>
        <v/>
      </c>
      <c r="CF39" s="3">
        <f>IFERROR(VLOOKUP(L39,SEGURO_TBL,3,0),"")</f>
        <v/>
      </c>
      <c r="CG39" s="3">
        <f>IF(CF39="",NEUTRO,MAX(0,MIN(100,100*(SEG_REF_MAX-CF39)/(SEG_REF_MAX-SEG_REF_MIN))))</f>
        <v/>
      </c>
      <c r="CH39" s="3">
        <f>W_CONS*CE39+W_SEG*CG39</f>
        <v/>
      </c>
      <c r="CI39" s="3">
        <f>IF(N(AB39)&gt;0,AB39,IF(AND(R39="profesional",SG_LEGAL_ON=1),GAR_LEGAL,0))</f>
        <v/>
      </c>
      <c r="CJ39" s="3">
        <f>SG_GAR*MIN(1,CI39/SG_GAR_FULL)+SG_AMPL*(AC39="sí")+SG_KMC*(AF39="sí")+SG_REV*(N(AE39)&gt;0)+SG_DEV*MIN(1,N(AG39)/SG_DEV_FULL)+SG_HIST*(W39="sí")</f>
        <v/>
      </c>
      <c r="CK39" s="3">
        <f>IFERROR(VLOOKUP(L39,CARR_PEN_TBL,2,0),0)</f>
        <v/>
      </c>
      <c r="CL39" s="3">
        <f>W_FIAB*BW39+W_PRECIO*BX39+W_KMEDAD*CB39+W_ANUNCIO*CC39+W_USO*CH39+W_SEGURIDAD*CJ39+W_ETIQUETA*CD39-CK39</f>
        <v/>
      </c>
      <c r="CM39" s="4">
        <f>IF(N(I39)&gt;0,I39,IFERROR(ROUND(_xlfn.NUMBERVALUE(LEFT(G39,FIND(" ",G39&amp;" ")-1),".")*1000,0),99999))</f>
        <v/>
      </c>
      <c r="CN39" s="3">
        <f>IF(R39="profesional",0,IF(O39&lt;CUOTA_VALOR_MAX,IF(BA39&gt;ITP_TRAMO_ALTO,SUMIFS(CF_CUOTA,CF_MAS,ITP_TRAMO_ALTO,CF_CCMIN,"&lt;="&amp;CM39,CF_CCMAX,"&gt;="&amp;CM39),IF(BA39&gt;ITP_TRAMO_BAJO,SUMIFS(CF_CUOTA,CF_MAS,ITP_TRAMO_BAJO,CF_CCMIN,"&lt;="&amp;CM39,CF_CCMAX,"&gt;="&amp;CM39),O39*ITP_TIPO)),O39*ITP_TIPO))</f>
        <v/>
      </c>
      <c r="CO39" s="4">
        <f>IF(R39="profesional",N(AK39),0)</f>
        <v/>
      </c>
      <c r="CP39" s="3">
        <f>IF(AND(R39="profesional",ISNUMBER(AK39),AL39="sí"),0,TASA_DGT)</f>
        <v/>
      </c>
      <c r="CQ39" s="3">
        <f>INFORME_DGT</f>
        <v/>
      </c>
      <c r="CR39" s="4">
        <f>O39+CO39+CN39+CP39+CQ39</f>
        <v/>
      </c>
      <c r="CS39" s="4">
        <f>CR39+N(CF39)</f>
        <v/>
      </c>
      <c r="CT39" s="3">
        <f>IF(CR39&lt;=TOTAL_MAX,"sí",IF(CR39&lt;=TOTAL_MAX+MARGEN_NEG,"negociar","no"))</f>
        <v/>
      </c>
      <c r="CU39" s="4">
        <f>IF(CT39&lt;&gt;"no",COUNTIFS($CT$2:$CT$545,"&lt;&gt;no",$CL$2:$CL$545,"&gt;"&amp;CL39)+COUNTIFS($CT$2:CT39,"&lt;&gt;no",$CL$2:CL39,CL39),"")</f>
        <v/>
      </c>
    </row>
    <row r="40">
      <c r="A40" s="2" t="inlineStr">
        <is>
          <t>wallapop:1309416714</t>
        </is>
      </c>
      <c r="B40" s="2" t="inlineStr">
        <is>
          <t>wallapop</t>
        </is>
      </c>
      <c r="C40" s="2" t="inlineStr">
        <is>
          <t>https://es.wallapop.com/item/peugeot-207-2012-1309416714</t>
        </is>
      </c>
      <c r="D40" s="2" t="inlineStr">
        <is>
          <t>Peugeot 207 2012 pocos KM</t>
        </is>
      </c>
      <c r="E40" s="2" t="inlineStr">
        <is>
          <t>Peugeot</t>
        </is>
      </c>
      <c r="F40" s="2" t="inlineStr">
        <is>
          <t>Peugeot 207</t>
        </is>
      </c>
      <c r="G40" s="2" t="inlineStr">
        <is>
          <t>1.4</t>
        </is>
      </c>
      <c r="H40" s="2" t="inlineStr">
        <is>
          <t>1.4i 75 Access 5p AM80</t>
        </is>
      </c>
      <c r="I40" s="2" t="n"/>
      <c r="J40" s="2" t="n">
        <v>75</v>
      </c>
      <c r="K40" s="2" t="inlineStr">
        <is>
          <t>gasolina</t>
        </is>
      </c>
      <c r="L40" s="2" t="inlineStr">
        <is>
          <t>utilitario</t>
        </is>
      </c>
      <c r="M40" s="2" t="n">
        <v>2012</v>
      </c>
      <c r="N40" s="2" t="n">
        <v>145000</v>
      </c>
      <c r="O40" s="2" t="n">
        <v>4200</v>
      </c>
      <c r="P40" s="2" t="inlineStr">
        <is>
          <t>manual</t>
        </is>
      </c>
      <c r="Q40" s="2" t="inlineStr">
        <is>
          <t>no</t>
        </is>
      </c>
      <c r="R40" s="2" t="inlineStr">
        <is>
          <t>particular</t>
        </is>
      </c>
      <c r="S40" s="2" t="inlineStr">
        <is>
          <t>Valencia (46002)</t>
        </is>
      </c>
      <c r="T40" s="2" t="inlineStr">
        <is>
          <t>2026-10-26T10:28:41</t>
        </is>
      </c>
      <c r="U40" s="2" t="n">
        <v>7</v>
      </c>
      <c r="V40" s="2" t="inlineStr">
        <is>
          <t>sí</t>
        </is>
      </c>
      <c r="W40" s="2" t="n"/>
      <c r="X40" s="2" t="inlineStr">
        <is>
          <t>sí</t>
        </is>
      </c>
      <c r="Y40" s="2" t="n"/>
      <c r="Z40" s="2" t="n"/>
      <c r="AA40" s="2" t="n"/>
      <c r="AB40" s="2" t="n"/>
      <c r="AC40" s="2" t="n"/>
      <c r="AD40" s="2" t="n"/>
      <c r="AE40" s="2" t="n"/>
      <c r="AF40" s="2" t="n"/>
      <c r="AG40" s="2" t="n"/>
      <c r="AH40" s="2" t="n"/>
      <c r="AI40" s="2" t="n"/>
      <c r="AJ40" s="2" t="n"/>
      <c r="AK40" s="2" t="n"/>
      <c r="AL40" s="2" t="n"/>
      <c r="AM40" s="2" t="n">
        <v>0</v>
      </c>
      <c r="AN40" s="2" t="n"/>
      <c r="AO40" s="2" t="inlineStr">
        <is>
          <t>2012</t>
        </is>
      </c>
      <c r="AP40" s="2" t="n">
        <v>2012</v>
      </c>
      <c r="AQ40" s="2" t="n"/>
      <c r="AR40" s="2" t="n"/>
      <c r="AS40" s="2" t="inlineStr">
        <is>
          <t>regla</t>
        </is>
      </c>
      <c r="AT40" s="2" t="n">
        <v>4490</v>
      </c>
      <c r="AU40" s="2" t="n">
        <v>15</v>
      </c>
      <c r="AV40" s="2" t="inlineStr">
        <is>
          <t>modelo+año+km</t>
        </is>
      </c>
      <c r="AW40" s="2" t="n"/>
      <c r="AX40" s="2" t="inlineStr">
        <is>
          <t>cuota fija ITP: &gt;12 años, hasta 1.500 cc; fiabilidad del modelo PENDIENTE de fuente (puntuación neutra)</t>
        </is>
      </c>
      <c r="AY40" s="2" t="inlineStr">
        <is>
          <t>Se vende Peugeot 207 del año 2012 y con tan solo 145.000 km. Motor 1.4i  poco consumo.
Distribución cambiada.
El coche esta cuidado y va fino.
Itv hasta junio 27.
Revisión de aceite y filtros reciente.
2 llaves.
Se puede ver y probar</t>
        </is>
      </c>
      <c r="AZ40" s="2" t="inlineStr">
        <is>
          <t>https://es.wallapop.com/item/peugeot-207-2012-1309416714 (__NEXT_DATA__ item) /home/user/Alopecia/buscador-coches/raw/wallapop/65f9534ea3b1df77.json</t>
        </is>
      </c>
      <c r="BA40" s="3">
        <f>MAX(ANIO_ACTUAL-M40,0)</f>
        <v/>
      </c>
      <c r="BB40" s="4">
        <f>N40/MAX(BA40,0.5)</f>
        <v/>
      </c>
      <c r="BC40" s="4">
        <f>F40</f>
        <v/>
      </c>
      <c r="BD40" s="3">
        <f>BC40&amp;"|"&amp;INT(M40/SEG_ANIO)*SEG_ANIO</f>
        <v/>
      </c>
      <c r="BE40" s="3">
        <f>BD40&amp;"|"&amp;INT(N40/SEG_KM)*SEG_KM</f>
        <v/>
      </c>
      <c r="BF40" s="4">
        <f>COUNTIF($BC$2:$BC$545,BC40)</f>
        <v/>
      </c>
      <c r="BG40" s="4">
        <f>COUNTIF($BD$2:$BD$545,BD40)</f>
        <v/>
      </c>
      <c r="BH40" s="4">
        <f>COUNTIF($BE$2:$BE$545,BE40)</f>
        <v/>
      </c>
      <c r="BI40" s="3">
        <f t="array" ref="BI40">IF(N(AU40)&gt;=MIN_N,AT40,IF(BH40&gt;=MIN_N,MEDIAN(IF($BE$2:$BE$545=BE40,$O$2:$O$545)),IF(BG40&gt;=MIN_N,MEDIAN(IF($BD$2:$BD$545=BD40,$O$2:$O$545)),MEDIAN(IF($BC$2:$BC$545=BC40,$O$2:$O$545)))))</f>
        <v/>
      </c>
      <c r="BJ40" s="3">
        <f>IF(N(AU40)&gt;=MIN_N,"mercado "&amp;AV40,IF(BH40&gt;=MIN_N,"modelo+año+km",IF(BG40&gt;=MIN_N,"modelo+año","modelo")))</f>
        <v/>
      </c>
      <c r="BK40" s="4">
        <f>(BI40-O40)/BI40</f>
        <v/>
      </c>
      <c r="BL40" s="3">
        <f>IF(COUNTIFS(FR_FUEL,K40,FR_YEAR,AP40)&gt;0,1,0)</f>
        <v/>
      </c>
      <c r="BM40" s="3">
        <f>IF(COUNTIFS(FR_FUEL,K40,FR_YEAR,AP40-1)&gt;0,1,0)</f>
        <v/>
      </c>
      <c r="BN40" s="4">
        <f>IF(N(AQ40)&gt;0,AP40*100+AQ40,IF(AND(BL40=1,BM40=1),(AP40-1)*100+1,AP40*100+1))</f>
        <v/>
      </c>
      <c r="BO40" s="3">
        <f>IF(OR(K40="hibrido",K40="glp",K40="gnc",K40="phev"),"ECO",IF(K40="electrico","CERO",IF(K40="gasolina",IF(BN40&gt;=GAS_C_YM,"C",IF(BN40&gt;=GAS_B_YM,"B","A")),IF(K40="diesel",IF(BN40&gt;=DIE_C_YM,"C",IF(BN40&gt;=DIE_B_YM,"B","A")),""))))</f>
        <v/>
      </c>
      <c r="BP40" s="4">
        <f>BO40</f>
        <v/>
      </c>
      <c r="BQ40" s="4">
        <f>IF(AS40="regla",IF(AND(N(AQ40)=0,BL40=1),"sí","no"),"no")</f>
        <v/>
      </c>
      <c r="BR40" s="3">
        <f>IFERROR(VLOOKUP(F40,MOD_TBL,11,0),IFERROR(VLOOKUP(E40,OCU_TBL,2,0),NEUTRO))</f>
        <v/>
      </c>
      <c r="BS40" s="3">
        <f>SUMIFS(MOT_AJUSTE,MOT_MOTOR,G40,MOT_MARCA,E40,MOT_DESDE,"&lt;="&amp;M40,MOT_HASTA,"&gt;="&amp;M40)+SUMIFS(MOT_AJUSTE,MOT_MOTOR,G40,MOT_MARCA,"(todas)",MOT_DESDE,"&lt;="&amp;M40,MOT_HASTA,"&gt;="&amp;M40)</f>
        <v/>
      </c>
      <c r="BT40" s="3">
        <f>SUMIFS(COMB_AJUSTE,COMB_COMB,K40)</f>
        <v/>
      </c>
      <c r="BU40" s="3">
        <f>COUNTIFS(MOT_MOTOR,G40,MOT_MARCA,E40,MOT_DESDE,"&lt;="&amp;M40,MOT_HASTA,"&gt;="&amp;M40)+COUNTIFS(MOT_MOTOR,G40,MOT_MARCA,"(todas)",MOT_DESDE,"&lt;="&amp;M40,MOT_HASTA,"&gt;="&amp;M40)</f>
        <v/>
      </c>
      <c r="BV40" s="3">
        <f>IF(AND(K40="diesel",BU40=0),MIN(BR40,NEUTRO),BR40)</f>
        <v/>
      </c>
      <c r="BW40" s="4">
        <f>MAX(0,MIN(100,BV40+BS40+BT40))</f>
        <v/>
      </c>
      <c r="BX40" s="3">
        <f>MAX(0,MIN(100,50+BK40*PRECIO_PEND))</f>
        <v/>
      </c>
      <c r="BY40" s="3">
        <f>MAX(0,100*(1-N40/KM_MAX))</f>
        <v/>
      </c>
      <c r="BZ40" s="3">
        <f>IF(BB40&lt;KMA_SOSP,IF(AA40="sí",100,KMA_PEN),IF(BB40&lt;=KMA_IDEAL_MAX,100,MAX(0,100*(KMA_CERO-BB40)/(KMA_CERO-KMA_IDEAL_MAX))))</f>
        <v/>
      </c>
      <c r="CA40" s="3">
        <f>MAX(0,MIN(100,100*(M40-ANIO_MIN)/(ANIO_ACTUAL-ANIO_MIN)))</f>
        <v/>
      </c>
      <c r="CB40" s="3">
        <f>W_KMT*BY40+W_KMA*BZ40+W_EDAD*CA40</f>
        <v/>
      </c>
      <c r="CC40" s="3">
        <f>P_ITV*(V40="sí")+P_LIBRO*(W40="sí")+P_CORREA*(X40="sí")+P_PROP*(Y40=1)+P_GAR*(Z40="sí")+P_FOTOS*MIN(1,N(U40)/FOTOS_OBJ)</f>
        <v/>
      </c>
      <c r="CD40" s="3">
        <f>MAX(0,MIN(100,IFERROR(VLOOKUP(BP40,ETQ_TBL,2,0),0)-IF(BQ40="sí",ETQ_PEN_DUD,IF(AS40="regla",ETQ_PEN_REGLA,0))))</f>
        <v/>
      </c>
      <c r="CE40" s="3">
        <f>NEUTRO</f>
        <v/>
      </c>
      <c r="CF40" s="3">
        <f>IFERROR(VLOOKUP(L40,SEGURO_TBL,3,0),"")</f>
        <v/>
      </c>
      <c r="CG40" s="3">
        <f>IF(CF40="",NEUTRO,MAX(0,MIN(100,100*(SEG_REF_MAX-CF40)/(SEG_REF_MAX-SEG_REF_MIN))))</f>
        <v/>
      </c>
      <c r="CH40" s="3">
        <f>W_CONS*CE40+W_SEG*CG40</f>
        <v/>
      </c>
      <c r="CI40" s="3">
        <f>IF(N(AB40)&gt;0,AB40,IF(AND(R40="profesional",SG_LEGAL_ON=1),GAR_LEGAL,0))</f>
        <v/>
      </c>
      <c r="CJ40" s="3">
        <f>SG_GAR*MIN(1,CI40/SG_GAR_FULL)+SG_AMPL*(AC40="sí")+SG_KMC*(AF40="sí")+SG_REV*(N(AE40)&gt;0)+SG_DEV*MIN(1,N(AG40)/SG_DEV_FULL)+SG_HIST*(W40="sí")</f>
        <v/>
      </c>
      <c r="CK40" s="3">
        <f>IFERROR(VLOOKUP(L40,CARR_PEN_TBL,2,0),0)</f>
        <v/>
      </c>
      <c r="CL40" s="3">
        <f>W_FIAB*BW40+W_PRECIO*BX40+W_KMEDAD*CB40+W_ANUNCIO*CC40+W_USO*CH40+W_SEGURIDAD*CJ40+W_ETIQUETA*CD40-CK40</f>
        <v/>
      </c>
      <c r="CM40" s="4">
        <f>IF(N(I40)&gt;0,I40,IFERROR(ROUND(_xlfn.NUMBERVALUE(LEFT(G40,FIND(" ",G40&amp;" ")-1),".")*1000,0),99999))</f>
        <v/>
      </c>
      <c r="CN40" s="3">
        <f>IF(R40="profesional",0,IF(O40&lt;CUOTA_VALOR_MAX,IF(BA40&gt;ITP_TRAMO_ALTO,SUMIFS(CF_CUOTA,CF_MAS,ITP_TRAMO_ALTO,CF_CCMIN,"&lt;="&amp;CM40,CF_CCMAX,"&gt;="&amp;CM40),IF(BA40&gt;ITP_TRAMO_BAJO,SUMIFS(CF_CUOTA,CF_MAS,ITP_TRAMO_BAJO,CF_CCMIN,"&lt;="&amp;CM40,CF_CCMAX,"&gt;="&amp;CM40),O40*ITP_TIPO)),O40*ITP_TIPO))</f>
        <v/>
      </c>
      <c r="CO40" s="4">
        <f>IF(R40="profesional",N(AK40),0)</f>
        <v/>
      </c>
      <c r="CP40" s="3">
        <f>IF(AND(R40="profesional",ISNUMBER(AK40),AL40="sí"),0,TASA_DGT)</f>
        <v/>
      </c>
      <c r="CQ40" s="3">
        <f>INFORME_DGT</f>
        <v/>
      </c>
      <c r="CR40" s="4">
        <f>O40+CO40+CN40+CP40+CQ40</f>
        <v/>
      </c>
      <c r="CS40" s="4">
        <f>CR40+N(CF40)</f>
        <v/>
      </c>
      <c r="CT40" s="3">
        <f>IF(CR40&lt;=TOTAL_MAX,"sí",IF(CR40&lt;=TOTAL_MAX+MARGEN_NEG,"negociar","no"))</f>
        <v/>
      </c>
      <c r="CU40" s="4">
        <f>IF(CT40&lt;&gt;"no",COUNTIFS($CT$2:$CT$545,"&lt;&gt;no",$CL$2:$CL$545,"&gt;"&amp;CL40)+COUNTIFS($CT$2:CT40,"&lt;&gt;no",$CL$2:CL40,CL40),"")</f>
        <v/>
      </c>
    </row>
    <row r="41">
      <c r="A41" s="2" t="inlineStr">
        <is>
          <t>wallapop:1295140251</t>
        </is>
      </c>
      <c r="B41" s="2" t="inlineStr">
        <is>
          <t>wallapop</t>
        </is>
      </c>
      <c r="C41" s="2" t="inlineStr">
        <is>
          <t>https://es.wallapop.com/item/peugeot-207-2010-1295140251</t>
        </is>
      </c>
      <c r="D41" s="2" t="inlineStr">
        <is>
          <t>Peugeot 207 2010</t>
        </is>
      </c>
      <c r="E41" s="2" t="inlineStr">
        <is>
          <t>Peugeot</t>
        </is>
      </c>
      <c r="F41" s="2" t="inlineStr">
        <is>
          <t>Peugeot 207</t>
        </is>
      </c>
      <c r="G41" s="2" t="inlineStr">
        <is>
          <t>1.4 VTi</t>
        </is>
      </c>
      <c r="H41" s="2" t="inlineStr">
        <is>
          <t>1.4 VTi 95 Confort 5p AM70</t>
        </is>
      </c>
      <c r="I41" s="2" t="n"/>
      <c r="J41" s="2" t="n">
        <v>95</v>
      </c>
      <c r="K41" s="2" t="inlineStr">
        <is>
          <t>gasolina</t>
        </is>
      </c>
      <c r="L41" s="2" t="inlineStr">
        <is>
          <t>utilitario</t>
        </is>
      </c>
      <c r="M41" s="2" t="n">
        <v>2010</v>
      </c>
      <c r="N41" s="2" t="n">
        <v>140000</v>
      </c>
      <c r="O41" s="2" t="n">
        <v>3200</v>
      </c>
      <c r="P41" s="2" t="inlineStr">
        <is>
          <t>manual</t>
        </is>
      </c>
      <c r="Q41" s="2" t="inlineStr">
        <is>
          <t>no</t>
        </is>
      </c>
      <c r="R41" s="2" t="inlineStr">
        <is>
          <t>particular</t>
        </is>
      </c>
      <c r="S41" s="2" t="inlineStr">
        <is>
          <t>Valencia (46002)</t>
        </is>
      </c>
      <c r="T41" s="2" t="inlineStr">
        <is>
          <t>2026-09-24T08:57:29</t>
        </is>
      </c>
      <c r="U41" s="2" t="n">
        <v>5</v>
      </c>
      <c r="V41" s="2" t="n"/>
      <c r="W41" s="2" t="n"/>
      <c r="X41" s="2" t="n"/>
      <c r="Y41" s="2" t="n"/>
      <c r="Z41" s="2" t="n"/>
      <c r="AA41" s="2" t="n"/>
      <c r="AB41" s="2" t="n"/>
      <c r="AC41" s="2" t="n"/>
      <c r="AD41" s="2" t="n"/>
      <c r="AE41" s="2" t="n"/>
      <c r="AF41" s="2" t="n"/>
      <c r="AG41" s="2" t="n"/>
      <c r="AH41" s="2" t="n"/>
      <c r="AI41" s="2" t="n"/>
      <c r="AJ41" s="2" t="n"/>
      <c r="AK41" s="2" t="n"/>
      <c r="AL41" s="2" t="n"/>
      <c r="AM41" s="2" t="n">
        <v>0.5</v>
      </c>
      <c r="AN41" s="2" t="n"/>
      <c r="AO41" s="2" t="inlineStr">
        <is>
          <t>2010</t>
        </is>
      </c>
      <c r="AP41" s="2" t="n">
        <v>2010</v>
      </c>
      <c r="AQ41" s="2" t="n"/>
      <c r="AR41" s="2" t="n"/>
      <c r="AS41" s="2" t="inlineStr">
        <is>
          <t>regla</t>
        </is>
      </c>
      <c r="AT41" s="2" t="n">
        <v>4490</v>
      </c>
      <c r="AU41" s="2" t="n">
        <v>15</v>
      </c>
      <c r="AV41" s="2" t="inlineStr">
        <is>
          <t>modelo+año+km</t>
        </is>
      </c>
      <c r="AW41" s="2" t="n"/>
      <c r="AX41" s="2" t="inlineStr">
        <is>
          <t>cuota fija ITP: &gt;12 años, hasta 1.500 cc; fiabilidad del modelo PENDIENTE de fuente (puntuación neutra)</t>
        </is>
      </c>
      <c r="AY41" s="2" t="inlineStr">
        <is>
          <t xml:space="preserve">Se le acaba de hacer distribución, aceite y filtros, bujías, junta de culata nueva, válvulas nuevas, 
Lo probáis y sacáis conclusión.  </t>
        </is>
      </c>
      <c r="AZ41" s="2" t="inlineStr">
        <is>
          <t>https://es.wallapop.com/item/peugeot-207-2010-1295140251 (__NEXT_DATA__ item) /home/user/Alopecia/buscador-coches/raw/wallapop/4e14ec4c538561fc.json</t>
        </is>
      </c>
      <c r="BA41" s="3">
        <f>MAX(ANIO_ACTUAL-M41,0)</f>
        <v/>
      </c>
      <c r="BB41" s="4">
        <f>N41/MAX(BA41,0.5)</f>
        <v/>
      </c>
      <c r="BC41" s="4">
        <f>F41</f>
        <v/>
      </c>
      <c r="BD41" s="3">
        <f>BC41&amp;"|"&amp;INT(M41/SEG_ANIO)*SEG_ANIO</f>
        <v/>
      </c>
      <c r="BE41" s="3">
        <f>BD41&amp;"|"&amp;INT(N41/SEG_KM)*SEG_KM</f>
        <v/>
      </c>
      <c r="BF41" s="4">
        <f>COUNTIF($BC$2:$BC$545,BC41)</f>
        <v/>
      </c>
      <c r="BG41" s="4">
        <f>COUNTIF($BD$2:$BD$545,BD41)</f>
        <v/>
      </c>
      <c r="BH41" s="4">
        <f>COUNTIF($BE$2:$BE$545,BE41)</f>
        <v/>
      </c>
      <c r="BI41" s="3">
        <f t="array" ref="BI41">IF(N(AU41)&gt;=MIN_N,AT41,IF(BH41&gt;=MIN_N,MEDIAN(IF($BE$2:$BE$545=BE41,$O$2:$O$545)),IF(BG41&gt;=MIN_N,MEDIAN(IF($BD$2:$BD$545=BD41,$O$2:$O$545)),MEDIAN(IF($BC$2:$BC$545=BC41,$O$2:$O$545)))))</f>
        <v/>
      </c>
      <c r="BJ41" s="3">
        <f>IF(N(AU41)&gt;=MIN_N,"mercado "&amp;AV41,IF(BH41&gt;=MIN_N,"modelo+año+km",IF(BG41&gt;=MIN_N,"modelo+año","modelo")))</f>
        <v/>
      </c>
      <c r="BK41" s="4">
        <f>(BI41-O41)/BI41</f>
        <v/>
      </c>
      <c r="BL41" s="3">
        <f>IF(COUNTIFS(FR_FUEL,K41,FR_YEAR,AP41)&gt;0,1,0)</f>
        <v/>
      </c>
      <c r="BM41" s="3">
        <f>IF(COUNTIFS(FR_FUEL,K41,FR_YEAR,AP41-1)&gt;0,1,0)</f>
        <v/>
      </c>
      <c r="BN41" s="4">
        <f>IF(N(AQ41)&gt;0,AP41*100+AQ41,IF(AND(BL41=1,BM41=1),(AP41-1)*100+1,AP41*100+1))</f>
        <v/>
      </c>
      <c r="BO41" s="3">
        <f>IF(OR(K41="hibrido",K41="glp",K41="gnc",K41="phev"),"ECO",IF(K41="electrico","CERO",IF(K41="gasolina",IF(BN41&gt;=GAS_C_YM,"C",IF(BN41&gt;=GAS_B_YM,"B","A")),IF(K41="diesel",IF(BN41&gt;=DIE_C_YM,"C",IF(BN41&gt;=DIE_B_YM,"B","A")),""))))</f>
        <v/>
      </c>
      <c r="BP41" s="4">
        <f>BO41</f>
        <v/>
      </c>
      <c r="BQ41" s="4">
        <f>IF(AS41="regla",IF(AND(N(AQ41)=0,BL41=1),"sí","no"),"no")</f>
        <v/>
      </c>
      <c r="BR41" s="3">
        <f>IFERROR(VLOOKUP(F41,MOD_TBL,11,0),IFERROR(VLOOKUP(E41,OCU_TBL,2,0),NEUTRO))</f>
        <v/>
      </c>
      <c r="BS41" s="3">
        <f>SUMIFS(MOT_AJUSTE,MOT_MOTOR,G41,MOT_MARCA,E41,MOT_DESDE,"&lt;="&amp;M41,MOT_HASTA,"&gt;="&amp;M41)+SUMIFS(MOT_AJUSTE,MOT_MOTOR,G41,MOT_MARCA,"(todas)",MOT_DESDE,"&lt;="&amp;M41,MOT_HASTA,"&gt;="&amp;M41)</f>
        <v/>
      </c>
      <c r="BT41" s="3">
        <f>SUMIFS(COMB_AJUSTE,COMB_COMB,K41)</f>
        <v/>
      </c>
      <c r="BU41" s="3">
        <f>COUNTIFS(MOT_MOTOR,G41,MOT_MARCA,E41,MOT_DESDE,"&lt;="&amp;M41,MOT_HASTA,"&gt;="&amp;M41)+COUNTIFS(MOT_MOTOR,G41,MOT_MARCA,"(todas)",MOT_DESDE,"&lt;="&amp;M41,MOT_HASTA,"&gt;="&amp;M41)</f>
        <v/>
      </c>
      <c r="BV41" s="3">
        <f>IF(AND(K41="diesel",BU41=0),MIN(BR41,NEUTRO),BR41)</f>
        <v/>
      </c>
      <c r="BW41" s="4">
        <f>MAX(0,MIN(100,BV41+BS41+BT41))</f>
        <v/>
      </c>
      <c r="BX41" s="3">
        <f>MAX(0,MIN(100,50+BK41*PRECIO_PEND))</f>
        <v/>
      </c>
      <c r="BY41" s="3">
        <f>MAX(0,100*(1-N41/KM_MAX))</f>
        <v/>
      </c>
      <c r="BZ41" s="3">
        <f>IF(BB41&lt;KMA_SOSP,IF(AA41="sí",100,KMA_PEN),IF(BB41&lt;=KMA_IDEAL_MAX,100,MAX(0,100*(KMA_CERO-BB41)/(KMA_CERO-KMA_IDEAL_MAX))))</f>
        <v/>
      </c>
      <c r="CA41" s="3">
        <f>MAX(0,MIN(100,100*(M41-ANIO_MIN)/(ANIO_ACTUAL-ANIO_MIN)))</f>
        <v/>
      </c>
      <c r="CB41" s="3">
        <f>W_KMT*BY41+W_KMA*BZ41+W_EDAD*CA41</f>
        <v/>
      </c>
      <c r="CC41" s="3">
        <f>P_ITV*(V41="sí")+P_LIBRO*(W41="sí")+P_CORREA*(X41="sí")+P_PROP*(Y41=1)+P_GAR*(Z41="sí")+P_FOTOS*MIN(1,N(U41)/FOTOS_OBJ)</f>
        <v/>
      </c>
      <c r="CD41" s="3">
        <f>MAX(0,MIN(100,IFERROR(VLOOKUP(BP41,ETQ_TBL,2,0),0)-IF(BQ41="sí",ETQ_PEN_DUD,IF(AS41="regla",ETQ_PEN_REGLA,0))))</f>
        <v/>
      </c>
      <c r="CE41" s="3">
        <f>NEUTRO</f>
        <v/>
      </c>
      <c r="CF41" s="3">
        <f>IFERROR(VLOOKUP(L41,SEGURO_TBL,3,0),"")</f>
        <v/>
      </c>
      <c r="CG41" s="3">
        <f>IF(CF41="",NEUTRO,MAX(0,MIN(100,100*(SEG_REF_MAX-CF41)/(SEG_REF_MAX-SEG_REF_MIN))))</f>
        <v/>
      </c>
      <c r="CH41" s="3">
        <f>W_CONS*CE41+W_SEG*CG41</f>
        <v/>
      </c>
      <c r="CI41" s="3">
        <f>IF(N(AB41)&gt;0,AB41,IF(AND(R41="profesional",SG_LEGAL_ON=1),GAR_LEGAL,0))</f>
        <v/>
      </c>
      <c r="CJ41" s="3">
        <f>SG_GAR*MIN(1,CI41/SG_GAR_FULL)+SG_AMPL*(AC41="sí")+SG_KMC*(AF41="sí")+SG_REV*(N(AE41)&gt;0)+SG_DEV*MIN(1,N(AG41)/SG_DEV_FULL)+SG_HIST*(W41="sí")</f>
        <v/>
      </c>
      <c r="CK41" s="3">
        <f>IFERROR(VLOOKUP(L41,CARR_PEN_TBL,2,0),0)</f>
        <v/>
      </c>
      <c r="CL41" s="3">
        <f>W_FIAB*BW41+W_PRECIO*BX41+W_KMEDAD*CB41+W_ANUNCIO*CC41+W_USO*CH41+W_SEGURIDAD*CJ41+W_ETIQUETA*CD41-CK41</f>
        <v/>
      </c>
      <c r="CM41" s="4">
        <f>IF(N(I41)&gt;0,I41,IFERROR(ROUND(_xlfn.NUMBERVALUE(LEFT(G41,FIND(" ",G41&amp;" ")-1),".")*1000,0),99999))</f>
        <v/>
      </c>
      <c r="CN41" s="3">
        <f>IF(R41="profesional",0,IF(O41&lt;CUOTA_VALOR_MAX,IF(BA41&gt;ITP_TRAMO_ALTO,SUMIFS(CF_CUOTA,CF_MAS,ITP_TRAMO_ALTO,CF_CCMIN,"&lt;="&amp;CM41,CF_CCMAX,"&gt;="&amp;CM41),IF(BA41&gt;ITP_TRAMO_BAJO,SUMIFS(CF_CUOTA,CF_MAS,ITP_TRAMO_BAJO,CF_CCMIN,"&lt;="&amp;CM41,CF_CCMAX,"&gt;="&amp;CM41),O41*ITP_TIPO)),O41*ITP_TIPO))</f>
        <v/>
      </c>
      <c r="CO41" s="4">
        <f>IF(R41="profesional",N(AK41),0)</f>
        <v/>
      </c>
      <c r="CP41" s="3">
        <f>IF(AND(R41="profesional",ISNUMBER(AK41),AL41="sí"),0,TASA_DGT)</f>
        <v/>
      </c>
      <c r="CQ41" s="3">
        <f>INFORME_DGT</f>
        <v/>
      </c>
      <c r="CR41" s="4">
        <f>O41+CO41+CN41+CP41+CQ41</f>
        <v/>
      </c>
      <c r="CS41" s="4">
        <f>CR41+N(CF41)</f>
        <v/>
      </c>
      <c r="CT41" s="3">
        <f>IF(CR41&lt;=TOTAL_MAX,"sí",IF(CR41&lt;=TOTAL_MAX+MARGEN_NEG,"negociar","no"))</f>
        <v/>
      </c>
      <c r="CU41" s="4">
        <f>IF(CT41&lt;&gt;"no",COUNTIFS($CT$2:$CT$545,"&lt;&gt;no",$CL$2:$CL$545,"&gt;"&amp;CL41)+COUNTIFS($CT$2:CT41,"&lt;&gt;no",$CL$2:CL41,CL41),"")</f>
        <v/>
      </c>
    </row>
    <row r="42">
      <c r="A42" s="2" t="inlineStr">
        <is>
          <t>wallapop:1288893394</t>
        </is>
      </c>
      <c r="B42" s="2" t="inlineStr">
        <is>
          <t>wallapop</t>
        </is>
      </c>
      <c r="C42" s="2" t="inlineStr">
        <is>
          <t>https://es.wallapop.com/item/peugeot-207-2008-1288893394</t>
        </is>
      </c>
      <c r="D42" s="2" t="inlineStr">
        <is>
          <t>Peugeot 207 2008</t>
        </is>
      </c>
      <c r="E42" s="2" t="inlineStr">
        <is>
          <t>Peugeot</t>
        </is>
      </c>
      <c r="F42" s="2" t="inlineStr">
        <is>
          <t>Peugeot 207</t>
        </is>
      </c>
      <c r="G42" s="2" t="n"/>
      <c r="H42" s="2" t="n"/>
      <c r="I42" s="2" t="n"/>
      <c r="J42" s="2" t="n"/>
      <c r="K42" s="2" t="inlineStr">
        <is>
          <t>diesel</t>
        </is>
      </c>
      <c r="L42" s="2" t="inlineStr">
        <is>
          <t>utilitario</t>
        </is>
      </c>
      <c r="M42" s="2" t="n">
        <v>2008</v>
      </c>
      <c r="N42" s="2" t="n">
        <v>200000</v>
      </c>
      <c r="O42" s="2" t="n">
        <v>3000</v>
      </c>
      <c r="P42" s="2" t="inlineStr">
        <is>
          <t>manual</t>
        </is>
      </c>
      <c r="Q42" s="2" t="inlineStr">
        <is>
          <t>no</t>
        </is>
      </c>
      <c r="R42" s="2" t="inlineStr">
        <is>
          <t>particular</t>
        </is>
      </c>
      <c r="S42" s="2" t="inlineStr">
        <is>
          <t>Valencia (46020)</t>
        </is>
      </c>
      <c r="T42" s="2" t="inlineStr">
        <is>
          <t>2026-10-14T12:39:31</t>
        </is>
      </c>
      <c r="U42" s="2" t="n">
        <v>6</v>
      </c>
      <c r="V42" s="2" t="n"/>
      <c r="W42" s="2" t="n"/>
      <c r="X42" s="2" t="inlineStr">
        <is>
          <t>sí</t>
        </is>
      </c>
      <c r="Y42" s="2" t="n"/>
      <c r="Z42" s="2" t="n"/>
      <c r="AA42" s="2" t="n"/>
      <c r="AB42" s="2" t="n"/>
      <c r="AC42" s="2" t="n"/>
      <c r="AD42" s="2" t="n"/>
      <c r="AE42" s="2" t="n"/>
      <c r="AF42" s="2" t="n"/>
      <c r="AG42" s="2" t="n"/>
      <c r="AH42" s="2" t="n"/>
      <c r="AI42" s="2" t="n"/>
      <c r="AJ42" s="2" t="n"/>
      <c r="AK42" s="2" t="n"/>
      <c r="AL42" s="2" t="n"/>
      <c r="AM42" s="2" t="n">
        <v>3.2</v>
      </c>
      <c r="AN42" s="2" t="n"/>
      <c r="AO42" s="2" t="inlineStr">
        <is>
          <t>2008</t>
        </is>
      </c>
      <c r="AP42" s="2" t="n">
        <v>2008</v>
      </c>
      <c r="AQ42" s="2" t="n"/>
      <c r="AR42" s="2" t="n"/>
      <c r="AS42" s="2" t="inlineStr">
        <is>
          <t>regla</t>
        </is>
      </c>
      <c r="AT42" s="2" t="n">
        <v>2950</v>
      </c>
      <c r="AU42" s="2" t="n">
        <v>13</v>
      </c>
      <c r="AV42" s="2" t="inlineStr">
        <is>
          <t>modelo+año+km</t>
        </is>
      </c>
      <c r="AW42" s="2" t="n"/>
      <c r="AX42" s="2" t="inlineStr">
        <is>
          <t>cilindrada desconocida: se aplica el tramo de cuota fija más alto; cuota fija ITP: &gt;12 años, más de 2.000 cc; diésel: motor sin fuente de fiabilidad (fiabilidad limitada a neutra); fiabilidad del modelo PENDIENTE de fuente (puntuación neutra)</t>
        </is>
      </c>
      <c r="AY42" s="2" t="inlineStr">
        <is>
          <t>Peugeot 207 en color negro muy bien cuidado, correa distribución cambiada hace 2 años, consumo de combustible bajo, 1.4 Hdi, funciona aire acondicionado, ventanillas, radio ..todo, ITV finales 2027</t>
        </is>
      </c>
      <c r="AZ42" s="2" t="inlineStr">
        <is>
          <t>https://es.wallapop.com/item/peugeot-207-2008-1288893394 (__NEXT_DATA__ item) /home/user/Alopecia/buscador-coches/raw/wallapop/bebce9ca566811ee.json</t>
        </is>
      </c>
      <c r="BA42" s="3">
        <f>MAX(ANIO_ACTUAL-M42,0)</f>
        <v/>
      </c>
      <c r="BB42" s="4">
        <f>N42/MAX(BA42,0.5)</f>
        <v/>
      </c>
      <c r="BC42" s="4">
        <f>F42</f>
        <v/>
      </c>
      <c r="BD42" s="3">
        <f>BC42&amp;"|"&amp;INT(M42/SEG_ANIO)*SEG_ANIO</f>
        <v/>
      </c>
      <c r="BE42" s="3">
        <f>BD42&amp;"|"&amp;INT(N42/SEG_KM)*SEG_KM</f>
        <v/>
      </c>
      <c r="BF42" s="4">
        <f>COUNTIF($BC$2:$BC$545,BC42)</f>
        <v/>
      </c>
      <c r="BG42" s="4">
        <f>COUNTIF($BD$2:$BD$545,BD42)</f>
        <v/>
      </c>
      <c r="BH42" s="4">
        <f>COUNTIF($BE$2:$BE$545,BE42)</f>
        <v/>
      </c>
      <c r="BI42" s="3">
        <f t="array" ref="BI42">IF(N(AU42)&gt;=MIN_N,AT42,IF(BH42&gt;=MIN_N,MEDIAN(IF($BE$2:$BE$545=BE42,$O$2:$O$545)),IF(BG42&gt;=MIN_N,MEDIAN(IF($BD$2:$BD$545=BD42,$O$2:$O$545)),MEDIAN(IF($BC$2:$BC$545=BC42,$O$2:$O$545)))))</f>
        <v/>
      </c>
      <c r="BJ42" s="3">
        <f>IF(N(AU42)&gt;=MIN_N,"mercado "&amp;AV42,IF(BH42&gt;=MIN_N,"modelo+año+km",IF(BG42&gt;=MIN_N,"modelo+año","modelo")))</f>
        <v/>
      </c>
      <c r="BK42" s="4">
        <f>(BI42-O42)/BI42</f>
        <v/>
      </c>
      <c r="BL42" s="3">
        <f>IF(COUNTIFS(FR_FUEL,K42,FR_YEAR,AP42)&gt;0,1,0)</f>
        <v/>
      </c>
      <c r="BM42" s="3">
        <f>IF(COUNTIFS(FR_FUEL,K42,FR_YEAR,AP42-1)&gt;0,1,0)</f>
        <v/>
      </c>
      <c r="BN42" s="4">
        <f>IF(N(AQ42)&gt;0,AP42*100+AQ42,IF(AND(BL42=1,BM42=1),(AP42-1)*100+1,AP42*100+1))</f>
        <v/>
      </c>
      <c r="BO42" s="3">
        <f>IF(OR(K42="hibrido",K42="glp",K42="gnc",K42="phev"),"ECO",IF(K42="electrico","CERO",IF(K42="gasolina",IF(BN42&gt;=GAS_C_YM,"C",IF(BN42&gt;=GAS_B_YM,"B","A")),IF(K42="diesel",IF(BN42&gt;=DIE_C_YM,"C",IF(BN42&gt;=DIE_B_YM,"B","A")),""))))</f>
        <v/>
      </c>
      <c r="BP42" s="4">
        <f>BO42</f>
        <v/>
      </c>
      <c r="BQ42" s="4">
        <f>IF(AS42="regla",IF(AND(N(AQ42)=0,BL42=1),"sí","no"),"no")</f>
        <v/>
      </c>
      <c r="BR42" s="3">
        <f>IFERROR(VLOOKUP(F42,MOD_TBL,11,0),IFERROR(VLOOKUP(E42,OCU_TBL,2,0),NEUTRO))</f>
        <v/>
      </c>
      <c r="BS42" s="3">
        <f>SUMIFS(MOT_AJUSTE,MOT_MOTOR,G42,MOT_MARCA,E42,MOT_DESDE,"&lt;="&amp;M42,MOT_HASTA,"&gt;="&amp;M42)+SUMIFS(MOT_AJUSTE,MOT_MOTOR,G42,MOT_MARCA,"(todas)",MOT_DESDE,"&lt;="&amp;M42,MOT_HASTA,"&gt;="&amp;M42)</f>
        <v/>
      </c>
      <c r="BT42" s="3">
        <f>SUMIFS(COMB_AJUSTE,COMB_COMB,K42)</f>
        <v/>
      </c>
      <c r="BU42" s="3">
        <f>COUNTIFS(MOT_MOTOR,G42,MOT_MARCA,E42,MOT_DESDE,"&lt;="&amp;M42,MOT_HASTA,"&gt;="&amp;M42)+COUNTIFS(MOT_MOTOR,G42,MOT_MARCA,"(todas)",MOT_DESDE,"&lt;="&amp;M42,MOT_HASTA,"&gt;="&amp;M42)</f>
        <v/>
      </c>
      <c r="BV42" s="3">
        <f>IF(AND(K42="diesel",BU42=0),MIN(BR42,NEUTRO),BR42)</f>
        <v/>
      </c>
      <c r="BW42" s="4">
        <f>MAX(0,MIN(100,BV42+BS42+BT42))</f>
        <v/>
      </c>
      <c r="BX42" s="3">
        <f>MAX(0,MIN(100,50+BK42*PRECIO_PEND))</f>
        <v/>
      </c>
      <c r="BY42" s="3">
        <f>MAX(0,100*(1-N42/KM_MAX))</f>
        <v/>
      </c>
      <c r="BZ42" s="3">
        <f>IF(BB42&lt;KMA_SOSP,IF(AA42="sí",100,KMA_PEN),IF(BB42&lt;=KMA_IDEAL_MAX,100,MAX(0,100*(KMA_CERO-BB42)/(KMA_CERO-KMA_IDEAL_MAX))))</f>
        <v/>
      </c>
      <c r="CA42" s="3">
        <f>MAX(0,MIN(100,100*(M42-ANIO_MIN)/(ANIO_ACTUAL-ANIO_MIN)))</f>
        <v/>
      </c>
      <c r="CB42" s="3">
        <f>W_KMT*BY42+W_KMA*BZ42+W_EDAD*CA42</f>
        <v/>
      </c>
      <c r="CC42" s="3">
        <f>P_ITV*(V42="sí")+P_LIBRO*(W42="sí")+P_CORREA*(X42="sí")+P_PROP*(Y42=1)+P_GAR*(Z42="sí")+P_FOTOS*MIN(1,N(U42)/FOTOS_OBJ)</f>
        <v/>
      </c>
      <c r="CD42" s="3">
        <f>MAX(0,MIN(100,IFERROR(VLOOKUP(BP42,ETQ_TBL,2,0),0)-IF(BQ42="sí",ETQ_PEN_DUD,IF(AS42="regla",ETQ_PEN_REGLA,0))))</f>
        <v/>
      </c>
      <c r="CE42" s="3">
        <f>NEUTRO</f>
        <v/>
      </c>
      <c r="CF42" s="3">
        <f>IFERROR(VLOOKUP(L42,SEGURO_TBL,3,0),"")</f>
        <v/>
      </c>
      <c r="CG42" s="3">
        <f>IF(CF42="",NEUTRO,MAX(0,MIN(100,100*(SEG_REF_MAX-CF42)/(SEG_REF_MAX-SEG_REF_MIN))))</f>
        <v/>
      </c>
      <c r="CH42" s="3">
        <f>W_CONS*CE42+W_SEG*CG42</f>
        <v/>
      </c>
      <c r="CI42" s="3">
        <f>IF(N(AB42)&gt;0,AB42,IF(AND(R42="profesional",SG_LEGAL_ON=1),GAR_LEGAL,0))</f>
        <v/>
      </c>
      <c r="CJ42" s="3">
        <f>SG_GAR*MIN(1,CI42/SG_GAR_FULL)+SG_AMPL*(AC42="sí")+SG_KMC*(AF42="sí")+SG_REV*(N(AE42)&gt;0)+SG_DEV*MIN(1,N(AG42)/SG_DEV_FULL)+SG_HIST*(W42="sí")</f>
        <v/>
      </c>
      <c r="CK42" s="3">
        <f>IFERROR(VLOOKUP(L42,CARR_PEN_TBL,2,0),0)</f>
        <v/>
      </c>
      <c r="CL42" s="3">
        <f>W_FIAB*BW42+W_PRECIO*BX42+W_KMEDAD*CB42+W_ANUNCIO*CC42+W_USO*CH42+W_SEGURIDAD*CJ42+W_ETIQUETA*CD42-CK42</f>
        <v/>
      </c>
      <c r="CM42" s="4">
        <f>IF(N(I42)&gt;0,I42,IFERROR(ROUND(_xlfn.NUMBERVALUE(LEFT(G42,FIND(" ",G42&amp;" ")-1),".")*1000,0),99999))</f>
        <v/>
      </c>
      <c r="CN42" s="3">
        <f>IF(R42="profesional",0,IF(O42&lt;CUOTA_VALOR_MAX,IF(BA42&gt;ITP_TRAMO_ALTO,SUMIFS(CF_CUOTA,CF_MAS,ITP_TRAMO_ALTO,CF_CCMIN,"&lt;="&amp;CM42,CF_CCMAX,"&gt;="&amp;CM42),IF(BA42&gt;ITP_TRAMO_BAJO,SUMIFS(CF_CUOTA,CF_MAS,ITP_TRAMO_BAJO,CF_CCMIN,"&lt;="&amp;CM42,CF_CCMAX,"&gt;="&amp;CM42),O42*ITP_TIPO)),O42*ITP_TIPO))</f>
        <v/>
      </c>
      <c r="CO42" s="4">
        <f>IF(R42="profesional",N(AK42),0)</f>
        <v/>
      </c>
      <c r="CP42" s="3">
        <f>IF(AND(R42="profesional",ISNUMBER(AK42),AL42="sí"),0,TASA_DGT)</f>
        <v/>
      </c>
      <c r="CQ42" s="3">
        <f>INFORME_DGT</f>
        <v/>
      </c>
      <c r="CR42" s="4">
        <f>O42+CO42+CN42+CP42+CQ42</f>
        <v/>
      </c>
      <c r="CS42" s="4">
        <f>CR42+N(CF42)</f>
        <v/>
      </c>
      <c r="CT42" s="3">
        <f>IF(CR42&lt;=TOTAL_MAX,"sí",IF(CR42&lt;=TOTAL_MAX+MARGEN_NEG,"negociar","no"))</f>
        <v/>
      </c>
      <c r="CU42" s="4">
        <f>IF(CT42&lt;&gt;"no",COUNTIFS($CT$2:$CT$545,"&lt;&gt;no",$CL$2:$CL$545,"&gt;"&amp;CL42)+COUNTIFS($CT$2:CT42,"&lt;&gt;no",$CL$2:CL42,CL42),"")</f>
        <v/>
      </c>
    </row>
    <row r="43">
      <c r="A43" s="2" t="inlineStr">
        <is>
          <t>wallapop:1288549890</t>
        </is>
      </c>
      <c r="B43" s="2" t="inlineStr">
        <is>
          <t>wallapop</t>
        </is>
      </c>
      <c r="C43" s="2" t="inlineStr">
        <is>
          <t>https://es.wallapop.com/item/peugeot-207-2008-1288549890</t>
        </is>
      </c>
      <c r="D43" s="2" t="inlineStr">
        <is>
          <t>Peugeot 207 2008</t>
        </is>
      </c>
      <c r="E43" s="2" t="inlineStr">
        <is>
          <t>Peugeot</t>
        </is>
      </c>
      <c r="F43" s="2" t="inlineStr">
        <is>
          <t>Peugeot 207</t>
        </is>
      </c>
      <c r="G43" s="2" t="inlineStr">
        <is>
          <t>1.6 THP</t>
        </is>
      </c>
      <c r="H43" s="2" t="inlineStr">
        <is>
          <t>1.6 THP 175 RC 3p AM62</t>
        </is>
      </c>
      <c r="I43" s="2" t="n"/>
      <c r="J43" s="2" t="n">
        <v>175</v>
      </c>
      <c r="K43" s="2" t="inlineStr">
        <is>
          <t>gasolina</t>
        </is>
      </c>
      <c r="L43" s="2" t="inlineStr">
        <is>
          <t>utilitario</t>
        </is>
      </c>
      <c r="M43" s="2" t="n">
        <v>2008</v>
      </c>
      <c r="N43" s="2" t="n">
        <v>195400</v>
      </c>
      <c r="O43" s="2" t="n">
        <v>3900</v>
      </c>
      <c r="P43" s="2" t="inlineStr">
        <is>
          <t>manual</t>
        </is>
      </c>
      <c r="Q43" s="2" t="inlineStr">
        <is>
          <t>no</t>
        </is>
      </c>
      <c r="R43" s="2" t="inlineStr">
        <is>
          <t>particular</t>
        </is>
      </c>
      <c r="S43" s="2" t="inlineStr">
        <is>
          <t>Valencia (46002)</t>
        </is>
      </c>
      <c r="T43" s="2" t="inlineStr">
        <is>
          <t>2026-10-13T12:48:33</t>
        </is>
      </c>
      <c r="U43" s="2" t="n">
        <v>10</v>
      </c>
      <c r="V43" s="2" t="n"/>
      <c r="W43" s="2" t="n"/>
      <c r="X43" s="2" t="n"/>
      <c r="Y43" s="2" t="n"/>
      <c r="Z43" s="2" t="n"/>
      <c r="AA43" s="2" t="n"/>
      <c r="AB43" s="2" t="n"/>
      <c r="AC43" s="2" t="n"/>
      <c r="AD43" s="2" t="n"/>
      <c r="AE43" s="2" t="n"/>
      <c r="AF43" s="2" t="n"/>
      <c r="AG43" s="2" t="n"/>
      <c r="AH43" s="2" t="n"/>
      <c r="AI43" s="2" t="n"/>
      <c r="AJ43" s="2" t="n"/>
      <c r="AK43" s="2" t="n"/>
      <c r="AL43" s="2" t="n"/>
      <c r="AM43" s="2" t="n">
        <v>0.5</v>
      </c>
      <c r="AN43" s="2" t="n"/>
      <c r="AO43" s="2" t="inlineStr">
        <is>
          <t>2008</t>
        </is>
      </c>
      <c r="AP43" s="2" t="n">
        <v>2008</v>
      </c>
      <c r="AQ43" s="2" t="n"/>
      <c r="AR43" s="2" t="n"/>
      <c r="AS43" s="2" t="inlineStr">
        <is>
          <t>regla</t>
        </is>
      </c>
      <c r="AT43" s="2" t="n">
        <v>3600</v>
      </c>
      <c r="AU43" s="2" t="n">
        <v>21</v>
      </c>
      <c r="AV43" s="2" t="inlineStr">
        <is>
          <t>modelo+año+km</t>
        </is>
      </c>
      <c r="AW43" s="2" t="n"/>
      <c r="AX43" s="2" t="inlineStr">
        <is>
          <t>cuota fija ITP: &gt;12 años, 1.501-2.000 cc; fiabilidad del modelo PENDIENTE de fuente (puntuación neutra)</t>
        </is>
      </c>
      <c r="AY43" s="2" t="inlineStr">
        <is>
          <t xml:space="preserve">PEUGEOT 207, TECHO SOLAR, ASIENTOS DE CUERO. 5 PLAZAS 175 CV COLOR NEGRO, 3 PUERTAS.  PARA MÁS INFO MI NÚMERO ES 691623801 </t>
        </is>
      </c>
      <c r="AZ43" s="2" t="inlineStr">
        <is>
          <t>https://es.wallapop.com/item/peugeot-207-2008-1288549890 (__NEXT_DATA__ item) /home/user/Alopecia/buscador-coches/raw/wallapop/9eb03b1c190a17fe.json</t>
        </is>
      </c>
      <c r="BA43" s="3">
        <f>MAX(ANIO_ACTUAL-M43,0)</f>
        <v/>
      </c>
      <c r="BB43" s="4">
        <f>N43/MAX(BA43,0.5)</f>
        <v/>
      </c>
      <c r="BC43" s="4">
        <f>F43</f>
        <v/>
      </c>
      <c r="BD43" s="3">
        <f>BC43&amp;"|"&amp;INT(M43/SEG_ANIO)*SEG_ANIO</f>
        <v/>
      </c>
      <c r="BE43" s="3">
        <f>BD43&amp;"|"&amp;INT(N43/SEG_KM)*SEG_KM</f>
        <v/>
      </c>
      <c r="BF43" s="4">
        <f>COUNTIF($BC$2:$BC$545,BC43)</f>
        <v/>
      </c>
      <c r="BG43" s="4">
        <f>COUNTIF($BD$2:$BD$545,BD43)</f>
        <v/>
      </c>
      <c r="BH43" s="4">
        <f>COUNTIF($BE$2:$BE$545,BE43)</f>
        <v/>
      </c>
      <c r="BI43" s="3">
        <f t="array" ref="BI43">IF(N(AU43)&gt;=MIN_N,AT43,IF(BH43&gt;=MIN_N,MEDIAN(IF($BE$2:$BE$545=BE43,$O$2:$O$545)),IF(BG43&gt;=MIN_N,MEDIAN(IF($BD$2:$BD$545=BD43,$O$2:$O$545)),MEDIAN(IF($BC$2:$BC$545=BC43,$O$2:$O$545)))))</f>
        <v/>
      </c>
      <c r="BJ43" s="3">
        <f>IF(N(AU43)&gt;=MIN_N,"mercado "&amp;AV43,IF(BH43&gt;=MIN_N,"modelo+año+km",IF(BG43&gt;=MIN_N,"modelo+año","modelo")))</f>
        <v/>
      </c>
      <c r="BK43" s="4">
        <f>(BI43-O43)/BI43</f>
        <v/>
      </c>
      <c r="BL43" s="3">
        <f>IF(COUNTIFS(FR_FUEL,K43,FR_YEAR,AP43)&gt;0,1,0)</f>
        <v/>
      </c>
      <c r="BM43" s="3">
        <f>IF(COUNTIFS(FR_FUEL,K43,FR_YEAR,AP43-1)&gt;0,1,0)</f>
        <v/>
      </c>
      <c r="BN43" s="4">
        <f>IF(N(AQ43)&gt;0,AP43*100+AQ43,IF(AND(BL43=1,BM43=1),(AP43-1)*100+1,AP43*100+1))</f>
        <v/>
      </c>
      <c r="BO43" s="3">
        <f>IF(OR(K43="hibrido",K43="glp",K43="gnc",K43="phev"),"ECO",IF(K43="electrico","CERO",IF(K43="gasolina",IF(BN43&gt;=GAS_C_YM,"C",IF(BN43&gt;=GAS_B_YM,"B","A")),IF(K43="diesel",IF(BN43&gt;=DIE_C_YM,"C",IF(BN43&gt;=DIE_B_YM,"B","A")),""))))</f>
        <v/>
      </c>
      <c r="BP43" s="4">
        <f>BO43</f>
        <v/>
      </c>
      <c r="BQ43" s="4">
        <f>IF(AS43="regla",IF(AND(N(AQ43)=0,BL43=1),"sí","no"),"no")</f>
        <v/>
      </c>
      <c r="BR43" s="3">
        <f>IFERROR(VLOOKUP(F43,MOD_TBL,11,0),IFERROR(VLOOKUP(E43,OCU_TBL,2,0),NEUTRO))</f>
        <v/>
      </c>
      <c r="BS43" s="3">
        <f>SUMIFS(MOT_AJUSTE,MOT_MOTOR,G43,MOT_MARCA,E43,MOT_DESDE,"&lt;="&amp;M43,MOT_HASTA,"&gt;="&amp;M43)+SUMIFS(MOT_AJUSTE,MOT_MOTOR,G43,MOT_MARCA,"(todas)",MOT_DESDE,"&lt;="&amp;M43,MOT_HASTA,"&gt;="&amp;M43)</f>
        <v/>
      </c>
      <c r="BT43" s="3">
        <f>SUMIFS(COMB_AJUSTE,COMB_COMB,K43)</f>
        <v/>
      </c>
      <c r="BU43" s="3">
        <f>COUNTIFS(MOT_MOTOR,G43,MOT_MARCA,E43,MOT_DESDE,"&lt;="&amp;M43,MOT_HASTA,"&gt;="&amp;M43)+COUNTIFS(MOT_MOTOR,G43,MOT_MARCA,"(todas)",MOT_DESDE,"&lt;="&amp;M43,MOT_HASTA,"&gt;="&amp;M43)</f>
        <v/>
      </c>
      <c r="BV43" s="3">
        <f>IF(AND(K43="diesel",BU43=0),MIN(BR43,NEUTRO),BR43)</f>
        <v/>
      </c>
      <c r="BW43" s="4">
        <f>MAX(0,MIN(100,BV43+BS43+BT43))</f>
        <v/>
      </c>
      <c r="BX43" s="3">
        <f>MAX(0,MIN(100,50+BK43*PRECIO_PEND))</f>
        <v/>
      </c>
      <c r="BY43" s="3">
        <f>MAX(0,100*(1-N43/KM_MAX))</f>
        <v/>
      </c>
      <c r="BZ43" s="3">
        <f>IF(BB43&lt;KMA_SOSP,IF(AA43="sí",100,KMA_PEN),IF(BB43&lt;=KMA_IDEAL_MAX,100,MAX(0,100*(KMA_CERO-BB43)/(KMA_CERO-KMA_IDEAL_MAX))))</f>
        <v/>
      </c>
      <c r="CA43" s="3">
        <f>MAX(0,MIN(100,100*(M43-ANIO_MIN)/(ANIO_ACTUAL-ANIO_MIN)))</f>
        <v/>
      </c>
      <c r="CB43" s="3">
        <f>W_KMT*BY43+W_KMA*BZ43+W_EDAD*CA43</f>
        <v/>
      </c>
      <c r="CC43" s="3">
        <f>P_ITV*(V43="sí")+P_LIBRO*(W43="sí")+P_CORREA*(X43="sí")+P_PROP*(Y43=1)+P_GAR*(Z43="sí")+P_FOTOS*MIN(1,N(U43)/FOTOS_OBJ)</f>
        <v/>
      </c>
      <c r="CD43" s="3">
        <f>MAX(0,MIN(100,IFERROR(VLOOKUP(BP43,ETQ_TBL,2,0),0)-IF(BQ43="sí",ETQ_PEN_DUD,IF(AS43="regla",ETQ_PEN_REGLA,0))))</f>
        <v/>
      </c>
      <c r="CE43" s="3">
        <f>NEUTRO</f>
        <v/>
      </c>
      <c r="CF43" s="3">
        <f>IFERROR(VLOOKUP(L43,SEGURO_TBL,3,0),"")</f>
        <v/>
      </c>
      <c r="CG43" s="3">
        <f>IF(CF43="",NEUTRO,MAX(0,MIN(100,100*(SEG_REF_MAX-CF43)/(SEG_REF_MAX-SEG_REF_MIN))))</f>
        <v/>
      </c>
      <c r="CH43" s="3">
        <f>W_CONS*CE43+W_SEG*CG43</f>
        <v/>
      </c>
      <c r="CI43" s="3">
        <f>IF(N(AB43)&gt;0,AB43,IF(AND(R43="profesional",SG_LEGAL_ON=1),GAR_LEGAL,0))</f>
        <v/>
      </c>
      <c r="CJ43" s="3">
        <f>SG_GAR*MIN(1,CI43/SG_GAR_FULL)+SG_AMPL*(AC43="sí")+SG_KMC*(AF43="sí")+SG_REV*(N(AE43)&gt;0)+SG_DEV*MIN(1,N(AG43)/SG_DEV_FULL)+SG_HIST*(W43="sí")</f>
        <v/>
      </c>
      <c r="CK43" s="3">
        <f>IFERROR(VLOOKUP(L43,CARR_PEN_TBL,2,0),0)</f>
        <v/>
      </c>
      <c r="CL43" s="3">
        <f>W_FIAB*BW43+W_PRECIO*BX43+W_KMEDAD*CB43+W_ANUNCIO*CC43+W_USO*CH43+W_SEGURIDAD*CJ43+W_ETIQUETA*CD43-CK43</f>
        <v/>
      </c>
      <c r="CM43" s="4">
        <f>IF(N(I43)&gt;0,I43,IFERROR(ROUND(_xlfn.NUMBERVALUE(LEFT(G43,FIND(" ",G43&amp;" ")-1),".")*1000,0),99999))</f>
        <v/>
      </c>
      <c r="CN43" s="3">
        <f>IF(R43="profesional",0,IF(O43&lt;CUOTA_VALOR_MAX,IF(BA43&gt;ITP_TRAMO_ALTO,SUMIFS(CF_CUOTA,CF_MAS,ITP_TRAMO_ALTO,CF_CCMIN,"&lt;="&amp;CM43,CF_CCMAX,"&gt;="&amp;CM43),IF(BA43&gt;ITP_TRAMO_BAJO,SUMIFS(CF_CUOTA,CF_MAS,ITP_TRAMO_BAJO,CF_CCMIN,"&lt;="&amp;CM43,CF_CCMAX,"&gt;="&amp;CM43),O43*ITP_TIPO)),O43*ITP_TIPO))</f>
        <v/>
      </c>
      <c r="CO43" s="4">
        <f>IF(R43="profesional",N(AK43),0)</f>
        <v/>
      </c>
      <c r="CP43" s="3">
        <f>IF(AND(R43="profesional",ISNUMBER(AK43),AL43="sí"),0,TASA_DGT)</f>
        <v/>
      </c>
      <c r="CQ43" s="3">
        <f>INFORME_DGT</f>
        <v/>
      </c>
      <c r="CR43" s="4">
        <f>O43+CO43+CN43+CP43+CQ43</f>
        <v/>
      </c>
      <c r="CS43" s="4">
        <f>CR43+N(CF43)</f>
        <v/>
      </c>
      <c r="CT43" s="3">
        <f>IF(CR43&lt;=TOTAL_MAX,"sí",IF(CR43&lt;=TOTAL_MAX+MARGEN_NEG,"negociar","no"))</f>
        <v/>
      </c>
      <c r="CU43" s="4">
        <f>IF(CT43&lt;&gt;"no",COUNTIFS($CT$2:$CT$545,"&lt;&gt;no",$CL$2:$CL$545,"&gt;"&amp;CL43)+COUNTIFS($CT$2:CT43,"&lt;&gt;no",$CL$2:CL43,CL43),"")</f>
        <v/>
      </c>
    </row>
    <row r="44">
      <c r="A44" s="2" t="inlineStr">
        <is>
          <t>wallapop:1280300367</t>
        </is>
      </c>
      <c r="B44" s="2" t="inlineStr">
        <is>
          <t>wallapop</t>
        </is>
      </c>
      <c r="C44" s="2" t="inlineStr">
        <is>
          <t>https://es.wallapop.com/item/peugeot-207-2008-1280300367</t>
        </is>
      </c>
      <c r="D44" s="2" t="inlineStr">
        <is>
          <t>Peugeot 207 2008</t>
        </is>
      </c>
      <c r="E44" s="2" t="inlineStr">
        <is>
          <t>Peugeot</t>
        </is>
      </c>
      <c r="F44" s="2" t="inlineStr">
        <is>
          <t>Peugeot 207</t>
        </is>
      </c>
      <c r="G44" s="2" t="inlineStr">
        <is>
          <t>1.6 HDi</t>
        </is>
      </c>
      <c r="H44" s="2" t="inlineStr">
        <is>
          <t>1.6 HDi 110 Sport 5p</t>
        </is>
      </c>
      <c r="I44" s="2" t="n"/>
      <c r="J44" s="2" t="n">
        <v>110</v>
      </c>
      <c r="K44" s="2" t="inlineStr">
        <is>
          <t>gasolina</t>
        </is>
      </c>
      <c r="L44" s="2" t="inlineStr">
        <is>
          <t>utilitario</t>
        </is>
      </c>
      <c r="M44" s="2" t="n">
        <v>2008</v>
      </c>
      <c r="N44" s="2" t="n">
        <v>207000</v>
      </c>
      <c r="O44" s="2" t="n">
        <v>2950</v>
      </c>
      <c r="P44" s="2" t="inlineStr">
        <is>
          <t>manual</t>
        </is>
      </c>
      <c r="Q44" s="2" t="inlineStr">
        <is>
          <t>no</t>
        </is>
      </c>
      <c r="R44" s="2" t="inlineStr">
        <is>
          <t>particular</t>
        </is>
      </c>
      <c r="S44" s="2" t="inlineStr">
        <is>
          <t>Valencia (46002)</t>
        </is>
      </c>
      <c r="T44" s="2" t="inlineStr">
        <is>
          <t>2026-10-29T08:27:38</t>
        </is>
      </c>
      <c r="U44" s="2" t="n">
        <v>7</v>
      </c>
      <c r="V44" s="2" t="inlineStr">
        <is>
          <t>sí</t>
        </is>
      </c>
      <c r="W44" s="2" t="n"/>
      <c r="X44" s="2" t="n"/>
      <c r="Y44" s="2" t="n"/>
      <c r="Z44" s="2" t="n"/>
      <c r="AA44" s="2" t="n"/>
      <c r="AB44" s="2" t="n"/>
      <c r="AC44" s="2" t="n"/>
      <c r="AD44" s="2" t="n"/>
      <c r="AE44" s="2" t="n"/>
      <c r="AF44" s="2" t="n"/>
      <c r="AG44" s="2" t="n"/>
      <c r="AH44" s="2" t="n"/>
      <c r="AI44" s="2" t="n"/>
      <c r="AJ44" s="2" t="n"/>
      <c r="AK44" s="2" t="n"/>
      <c r="AL44" s="2" t="n"/>
      <c r="AM44" s="2" t="n">
        <v>0.6</v>
      </c>
      <c r="AN44" s="2" t="n"/>
      <c r="AO44" s="2" t="inlineStr">
        <is>
          <t>2008</t>
        </is>
      </c>
      <c r="AP44" s="2" t="n">
        <v>2008</v>
      </c>
      <c r="AQ44" s="2" t="n"/>
      <c r="AR44" s="2" t="n"/>
      <c r="AS44" s="2" t="inlineStr">
        <is>
          <t>regla</t>
        </is>
      </c>
      <c r="AT44" s="2" t="n">
        <v>2950</v>
      </c>
      <c r="AU44" s="2" t="n">
        <v>13</v>
      </c>
      <c r="AV44" s="2" t="inlineStr">
        <is>
          <t>modelo+año+km</t>
        </is>
      </c>
      <c r="AW44" s="2" t="n"/>
      <c r="AX44" s="2" t="inlineStr">
        <is>
          <t>cuota fija ITP: &gt;12 años, 1.501-2.000 cc; fiabilidad del modelo PENDIENTE de fuente (puntuación neutra)</t>
        </is>
      </c>
      <c r="AY44" s="2" t="inlineStr">
        <is>
          <t>Muy buen estado, todas la evalunas son eléctricas, funcionando todas . Cambio de aceite reciente. Ver sin Compromiso 
ITV hasta sept 2027</t>
        </is>
      </c>
      <c r="AZ44" s="2" t="inlineStr">
        <is>
          <t>https://es.wallapop.com/item/peugeot-207-2008-1280300367 (__NEXT_DATA__ item) /home/user/Alopecia/buscador-coches/raw/wallapop/e1785a7cbe3be93c.json</t>
        </is>
      </c>
      <c r="BA44" s="3">
        <f>MAX(ANIO_ACTUAL-M44,0)</f>
        <v/>
      </c>
      <c r="BB44" s="4">
        <f>N44/MAX(BA44,0.5)</f>
        <v/>
      </c>
      <c r="BC44" s="4">
        <f>F44</f>
        <v/>
      </c>
      <c r="BD44" s="3">
        <f>BC44&amp;"|"&amp;INT(M44/SEG_ANIO)*SEG_ANIO</f>
        <v/>
      </c>
      <c r="BE44" s="3">
        <f>BD44&amp;"|"&amp;INT(N44/SEG_KM)*SEG_KM</f>
        <v/>
      </c>
      <c r="BF44" s="4">
        <f>COUNTIF($BC$2:$BC$545,BC44)</f>
        <v/>
      </c>
      <c r="BG44" s="4">
        <f>COUNTIF($BD$2:$BD$545,BD44)</f>
        <v/>
      </c>
      <c r="BH44" s="4">
        <f>COUNTIF($BE$2:$BE$545,BE44)</f>
        <v/>
      </c>
      <c r="BI44" s="3">
        <f t="array" ref="BI44">IF(N(AU44)&gt;=MIN_N,AT44,IF(BH44&gt;=MIN_N,MEDIAN(IF($BE$2:$BE$545=BE44,$O$2:$O$545)),IF(BG44&gt;=MIN_N,MEDIAN(IF($BD$2:$BD$545=BD44,$O$2:$O$545)),MEDIAN(IF($BC$2:$BC$545=BC44,$O$2:$O$545)))))</f>
        <v/>
      </c>
      <c r="BJ44" s="3">
        <f>IF(N(AU44)&gt;=MIN_N,"mercado "&amp;AV44,IF(BH44&gt;=MIN_N,"modelo+año+km",IF(BG44&gt;=MIN_N,"modelo+año","modelo")))</f>
        <v/>
      </c>
      <c r="BK44" s="4">
        <f>(BI44-O44)/BI44</f>
        <v/>
      </c>
      <c r="BL44" s="3">
        <f>IF(COUNTIFS(FR_FUEL,K44,FR_YEAR,AP44)&gt;0,1,0)</f>
        <v/>
      </c>
      <c r="BM44" s="3">
        <f>IF(COUNTIFS(FR_FUEL,K44,FR_YEAR,AP44-1)&gt;0,1,0)</f>
        <v/>
      </c>
      <c r="BN44" s="4">
        <f>IF(N(AQ44)&gt;0,AP44*100+AQ44,IF(AND(BL44=1,BM44=1),(AP44-1)*100+1,AP44*100+1))</f>
        <v/>
      </c>
      <c r="BO44" s="3">
        <f>IF(OR(K44="hibrido",K44="glp",K44="gnc",K44="phev"),"ECO",IF(K44="electrico","CERO",IF(K44="gasolina",IF(BN44&gt;=GAS_C_YM,"C",IF(BN44&gt;=GAS_B_YM,"B","A")),IF(K44="diesel",IF(BN44&gt;=DIE_C_YM,"C",IF(BN44&gt;=DIE_B_YM,"B","A")),""))))</f>
        <v/>
      </c>
      <c r="BP44" s="4">
        <f>BO44</f>
        <v/>
      </c>
      <c r="BQ44" s="4">
        <f>IF(AS44="regla",IF(AND(N(AQ44)=0,BL44=1),"sí","no"),"no")</f>
        <v/>
      </c>
      <c r="BR44" s="3">
        <f>IFERROR(VLOOKUP(F44,MOD_TBL,11,0),IFERROR(VLOOKUP(E44,OCU_TBL,2,0),NEUTRO))</f>
        <v/>
      </c>
      <c r="BS44" s="3">
        <f>SUMIFS(MOT_AJUSTE,MOT_MOTOR,G44,MOT_MARCA,E44,MOT_DESDE,"&lt;="&amp;M44,MOT_HASTA,"&gt;="&amp;M44)+SUMIFS(MOT_AJUSTE,MOT_MOTOR,G44,MOT_MARCA,"(todas)",MOT_DESDE,"&lt;="&amp;M44,MOT_HASTA,"&gt;="&amp;M44)</f>
        <v/>
      </c>
      <c r="BT44" s="3">
        <f>SUMIFS(COMB_AJUSTE,COMB_COMB,K44)</f>
        <v/>
      </c>
      <c r="BU44" s="3">
        <f>COUNTIFS(MOT_MOTOR,G44,MOT_MARCA,E44,MOT_DESDE,"&lt;="&amp;M44,MOT_HASTA,"&gt;="&amp;M44)+COUNTIFS(MOT_MOTOR,G44,MOT_MARCA,"(todas)",MOT_DESDE,"&lt;="&amp;M44,MOT_HASTA,"&gt;="&amp;M44)</f>
        <v/>
      </c>
      <c r="BV44" s="3">
        <f>IF(AND(K44="diesel",BU44=0),MIN(BR44,NEUTRO),BR44)</f>
        <v/>
      </c>
      <c r="BW44" s="4">
        <f>MAX(0,MIN(100,BV44+BS44+BT44))</f>
        <v/>
      </c>
      <c r="BX44" s="3">
        <f>MAX(0,MIN(100,50+BK44*PRECIO_PEND))</f>
        <v/>
      </c>
      <c r="BY44" s="3">
        <f>MAX(0,100*(1-N44/KM_MAX))</f>
        <v/>
      </c>
      <c r="BZ44" s="3">
        <f>IF(BB44&lt;KMA_SOSP,IF(AA44="sí",100,KMA_PEN),IF(BB44&lt;=KMA_IDEAL_MAX,100,MAX(0,100*(KMA_CERO-BB44)/(KMA_CERO-KMA_IDEAL_MAX))))</f>
        <v/>
      </c>
      <c r="CA44" s="3">
        <f>MAX(0,MIN(100,100*(M44-ANIO_MIN)/(ANIO_ACTUAL-ANIO_MIN)))</f>
        <v/>
      </c>
      <c r="CB44" s="3">
        <f>W_KMT*BY44+W_KMA*BZ44+W_EDAD*CA44</f>
        <v/>
      </c>
      <c r="CC44" s="3">
        <f>P_ITV*(V44="sí")+P_LIBRO*(W44="sí")+P_CORREA*(X44="sí")+P_PROP*(Y44=1)+P_GAR*(Z44="sí")+P_FOTOS*MIN(1,N(U44)/FOTOS_OBJ)</f>
        <v/>
      </c>
      <c r="CD44" s="3">
        <f>MAX(0,MIN(100,IFERROR(VLOOKUP(BP44,ETQ_TBL,2,0),0)-IF(BQ44="sí",ETQ_PEN_DUD,IF(AS44="regla",ETQ_PEN_REGLA,0))))</f>
        <v/>
      </c>
      <c r="CE44" s="3">
        <f>NEUTRO</f>
        <v/>
      </c>
      <c r="CF44" s="3">
        <f>IFERROR(VLOOKUP(L44,SEGURO_TBL,3,0),"")</f>
        <v/>
      </c>
      <c r="CG44" s="3">
        <f>IF(CF44="",NEUTRO,MAX(0,MIN(100,100*(SEG_REF_MAX-CF44)/(SEG_REF_MAX-SEG_REF_MIN))))</f>
        <v/>
      </c>
      <c r="CH44" s="3">
        <f>W_CONS*CE44+W_SEG*CG44</f>
        <v/>
      </c>
      <c r="CI44" s="3">
        <f>IF(N(AB44)&gt;0,AB44,IF(AND(R44="profesional",SG_LEGAL_ON=1),GAR_LEGAL,0))</f>
        <v/>
      </c>
      <c r="CJ44" s="3">
        <f>SG_GAR*MIN(1,CI44/SG_GAR_FULL)+SG_AMPL*(AC44="sí")+SG_KMC*(AF44="sí")+SG_REV*(N(AE44)&gt;0)+SG_DEV*MIN(1,N(AG44)/SG_DEV_FULL)+SG_HIST*(W44="sí")</f>
        <v/>
      </c>
      <c r="CK44" s="3">
        <f>IFERROR(VLOOKUP(L44,CARR_PEN_TBL,2,0),0)</f>
        <v/>
      </c>
      <c r="CL44" s="3">
        <f>W_FIAB*BW44+W_PRECIO*BX44+W_KMEDAD*CB44+W_ANUNCIO*CC44+W_USO*CH44+W_SEGURIDAD*CJ44+W_ETIQUETA*CD44-CK44</f>
        <v/>
      </c>
      <c r="CM44" s="4">
        <f>IF(N(I44)&gt;0,I44,IFERROR(ROUND(_xlfn.NUMBERVALUE(LEFT(G44,FIND(" ",G44&amp;" ")-1),".")*1000,0),99999))</f>
        <v/>
      </c>
      <c r="CN44" s="3">
        <f>IF(R44="profesional",0,IF(O44&lt;CUOTA_VALOR_MAX,IF(BA44&gt;ITP_TRAMO_ALTO,SUMIFS(CF_CUOTA,CF_MAS,ITP_TRAMO_ALTO,CF_CCMIN,"&lt;="&amp;CM44,CF_CCMAX,"&gt;="&amp;CM44),IF(BA44&gt;ITP_TRAMO_BAJO,SUMIFS(CF_CUOTA,CF_MAS,ITP_TRAMO_BAJO,CF_CCMIN,"&lt;="&amp;CM44,CF_CCMAX,"&gt;="&amp;CM44),O44*ITP_TIPO)),O44*ITP_TIPO))</f>
        <v/>
      </c>
      <c r="CO44" s="4">
        <f>IF(R44="profesional",N(AK44),0)</f>
        <v/>
      </c>
      <c r="CP44" s="3">
        <f>IF(AND(R44="profesional",ISNUMBER(AK44),AL44="sí"),0,TASA_DGT)</f>
        <v/>
      </c>
      <c r="CQ44" s="3">
        <f>INFORME_DGT</f>
        <v/>
      </c>
      <c r="CR44" s="4">
        <f>O44+CO44+CN44+CP44+CQ44</f>
        <v/>
      </c>
      <c r="CS44" s="4">
        <f>CR44+N(CF44)</f>
        <v/>
      </c>
      <c r="CT44" s="3">
        <f>IF(CR44&lt;=TOTAL_MAX,"sí",IF(CR44&lt;=TOTAL_MAX+MARGEN_NEG,"negociar","no"))</f>
        <v/>
      </c>
      <c r="CU44" s="4">
        <f>IF(CT44&lt;&gt;"no",COUNTIFS($CT$2:$CT$545,"&lt;&gt;no",$CL$2:$CL$545,"&gt;"&amp;CL44)+COUNTIFS($CT$2:CT44,"&lt;&gt;no",$CL$2:CL44,CL44),"")</f>
        <v/>
      </c>
    </row>
    <row r="45">
      <c r="A45" s="2" t="inlineStr">
        <is>
          <t>wallapop:1266639855</t>
        </is>
      </c>
      <c r="B45" s="2" t="inlineStr">
        <is>
          <t>wallapop</t>
        </is>
      </c>
      <c r="C45" s="2" t="inlineStr">
        <is>
          <t>https://es.wallapop.com/item/peugeot-207-2008-1266639855</t>
        </is>
      </c>
      <c r="D45" s="2" t="inlineStr">
        <is>
          <t>Peugeot 207 2008</t>
        </is>
      </c>
      <c r="E45" s="2" t="inlineStr">
        <is>
          <t>Peugeot</t>
        </is>
      </c>
      <c r="F45" s="2" t="inlineStr">
        <is>
          <t>Peugeot 207</t>
        </is>
      </c>
      <c r="G45" s="2" t="inlineStr">
        <is>
          <t>1.4 HDi</t>
        </is>
      </c>
      <c r="H45" s="2" t="inlineStr">
        <is>
          <t>1.4 HDi 70 Urban 5p</t>
        </is>
      </c>
      <c r="I45" s="2" t="n"/>
      <c r="J45" s="2" t="n">
        <v>70</v>
      </c>
      <c r="K45" s="2" t="inlineStr">
        <is>
          <t>gasolina</t>
        </is>
      </c>
      <c r="L45" s="2" t="inlineStr">
        <is>
          <t>utilitario</t>
        </is>
      </c>
      <c r="M45" s="2" t="n">
        <v>2008</v>
      </c>
      <c r="N45" s="2" t="n">
        <v>143000</v>
      </c>
      <c r="O45" s="2" t="n">
        <v>3000</v>
      </c>
      <c r="P45" s="2" t="inlineStr">
        <is>
          <t>manual</t>
        </is>
      </c>
      <c r="Q45" s="2" t="inlineStr">
        <is>
          <t>no</t>
        </is>
      </c>
      <c r="R45" s="2" t="inlineStr">
        <is>
          <t>particular</t>
        </is>
      </c>
      <c r="S45" s="2" t="inlineStr">
        <is>
          <t>Valencia (46002)</t>
        </is>
      </c>
      <c r="T45" s="2" t="inlineStr">
        <is>
          <t>2026-09-30T21:36:51</t>
        </is>
      </c>
      <c r="U45" s="2" t="n">
        <v>7</v>
      </c>
      <c r="V45" s="2" t="n"/>
      <c r="W45" s="2" t="n"/>
      <c r="X45" s="2" t="n"/>
      <c r="Y45" s="2" t="n"/>
      <c r="Z45" s="2" t="n"/>
      <c r="AA45" s="2" t="n"/>
      <c r="AB45" s="2" t="n"/>
      <c r="AC45" s="2" t="n"/>
      <c r="AD45" s="2" t="n"/>
      <c r="AE45" s="2" t="n"/>
      <c r="AF45" s="2" t="n"/>
      <c r="AG45" s="2" t="n"/>
      <c r="AH45" s="2" t="n"/>
      <c r="AI45" s="2" t="n"/>
      <c r="AJ45" s="2" t="n"/>
      <c r="AK45" s="2" t="n"/>
      <c r="AL45" s="2" t="n"/>
      <c r="AM45" s="2" t="n">
        <v>0.7</v>
      </c>
      <c r="AN45" s="2" t="n"/>
      <c r="AO45" s="2" t="inlineStr">
        <is>
          <t>2008</t>
        </is>
      </c>
      <c r="AP45" s="2" t="n">
        <v>2008</v>
      </c>
      <c r="AQ45" s="2" t="n"/>
      <c r="AR45" s="2" t="n"/>
      <c r="AS45" s="2" t="inlineStr">
        <is>
          <t>regla</t>
        </is>
      </c>
      <c r="AT45" s="2" t="n">
        <v>3550</v>
      </c>
      <c r="AU45" s="2" t="n">
        <v>30</v>
      </c>
      <c r="AV45" s="2" t="inlineStr">
        <is>
          <t>modelo+año+km</t>
        </is>
      </c>
      <c r="AW45" s="2" t="n"/>
      <c r="AX45" s="2" t="inlineStr">
        <is>
          <t>cuota fija ITP: &gt;12 años, hasta 1.500 cc; fiabilidad del modelo PENDIENTE de fuente (puntuación neutra)</t>
        </is>
      </c>
      <c r="AY45" s="2" t="inlineStr">
        <is>
          <t xml:space="preserve">Se vende Peugeot 207 1.4 gasolina 70 CV.
Se encuentra en excelente estado , tanto el interior como el exterior . 
Coche perfecto y cómodo para uso diario por carretera . 
Dispone de distribución mediante cadena .
</t>
        </is>
      </c>
      <c r="AZ45" s="2" t="inlineStr">
        <is>
          <t>https://es.wallapop.com/item/peugeot-207-2008-1266639855 (__NEXT_DATA__ item) /home/user/Alopecia/buscador-coches/raw/wallapop/938350f1b3e3ae0b.json</t>
        </is>
      </c>
      <c r="BA45" s="3">
        <f>MAX(ANIO_ACTUAL-M45,0)</f>
        <v/>
      </c>
      <c r="BB45" s="4">
        <f>N45/MAX(BA45,0.5)</f>
        <v/>
      </c>
      <c r="BC45" s="4">
        <f>F45</f>
        <v/>
      </c>
      <c r="BD45" s="3">
        <f>BC45&amp;"|"&amp;INT(M45/SEG_ANIO)*SEG_ANIO</f>
        <v/>
      </c>
      <c r="BE45" s="3">
        <f>BD45&amp;"|"&amp;INT(N45/SEG_KM)*SEG_KM</f>
        <v/>
      </c>
      <c r="BF45" s="4">
        <f>COUNTIF($BC$2:$BC$545,BC45)</f>
        <v/>
      </c>
      <c r="BG45" s="4">
        <f>COUNTIF($BD$2:$BD$545,BD45)</f>
        <v/>
      </c>
      <c r="BH45" s="4">
        <f>COUNTIF($BE$2:$BE$545,BE45)</f>
        <v/>
      </c>
      <c r="BI45" s="3">
        <f t="array" ref="BI45">IF(N(AU45)&gt;=MIN_N,AT45,IF(BH45&gt;=MIN_N,MEDIAN(IF($BE$2:$BE$545=BE45,$O$2:$O$545)),IF(BG45&gt;=MIN_N,MEDIAN(IF($BD$2:$BD$545=BD45,$O$2:$O$545)),MEDIAN(IF($BC$2:$BC$545=BC45,$O$2:$O$545)))))</f>
        <v/>
      </c>
      <c r="BJ45" s="3">
        <f>IF(N(AU45)&gt;=MIN_N,"mercado "&amp;AV45,IF(BH45&gt;=MIN_N,"modelo+año+km",IF(BG45&gt;=MIN_N,"modelo+año","modelo")))</f>
        <v/>
      </c>
      <c r="BK45" s="4">
        <f>(BI45-O45)/BI45</f>
        <v/>
      </c>
      <c r="BL45" s="3">
        <f>IF(COUNTIFS(FR_FUEL,K45,FR_YEAR,AP45)&gt;0,1,0)</f>
        <v/>
      </c>
      <c r="BM45" s="3">
        <f>IF(COUNTIFS(FR_FUEL,K45,FR_YEAR,AP45-1)&gt;0,1,0)</f>
        <v/>
      </c>
      <c r="BN45" s="4">
        <f>IF(N(AQ45)&gt;0,AP45*100+AQ45,IF(AND(BL45=1,BM45=1),(AP45-1)*100+1,AP45*100+1))</f>
        <v/>
      </c>
      <c r="BO45" s="3">
        <f>IF(OR(K45="hibrido",K45="glp",K45="gnc",K45="phev"),"ECO",IF(K45="electrico","CERO",IF(K45="gasolina",IF(BN45&gt;=GAS_C_YM,"C",IF(BN45&gt;=GAS_B_YM,"B","A")),IF(K45="diesel",IF(BN45&gt;=DIE_C_YM,"C",IF(BN45&gt;=DIE_B_YM,"B","A")),""))))</f>
        <v/>
      </c>
      <c r="BP45" s="4">
        <f>BO45</f>
        <v/>
      </c>
      <c r="BQ45" s="4">
        <f>IF(AS45="regla",IF(AND(N(AQ45)=0,BL45=1),"sí","no"),"no")</f>
        <v/>
      </c>
      <c r="BR45" s="3">
        <f>IFERROR(VLOOKUP(F45,MOD_TBL,11,0),IFERROR(VLOOKUP(E45,OCU_TBL,2,0),NEUTRO))</f>
        <v/>
      </c>
      <c r="BS45" s="3">
        <f>SUMIFS(MOT_AJUSTE,MOT_MOTOR,G45,MOT_MARCA,E45,MOT_DESDE,"&lt;="&amp;M45,MOT_HASTA,"&gt;="&amp;M45)+SUMIFS(MOT_AJUSTE,MOT_MOTOR,G45,MOT_MARCA,"(todas)",MOT_DESDE,"&lt;="&amp;M45,MOT_HASTA,"&gt;="&amp;M45)</f>
        <v/>
      </c>
      <c r="BT45" s="3">
        <f>SUMIFS(COMB_AJUSTE,COMB_COMB,K45)</f>
        <v/>
      </c>
      <c r="BU45" s="3">
        <f>COUNTIFS(MOT_MOTOR,G45,MOT_MARCA,E45,MOT_DESDE,"&lt;="&amp;M45,MOT_HASTA,"&gt;="&amp;M45)+COUNTIFS(MOT_MOTOR,G45,MOT_MARCA,"(todas)",MOT_DESDE,"&lt;="&amp;M45,MOT_HASTA,"&gt;="&amp;M45)</f>
        <v/>
      </c>
      <c r="BV45" s="3">
        <f>IF(AND(K45="diesel",BU45=0),MIN(BR45,NEUTRO),BR45)</f>
        <v/>
      </c>
      <c r="BW45" s="4">
        <f>MAX(0,MIN(100,BV45+BS45+BT45))</f>
        <v/>
      </c>
      <c r="BX45" s="3">
        <f>MAX(0,MIN(100,50+BK45*PRECIO_PEND))</f>
        <v/>
      </c>
      <c r="BY45" s="3">
        <f>MAX(0,100*(1-N45/KM_MAX))</f>
        <v/>
      </c>
      <c r="BZ45" s="3">
        <f>IF(BB45&lt;KMA_SOSP,IF(AA45="sí",100,KMA_PEN),IF(BB45&lt;=KMA_IDEAL_MAX,100,MAX(0,100*(KMA_CERO-BB45)/(KMA_CERO-KMA_IDEAL_MAX))))</f>
        <v/>
      </c>
      <c r="CA45" s="3">
        <f>MAX(0,MIN(100,100*(M45-ANIO_MIN)/(ANIO_ACTUAL-ANIO_MIN)))</f>
        <v/>
      </c>
      <c r="CB45" s="3">
        <f>W_KMT*BY45+W_KMA*BZ45+W_EDAD*CA45</f>
        <v/>
      </c>
      <c r="CC45" s="3">
        <f>P_ITV*(V45="sí")+P_LIBRO*(W45="sí")+P_CORREA*(X45="sí")+P_PROP*(Y45=1)+P_GAR*(Z45="sí")+P_FOTOS*MIN(1,N(U45)/FOTOS_OBJ)</f>
        <v/>
      </c>
      <c r="CD45" s="3">
        <f>MAX(0,MIN(100,IFERROR(VLOOKUP(BP45,ETQ_TBL,2,0),0)-IF(BQ45="sí",ETQ_PEN_DUD,IF(AS45="regla",ETQ_PEN_REGLA,0))))</f>
        <v/>
      </c>
      <c r="CE45" s="3">
        <f>NEUTRO</f>
        <v/>
      </c>
      <c r="CF45" s="3">
        <f>IFERROR(VLOOKUP(L45,SEGURO_TBL,3,0),"")</f>
        <v/>
      </c>
      <c r="CG45" s="3">
        <f>IF(CF45="",NEUTRO,MAX(0,MIN(100,100*(SEG_REF_MAX-CF45)/(SEG_REF_MAX-SEG_REF_MIN))))</f>
        <v/>
      </c>
      <c r="CH45" s="3">
        <f>W_CONS*CE45+W_SEG*CG45</f>
        <v/>
      </c>
      <c r="CI45" s="3">
        <f>IF(N(AB45)&gt;0,AB45,IF(AND(R45="profesional",SG_LEGAL_ON=1),GAR_LEGAL,0))</f>
        <v/>
      </c>
      <c r="CJ45" s="3">
        <f>SG_GAR*MIN(1,CI45/SG_GAR_FULL)+SG_AMPL*(AC45="sí")+SG_KMC*(AF45="sí")+SG_REV*(N(AE45)&gt;0)+SG_DEV*MIN(1,N(AG45)/SG_DEV_FULL)+SG_HIST*(W45="sí")</f>
        <v/>
      </c>
      <c r="CK45" s="3">
        <f>IFERROR(VLOOKUP(L45,CARR_PEN_TBL,2,0),0)</f>
        <v/>
      </c>
      <c r="CL45" s="3">
        <f>W_FIAB*BW45+W_PRECIO*BX45+W_KMEDAD*CB45+W_ANUNCIO*CC45+W_USO*CH45+W_SEGURIDAD*CJ45+W_ETIQUETA*CD45-CK45</f>
        <v/>
      </c>
      <c r="CM45" s="4">
        <f>IF(N(I45)&gt;0,I45,IFERROR(ROUND(_xlfn.NUMBERVALUE(LEFT(G45,FIND(" ",G45&amp;" ")-1),".")*1000,0),99999))</f>
        <v/>
      </c>
      <c r="CN45" s="3">
        <f>IF(R45="profesional",0,IF(O45&lt;CUOTA_VALOR_MAX,IF(BA45&gt;ITP_TRAMO_ALTO,SUMIFS(CF_CUOTA,CF_MAS,ITP_TRAMO_ALTO,CF_CCMIN,"&lt;="&amp;CM45,CF_CCMAX,"&gt;="&amp;CM45),IF(BA45&gt;ITP_TRAMO_BAJO,SUMIFS(CF_CUOTA,CF_MAS,ITP_TRAMO_BAJO,CF_CCMIN,"&lt;="&amp;CM45,CF_CCMAX,"&gt;="&amp;CM45),O45*ITP_TIPO)),O45*ITP_TIPO))</f>
        <v/>
      </c>
      <c r="CO45" s="4">
        <f>IF(R45="profesional",N(AK45),0)</f>
        <v/>
      </c>
      <c r="CP45" s="3">
        <f>IF(AND(R45="profesional",ISNUMBER(AK45),AL45="sí"),0,TASA_DGT)</f>
        <v/>
      </c>
      <c r="CQ45" s="3">
        <f>INFORME_DGT</f>
        <v/>
      </c>
      <c r="CR45" s="4">
        <f>O45+CO45+CN45+CP45+CQ45</f>
        <v/>
      </c>
      <c r="CS45" s="4">
        <f>CR45+N(CF45)</f>
        <v/>
      </c>
      <c r="CT45" s="3">
        <f>IF(CR45&lt;=TOTAL_MAX,"sí",IF(CR45&lt;=TOTAL_MAX+MARGEN_NEG,"negociar","no"))</f>
        <v/>
      </c>
      <c r="CU45" s="4">
        <f>IF(CT45&lt;&gt;"no",COUNTIFS($CT$2:$CT$545,"&lt;&gt;no",$CL$2:$CL$545,"&gt;"&amp;CL45)+COUNTIFS($CT$2:CT45,"&lt;&gt;no",$CL$2:CL45,CL45),"")</f>
        <v/>
      </c>
    </row>
    <row r="46">
      <c r="A46" s="2" t="inlineStr">
        <is>
          <t>wallapop:1303500233</t>
        </is>
      </c>
      <c r="B46" s="2" t="inlineStr">
        <is>
          <t>wallapop</t>
        </is>
      </c>
      <c r="C46" s="2" t="inlineStr">
        <is>
          <t>https://es.wallapop.com/item/peugeot-207-2009-1303500233</t>
        </is>
      </c>
      <c r="D46" s="2" t="inlineStr">
        <is>
          <t>Peugeot 207 2009</t>
        </is>
      </c>
      <c r="E46" s="2" t="inlineStr">
        <is>
          <t>Peugeot</t>
        </is>
      </c>
      <c r="F46" s="2" t="inlineStr">
        <is>
          <t>Peugeot 207</t>
        </is>
      </c>
      <c r="G46" s="2" t="inlineStr">
        <is>
          <t>1.4 VTi</t>
        </is>
      </c>
      <c r="H46" s="2" t="inlineStr">
        <is>
          <t>1.4 VTi 95 Confort 5p AM61</t>
        </is>
      </c>
      <c r="I46" s="2" t="n"/>
      <c r="J46" s="2" t="n">
        <v>95</v>
      </c>
      <c r="K46" s="2" t="inlineStr">
        <is>
          <t>gasolina</t>
        </is>
      </c>
      <c r="L46" s="2" t="inlineStr">
        <is>
          <t>utilitario</t>
        </is>
      </c>
      <c r="M46" s="2" t="n">
        <v>2009</v>
      </c>
      <c r="N46" s="2" t="n">
        <v>92750</v>
      </c>
      <c r="O46" s="2" t="n">
        <v>4500</v>
      </c>
      <c r="P46" s="2" t="inlineStr">
        <is>
          <t>manual</t>
        </is>
      </c>
      <c r="Q46" s="2" t="inlineStr">
        <is>
          <t>no</t>
        </is>
      </c>
      <c r="R46" s="2" t="inlineStr">
        <is>
          <t>particular</t>
        </is>
      </c>
      <c r="S46" s="2" t="inlineStr">
        <is>
          <t>Valencia (46010)</t>
        </is>
      </c>
      <c r="T46" s="2" t="inlineStr">
        <is>
          <t>2026-09-19T21:49:25</t>
        </is>
      </c>
      <c r="U46" s="2" t="n">
        <v>8</v>
      </c>
      <c r="V46" s="2" t="n"/>
      <c r="W46" s="2" t="inlineStr">
        <is>
          <t>sí</t>
        </is>
      </c>
      <c r="X46" s="2" t="n"/>
      <c r="Y46" s="2" t="n"/>
      <c r="Z46" s="2" t="n"/>
      <c r="AA46" s="2" t="n"/>
      <c r="AB46" s="2" t="n"/>
      <c r="AC46" s="2" t="n"/>
      <c r="AD46" s="2" t="n"/>
      <c r="AE46" s="2" t="n"/>
      <c r="AF46" s="2" t="n"/>
      <c r="AG46" s="2" t="n"/>
      <c r="AH46" s="2" t="n"/>
      <c r="AI46" s="2" t="n"/>
      <c r="AJ46" s="2" t="n"/>
      <c r="AK46" s="2" t="n"/>
      <c r="AL46" s="2" t="n"/>
      <c r="AM46" s="2" t="n">
        <v>1.1</v>
      </c>
      <c r="AN46" s="2" t="n"/>
      <c r="AO46" s="2" t="inlineStr">
        <is>
          <t>2009</t>
        </is>
      </c>
      <c r="AP46" s="2" t="n">
        <v>2009</v>
      </c>
      <c r="AQ46" s="2" t="n"/>
      <c r="AR46" s="2" t="n"/>
      <c r="AS46" s="2" t="inlineStr">
        <is>
          <t>regla</t>
        </is>
      </c>
      <c r="AT46" s="2" t="n">
        <v>4750</v>
      </c>
      <c r="AU46" s="2" t="n">
        <v>13</v>
      </c>
      <c r="AV46" s="2" t="inlineStr">
        <is>
          <t>modelo+año+km</t>
        </is>
      </c>
      <c r="AW46" s="2" t="n"/>
      <c r="AX46" s="2" t="inlineStr">
        <is>
          <t>cuota fija ITP: &gt;12 años, hasta 1.500 cc; fiabilidad del modelo PENDIENTE de fuente (puntuación neutra)</t>
        </is>
      </c>
      <c r="AY46" s="2" t="inlineStr">
        <is>
          <t>Coche en buenas condiciones , mantenimiento al dia 
Itv para Diciembre</t>
        </is>
      </c>
      <c r="AZ46" s="2" t="inlineStr">
        <is>
          <t>https://es.wallapop.com/item/peugeot-207-2009-1303500233 (__NEXT_DATA__ item) /home/user/Alopecia/buscador-coches/raw/wallapop/5e5123f265e8bc99.json</t>
        </is>
      </c>
      <c r="BA46" s="3">
        <f>MAX(ANIO_ACTUAL-M46,0)</f>
        <v/>
      </c>
      <c r="BB46" s="4">
        <f>N46/MAX(BA46,0.5)</f>
        <v/>
      </c>
      <c r="BC46" s="4">
        <f>F46</f>
        <v/>
      </c>
      <c r="BD46" s="3">
        <f>BC46&amp;"|"&amp;INT(M46/SEG_ANIO)*SEG_ANIO</f>
        <v/>
      </c>
      <c r="BE46" s="3">
        <f>BD46&amp;"|"&amp;INT(N46/SEG_KM)*SEG_KM</f>
        <v/>
      </c>
      <c r="BF46" s="4">
        <f>COUNTIF($BC$2:$BC$545,BC46)</f>
        <v/>
      </c>
      <c r="BG46" s="4">
        <f>COUNTIF($BD$2:$BD$545,BD46)</f>
        <v/>
      </c>
      <c r="BH46" s="4">
        <f>COUNTIF($BE$2:$BE$545,BE46)</f>
        <v/>
      </c>
      <c r="BI46" s="3">
        <f t="array" ref="BI46">IF(N(AU46)&gt;=MIN_N,AT46,IF(BH46&gt;=MIN_N,MEDIAN(IF($BE$2:$BE$545=BE46,$O$2:$O$545)),IF(BG46&gt;=MIN_N,MEDIAN(IF($BD$2:$BD$545=BD46,$O$2:$O$545)),MEDIAN(IF($BC$2:$BC$545=BC46,$O$2:$O$545)))))</f>
        <v/>
      </c>
      <c r="BJ46" s="3">
        <f>IF(N(AU46)&gt;=MIN_N,"mercado "&amp;AV46,IF(BH46&gt;=MIN_N,"modelo+año+km",IF(BG46&gt;=MIN_N,"modelo+año","modelo")))</f>
        <v/>
      </c>
      <c r="BK46" s="4">
        <f>(BI46-O46)/BI46</f>
        <v/>
      </c>
      <c r="BL46" s="3">
        <f>IF(COUNTIFS(FR_FUEL,K46,FR_YEAR,AP46)&gt;0,1,0)</f>
        <v/>
      </c>
      <c r="BM46" s="3">
        <f>IF(COUNTIFS(FR_FUEL,K46,FR_YEAR,AP46-1)&gt;0,1,0)</f>
        <v/>
      </c>
      <c r="BN46" s="4">
        <f>IF(N(AQ46)&gt;0,AP46*100+AQ46,IF(AND(BL46=1,BM46=1),(AP46-1)*100+1,AP46*100+1))</f>
        <v/>
      </c>
      <c r="BO46" s="3">
        <f>IF(OR(K46="hibrido",K46="glp",K46="gnc",K46="phev"),"ECO",IF(K46="electrico","CERO",IF(K46="gasolina",IF(BN46&gt;=GAS_C_YM,"C",IF(BN46&gt;=GAS_B_YM,"B","A")),IF(K46="diesel",IF(BN46&gt;=DIE_C_YM,"C",IF(BN46&gt;=DIE_B_YM,"B","A")),""))))</f>
        <v/>
      </c>
      <c r="BP46" s="4">
        <f>BO46</f>
        <v/>
      </c>
      <c r="BQ46" s="4">
        <f>IF(AS46="regla",IF(AND(N(AQ46)=0,BL46=1),"sí","no"),"no")</f>
        <v/>
      </c>
      <c r="BR46" s="3">
        <f>IFERROR(VLOOKUP(F46,MOD_TBL,11,0),IFERROR(VLOOKUP(E46,OCU_TBL,2,0),NEUTRO))</f>
        <v/>
      </c>
      <c r="BS46" s="3">
        <f>SUMIFS(MOT_AJUSTE,MOT_MOTOR,G46,MOT_MARCA,E46,MOT_DESDE,"&lt;="&amp;M46,MOT_HASTA,"&gt;="&amp;M46)+SUMIFS(MOT_AJUSTE,MOT_MOTOR,G46,MOT_MARCA,"(todas)",MOT_DESDE,"&lt;="&amp;M46,MOT_HASTA,"&gt;="&amp;M46)</f>
        <v/>
      </c>
      <c r="BT46" s="3">
        <f>SUMIFS(COMB_AJUSTE,COMB_COMB,K46)</f>
        <v/>
      </c>
      <c r="BU46" s="3">
        <f>COUNTIFS(MOT_MOTOR,G46,MOT_MARCA,E46,MOT_DESDE,"&lt;="&amp;M46,MOT_HASTA,"&gt;="&amp;M46)+COUNTIFS(MOT_MOTOR,G46,MOT_MARCA,"(todas)",MOT_DESDE,"&lt;="&amp;M46,MOT_HASTA,"&gt;="&amp;M46)</f>
        <v/>
      </c>
      <c r="BV46" s="3">
        <f>IF(AND(K46="diesel",BU46=0),MIN(BR46,NEUTRO),BR46)</f>
        <v/>
      </c>
      <c r="BW46" s="4">
        <f>MAX(0,MIN(100,BV46+BS46+BT46))</f>
        <v/>
      </c>
      <c r="BX46" s="3">
        <f>MAX(0,MIN(100,50+BK46*PRECIO_PEND))</f>
        <v/>
      </c>
      <c r="BY46" s="3">
        <f>MAX(0,100*(1-N46/KM_MAX))</f>
        <v/>
      </c>
      <c r="BZ46" s="3">
        <f>IF(BB46&lt;KMA_SOSP,IF(AA46="sí",100,KMA_PEN),IF(BB46&lt;=KMA_IDEAL_MAX,100,MAX(0,100*(KMA_CERO-BB46)/(KMA_CERO-KMA_IDEAL_MAX))))</f>
        <v/>
      </c>
      <c r="CA46" s="3">
        <f>MAX(0,MIN(100,100*(M46-ANIO_MIN)/(ANIO_ACTUAL-ANIO_MIN)))</f>
        <v/>
      </c>
      <c r="CB46" s="3">
        <f>W_KMT*BY46+W_KMA*BZ46+W_EDAD*CA46</f>
        <v/>
      </c>
      <c r="CC46" s="3">
        <f>P_ITV*(V46="sí")+P_LIBRO*(W46="sí")+P_CORREA*(X46="sí")+P_PROP*(Y46=1)+P_GAR*(Z46="sí")+P_FOTOS*MIN(1,N(U46)/FOTOS_OBJ)</f>
        <v/>
      </c>
      <c r="CD46" s="3">
        <f>MAX(0,MIN(100,IFERROR(VLOOKUP(BP46,ETQ_TBL,2,0),0)-IF(BQ46="sí",ETQ_PEN_DUD,IF(AS46="regla",ETQ_PEN_REGLA,0))))</f>
        <v/>
      </c>
      <c r="CE46" s="3">
        <f>NEUTRO</f>
        <v/>
      </c>
      <c r="CF46" s="3">
        <f>IFERROR(VLOOKUP(L46,SEGURO_TBL,3,0),"")</f>
        <v/>
      </c>
      <c r="CG46" s="3">
        <f>IF(CF46="",NEUTRO,MAX(0,MIN(100,100*(SEG_REF_MAX-CF46)/(SEG_REF_MAX-SEG_REF_MIN))))</f>
        <v/>
      </c>
      <c r="CH46" s="3">
        <f>W_CONS*CE46+W_SEG*CG46</f>
        <v/>
      </c>
      <c r="CI46" s="3">
        <f>IF(N(AB46)&gt;0,AB46,IF(AND(R46="profesional",SG_LEGAL_ON=1),GAR_LEGAL,0))</f>
        <v/>
      </c>
      <c r="CJ46" s="3">
        <f>SG_GAR*MIN(1,CI46/SG_GAR_FULL)+SG_AMPL*(AC46="sí")+SG_KMC*(AF46="sí")+SG_REV*(N(AE46)&gt;0)+SG_DEV*MIN(1,N(AG46)/SG_DEV_FULL)+SG_HIST*(W46="sí")</f>
        <v/>
      </c>
      <c r="CK46" s="3">
        <f>IFERROR(VLOOKUP(L46,CARR_PEN_TBL,2,0),0)</f>
        <v/>
      </c>
      <c r="CL46" s="3">
        <f>W_FIAB*BW46+W_PRECIO*BX46+W_KMEDAD*CB46+W_ANUNCIO*CC46+W_USO*CH46+W_SEGURIDAD*CJ46+W_ETIQUETA*CD46-CK46</f>
        <v/>
      </c>
      <c r="CM46" s="4">
        <f>IF(N(I46)&gt;0,I46,IFERROR(ROUND(_xlfn.NUMBERVALUE(LEFT(G46,FIND(" ",G46&amp;" ")-1),".")*1000,0),99999))</f>
        <v/>
      </c>
      <c r="CN46" s="3">
        <f>IF(R46="profesional",0,IF(O46&lt;CUOTA_VALOR_MAX,IF(BA46&gt;ITP_TRAMO_ALTO,SUMIFS(CF_CUOTA,CF_MAS,ITP_TRAMO_ALTO,CF_CCMIN,"&lt;="&amp;CM46,CF_CCMAX,"&gt;="&amp;CM46),IF(BA46&gt;ITP_TRAMO_BAJO,SUMIFS(CF_CUOTA,CF_MAS,ITP_TRAMO_BAJO,CF_CCMIN,"&lt;="&amp;CM46,CF_CCMAX,"&gt;="&amp;CM46),O46*ITP_TIPO)),O46*ITP_TIPO))</f>
        <v/>
      </c>
      <c r="CO46" s="4">
        <f>IF(R46="profesional",N(AK46),0)</f>
        <v/>
      </c>
      <c r="CP46" s="3">
        <f>IF(AND(R46="profesional",ISNUMBER(AK46),AL46="sí"),0,TASA_DGT)</f>
        <v/>
      </c>
      <c r="CQ46" s="3">
        <f>INFORME_DGT</f>
        <v/>
      </c>
      <c r="CR46" s="4">
        <f>O46+CO46+CN46+CP46+CQ46</f>
        <v/>
      </c>
      <c r="CS46" s="4">
        <f>CR46+N(CF46)</f>
        <v/>
      </c>
      <c r="CT46" s="3">
        <f>IF(CR46&lt;=TOTAL_MAX,"sí",IF(CR46&lt;=TOTAL_MAX+MARGEN_NEG,"negociar","no"))</f>
        <v/>
      </c>
      <c r="CU46" s="4">
        <f>IF(CT46&lt;&gt;"no",COUNTIFS($CT$2:$CT$545,"&lt;&gt;no",$CL$2:$CL$545,"&gt;"&amp;CL46)+COUNTIFS($CT$2:CT46,"&lt;&gt;no",$CL$2:CL46,CL46),"")</f>
        <v/>
      </c>
    </row>
    <row r="47">
      <c r="A47" s="2" t="inlineStr">
        <is>
          <t>wallapop:1318834980</t>
        </is>
      </c>
      <c r="B47" s="2" t="inlineStr">
        <is>
          <t>wallapop</t>
        </is>
      </c>
      <c r="C47" s="2" t="inlineStr">
        <is>
          <t>https://es.wallapop.com/item/peugeot-308-2008-1318834980</t>
        </is>
      </c>
      <c r="D47" s="2" t="inlineStr">
        <is>
          <t>Peugeot 308 2008</t>
        </is>
      </c>
      <c r="E47" s="2" t="inlineStr">
        <is>
          <t>Peugeot</t>
        </is>
      </c>
      <c r="F47" s="2" t="inlineStr">
        <is>
          <t>Peugeot 308</t>
        </is>
      </c>
      <c r="G47" s="2" t="inlineStr">
        <is>
          <t>1.6 VTi</t>
        </is>
      </c>
      <c r="H47" s="2" t="inlineStr">
        <is>
          <t>1.6 VTi 120 Sport 5p</t>
        </is>
      </c>
      <c r="I47" s="2" t="n"/>
      <c r="J47" s="2" t="n">
        <v>120</v>
      </c>
      <c r="K47" s="2" t="inlineStr">
        <is>
          <t>gasolina</t>
        </is>
      </c>
      <c r="L47" s="2" t="inlineStr">
        <is>
          <t>compacto</t>
        </is>
      </c>
      <c r="M47" s="2" t="n">
        <v>2008</v>
      </c>
      <c r="N47" s="2" t="n">
        <v>140000</v>
      </c>
      <c r="O47" s="2" t="n">
        <v>3500</v>
      </c>
      <c r="P47" s="2" t="inlineStr">
        <is>
          <t>manual</t>
        </is>
      </c>
      <c r="Q47" s="2" t="inlineStr">
        <is>
          <t>no</t>
        </is>
      </c>
      <c r="R47" s="2" t="inlineStr">
        <is>
          <t>profesional</t>
        </is>
      </c>
      <c r="S47" s="2" t="inlineStr">
        <is>
          <t>Valencia (46014)</t>
        </is>
      </c>
      <c r="T47" s="2" t="inlineStr">
        <is>
          <t>2026-10-30T17:14:43</t>
        </is>
      </c>
      <c r="U47" s="2" t="n">
        <v>14</v>
      </c>
      <c r="V47" s="2" t="n"/>
      <c r="W47" s="2" t="n"/>
      <c r="X47" s="2" t="n"/>
      <c r="Y47" s="2" t="n">
        <v>1</v>
      </c>
      <c r="Z47" s="2" t="n"/>
      <c r="AA47" s="2" t="n"/>
      <c r="AB47" s="2" t="n"/>
      <c r="AC47" s="2" t="n"/>
      <c r="AD47" s="2" t="n"/>
      <c r="AE47" s="2" t="n"/>
      <c r="AF47" s="2" t="n"/>
      <c r="AG47" s="2" t="n"/>
      <c r="AH47" s="2" t="n"/>
      <c r="AI47" s="2" t="n"/>
      <c r="AJ47" s="2" t="n"/>
      <c r="AK47" s="2" t="n"/>
      <c r="AL47" s="2" t="n"/>
      <c r="AM47" s="2" t="n">
        <v>3.3</v>
      </c>
      <c r="AN47" s="2" t="n"/>
      <c r="AO47" s="2" t="inlineStr">
        <is>
          <t>2008</t>
        </is>
      </c>
      <c r="AP47" s="2" t="n">
        <v>2008</v>
      </c>
      <c r="AQ47" s="2" t="n"/>
      <c r="AR47" s="2" t="n"/>
      <c r="AS47" s="2" t="inlineStr">
        <is>
          <t>regla</t>
        </is>
      </c>
      <c r="AT47" s="2" t="n">
        <v>4300</v>
      </c>
      <c r="AU47" s="2" t="n">
        <v>9</v>
      </c>
      <c r="AV47" s="2" t="inlineStr">
        <is>
          <t>modelo+año+km</t>
        </is>
      </c>
      <c r="AW47" s="2" t="n"/>
      <c r="AX47" s="2" t="inlineStr">
        <is>
          <t>vendedor profesional: sin ITP (operación con IVA/REBU, confirmar en factura); gastos de gestión del vendedor no indicados: se suma la tasa DGT; preguntar el precio final</t>
        </is>
      </c>
      <c r="AY47" s="2" t="inlineStr">
        <is>
          <t xml:space="preserve">Hermoso 308 sport muy cuidado y con mantenimientos al día
Motor potente de 120cv 1.6cc gasolina sin turbo y con distribución por cadena, tan solo con 140mil kms, etiqueta C , único propietario 2 llaves, batería nueva </t>
        </is>
      </c>
      <c r="AZ47" s="2" t="inlineStr">
        <is>
          <t>https://es.wallapop.com/item/peugeot-308-2008-1318834980 (__NEXT_DATA__ item) /home/user/Alopecia/buscador-coches/raw/wallapop/3b63e46021db0664.json</t>
        </is>
      </c>
      <c r="BA47" s="3">
        <f>MAX(ANIO_ACTUAL-M47,0)</f>
        <v/>
      </c>
      <c r="BB47" s="4">
        <f>N47/MAX(BA47,0.5)</f>
        <v/>
      </c>
      <c r="BC47" s="4">
        <f>F47</f>
        <v/>
      </c>
      <c r="BD47" s="3">
        <f>BC47&amp;"|"&amp;INT(M47/SEG_ANIO)*SEG_ANIO</f>
        <v/>
      </c>
      <c r="BE47" s="3">
        <f>BD47&amp;"|"&amp;INT(N47/SEG_KM)*SEG_KM</f>
        <v/>
      </c>
      <c r="BF47" s="4">
        <f>COUNTIF($BC$2:$BC$545,BC47)</f>
        <v/>
      </c>
      <c r="BG47" s="4">
        <f>COUNTIF($BD$2:$BD$545,BD47)</f>
        <v/>
      </c>
      <c r="BH47" s="4">
        <f>COUNTIF($BE$2:$BE$545,BE47)</f>
        <v/>
      </c>
      <c r="BI47" s="3">
        <f t="array" ref="BI47">IF(N(AU47)&gt;=MIN_N,AT47,IF(BH47&gt;=MIN_N,MEDIAN(IF($BE$2:$BE$545=BE47,$O$2:$O$545)),IF(BG47&gt;=MIN_N,MEDIAN(IF($BD$2:$BD$545=BD47,$O$2:$O$545)),MEDIAN(IF($BC$2:$BC$545=BC47,$O$2:$O$545)))))</f>
        <v/>
      </c>
      <c r="BJ47" s="3">
        <f>IF(N(AU47)&gt;=MIN_N,"mercado "&amp;AV47,IF(BH47&gt;=MIN_N,"modelo+año+km",IF(BG47&gt;=MIN_N,"modelo+año","modelo")))</f>
        <v/>
      </c>
      <c r="BK47" s="4">
        <f>(BI47-O47)/BI47</f>
        <v/>
      </c>
      <c r="BL47" s="3">
        <f>IF(COUNTIFS(FR_FUEL,K47,FR_YEAR,AP47)&gt;0,1,0)</f>
        <v/>
      </c>
      <c r="BM47" s="3">
        <f>IF(COUNTIFS(FR_FUEL,K47,FR_YEAR,AP47-1)&gt;0,1,0)</f>
        <v/>
      </c>
      <c r="BN47" s="4">
        <f>IF(N(AQ47)&gt;0,AP47*100+AQ47,IF(AND(BL47=1,BM47=1),(AP47-1)*100+1,AP47*100+1))</f>
        <v/>
      </c>
      <c r="BO47" s="3">
        <f>IF(OR(K47="hibrido",K47="glp",K47="gnc",K47="phev"),"ECO",IF(K47="electrico","CERO",IF(K47="gasolina",IF(BN47&gt;=GAS_C_YM,"C",IF(BN47&gt;=GAS_B_YM,"B","A")),IF(K47="diesel",IF(BN47&gt;=DIE_C_YM,"C",IF(BN47&gt;=DIE_B_YM,"B","A")),""))))</f>
        <v/>
      </c>
      <c r="BP47" s="4">
        <f>BO47</f>
        <v/>
      </c>
      <c r="BQ47" s="4">
        <f>IF(AS47="regla",IF(AND(N(AQ47)=0,BL47=1),"sí","no"),"no")</f>
        <v/>
      </c>
      <c r="BR47" s="3">
        <f>IFERROR(VLOOKUP(F47,MOD_TBL,11,0),IFERROR(VLOOKUP(E47,OCU_TBL,2,0),NEUTRO))</f>
        <v/>
      </c>
      <c r="BS47" s="3">
        <f>SUMIFS(MOT_AJUSTE,MOT_MOTOR,G47,MOT_MARCA,E47,MOT_DESDE,"&lt;="&amp;M47,MOT_HASTA,"&gt;="&amp;M47)+SUMIFS(MOT_AJUSTE,MOT_MOTOR,G47,MOT_MARCA,"(todas)",MOT_DESDE,"&lt;="&amp;M47,MOT_HASTA,"&gt;="&amp;M47)</f>
        <v/>
      </c>
      <c r="BT47" s="3">
        <f>SUMIFS(COMB_AJUSTE,COMB_COMB,K47)</f>
        <v/>
      </c>
      <c r="BU47" s="3">
        <f>COUNTIFS(MOT_MOTOR,G47,MOT_MARCA,E47,MOT_DESDE,"&lt;="&amp;M47,MOT_HASTA,"&gt;="&amp;M47)+COUNTIFS(MOT_MOTOR,G47,MOT_MARCA,"(todas)",MOT_DESDE,"&lt;="&amp;M47,MOT_HASTA,"&gt;="&amp;M47)</f>
        <v/>
      </c>
      <c r="BV47" s="3">
        <f>IF(AND(K47="diesel",BU47=0),MIN(BR47,NEUTRO),BR47)</f>
        <v/>
      </c>
      <c r="BW47" s="4">
        <f>MAX(0,MIN(100,BV47+BS47+BT47))</f>
        <v/>
      </c>
      <c r="BX47" s="3">
        <f>MAX(0,MIN(100,50+BK47*PRECIO_PEND))</f>
        <v/>
      </c>
      <c r="BY47" s="3">
        <f>MAX(0,100*(1-N47/KM_MAX))</f>
        <v/>
      </c>
      <c r="BZ47" s="3">
        <f>IF(BB47&lt;KMA_SOSP,IF(AA47="sí",100,KMA_PEN),IF(BB47&lt;=KMA_IDEAL_MAX,100,MAX(0,100*(KMA_CERO-BB47)/(KMA_CERO-KMA_IDEAL_MAX))))</f>
        <v/>
      </c>
      <c r="CA47" s="3">
        <f>MAX(0,MIN(100,100*(M47-ANIO_MIN)/(ANIO_ACTUAL-ANIO_MIN)))</f>
        <v/>
      </c>
      <c r="CB47" s="3">
        <f>W_KMT*BY47+W_KMA*BZ47+W_EDAD*CA47</f>
        <v/>
      </c>
      <c r="CC47" s="3">
        <f>P_ITV*(V47="sí")+P_LIBRO*(W47="sí")+P_CORREA*(X47="sí")+P_PROP*(Y47=1)+P_GAR*(Z47="sí")+P_FOTOS*MIN(1,N(U47)/FOTOS_OBJ)</f>
        <v/>
      </c>
      <c r="CD47" s="3">
        <f>MAX(0,MIN(100,IFERROR(VLOOKUP(BP47,ETQ_TBL,2,0),0)-IF(BQ47="sí",ETQ_PEN_DUD,IF(AS47="regla",ETQ_PEN_REGLA,0))))</f>
        <v/>
      </c>
      <c r="CE47" s="3">
        <f>NEUTRO</f>
        <v/>
      </c>
      <c r="CF47" s="3">
        <f>IFERROR(VLOOKUP(L47,SEGURO_TBL,3,0),"")</f>
        <v/>
      </c>
      <c r="CG47" s="3">
        <f>IF(CF47="",NEUTRO,MAX(0,MIN(100,100*(SEG_REF_MAX-CF47)/(SEG_REF_MAX-SEG_REF_MIN))))</f>
        <v/>
      </c>
      <c r="CH47" s="3">
        <f>W_CONS*CE47+W_SEG*CG47</f>
        <v/>
      </c>
      <c r="CI47" s="3">
        <f>IF(N(AB47)&gt;0,AB47,IF(AND(R47="profesional",SG_LEGAL_ON=1),GAR_LEGAL,0))</f>
        <v/>
      </c>
      <c r="CJ47" s="3">
        <f>SG_GAR*MIN(1,CI47/SG_GAR_FULL)+SG_AMPL*(AC47="sí")+SG_KMC*(AF47="sí")+SG_REV*(N(AE47)&gt;0)+SG_DEV*MIN(1,N(AG47)/SG_DEV_FULL)+SG_HIST*(W47="sí")</f>
        <v/>
      </c>
      <c r="CK47" s="3">
        <f>IFERROR(VLOOKUP(L47,CARR_PEN_TBL,2,0),0)</f>
        <v/>
      </c>
      <c r="CL47" s="3">
        <f>W_FIAB*BW47+W_PRECIO*BX47+W_KMEDAD*CB47+W_ANUNCIO*CC47+W_USO*CH47+W_SEGURIDAD*CJ47+W_ETIQUETA*CD47-CK47</f>
        <v/>
      </c>
      <c r="CM47" s="4">
        <f>IF(N(I47)&gt;0,I47,IFERROR(ROUND(_xlfn.NUMBERVALUE(LEFT(G47,FIND(" ",G47&amp;" ")-1),".")*1000,0),99999))</f>
        <v/>
      </c>
      <c r="CN47" s="3">
        <f>IF(R47="profesional",0,IF(O47&lt;CUOTA_VALOR_MAX,IF(BA47&gt;ITP_TRAMO_ALTO,SUMIFS(CF_CUOTA,CF_MAS,ITP_TRAMO_ALTO,CF_CCMIN,"&lt;="&amp;CM47,CF_CCMAX,"&gt;="&amp;CM47),IF(BA47&gt;ITP_TRAMO_BAJO,SUMIFS(CF_CUOTA,CF_MAS,ITP_TRAMO_BAJO,CF_CCMIN,"&lt;="&amp;CM47,CF_CCMAX,"&gt;="&amp;CM47),O47*ITP_TIPO)),O47*ITP_TIPO))</f>
        <v/>
      </c>
      <c r="CO47" s="4">
        <f>IF(R47="profesional",N(AK47),0)</f>
        <v/>
      </c>
      <c r="CP47" s="3">
        <f>IF(AND(R47="profesional",ISNUMBER(AK47),AL47="sí"),0,TASA_DGT)</f>
        <v/>
      </c>
      <c r="CQ47" s="3">
        <f>INFORME_DGT</f>
        <v/>
      </c>
      <c r="CR47" s="4">
        <f>O47+CO47+CN47+CP47+CQ47</f>
        <v/>
      </c>
      <c r="CS47" s="4">
        <f>CR47+N(CF47)</f>
        <v/>
      </c>
      <c r="CT47" s="3">
        <f>IF(CR47&lt;=TOTAL_MAX,"sí",IF(CR47&lt;=TOTAL_MAX+MARGEN_NEG,"negociar","no"))</f>
        <v/>
      </c>
      <c r="CU47" s="4">
        <f>IF(CT47&lt;&gt;"no",COUNTIFS($CT$2:$CT$545,"&lt;&gt;no",$CL$2:$CL$545,"&gt;"&amp;CL47)+COUNTIFS($CT$2:CT47,"&lt;&gt;no",$CL$2:CL47,CL47),"")</f>
        <v/>
      </c>
    </row>
    <row r="48">
      <c r="A48" s="2" t="inlineStr">
        <is>
          <t>wallapop:1313565029</t>
        </is>
      </c>
      <c r="B48" s="2" t="inlineStr">
        <is>
          <t>wallapop</t>
        </is>
      </c>
      <c r="C48" s="2" t="inlineStr">
        <is>
          <t>https://es.wallapop.com/item/peugeot-308-1-6-vti-120cv-solo-126-000-km-itv-1313565029</t>
        </is>
      </c>
      <c r="D48" s="2" t="inlineStr">
        <is>
          <t>Peugeot 308 1.6 VTi 120cv | ¡Solo 126.000 km! ITV</t>
        </is>
      </c>
      <c r="E48" s="2" t="inlineStr">
        <is>
          <t>Peugeot</t>
        </is>
      </c>
      <c r="F48" s="2" t="inlineStr">
        <is>
          <t>Peugeot 308</t>
        </is>
      </c>
      <c r="G48" s="2" t="inlineStr">
        <is>
          <t>1.6 VTi</t>
        </is>
      </c>
      <c r="H48" s="2" t="inlineStr">
        <is>
          <t>1.6 VTi 120 Confort 5p</t>
        </is>
      </c>
      <c r="I48" s="2" t="n"/>
      <c r="J48" s="2" t="n">
        <v>120</v>
      </c>
      <c r="K48" s="2" t="inlineStr">
        <is>
          <t>gasolina</t>
        </is>
      </c>
      <c r="L48" s="2" t="inlineStr">
        <is>
          <t>compacto</t>
        </is>
      </c>
      <c r="M48" s="2" t="n">
        <v>2008</v>
      </c>
      <c r="N48" s="2" t="n">
        <v>126000</v>
      </c>
      <c r="O48" s="2" t="n">
        <v>2999</v>
      </c>
      <c r="P48" s="2" t="inlineStr">
        <is>
          <t>manual</t>
        </is>
      </c>
      <c r="Q48" s="2" t="inlineStr">
        <is>
          <t>no</t>
        </is>
      </c>
      <c r="R48" s="2" t="inlineStr">
        <is>
          <t>particular</t>
        </is>
      </c>
      <c r="S48" s="2" t="inlineStr">
        <is>
          <t>Valencia (46021)</t>
        </is>
      </c>
      <c r="T48" s="2" t="inlineStr">
        <is>
          <t>2026-10-29T09:07:31</t>
        </is>
      </c>
      <c r="U48" s="2" t="n">
        <v>10</v>
      </c>
      <c r="V48" s="2" t="inlineStr">
        <is>
          <t>sí</t>
        </is>
      </c>
      <c r="W48" s="2" t="n"/>
      <c r="X48" s="2" t="n"/>
      <c r="Y48" s="2" t="n"/>
      <c r="Z48" s="2" t="n"/>
      <c r="AA48" s="2" t="n"/>
      <c r="AB48" s="2" t="n"/>
      <c r="AC48" s="2" t="n"/>
      <c r="AD48" s="2" t="n"/>
      <c r="AE48" s="2" t="n"/>
      <c r="AF48" s="2" t="n"/>
      <c r="AG48" s="2" t="n"/>
      <c r="AH48" s="2" t="n"/>
      <c r="AI48" s="2" t="n"/>
      <c r="AJ48" s="2" t="n"/>
      <c r="AK48" s="2" t="n"/>
      <c r="AL48" s="2" t="n"/>
      <c r="AM48" s="2" t="n">
        <v>2.5</v>
      </c>
      <c r="AN48" s="2" t="n"/>
      <c r="AO48" s="2" t="inlineStr">
        <is>
          <t>2008</t>
        </is>
      </c>
      <c r="AP48" s="2" t="n">
        <v>2008</v>
      </c>
      <c r="AQ48" s="2" t="n"/>
      <c r="AR48" s="2" t="n"/>
      <c r="AS48" s="2" t="inlineStr">
        <is>
          <t>regla</t>
        </is>
      </c>
      <c r="AT48" s="2" t="n">
        <v>4300</v>
      </c>
      <c r="AU48" s="2" t="n">
        <v>9</v>
      </c>
      <c r="AV48" s="2" t="inlineStr">
        <is>
          <t>modelo+año+km</t>
        </is>
      </c>
      <c r="AW48" s="2" t="inlineStr">
        <is>
          <t>cochesnet:71804396 (https://www.coches.net/peugeot-308-premium-16-vti-120-5p-gasolina-2008-en-valencia-71804396-covo.aspx)</t>
        </is>
      </c>
      <c r="AX48" s="2" t="inlineStr">
        <is>
          <t>cuota fija ITP: &gt;12 años, 1.501-2.000 cc</t>
        </is>
      </c>
      <c r="AY48" s="2" t="inlineStr">
        <is>
          <t xml:space="preserve">Vendo Peugeot 308 1.6 VTi de gasolina con 120 cv y solo 120.000 kilómetros reales y certificados. Yo soy segundo propietario. ITV hasta marzo de 2026. Neumaticos delanteros de marzo 2026 y traseros en excelente estado. El coche mecánicamente está impecable, va finísimo y tiene los mantenimientos totalmente al día. Lleva motor con distribución por cadena (muy fiable, te olvidas de cambiar la correa).
Coche totalmente libre de inundaciones o siniestros (DANA). Siempre resguardado.
* Etiqueta C (Verde): Sin restricciones para circular por la ZBE de Valencia.
* Kilometraje: 120.000 km reales. Año 2008 (Matrícula GBS).
* Estado mecánico: ITV en vigor, neumáticos en buen estado y revisiones al día. Listo para llevar y usar desde el primer día sin gastar nada.
* Estado estético: El interior está muy limpio y cuidado. Por fuera tiene algunos rayones típicos del uso diario y de aparcar (nada grave, se ve en las fotos), de ahí que el precio esté ajustado.
* Equipamiento: Climatizador, control de crucero/velocidad, elevalunas eléctricos, ordenador de a bordo.
Se puede ver en Valencia capital y acepto cualquier tipo de prueba mecánica para verificar su excelente estado de motor. Disponibilidad inmediata para transferir. No cambios. </t>
        </is>
      </c>
      <c r="AZ48" s="2" t="inlineStr">
        <is>
          <t>https://es.wallapop.com/item/peugeot-308-1-6-vti-120cv-solo-126-000-km-itv-1313565029 (__NEXT_DATA__ item) /home/user/Alopecia/buscador-coches/raw/wallapop/ffa1b5093b40cc76.json</t>
        </is>
      </c>
      <c r="BA48" s="3">
        <f>MAX(ANIO_ACTUAL-M48,0)</f>
        <v/>
      </c>
      <c r="BB48" s="4">
        <f>N48/MAX(BA48,0.5)</f>
        <v/>
      </c>
      <c r="BC48" s="4">
        <f>F48</f>
        <v/>
      </c>
      <c r="BD48" s="3">
        <f>BC48&amp;"|"&amp;INT(M48/SEG_ANIO)*SEG_ANIO</f>
        <v/>
      </c>
      <c r="BE48" s="3">
        <f>BD48&amp;"|"&amp;INT(N48/SEG_KM)*SEG_KM</f>
        <v/>
      </c>
      <c r="BF48" s="4">
        <f>COUNTIF($BC$2:$BC$545,BC48)</f>
        <v/>
      </c>
      <c r="BG48" s="4">
        <f>COUNTIF($BD$2:$BD$545,BD48)</f>
        <v/>
      </c>
      <c r="BH48" s="4">
        <f>COUNTIF($BE$2:$BE$545,BE48)</f>
        <v/>
      </c>
      <c r="BI48" s="3">
        <f t="array" ref="BI48">IF(N(AU48)&gt;=MIN_N,AT48,IF(BH48&gt;=MIN_N,MEDIAN(IF($BE$2:$BE$545=BE48,$O$2:$O$545)),IF(BG48&gt;=MIN_N,MEDIAN(IF($BD$2:$BD$545=BD48,$O$2:$O$545)),MEDIAN(IF($BC$2:$BC$545=BC48,$O$2:$O$545)))))</f>
        <v/>
      </c>
      <c r="BJ48" s="3">
        <f>IF(N(AU48)&gt;=MIN_N,"mercado "&amp;AV48,IF(BH48&gt;=MIN_N,"modelo+año+km",IF(BG48&gt;=MIN_N,"modelo+año","modelo")))</f>
        <v/>
      </c>
      <c r="BK48" s="4">
        <f>(BI48-O48)/BI48</f>
        <v/>
      </c>
      <c r="BL48" s="3">
        <f>IF(COUNTIFS(FR_FUEL,K48,FR_YEAR,AP48)&gt;0,1,0)</f>
        <v/>
      </c>
      <c r="BM48" s="3">
        <f>IF(COUNTIFS(FR_FUEL,K48,FR_YEAR,AP48-1)&gt;0,1,0)</f>
        <v/>
      </c>
      <c r="BN48" s="4">
        <f>IF(N(AQ48)&gt;0,AP48*100+AQ48,IF(AND(BL48=1,BM48=1),(AP48-1)*100+1,AP48*100+1))</f>
        <v/>
      </c>
      <c r="BO48" s="3">
        <f>IF(OR(K48="hibrido",K48="glp",K48="gnc",K48="phev"),"ECO",IF(K48="electrico","CERO",IF(K48="gasolina",IF(BN48&gt;=GAS_C_YM,"C",IF(BN48&gt;=GAS_B_YM,"B","A")),IF(K48="diesel",IF(BN48&gt;=DIE_C_YM,"C",IF(BN48&gt;=DIE_B_YM,"B","A")),""))))</f>
        <v/>
      </c>
      <c r="BP48" s="4">
        <f>BO48</f>
        <v/>
      </c>
      <c r="BQ48" s="4">
        <f>IF(AS48="regla",IF(AND(N(AQ48)=0,BL48=1),"sí","no"),"no")</f>
        <v/>
      </c>
      <c r="BR48" s="3">
        <f>IFERROR(VLOOKUP(F48,MOD_TBL,11,0),IFERROR(VLOOKUP(E48,OCU_TBL,2,0),NEUTRO))</f>
        <v/>
      </c>
      <c r="BS48" s="3">
        <f>SUMIFS(MOT_AJUSTE,MOT_MOTOR,G48,MOT_MARCA,E48,MOT_DESDE,"&lt;="&amp;M48,MOT_HASTA,"&gt;="&amp;M48)+SUMIFS(MOT_AJUSTE,MOT_MOTOR,G48,MOT_MARCA,"(todas)",MOT_DESDE,"&lt;="&amp;M48,MOT_HASTA,"&gt;="&amp;M48)</f>
        <v/>
      </c>
      <c r="BT48" s="3">
        <f>SUMIFS(COMB_AJUSTE,COMB_COMB,K48)</f>
        <v/>
      </c>
      <c r="BU48" s="3">
        <f>COUNTIFS(MOT_MOTOR,G48,MOT_MARCA,E48,MOT_DESDE,"&lt;="&amp;M48,MOT_HASTA,"&gt;="&amp;M48)+COUNTIFS(MOT_MOTOR,G48,MOT_MARCA,"(todas)",MOT_DESDE,"&lt;="&amp;M48,MOT_HASTA,"&gt;="&amp;M48)</f>
        <v/>
      </c>
      <c r="BV48" s="3">
        <f>IF(AND(K48="diesel",BU48=0),MIN(BR48,NEUTRO),BR48)</f>
        <v/>
      </c>
      <c r="BW48" s="4">
        <f>MAX(0,MIN(100,BV48+BS48+BT48))</f>
        <v/>
      </c>
      <c r="BX48" s="3">
        <f>MAX(0,MIN(100,50+BK48*PRECIO_PEND))</f>
        <v/>
      </c>
      <c r="BY48" s="3">
        <f>MAX(0,100*(1-N48/KM_MAX))</f>
        <v/>
      </c>
      <c r="BZ48" s="3">
        <f>IF(BB48&lt;KMA_SOSP,IF(AA48="sí",100,KMA_PEN),IF(BB48&lt;=KMA_IDEAL_MAX,100,MAX(0,100*(KMA_CERO-BB48)/(KMA_CERO-KMA_IDEAL_MAX))))</f>
        <v/>
      </c>
      <c r="CA48" s="3">
        <f>MAX(0,MIN(100,100*(M48-ANIO_MIN)/(ANIO_ACTUAL-ANIO_MIN)))</f>
        <v/>
      </c>
      <c r="CB48" s="3">
        <f>W_KMT*BY48+W_KMA*BZ48+W_EDAD*CA48</f>
        <v/>
      </c>
      <c r="CC48" s="3">
        <f>P_ITV*(V48="sí")+P_LIBRO*(W48="sí")+P_CORREA*(X48="sí")+P_PROP*(Y48=1)+P_GAR*(Z48="sí")+P_FOTOS*MIN(1,N(U48)/FOTOS_OBJ)</f>
        <v/>
      </c>
      <c r="CD48" s="3">
        <f>MAX(0,MIN(100,IFERROR(VLOOKUP(BP48,ETQ_TBL,2,0),0)-IF(BQ48="sí",ETQ_PEN_DUD,IF(AS48="regla",ETQ_PEN_REGLA,0))))</f>
        <v/>
      </c>
      <c r="CE48" s="3">
        <f>NEUTRO</f>
        <v/>
      </c>
      <c r="CF48" s="3">
        <f>IFERROR(VLOOKUP(L48,SEGURO_TBL,3,0),"")</f>
        <v/>
      </c>
      <c r="CG48" s="3">
        <f>IF(CF48="",NEUTRO,MAX(0,MIN(100,100*(SEG_REF_MAX-CF48)/(SEG_REF_MAX-SEG_REF_MIN))))</f>
        <v/>
      </c>
      <c r="CH48" s="3">
        <f>W_CONS*CE48+W_SEG*CG48</f>
        <v/>
      </c>
      <c r="CI48" s="3">
        <f>IF(N(AB48)&gt;0,AB48,IF(AND(R48="profesional",SG_LEGAL_ON=1),GAR_LEGAL,0))</f>
        <v/>
      </c>
      <c r="CJ48" s="3">
        <f>SG_GAR*MIN(1,CI48/SG_GAR_FULL)+SG_AMPL*(AC48="sí")+SG_KMC*(AF48="sí")+SG_REV*(N(AE48)&gt;0)+SG_DEV*MIN(1,N(AG48)/SG_DEV_FULL)+SG_HIST*(W48="sí")</f>
        <v/>
      </c>
      <c r="CK48" s="3">
        <f>IFERROR(VLOOKUP(L48,CARR_PEN_TBL,2,0),0)</f>
        <v/>
      </c>
      <c r="CL48" s="3">
        <f>W_FIAB*BW48+W_PRECIO*BX48+W_KMEDAD*CB48+W_ANUNCIO*CC48+W_USO*CH48+W_SEGURIDAD*CJ48+W_ETIQUETA*CD48-CK48</f>
        <v/>
      </c>
      <c r="CM48" s="4">
        <f>IF(N(I48)&gt;0,I48,IFERROR(ROUND(_xlfn.NUMBERVALUE(LEFT(G48,FIND(" ",G48&amp;" ")-1),".")*1000,0),99999))</f>
        <v/>
      </c>
      <c r="CN48" s="3">
        <f>IF(R48="profesional",0,IF(O48&lt;CUOTA_VALOR_MAX,IF(BA48&gt;ITP_TRAMO_ALTO,SUMIFS(CF_CUOTA,CF_MAS,ITP_TRAMO_ALTO,CF_CCMIN,"&lt;="&amp;CM48,CF_CCMAX,"&gt;="&amp;CM48),IF(BA48&gt;ITP_TRAMO_BAJO,SUMIFS(CF_CUOTA,CF_MAS,ITP_TRAMO_BAJO,CF_CCMIN,"&lt;="&amp;CM48,CF_CCMAX,"&gt;="&amp;CM48),O48*ITP_TIPO)),O48*ITP_TIPO))</f>
        <v/>
      </c>
      <c r="CO48" s="4">
        <f>IF(R48="profesional",N(AK48),0)</f>
        <v/>
      </c>
      <c r="CP48" s="3">
        <f>IF(AND(R48="profesional",ISNUMBER(AK48),AL48="sí"),0,TASA_DGT)</f>
        <v/>
      </c>
      <c r="CQ48" s="3">
        <f>INFORME_DGT</f>
        <v/>
      </c>
      <c r="CR48" s="4">
        <f>O48+CO48+CN48+CP48+CQ48</f>
        <v/>
      </c>
      <c r="CS48" s="4">
        <f>CR48+N(CF48)</f>
        <v/>
      </c>
      <c r="CT48" s="3">
        <f>IF(CR48&lt;=TOTAL_MAX,"sí",IF(CR48&lt;=TOTAL_MAX+MARGEN_NEG,"negociar","no"))</f>
        <v/>
      </c>
      <c r="CU48" s="4">
        <f>IF(CT48&lt;&gt;"no",COUNTIFS($CT$2:$CT$545,"&lt;&gt;no",$CL$2:$CL$545,"&gt;"&amp;CL48)+COUNTIFS($CT$2:CT48,"&lt;&gt;no",$CL$2:CL48,CL48),"")</f>
        <v/>
      </c>
    </row>
    <row r="49">
      <c r="A49" s="2" t="inlineStr">
        <is>
          <t>wallapop:1311163176</t>
        </is>
      </c>
      <c r="B49" s="2" t="inlineStr">
        <is>
          <t>wallapop</t>
        </is>
      </c>
      <c r="C49" s="2" t="inlineStr">
        <is>
          <t>https://es.wallapop.com/item/ford-ka-2014-1311163176</t>
        </is>
      </c>
      <c r="D49" s="2" t="inlineStr">
        <is>
          <t>Ford Ka 2014</t>
        </is>
      </c>
      <c r="E49" s="2" t="inlineStr">
        <is>
          <t>Ford</t>
        </is>
      </c>
      <c r="F49" s="2" t="inlineStr">
        <is>
          <t>Ford Ka</t>
        </is>
      </c>
      <c r="G49" s="2" t="inlineStr">
        <is>
          <t>1.2</t>
        </is>
      </c>
      <c r="H49" s="2" t="inlineStr">
        <is>
          <t>1.2 69 Urban 3p S/S</t>
        </is>
      </c>
      <c r="I49" s="2" t="n"/>
      <c r="J49" s="2" t="n">
        <v>69</v>
      </c>
      <c r="K49" s="2" t="inlineStr">
        <is>
          <t>gasolina</t>
        </is>
      </c>
      <c r="L49" s="2" t="inlineStr">
        <is>
          <t>utilitario</t>
        </is>
      </c>
      <c r="M49" s="2" t="n">
        <v>2014</v>
      </c>
      <c r="N49" s="2" t="n">
        <v>177000</v>
      </c>
      <c r="O49" s="2" t="n">
        <v>4200</v>
      </c>
      <c r="P49" s="2" t="inlineStr">
        <is>
          <t>manual</t>
        </is>
      </c>
      <c r="Q49" s="2" t="inlineStr">
        <is>
          <t>no</t>
        </is>
      </c>
      <c r="R49" s="2" t="inlineStr">
        <is>
          <t>particular</t>
        </is>
      </c>
      <c r="S49" s="2" t="inlineStr">
        <is>
          <t>Valencia (46002)</t>
        </is>
      </c>
      <c r="T49" s="2" t="inlineStr">
        <is>
          <t>2026-10-13T00:21:09</t>
        </is>
      </c>
      <c r="U49" s="2" t="n">
        <v>7</v>
      </c>
      <c r="V49" s="2" t="inlineStr">
        <is>
          <t>sí</t>
        </is>
      </c>
      <c r="W49" s="2" t="n"/>
      <c r="X49" s="2" t="inlineStr">
        <is>
          <t>sí</t>
        </is>
      </c>
      <c r="Y49" s="2" t="n"/>
      <c r="Z49" s="2" t="n"/>
      <c r="AA49" s="2" t="n"/>
      <c r="AB49" s="2" t="n"/>
      <c r="AC49" s="2" t="n"/>
      <c r="AD49" s="2" t="n"/>
      <c r="AE49" s="2" t="n"/>
      <c r="AF49" s="2" t="n"/>
      <c r="AG49" s="2" t="n"/>
      <c r="AH49" s="2" t="n"/>
      <c r="AI49" s="2" t="n"/>
      <c r="AJ49" s="2" t="n"/>
      <c r="AK49" s="2" t="n"/>
      <c r="AL49" s="2" t="n"/>
      <c r="AM49" s="2" t="n">
        <v>0.8</v>
      </c>
      <c r="AN49" s="2" t="inlineStr">
        <is>
          <t>0000KMS</t>
        </is>
      </c>
      <c r="AO49" s="2" t="inlineStr">
        <is>
          <t>2014</t>
        </is>
      </c>
      <c r="AP49" s="2" t="n">
        <v>2014</v>
      </c>
      <c r="AQ49" s="2" t="n"/>
      <c r="AR49" s="2" t="inlineStr">
        <is>
          <t>C</t>
        </is>
      </c>
      <c r="AS49" s="2" t="inlineStr">
        <is>
          <t>DGT</t>
        </is>
      </c>
      <c r="AT49" s="2" t="n">
        <v>4990</v>
      </c>
      <c r="AU49" s="2" t="n">
        <v>7</v>
      </c>
      <c r="AV49" s="2" t="inlineStr">
        <is>
          <t>modelo+año</t>
        </is>
      </c>
      <c r="AW49" s="2" t="n"/>
      <c r="AX49" s="2" t="inlineStr">
        <is>
          <t>cuota fija ITP: &gt;5 y &lt;=12 años, hasta 1.500 cc; fiabilidad del modelo PENDIENTE de fuente (puntuación neutra)</t>
        </is>
      </c>
      <c r="AY49" s="2" t="inlineStr">
        <is>
          <t xml:space="preserve">Coche en perfecto estado, ITV al dia, funciona todo, aire acondicionado, Navegador GPS, elevalunas eléctrico, star and stop, se usa todos los días, gasta poco, el seguro es barato y se aparca fácil, muy bien de chapa y pintura. Ruedas traser nuevas hace 2.000 kms, delanteras bastante nuevas, aceite y mantenimientos todo al dia, correa distribucion hecha hace 30.0000 kms, listo para rodar muchos Kilometros. </t>
        </is>
      </c>
      <c r="AZ49" s="2" t="inlineStr">
        <is>
          <t>https://es.wallapop.com/item/ford-ka-2014-1311163176 (__NEXT_DATA__ item) /home/user/Alopecia/buscador-coches/raw/wallapop/ab3adf6bda39cb9c.json</t>
        </is>
      </c>
      <c r="BA49" s="3">
        <f>MAX(ANIO_ACTUAL-M49,0)</f>
        <v/>
      </c>
      <c r="BB49" s="4">
        <f>N49/MAX(BA49,0.5)</f>
        <v/>
      </c>
      <c r="BC49" s="4">
        <f>F49</f>
        <v/>
      </c>
      <c r="BD49" s="3">
        <f>BC49&amp;"|"&amp;INT(M49/SEG_ANIO)*SEG_ANIO</f>
        <v/>
      </c>
      <c r="BE49" s="3">
        <f>BD49&amp;"|"&amp;INT(N49/SEG_KM)*SEG_KM</f>
        <v/>
      </c>
      <c r="BF49" s="4">
        <f>COUNTIF($BC$2:$BC$545,BC49)</f>
        <v/>
      </c>
      <c r="BG49" s="4">
        <f>COUNTIF($BD$2:$BD$545,BD49)</f>
        <v/>
      </c>
      <c r="BH49" s="4">
        <f>COUNTIF($BE$2:$BE$545,BE49)</f>
        <v/>
      </c>
      <c r="BI49" s="3">
        <f t="array" ref="BI49">IF(N(AU49)&gt;=MIN_N,AT49,IF(BH49&gt;=MIN_N,MEDIAN(IF($BE$2:$BE$545=BE49,$O$2:$O$545)),IF(BG49&gt;=MIN_N,MEDIAN(IF($BD$2:$BD$545=BD49,$O$2:$O$545)),MEDIAN(IF($BC$2:$BC$545=BC49,$O$2:$O$545)))))</f>
        <v/>
      </c>
      <c r="BJ49" s="3">
        <f>IF(N(AU49)&gt;=MIN_N,"mercado "&amp;AV49,IF(BH49&gt;=MIN_N,"modelo+año+km",IF(BG49&gt;=MIN_N,"modelo+año","modelo")))</f>
        <v/>
      </c>
      <c r="BK49" s="4">
        <f>(BI49-O49)/BI49</f>
        <v/>
      </c>
      <c r="BL49" s="3">
        <f>IF(COUNTIFS(FR_FUEL,K49,FR_YEAR,AP49)&gt;0,1,0)</f>
        <v/>
      </c>
      <c r="BM49" s="3">
        <f>IF(COUNTIFS(FR_FUEL,K49,FR_YEAR,AP49-1)&gt;0,1,0)</f>
        <v/>
      </c>
      <c r="BN49" s="4">
        <f>IF(N(AQ49)&gt;0,AP49*100+AQ49,IF(AND(BL49=1,BM49=1),(AP49-1)*100+1,AP49*100+1))</f>
        <v/>
      </c>
      <c r="BO49" s="3">
        <f>IF(OR(K49="hibrido",K49="glp",K49="gnc",K49="phev"),"ECO",IF(K49="electrico","CERO",IF(K49="gasolina",IF(BN49&gt;=GAS_C_YM,"C",IF(BN49&gt;=GAS_B_YM,"B","A")),IF(K49="diesel",IF(BN49&gt;=DIE_C_YM,"C",IF(BN49&gt;=DIE_B_YM,"B","A")),""))))</f>
        <v/>
      </c>
      <c r="BP49" s="2" t="inlineStr">
        <is>
          <t>C</t>
        </is>
      </c>
      <c r="BQ49" s="4">
        <f>IF(AS49="regla",IF(AND(N(AQ49)=0,BL49=1),"sí","no"),"no")</f>
        <v/>
      </c>
      <c r="BR49" s="3">
        <f>IFERROR(VLOOKUP(F49,MOD_TBL,11,0),IFERROR(VLOOKUP(E49,OCU_TBL,2,0),NEUTRO))</f>
        <v/>
      </c>
      <c r="BS49" s="3">
        <f>SUMIFS(MOT_AJUSTE,MOT_MOTOR,G49,MOT_MARCA,E49,MOT_DESDE,"&lt;="&amp;M49,MOT_HASTA,"&gt;="&amp;M49)+SUMIFS(MOT_AJUSTE,MOT_MOTOR,G49,MOT_MARCA,"(todas)",MOT_DESDE,"&lt;="&amp;M49,MOT_HASTA,"&gt;="&amp;M49)</f>
        <v/>
      </c>
      <c r="BT49" s="3">
        <f>SUMIFS(COMB_AJUSTE,COMB_COMB,K49)</f>
        <v/>
      </c>
      <c r="BU49" s="3">
        <f>COUNTIFS(MOT_MOTOR,G49,MOT_MARCA,E49,MOT_DESDE,"&lt;="&amp;M49,MOT_HASTA,"&gt;="&amp;M49)+COUNTIFS(MOT_MOTOR,G49,MOT_MARCA,"(todas)",MOT_DESDE,"&lt;="&amp;M49,MOT_HASTA,"&gt;="&amp;M49)</f>
        <v/>
      </c>
      <c r="BV49" s="3">
        <f>IF(AND(K49="diesel",BU49=0),MIN(BR49,NEUTRO),BR49)</f>
        <v/>
      </c>
      <c r="BW49" s="4">
        <f>MAX(0,MIN(100,BV49+BS49+BT49))</f>
        <v/>
      </c>
      <c r="BX49" s="3">
        <f>MAX(0,MIN(100,50+BK49*PRECIO_PEND))</f>
        <v/>
      </c>
      <c r="BY49" s="3">
        <f>MAX(0,100*(1-N49/KM_MAX))</f>
        <v/>
      </c>
      <c r="BZ49" s="3">
        <f>IF(BB49&lt;KMA_SOSP,IF(AA49="sí",100,KMA_PEN),IF(BB49&lt;=KMA_IDEAL_MAX,100,MAX(0,100*(KMA_CERO-BB49)/(KMA_CERO-KMA_IDEAL_MAX))))</f>
        <v/>
      </c>
      <c r="CA49" s="3">
        <f>MAX(0,MIN(100,100*(M49-ANIO_MIN)/(ANIO_ACTUAL-ANIO_MIN)))</f>
        <v/>
      </c>
      <c r="CB49" s="3">
        <f>W_KMT*BY49+W_KMA*BZ49+W_EDAD*CA49</f>
        <v/>
      </c>
      <c r="CC49" s="3">
        <f>P_ITV*(V49="sí")+P_LIBRO*(W49="sí")+P_CORREA*(X49="sí")+P_PROP*(Y49=1)+P_GAR*(Z49="sí")+P_FOTOS*MIN(1,N(U49)/FOTOS_OBJ)</f>
        <v/>
      </c>
      <c r="CD49" s="3">
        <f>MAX(0,MIN(100,IFERROR(VLOOKUP(BP49,ETQ_TBL,2,0),0)-IF(BQ49="sí",ETQ_PEN_DUD,IF(AS49="regla",ETQ_PEN_REGLA,0))))</f>
        <v/>
      </c>
      <c r="CE49" s="3">
        <f>NEUTRO</f>
        <v/>
      </c>
      <c r="CF49" s="3">
        <f>IFERROR(VLOOKUP(L49,SEGURO_TBL,3,0),"")</f>
        <v/>
      </c>
      <c r="CG49" s="3">
        <f>IF(CF49="",NEUTRO,MAX(0,MIN(100,100*(SEG_REF_MAX-CF49)/(SEG_REF_MAX-SEG_REF_MIN))))</f>
        <v/>
      </c>
      <c r="CH49" s="3">
        <f>W_CONS*CE49+W_SEG*CG49</f>
        <v/>
      </c>
      <c r="CI49" s="3">
        <f>IF(N(AB49)&gt;0,AB49,IF(AND(R49="profesional",SG_LEGAL_ON=1),GAR_LEGAL,0))</f>
        <v/>
      </c>
      <c r="CJ49" s="3">
        <f>SG_GAR*MIN(1,CI49/SG_GAR_FULL)+SG_AMPL*(AC49="sí")+SG_KMC*(AF49="sí")+SG_REV*(N(AE49)&gt;0)+SG_DEV*MIN(1,N(AG49)/SG_DEV_FULL)+SG_HIST*(W49="sí")</f>
        <v/>
      </c>
      <c r="CK49" s="3">
        <f>IFERROR(VLOOKUP(L49,CARR_PEN_TBL,2,0),0)</f>
        <v/>
      </c>
      <c r="CL49" s="3">
        <f>W_FIAB*BW49+W_PRECIO*BX49+W_KMEDAD*CB49+W_ANUNCIO*CC49+W_USO*CH49+W_SEGURIDAD*CJ49+W_ETIQUETA*CD49-CK49</f>
        <v/>
      </c>
      <c r="CM49" s="4">
        <f>IF(N(I49)&gt;0,I49,IFERROR(ROUND(_xlfn.NUMBERVALUE(LEFT(G49,FIND(" ",G49&amp;" ")-1),".")*1000,0),99999))</f>
        <v/>
      </c>
      <c r="CN49" s="3">
        <f>IF(R49="profesional",0,IF(O49&lt;CUOTA_VALOR_MAX,IF(BA49&gt;ITP_TRAMO_ALTO,SUMIFS(CF_CUOTA,CF_MAS,ITP_TRAMO_ALTO,CF_CCMIN,"&lt;="&amp;CM49,CF_CCMAX,"&gt;="&amp;CM49),IF(BA49&gt;ITP_TRAMO_BAJO,SUMIFS(CF_CUOTA,CF_MAS,ITP_TRAMO_BAJO,CF_CCMIN,"&lt;="&amp;CM49,CF_CCMAX,"&gt;="&amp;CM49),O49*ITP_TIPO)),O49*ITP_TIPO))</f>
        <v/>
      </c>
      <c r="CO49" s="4">
        <f>IF(R49="profesional",N(AK49),0)</f>
        <v/>
      </c>
      <c r="CP49" s="3">
        <f>IF(AND(R49="profesional",ISNUMBER(AK49),AL49="sí"),0,TASA_DGT)</f>
        <v/>
      </c>
      <c r="CQ49" s="3">
        <f>INFORME_DGT</f>
        <v/>
      </c>
      <c r="CR49" s="4">
        <f>O49+CO49+CN49+CP49+CQ49</f>
        <v/>
      </c>
      <c r="CS49" s="4">
        <f>CR49+N(CF49)</f>
        <v/>
      </c>
      <c r="CT49" s="3">
        <f>IF(CR49&lt;=TOTAL_MAX,"sí",IF(CR49&lt;=TOTAL_MAX+MARGEN_NEG,"negociar","no"))</f>
        <v/>
      </c>
      <c r="CU49" s="4">
        <f>IF(CT49&lt;&gt;"no",COUNTIFS($CT$2:$CT$545,"&lt;&gt;no",$CL$2:$CL$545,"&gt;"&amp;CL49)+COUNTIFS($CT$2:CT49,"&lt;&gt;no",$CL$2:CL49,CL49),"")</f>
        <v/>
      </c>
    </row>
    <row r="50">
      <c r="A50" s="2" t="inlineStr">
        <is>
          <t>wallapop:1294034931</t>
        </is>
      </c>
      <c r="B50" s="2" t="inlineStr">
        <is>
          <t>wallapop</t>
        </is>
      </c>
      <c r="C50" s="2" t="inlineStr">
        <is>
          <t>https://es.wallapop.com/item/ford-ka-2010-en-muy-buen-estado-1294034931</t>
        </is>
      </c>
      <c r="D50" s="2" t="inlineStr">
        <is>
          <t>Ford Ka 2010 en muy buen estado</t>
        </is>
      </c>
      <c r="E50" s="2" t="inlineStr">
        <is>
          <t>Ford</t>
        </is>
      </c>
      <c r="F50" s="2" t="inlineStr">
        <is>
          <t>Ford Ka</t>
        </is>
      </c>
      <c r="G50" s="2" t="inlineStr">
        <is>
          <t>1.2</t>
        </is>
      </c>
      <c r="H50" s="2" t="inlineStr">
        <is>
          <t>1.2 69 Trend+ 3p</t>
        </is>
      </c>
      <c r="I50" s="2" t="n"/>
      <c r="J50" s="2" t="n">
        <v>69</v>
      </c>
      <c r="K50" s="2" t="inlineStr">
        <is>
          <t>gasolina</t>
        </is>
      </c>
      <c r="L50" s="2" t="inlineStr">
        <is>
          <t>utilitario</t>
        </is>
      </c>
      <c r="M50" s="2" t="n">
        <v>2010</v>
      </c>
      <c r="N50" s="2" t="n">
        <v>159000</v>
      </c>
      <c r="O50" s="2" t="n">
        <v>2500</v>
      </c>
      <c r="P50" s="2" t="inlineStr">
        <is>
          <t>manual</t>
        </is>
      </c>
      <c r="Q50" s="2" t="inlineStr">
        <is>
          <t>no</t>
        </is>
      </c>
      <c r="R50" s="2" t="inlineStr">
        <is>
          <t>particular</t>
        </is>
      </c>
      <c r="S50" s="2" t="inlineStr">
        <is>
          <t>Valencia (46025)</t>
        </is>
      </c>
      <c r="T50" s="2" t="inlineStr">
        <is>
          <t>2026-10-08T20:08:31</t>
        </is>
      </c>
      <c r="U50" s="2" t="n">
        <v>6</v>
      </c>
      <c r="V50" s="2" t="inlineStr">
        <is>
          <t>sí</t>
        </is>
      </c>
      <c r="W50" s="2" t="n"/>
      <c r="X50" s="2" t="n"/>
      <c r="Y50" s="2" t="n"/>
      <c r="Z50" s="2" t="n"/>
      <c r="AA50" s="2" t="n"/>
      <c r="AB50" s="2" t="n"/>
      <c r="AC50" s="2" t="n"/>
      <c r="AD50" s="2" t="n"/>
      <c r="AE50" s="2" t="n"/>
      <c r="AF50" s="2" t="n"/>
      <c r="AG50" s="2" t="n"/>
      <c r="AH50" s="2" t="n"/>
      <c r="AI50" s="2" t="n"/>
      <c r="AJ50" s="2" t="n"/>
      <c r="AK50" s="2" t="n"/>
      <c r="AL50" s="2" t="n"/>
      <c r="AM50" s="2" t="n">
        <v>3.1</v>
      </c>
      <c r="AN50" s="2" t="inlineStr">
        <is>
          <t>KA2010EN</t>
        </is>
      </c>
      <c r="AO50" s="2" t="inlineStr">
        <is>
          <t>2010</t>
        </is>
      </c>
      <c r="AP50" s="2" t="n">
        <v>2010</v>
      </c>
      <c r="AQ50" s="2" t="n"/>
      <c r="AR50" s="2" t="n"/>
      <c r="AS50" s="2" t="inlineStr">
        <is>
          <t>regla</t>
        </is>
      </c>
      <c r="AT50" s="2" t="n">
        <v>3000</v>
      </c>
      <c r="AU50" s="2" t="n">
        <v>9</v>
      </c>
      <c r="AV50" s="2" t="inlineStr">
        <is>
          <t>modelo+año</t>
        </is>
      </c>
      <c r="AW50" s="2" t="n"/>
      <c r="AX50" s="2" t="inlineStr">
        <is>
          <t>cuota fija ITP: &gt;12 años, hasta 1.500 cc; fiabilidad del modelo PENDIENTE de fuente (puntuación neutra)</t>
        </is>
      </c>
      <c r="AY50" s="2" t="inlineStr">
        <is>
          <t>ITV pasada
Neumáticos cambiados
Revisión pasada
Correa distribución y kit de correa de servicio cambiada
Interior y exterior en muy buen estado (ver fotos)</t>
        </is>
      </c>
      <c r="AZ50" s="2" t="inlineStr">
        <is>
          <t>https://es.wallapop.com/item/ford-ka-2010-en-muy-buen-estado-1294034931 (__NEXT_DATA__ item) /home/user/Alopecia/buscador-coches/raw/wallapop/ddaaf5d76c445008.json</t>
        </is>
      </c>
      <c r="BA50" s="3">
        <f>MAX(ANIO_ACTUAL-M50,0)</f>
        <v/>
      </c>
      <c r="BB50" s="4">
        <f>N50/MAX(BA50,0.5)</f>
        <v/>
      </c>
      <c r="BC50" s="4">
        <f>F50</f>
        <v/>
      </c>
      <c r="BD50" s="3">
        <f>BC50&amp;"|"&amp;INT(M50/SEG_ANIO)*SEG_ANIO</f>
        <v/>
      </c>
      <c r="BE50" s="3">
        <f>BD50&amp;"|"&amp;INT(N50/SEG_KM)*SEG_KM</f>
        <v/>
      </c>
      <c r="BF50" s="4">
        <f>COUNTIF($BC$2:$BC$545,BC50)</f>
        <v/>
      </c>
      <c r="BG50" s="4">
        <f>COUNTIF($BD$2:$BD$545,BD50)</f>
        <v/>
      </c>
      <c r="BH50" s="4">
        <f>COUNTIF($BE$2:$BE$545,BE50)</f>
        <v/>
      </c>
      <c r="BI50" s="3">
        <f t="array" ref="BI50">IF(N(AU50)&gt;=MIN_N,AT50,IF(BH50&gt;=MIN_N,MEDIAN(IF($BE$2:$BE$545=BE50,$O$2:$O$545)),IF(BG50&gt;=MIN_N,MEDIAN(IF($BD$2:$BD$545=BD50,$O$2:$O$545)),MEDIAN(IF($BC$2:$BC$545=BC50,$O$2:$O$545)))))</f>
        <v/>
      </c>
      <c r="BJ50" s="3">
        <f>IF(N(AU50)&gt;=MIN_N,"mercado "&amp;AV50,IF(BH50&gt;=MIN_N,"modelo+año+km",IF(BG50&gt;=MIN_N,"modelo+año","modelo")))</f>
        <v/>
      </c>
      <c r="BK50" s="4">
        <f>(BI50-O50)/BI50</f>
        <v/>
      </c>
      <c r="BL50" s="3">
        <f>IF(COUNTIFS(FR_FUEL,K50,FR_YEAR,AP50)&gt;0,1,0)</f>
        <v/>
      </c>
      <c r="BM50" s="3">
        <f>IF(COUNTIFS(FR_FUEL,K50,FR_YEAR,AP50-1)&gt;0,1,0)</f>
        <v/>
      </c>
      <c r="BN50" s="4">
        <f>IF(N(AQ50)&gt;0,AP50*100+AQ50,IF(AND(BL50=1,BM50=1),(AP50-1)*100+1,AP50*100+1))</f>
        <v/>
      </c>
      <c r="BO50" s="3">
        <f>IF(OR(K50="hibrido",K50="glp",K50="gnc",K50="phev"),"ECO",IF(K50="electrico","CERO",IF(K50="gasolina",IF(BN50&gt;=GAS_C_YM,"C",IF(BN50&gt;=GAS_B_YM,"B","A")),IF(K50="diesel",IF(BN50&gt;=DIE_C_YM,"C",IF(BN50&gt;=DIE_B_YM,"B","A")),""))))</f>
        <v/>
      </c>
      <c r="BP50" s="4">
        <f>BO50</f>
        <v/>
      </c>
      <c r="BQ50" s="4">
        <f>IF(AS50="regla",IF(AND(N(AQ50)=0,BL50=1),"sí","no"),"no")</f>
        <v/>
      </c>
      <c r="BR50" s="3">
        <f>IFERROR(VLOOKUP(F50,MOD_TBL,11,0),IFERROR(VLOOKUP(E50,OCU_TBL,2,0),NEUTRO))</f>
        <v/>
      </c>
      <c r="BS50" s="3">
        <f>SUMIFS(MOT_AJUSTE,MOT_MOTOR,G50,MOT_MARCA,E50,MOT_DESDE,"&lt;="&amp;M50,MOT_HASTA,"&gt;="&amp;M50)+SUMIFS(MOT_AJUSTE,MOT_MOTOR,G50,MOT_MARCA,"(todas)",MOT_DESDE,"&lt;="&amp;M50,MOT_HASTA,"&gt;="&amp;M50)</f>
        <v/>
      </c>
      <c r="BT50" s="3">
        <f>SUMIFS(COMB_AJUSTE,COMB_COMB,K50)</f>
        <v/>
      </c>
      <c r="BU50" s="3">
        <f>COUNTIFS(MOT_MOTOR,G50,MOT_MARCA,E50,MOT_DESDE,"&lt;="&amp;M50,MOT_HASTA,"&gt;="&amp;M50)+COUNTIFS(MOT_MOTOR,G50,MOT_MARCA,"(todas)",MOT_DESDE,"&lt;="&amp;M50,MOT_HASTA,"&gt;="&amp;M50)</f>
        <v/>
      </c>
      <c r="BV50" s="3">
        <f>IF(AND(K50="diesel",BU50=0),MIN(BR50,NEUTRO),BR50)</f>
        <v/>
      </c>
      <c r="BW50" s="4">
        <f>MAX(0,MIN(100,BV50+BS50+BT50))</f>
        <v/>
      </c>
      <c r="BX50" s="3">
        <f>MAX(0,MIN(100,50+BK50*PRECIO_PEND))</f>
        <v/>
      </c>
      <c r="BY50" s="3">
        <f>MAX(0,100*(1-N50/KM_MAX))</f>
        <v/>
      </c>
      <c r="BZ50" s="3">
        <f>IF(BB50&lt;KMA_SOSP,IF(AA50="sí",100,KMA_PEN),IF(BB50&lt;=KMA_IDEAL_MAX,100,MAX(0,100*(KMA_CERO-BB50)/(KMA_CERO-KMA_IDEAL_MAX))))</f>
        <v/>
      </c>
      <c r="CA50" s="3">
        <f>MAX(0,MIN(100,100*(M50-ANIO_MIN)/(ANIO_ACTUAL-ANIO_MIN)))</f>
        <v/>
      </c>
      <c r="CB50" s="3">
        <f>W_KMT*BY50+W_KMA*BZ50+W_EDAD*CA50</f>
        <v/>
      </c>
      <c r="CC50" s="3">
        <f>P_ITV*(V50="sí")+P_LIBRO*(W50="sí")+P_CORREA*(X50="sí")+P_PROP*(Y50=1)+P_GAR*(Z50="sí")+P_FOTOS*MIN(1,N(U50)/FOTOS_OBJ)</f>
        <v/>
      </c>
      <c r="CD50" s="3">
        <f>MAX(0,MIN(100,IFERROR(VLOOKUP(BP50,ETQ_TBL,2,0),0)-IF(BQ50="sí",ETQ_PEN_DUD,IF(AS50="regla",ETQ_PEN_REGLA,0))))</f>
        <v/>
      </c>
      <c r="CE50" s="3">
        <f>NEUTRO</f>
        <v/>
      </c>
      <c r="CF50" s="3">
        <f>IFERROR(VLOOKUP(L50,SEGURO_TBL,3,0),"")</f>
        <v/>
      </c>
      <c r="CG50" s="3">
        <f>IF(CF50="",NEUTRO,MAX(0,MIN(100,100*(SEG_REF_MAX-CF50)/(SEG_REF_MAX-SEG_REF_MIN))))</f>
        <v/>
      </c>
      <c r="CH50" s="3">
        <f>W_CONS*CE50+W_SEG*CG50</f>
        <v/>
      </c>
      <c r="CI50" s="3">
        <f>IF(N(AB50)&gt;0,AB50,IF(AND(R50="profesional",SG_LEGAL_ON=1),GAR_LEGAL,0))</f>
        <v/>
      </c>
      <c r="CJ50" s="3">
        <f>SG_GAR*MIN(1,CI50/SG_GAR_FULL)+SG_AMPL*(AC50="sí")+SG_KMC*(AF50="sí")+SG_REV*(N(AE50)&gt;0)+SG_DEV*MIN(1,N(AG50)/SG_DEV_FULL)+SG_HIST*(W50="sí")</f>
        <v/>
      </c>
      <c r="CK50" s="3">
        <f>IFERROR(VLOOKUP(L50,CARR_PEN_TBL,2,0),0)</f>
        <v/>
      </c>
      <c r="CL50" s="3">
        <f>W_FIAB*BW50+W_PRECIO*BX50+W_KMEDAD*CB50+W_ANUNCIO*CC50+W_USO*CH50+W_SEGURIDAD*CJ50+W_ETIQUETA*CD50-CK50</f>
        <v/>
      </c>
      <c r="CM50" s="4">
        <f>IF(N(I50)&gt;0,I50,IFERROR(ROUND(_xlfn.NUMBERVALUE(LEFT(G50,FIND(" ",G50&amp;" ")-1),".")*1000,0),99999))</f>
        <v/>
      </c>
      <c r="CN50" s="3">
        <f>IF(R50="profesional",0,IF(O50&lt;CUOTA_VALOR_MAX,IF(BA50&gt;ITP_TRAMO_ALTO,SUMIFS(CF_CUOTA,CF_MAS,ITP_TRAMO_ALTO,CF_CCMIN,"&lt;="&amp;CM50,CF_CCMAX,"&gt;="&amp;CM50),IF(BA50&gt;ITP_TRAMO_BAJO,SUMIFS(CF_CUOTA,CF_MAS,ITP_TRAMO_BAJO,CF_CCMIN,"&lt;="&amp;CM50,CF_CCMAX,"&gt;="&amp;CM50),O50*ITP_TIPO)),O50*ITP_TIPO))</f>
        <v/>
      </c>
      <c r="CO50" s="4">
        <f>IF(R50="profesional",N(AK50),0)</f>
        <v/>
      </c>
      <c r="CP50" s="3">
        <f>IF(AND(R50="profesional",ISNUMBER(AK50),AL50="sí"),0,TASA_DGT)</f>
        <v/>
      </c>
      <c r="CQ50" s="3">
        <f>INFORME_DGT</f>
        <v/>
      </c>
      <c r="CR50" s="4">
        <f>O50+CO50+CN50+CP50+CQ50</f>
        <v/>
      </c>
      <c r="CS50" s="4">
        <f>CR50+N(CF50)</f>
        <v/>
      </c>
      <c r="CT50" s="3">
        <f>IF(CR50&lt;=TOTAL_MAX,"sí",IF(CR50&lt;=TOTAL_MAX+MARGEN_NEG,"negociar","no"))</f>
        <v/>
      </c>
      <c r="CU50" s="4">
        <f>IF(CT50&lt;&gt;"no",COUNTIFS($CT$2:$CT$545,"&lt;&gt;no",$CL$2:$CL$545,"&gt;"&amp;CL50)+COUNTIFS($CT$2:CT50,"&lt;&gt;no",$CL$2:CL50,CL50),"")</f>
        <v/>
      </c>
    </row>
    <row r="51">
      <c r="A51" s="2" t="inlineStr">
        <is>
          <t>wallapop:1299179562</t>
        </is>
      </c>
      <c r="B51" s="2" t="inlineStr">
        <is>
          <t>wallapop</t>
        </is>
      </c>
      <c r="C51" s="2" t="inlineStr">
        <is>
          <t>https://es.wallapop.com/item/ford-fiesta-2009-1299179562</t>
        </is>
      </c>
      <c r="D51" s="2" t="inlineStr">
        <is>
          <t>Ford Fiesta 2009</t>
        </is>
      </c>
      <c r="E51" s="2" t="inlineStr">
        <is>
          <t>Ford</t>
        </is>
      </c>
      <c r="F51" s="2" t="inlineStr">
        <is>
          <t>Ford Fiesta</t>
        </is>
      </c>
      <c r="G51" s="2" t="inlineStr">
        <is>
          <t>1.2</t>
        </is>
      </c>
      <c r="H51" s="2" t="inlineStr">
        <is>
          <t>1.25 82 Trend 5p</t>
        </is>
      </c>
      <c r="I51" s="2" t="n"/>
      <c r="J51" s="2" t="n">
        <v>82</v>
      </c>
      <c r="K51" s="2" t="inlineStr">
        <is>
          <t>gasolina</t>
        </is>
      </c>
      <c r="L51" s="2" t="inlineStr">
        <is>
          <t>utilitario</t>
        </is>
      </c>
      <c r="M51" s="2" t="n">
        <v>2009</v>
      </c>
      <c r="N51" s="2" t="n">
        <v>175000</v>
      </c>
      <c r="O51" s="2" t="n">
        <v>3449</v>
      </c>
      <c r="P51" s="2" t="inlineStr">
        <is>
          <t>manual</t>
        </is>
      </c>
      <c r="Q51" s="2" t="inlineStr">
        <is>
          <t>no</t>
        </is>
      </c>
      <c r="R51" s="2" t="inlineStr">
        <is>
          <t>particular</t>
        </is>
      </c>
      <c r="S51" s="2" t="inlineStr">
        <is>
          <t>Valencia (46003)</t>
        </is>
      </c>
      <c r="T51" s="2" t="inlineStr">
        <is>
          <t>2026-10-30T13:25:02</t>
        </is>
      </c>
      <c r="U51" s="2" t="n">
        <v>10</v>
      </c>
      <c r="V51" s="2" t="inlineStr">
        <is>
          <t>sí</t>
        </is>
      </c>
      <c r="W51" s="2" t="n"/>
      <c r="X51" s="2" t="n"/>
      <c r="Y51" s="2" t="n"/>
      <c r="Z51" s="2" t="n"/>
      <c r="AA51" s="2" t="n"/>
      <c r="AB51" s="2" t="n"/>
      <c r="AC51" s="2" t="n"/>
      <c r="AD51" s="2" t="n"/>
      <c r="AE51" s="2" t="n"/>
      <c r="AF51" s="2" t="n"/>
      <c r="AG51" s="2" t="n"/>
      <c r="AH51" s="2" t="n"/>
      <c r="AI51" s="2" t="n"/>
      <c r="AJ51" s="2" t="n"/>
      <c r="AK51" s="2" t="n"/>
      <c r="AL51" s="2" t="n"/>
      <c r="AM51" s="2" t="n">
        <v>0.2</v>
      </c>
      <c r="AN51" s="2" t="n"/>
      <c r="AO51" s="2" t="inlineStr">
        <is>
          <t>2009</t>
        </is>
      </c>
      <c r="AP51" s="2" t="n">
        <v>2009</v>
      </c>
      <c r="AQ51" s="2" t="n"/>
      <c r="AR51" s="2" t="n"/>
      <c r="AS51" s="2" t="inlineStr">
        <is>
          <t>regla</t>
        </is>
      </c>
      <c r="AT51" s="2" t="n">
        <v>4500</v>
      </c>
      <c r="AU51" s="2" t="n">
        <v>18</v>
      </c>
      <c r="AV51" s="2" t="inlineStr">
        <is>
          <t>modelo+año+km</t>
        </is>
      </c>
      <c r="AW51" s="2" t="n"/>
      <c r="AX51" s="2" t="inlineStr">
        <is>
          <t>cuota fija ITP: &gt;12 años, hasta 1.500 cc</t>
        </is>
      </c>
      <c r="AY51" s="2" t="inlineStr">
        <is>
          <t>Los gastos de cambio de nombre corren a mi cargo. ITV en vigor hasta Noviembre de 2026. Funciona perfectamente, se puede probar sin problema. Tiene los dos juegos de llaves. El interior está muy bien cuidado. Lo vendo porque ya no lo necesito.
Cualquier foto o información adicional consultar sin problema.</t>
        </is>
      </c>
      <c r="AZ51" s="2" t="inlineStr">
        <is>
          <t>https://es.wallapop.com/item/ford-fiesta-2009-1299179562 (__NEXT_DATA__ item) /home/user/Alopecia/buscador-coches/raw/wallapop/56b4c3f695254080.json</t>
        </is>
      </c>
      <c r="BA51" s="3">
        <f>MAX(ANIO_ACTUAL-M51,0)</f>
        <v/>
      </c>
      <c r="BB51" s="4">
        <f>N51/MAX(BA51,0.5)</f>
        <v/>
      </c>
      <c r="BC51" s="4">
        <f>F51</f>
        <v/>
      </c>
      <c r="BD51" s="3">
        <f>BC51&amp;"|"&amp;INT(M51/SEG_ANIO)*SEG_ANIO</f>
        <v/>
      </c>
      <c r="BE51" s="3">
        <f>BD51&amp;"|"&amp;INT(N51/SEG_KM)*SEG_KM</f>
        <v/>
      </c>
      <c r="BF51" s="4">
        <f>COUNTIF($BC$2:$BC$545,BC51)</f>
        <v/>
      </c>
      <c r="BG51" s="4">
        <f>COUNTIF($BD$2:$BD$545,BD51)</f>
        <v/>
      </c>
      <c r="BH51" s="4">
        <f>COUNTIF($BE$2:$BE$545,BE51)</f>
        <v/>
      </c>
      <c r="BI51" s="3">
        <f t="array" ref="BI51">IF(N(AU51)&gt;=MIN_N,AT51,IF(BH51&gt;=MIN_N,MEDIAN(IF($BE$2:$BE$545=BE51,$O$2:$O$545)),IF(BG51&gt;=MIN_N,MEDIAN(IF($BD$2:$BD$545=BD51,$O$2:$O$545)),MEDIAN(IF($BC$2:$BC$545=BC51,$O$2:$O$545)))))</f>
        <v/>
      </c>
      <c r="BJ51" s="3">
        <f>IF(N(AU51)&gt;=MIN_N,"mercado "&amp;AV51,IF(BH51&gt;=MIN_N,"modelo+año+km",IF(BG51&gt;=MIN_N,"modelo+año","modelo")))</f>
        <v/>
      </c>
      <c r="BK51" s="4">
        <f>(BI51-O51)/BI51</f>
        <v/>
      </c>
      <c r="BL51" s="3">
        <f>IF(COUNTIFS(FR_FUEL,K51,FR_YEAR,AP51)&gt;0,1,0)</f>
        <v/>
      </c>
      <c r="BM51" s="3">
        <f>IF(COUNTIFS(FR_FUEL,K51,FR_YEAR,AP51-1)&gt;0,1,0)</f>
        <v/>
      </c>
      <c r="BN51" s="4">
        <f>IF(N(AQ51)&gt;0,AP51*100+AQ51,IF(AND(BL51=1,BM51=1),(AP51-1)*100+1,AP51*100+1))</f>
        <v/>
      </c>
      <c r="BO51" s="3">
        <f>IF(OR(K51="hibrido",K51="glp",K51="gnc",K51="phev"),"ECO",IF(K51="electrico","CERO",IF(K51="gasolina",IF(BN51&gt;=GAS_C_YM,"C",IF(BN51&gt;=GAS_B_YM,"B","A")),IF(K51="diesel",IF(BN51&gt;=DIE_C_YM,"C",IF(BN51&gt;=DIE_B_YM,"B","A")),""))))</f>
        <v/>
      </c>
      <c r="BP51" s="4">
        <f>BO51</f>
        <v/>
      </c>
      <c r="BQ51" s="4">
        <f>IF(AS51="regla",IF(AND(N(AQ51)=0,BL51=1),"sí","no"),"no")</f>
        <v/>
      </c>
      <c r="BR51" s="3">
        <f>IFERROR(VLOOKUP(F51,MOD_TBL,11,0),IFERROR(VLOOKUP(E51,OCU_TBL,2,0),NEUTRO))</f>
        <v/>
      </c>
      <c r="BS51" s="3">
        <f>SUMIFS(MOT_AJUSTE,MOT_MOTOR,G51,MOT_MARCA,E51,MOT_DESDE,"&lt;="&amp;M51,MOT_HASTA,"&gt;="&amp;M51)+SUMIFS(MOT_AJUSTE,MOT_MOTOR,G51,MOT_MARCA,"(todas)",MOT_DESDE,"&lt;="&amp;M51,MOT_HASTA,"&gt;="&amp;M51)</f>
        <v/>
      </c>
      <c r="BT51" s="3">
        <f>SUMIFS(COMB_AJUSTE,COMB_COMB,K51)</f>
        <v/>
      </c>
      <c r="BU51" s="3">
        <f>COUNTIFS(MOT_MOTOR,G51,MOT_MARCA,E51,MOT_DESDE,"&lt;="&amp;M51,MOT_HASTA,"&gt;="&amp;M51)+COUNTIFS(MOT_MOTOR,G51,MOT_MARCA,"(todas)",MOT_DESDE,"&lt;="&amp;M51,MOT_HASTA,"&gt;="&amp;M51)</f>
        <v/>
      </c>
      <c r="BV51" s="3">
        <f>IF(AND(K51="diesel",BU51=0),MIN(BR51,NEUTRO),BR51)</f>
        <v/>
      </c>
      <c r="BW51" s="4">
        <f>MAX(0,MIN(100,BV51+BS51+BT51))</f>
        <v/>
      </c>
      <c r="BX51" s="3">
        <f>MAX(0,MIN(100,50+BK51*PRECIO_PEND))</f>
        <v/>
      </c>
      <c r="BY51" s="3">
        <f>MAX(0,100*(1-N51/KM_MAX))</f>
        <v/>
      </c>
      <c r="BZ51" s="3">
        <f>IF(BB51&lt;KMA_SOSP,IF(AA51="sí",100,KMA_PEN),IF(BB51&lt;=KMA_IDEAL_MAX,100,MAX(0,100*(KMA_CERO-BB51)/(KMA_CERO-KMA_IDEAL_MAX))))</f>
        <v/>
      </c>
      <c r="CA51" s="3">
        <f>MAX(0,MIN(100,100*(M51-ANIO_MIN)/(ANIO_ACTUAL-ANIO_MIN)))</f>
        <v/>
      </c>
      <c r="CB51" s="3">
        <f>W_KMT*BY51+W_KMA*BZ51+W_EDAD*CA51</f>
        <v/>
      </c>
      <c r="CC51" s="3">
        <f>P_ITV*(V51="sí")+P_LIBRO*(W51="sí")+P_CORREA*(X51="sí")+P_PROP*(Y51=1)+P_GAR*(Z51="sí")+P_FOTOS*MIN(1,N(U51)/FOTOS_OBJ)</f>
        <v/>
      </c>
      <c r="CD51" s="3">
        <f>MAX(0,MIN(100,IFERROR(VLOOKUP(BP51,ETQ_TBL,2,0),0)-IF(BQ51="sí",ETQ_PEN_DUD,IF(AS51="regla",ETQ_PEN_REGLA,0))))</f>
        <v/>
      </c>
      <c r="CE51" s="3">
        <f>NEUTRO</f>
        <v/>
      </c>
      <c r="CF51" s="3">
        <f>IFERROR(VLOOKUP(L51,SEGURO_TBL,3,0),"")</f>
        <v/>
      </c>
      <c r="CG51" s="3">
        <f>IF(CF51="",NEUTRO,MAX(0,MIN(100,100*(SEG_REF_MAX-CF51)/(SEG_REF_MAX-SEG_REF_MIN))))</f>
        <v/>
      </c>
      <c r="CH51" s="3">
        <f>W_CONS*CE51+W_SEG*CG51</f>
        <v/>
      </c>
      <c r="CI51" s="3">
        <f>IF(N(AB51)&gt;0,AB51,IF(AND(R51="profesional",SG_LEGAL_ON=1),GAR_LEGAL,0))</f>
        <v/>
      </c>
      <c r="CJ51" s="3">
        <f>SG_GAR*MIN(1,CI51/SG_GAR_FULL)+SG_AMPL*(AC51="sí")+SG_KMC*(AF51="sí")+SG_REV*(N(AE51)&gt;0)+SG_DEV*MIN(1,N(AG51)/SG_DEV_FULL)+SG_HIST*(W51="sí")</f>
        <v/>
      </c>
      <c r="CK51" s="3">
        <f>IFERROR(VLOOKUP(L51,CARR_PEN_TBL,2,0),0)</f>
        <v/>
      </c>
      <c r="CL51" s="3">
        <f>W_FIAB*BW51+W_PRECIO*BX51+W_KMEDAD*CB51+W_ANUNCIO*CC51+W_USO*CH51+W_SEGURIDAD*CJ51+W_ETIQUETA*CD51-CK51</f>
        <v/>
      </c>
      <c r="CM51" s="4">
        <f>IF(N(I51)&gt;0,I51,IFERROR(ROUND(_xlfn.NUMBERVALUE(LEFT(G51,FIND(" ",G51&amp;" ")-1),".")*1000,0),99999))</f>
        <v/>
      </c>
      <c r="CN51" s="3">
        <f>IF(R51="profesional",0,IF(O51&lt;CUOTA_VALOR_MAX,IF(BA51&gt;ITP_TRAMO_ALTO,SUMIFS(CF_CUOTA,CF_MAS,ITP_TRAMO_ALTO,CF_CCMIN,"&lt;="&amp;CM51,CF_CCMAX,"&gt;="&amp;CM51),IF(BA51&gt;ITP_TRAMO_BAJO,SUMIFS(CF_CUOTA,CF_MAS,ITP_TRAMO_BAJO,CF_CCMIN,"&lt;="&amp;CM51,CF_CCMAX,"&gt;="&amp;CM51),O51*ITP_TIPO)),O51*ITP_TIPO))</f>
        <v/>
      </c>
      <c r="CO51" s="4">
        <f>IF(R51="profesional",N(AK51),0)</f>
        <v/>
      </c>
      <c r="CP51" s="3">
        <f>IF(AND(R51="profesional",ISNUMBER(AK51),AL51="sí"),0,TASA_DGT)</f>
        <v/>
      </c>
      <c r="CQ51" s="3">
        <f>INFORME_DGT</f>
        <v/>
      </c>
      <c r="CR51" s="4">
        <f>O51+CO51+CN51+CP51+CQ51</f>
        <v/>
      </c>
      <c r="CS51" s="4">
        <f>CR51+N(CF51)</f>
        <v/>
      </c>
      <c r="CT51" s="3">
        <f>IF(CR51&lt;=TOTAL_MAX,"sí",IF(CR51&lt;=TOTAL_MAX+MARGEN_NEG,"negociar","no"))</f>
        <v/>
      </c>
      <c r="CU51" s="4">
        <f>IF(CT51&lt;&gt;"no",COUNTIFS($CT$2:$CT$545,"&lt;&gt;no",$CL$2:$CL$545,"&gt;"&amp;CL51)+COUNTIFS($CT$2:CT51,"&lt;&gt;no",$CL$2:CL51,CL51),"")</f>
        <v/>
      </c>
    </row>
    <row r="52">
      <c r="A52" s="2" t="inlineStr">
        <is>
          <t>wallapop:1318150262</t>
        </is>
      </c>
      <c r="B52" s="2" t="inlineStr">
        <is>
          <t>wallapop</t>
        </is>
      </c>
      <c r="C52" s="2" t="inlineStr">
        <is>
          <t>https://es.wallapop.com/item/ford-focus-1-8tdci-impoluto-1318150262</t>
        </is>
      </c>
      <c r="D52" s="2" t="inlineStr">
        <is>
          <t>Ford Focus 1.8tdci IMPOLUTO</t>
        </is>
      </c>
      <c r="E52" s="2" t="inlineStr">
        <is>
          <t>Ford</t>
        </is>
      </c>
      <c r="F52" s="2" t="inlineStr">
        <is>
          <t>Ford Focus</t>
        </is>
      </c>
      <c r="G52" s="2" t="inlineStr">
        <is>
          <t>1.8 TDCi</t>
        </is>
      </c>
      <c r="H52" s="2" t="inlineStr">
        <is>
          <t>1.8 TDCi 115 Trend 5p</t>
        </is>
      </c>
      <c r="I52" s="2" t="n"/>
      <c r="J52" s="2" t="n">
        <v>115</v>
      </c>
      <c r="K52" s="2" t="inlineStr">
        <is>
          <t>diesel</t>
        </is>
      </c>
      <c r="L52" s="2" t="inlineStr">
        <is>
          <t>compacto</t>
        </is>
      </c>
      <c r="M52" s="2" t="n">
        <v>2008</v>
      </c>
      <c r="N52" s="2" t="n">
        <v>150000</v>
      </c>
      <c r="O52" s="2" t="n">
        <v>3550</v>
      </c>
      <c r="P52" s="2" t="inlineStr">
        <is>
          <t>manual</t>
        </is>
      </c>
      <c r="Q52" s="2" t="inlineStr">
        <is>
          <t>no</t>
        </is>
      </c>
      <c r="R52" s="2" t="inlineStr">
        <is>
          <t>particular</t>
        </is>
      </c>
      <c r="S52" s="2" t="inlineStr">
        <is>
          <t>Valencia (46009)</t>
        </is>
      </c>
      <c r="T52" s="2" t="inlineStr">
        <is>
          <t>2026-10-28T15:14:16</t>
        </is>
      </c>
      <c r="U52" s="2" t="n">
        <v>10</v>
      </c>
      <c r="V52" s="2" t="inlineStr">
        <is>
          <t>sí</t>
        </is>
      </c>
      <c r="W52" s="2" t="n"/>
      <c r="X52" s="2" t="n"/>
      <c r="Y52" s="2" t="n"/>
      <c r="Z52" s="2" t="n"/>
      <c r="AA52" s="2" t="inlineStr">
        <is>
          <t>sí</t>
        </is>
      </c>
      <c r="AB52" s="2" t="n"/>
      <c r="AC52" s="2" t="n"/>
      <c r="AD52" s="2" t="n"/>
      <c r="AE52" s="2" t="n"/>
      <c r="AF52" s="2" t="n"/>
      <c r="AG52" s="2" t="n"/>
      <c r="AH52" s="2" t="n"/>
      <c r="AI52" s="2" t="n"/>
      <c r="AJ52" s="2" t="n"/>
      <c r="AK52" s="2" t="n"/>
      <c r="AL52" s="2" t="n"/>
      <c r="AM52" s="2" t="n">
        <v>1.9</v>
      </c>
      <c r="AN52" s="2" t="n"/>
      <c r="AO52" s="2" t="inlineStr">
        <is>
          <t>2008</t>
        </is>
      </c>
      <c r="AP52" s="2" t="n">
        <v>2008</v>
      </c>
      <c r="AQ52" s="2" t="n"/>
      <c r="AR52" s="2" t="n"/>
      <c r="AS52" s="2" t="inlineStr">
        <is>
          <t>regla</t>
        </is>
      </c>
      <c r="AT52" s="2" t="n">
        <v>3870</v>
      </c>
      <c r="AU52" s="2" t="n">
        <v>10</v>
      </c>
      <c r="AV52" s="2" t="inlineStr">
        <is>
          <t>modelo+año+km</t>
        </is>
      </c>
      <c r="AW52" s="2" t="n"/>
      <c r="AX52" s="2" t="inlineStr">
        <is>
          <t>cuota fija ITP: &gt;12 años, 1.501-2.000 cc; diésel: motor sin fuente de fiabilidad (fiabilidad limitada a neutra)</t>
        </is>
      </c>
      <c r="AY52" s="2" t="inlineStr">
        <is>
          <t>Vehiculo recien revisado 
ITV AL DIA 
 TAN SOLO 150000km CERTIFICADOS
 RECIENPINTADO ENTERO HACE UN MES POR CAPRICHO 
 INTERIOR EN PERFECTO ESTADO
UNIDAD MUY CUIDADA</t>
        </is>
      </c>
      <c r="AZ52" s="2" t="inlineStr">
        <is>
          <t>https://es.wallapop.com/item/ford-focus-1-8tdci-impoluto-1318150262 (__NEXT_DATA__ item) /home/user/Alopecia/buscador-coches/raw/wallapop/1918a09099f384e3.json</t>
        </is>
      </c>
      <c r="BA52" s="3">
        <f>MAX(ANIO_ACTUAL-M52,0)</f>
        <v/>
      </c>
      <c r="BB52" s="4">
        <f>N52/MAX(BA52,0.5)</f>
        <v/>
      </c>
      <c r="BC52" s="4">
        <f>F52</f>
        <v/>
      </c>
      <c r="BD52" s="3">
        <f>BC52&amp;"|"&amp;INT(M52/SEG_ANIO)*SEG_ANIO</f>
        <v/>
      </c>
      <c r="BE52" s="3">
        <f>BD52&amp;"|"&amp;INT(N52/SEG_KM)*SEG_KM</f>
        <v/>
      </c>
      <c r="BF52" s="4">
        <f>COUNTIF($BC$2:$BC$545,BC52)</f>
        <v/>
      </c>
      <c r="BG52" s="4">
        <f>COUNTIF($BD$2:$BD$545,BD52)</f>
        <v/>
      </c>
      <c r="BH52" s="4">
        <f>COUNTIF($BE$2:$BE$545,BE52)</f>
        <v/>
      </c>
      <c r="BI52" s="3">
        <f t="array" ref="BI52">IF(N(AU52)&gt;=MIN_N,AT52,IF(BH52&gt;=MIN_N,MEDIAN(IF($BE$2:$BE$545=BE52,$O$2:$O$545)),IF(BG52&gt;=MIN_N,MEDIAN(IF($BD$2:$BD$545=BD52,$O$2:$O$545)),MEDIAN(IF($BC$2:$BC$545=BC52,$O$2:$O$545)))))</f>
        <v/>
      </c>
      <c r="BJ52" s="3">
        <f>IF(N(AU52)&gt;=MIN_N,"mercado "&amp;AV52,IF(BH52&gt;=MIN_N,"modelo+año+km",IF(BG52&gt;=MIN_N,"modelo+año","modelo")))</f>
        <v/>
      </c>
      <c r="BK52" s="4">
        <f>(BI52-O52)/BI52</f>
        <v/>
      </c>
      <c r="BL52" s="3">
        <f>IF(COUNTIFS(FR_FUEL,K52,FR_YEAR,AP52)&gt;0,1,0)</f>
        <v/>
      </c>
      <c r="BM52" s="3">
        <f>IF(COUNTIFS(FR_FUEL,K52,FR_YEAR,AP52-1)&gt;0,1,0)</f>
        <v/>
      </c>
      <c r="BN52" s="4">
        <f>IF(N(AQ52)&gt;0,AP52*100+AQ52,IF(AND(BL52=1,BM52=1),(AP52-1)*100+1,AP52*100+1))</f>
        <v/>
      </c>
      <c r="BO52" s="3">
        <f>IF(OR(K52="hibrido",K52="glp",K52="gnc",K52="phev"),"ECO",IF(K52="electrico","CERO",IF(K52="gasolina",IF(BN52&gt;=GAS_C_YM,"C",IF(BN52&gt;=GAS_B_YM,"B","A")),IF(K52="diesel",IF(BN52&gt;=DIE_C_YM,"C",IF(BN52&gt;=DIE_B_YM,"B","A")),""))))</f>
        <v/>
      </c>
      <c r="BP52" s="4">
        <f>BO52</f>
        <v/>
      </c>
      <c r="BQ52" s="4">
        <f>IF(AS52="regla",IF(AND(N(AQ52)=0,BL52=1),"sí","no"),"no")</f>
        <v/>
      </c>
      <c r="BR52" s="3">
        <f>IFERROR(VLOOKUP(F52,MOD_TBL,11,0),IFERROR(VLOOKUP(E52,OCU_TBL,2,0),NEUTRO))</f>
        <v/>
      </c>
      <c r="BS52" s="3">
        <f>SUMIFS(MOT_AJUSTE,MOT_MOTOR,G52,MOT_MARCA,E52,MOT_DESDE,"&lt;="&amp;M52,MOT_HASTA,"&gt;="&amp;M52)+SUMIFS(MOT_AJUSTE,MOT_MOTOR,G52,MOT_MARCA,"(todas)",MOT_DESDE,"&lt;="&amp;M52,MOT_HASTA,"&gt;="&amp;M52)</f>
        <v/>
      </c>
      <c r="BT52" s="3">
        <f>SUMIFS(COMB_AJUSTE,COMB_COMB,K52)</f>
        <v/>
      </c>
      <c r="BU52" s="3">
        <f>COUNTIFS(MOT_MOTOR,G52,MOT_MARCA,E52,MOT_DESDE,"&lt;="&amp;M52,MOT_HASTA,"&gt;="&amp;M52)+COUNTIFS(MOT_MOTOR,G52,MOT_MARCA,"(todas)",MOT_DESDE,"&lt;="&amp;M52,MOT_HASTA,"&gt;="&amp;M52)</f>
        <v/>
      </c>
      <c r="BV52" s="3">
        <f>IF(AND(K52="diesel",BU52=0),MIN(BR52,NEUTRO),BR52)</f>
        <v/>
      </c>
      <c r="BW52" s="4">
        <f>MAX(0,MIN(100,BV52+BS52+BT52))</f>
        <v/>
      </c>
      <c r="BX52" s="3">
        <f>MAX(0,MIN(100,50+BK52*PRECIO_PEND))</f>
        <v/>
      </c>
      <c r="BY52" s="3">
        <f>MAX(0,100*(1-N52/KM_MAX))</f>
        <v/>
      </c>
      <c r="BZ52" s="3">
        <f>IF(BB52&lt;KMA_SOSP,IF(AA52="sí",100,KMA_PEN),IF(BB52&lt;=KMA_IDEAL_MAX,100,MAX(0,100*(KMA_CERO-BB52)/(KMA_CERO-KMA_IDEAL_MAX))))</f>
        <v/>
      </c>
      <c r="CA52" s="3">
        <f>MAX(0,MIN(100,100*(M52-ANIO_MIN)/(ANIO_ACTUAL-ANIO_MIN)))</f>
        <v/>
      </c>
      <c r="CB52" s="3">
        <f>W_KMT*BY52+W_KMA*BZ52+W_EDAD*CA52</f>
        <v/>
      </c>
      <c r="CC52" s="3">
        <f>P_ITV*(V52="sí")+P_LIBRO*(W52="sí")+P_CORREA*(X52="sí")+P_PROP*(Y52=1)+P_GAR*(Z52="sí")+P_FOTOS*MIN(1,N(U52)/FOTOS_OBJ)</f>
        <v/>
      </c>
      <c r="CD52" s="3">
        <f>MAX(0,MIN(100,IFERROR(VLOOKUP(BP52,ETQ_TBL,2,0),0)-IF(BQ52="sí",ETQ_PEN_DUD,IF(AS52="regla",ETQ_PEN_REGLA,0))))</f>
        <v/>
      </c>
      <c r="CE52" s="3">
        <f>NEUTRO</f>
        <v/>
      </c>
      <c r="CF52" s="3">
        <f>IFERROR(VLOOKUP(L52,SEGURO_TBL,3,0),"")</f>
        <v/>
      </c>
      <c r="CG52" s="3">
        <f>IF(CF52="",NEUTRO,MAX(0,MIN(100,100*(SEG_REF_MAX-CF52)/(SEG_REF_MAX-SEG_REF_MIN))))</f>
        <v/>
      </c>
      <c r="CH52" s="3">
        <f>W_CONS*CE52+W_SEG*CG52</f>
        <v/>
      </c>
      <c r="CI52" s="3">
        <f>IF(N(AB52)&gt;0,AB52,IF(AND(R52="profesional",SG_LEGAL_ON=1),GAR_LEGAL,0))</f>
        <v/>
      </c>
      <c r="CJ52" s="3">
        <f>SG_GAR*MIN(1,CI52/SG_GAR_FULL)+SG_AMPL*(AC52="sí")+SG_KMC*(AF52="sí")+SG_REV*(N(AE52)&gt;0)+SG_DEV*MIN(1,N(AG52)/SG_DEV_FULL)+SG_HIST*(W52="sí")</f>
        <v/>
      </c>
      <c r="CK52" s="3">
        <f>IFERROR(VLOOKUP(L52,CARR_PEN_TBL,2,0),0)</f>
        <v/>
      </c>
      <c r="CL52" s="3">
        <f>W_FIAB*BW52+W_PRECIO*BX52+W_KMEDAD*CB52+W_ANUNCIO*CC52+W_USO*CH52+W_SEGURIDAD*CJ52+W_ETIQUETA*CD52-CK52</f>
        <v/>
      </c>
      <c r="CM52" s="4">
        <f>IF(N(I52)&gt;0,I52,IFERROR(ROUND(_xlfn.NUMBERVALUE(LEFT(G52,FIND(" ",G52&amp;" ")-1),".")*1000,0),99999))</f>
        <v/>
      </c>
      <c r="CN52" s="3">
        <f>IF(R52="profesional",0,IF(O52&lt;CUOTA_VALOR_MAX,IF(BA52&gt;ITP_TRAMO_ALTO,SUMIFS(CF_CUOTA,CF_MAS,ITP_TRAMO_ALTO,CF_CCMIN,"&lt;="&amp;CM52,CF_CCMAX,"&gt;="&amp;CM52),IF(BA52&gt;ITP_TRAMO_BAJO,SUMIFS(CF_CUOTA,CF_MAS,ITP_TRAMO_BAJO,CF_CCMIN,"&lt;="&amp;CM52,CF_CCMAX,"&gt;="&amp;CM52),O52*ITP_TIPO)),O52*ITP_TIPO))</f>
        <v/>
      </c>
      <c r="CO52" s="4">
        <f>IF(R52="profesional",N(AK52),0)</f>
        <v/>
      </c>
      <c r="CP52" s="3">
        <f>IF(AND(R52="profesional",ISNUMBER(AK52),AL52="sí"),0,TASA_DGT)</f>
        <v/>
      </c>
      <c r="CQ52" s="3">
        <f>INFORME_DGT</f>
        <v/>
      </c>
      <c r="CR52" s="4">
        <f>O52+CO52+CN52+CP52+CQ52</f>
        <v/>
      </c>
      <c r="CS52" s="4">
        <f>CR52+N(CF52)</f>
        <v/>
      </c>
      <c r="CT52" s="3">
        <f>IF(CR52&lt;=TOTAL_MAX,"sí",IF(CR52&lt;=TOTAL_MAX+MARGEN_NEG,"negociar","no"))</f>
        <v/>
      </c>
      <c r="CU52" s="4">
        <f>IF(CT52&lt;&gt;"no",COUNTIFS($CT$2:$CT$545,"&lt;&gt;no",$CL$2:$CL$545,"&gt;"&amp;CL52)+COUNTIFS($CT$2:CT52,"&lt;&gt;no",$CL$2:CL52,CL52),"")</f>
        <v/>
      </c>
    </row>
    <row r="53">
      <c r="A53" s="2" t="inlineStr">
        <is>
          <t>wallapop:1301004890</t>
        </is>
      </c>
      <c r="B53" s="2" t="inlineStr">
        <is>
          <t>wallapop</t>
        </is>
      </c>
      <c r="C53" s="2" t="inlineStr">
        <is>
          <t>https://es.wallapop.com/item/fiat-bravo-2008-1301004890</t>
        </is>
      </c>
      <c r="D53" s="2" t="inlineStr">
        <is>
          <t>GRAN OFERTA FIAT Bravo 2008 PERFECTO ESTADO</t>
        </is>
      </c>
      <c r="E53" s="2" t="inlineStr">
        <is>
          <t>Fiat</t>
        </is>
      </c>
      <c r="F53" s="2" t="inlineStr">
        <is>
          <t>Fiat Bravo</t>
        </is>
      </c>
      <c r="G53" s="2" t="inlineStr">
        <is>
          <t>1.4 T-Jet</t>
        </is>
      </c>
      <c r="H53" s="2" t="inlineStr">
        <is>
          <t>1.4 T-Jet 16v 120 Dynamic 5p</t>
        </is>
      </c>
      <c r="I53" s="2" t="n"/>
      <c r="J53" s="2" t="n">
        <v>120</v>
      </c>
      <c r="K53" s="2" t="inlineStr">
        <is>
          <t>diesel</t>
        </is>
      </c>
      <c r="L53" s="2" t="inlineStr">
        <is>
          <t>compacto</t>
        </is>
      </c>
      <c r="M53" s="2" t="n">
        <v>2008</v>
      </c>
      <c r="N53" s="2" t="n">
        <v>170000</v>
      </c>
      <c r="O53" s="2" t="n">
        <v>3000</v>
      </c>
      <c r="P53" s="2" t="inlineStr">
        <is>
          <t>manual</t>
        </is>
      </c>
      <c r="Q53" s="2" t="inlineStr">
        <is>
          <t>no</t>
        </is>
      </c>
      <c r="R53" s="2" t="inlineStr">
        <is>
          <t>particular</t>
        </is>
      </c>
      <c r="S53" s="2" t="inlineStr">
        <is>
          <t>Valencia (46019)</t>
        </is>
      </c>
      <c r="T53" s="2" t="inlineStr">
        <is>
          <t>2026-09-12T14:36:23</t>
        </is>
      </c>
      <c r="U53" s="2" t="n">
        <v>8</v>
      </c>
      <c r="V53" s="2" t="inlineStr">
        <is>
          <t>sí</t>
        </is>
      </c>
      <c r="W53" s="2" t="n"/>
      <c r="X53" s="2" t="n"/>
      <c r="Y53" s="2" t="n"/>
      <c r="Z53" s="2" t="n"/>
      <c r="AA53" s="2" t="n"/>
      <c r="AB53" s="2" t="n"/>
      <c r="AC53" s="2" t="n"/>
      <c r="AD53" s="2" t="n"/>
      <c r="AE53" s="2" t="n"/>
      <c r="AF53" s="2" t="n"/>
      <c r="AG53" s="2" t="n"/>
      <c r="AH53" s="2" t="n"/>
      <c r="AI53" s="2" t="n"/>
      <c r="AJ53" s="2" t="n"/>
      <c r="AK53" s="2" t="n"/>
      <c r="AL53" s="2" t="n"/>
      <c r="AM53" s="2" t="n">
        <v>3.7</v>
      </c>
      <c r="AN53" s="2" t="n"/>
      <c r="AO53" s="2" t="inlineStr">
        <is>
          <t>2008</t>
        </is>
      </c>
      <c r="AP53" s="2" t="n">
        <v>2008</v>
      </c>
      <c r="AQ53" s="2" t="n"/>
      <c r="AR53" s="2" t="n"/>
      <c r="AS53" s="2" t="inlineStr">
        <is>
          <t>regla</t>
        </is>
      </c>
      <c r="AT53" s="2" t="n">
        <v>2800</v>
      </c>
      <c r="AU53" s="2" t="n">
        <v>8</v>
      </c>
      <c r="AV53" s="2" t="inlineStr">
        <is>
          <t>modelo+año</t>
        </is>
      </c>
      <c r="AW53" s="2" t="n"/>
      <c r="AX53" s="2" t="inlineStr">
        <is>
          <t>cuota fija ITP: &gt;12 años, hasta 1.500 cc; diésel: motor sin fuente de fiabilidad (fiabilidad limitada a neutra); fiabilidad del modelo PENDIENTE de fuente (puntuación neutra)</t>
        </is>
      </c>
      <c r="AY53" s="2" t="inlineStr">
        <is>
          <t>Se vende este magnifico coche, en perfecto estado, revisiones al día. ITV al día.
Increible precio.</t>
        </is>
      </c>
      <c r="AZ53" s="2" t="inlineStr">
        <is>
          <t>https://es.wallapop.com/item/fiat-bravo-2008-1301004890 (__NEXT_DATA__ item) /home/user/Alopecia/buscador-coches/raw/wallapop/e6e173557728f819.json</t>
        </is>
      </c>
      <c r="BA53" s="3">
        <f>MAX(ANIO_ACTUAL-M53,0)</f>
        <v/>
      </c>
      <c r="BB53" s="4">
        <f>N53/MAX(BA53,0.5)</f>
        <v/>
      </c>
      <c r="BC53" s="4">
        <f>F53</f>
        <v/>
      </c>
      <c r="BD53" s="3">
        <f>BC53&amp;"|"&amp;INT(M53/SEG_ANIO)*SEG_ANIO</f>
        <v/>
      </c>
      <c r="BE53" s="3">
        <f>BD53&amp;"|"&amp;INT(N53/SEG_KM)*SEG_KM</f>
        <v/>
      </c>
      <c r="BF53" s="4">
        <f>COUNTIF($BC$2:$BC$545,BC53)</f>
        <v/>
      </c>
      <c r="BG53" s="4">
        <f>COUNTIF($BD$2:$BD$545,BD53)</f>
        <v/>
      </c>
      <c r="BH53" s="4">
        <f>COUNTIF($BE$2:$BE$545,BE53)</f>
        <v/>
      </c>
      <c r="BI53" s="3">
        <f t="array" ref="BI53">IF(N(AU53)&gt;=MIN_N,AT53,IF(BH53&gt;=MIN_N,MEDIAN(IF($BE$2:$BE$545=BE53,$O$2:$O$545)),IF(BG53&gt;=MIN_N,MEDIAN(IF($BD$2:$BD$545=BD53,$O$2:$O$545)),MEDIAN(IF($BC$2:$BC$545=BC53,$O$2:$O$545)))))</f>
        <v/>
      </c>
      <c r="BJ53" s="3">
        <f>IF(N(AU53)&gt;=MIN_N,"mercado "&amp;AV53,IF(BH53&gt;=MIN_N,"modelo+año+km",IF(BG53&gt;=MIN_N,"modelo+año","modelo")))</f>
        <v/>
      </c>
      <c r="BK53" s="4">
        <f>(BI53-O53)/BI53</f>
        <v/>
      </c>
      <c r="BL53" s="3">
        <f>IF(COUNTIFS(FR_FUEL,K53,FR_YEAR,AP53)&gt;0,1,0)</f>
        <v/>
      </c>
      <c r="BM53" s="3">
        <f>IF(COUNTIFS(FR_FUEL,K53,FR_YEAR,AP53-1)&gt;0,1,0)</f>
        <v/>
      </c>
      <c r="BN53" s="4">
        <f>IF(N(AQ53)&gt;0,AP53*100+AQ53,IF(AND(BL53=1,BM53=1),(AP53-1)*100+1,AP53*100+1))</f>
        <v/>
      </c>
      <c r="BO53" s="3">
        <f>IF(OR(K53="hibrido",K53="glp",K53="gnc",K53="phev"),"ECO",IF(K53="electrico","CERO",IF(K53="gasolina",IF(BN53&gt;=GAS_C_YM,"C",IF(BN53&gt;=GAS_B_YM,"B","A")),IF(K53="diesel",IF(BN53&gt;=DIE_C_YM,"C",IF(BN53&gt;=DIE_B_YM,"B","A")),""))))</f>
        <v/>
      </c>
      <c r="BP53" s="4">
        <f>BO53</f>
        <v/>
      </c>
      <c r="BQ53" s="4">
        <f>IF(AS53="regla",IF(AND(N(AQ53)=0,BL53=1),"sí","no"),"no")</f>
        <v/>
      </c>
      <c r="BR53" s="3">
        <f>IFERROR(VLOOKUP(F53,MOD_TBL,11,0),IFERROR(VLOOKUP(E53,OCU_TBL,2,0),NEUTRO))</f>
        <v/>
      </c>
      <c r="BS53" s="3">
        <f>SUMIFS(MOT_AJUSTE,MOT_MOTOR,G53,MOT_MARCA,E53,MOT_DESDE,"&lt;="&amp;M53,MOT_HASTA,"&gt;="&amp;M53)+SUMIFS(MOT_AJUSTE,MOT_MOTOR,G53,MOT_MARCA,"(todas)",MOT_DESDE,"&lt;="&amp;M53,MOT_HASTA,"&gt;="&amp;M53)</f>
        <v/>
      </c>
      <c r="BT53" s="3">
        <f>SUMIFS(COMB_AJUSTE,COMB_COMB,K53)</f>
        <v/>
      </c>
      <c r="BU53" s="3">
        <f>COUNTIFS(MOT_MOTOR,G53,MOT_MARCA,E53,MOT_DESDE,"&lt;="&amp;M53,MOT_HASTA,"&gt;="&amp;M53)+COUNTIFS(MOT_MOTOR,G53,MOT_MARCA,"(todas)",MOT_DESDE,"&lt;="&amp;M53,MOT_HASTA,"&gt;="&amp;M53)</f>
        <v/>
      </c>
      <c r="BV53" s="3">
        <f>IF(AND(K53="diesel",BU53=0),MIN(BR53,NEUTRO),BR53)</f>
        <v/>
      </c>
      <c r="BW53" s="4">
        <f>MAX(0,MIN(100,BV53+BS53+BT53))</f>
        <v/>
      </c>
      <c r="BX53" s="3">
        <f>MAX(0,MIN(100,50+BK53*PRECIO_PEND))</f>
        <v/>
      </c>
      <c r="BY53" s="3">
        <f>MAX(0,100*(1-N53/KM_MAX))</f>
        <v/>
      </c>
      <c r="BZ53" s="3">
        <f>IF(BB53&lt;KMA_SOSP,IF(AA53="sí",100,KMA_PEN),IF(BB53&lt;=KMA_IDEAL_MAX,100,MAX(0,100*(KMA_CERO-BB53)/(KMA_CERO-KMA_IDEAL_MAX))))</f>
        <v/>
      </c>
      <c r="CA53" s="3">
        <f>MAX(0,MIN(100,100*(M53-ANIO_MIN)/(ANIO_ACTUAL-ANIO_MIN)))</f>
        <v/>
      </c>
      <c r="CB53" s="3">
        <f>W_KMT*BY53+W_KMA*BZ53+W_EDAD*CA53</f>
        <v/>
      </c>
      <c r="CC53" s="3">
        <f>P_ITV*(V53="sí")+P_LIBRO*(W53="sí")+P_CORREA*(X53="sí")+P_PROP*(Y53=1)+P_GAR*(Z53="sí")+P_FOTOS*MIN(1,N(U53)/FOTOS_OBJ)</f>
        <v/>
      </c>
      <c r="CD53" s="3">
        <f>MAX(0,MIN(100,IFERROR(VLOOKUP(BP53,ETQ_TBL,2,0),0)-IF(BQ53="sí",ETQ_PEN_DUD,IF(AS53="regla",ETQ_PEN_REGLA,0))))</f>
        <v/>
      </c>
      <c r="CE53" s="3">
        <f>NEUTRO</f>
        <v/>
      </c>
      <c r="CF53" s="3">
        <f>IFERROR(VLOOKUP(L53,SEGURO_TBL,3,0),"")</f>
        <v/>
      </c>
      <c r="CG53" s="3">
        <f>IF(CF53="",NEUTRO,MAX(0,MIN(100,100*(SEG_REF_MAX-CF53)/(SEG_REF_MAX-SEG_REF_MIN))))</f>
        <v/>
      </c>
      <c r="CH53" s="3">
        <f>W_CONS*CE53+W_SEG*CG53</f>
        <v/>
      </c>
      <c r="CI53" s="3">
        <f>IF(N(AB53)&gt;0,AB53,IF(AND(R53="profesional",SG_LEGAL_ON=1),GAR_LEGAL,0))</f>
        <v/>
      </c>
      <c r="CJ53" s="3">
        <f>SG_GAR*MIN(1,CI53/SG_GAR_FULL)+SG_AMPL*(AC53="sí")+SG_KMC*(AF53="sí")+SG_REV*(N(AE53)&gt;0)+SG_DEV*MIN(1,N(AG53)/SG_DEV_FULL)+SG_HIST*(W53="sí")</f>
        <v/>
      </c>
      <c r="CK53" s="3">
        <f>IFERROR(VLOOKUP(L53,CARR_PEN_TBL,2,0),0)</f>
        <v/>
      </c>
      <c r="CL53" s="3">
        <f>W_FIAB*BW53+W_PRECIO*BX53+W_KMEDAD*CB53+W_ANUNCIO*CC53+W_USO*CH53+W_SEGURIDAD*CJ53+W_ETIQUETA*CD53-CK53</f>
        <v/>
      </c>
      <c r="CM53" s="4">
        <f>IF(N(I53)&gt;0,I53,IFERROR(ROUND(_xlfn.NUMBERVALUE(LEFT(G53,FIND(" ",G53&amp;" ")-1),".")*1000,0),99999))</f>
        <v/>
      </c>
      <c r="CN53" s="3">
        <f>IF(R53="profesional",0,IF(O53&lt;CUOTA_VALOR_MAX,IF(BA53&gt;ITP_TRAMO_ALTO,SUMIFS(CF_CUOTA,CF_MAS,ITP_TRAMO_ALTO,CF_CCMIN,"&lt;="&amp;CM53,CF_CCMAX,"&gt;="&amp;CM53),IF(BA53&gt;ITP_TRAMO_BAJO,SUMIFS(CF_CUOTA,CF_MAS,ITP_TRAMO_BAJO,CF_CCMIN,"&lt;="&amp;CM53,CF_CCMAX,"&gt;="&amp;CM53),O53*ITP_TIPO)),O53*ITP_TIPO))</f>
        <v/>
      </c>
      <c r="CO53" s="4">
        <f>IF(R53="profesional",N(AK53),0)</f>
        <v/>
      </c>
      <c r="CP53" s="3">
        <f>IF(AND(R53="profesional",ISNUMBER(AK53),AL53="sí"),0,TASA_DGT)</f>
        <v/>
      </c>
      <c r="CQ53" s="3">
        <f>INFORME_DGT</f>
        <v/>
      </c>
      <c r="CR53" s="4">
        <f>O53+CO53+CN53+CP53+CQ53</f>
        <v/>
      </c>
      <c r="CS53" s="4">
        <f>CR53+N(CF53)</f>
        <v/>
      </c>
      <c r="CT53" s="3">
        <f>IF(CR53&lt;=TOTAL_MAX,"sí",IF(CR53&lt;=TOTAL_MAX+MARGEN_NEG,"negociar","no"))</f>
        <v/>
      </c>
      <c r="CU53" s="4">
        <f>IF(CT53&lt;&gt;"no",COUNTIFS($CT$2:$CT$545,"&lt;&gt;no",$CL$2:$CL$545,"&gt;"&amp;CL53)+COUNTIFS($CT$2:CT53,"&lt;&gt;no",$CL$2:CL53,CL53),"")</f>
        <v/>
      </c>
    </row>
    <row r="54">
      <c r="A54" s="2" t="inlineStr">
        <is>
          <t>wallapop:1266735810</t>
        </is>
      </c>
      <c r="B54" s="2" t="inlineStr">
        <is>
          <t>wallapop</t>
        </is>
      </c>
      <c r="C54" s="2" t="inlineStr">
        <is>
          <t>https://es.wallapop.com/item/fiat-bravo-2008-1266735810</t>
        </is>
      </c>
      <c r="D54" s="2" t="inlineStr">
        <is>
          <t>FIAT Bravo 2008</t>
        </is>
      </c>
      <c r="E54" s="2" t="inlineStr">
        <is>
          <t>Fiat</t>
        </is>
      </c>
      <c r="F54" s="2" t="inlineStr">
        <is>
          <t>Fiat Bravo</t>
        </is>
      </c>
      <c r="G54" s="2" t="inlineStr">
        <is>
          <t>1.6 Multijet</t>
        </is>
      </c>
      <c r="H54" s="2" t="inlineStr">
        <is>
          <t>1.6 Multijet 105 ECO Active 5p</t>
        </is>
      </c>
      <c r="I54" s="2" t="n"/>
      <c r="J54" s="2" t="n">
        <v>105</v>
      </c>
      <c r="K54" s="2" t="inlineStr">
        <is>
          <t>diesel</t>
        </is>
      </c>
      <c r="L54" s="2" t="inlineStr">
        <is>
          <t>compacto</t>
        </is>
      </c>
      <c r="M54" s="2" t="n">
        <v>2008</v>
      </c>
      <c r="N54" s="2" t="n">
        <v>192000</v>
      </c>
      <c r="O54" s="2" t="n">
        <v>2500</v>
      </c>
      <c r="P54" s="2" t="inlineStr">
        <is>
          <t>manual</t>
        </is>
      </c>
      <c r="Q54" s="2" t="inlineStr">
        <is>
          <t>no</t>
        </is>
      </c>
      <c r="R54" s="2" t="inlineStr">
        <is>
          <t>particular</t>
        </is>
      </c>
      <c r="S54" s="2" t="inlineStr">
        <is>
          <t>Valencia (46018)</t>
        </is>
      </c>
      <c r="T54" s="2" t="inlineStr">
        <is>
          <t>2026-10-16T20:27:43</t>
        </is>
      </c>
      <c r="U54" s="2" t="n">
        <v>10</v>
      </c>
      <c r="V54" s="2" t="inlineStr">
        <is>
          <t>sí</t>
        </is>
      </c>
      <c r="W54" s="2" t="n"/>
      <c r="X54" s="2" t="n"/>
      <c r="Y54" s="2" t="n"/>
      <c r="Z54" s="2" t="n"/>
      <c r="AA54" s="2" t="n"/>
      <c r="AB54" s="2" t="n"/>
      <c r="AC54" s="2" t="n"/>
      <c r="AD54" s="2" t="n"/>
      <c r="AE54" s="2" t="n"/>
      <c r="AF54" s="2" t="n"/>
      <c r="AG54" s="2" t="n"/>
      <c r="AH54" s="2" t="n"/>
      <c r="AI54" s="2" t="n"/>
      <c r="AJ54" s="2" t="n"/>
      <c r="AK54" s="2" t="n"/>
      <c r="AL54" s="2" t="n"/>
      <c r="AM54" s="2" t="n">
        <v>1.8</v>
      </c>
      <c r="AN54" s="2" t="n"/>
      <c r="AO54" s="2" t="inlineStr">
        <is>
          <t>2008</t>
        </is>
      </c>
      <c r="AP54" s="2" t="n">
        <v>2008</v>
      </c>
      <c r="AQ54" s="2" t="n"/>
      <c r="AR54" s="2" t="n"/>
      <c r="AS54" s="2" t="inlineStr">
        <is>
          <t>regla</t>
        </is>
      </c>
      <c r="AT54" s="2" t="n">
        <v>2800</v>
      </c>
      <c r="AU54" s="2" t="n">
        <v>8</v>
      </c>
      <c r="AV54" s="2" t="inlineStr">
        <is>
          <t>modelo+año</t>
        </is>
      </c>
      <c r="AW54" s="2" t="n"/>
      <c r="AX54" s="2" t="inlineStr">
        <is>
          <t>cuota fija ITP: &gt;12 años, 1.501-2.000 cc; diésel: motor sin fuente de fiabilidad (fiabilidad limitada a neutra); fiabilidad del modelo PENDIENTE de fuente (puntuación neutra)</t>
        </is>
      </c>
      <c r="AY54" s="2" t="inlineStr">
        <is>
          <t>Coche al día con todo , aire acondicionado, dirección asistida, cierre con mando , ITV recién pasada , coche de uso diario con sus cosas de los años , compacto y espacioso por dentro.</t>
        </is>
      </c>
      <c r="AZ54" s="2" t="inlineStr">
        <is>
          <t>https://es.wallapop.com/item/fiat-bravo-2008-1266735810 (__NEXT_DATA__ item) /home/user/Alopecia/buscador-coches/raw/wallapop/6c1fc3b58b7b7404.json</t>
        </is>
      </c>
      <c r="BA54" s="3">
        <f>MAX(ANIO_ACTUAL-M54,0)</f>
        <v/>
      </c>
      <c r="BB54" s="4">
        <f>N54/MAX(BA54,0.5)</f>
        <v/>
      </c>
      <c r="BC54" s="4">
        <f>F54</f>
        <v/>
      </c>
      <c r="BD54" s="3">
        <f>BC54&amp;"|"&amp;INT(M54/SEG_ANIO)*SEG_ANIO</f>
        <v/>
      </c>
      <c r="BE54" s="3">
        <f>BD54&amp;"|"&amp;INT(N54/SEG_KM)*SEG_KM</f>
        <v/>
      </c>
      <c r="BF54" s="4">
        <f>COUNTIF($BC$2:$BC$545,BC54)</f>
        <v/>
      </c>
      <c r="BG54" s="4">
        <f>COUNTIF($BD$2:$BD$545,BD54)</f>
        <v/>
      </c>
      <c r="BH54" s="4">
        <f>COUNTIF($BE$2:$BE$545,BE54)</f>
        <v/>
      </c>
      <c r="BI54" s="3">
        <f t="array" ref="BI54">IF(N(AU54)&gt;=MIN_N,AT54,IF(BH54&gt;=MIN_N,MEDIAN(IF($BE$2:$BE$545=BE54,$O$2:$O$545)),IF(BG54&gt;=MIN_N,MEDIAN(IF($BD$2:$BD$545=BD54,$O$2:$O$545)),MEDIAN(IF($BC$2:$BC$545=BC54,$O$2:$O$545)))))</f>
        <v/>
      </c>
      <c r="BJ54" s="3">
        <f>IF(N(AU54)&gt;=MIN_N,"mercado "&amp;AV54,IF(BH54&gt;=MIN_N,"modelo+año+km",IF(BG54&gt;=MIN_N,"modelo+año","modelo")))</f>
        <v/>
      </c>
      <c r="BK54" s="4">
        <f>(BI54-O54)/BI54</f>
        <v/>
      </c>
      <c r="BL54" s="3">
        <f>IF(COUNTIFS(FR_FUEL,K54,FR_YEAR,AP54)&gt;0,1,0)</f>
        <v/>
      </c>
      <c r="BM54" s="3">
        <f>IF(COUNTIFS(FR_FUEL,K54,FR_YEAR,AP54-1)&gt;0,1,0)</f>
        <v/>
      </c>
      <c r="BN54" s="4">
        <f>IF(N(AQ54)&gt;0,AP54*100+AQ54,IF(AND(BL54=1,BM54=1),(AP54-1)*100+1,AP54*100+1))</f>
        <v/>
      </c>
      <c r="BO54" s="3">
        <f>IF(OR(K54="hibrido",K54="glp",K54="gnc",K54="phev"),"ECO",IF(K54="electrico","CERO",IF(K54="gasolina",IF(BN54&gt;=GAS_C_YM,"C",IF(BN54&gt;=GAS_B_YM,"B","A")),IF(K54="diesel",IF(BN54&gt;=DIE_C_YM,"C",IF(BN54&gt;=DIE_B_YM,"B","A")),""))))</f>
        <v/>
      </c>
      <c r="BP54" s="4">
        <f>BO54</f>
        <v/>
      </c>
      <c r="BQ54" s="4">
        <f>IF(AS54="regla",IF(AND(N(AQ54)=0,BL54=1),"sí","no"),"no")</f>
        <v/>
      </c>
      <c r="BR54" s="3">
        <f>IFERROR(VLOOKUP(F54,MOD_TBL,11,0),IFERROR(VLOOKUP(E54,OCU_TBL,2,0),NEUTRO))</f>
        <v/>
      </c>
      <c r="BS54" s="3">
        <f>SUMIFS(MOT_AJUSTE,MOT_MOTOR,G54,MOT_MARCA,E54,MOT_DESDE,"&lt;="&amp;M54,MOT_HASTA,"&gt;="&amp;M54)+SUMIFS(MOT_AJUSTE,MOT_MOTOR,G54,MOT_MARCA,"(todas)",MOT_DESDE,"&lt;="&amp;M54,MOT_HASTA,"&gt;="&amp;M54)</f>
        <v/>
      </c>
      <c r="BT54" s="3">
        <f>SUMIFS(COMB_AJUSTE,COMB_COMB,K54)</f>
        <v/>
      </c>
      <c r="BU54" s="3">
        <f>COUNTIFS(MOT_MOTOR,G54,MOT_MARCA,E54,MOT_DESDE,"&lt;="&amp;M54,MOT_HASTA,"&gt;="&amp;M54)+COUNTIFS(MOT_MOTOR,G54,MOT_MARCA,"(todas)",MOT_DESDE,"&lt;="&amp;M54,MOT_HASTA,"&gt;="&amp;M54)</f>
        <v/>
      </c>
      <c r="BV54" s="3">
        <f>IF(AND(K54="diesel",BU54=0),MIN(BR54,NEUTRO),BR54)</f>
        <v/>
      </c>
      <c r="BW54" s="4">
        <f>MAX(0,MIN(100,BV54+BS54+BT54))</f>
        <v/>
      </c>
      <c r="BX54" s="3">
        <f>MAX(0,MIN(100,50+BK54*PRECIO_PEND))</f>
        <v/>
      </c>
      <c r="BY54" s="3">
        <f>MAX(0,100*(1-N54/KM_MAX))</f>
        <v/>
      </c>
      <c r="BZ54" s="3">
        <f>IF(BB54&lt;KMA_SOSP,IF(AA54="sí",100,KMA_PEN),IF(BB54&lt;=KMA_IDEAL_MAX,100,MAX(0,100*(KMA_CERO-BB54)/(KMA_CERO-KMA_IDEAL_MAX))))</f>
        <v/>
      </c>
      <c r="CA54" s="3">
        <f>MAX(0,MIN(100,100*(M54-ANIO_MIN)/(ANIO_ACTUAL-ANIO_MIN)))</f>
        <v/>
      </c>
      <c r="CB54" s="3">
        <f>W_KMT*BY54+W_KMA*BZ54+W_EDAD*CA54</f>
        <v/>
      </c>
      <c r="CC54" s="3">
        <f>P_ITV*(V54="sí")+P_LIBRO*(W54="sí")+P_CORREA*(X54="sí")+P_PROP*(Y54=1)+P_GAR*(Z54="sí")+P_FOTOS*MIN(1,N(U54)/FOTOS_OBJ)</f>
        <v/>
      </c>
      <c r="CD54" s="3">
        <f>MAX(0,MIN(100,IFERROR(VLOOKUP(BP54,ETQ_TBL,2,0),0)-IF(BQ54="sí",ETQ_PEN_DUD,IF(AS54="regla",ETQ_PEN_REGLA,0))))</f>
        <v/>
      </c>
      <c r="CE54" s="3">
        <f>NEUTRO</f>
        <v/>
      </c>
      <c r="CF54" s="3">
        <f>IFERROR(VLOOKUP(L54,SEGURO_TBL,3,0),"")</f>
        <v/>
      </c>
      <c r="CG54" s="3">
        <f>IF(CF54="",NEUTRO,MAX(0,MIN(100,100*(SEG_REF_MAX-CF54)/(SEG_REF_MAX-SEG_REF_MIN))))</f>
        <v/>
      </c>
      <c r="CH54" s="3">
        <f>W_CONS*CE54+W_SEG*CG54</f>
        <v/>
      </c>
      <c r="CI54" s="3">
        <f>IF(N(AB54)&gt;0,AB54,IF(AND(R54="profesional",SG_LEGAL_ON=1),GAR_LEGAL,0))</f>
        <v/>
      </c>
      <c r="CJ54" s="3">
        <f>SG_GAR*MIN(1,CI54/SG_GAR_FULL)+SG_AMPL*(AC54="sí")+SG_KMC*(AF54="sí")+SG_REV*(N(AE54)&gt;0)+SG_DEV*MIN(1,N(AG54)/SG_DEV_FULL)+SG_HIST*(W54="sí")</f>
        <v/>
      </c>
      <c r="CK54" s="3">
        <f>IFERROR(VLOOKUP(L54,CARR_PEN_TBL,2,0),0)</f>
        <v/>
      </c>
      <c r="CL54" s="3">
        <f>W_FIAB*BW54+W_PRECIO*BX54+W_KMEDAD*CB54+W_ANUNCIO*CC54+W_USO*CH54+W_SEGURIDAD*CJ54+W_ETIQUETA*CD54-CK54</f>
        <v/>
      </c>
      <c r="CM54" s="4">
        <f>IF(N(I54)&gt;0,I54,IFERROR(ROUND(_xlfn.NUMBERVALUE(LEFT(G54,FIND(" ",G54&amp;" ")-1),".")*1000,0),99999))</f>
        <v/>
      </c>
      <c r="CN54" s="3">
        <f>IF(R54="profesional",0,IF(O54&lt;CUOTA_VALOR_MAX,IF(BA54&gt;ITP_TRAMO_ALTO,SUMIFS(CF_CUOTA,CF_MAS,ITP_TRAMO_ALTO,CF_CCMIN,"&lt;="&amp;CM54,CF_CCMAX,"&gt;="&amp;CM54),IF(BA54&gt;ITP_TRAMO_BAJO,SUMIFS(CF_CUOTA,CF_MAS,ITP_TRAMO_BAJO,CF_CCMIN,"&lt;="&amp;CM54,CF_CCMAX,"&gt;="&amp;CM54),O54*ITP_TIPO)),O54*ITP_TIPO))</f>
        <v/>
      </c>
      <c r="CO54" s="4">
        <f>IF(R54="profesional",N(AK54),0)</f>
        <v/>
      </c>
      <c r="CP54" s="3">
        <f>IF(AND(R54="profesional",ISNUMBER(AK54),AL54="sí"),0,TASA_DGT)</f>
        <v/>
      </c>
      <c r="CQ54" s="3">
        <f>INFORME_DGT</f>
        <v/>
      </c>
      <c r="CR54" s="4">
        <f>O54+CO54+CN54+CP54+CQ54</f>
        <v/>
      </c>
      <c r="CS54" s="4">
        <f>CR54+N(CF54)</f>
        <v/>
      </c>
      <c r="CT54" s="3">
        <f>IF(CR54&lt;=TOTAL_MAX,"sí",IF(CR54&lt;=TOTAL_MAX+MARGEN_NEG,"negociar","no"))</f>
        <v/>
      </c>
      <c r="CU54" s="4">
        <f>IF(CT54&lt;&gt;"no",COUNTIFS($CT$2:$CT$545,"&lt;&gt;no",$CL$2:$CL$545,"&gt;"&amp;CL54)+COUNTIFS($CT$2:CT54,"&lt;&gt;no",$CL$2:CL54,CL54),"")</f>
        <v/>
      </c>
    </row>
    <row r="55">
      <c r="A55" s="2" t="inlineStr">
        <is>
          <t>wallapop:1290605393</t>
        </is>
      </c>
      <c r="B55" s="2" t="inlineStr">
        <is>
          <t>wallapop</t>
        </is>
      </c>
      <c r="C55" s="2" t="inlineStr">
        <is>
          <t>https://es.wallapop.com/item/chevrolet-aveo-2012-1290605393</t>
        </is>
      </c>
      <c r="D55" s="2" t="inlineStr">
        <is>
          <t>SE VENDE Chevrolet Aveo 1.4 2012 - Etiqueta C</t>
        </is>
      </c>
      <c r="E55" s="2" t="inlineStr">
        <is>
          <t>Chevrolet</t>
        </is>
      </c>
      <c r="F55" s="2" t="inlineStr">
        <is>
          <t>Chevrolet Aveo</t>
        </is>
      </c>
      <c r="G55" s="2" t="inlineStr">
        <is>
          <t>1.4</t>
        </is>
      </c>
      <c r="H55" s="2" t="inlineStr">
        <is>
          <t>1.4 100 LT+ 5p MY12</t>
        </is>
      </c>
      <c r="I55" s="2" t="n"/>
      <c r="J55" s="2" t="n">
        <v>100</v>
      </c>
      <c r="K55" s="2" t="inlineStr">
        <is>
          <t>gasolina</t>
        </is>
      </c>
      <c r="L55" s="2" t="inlineStr">
        <is>
          <t>utilitario</t>
        </is>
      </c>
      <c r="M55" s="2" t="n">
        <v>2012</v>
      </c>
      <c r="N55" s="2" t="n">
        <v>211000</v>
      </c>
      <c r="O55" s="2" t="n">
        <v>4000</v>
      </c>
      <c r="P55" s="2" t="inlineStr">
        <is>
          <t>manual</t>
        </is>
      </c>
      <c r="Q55" s="2" t="inlineStr">
        <is>
          <t>no</t>
        </is>
      </c>
      <c r="R55" s="2" t="inlineStr">
        <is>
          <t>particular</t>
        </is>
      </c>
      <c r="S55" s="2" t="inlineStr">
        <is>
          <t>Valencia (46007)</t>
        </is>
      </c>
      <c r="T55" s="2" t="inlineStr">
        <is>
          <t>2026-09-10T11:16:51</t>
        </is>
      </c>
      <c r="U55" s="2" t="n">
        <v>10</v>
      </c>
      <c r="V55" s="2" t="n"/>
      <c r="W55" s="2" t="n"/>
      <c r="X55" s="2" t="n"/>
      <c r="Y55" s="2" t="n"/>
      <c r="Z55" s="2" t="n"/>
      <c r="AA55" s="2" t="n"/>
      <c r="AB55" s="2" t="n"/>
      <c r="AC55" s="2" t="n"/>
      <c r="AD55" s="2" t="n"/>
      <c r="AE55" s="2" t="n"/>
      <c r="AF55" s="2" t="n"/>
      <c r="AG55" s="2" t="n"/>
      <c r="AH55" s="2" t="n"/>
      <c r="AI55" s="2" t="n"/>
      <c r="AJ55" s="2" t="n"/>
      <c r="AK55" s="2" t="n"/>
      <c r="AL55" s="2" t="n"/>
      <c r="AM55" s="2" t="n">
        <v>1</v>
      </c>
      <c r="AN55" s="2" t="n"/>
      <c r="AO55" s="2" t="inlineStr">
        <is>
          <t>2012</t>
        </is>
      </c>
      <c r="AP55" s="2" t="n">
        <v>2012</v>
      </c>
      <c r="AQ55" s="2" t="n"/>
      <c r="AR55" s="2" t="n"/>
      <c r="AS55" s="2" t="inlineStr">
        <is>
          <t>regla</t>
        </is>
      </c>
      <c r="AT55" s="2" t="n">
        <v>3950</v>
      </c>
      <c r="AU55" s="2" t="n">
        <v>12</v>
      </c>
      <c r="AV55" s="2" t="inlineStr">
        <is>
          <t>modelo+año</t>
        </is>
      </c>
      <c r="AW55" s="2" t="n"/>
      <c r="AX55" s="2" t="inlineStr">
        <is>
          <t>cuota fija ITP: &gt;12 años, hasta 1.500 cc; fiabilidad del modelo PENDIENTE de fuente (puntuación neutra)</t>
        </is>
      </c>
      <c r="AY55" s="2" t="inlineStr">
        <is>
          <t>Vendo mi Chevrolet Aveo 1.4 gasolina del año 2012 itv 2027 todos los impuestos pagados.
Un coche muy fiable y súper económico, ideal para diario. Se aceptan cambios por moto y oro...</t>
        </is>
      </c>
      <c r="AZ55" s="2" t="inlineStr">
        <is>
          <t>https://es.wallapop.com/item/chevrolet-aveo-2012-1290605393 (__NEXT_DATA__ item) /home/user/Alopecia/buscador-coches/raw/wallapop/10a13ec19628f129.json</t>
        </is>
      </c>
      <c r="BA55" s="3">
        <f>MAX(ANIO_ACTUAL-M55,0)</f>
        <v/>
      </c>
      <c r="BB55" s="4">
        <f>N55/MAX(BA55,0.5)</f>
        <v/>
      </c>
      <c r="BC55" s="4">
        <f>F55</f>
        <v/>
      </c>
      <c r="BD55" s="3">
        <f>BC55&amp;"|"&amp;INT(M55/SEG_ANIO)*SEG_ANIO</f>
        <v/>
      </c>
      <c r="BE55" s="3">
        <f>BD55&amp;"|"&amp;INT(N55/SEG_KM)*SEG_KM</f>
        <v/>
      </c>
      <c r="BF55" s="4">
        <f>COUNTIF($BC$2:$BC$545,BC55)</f>
        <v/>
      </c>
      <c r="BG55" s="4">
        <f>COUNTIF($BD$2:$BD$545,BD55)</f>
        <v/>
      </c>
      <c r="BH55" s="4">
        <f>COUNTIF($BE$2:$BE$545,BE55)</f>
        <v/>
      </c>
      <c r="BI55" s="3">
        <f t="array" ref="BI55">IF(N(AU55)&gt;=MIN_N,AT55,IF(BH55&gt;=MIN_N,MEDIAN(IF($BE$2:$BE$545=BE55,$O$2:$O$545)),IF(BG55&gt;=MIN_N,MEDIAN(IF($BD$2:$BD$545=BD55,$O$2:$O$545)),MEDIAN(IF($BC$2:$BC$545=BC55,$O$2:$O$545)))))</f>
        <v/>
      </c>
      <c r="BJ55" s="3">
        <f>IF(N(AU55)&gt;=MIN_N,"mercado "&amp;AV55,IF(BH55&gt;=MIN_N,"modelo+año+km",IF(BG55&gt;=MIN_N,"modelo+año","modelo")))</f>
        <v/>
      </c>
      <c r="BK55" s="4">
        <f>(BI55-O55)/BI55</f>
        <v/>
      </c>
      <c r="BL55" s="3">
        <f>IF(COUNTIFS(FR_FUEL,K55,FR_YEAR,AP55)&gt;0,1,0)</f>
        <v/>
      </c>
      <c r="BM55" s="3">
        <f>IF(COUNTIFS(FR_FUEL,K55,FR_YEAR,AP55-1)&gt;0,1,0)</f>
        <v/>
      </c>
      <c r="BN55" s="4">
        <f>IF(N(AQ55)&gt;0,AP55*100+AQ55,IF(AND(BL55=1,BM55=1),(AP55-1)*100+1,AP55*100+1))</f>
        <v/>
      </c>
      <c r="BO55" s="3">
        <f>IF(OR(K55="hibrido",K55="glp",K55="gnc",K55="phev"),"ECO",IF(K55="electrico","CERO",IF(K55="gasolina",IF(BN55&gt;=GAS_C_YM,"C",IF(BN55&gt;=GAS_B_YM,"B","A")),IF(K55="diesel",IF(BN55&gt;=DIE_C_YM,"C",IF(BN55&gt;=DIE_B_YM,"B","A")),""))))</f>
        <v/>
      </c>
      <c r="BP55" s="4">
        <f>BO55</f>
        <v/>
      </c>
      <c r="BQ55" s="4">
        <f>IF(AS55="regla",IF(AND(N(AQ55)=0,BL55=1),"sí","no"),"no")</f>
        <v/>
      </c>
      <c r="BR55" s="3">
        <f>IFERROR(VLOOKUP(F55,MOD_TBL,11,0),IFERROR(VLOOKUP(E55,OCU_TBL,2,0),NEUTRO))</f>
        <v/>
      </c>
      <c r="BS55" s="3">
        <f>SUMIFS(MOT_AJUSTE,MOT_MOTOR,G55,MOT_MARCA,E55,MOT_DESDE,"&lt;="&amp;M55,MOT_HASTA,"&gt;="&amp;M55)+SUMIFS(MOT_AJUSTE,MOT_MOTOR,G55,MOT_MARCA,"(todas)",MOT_DESDE,"&lt;="&amp;M55,MOT_HASTA,"&gt;="&amp;M55)</f>
        <v/>
      </c>
      <c r="BT55" s="3">
        <f>SUMIFS(COMB_AJUSTE,COMB_COMB,K55)</f>
        <v/>
      </c>
      <c r="BU55" s="3">
        <f>COUNTIFS(MOT_MOTOR,G55,MOT_MARCA,E55,MOT_DESDE,"&lt;="&amp;M55,MOT_HASTA,"&gt;="&amp;M55)+COUNTIFS(MOT_MOTOR,G55,MOT_MARCA,"(todas)",MOT_DESDE,"&lt;="&amp;M55,MOT_HASTA,"&gt;="&amp;M55)</f>
        <v/>
      </c>
      <c r="BV55" s="3">
        <f>IF(AND(K55="diesel",BU55=0),MIN(BR55,NEUTRO),BR55)</f>
        <v/>
      </c>
      <c r="BW55" s="4">
        <f>MAX(0,MIN(100,BV55+BS55+BT55))</f>
        <v/>
      </c>
      <c r="BX55" s="3">
        <f>MAX(0,MIN(100,50+BK55*PRECIO_PEND))</f>
        <v/>
      </c>
      <c r="BY55" s="3">
        <f>MAX(0,100*(1-N55/KM_MAX))</f>
        <v/>
      </c>
      <c r="BZ55" s="3">
        <f>IF(BB55&lt;KMA_SOSP,IF(AA55="sí",100,KMA_PEN),IF(BB55&lt;=KMA_IDEAL_MAX,100,MAX(0,100*(KMA_CERO-BB55)/(KMA_CERO-KMA_IDEAL_MAX))))</f>
        <v/>
      </c>
      <c r="CA55" s="3">
        <f>MAX(0,MIN(100,100*(M55-ANIO_MIN)/(ANIO_ACTUAL-ANIO_MIN)))</f>
        <v/>
      </c>
      <c r="CB55" s="3">
        <f>W_KMT*BY55+W_KMA*BZ55+W_EDAD*CA55</f>
        <v/>
      </c>
      <c r="CC55" s="3">
        <f>P_ITV*(V55="sí")+P_LIBRO*(W55="sí")+P_CORREA*(X55="sí")+P_PROP*(Y55=1)+P_GAR*(Z55="sí")+P_FOTOS*MIN(1,N(U55)/FOTOS_OBJ)</f>
        <v/>
      </c>
      <c r="CD55" s="3">
        <f>MAX(0,MIN(100,IFERROR(VLOOKUP(BP55,ETQ_TBL,2,0),0)-IF(BQ55="sí",ETQ_PEN_DUD,IF(AS55="regla",ETQ_PEN_REGLA,0))))</f>
        <v/>
      </c>
      <c r="CE55" s="3">
        <f>NEUTRO</f>
        <v/>
      </c>
      <c r="CF55" s="3">
        <f>IFERROR(VLOOKUP(L55,SEGURO_TBL,3,0),"")</f>
        <v/>
      </c>
      <c r="CG55" s="3">
        <f>IF(CF55="",NEUTRO,MAX(0,MIN(100,100*(SEG_REF_MAX-CF55)/(SEG_REF_MAX-SEG_REF_MIN))))</f>
        <v/>
      </c>
      <c r="CH55" s="3">
        <f>W_CONS*CE55+W_SEG*CG55</f>
        <v/>
      </c>
      <c r="CI55" s="3">
        <f>IF(N(AB55)&gt;0,AB55,IF(AND(R55="profesional",SG_LEGAL_ON=1),GAR_LEGAL,0))</f>
        <v/>
      </c>
      <c r="CJ55" s="3">
        <f>SG_GAR*MIN(1,CI55/SG_GAR_FULL)+SG_AMPL*(AC55="sí")+SG_KMC*(AF55="sí")+SG_REV*(N(AE55)&gt;0)+SG_DEV*MIN(1,N(AG55)/SG_DEV_FULL)+SG_HIST*(W55="sí")</f>
        <v/>
      </c>
      <c r="CK55" s="3">
        <f>IFERROR(VLOOKUP(L55,CARR_PEN_TBL,2,0),0)</f>
        <v/>
      </c>
      <c r="CL55" s="3">
        <f>W_FIAB*BW55+W_PRECIO*BX55+W_KMEDAD*CB55+W_ANUNCIO*CC55+W_USO*CH55+W_SEGURIDAD*CJ55+W_ETIQUETA*CD55-CK55</f>
        <v/>
      </c>
      <c r="CM55" s="4">
        <f>IF(N(I55)&gt;0,I55,IFERROR(ROUND(_xlfn.NUMBERVALUE(LEFT(G55,FIND(" ",G55&amp;" ")-1),".")*1000,0),99999))</f>
        <v/>
      </c>
      <c r="CN55" s="3">
        <f>IF(R55="profesional",0,IF(O55&lt;CUOTA_VALOR_MAX,IF(BA55&gt;ITP_TRAMO_ALTO,SUMIFS(CF_CUOTA,CF_MAS,ITP_TRAMO_ALTO,CF_CCMIN,"&lt;="&amp;CM55,CF_CCMAX,"&gt;="&amp;CM55),IF(BA55&gt;ITP_TRAMO_BAJO,SUMIFS(CF_CUOTA,CF_MAS,ITP_TRAMO_BAJO,CF_CCMIN,"&lt;="&amp;CM55,CF_CCMAX,"&gt;="&amp;CM55),O55*ITP_TIPO)),O55*ITP_TIPO))</f>
        <v/>
      </c>
      <c r="CO55" s="4">
        <f>IF(R55="profesional",N(AK55),0)</f>
        <v/>
      </c>
      <c r="CP55" s="3">
        <f>IF(AND(R55="profesional",ISNUMBER(AK55),AL55="sí"),0,TASA_DGT)</f>
        <v/>
      </c>
      <c r="CQ55" s="3">
        <f>INFORME_DGT</f>
        <v/>
      </c>
      <c r="CR55" s="4">
        <f>O55+CO55+CN55+CP55+CQ55</f>
        <v/>
      </c>
      <c r="CS55" s="4">
        <f>CR55+N(CF55)</f>
        <v/>
      </c>
      <c r="CT55" s="3">
        <f>IF(CR55&lt;=TOTAL_MAX,"sí",IF(CR55&lt;=TOTAL_MAX+MARGEN_NEG,"negociar","no"))</f>
        <v/>
      </c>
      <c r="CU55" s="4">
        <f>IF(CT55&lt;&gt;"no",COUNTIFS($CT$2:$CT$545,"&lt;&gt;no",$CL$2:$CL$545,"&gt;"&amp;CL55)+COUNTIFS($CT$2:CT55,"&lt;&gt;no",$CL$2:CL55,CL55),"")</f>
        <v/>
      </c>
    </row>
    <row r="56">
      <c r="A56" s="2" t="inlineStr">
        <is>
          <t>wallapop:1315219772</t>
        </is>
      </c>
      <c r="B56" s="2" t="inlineStr">
        <is>
          <t>wallapop</t>
        </is>
      </c>
      <c r="C56" s="2" t="inlineStr">
        <is>
          <t>https://es.wallapop.com/item/chevrolet-cruze-2011-1315219772</t>
        </is>
      </c>
      <c r="D56" s="2" t="inlineStr">
        <is>
          <t>Chevrolet Cruze 2011</t>
        </is>
      </c>
      <c r="E56" s="2" t="inlineStr">
        <is>
          <t>Chevrolet</t>
        </is>
      </c>
      <c r="F56" s="2" t="inlineStr">
        <is>
          <t>Chevrolet Cruze</t>
        </is>
      </c>
      <c r="G56" s="2" t="inlineStr">
        <is>
          <t>2.0</t>
        </is>
      </c>
      <c r="H56" s="2" t="inlineStr">
        <is>
          <t>2.0 VCDI 125 LS 4p</t>
        </is>
      </c>
      <c r="I56" s="2" t="n"/>
      <c r="J56" s="2" t="n">
        <v>125</v>
      </c>
      <c r="K56" s="2" t="inlineStr">
        <is>
          <t>diesel</t>
        </is>
      </c>
      <c r="L56" s="2" t="inlineStr">
        <is>
          <t>berlina</t>
        </is>
      </c>
      <c r="M56" s="2" t="n">
        <v>2011</v>
      </c>
      <c r="N56" s="2" t="n">
        <v>200000</v>
      </c>
      <c r="O56" s="2" t="n">
        <v>2900</v>
      </c>
      <c r="P56" s="2" t="inlineStr">
        <is>
          <t>manual</t>
        </is>
      </c>
      <c r="Q56" s="2" t="inlineStr">
        <is>
          <t>no</t>
        </is>
      </c>
      <c r="R56" s="2" t="inlineStr">
        <is>
          <t>particular</t>
        </is>
      </c>
      <c r="S56" s="2" t="inlineStr">
        <is>
          <t>Valencia (46002)</t>
        </is>
      </c>
      <c r="T56" s="2" t="inlineStr">
        <is>
          <t>2026-10-22T09:26:33</t>
        </is>
      </c>
      <c r="U56" s="2" t="n">
        <v>5</v>
      </c>
      <c r="V56" s="2" t="inlineStr">
        <is>
          <t>sí</t>
        </is>
      </c>
      <c r="W56" s="2" t="n"/>
      <c r="X56" s="2" t="n"/>
      <c r="Y56" s="2" t="n"/>
      <c r="Z56" s="2" t="n"/>
      <c r="AA56" s="2" t="n"/>
      <c r="AB56" s="2" t="n"/>
      <c r="AC56" s="2" t="n"/>
      <c r="AD56" s="2" t="n"/>
      <c r="AE56" s="2" t="n"/>
      <c r="AF56" s="2" t="n"/>
      <c r="AG56" s="2" t="n"/>
      <c r="AH56" s="2" t="n"/>
      <c r="AI56" s="2" t="n"/>
      <c r="AJ56" s="2" t="n"/>
      <c r="AK56" s="2" t="n"/>
      <c r="AL56" s="2" t="n"/>
      <c r="AM56" s="2" t="n">
        <v>0.9</v>
      </c>
      <c r="AN56" s="2" t="n"/>
      <c r="AO56" s="2" t="inlineStr">
        <is>
          <t>2011</t>
        </is>
      </c>
      <c r="AP56" s="2" t="n">
        <v>2011</v>
      </c>
      <c r="AQ56" s="2" t="n"/>
      <c r="AR56" s="2" t="n"/>
      <c r="AS56" s="2" t="inlineStr">
        <is>
          <t>regla</t>
        </is>
      </c>
      <c r="AT56" s="2" t="n">
        <v>3100</v>
      </c>
      <c r="AU56" s="2" t="n">
        <v>6</v>
      </c>
      <c r="AV56" s="2" t="inlineStr">
        <is>
          <t>modelo+año+km</t>
        </is>
      </c>
      <c r="AW56" s="2" t="inlineStr">
        <is>
          <t>cochesnet:71789862 (https://www.coches.net/chevrolet-cruze-20-vcdi-lt-5p-diesel-2011-en-valencia-71789862-covo.aspx)</t>
        </is>
      </c>
      <c r="AX56" s="2" t="inlineStr">
        <is>
          <t>cuota fija ITP: &gt;12 años, 1.501-2.000 cc; diésel: motor sin fuente de fiabilidad (fiabilidad limitada a neutra); carrocería berlina: -4 puntos; fiabilidad del modelo PENDIENTE de fuente (puntuación neutra)</t>
        </is>
      </c>
      <c r="AY56" s="2" t="inlineStr">
        <is>
          <t xml:space="preserve">Año 2011
Aceite y filtro 
Diesel 
280000 kilómetros 
Itv recién pasada 
</t>
        </is>
      </c>
      <c r="AZ56" s="2" t="inlineStr">
        <is>
          <t>https://es.wallapop.com/item/chevrolet-cruze-2011-1315219772 (__NEXT_DATA__ item) /home/user/Alopecia/buscador-coches/raw/wallapop/62e60c3afd9f29ce.json</t>
        </is>
      </c>
      <c r="BA56" s="3">
        <f>MAX(ANIO_ACTUAL-M56,0)</f>
        <v/>
      </c>
      <c r="BB56" s="4">
        <f>N56/MAX(BA56,0.5)</f>
        <v/>
      </c>
      <c r="BC56" s="4">
        <f>F56</f>
        <v/>
      </c>
      <c r="BD56" s="3">
        <f>BC56&amp;"|"&amp;INT(M56/SEG_ANIO)*SEG_ANIO</f>
        <v/>
      </c>
      <c r="BE56" s="3">
        <f>BD56&amp;"|"&amp;INT(N56/SEG_KM)*SEG_KM</f>
        <v/>
      </c>
      <c r="BF56" s="4">
        <f>COUNTIF($BC$2:$BC$545,BC56)</f>
        <v/>
      </c>
      <c r="BG56" s="4">
        <f>COUNTIF($BD$2:$BD$545,BD56)</f>
        <v/>
      </c>
      <c r="BH56" s="4">
        <f>COUNTIF($BE$2:$BE$545,BE56)</f>
        <v/>
      </c>
      <c r="BI56" s="3">
        <f t="array" ref="BI56">IF(N(AU56)&gt;=MIN_N,AT56,IF(BH56&gt;=MIN_N,MEDIAN(IF($BE$2:$BE$545=BE56,$O$2:$O$545)),IF(BG56&gt;=MIN_N,MEDIAN(IF($BD$2:$BD$545=BD56,$O$2:$O$545)),MEDIAN(IF($BC$2:$BC$545=BC56,$O$2:$O$545)))))</f>
        <v/>
      </c>
      <c r="BJ56" s="3">
        <f>IF(N(AU56)&gt;=MIN_N,"mercado "&amp;AV56,IF(BH56&gt;=MIN_N,"modelo+año+km",IF(BG56&gt;=MIN_N,"modelo+año","modelo")))</f>
        <v/>
      </c>
      <c r="BK56" s="4">
        <f>(BI56-O56)/BI56</f>
        <v/>
      </c>
      <c r="BL56" s="3">
        <f>IF(COUNTIFS(FR_FUEL,K56,FR_YEAR,AP56)&gt;0,1,0)</f>
        <v/>
      </c>
      <c r="BM56" s="3">
        <f>IF(COUNTIFS(FR_FUEL,K56,FR_YEAR,AP56-1)&gt;0,1,0)</f>
        <v/>
      </c>
      <c r="BN56" s="4">
        <f>IF(N(AQ56)&gt;0,AP56*100+AQ56,IF(AND(BL56=1,BM56=1),(AP56-1)*100+1,AP56*100+1))</f>
        <v/>
      </c>
      <c r="BO56" s="3">
        <f>IF(OR(K56="hibrido",K56="glp",K56="gnc",K56="phev"),"ECO",IF(K56="electrico","CERO",IF(K56="gasolina",IF(BN56&gt;=GAS_C_YM,"C",IF(BN56&gt;=GAS_B_YM,"B","A")),IF(K56="diesel",IF(BN56&gt;=DIE_C_YM,"C",IF(BN56&gt;=DIE_B_YM,"B","A")),""))))</f>
        <v/>
      </c>
      <c r="BP56" s="4">
        <f>BO56</f>
        <v/>
      </c>
      <c r="BQ56" s="4">
        <f>IF(AS56="regla",IF(AND(N(AQ56)=0,BL56=1),"sí","no"),"no")</f>
        <v/>
      </c>
      <c r="BR56" s="3">
        <f>IFERROR(VLOOKUP(F56,MOD_TBL,11,0),IFERROR(VLOOKUP(E56,OCU_TBL,2,0),NEUTRO))</f>
        <v/>
      </c>
      <c r="BS56" s="3">
        <f>SUMIFS(MOT_AJUSTE,MOT_MOTOR,G56,MOT_MARCA,E56,MOT_DESDE,"&lt;="&amp;M56,MOT_HASTA,"&gt;="&amp;M56)+SUMIFS(MOT_AJUSTE,MOT_MOTOR,G56,MOT_MARCA,"(todas)",MOT_DESDE,"&lt;="&amp;M56,MOT_HASTA,"&gt;="&amp;M56)</f>
        <v/>
      </c>
      <c r="BT56" s="3">
        <f>SUMIFS(COMB_AJUSTE,COMB_COMB,K56)</f>
        <v/>
      </c>
      <c r="BU56" s="3">
        <f>COUNTIFS(MOT_MOTOR,G56,MOT_MARCA,E56,MOT_DESDE,"&lt;="&amp;M56,MOT_HASTA,"&gt;="&amp;M56)+COUNTIFS(MOT_MOTOR,G56,MOT_MARCA,"(todas)",MOT_DESDE,"&lt;="&amp;M56,MOT_HASTA,"&gt;="&amp;M56)</f>
        <v/>
      </c>
      <c r="BV56" s="3">
        <f>IF(AND(K56="diesel",BU56=0),MIN(BR56,NEUTRO),BR56)</f>
        <v/>
      </c>
      <c r="BW56" s="4">
        <f>MAX(0,MIN(100,BV56+BS56+BT56))</f>
        <v/>
      </c>
      <c r="BX56" s="3">
        <f>MAX(0,MIN(100,50+BK56*PRECIO_PEND))</f>
        <v/>
      </c>
      <c r="BY56" s="3">
        <f>MAX(0,100*(1-N56/KM_MAX))</f>
        <v/>
      </c>
      <c r="BZ56" s="3">
        <f>IF(BB56&lt;KMA_SOSP,IF(AA56="sí",100,KMA_PEN),IF(BB56&lt;=KMA_IDEAL_MAX,100,MAX(0,100*(KMA_CERO-BB56)/(KMA_CERO-KMA_IDEAL_MAX))))</f>
        <v/>
      </c>
      <c r="CA56" s="3">
        <f>MAX(0,MIN(100,100*(M56-ANIO_MIN)/(ANIO_ACTUAL-ANIO_MIN)))</f>
        <v/>
      </c>
      <c r="CB56" s="3">
        <f>W_KMT*BY56+W_KMA*BZ56+W_EDAD*CA56</f>
        <v/>
      </c>
      <c r="CC56" s="3">
        <f>P_ITV*(V56="sí")+P_LIBRO*(W56="sí")+P_CORREA*(X56="sí")+P_PROP*(Y56=1)+P_GAR*(Z56="sí")+P_FOTOS*MIN(1,N(U56)/FOTOS_OBJ)</f>
        <v/>
      </c>
      <c r="CD56" s="3">
        <f>MAX(0,MIN(100,IFERROR(VLOOKUP(BP56,ETQ_TBL,2,0),0)-IF(BQ56="sí",ETQ_PEN_DUD,IF(AS56="regla",ETQ_PEN_REGLA,0))))</f>
        <v/>
      </c>
      <c r="CE56" s="3">
        <f>NEUTRO</f>
        <v/>
      </c>
      <c r="CF56" s="3">
        <f>IFERROR(VLOOKUP(L56,SEGURO_TBL,3,0),"")</f>
        <v/>
      </c>
      <c r="CG56" s="3">
        <f>IF(CF56="",NEUTRO,MAX(0,MIN(100,100*(SEG_REF_MAX-CF56)/(SEG_REF_MAX-SEG_REF_MIN))))</f>
        <v/>
      </c>
      <c r="CH56" s="3">
        <f>W_CONS*CE56+W_SEG*CG56</f>
        <v/>
      </c>
      <c r="CI56" s="3">
        <f>IF(N(AB56)&gt;0,AB56,IF(AND(R56="profesional",SG_LEGAL_ON=1),GAR_LEGAL,0))</f>
        <v/>
      </c>
      <c r="CJ56" s="3">
        <f>SG_GAR*MIN(1,CI56/SG_GAR_FULL)+SG_AMPL*(AC56="sí")+SG_KMC*(AF56="sí")+SG_REV*(N(AE56)&gt;0)+SG_DEV*MIN(1,N(AG56)/SG_DEV_FULL)+SG_HIST*(W56="sí")</f>
        <v/>
      </c>
      <c r="CK56" s="3">
        <f>IFERROR(VLOOKUP(L56,CARR_PEN_TBL,2,0),0)</f>
        <v/>
      </c>
      <c r="CL56" s="3">
        <f>W_FIAB*BW56+W_PRECIO*BX56+W_KMEDAD*CB56+W_ANUNCIO*CC56+W_USO*CH56+W_SEGURIDAD*CJ56+W_ETIQUETA*CD56-CK56</f>
        <v/>
      </c>
      <c r="CM56" s="4">
        <f>IF(N(I56)&gt;0,I56,IFERROR(ROUND(_xlfn.NUMBERVALUE(LEFT(G56,FIND(" ",G56&amp;" ")-1),".")*1000,0),99999))</f>
        <v/>
      </c>
      <c r="CN56" s="3">
        <f>IF(R56="profesional",0,IF(O56&lt;CUOTA_VALOR_MAX,IF(BA56&gt;ITP_TRAMO_ALTO,SUMIFS(CF_CUOTA,CF_MAS,ITP_TRAMO_ALTO,CF_CCMIN,"&lt;="&amp;CM56,CF_CCMAX,"&gt;="&amp;CM56),IF(BA56&gt;ITP_TRAMO_BAJO,SUMIFS(CF_CUOTA,CF_MAS,ITP_TRAMO_BAJO,CF_CCMIN,"&lt;="&amp;CM56,CF_CCMAX,"&gt;="&amp;CM56),O56*ITP_TIPO)),O56*ITP_TIPO))</f>
        <v/>
      </c>
      <c r="CO56" s="4">
        <f>IF(R56="profesional",N(AK56),0)</f>
        <v/>
      </c>
      <c r="CP56" s="3">
        <f>IF(AND(R56="profesional",ISNUMBER(AK56),AL56="sí"),0,TASA_DGT)</f>
        <v/>
      </c>
      <c r="CQ56" s="3">
        <f>INFORME_DGT</f>
        <v/>
      </c>
      <c r="CR56" s="4">
        <f>O56+CO56+CN56+CP56+CQ56</f>
        <v/>
      </c>
      <c r="CS56" s="4">
        <f>CR56+N(CF56)</f>
        <v/>
      </c>
      <c r="CT56" s="3">
        <f>IF(CR56&lt;=TOTAL_MAX,"sí",IF(CR56&lt;=TOTAL_MAX+MARGEN_NEG,"negociar","no"))</f>
        <v/>
      </c>
      <c r="CU56" s="4">
        <f>IF(CT56&lt;&gt;"no",COUNTIFS($CT$2:$CT$545,"&lt;&gt;no",$CL$2:$CL$545,"&gt;"&amp;CL56)+COUNTIFS($CT$2:CT56,"&lt;&gt;no",$CL$2:CL56,CL56),"")</f>
        <v/>
      </c>
    </row>
    <row r="57">
      <c r="A57" s="2" t="inlineStr">
        <is>
          <t>wallapop:1235670974</t>
        </is>
      </c>
      <c r="B57" s="2" t="inlineStr">
        <is>
          <t>wallapop</t>
        </is>
      </c>
      <c r="C57" s="2" t="inlineStr">
        <is>
          <t>https://es.wallapop.com/item/chevrolet-cruze-2012-1235670974</t>
        </is>
      </c>
      <c r="D57" s="2" t="inlineStr">
        <is>
          <t>Chevrolet Cruze 2012</t>
        </is>
      </c>
      <c r="E57" s="2" t="inlineStr">
        <is>
          <t>Chevrolet</t>
        </is>
      </c>
      <c r="F57" s="2" t="inlineStr">
        <is>
          <t>Chevrolet Cruze</t>
        </is>
      </c>
      <c r="G57" s="2" t="inlineStr">
        <is>
          <t>1.6</t>
        </is>
      </c>
      <c r="H57" s="2" t="inlineStr">
        <is>
          <t>1.6 16v 124 LS+ A/A 5p MY12</t>
        </is>
      </c>
      <c r="I57" s="2" t="n"/>
      <c r="J57" s="2" t="n">
        <v>124</v>
      </c>
      <c r="K57" s="2" t="inlineStr">
        <is>
          <t>gasolina</t>
        </is>
      </c>
      <c r="L57" s="2" t="inlineStr">
        <is>
          <t>compacto</t>
        </is>
      </c>
      <c r="M57" s="2" t="n">
        <v>2012</v>
      </c>
      <c r="N57" s="2" t="n">
        <v>210000</v>
      </c>
      <c r="O57" s="2" t="n">
        <v>2800</v>
      </c>
      <c r="P57" s="2" t="inlineStr">
        <is>
          <t>manual</t>
        </is>
      </c>
      <c r="Q57" s="2" t="inlineStr">
        <is>
          <t>no</t>
        </is>
      </c>
      <c r="R57" s="2" t="inlineStr">
        <is>
          <t>particular</t>
        </is>
      </c>
      <c r="S57" s="2" t="inlineStr">
        <is>
          <t>Valencia (46002)</t>
        </is>
      </c>
      <c r="T57" s="2" t="inlineStr">
        <is>
          <t>2026-10-06T11:49:40</t>
        </is>
      </c>
      <c r="U57" s="2" t="n">
        <v>9</v>
      </c>
      <c r="V57" s="2" t="n"/>
      <c r="W57" s="2" t="n"/>
      <c r="X57" s="2" t="n"/>
      <c r="Y57" s="2" t="n"/>
      <c r="Z57" s="2" t="n"/>
      <c r="AA57" s="2" t="n"/>
      <c r="AB57" s="2" t="n"/>
      <c r="AC57" s="2" t="n"/>
      <c r="AD57" s="2" t="n"/>
      <c r="AE57" s="2" t="n"/>
      <c r="AF57" s="2" t="n"/>
      <c r="AG57" s="2" t="n"/>
      <c r="AH57" s="2" t="n"/>
      <c r="AI57" s="2" t="n"/>
      <c r="AJ57" s="2" t="n"/>
      <c r="AK57" s="2" t="n"/>
      <c r="AL57" s="2" t="n"/>
      <c r="AM57" s="2" t="n">
        <v>0.5</v>
      </c>
      <c r="AN57" s="2" t="n"/>
      <c r="AO57" s="2" t="inlineStr">
        <is>
          <t>2012</t>
        </is>
      </c>
      <c r="AP57" s="2" t="n">
        <v>2012</v>
      </c>
      <c r="AQ57" s="2" t="n"/>
      <c r="AR57" s="2" t="n"/>
      <c r="AS57" s="2" t="inlineStr">
        <is>
          <t>regla</t>
        </is>
      </c>
      <c r="AT57" s="2" t="n">
        <v>3100</v>
      </c>
      <c r="AU57" s="2" t="n">
        <v>6</v>
      </c>
      <c r="AV57" s="2" t="inlineStr">
        <is>
          <t>modelo+año+km</t>
        </is>
      </c>
      <c r="AW57" s="2" t="n"/>
      <c r="AX57" s="2" t="inlineStr">
        <is>
          <t>cuota fija ITP: &gt;12 años, 1.501-2.000 cc; fiabilidad del modelo PENDIENTE de fuente (puntuación neutra)</t>
        </is>
      </c>
      <c r="AY57" s="2" t="inlineStr">
        <is>
          <t xml:space="preserve">Chevrolet cruz en buen estado, con desgaste de sus años </t>
        </is>
      </c>
      <c r="AZ57" s="2" t="inlineStr">
        <is>
          <t>https://es.wallapop.com/item/chevrolet-cruze-2012-1235670974 (__NEXT_DATA__ item) /home/user/Alopecia/buscador-coches/raw/wallapop/4875f2fdeb0eb4fc.json</t>
        </is>
      </c>
      <c r="BA57" s="3">
        <f>MAX(ANIO_ACTUAL-M57,0)</f>
        <v/>
      </c>
      <c r="BB57" s="4">
        <f>N57/MAX(BA57,0.5)</f>
        <v/>
      </c>
      <c r="BC57" s="4">
        <f>F57</f>
        <v/>
      </c>
      <c r="BD57" s="3">
        <f>BC57&amp;"|"&amp;INT(M57/SEG_ANIO)*SEG_ANIO</f>
        <v/>
      </c>
      <c r="BE57" s="3">
        <f>BD57&amp;"|"&amp;INT(N57/SEG_KM)*SEG_KM</f>
        <v/>
      </c>
      <c r="BF57" s="4">
        <f>COUNTIF($BC$2:$BC$545,BC57)</f>
        <v/>
      </c>
      <c r="BG57" s="4">
        <f>COUNTIF($BD$2:$BD$545,BD57)</f>
        <v/>
      </c>
      <c r="BH57" s="4">
        <f>COUNTIF($BE$2:$BE$545,BE57)</f>
        <v/>
      </c>
      <c r="BI57" s="3">
        <f t="array" ref="BI57">IF(N(AU57)&gt;=MIN_N,AT57,IF(BH57&gt;=MIN_N,MEDIAN(IF($BE$2:$BE$545=BE57,$O$2:$O$545)),IF(BG57&gt;=MIN_N,MEDIAN(IF($BD$2:$BD$545=BD57,$O$2:$O$545)),MEDIAN(IF($BC$2:$BC$545=BC57,$O$2:$O$545)))))</f>
        <v/>
      </c>
      <c r="BJ57" s="3">
        <f>IF(N(AU57)&gt;=MIN_N,"mercado "&amp;AV57,IF(BH57&gt;=MIN_N,"modelo+año+km",IF(BG57&gt;=MIN_N,"modelo+año","modelo")))</f>
        <v/>
      </c>
      <c r="BK57" s="4">
        <f>(BI57-O57)/BI57</f>
        <v/>
      </c>
      <c r="BL57" s="3">
        <f>IF(COUNTIFS(FR_FUEL,K57,FR_YEAR,AP57)&gt;0,1,0)</f>
        <v/>
      </c>
      <c r="BM57" s="3">
        <f>IF(COUNTIFS(FR_FUEL,K57,FR_YEAR,AP57-1)&gt;0,1,0)</f>
        <v/>
      </c>
      <c r="BN57" s="4">
        <f>IF(N(AQ57)&gt;0,AP57*100+AQ57,IF(AND(BL57=1,BM57=1),(AP57-1)*100+1,AP57*100+1))</f>
        <v/>
      </c>
      <c r="BO57" s="3">
        <f>IF(OR(K57="hibrido",K57="glp",K57="gnc",K57="phev"),"ECO",IF(K57="electrico","CERO",IF(K57="gasolina",IF(BN57&gt;=GAS_C_YM,"C",IF(BN57&gt;=GAS_B_YM,"B","A")),IF(K57="diesel",IF(BN57&gt;=DIE_C_YM,"C",IF(BN57&gt;=DIE_B_YM,"B","A")),""))))</f>
        <v/>
      </c>
      <c r="BP57" s="4">
        <f>BO57</f>
        <v/>
      </c>
      <c r="BQ57" s="4">
        <f>IF(AS57="regla",IF(AND(N(AQ57)=0,BL57=1),"sí","no"),"no")</f>
        <v/>
      </c>
      <c r="BR57" s="3">
        <f>IFERROR(VLOOKUP(F57,MOD_TBL,11,0),IFERROR(VLOOKUP(E57,OCU_TBL,2,0),NEUTRO))</f>
        <v/>
      </c>
      <c r="BS57" s="3">
        <f>SUMIFS(MOT_AJUSTE,MOT_MOTOR,G57,MOT_MARCA,E57,MOT_DESDE,"&lt;="&amp;M57,MOT_HASTA,"&gt;="&amp;M57)+SUMIFS(MOT_AJUSTE,MOT_MOTOR,G57,MOT_MARCA,"(todas)",MOT_DESDE,"&lt;="&amp;M57,MOT_HASTA,"&gt;="&amp;M57)</f>
        <v/>
      </c>
      <c r="BT57" s="3">
        <f>SUMIFS(COMB_AJUSTE,COMB_COMB,K57)</f>
        <v/>
      </c>
      <c r="BU57" s="3">
        <f>COUNTIFS(MOT_MOTOR,G57,MOT_MARCA,E57,MOT_DESDE,"&lt;="&amp;M57,MOT_HASTA,"&gt;="&amp;M57)+COUNTIFS(MOT_MOTOR,G57,MOT_MARCA,"(todas)",MOT_DESDE,"&lt;="&amp;M57,MOT_HASTA,"&gt;="&amp;M57)</f>
        <v/>
      </c>
      <c r="BV57" s="3">
        <f>IF(AND(K57="diesel",BU57=0),MIN(BR57,NEUTRO),BR57)</f>
        <v/>
      </c>
      <c r="BW57" s="4">
        <f>MAX(0,MIN(100,BV57+BS57+BT57))</f>
        <v/>
      </c>
      <c r="BX57" s="3">
        <f>MAX(0,MIN(100,50+BK57*PRECIO_PEND))</f>
        <v/>
      </c>
      <c r="BY57" s="3">
        <f>MAX(0,100*(1-N57/KM_MAX))</f>
        <v/>
      </c>
      <c r="BZ57" s="3">
        <f>IF(BB57&lt;KMA_SOSP,IF(AA57="sí",100,KMA_PEN),IF(BB57&lt;=KMA_IDEAL_MAX,100,MAX(0,100*(KMA_CERO-BB57)/(KMA_CERO-KMA_IDEAL_MAX))))</f>
        <v/>
      </c>
      <c r="CA57" s="3">
        <f>MAX(0,MIN(100,100*(M57-ANIO_MIN)/(ANIO_ACTUAL-ANIO_MIN)))</f>
        <v/>
      </c>
      <c r="CB57" s="3">
        <f>W_KMT*BY57+W_KMA*BZ57+W_EDAD*CA57</f>
        <v/>
      </c>
      <c r="CC57" s="3">
        <f>P_ITV*(V57="sí")+P_LIBRO*(W57="sí")+P_CORREA*(X57="sí")+P_PROP*(Y57=1)+P_GAR*(Z57="sí")+P_FOTOS*MIN(1,N(U57)/FOTOS_OBJ)</f>
        <v/>
      </c>
      <c r="CD57" s="3">
        <f>MAX(0,MIN(100,IFERROR(VLOOKUP(BP57,ETQ_TBL,2,0),0)-IF(BQ57="sí",ETQ_PEN_DUD,IF(AS57="regla",ETQ_PEN_REGLA,0))))</f>
        <v/>
      </c>
      <c r="CE57" s="3">
        <f>NEUTRO</f>
        <v/>
      </c>
      <c r="CF57" s="3">
        <f>IFERROR(VLOOKUP(L57,SEGURO_TBL,3,0),"")</f>
        <v/>
      </c>
      <c r="CG57" s="3">
        <f>IF(CF57="",NEUTRO,MAX(0,MIN(100,100*(SEG_REF_MAX-CF57)/(SEG_REF_MAX-SEG_REF_MIN))))</f>
        <v/>
      </c>
      <c r="CH57" s="3">
        <f>W_CONS*CE57+W_SEG*CG57</f>
        <v/>
      </c>
      <c r="CI57" s="3">
        <f>IF(N(AB57)&gt;0,AB57,IF(AND(R57="profesional",SG_LEGAL_ON=1),GAR_LEGAL,0))</f>
        <v/>
      </c>
      <c r="CJ57" s="3">
        <f>SG_GAR*MIN(1,CI57/SG_GAR_FULL)+SG_AMPL*(AC57="sí")+SG_KMC*(AF57="sí")+SG_REV*(N(AE57)&gt;0)+SG_DEV*MIN(1,N(AG57)/SG_DEV_FULL)+SG_HIST*(W57="sí")</f>
        <v/>
      </c>
      <c r="CK57" s="3">
        <f>IFERROR(VLOOKUP(L57,CARR_PEN_TBL,2,0),0)</f>
        <v/>
      </c>
      <c r="CL57" s="3">
        <f>W_FIAB*BW57+W_PRECIO*BX57+W_KMEDAD*CB57+W_ANUNCIO*CC57+W_USO*CH57+W_SEGURIDAD*CJ57+W_ETIQUETA*CD57-CK57</f>
        <v/>
      </c>
      <c r="CM57" s="4">
        <f>IF(N(I57)&gt;0,I57,IFERROR(ROUND(_xlfn.NUMBERVALUE(LEFT(G57,FIND(" ",G57&amp;" ")-1),".")*1000,0),99999))</f>
        <v/>
      </c>
      <c r="CN57" s="3">
        <f>IF(R57="profesional",0,IF(O57&lt;CUOTA_VALOR_MAX,IF(BA57&gt;ITP_TRAMO_ALTO,SUMIFS(CF_CUOTA,CF_MAS,ITP_TRAMO_ALTO,CF_CCMIN,"&lt;="&amp;CM57,CF_CCMAX,"&gt;="&amp;CM57),IF(BA57&gt;ITP_TRAMO_BAJO,SUMIFS(CF_CUOTA,CF_MAS,ITP_TRAMO_BAJO,CF_CCMIN,"&lt;="&amp;CM57,CF_CCMAX,"&gt;="&amp;CM57),O57*ITP_TIPO)),O57*ITP_TIPO))</f>
        <v/>
      </c>
      <c r="CO57" s="4">
        <f>IF(R57="profesional",N(AK57),0)</f>
        <v/>
      </c>
      <c r="CP57" s="3">
        <f>IF(AND(R57="profesional",ISNUMBER(AK57),AL57="sí"),0,TASA_DGT)</f>
        <v/>
      </c>
      <c r="CQ57" s="3">
        <f>INFORME_DGT</f>
        <v/>
      </c>
      <c r="CR57" s="4">
        <f>O57+CO57+CN57+CP57+CQ57</f>
        <v/>
      </c>
      <c r="CS57" s="4">
        <f>CR57+N(CF57)</f>
        <v/>
      </c>
      <c r="CT57" s="3">
        <f>IF(CR57&lt;=TOTAL_MAX,"sí",IF(CR57&lt;=TOTAL_MAX+MARGEN_NEG,"negociar","no"))</f>
        <v/>
      </c>
      <c r="CU57" s="4">
        <f>IF(CT57&lt;&gt;"no",COUNTIFS($CT$2:$CT$545,"&lt;&gt;no",$CL$2:$CL$545,"&gt;"&amp;CL57)+COUNTIFS($CT$2:CT57,"&lt;&gt;no",$CL$2:CL57,CL57),"")</f>
        <v/>
      </c>
    </row>
    <row r="58">
      <c r="A58" s="2" t="inlineStr">
        <is>
          <t>cochesnet:61732385</t>
        </is>
      </c>
      <c r="B58" s="2" t="inlineStr">
        <is>
          <t>cochesnet</t>
        </is>
      </c>
      <c r="C58" s="2" t="inlineStr">
        <is>
          <t>https://www.coches.net/toyota-auris-20-d4d-sol-3p-diesel-2008-en-valencia-61732385-covo.aspx</t>
        </is>
      </c>
      <c r="D58" s="2" t="inlineStr">
        <is>
          <t>TOYOTA Auris 2.0 D4D Sol</t>
        </is>
      </c>
      <c r="E58" s="2" t="inlineStr">
        <is>
          <t>Toyota</t>
        </is>
      </c>
      <c r="F58" s="2" t="inlineStr">
        <is>
          <t>Toyota Auris</t>
        </is>
      </c>
      <c r="G58" s="2" t="inlineStr">
        <is>
          <t>2.0 D-4D</t>
        </is>
      </c>
      <c r="H58" s="2" t="inlineStr">
        <is>
          <t>2.0 D4D Sol</t>
        </is>
      </c>
      <c r="I58" s="2" t="n"/>
      <c r="J58" s="2" t="n"/>
      <c r="K58" s="2" t="inlineStr">
        <is>
          <t>diesel</t>
        </is>
      </c>
      <c r="L58" s="2" t="inlineStr">
        <is>
          <t>compacto</t>
        </is>
      </c>
      <c r="M58" s="2" t="n">
        <v>2008</v>
      </c>
      <c r="N58" s="2" t="n">
        <v>220000</v>
      </c>
      <c r="O58" s="2" t="n">
        <v>3900</v>
      </c>
      <c r="P58" s="2" t="inlineStr">
        <is>
          <t>manual</t>
        </is>
      </c>
      <c r="Q58" s="2" t="inlineStr">
        <is>
          <t>no</t>
        </is>
      </c>
      <c r="R58" s="2" t="inlineStr">
        <is>
          <t>particular</t>
        </is>
      </c>
      <c r="S58" s="2" t="inlineStr">
        <is>
          <t>Manises</t>
        </is>
      </c>
      <c r="T58" s="2" t="inlineStr">
        <is>
          <t>2026-08-11T16:13:32Z</t>
        </is>
      </c>
      <c r="U58" s="2" t="n">
        <v>12</v>
      </c>
      <c r="V58" s="2" t="n"/>
      <c r="W58" s="2" t="n"/>
      <c r="X58" s="2" t="n"/>
      <c r="Y58" s="2" t="n"/>
      <c r="Z58" s="2" t="inlineStr">
        <is>
          <t>no</t>
        </is>
      </c>
      <c r="AA58" s="2" t="n"/>
      <c r="AB58" s="2" t="n"/>
      <c r="AC58" s="2" t="n"/>
      <c r="AD58" s="2" t="n"/>
      <c r="AE58" s="2" t="n"/>
      <c r="AF58" s="2" t="n"/>
      <c r="AG58" s="2" t="n"/>
      <c r="AH58" s="2" t="n">
        <v>3900</v>
      </c>
      <c r="AI58" s="2" t="n"/>
      <c r="AJ58" s="2" t="n"/>
      <c r="AK58" s="2" t="n"/>
      <c r="AL58" s="2" t="n"/>
      <c r="AM58" s="2" t="n">
        <v>8.1</v>
      </c>
      <c r="AN58" s="2" t="n"/>
      <c r="AO58" s="2" t="inlineStr">
        <is>
          <t>07/2008</t>
        </is>
      </c>
      <c r="AP58" s="2" t="n">
        <v>2008</v>
      </c>
      <c r="AQ58" s="2" t="n">
        <v>7</v>
      </c>
      <c r="AR58" s="2" t="n"/>
      <c r="AS58" s="2" t="inlineStr">
        <is>
          <t>regla</t>
        </is>
      </c>
      <c r="AT58" s="2" t="n">
        <v>4350</v>
      </c>
      <c r="AU58" s="2" t="n">
        <v>8</v>
      </c>
      <c r="AV58" s="2" t="inlineStr">
        <is>
          <t>modelo+año</t>
        </is>
      </c>
      <c r="AW58" s="2" t="n"/>
      <c r="AX58" s="2" t="inlineStr">
        <is>
          <t>cuota fija ITP: &gt;12 años, 1.501-2.000 cc; diésel: motor sin fuente de fiabilidad (fiabilidad limitada a neutra)</t>
        </is>
      </c>
      <c r="AY58" s="2" t="inlineStr">
        <is>
          <t>El cambio de nombre es a cargo del comprador.</t>
        </is>
      </c>
      <c r="AZ58" s="2" t="inlineStr">
        <is>
          <t>https://www.coches.net/toyota-auris-20-d4d-sol-3p-diesel-2008-en-valencia-61732385-covo.aspx (window.__INITIAL_PROPS__.ad) /home/user/Alopecia/buscador-coches/raw/cochesnet/e2e8affebead4452.json</t>
        </is>
      </c>
      <c r="BA58" s="3">
        <f>MAX(ANIO_ACTUAL-M58,0)</f>
        <v/>
      </c>
      <c r="BB58" s="4">
        <f>N58/MAX(BA58,0.5)</f>
        <v/>
      </c>
      <c r="BC58" s="4">
        <f>F58</f>
        <v/>
      </c>
      <c r="BD58" s="3">
        <f>BC58&amp;"|"&amp;INT(M58/SEG_ANIO)*SEG_ANIO</f>
        <v/>
      </c>
      <c r="BE58" s="3">
        <f>BD58&amp;"|"&amp;INT(N58/SEG_KM)*SEG_KM</f>
        <v/>
      </c>
      <c r="BF58" s="4">
        <f>COUNTIF($BC$2:$BC$545,BC58)</f>
        <v/>
      </c>
      <c r="BG58" s="4">
        <f>COUNTIF($BD$2:$BD$545,BD58)</f>
        <v/>
      </c>
      <c r="BH58" s="4">
        <f>COUNTIF($BE$2:$BE$545,BE58)</f>
        <v/>
      </c>
      <c r="BI58" s="3">
        <f t="array" ref="BI58">IF(N(AU58)&gt;=MIN_N,AT58,IF(BH58&gt;=MIN_N,MEDIAN(IF($BE$2:$BE$545=BE58,$O$2:$O$545)),IF(BG58&gt;=MIN_N,MEDIAN(IF($BD$2:$BD$545=BD58,$O$2:$O$545)),MEDIAN(IF($BC$2:$BC$545=BC58,$O$2:$O$545)))))</f>
        <v/>
      </c>
      <c r="BJ58" s="3">
        <f>IF(N(AU58)&gt;=MIN_N,"mercado "&amp;AV58,IF(BH58&gt;=MIN_N,"modelo+año+km",IF(BG58&gt;=MIN_N,"modelo+año","modelo")))</f>
        <v/>
      </c>
      <c r="BK58" s="4">
        <f>(BI58-O58)/BI58</f>
        <v/>
      </c>
      <c r="BL58" s="3">
        <f>IF(COUNTIFS(FR_FUEL,K58,FR_YEAR,AP58)&gt;0,1,0)</f>
        <v/>
      </c>
      <c r="BM58" s="3">
        <f>IF(COUNTIFS(FR_FUEL,K58,FR_YEAR,AP58-1)&gt;0,1,0)</f>
        <v/>
      </c>
      <c r="BN58" s="4">
        <f>IF(N(AQ58)&gt;0,AP58*100+AQ58,IF(AND(BL58=1,BM58=1),(AP58-1)*100+1,AP58*100+1))</f>
        <v/>
      </c>
      <c r="BO58" s="3">
        <f>IF(OR(K58="hibrido",K58="glp",K58="gnc",K58="phev"),"ECO",IF(K58="electrico","CERO",IF(K58="gasolina",IF(BN58&gt;=GAS_C_YM,"C",IF(BN58&gt;=GAS_B_YM,"B","A")),IF(K58="diesel",IF(BN58&gt;=DIE_C_YM,"C",IF(BN58&gt;=DIE_B_YM,"B","A")),""))))</f>
        <v/>
      </c>
      <c r="BP58" s="4">
        <f>BO58</f>
        <v/>
      </c>
      <c r="BQ58" s="4">
        <f>IF(AS58="regla",IF(AND(N(AQ58)=0,BL58=1),"sí","no"),"no")</f>
        <v/>
      </c>
      <c r="BR58" s="3">
        <f>IFERROR(VLOOKUP(F58,MOD_TBL,11,0),IFERROR(VLOOKUP(E58,OCU_TBL,2,0),NEUTRO))</f>
        <v/>
      </c>
      <c r="BS58" s="3">
        <f>SUMIFS(MOT_AJUSTE,MOT_MOTOR,G58,MOT_MARCA,E58,MOT_DESDE,"&lt;="&amp;M58,MOT_HASTA,"&gt;="&amp;M58)+SUMIFS(MOT_AJUSTE,MOT_MOTOR,G58,MOT_MARCA,"(todas)",MOT_DESDE,"&lt;="&amp;M58,MOT_HASTA,"&gt;="&amp;M58)</f>
        <v/>
      </c>
      <c r="BT58" s="3">
        <f>SUMIFS(COMB_AJUSTE,COMB_COMB,K58)</f>
        <v/>
      </c>
      <c r="BU58" s="3">
        <f>COUNTIFS(MOT_MOTOR,G58,MOT_MARCA,E58,MOT_DESDE,"&lt;="&amp;M58,MOT_HASTA,"&gt;="&amp;M58)+COUNTIFS(MOT_MOTOR,G58,MOT_MARCA,"(todas)",MOT_DESDE,"&lt;="&amp;M58,MOT_HASTA,"&gt;="&amp;M58)</f>
        <v/>
      </c>
      <c r="BV58" s="3">
        <f>IF(AND(K58="diesel",BU58=0),MIN(BR58,NEUTRO),BR58)</f>
        <v/>
      </c>
      <c r="BW58" s="4">
        <f>MAX(0,MIN(100,BV58+BS58+BT58))</f>
        <v/>
      </c>
      <c r="BX58" s="3">
        <f>MAX(0,MIN(100,50+BK58*PRECIO_PEND))</f>
        <v/>
      </c>
      <c r="BY58" s="3">
        <f>MAX(0,100*(1-N58/KM_MAX))</f>
        <v/>
      </c>
      <c r="BZ58" s="3">
        <f>IF(BB58&lt;KMA_SOSP,IF(AA58="sí",100,KMA_PEN),IF(BB58&lt;=KMA_IDEAL_MAX,100,MAX(0,100*(KMA_CERO-BB58)/(KMA_CERO-KMA_IDEAL_MAX))))</f>
        <v/>
      </c>
      <c r="CA58" s="3">
        <f>MAX(0,MIN(100,100*(M58-ANIO_MIN)/(ANIO_ACTUAL-ANIO_MIN)))</f>
        <v/>
      </c>
      <c r="CB58" s="3">
        <f>W_KMT*BY58+W_KMA*BZ58+W_EDAD*CA58</f>
        <v/>
      </c>
      <c r="CC58" s="3">
        <f>P_ITV*(V58="sí")+P_LIBRO*(W58="sí")+P_CORREA*(X58="sí")+P_PROP*(Y58=1)+P_GAR*(Z58="sí")+P_FOTOS*MIN(1,N(U58)/FOTOS_OBJ)</f>
        <v/>
      </c>
      <c r="CD58" s="3">
        <f>MAX(0,MIN(100,IFERROR(VLOOKUP(BP58,ETQ_TBL,2,0),0)-IF(BQ58="sí",ETQ_PEN_DUD,IF(AS58="regla",ETQ_PEN_REGLA,0))))</f>
        <v/>
      </c>
      <c r="CE58" s="3">
        <f>NEUTRO</f>
        <v/>
      </c>
      <c r="CF58" s="3">
        <f>IFERROR(VLOOKUP(L58,SEGURO_TBL,3,0),"")</f>
        <v/>
      </c>
      <c r="CG58" s="3">
        <f>IF(CF58="",NEUTRO,MAX(0,MIN(100,100*(SEG_REF_MAX-CF58)/(SEG_REF_MAX-SEG_REF_MIN))))</f>
        <v/>
      </c>
      <c r="CH58" s="3">
        <f>W_CONS*CE58+W_SEG*CG58</f>
        <v/>
      </c>
      <c r="CI58" s="3">
        <f>IF(N(AB58)&gt;0,AB58,IF(AND(R58="profesional",SG_LEGAL_ON=1),GAR_LEGAL,0))</f>
        <v/>
      </c>
      <c r="CJ58" s="3">
        <f>SG_GAR*MIN(1,CI58/SG_GAR_FULL)+SG_AMPL*(AC58="sí")+SG_KMC*(AF58="sí")+SG_REV*(N(AE58)&gt;0)+SG_DEV*MIN(1,N(AG58)/SG_DEV_FULL)+SG_HIST*(W58="sí")</f>
        <v/>
      </c>
      <c r="CK58" s="3">
        <f>IFERROR(VLOOKUP(L58,CARR_PEN_TBL,2,0),0)</f>
        <v/>
      </c>
      <c r="CL58" s="3">
        <f>W_FIAB*BW58+W_PRECIO*BX58+W_KMEDAD*CB58+W_ANUNCIO*CC58+W_USO*CH58+W_SEGURIDAD*CJ58+W_ETIQUETA*CD58-CK58</f>
        <v/>
      </c>
      <c r="CM58" s="4">
        <f>IF(N(I58)&gt;0,I58,IFERROR(ROUND(_xlfn.NUMBERVALUE(LEFT(G58,FIND(" ",G58&amp;" ")-1),".")*1000,0),99999))</f>
        <v/>
      </c>
      <c r="CN58" s="3">
        <f>IF(R58="profesional",0,IF(O58&lt;CUOTA_VALOR_MAX,IF(BA58&gt;ITP_TRAMO_ALTO,SUMIFS(CF_CUOTA,CF_MAS,ITP_TRAMO_ALTO,CF_CCMIN,"&lt;="&amp;CM58,CF_CCMAX,"&gt;="&amp;CM58),IF(BA58&gt;ITP_TRAMO_BAJO,SUMIFS(CF_CUOTA,CF_MAS,ITP_TRAMO_BAJO,CF_CCMIN,"&lt;="&amp;CM58,CF_CCMAX,"&gt;="&amp;CM58),O58*ITP_TIPO)),O58*ITP_TIPO))</f>
        <v/>
      </c>
      <c r="CO58" s="4">
        <f>IF(R58="profesional",N(AK58),0)</f>
        <v/>
      </c>
      <c r="CP58" s="3">
        <f>IF(AND(R58="profesional",ISNUMBER(AK58),AL58="sí"),0,TASA_DGT)</f>
        <v/>
      </c>
      <c r="CQ58" s="3">
        <f>INFORME_DGT</f>
        <v/>
      </c>
      <c r="CR58" s="4">
        <f>O58+CO58+CN58+CP58+CQ58</f>
        <v/>
      </c>
      <c r="CS58" s="4">
        <f>CR58+N(CF58)</f>
        <v/>
      </c>
      <c r="CT58" s="3">
        <f>IF(CR58&lt;=TOTAL_MAX,"sí",IF(CR58&lt;=TOTAL_MAX+MARGEN_NEG,"negociar","no"))</f>
        <v/>
      </c>
      <c r="CU58" s="4">
        <f>IF(CT58&lt;&gt;"no",COUNTIFS($CT$2:$CT$545,"&lt;&gt;no",$CL$2:$CL$545,"&gt;"&amp;CL58)+COUNTIFS($CT$2:CT58,"&lt;&gt;no",$CL$2:CL58,CL58),"")</f>
        <v/>
      </c>
    </row>
    <row r="59">
      <c r="A59" s="2" t="inlineStr">
        <is>
          <t>cochesnet:71691745</t>
        </is>
      </c>
      <c r="B59" s="2" t="inlineStr">
        <is>
          <t>cochesnet</t>
        </is>
      </c>
      <c r="C59" s="2" t="inlineStr">
        <is>
          <t>https://www.coches.net/toyota-aygo-10-vvti-live-5p-gasolina-2010-en-valencia-71691745-covo.aspx</t>
        </is>
      </c>
      <c r="D59" s="2" t="inlineStr">
        <is>
          <t>TOYOTA Aygo 1.0 VVTi Live</t>
        </is>
      </c>
      <c r="E59" s="2" t="inlineStr">
        <is>
          <t>Toyota</t>
        </is>
      </c>
      <c r="F59" s="2" t="inlineStr">
        <is>
          <t>Toyota Aygo</t>
        </is>
      </c>
      <c r="G59" s="2" t="inlineStr">
        <is>
          <t>1.0 VVT-i</t>
        </is>
      </c>
      <c r="H59" s="2" t="inlineStr">
        <is>
          <t>1.0 VVTi Live</t>
        </is>
      </c>
      <c r="I59" s="2" t="n"/>
      <c r="J59" s="2" t="n"/>
      <c r="K59" s="2" t="inlineStr">
        <is>
          <t>gasolina</t>
        </is>
      </c>
      <c r="L59" s="2" t="inlineStr">
        <is>
          <t>utilitario</t>
        </is>
      </c>
      <c r="M59" s="2" t="n">
        <v>2010</v>
      </c>
      <c r="N59" s="2" t="n">
        <v>166000</v>
      </c>
      <c r="O59" s="2" t="n">
        <v>4450</v>
      </c>
      <c r="P59" s="2" t="inlineStr">
        <is>
          <t>manual</t>
        </is>
      </c>
      <c r="Q59" s="2" t="inlineStr">
        <is>
          <t>no</t>
        </is>
      </c>
      <c r="R59" s="2" t="inlineStr">
        <is>
          <t>profesional</t>
        </is>
      </c>
      <c r="S59" s="2" t="inlineStr">
        <is>
          <t>GO! autos Sagunto (Sagunt)</t>
        </is>
      </c>
      <c r="T59" s="2" t="inlineStr">
        <is>
          <t>2026-10-07T09:35:00Z</t>
        </is>
      </c>
      <c r="U59" s="2" t="n">
        <v>14</v>
      </c>
      <c r="V59" s="2" t="inlineStr">
        <is>
          <t>sí</t>
        </is>
      </c>
      <c r="W59" s="2" t="n"/>
      <c r="X59" s="2" t="n"/>
      <c r="Y59" s="2" t="n"/>
      <c r="Z59" s="2" t="inlineStr">
        <is>
          <t>sí</t>
        </is>
      </c>
      <c r="AA59" s="2" t="n"/>
      <c r="AB59" s="2" t="n">
        <v>12</v>
      </c>
      <c r="AC59" s="2" t="n"/>
      <c r="AD59" s="2" t="n"/>
      <c r="AE59" s="2" t="n"/>
      <c r="AF59" s="2" t="n"/>
      <c r="AG59" s="2" t="n"/>
      <c r="AH59" s="2" t="n">
        <v>4450</v>
      </c>
      <c r="AI59" s="2" t="n">
        <v>4450</v>
      </c>
      <c r="AJ59" s="2" t="n"/>
      <c r="AK59" s="2" t="n"/>
      <c r="AL59" s="2" t="n"/>
      <c r="AM59" s="2" t="n"/>
      <c r="AN59" s="2" t="n"/>
      <c r="AO59" s="2" t="inlineStr">
        <is>
          <t>2010</t>
        </is>
      </c>
      <c r="AP59" s="2" t="n">
        <v>2010</v>
      </c>
      <c r="AQ59" s="2" t="n"/>
      <c r="AR59" s="2" t="inlineStr">
        <is>
          <t>C</t>
        </is>
      </c>
      <c r="AS59" s="2" t="inlineStr">
        <is>
          <t>anuncio</t>
        </is>
      </c>
      <c r="AT59" s="2" t="n">
        <v>5944.5</v>
      </c>
      <c r="AU59" s="2" t="n">
        <v>4</v>
      </c>
      <c r="AV59" s="2" t="inlineStr">
        <is>
          <t>modelo+año</t>
        </is>
      </c>
      <c r="AW59" s="2" t="n"/>
      <c r="AX59"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59" s="2" t="inlineStr">
        <is>
          <t>TOYOTA AYGO 1.0 LIVE | 2010 | 165.000 KM | GARANTÍA 1 AÑO
Toyota Aygo 1.0 Live del año 2010, con 165.000 km, motor gasolina 1.0 y cambio manual.
Vehículo económico, fiable y muy práctico, ideal para ciudad y desplazamientos diarios. Un coche con un mantenimiento sencillo y un consumo reducido.
EQUIPAMIENTO
Aire acondicionado ??
Cierre centralizado
Elevalunas eléctricos
2 llaves
Cambio manual
SE ENTREGA
? ITV en vigor
? Todos los mantenimientos realizados
? Revisado y listo para entregar
? 1 AÑO DE GARANTÍA
Una opción ideal para quien busca un coche económico, fiable y fácil de mantener, con garantía y listo para circular.
Consulte sin compromiso para más información, fotos o para concertar una visita y probarlo.</t>
        </is>
      </c>
      <c r="AZ59" s="2" t="inlineStr">
        <is>
          <t>https://www.coches.net/toyota-aygo-10-vvti-live-5p-gasolina-2010-en-valencia-71691745-covo.aspx (window.__INITIAL_PROPS__.ad) /home/user/Alopecia/buscador-coches/raw/cochesnet/680c32fd6cdc2d9a.json</t>
        </is>
      </c>
      <c r="BA59" s="3">
        <f>MAX(ANIO_ACTUAL-M59,0)</f>
        <v/>
      </c>
      <c r="BB59" s="4">
        <f>N59/MAX(BA59,0.5)</f>
        <v/>
      </c>
      <c r="BC59" s="4">
        <f>F59</f>
        <v/>
      </c>
      <c r="BD59" s="3">
        <f>BC59&amp;"|"&amp;INT(M59/SEG_ANIO)*SEG_ANIO</f>
        <v/>
      </c>
      <c r="BE59" s="3">
        <f>BD59&amp;"|"&amp;INT(N59/SEG_KM)*SEG_KM</f>
        <v/>
      </c>
      <c r="BF59" s="4">
        <f>COUNTIF($BC$2:$BC$545,BC59)</f>
        <v/>
      </c>
      <c r="BG59" s="4">
        <f>COUNTIF($BD$2:$BD$545,BD59)</f>
        <v/>
      </c>
      <c r="BH59" s="4">
        <f>COUNTIF($BE$2:$BE$545,BE59)</f>
        <v/>
      </c>
      <c r="BI59" s="3">
        <f t="array" ref="BI59">IF(N(AU59)&gt;=MIN_N,AT59,IF(BH59&gt;=MIN_N,MEDIAN(IF($BE$2:$BE$545=BE59,$O$2:$O$545)),IF(BG59&gt;=MIN_N,MEDIAN(IF($BD$2:$BD$545=BD59,$O$2:$O$545)),MEDIAN(IF($BC$2:$BC$545=BC59,$O$2:$O$545)))))</f>
        <v/>
      </c>
      <c r="BJ59" s="3">
        <f>IF(N(AU59)&gt;=MIN_N,"mercado "&amp;AV59,IF(BH59&gt;=MIN_N,"modelo+año+km",IF(BG59&gt;=MIN_N,"modelo+año","modelo")))</f>
        <v/>
      </c>
      <c r="BK59" s="4">
        <f>(BI59-O59)/BI59</f>
        <v/>
      </c>
      <c r="BL59" s="3">
        <f>IF(COUNTIFS(FR_FUEL,K59,FR_YEAR,AP59)&gt;0,1,0)</f>
        <v/>
      </c>
      <c r="BM59" s="3">
        <f>IF(COUNTIFS(FR_FUEL,K59,FR_YEAR,AP59-1)&gt;0,1,0)</f>
        <v/>
      </c>
      <c r="BN59" s="4">
        <f>IF(N(AQ59)&gt;0,AP59*100+AQ59,IF(AND(BL59=1,BM59=1),(AP59-1)*100+1,AP59*100+1))</f>
        <v/>
      </c>
      <c r="BO59" s="3">
        <f>IF(OR(K59="hibrido",K59="glp",K59="gnc",K59="phev"),"ECO",IF(K59="electrico","CERO",IF(K59="gasolina",IF(BN59&gt;=GAS_C_YM,"C",IF(BN59&gt;=GAS_B_YM,"B","A")),IF(K59="diesel",IF(BN59&gt;=DIE_C_YM,"C",IF(BN59&gt;=DIE_B_YM,"B","A")),""))))</f>
        <v/>
      </c>
      <c r="BP59" s="2" t="inlineStr">
        <is>
          <t>C</t>
        </is>
      </c>
      <c r="BQ59" s="4">
        <f>IF(AS59="regla",IF(AND(N(AQ59)=0,BL59=1),"sí","no"),"no")</f>
        <v/>
      </c>
      <c r="BR59" s="3">
        <f>IFERROR(VLOOKUP(F59,MOD_TBL,11,0),IFERROR(VLOOKUP(E59,OCU_TBL,2,0),NEUTRO))</f>
        <v/>
      </c>
      <c r="BS59" s="3">
        <f>SUMIFS(MOT_AJUSTE,MOT_MOTOR,G59,MOT_MARCA,E59,MOT_DESDE,"&lt;="&amp;M59,MOT_HASTA,"&gt;="&amp;M59)+SUMIFS(MOT_AJUSTE,MOT_MOTOR,G59,MOT_MARCA,"(todas)",MOT_DESDE,"&lt;="&amp;M59,MOT_HASTA,"&gt;="&amp;M59)</f>
        <v/>
      </c>
      <c r="BT59" s="3">
        <f>SUMIFS(COMB_AJUSTE,COMB_COMB,K59)</f>
        <v/>
      </c>
      <c r="BU59" s="3">
        <f>COUNTIFS(MOT_MOTOR,G59,MOT_MARCA,E59,MOT_DESDE,"&lt;="&amp;M59,MOT_HASTA,"&gt;="&amp;M59)+COUNTIFS(MOT_MOTOR,G59,MOT_MARCA,"(todas)",MOT_DESDE,"&lt;="&amp;M59,MOT_HASTA,"&gt;="&amp;M59)</f>
        <v/>
      </c>
      <c r="BV59" s="3">
        <f>IF(AND(K59="diesel",BU59=0),MIN(BR59,NEUTRO),BR59)</f>
        <v/>
      </c>
      <c r="BW59" s="4">
        <f>MAX(0,MIN(100,BV59+BS59+BT59))</f>
        <v/>
      </c>
      <c r="BX59" s="3">
        <f>MAX(0,MIN(100,50+BK59*PRECIO_PEND))</f>
        <v/>
      </c>
      <c r="BY59" s="3">
        <f>MAX(0,100*(1-N59/KM_MAX))</f>
        <v/>
      </c>
      <c r="BZ59" s="3">
        <f>IF(BB59&lt;KMA_SOSP,IF(AA59="sí",100,KMA_PEN),IF(BB59&lt;=KMA_IDEAL_MAX,100,MAX(0,100*(KMA_CERO-BB59)/(KMA_CERO-KMA_IDEAL_MAX))))</f>
        <v/>
      </c>
      <c r="CA59" s="3">
        <f>MAX(0,MIN(100,100*(M59-ANIO_MIN)/(ANIO_ACTUAL-ANIO_MIN)))</f>
        <v/>
      </c>
      <c r="CB59" s="3">
        <f>W_KMT*BY59+W_KMA*BZ59+W_EDAD*CA59</f>
        <v/>
      </c>
      <c r="CC59" s="3">
        <f>P_ITV*(V59="sí")+P_LIBRO*(W59="sí")+P_CORREA*(X59="sí")+P_PROP*(Y59=1)+P_GAR*(Z59="sí")+P_FOTOS*MIN(1,N(U59)/FOTOS_OBJ)</f>
        <v/>
      </c>
      <c r="CD59" s="3">
        <f>MAX(0,MIN(100,IFERROR(VLOOKUP(BP59,ETQ_TBL,2,0),0)-IF(BQ59="sí",ETQ_PEN_DUD,IF(AS59="regla",ETQ_PEN_REGLA,0))))</f>
        <v/>
      </c>
      <c r="CE59" s="3">
        <f>NEUTRO</f>
        <v/>
      </c>
      <c r="CF59" s="3">
        <f>IFERROR(VLOOKUP(L59,SEGURO_TBL,3,0),"")</f>
        <v/>
      </c>
      <c r="CG59" s="3">
        <f>IF(CF59="",NEUTRO,MAX(0,MIN(100,100*(SEG_REF_MAX-CF59)/(SEG_REF_MAX-SEG_REF_MIN))))</f>
        <v/>
      </c>
      <c r="CH59" s="3">
        <f>W_CONS*CE59+W_SEG*CG59</f>
        <v/>
      </c>
      <c r="CI59" s="3">
        <f>IF(N(AB59)&gt;0,AB59,IF(AND(R59="profesional",SG_LEGAL_ON=1),GAR_LEGAL,0))</f>
        <v/>
      </c>
      <c r="CJ59" s="3">
        <f>SG_GAR*MIN(1,CI59/SG_GAR_FULL)+SG_AMPL*(AC59="sí")+SG_KMC*(AF59="sí")+SG_REV*(N(AE59)&gt;0)+SG_DEV*MIN(1,N(AG59)/SG_DEV_FULL)+SG_HIST*(W59="sí")</f>
        <v/>
      </c>
      <c r="CK59" s="3">
        <f>IFERROR(VLOOKUP(L59,CARR_PEN_TBL,2,0),0)</f>
        <v/>
      </c>
      <c r="CL59" s="3">
        <f>W_FIAB*BW59+W_PRECIO*BX59+W_KMEDAD*CB59+W_ANUNCIO*CC59+W_USO*CH59+W_SEGURIDAD*CJ59+W_ETIQUETA*CD59-CK59</f>
        <v/>
      </c>
      <c r="CM59" s="4">
        <f>IF(N(I59)&gt;0,I59,IFERROR(ROUND(_xlfn.NUMBERVALUE(LEFT(G59,FIND(" ",G59&amp;" ")-1),".")*1000,0),99999))</f>
        <v/>
      </c>
      <c r="CN59" s="3">
        <f>IF(R59="profesional",0,IF(O59&lt;CUOTA_VALOR_MAX,IF(BA59&gt;ITP_TRAMO_ALTO,SUMIFS(CF_CUOTA,CF_MAS,ITP_TRAMO_ALTO,CF_CCMIN,"&lt;="&amp;CM59,CF_CCMAX,"&gt;="&amp;CM59),IF(BA59&gt;ITP_TRAMO_BAJO,SUMIFS(CF_CUOTA,CF_MAS,ITP_TRAMO_BAJO,CF_CCMIN,"&lt;="&amp;CM59,CF_CCMAX,"&gt;="&amp;CM59),O59*ITP_TIPO)),O59*ITP_TIPO))</f>
        <v/>
      </c>
      <c r="CO59" s="4">
        <f>IF(R59="profesional",N(AK59),0)</f>
        <v/>
      </c>
      <c r="CP59" s="3">
        <f>IF(AND(R59="profesional",ISNUMBER(AK59),AL59="sí"),0,TASA_DGT)</f>
        <v/>
      </c>
      <c r="CQ59" s="3">
        <f>INFORME_DGT</f>
        <v/>
      </c>
      <c r="CR59" s="4">
        <f>O59+CO59+CN59+CP59+CQ59</f>
        <v/>
      </c>
      <c r="CS59" s="4">
        <f>CR59+N(CF59)</f>
        <v/>
      </c>
      <c r="CT59" s="3">
        <f>IF(CR59&lt;=TOTAL_MAX,"sí",IF(CR59&lt;=TOTAL_MAX+MARGEN_NEG,"negociar","no"))</f>
        <v/>
      </c>
      <c r="CU59" s="4">
        <f>IF(CT59&lt;&gt;"no",COUNTIFS($CT$2:$CT$545,"&lt;&gt;no",$CL$2:$CL$545,"&gt;"&amp;CL59)+COUNTIFS($CT$2:CT59,"&lt;&gt;no",$CL$2:CL59,CL59),"")</f>
        <v/>
      </c>
    </row>
    <row r="60">
      <c r="A60" s="2" t="inlineStr">
        <is>
          <t>cochesnet:71265682</t>
        </is>
      </c>
      <c r="B60" s="2" t="inlineStr">
        <is>
          <t>cochesnet</t>
        </is>
      </c>
      <c r="C60" s="2" t="inlineStr">
        <is>
          <t>https://www.coches.net/mazda-mazda2-active-14-crtd-5p-diesel-2007-en-valencia-71265682-covo.aspx</t>
        </is>
      </c>
      <c r="D60" s="2" t="inlineStr">
        <is>
          <t>MAZDA Mazda2 Active 1.4 CRTD</t>
        </is>
      </c>
      <c r="E60" s="2" t="inlineStr">
        <is>
          <t>Mazda</t>
        </is>
      </c>
      <c r="F60" s="2" t="inlineStr">
        <is>
          <t>Mazda 2</t>
        </is>
      </c>
      <c r="G60" s="2" t="inlineStr">
        <is>
          <t>1.4</t>
        </is>
      </c>
      <c r="H60" s="2" t="inlineStr">
        <is>
          <t>Active 1.4 CRTD</t>
        </is>
      </c>
      <c r="I60" s="2" t="n"/>
      <c r="J60" s="2" t="n"/>
      <c r="K60" s="2" t="inlineStr">
        <is>
          <t>diesel</t>
        </is>
      </c>
      <c r="L60" s="2" t="inlineStr">
        <is>
          <t>utilitario</t>
        </is>
      </c>
      <c r="M60" s="2" t="n">
        <v>2008</v>
      </c>
      <c r="N60" s="2" t="n">
        <v>145000</v>
      </c>
      <c r="O60" s="2" t="n">
        <v>4500</v>
      </c>
      <c r="P60" s="2" t="inlineStr">
        <is>
          <t>manual</t>
        </is>
      </c>
      <c r="Q60" s="2" t="inlineStr">
        <is>
          <t>no</t>
        </is>
      </c>
      <c r="R60" s="2" t="inlineStr">
        <is>
          <t>profesional</t>
        </is>
      </c>
      <c r="S60" s="2" t="inlineStr">
        <is>
          <t>Beniparrell</t>
        </is>
      </c>
      <c r="T60" s="2" t="inlineStr">
        <is>
          <t>2026-08-10T16:34:09Z</t>
        </is>
      </c>
      <c r="U60" s="2" t="n">
        <v>13</v>
      </c>
      <c r="V60" s="2" t="n"/>
      <c r="W60" s="2" t="n"/>
      <c r="X60" s="2" t="n"/>
      <c r="Y60" s="2" t="n"/>
      <c r="Z60" s="2" t="inlineStr">
        <is>
          <t>sí</t>
        </is>
      </c>
      <c r="AA60" s="2" t="n"/>
      <c r="AB60" s="2" t="n">
        <v>12</v>
      </c>
      <c r="AC60" s="2" t="n"/>
      <c r="AD60" s="2" t="n"/>
      <c r="AE60" s="2" t="n"/>
      <c r="AF60" s="2" t="n"/>
      <c r="AG60" s="2" t="n"/>
      <c r="AH60" s="2" t="n">
        <v>4500</v>
      </c>
      <c r="AI60" s="2" t="n"/>
      <c r="AJ60" s="2" t="n"/>
      <c r="AK60" s="2" t="n"/>
      <c r="AL60" s="2" t="n"/>
      <c r="AM60" s="2" t="n">
        <v>10.2</v>
      </c>
      <c r="AN60" s="2" t="n"/>
      <c r="AO60" s="2" t="inlineStr">
        <is>
          <t>2008</t>
        </is>
      </c>
      <c r="AP60" s="2" t="n">
        <v>2008</v>
      </c>
      <c r="AQ60" s="2" t="n"/>
      <c r="AR60" s="2" t="inlineStr">
        <is>
          <t>B</t>
        </is>
      </c>
      <c r="AS60" s="2" t="inlineStr">
        <is>
          <t>anuncio</t>
        </is>
      </c>
      <c r="AT60" s="2" t="n">
        <v>5000</v>
      </c>
      <c r="AU60" s="2" t="n">
        <v>12</v>
      </c>
      <c r="AV60" s="2" t="inlineStr">
        <is>
          <t>modelo+año</t>
        </is>
      </c>
      <c r="AW60" s="2" t="n"/>
      <c r="AX60" s="2" t="inlineStr">
        <is>
          <t>vendedor profesional: sin ITP (operación con IVA/REBU, confirmar en factura); gastos de gestión del vendedor no indicados: se suma la tasa DGT; preguntar el precio final; diésel: motor sin fuente de fiabilidad (fiabilidad limitada a neutra)</t>
        </is>
      </c>
      <c r="AY60" s="2" t="inlineStr">
        <is>
          <t>Este Mazda2 Active 1.4 CRTD es un compacto versátil y eficiente, diseñado para quienes buscan un vehículo manejable en ciudad sin renunciar a la practicidad. Su motor diésel de 1.4 litros ofrece un consumo moderado —4,3 l/100 km en ciclo mixto— con par disponible desde bajas revoluciones, lo que facilita la conducción en tráfico urbano y en carreteras secundarias.
El interior aprovecha bien el espacio disponible con asientos delanteros individuales ajustables en altura y respaldo trasero abatible asimétrico, permitiendo ampliar la capacidad de carga hasta 787 litros con los asientos plegados. La dirección asistida con endurecimiento progresivo y la suspensión independiente delantera proporcionan una respuesta equilibrada en diferentes condiciones de circulación.
En cuanto a equipamiento, este vehículo integra climatizador automático, elevalunas eléctricos en todas las puertas, cierre centralizado con mando a distancia, y un sistema de audio con radio AM/FM, lector de CD para MP3 y mandos en el volante. La seguridad se refuerza con airbags frontales inteligentes, laterales delanteros y de cortina, además de ABS en las cuatro ruedas y preparación Isofix para sistemas de retención infantil.
Los cristales tintados, retrovisores exteriores eléctricos y desempañables, así como los limpiaparabrisas con intermitencia, completan el equipamiento de confort. Este ejemplar cuenta con etiqueta medioambiental B, lo que permite acceso a las ciudades con regulación de zonas de bajas emisi</t>
        </is>
      </c>
      <c r="AZ60" s="2" t="inlineStr">
        <is>
          <t>https://www.coches.net/mazda-mazda2-active-14-crtd-5p-diesel-2007-en-valencia-71265682-covo.aspx (window.__INITIAL_PROPS__.ad) /home/user/Alopecia/buscador-coches/raw/cochesnet/5cd5d6b176a66f9b.json</t>
        </is>
      </c>
      <c r="BA60" s="3">
        <f>MAX(ANIO_ACTUAL-M60,0)</f>
        <v/>
      </c>
      <c r="BB60" s="4">
        <f>N60/MAX(BA60,0.5)</f>
        <v/>
      </c>
      <c r="BC60" s="4">
        <f>F60</f>
        <v/>
      </c>
      <c r="BD60" s="3">
        <f>BC60&amp;"|"&amp;INT(M60/SEG_ANIO)*SEG_ANIO</f>
        <v/>
      </c>
      <c r="BE60" s="3">
        <f>BD60&amp;"|"&amp;INT(N60/SEG_KM)*SEG_KM</f>
        <v/>
      </c>
      <c r="BF60" s="4">
        <f>COUNTIF($BC$2:$BC$545,BC60)</f>
        <v/>
      </c>
      <c r="BG60" s="4">
        <f>COUNTIF($BD$2:$BD$545,BD60)</f>
        <v/>
      </c>
      <c r="BH60" s="4">
        <f>COUNTIF($BE$2:$BE$545,BE60)</f>
        <v/>
      </c>
      <c r="BI60" s="3">
        <f t="array" ref="BI60">IF(N(AU60)&gt;=MIN_N,AT60,IF(BH60&gt;=MIN_N,MEDIAN(IF($BE$2:$BE$545=BE60,$O$2:$O$545)),IF(BG60&gt;=MIN_N,MEDIAN(IF($BD$2:$BD$545=BD60,$O$2:$O$545)),MEDIAN(IF($BC$2:$BC$545=BC60,$O$2:$O$545)))))</f>
        <v/>
      </c>
      <c r="BJ60" s="3">
        <f>IF(N(AU60)&gt;=MIN_N,"mercado "&amp;AV60,IF(BH60&gt;=MIN_N,"modelo+año+km",IF(BG60&gt;=MIN_N,"modelo+año","modelo")))</f>
        <v/>
      </c>
      <c r="BK60" s="4">
        <f>(BI60-O60)/BI60</f>
        <v/>
      </c>
      <c r="BL60" s="3">
        <f>IF(COUNTIFS(FR_FUEL,K60,FR_YEAR,AP60)&gt;0,1,0)</f>
        <v/>
      </c>
      <c r="BM60" s="3">
        <f>IF(COUNTIFS(FR_FUEL,K60,FR_YEAR,AP60-1)&gt;0,1,0)</f>
        <v/>
      </c>
      <c r="BN60" s="4">
        <f>IF(N(AQ60)&gt;0,AP60*100+AQ60,IF(AND(BL60=1,BM60=1),(AP60-1)*100+1,AP60*100+1))</f>
        <v/>
      </c>
      <c r="BO60" s="3">
        <f>IF(OR(K60="hibrido",K60="glp",K60="gnc",K60="phev"),"ECO",IF(K60="electrico","CERO",IF(K60="gasolina",IF(BN60&gt;=GAS_C_YM,"C",IF(BN60&gt;=GAS_B_YM,"B","A")),IF(K60="diesel",IF(BN60&gt;=DIE_C_YM,"C",IF(BN60&gt;=DIE_B_YM,"B","A")),""))))</f>
        <v/>
      </c>
      <c r="BP60" s="2" t="inlineStr">
        <is>
          <t>B</t>
        </is>
      </c>
      <c r="BQ60" s="4">
        <f>IF(AS60="regla",IF(AND(N(AQ60)=0,BL60=1),"sí","no"),"no")</f>
        <v/>
      </c>
      <c r="BR60" s="3">
        <f>IFERROR(VLOOKUP(F60,MOD_TBL,11,0),IFERROR(VLOOKUP(E60,OCU_TBL,2,0),NEUTRO))</f>
        <v/>
      </c>
      <c r="BS60" s="3">
        <f>SUMIFS(MOT_AJUSTE,MOT_MOTOR,G60,MOT_MARCA,E60,MOT_DESDE,"&lt;="&amp;M60,MOT_HASTA,"&gt;="&amp;M60)+SUMIFS(MOT_AJUSTE,MOT_MOTOR,G60,MOT_MARCA,"(todas)",MOT_DESDE,"&lt;="&amp;M60,MOT_HASTA,"&gt;="&amp;M60)</f>
        <v/>
      </c>
      <c r="BT60" s="3">
        <f>SUMIFS(COMB_AJUSTE,COMB_COMB,K60)</f>
        <v/>
      </c>
      <c r="BU60" s="3">
        <f>COUNTIFS(MOT_MOTOR,G60,MOT_MARCA,E60,MOT_DESDE,"&lt;="&amp;M60,MOT_HASTA,"&gt;="&amp;M60)+COUNTIFS(MOT_MOTOR,G60,MOT_MARCA,"(todas)",MOT_DESDE,"&lt;="&amp;M60,MOT_HASTA,"&gt;="&amp;M60)</f>
        <v/>
      </c>
      <c r="BV60" s="3">
        <f>IF(AND(K60="diesel",BU60=0),MIN(BR60,NEUTRO),BR60)</f>
        <v/>
      </c>
      <c r="BW60" s="4">
        <f>MAX(0,MIN(100,BV60+BS60+BT60))</f>
        <v/>
      </c>
      <c r="BX60" s="3">
        <f>MAX(0,MIN(100,50+BK60*PRECIO_PEND))</f>
        <v/>
      </c>
      <c r="BY60" s="3">
        <f>MAX(0,100*(1-N60/KM_MAX))</f>
        <v/>
      </c>
      <c r="BZ60" s="3">
        <f>IF(BB60&lt;KMA_SOSP,IF(AA60="sí",100,KMA_PEN),IF(BB60&lt;=KMA_IDEAL_MAX,100,MAX(0,100*(KMA_CERO-BB60)/(KMA_CERO-KMA_IDEAL_MAX))))</f>
        <v/>
      </c>
      <c r="CA60" s="3">
        <f>MAX(0,MIN(100,100*(M60-ANIO_MIN)/(ANIO_ACTUAL-ANIO_MIN)))</f>
        <v/>
      </c>
      <c r="CB60" s="3">
        <f>W_KMT*BY60+W_KMA*BZ60+W_EDAD*CA60</f>
        <v/>
      </c>
      <c r="CC60" s="3">
        <f>P_ITV*(V60="sí")+P_LIBRO*(W60="sí")+P_CORREA*(X60="sí")+P_PROP*(Y60=1)+P_GAR*(Z60="sí")+P_FOTOS*MIN(1,N(U60)/FOTOS_OBJ)</f>
        <v/>
      </c>
      <c r="CD60" s="3">
        <f>MAX(0,MIN(100,IFERROR(VLOOKUP(BP60,ETQ_TBL,2,0),0)-IF(BQ60="sí",ETQ_PEN_DUD,IF(AS60="regla",ETQ_PEN_REGLA,0))))</f>
        <v/>
      </c>
      <c r="CE60" s="3">
        <f>NEUTRO</f>
        <v/>
      </c>
      <c r="CF60" s="3">
        <f>IFERROR(VLOOKUP(L60,SEGURO_TBL,3,0),"")</f>
        <v/>
      </c>
      <c r="CG60" s="3">
        <f>IF(CF60="",NEUTRO,MAX(0,MIN(100,100*(SEG_REF_MAX-CF60)/(SEG_REF_MAX-SEG_REF_MIN))))</f>
        <v/>
      </c>
      <c r="CH60" s="3">
        <f>W_CONS*CE60+W_SEG*CG60</f>
        <v/>
      </c>
      <c r="CI60" s="3">
        <f>IF(N(AB60)&gt;0,AB60,IF(AND(R60="profesional",SG_LEGAL_ON=1),GAR_LEGAL,0))</f>
        <v/>
      </c>
      <c r="CJ60" s="3">
        <f>SG_GAR*MIN(1,CI60/SG_GAR_FULL)+SG_AMPL*(AC60="sí")+SG_KMC*(AF60="sí")+SG_REV*(N(AE60)&gt;0)+SG_DEV*MIN(1,N(AG60)/SG_DEV_FULL)+SG_HIST*(W60="sí")</f>
        <v/>
      </c>
      <c r="CK60" s="3">
        <f>IFERROR(VLOOKUP(L60,CARR_PEN_TBL,2,0),0)</f>
        <v/>
      </c>
      <c r="CL60" s="3">
        <f>W_FIAB*BW60+W_PRECIO*BX60+W_KMEDAD*CB60+W_ANUNCIO*CC60+W_USO*CH60+W_SEGURIDAD*CJ60+W_ETIQUETA*CD60-CK60</f>
        <v/>
      </c>
      <c r="CM60" s="4">
        <f>IF(N(I60)&gt;0,I60,IFERROR(ROUND(_xlfn.NUMBERVALUE(LEFT(G60,FIND(" ",G60&amp;" ")-1),".")*1000,0),99999))</f>
        <v/>
      </c>
      <c r="CN60" s="3">
        <f>IF(R60="profesional",0,IF(O60&lt;CUOTA_VALOR_MAX,IF(BA60&gt;ITP_TRAMO_ALTO,SUMIFS(CF_CUOTA,CF_MAS,ITP_TRAMO_ALTO,CF_CCMIN,"&lt;="&amp;CM60,CF_CCMAX,"&gt;="&amp;CM60),IF(BA60&gt;ITP_TRAMO_BAJO,SUMIFS(CF_CUOTA,CF_MAS,ITP_TRAMO_BAJO,CF_CCMIN,"&lt;="&amp;CM60,CF_CCMAX,"&gt;="&amp;CM60),O60*ITP_TIPO)),O60*ITP_TIPO))</f>
        <v/>
      </c>
      <c r="CO60" s="4">
        <f>IF(R60="profesional",N(AK60),0)</f>
        <v/>
      </c>
      <c r="CP60" s="3">
        <f>IF(AND(R60="profesional",ISNUMBER(AK60),AL60="sí"),0,TASA_DGT)</f>
        <v/>
      </c>
      <c r="CQ60" s="3">
        <f>INFORME_DGT</f>
        <v/>
      </c>
      <c r="CR60" s="4">
        <f>O60+CO60+CN60+CP60+CQ60</f>
        <v/>
      </c>
      <c r="CS60" s="4">
        <f>CR60+N(CF60)</f>
        <v/>
      </c>
      <c r="CT60" s="3">
        <f>IF(CR60&lt;=TOTAL_MAX,"sí",IF(CR60&lt;=TOTAL_MAX+MARGEN_NEG,"negociar","no"))</f>
        <v/>
      </c>
      <c r="CU60" s="4">
        <f>IF(CT60&lt;&gt;"no",COUNTIFS($CT$2:$CT$545,"&lt;&gt;no",$CL$2:$CL$545,"&gt;"&amp;CL60)+COUNTIFS($CT$2:CT60,"&lt;&gt;no",$CL$2:CL60,CL60),"")</f>
        <v/>
      </c>
    </row>
    <row r="61">
      <c r="A61" s="2" t="inlineStr">
        <is>
          <t>cochesnet:71525978</t>
        </is>
      </c>
      <c r="B61" s="2" t="inlineStr">
        <is>
          <t>cochesnet</t>
        </is>
      </c>
      <c r="C61" s="2" t="inlineStr">
        <is>
          <t>https://www.coches.net/mazda-mazda2-style-16-crtd-3p-diesel-2009-en-valencia-71525978-covo.aspx</t>
        </is>
      </c>
      <c r="D61" s="2" t="inlineStr">
        <is>
          <t>MAZDA Mazda2 Style 1.6 CRTD</t>
        </is>
      </c>
      <c r="E61" s="2" t="inlineStr">
        <is>
          <t>Mazda</t>
        </is>
      </c>
      <c r="F61" s="2" t="inlineStr">
        <is>
          <t>Mazda 2</t>
        </is>
      </c>
      <c r="G61" s="2" t="inlineStr">
        <is>
          <t>1.6</t>
        </is>
      </c>
      <c r="H61" s="2" t="inlineStr">
        <is>
          <t>Style 1.6 CRTD</t>
        </is>
      </c>
      <c r="I61" s="2" t="n"/>
      <c r="J61" s="2" t="n"/>
      <c r="K61" s="2" t="inlineStr">
        <is>
          <t>diesel</t>
        </is>
      </c>
      <c r="L61" s="2" t="inlineStr">
        <is>
          <t>utilitario</t>
        </is>
      </c>
      <c r="M61" s="2" t="n">
        <v>2011</v>
      </c>
      <c r="N61" s="2" t="n">
        <v>214000</v>
      </c>
      <c r="O61" s="2" t="n">
        <v>3800</v>
      </c>
      <c r="P61" s="2" t="inlineStr">
        <is>
          <t>manual</t>
        </is>
      </c>
      <c r="Q61" s="2" t="inlineStr">
        <is>
          <t>no</t>
        </is>
      </c>
      <c r="R61" s="2" t="inlineStr">
        <is>
          <t>profesional</t>
        </is>
      </c>
      <c r="S61" s="2" t="inlineStr">
        <is>
          <t>Coches Venar Valencia</t>
        </is>
      </c>
      <c r="T61" s="2" t="inlineStr">
        <is>
          <t>2026-09-16T11:48:49Z</t>
        </is>
      </c>
      <c r="U61" s="2" t="n">
        <v>8</v>
      </c>
      <c r="V61" s="2" t="n"/>
      <c r="W61" s="2" t="n"/>
      <c r="X61" s="2" t="n"/>
      <c r="Y61" s="2" t="n"/>
      <c r="Z61" s="2" t="inlineStr">
        <is>
          <t>sí</t>
        </is>
      </c>
      <c r="AA61" s="2" t="n"/>
      <c r="AB61" s="2" t="n">
        <v>12</v>
      </c>
      <c r="AC61" s="2" t="n"/>
      <c r="AD61" s="2" t="n"/>
      <c r="AE61" s="2" t="n"/>
      <c r="AF61" s="2" t="n"/>
      <c r="AG61" s="2" t="n"/>
      <c r="AH61" s="2" t="n">
        <v>3800</v>
      </c>
      <c r="AI61" s="2" t="n"/>
      <c r="AJ61" s="2" t="n"/>
      <c r="AK61" s="2" t="n"/>
      <c r="AL61" s="2" t="n"/>
      <c r="AM61" s="2" t="n">
        <v>0.1</v>
      </c>
      <c r="AN61" s="2" t="n"/>
      <c r="AO61" s="2" t="inlineStr">
        <is>
          <t>2011</t>
        </is>
      </c>
      <c r="AP61" s="2" t="n">
        <v>2011</v>
      </c>
      <c r="AQ61" s="2" t="n"/>
      <c r="AR61" s="2" t="n"/>
      <c r="AS61" s="2" t="inlineStr">
        <is>
          <t>regla</t>
        </is>
      </c>
      <c r="AT61" s="2" t="n">
        <v>5000</v>
      </c>
      <c r="AU61" s="2" t="n">
        <v>6</v>
      </c>
      <c r="AV61" s="2" t="inlineStr">
        <is>
          <t>modelo+año</t>
        </is>
      </c>
      <c r="AW61" s="2" t="n"/>
      <c r="AX61" s="2" t="inlineStr">
        <is>
          <t>vendedor profesional: sin ITP (operación con IVA/REBU, confirmar en factura); gastos de gestión del vendedor no indicados: se suma la tasa DGT; preguntar el precio final; diésel: motor sin fuente de fiabilidad (fiabilidad limitada a neutra)</t>
        </is>
      </c>
      <c r="AY61" s="2" t="inlineStr">
        <is>
          <t>Este Mazda2 Style 1.6 CRTD combina practicidad urbana con equipamiento de confort pensado para el uso diario. Destaca por su aire acondicionado automático, dirección asistida eléctrica con endurecimiento progresivo, y volante multifunción ajustable que facilitan la conducción. Dispone de cierre centralizado con mando a distancia, elevalunas eléctricos delanteros con función de un solo toque, y retrovisores exteriores eléctricos desempañables. El interior ofrece asientos ajustables en altura, reposacabezas regulables en todas las plazas, y sistema de ventilación con filtro de polen. Incluye ordenador de viaje con datos de consumo y autonomía, equipo de audio con radio AM/FM/LW, reproductor de CD y lector MP3 con control remoto en volante. Cristales tintados y climatización automática completan un habitáculo versátil para desplazamientos cotidianos.</t>
        </is>
      </c>
      <c r="AZ61" s="2" t="inlineStr">
        <is>
          <t>https://www.coches.net/mazda-mazda2-style-16-crtd-3p-diesel-2009-en-valencia-71525978-covo.aspx (window.__INITIAL_PROPS__.ad) /home/user/Alopecia/buscador-coches/raw/cochesnet/680bda08a6c8bde6.json</t>
        </is>
      </c>
      <c r="BA61" s="3">
        <f>MAX(ANIO_ACTUAL-M61,0)</f>
        <v/>
      </c>
      <c r="BB61" s="4">
        <f>N61/MAX(BA61,0.5)</f>
        <v/>
      </c>
      <c r="BC61" s="4">
        <f>F61</f>
        <v/>
      </c>
      <c r="BD61" s="3">
        <f>BC61&amp;"|"&amp;INT(M61/SEG_ANIO)*SEG_ANIO</f>
        <v/>
      </c>
      <c r="BE61" s="3">
        <f>BD61&amp;"|"&amp;INT(N61/SEG_KM)*SEG_KM</f>
        <v/>
      </c>
      <c r="BF61" s="4">
        <f>COUNTIF($BC$2:$BC$545,BC61)</f>
        <v/>
      </c>
      <c r="BG61" s="4">
        <f>COUNTIF($BD$2:$BD$545,BD61)</f>
        <v/>
      </c>
      <c r="BH61" s="4">
        <f>COUNTIF($BE$2:$BE$545,BE61)</f>
        <v/>
      </c>
      <c r="BI61" s="3">
        <f t="array" ref="BI61">IF(N(AU61)&gt;=MIN_N,AT61,IF(BH61&gt;=MIN_N,MEDIAN(IF($BE$2:$BE$545=BE61,$O$2:$O$545)),IF(BG61&gt;=MIN_N,MEDIAN(IF($BD$2:$BD$545=BD61,$O$2:$O$545)),MEDIAN(IF($BC$2:$BC$545=BC61,$O$2:$O$545)))))</f>
        <v/>
      </c>
      <c r="BJ61" s="3">
        <f>IF(N(AU61)&gt;=MIN_N,"mercado "&amp;AV61,IF(BH61&gt;=MIN_N,"modelo+año+km",IF(BG61&gt;=MIN_N,"modelo+año","modelo")))</f>
        <v/>
      </c>
      <c r="BK61" s="4">
        <f>(BI61-O61)/BI61</f>
        <v/>
      </c>
      <c r="BL61" s="3">
        <f>IF(COUNTIFS(FR_FUEL,K61,FR_YEAR,AP61)&gt;0,1,0)</f>
        <v/>
      </c>
      <c r="BM61" s="3">
        <f>IF(COUNTIFS(FR_FUEL,K61,FR_YEAR,AP61-1)&gt;0,1,0)</f>
        <v/>
      </c>
      <c r="BN61" s="4">
        <f>IF(N(AQ61)&gt;0,AP61*100+AQ61,IF(AND(BL61=1,BM61=1),(AP61-1)*100+1,AP61*100+1))</f>
        <v/>
      </c>
      <c r="BO61" s="3">
        <f>IF(OR(K61="hibrido",K61="glp",K61="gnc",K61="phev"),"ECO",IF(K61="electrico","CERO",IF(K61="gasolina",IF(BN61&gt;=GAS_C_YM,"C",IF(BN61&gt;=GAS_B_YM,"B","A")),IF(K61="diesel",IF(BN61&gt;=DIE_C_YM,"C",IF(BN61&gt;=DIE_B_YM,"B","A")),""))))</f>
        <v/>
      </c>
      <c r="BP61" s="4">
        <f>BO61</f>
        <v/>
      </c>
      <c r="BQ61" s="4">
        <f>IF(AS61="regla",IF(AND(N(AQ61)=0,BL61=1),"sí","no"),"no")</f>
        <v/>
      </c>
      <c r="BR61" s="3">
        <f>IFERROR(VLOOKUP(F61,MOD_TBL,11,0),IFERROR(VLOOKUP(E61,OCU_TBL,2,0),NEUTRO))</f>
        <v/>
      </c>
      <c r="BS61" s="3">
        <f>SUMIFS(MOT_AJUSTE,MOT_MOTOR,G61,MOT_MARCA,E61,MOT_DESDE,"&lt;="&amp;M61,MOT_HASTA,"&gt;="&amp;M61)+SUMIFS(MOT_AJUSTE,MOT_MOTOR,G61,MOT_MARCA,"(todas)",MOT_DESDE,"&lt;="&amp;M61,MOT_HASTA,"&gt;="&amp;M61)</f>
        <v/>
      </c>
      <c r="BT61" s="3">
        <f>SUMIFS(COMB_AJUSTE,COMB_COMB,K61)</f>
        <v/>
      </c>
      <c r="BU61" s="3">
        <f>COUNTIFS(MOT_MOTOR,G61,MOT_MARCA,E61,MOT_DESDE,"&lt;="&amp;M61,MOT_HASTA,"&gt;="&amp;M61)+COUNTIFS(MOT_MOTOR,G61,MOT_MARCA,"(todas)",MOT_DESDE,"&lt;="&amp;M61,MOT_HASTA,"&gt;="&amp;M61)</f>
        <v/>
      </c>
      <c r="BV61" s="3">
        <f>IF(AND(K61="diesel",BU61=0),MIN(BR61,NEUTRO),BR61)</f>
        <v/>
      </c>
      <c r="BW61" s="4">
        <f>MAX(0,MIN(100,BV61+BS61+BT61))</f>
        <v/>
      </c>
      <c r="BX61" s="3">
        <f>MAX(0,MIN(100,50+BK61*PRECIO_PEND))</f>
        <v/>
      </c>
      <c r="BY61" s="3">
        <f>MAX(0,100*(1-N61/KM_MAX))</f>
        <v/>
      </c>
      <c r="BZ61" s="3">
        <f>IF(BB61&lt;KMA_SOSP,IF(AA61="sí",100,KMA_PEN),IF(BB61&lt;=KMA_IDEAL_MAX,100,MAX(0,100*(KMA_CERO-BB61)/(KMA_CERO-KMA_IDEAL_MAX))))</f>
        <v/>
      </c>
      <c r="CA61" s="3">
        <f>MAX(0,MIN(100,100*(M61-ANIO_MIN)/(ANIO_ACTUAL-ANIO_MIN)))</f>
        <v/>
      </c>
      <c r="CB61" s="3">
        <f>W_KMT*BY61+W_KMA*BZ61+W_EDAD*CA61</f>
        <v/>
      </c>
      <c r="CC61" s="3">
        <f>P_ITV*(V61="sí")+P_LIBRO*(W61="sí")+P_CORREA*(X61="sí")+P_PROP*(Y61=1)+P_GAR*(Z61="sí")+P_FOTOS*MIN(1,N(U61)/FOTOS_OBJ)</f>
        <v/>
      </c>
      <c r="CD61" s="3">
        <f>MAX(0,MIN(100,IFERROR(VLOOKUP(BP61,ETQ_TBL,2,0),0)-IF(BQ61="sí",ETQ_PEN_DUD,IF(AS61="regla",ETQ_PEN_REGLA,0))))</f>
        <v/>
      </c>
      <c r="CE61" s="3">
        <f>NEUTRO</f>
        <v/>
      </c>
      <c r="CF61" s="3">
        <f>IFERROR(VLOOKUP(L61,SEGURO_TBL,3,0),"")</f>
        <v/>
      </c>
      <c r="CG61" s="3">
        <f>IF(CF61="",NEUTRO,MAX(0,MIN(100,100*(SEG_REF_MAX-CF61)/(SEG_REF_MAX-SEG_REF_MIN))))</f>
        <v/>
      </c>
      <c r="CH61" s="3">
        <f>W_CONS*CE61+W_SEG*CG61</f>
        <v/>
      </c>
      <c r="CI61" s="3">
        <f>IF(N(AB61)&gt;0,AB61,IF(AND(R61="profesional",SG_LEGAL_ON=1),GAR_LEGAL,0))</f>
        <v/>
      </c>
      <c r="CJ61" s="3">
        <f>SG_GAR*MIN(1,CI61/SG_GAR_FULL)+SG_AMPL*(AC61="sí")+SG_KMC*(AF61="sí")+SG_REV*(N(AE61)&gt;0)+SG_DEV*MIN(1,N(AG61)/SG_DEV_FULL)+SG_HIST*(W61="sí")</f>
        <v/>
      </c>
      <c r="CK61" s="3">
        <f>IFERROR(VLOOKUP(L61,CARR_PEN_TBL,2,0),0)</f>
        <v/>
      </c>
      <c r="CL61" s="3">
        <f>W_FIAB*BW61+W_PRECIO*BX61+W_KMEDAD*CB61+W_ANUNCIO*CC61+W_USO*CH61+W_SEGURIDAD*CJ61+W_ETIQUETA*CD61-CK61</f>
        <v/>
      </c>
      <c r="CM61" s="4">
        <f>IF(N(I61)&gt;0,I61,IFERROR(ROUND(_xlfn.NUMBERVALUE(LEFT(G61,FIND(" ",G61&amp;" ")-1),".")*1000,0),99999))</f>
        <v/>
      </c>
      <c r="CN61" s="3">
        <f>IF(R61="profesional",0,IF(O61&lt;CUOTA_VALOR_MAX,IF(BA61&gt;ITP_TRAMO_ALTO,SUMIFS(CF_CUOTA,CF_MAS,ITP_TRAMO_ALTO,CF_CCMIN,"&lt;="&amp;CM61,CF_CCMAX,"&gt;="&amp;CM61),IF(BA61&gt;ITP_TRAMO_BAJO,SUMIFS(CF_CUOTA,CF_MAS,ITP_TRAMO_BAJO,CF_CCMIN,"&lt;="&amp;CM61,CF_CCMAX,"&gt;="&amp;CM61),O61*ITP_TIPO)),O61*ITP_TIPO))</f>
        <v/>
      </c>
      <c r="CO61" s="4">
        <f>IF(R61="profesional",N(AK61),0)</f>
        <v/>
      </c>
      <c r="CP61" s="3">
        <f>IF(AND(R61="profesional",ISNUMBER(AK61),AL61="sí"),0,TASA_DGT)</f>
        <v/>
      </c>
      <c r="CQ61" s="3">
        <f>INFORME_DGT</f>
        <v/>
      </c>
      <c r="CR61" s="4">
        <f>O61+CO61+CN61+CP61+CQ61</f>
        <v/>
      </c>
      <c r="CS61" s="4">
        <f>CR61+N(CF61)</f>
        <v/>
      </c>
      <c r="CT61" s="3">
        <f>IF(CR61&lt;=TOTAL_MAX,"sí",IF(CR61&lt;=TOTAL_MAX+MARGEN_NEG,"negociar","no"))</f>
        <v/>
      </c>
      <c r="CU61" s="4">
        <f>IF(CT61&lt;&gt;"no",COUNTIFS($CT$2:$CT$545,"&lt;&gt;no",$CL$2:$CL$545,"&gt;"&amp;CL61)+COUNTIFS($CT$2:CT61,"&lt;&gt;no",$CL$2:CL61,CL61),"")</f>
        <v/>
      </c>
    </row>
    <row r="62">
      <c r="A62" s="2" t="inlineStr">
        <is>
          <t>cochesnet:71817386</t>
        </is>
      </c>
      <c r="B62" s="2" t="inlineStr">
        <is>
          <t>cochesnet</t>
        </is>
      </c>
      <c r="C62" s="2" t="inlineStr">
        <is>
          <t>https://www.coches.net/kia-picanto-10-sohc-concept-5p-gasolina-2010-en-valencia-71817386-covo.aspx</t>
        </is>
      </c>
      <c r="D62" s="2" t="inlineStr">
        <is>
          <t>KIA Picanto 1.0 SOHC Concept</t>
        </is>
      </c>
      <c r="E62" s="2" t="inlineStr">
        <is>
          <t>Kia</t>
        </is>
      </c>
      <c r="F62" s="2" t="inlineStr">
        <is>
          <t>Kia Picanto</t>
        </is>
      </c>
      <c r="G62" s="2" t="inlineStr">
        <is>
          <t>1.0</t>
        </is>
      </c>
      <c r="H62" s="2" t="inlineStr">
        <is>
          <t>1.0 SOHC Concept</t>
        </is>
      </c>
      <c r="I62" s="2" t="n"/>
      <c r="J62" s="2" t="n"/>
      <c r="K62" s="2" t="inlineStr">
        <is>
          <t>gasolina</t>
        </is>
      </c>
      <c r="L62" s="2" t="inlineStr">
        <is>
          <t>utilitario</t>
        </is>
      </c>
      <c r="M62" s="2" t="n">
        <v>2010</v>
      </c>
      <c r="N62" s="2" t="n">
        <v>99500</v>
      </c>
      <c r="O62" s="2" t="n">
        <v>4490</v>
      </c>
      <c r="P62" s="2" t="inlineStr">
        <is>
          <t>manual</t>
        </is>
      </c>
      <c r="Q62" s="2" t="inlineStr">
        <is>
          <t>no</t>
        </is>
      </c>
      <c r="R62" s="2" t="inlineStr">
        <is>
          <t>profesional</t>
        </is>
      </c>
      <c r="S62" s="2" t="inlineStr">
        <is>
          <t>JM Automóviles Alboraya</t>
        </is>
      </c>
      <c r="T62" s="2" t="inlineStr">
        <is>
          <t>2026-10-23T14:17:23Z</t>
        </is>
      </c>
      <c r="U62" s="2" t="n">
        <v>17</v>
      </c>
      <c r="V62" s="2" t="n"/>
      <c r="W62" s="2" t="n"/>
      <c r="X62" s="2" t="n"/>
      <c r="Y62" s="2" t="n"/>
      <c r="Z62" s="2" t="inlineStr">
        <is>
          <t>sí</t>
        </is>
      </c>
      <c r="AA62" s="2" t="n"/>
      <c r="AB62" s="2" t="n">
        <v>12</v>
      </c>
      <c r="AC62" s="2" t="n"/>
      <c r="AD62" s="2" t="n"/>
      <c r="AE62" s="2" t="n"/>
      <c r="AF62" s="2" t="n"/>
      <c r="AG62" s="2" t="n"/>
      <c r="AH62" s="2" t="n">
        <v>4490</v>
      </c>
      <c r="AI62" s="2" t="n">
        <v>4490</v>
      </c>
      <c r="AJ62" s="2" t="n"/>
      <c r="AK62" s="2" t="n"/>
      <c r="AL62" s="2" t="n"/>
      <c r="AM62" s="2" t="n">
        <v>4</v>
      </c>
      <c r="AN62" s="2" t="n"/>
      <c r="AO62" s="2" t="inlineStr">
        <is>
          <t>2010</t>
        </is>
      </c>
      <c r="AP62" s="2" t="n">
        <v>2010</v>
      </c>
      <c r="AQ62" s="2" t="n"/>
      <c r="AR62" s="2" t="inlineStr">
        <is>
          <t>C</t>
        </is>
      </c>
      <c r="AS62" s="2" t="inlineStr">
        <is>
          <t>anuncio</t>
        </is>
      </c>
      <c r="AT62" s="2" t="n"/>
      <c r="AU62" s="2" t="n"/>
      <c r="AV62" s="2" t="n"/>
      <c r="AW62" s="2" t="n"/>
      <c r="AX62" s="2" t="inlineStr">
        <is>
          <t>vendedor profesional: sin ITP (operación con IVA/REBU, confirmar en factura); gastos de gestión del vendedor no indicados: se suma la tasa DGT; preguntar el precio final</t>
        </is>
      </c>
      <c r="AY62"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AZ62" s="2" t="inlineStr">
        <is>
          <t>https://www.coches.net/kia-picanto-10-sohc-concept-5p-gasolina-2010-en-valencia-71817386-covo.aspx (window.__INITIAL_PROPS__.ad) /home/user/Alopecia/buscador-coches/raw/cochesnet/7d779d6ecf209f81.json</t>
        </is>
      </c>
      <c r="BA62" s="3">
        <f>MAX(ANIO_ACTUAL-M62,0)</f>
        <v/>
      </c>
      <c r="BB62" s="4">
        <f>N62/MAX(BA62,0.5)</f>
        <v/>
      </c>
      <c r="BC62" s="4">
        <f>F62</f>
        <v/>
      </c>
      <c r="BD62" s="3">
        <f>BC62&amp;"|"&amp;INT(M62/SEG_ANIO)*SEG_ANIO</f>
        <v/>
      </c>
      <c r="BE62" s="3">
        <f>BD62&amp;"|"&amp;INT(N62/SEG_KM)*SEG_KM</f>
        <v/>
      </c>
      <c r="BF62" s="4">
        <f>COUNTIF($BC$2:$BC$545,BC62)</f>
        <v/>
      </c>
      <c r="BG62" s="4">
        <f>COUNTIF($BD$2:$BD$545,BD62)</f>
        <v/>
      </c>
      <c r="BH62" s="4">
        <f>COUNTIF($BE$2:$BE$545,BE62)</f>
        <v/>
      </c>
      <c r="BI62" s="3">
        <f t="array" ref="BI62">IF(N(AU62)&gt;=MIN_N,AT62,IF(BH62&gt;=MIN_N,MEDIAN(IF($BE$2:$BE$545=BE62,$O$2:$O$545)),IF(BG62&gt;=MIN_N,MEDIAN(IF($BD$2:$BD$545=BD62,$O$2:$O$545)),MEDIAN(IF($BC$2:$BC$545=BC62,$O$2:$O$545)))))</f>
        <v/>
      </c>
      <c r="BJ62" s="3">
        <f>IF(N(AU62)&gt;=MIN_N,"mercado "&amp;AV62,IF(BH62&gt;=MIN_N,"modelo+año+km",IF(BG62&gt;=MIN_N,"modelo+año","modelo")))</f>
        <v/>
      </c>
      <c r="BK62" s="4">
        <f>(BI62-O62)/BI62</f>
        <v/>
      </c>
      <c r="BL62" s="3">
        <f>IF(COUNTIFS(FR_FUEL,K62,FR_YEAR,AP62)&gt;0,1,0)</f>
        <v/>
      </c>
      <c r="BM62" s="3">
        <f>IF(COUNTIFS(FR_FUEL,K62,FR_YEAR,AP62-1)&gt;0,1,0)</f>
        <v/>
      </c>
      <c r="BN62" s="4">
        <f>IF(N(AQ62)&gt;0,AP62*100+AQ62,IF(AND(BL62=1,BM62=1),(AP62-1)*100+1,AP62*100+1))</f>
        <v/>
      </c>
      <c r="BO62" s="3">
        <f>IF(OR(K62="hibrido",K62="glp",K62="gnc",K62="phev"),"ECO",IF(K62="electrico","CERO",IF(K62="gasolina",IF(BN62&gt;=GAS_C_YM,"C",IF(BN62&gt;=GAS_B_YM,"B","A")),IF(K62="diesel",IF(BN62&gt;=DIE_C_YM,"C",IF(BN62&gt;=DIE_B_YM,"B","A")),""))))</f>
        <v/>
      </c>
      <c r="BP62" s="2" t="inlineStr">
        <is>
          <t>C</t>
        </is>
      </c>
      <c r="BQ62" s="4">
        <f>IF(AS62="regla",IF(AND(N(AQ62)=0,BL62=1),"sí","no"),"no")</f>
        <v/>
      </c>
      <c r="BR62" s="3">
        <f>IFERROR(VLOOKUP(F62,MOD_TBL,11,0),IFERROR(VLOOKUP(E62,OCU_TBL,2,0),NEUTRO))</f>
        <v/>
      </c>
      <c r="BS62" s="3">
        <f>SUMIFS(MOT_AJUSTE,MOT_MOTOR,G62,MOT_MARCA,E62,MOT_DESDE,"&lt;="&amp;M62,MOT_HASTA,"&gt;="&amp;M62)+SUMIFS(MOT_AJUSTE,MOT_MOTOR,G62,MOT_MARCA,"(todas)",MOT_DESDE,"&lt;="&amp;M62,MOT_HASTA,"&gt;="&amp;M62)</f>
        <v/>
      </c>
      <c r="BT62" s="3">
        <f>SUMIFS(COMB_AJUSTE,COMB_COMB,K62)</f>
        <v/>
      </c>
      <c r="BU62" s="3">
        <f>COUNTIFS(MOT_MOTOR,G62,MOT_MARCA,E62,MOT_DESDE,"&lt;="&amp;M62,MOT_HASTA,"&gt;="&amp;M62)+COUNTIFS(MOT_MOTOR,G62,MOT_MARCA,"(todas)",MOT_DESDE,"&lt;="&amp;M62,MOT_HASTA,"&gt;="&amp;M62)</f>
        <v/>
      </c>
      <c r="BV62" s="3">
        <f>IF(AND(K62="diesel",BU62=0),MIN(BR62,NEUTRO),BR62)</f>
        <v/>
      </c>
      <c r="BW62" s="4">
        <f>MAX(0,MIN(100,BV62+BS62+BT62))</f>
        <v/>
      </c>
      <c r="BX62" s="3">
        <f>MAX(0,MIN(100,50+BK62*PRECIO_PEND))</f>
        <v/>
      </c>
      <c r="BY62" s="3">
        <f>MAX(0,100*(1-N62/KM_MAX))</f>
        <v/>
      </c>
      <c r="BZ62" s="3">
        <f>IF(BB62&lt;KMA_SOSP,IF(AA62="sí",100,KMA_PEN),IF(BB62&lt;=KMA_IDEAL_MAX,100,MAX(0,100*(KMA_CERO-BB62)/(KMA_CERO-KMA_IDEAL_MAX))))</f>
        <v/>
      </c>
      <c r="CA62" s="3">
        <f>MAX(0,MIN(100,100*(M62-ANIO_MIN)/(ANIO_ACTUAL-ANIO_MIN)))</f>
        <v/>
      </c>
      <c r="CB62" s="3">
        <f>W_KMT*BY62+W_KMA*BZ62+W_EDAD*CA62</f>
        <v/>
      </c>
      <c r="CC62" s="3">
        <f>P_ITV*(V62="sí")+P_LIBRO*(W62="sí")+P_CORREA*(X62="sí")+P_PROP*(Y62=1)+P_GAR*(Z62="sí")+P_FOTOS*MIN(1,N(U62)/FOTOS_OBJ)</f>
        <v/>
      </c>
      <c r="CD62" s="3">
        <f>MAX(0,MIN(100,IFERROR(VLOOKUP(BP62,ETQ_TBL,2,0),0)-IF(BQ62="sí",ETQ_PEN_DUD,IF(AS62="regla",ETQ_PEN_REGLA,0))))</f>
        <v/>
      </c>
      <c r="CE62" s="3">
        <f>NEUTRO</f>
        <v/>
      </c>
      <c r="CF62" s="3">
        <f>IFERROR(VLOOKUP(L62,SEGURO_TBL,3,0),"")</f>
        <v/>
      </c>
      <c r="CG62" s="3">
        <f>IF(CF62="",NEUTRO,MAX(0,MIN(100,100*(SEG_REF_MAX-CF62)/(SEG_REF_MAX-SEG_REF_MIN))))</f>
        <v/>
      </c>
      <c r="CH62" s="3">
        <f>W_CONS*CE62+W_SEG*CG62</f>
        <v/>
      </c>
      <c r="CI62" s="3">
        <f>IF(N(AB62)&gt;0,AB62,IF(AND(R62="profesional",SG_LEGAL_ON=1),GAR_LEGAL,0))</f>
        <v/>
      </c>
      <c r="CJ62" s="3">
        <f>SG_GAR*MIN(1,CI62/SG_GAR_FULL)+SG_AMPL*(AC62="sí")+SG_KMC*(AF62="sí")+SG_REV*(N(AE62)&gt;0)+SG_DEV*MIN(1,N(AG62)/SG_DEV_FULL)+SG_HIST*(W62="sí")</f>
        <v/>
      </c>
      <c r="CK62" s="3">
        <f>IFERROR(VLOOKUP(L62,CARR_PEN_TBL,2,0),0)</f>
        <v/>
      </c>
      <c r="CL62" s="3">
        <f>W_FIAB*BW62+W_PRECIO*BX62+W_KMEDAD*CB62+W_ANUNCIO*CC62+W_USO*CH62+W_SEGURIDAD*CJ62+W_ETIQUETA*CD62-CK62</f>
        <v/>
      </c>
      <c r="CM62" s="4">
        <f>IF(N(I62)&gt;0,I62,IFERROR(ROUND(_xlfn.NUMBERVALUE(LEFT(G62,FIND(" ",G62&amp;" ")-1),".")*1000,0),99999))</f>
        <v/>
      </c>
      <c r="CN62" s="3">
        <f>IF(R62="profesional",0,IF(O62&lt;CUOTA_VALOR_MAX,IF(BA62&gt;ITP_TRAMO_ALTO,SUMIFS(CF_CUOTA,CF_MAS,ITP_TRAMO_ALTO,CF_CCMIN,"&lt;="&amp;CM62,CF_CCMAX,"&gt;="&amp;CM62),IF(BA62&gt;ITP_TRAMO_BAJO,SUMIFS(CF_CUOTA,CF_MAS,ITP_TRAMO_BAJO,CF_CCMIN,"&lt;="&amp;CM62,CF_CCMAX,"&gt;="&amp;CM62),O62*ITP_TIPO)),O62*ITP_TIPO))</f>
        <v/>
      </c>
      <c r="CO62" s="4">
        <f>IF(R62="profesional",N(AK62),0)</f>
        <v/>
      </c>
      <c r="CP62" s="3">
        <f>IF(AND(R62="profesional",ISNUMBER(AK62),AL62="sí"),0,TASA_DGT)</f>
        <v/>
      </c>
      <c r="CQ62" s="3">
        <f>INFORME_DGT</f>
        <v/>
      </c>
      <c r="CR62" s="4">
        <f>O62+CO62+CN62+CP62+CQ62</f>
        <v/>
      </c>
      <c r="CS62" s="4">
        <f>CR62+N(CF62)</f>
        <v/>
      </c>
      <c r="CT62" s="3">
        <f>IF(CR62&lt;=TOTAL_MAX,"sí",IF(CR62&lt;=TOTAL_MAX+MARGEN_NEG,"negociar","no"))</f>
        <v/>
      </c>
      <c r="CU62" s="4">
        <f>IF(CT62&lt;&gt;"no",COUNTIFS($CT$2:$CT$545,"&lt;&gt;no",$CL$2:$CL$545,"&gt;"&amp;CL62)+COUNTIFS($CT$2:CT62,"&lt;&gt;no",$CL$2:CL62,CL62),"")</f>
        <v/>
      </c>
    </row>
    <row r="63">
      <c r="A63" s="2" t="inlineStr">
        <is>
          <t>cochesnet:71336745</t>
        </is>
      </c>
      <c r="B63" s="2" t="inlineStr">
        <is>
          <t>cochesnet</t>
        </is>
      </c>
      <c r="C63" s="2" t="inlineStr">
        <is>
          <t>https://www.coches.net/kia-picanto-11-sohc-emotion-5p-gasolina-2008-en-valencia-71336745-covo.aspx</t>
        </is>
      </c>
      <c r="D63" s="2" t="inlineStr">
        <is>
          <t>KIA Picanto 1.1 SOHC Emotion</t>
        </is>
      </c>
      <c r="E63" s="2" t="inlineStr">
        <is>
          <t>Kia</t>
        </is>
      </c>
      <c r="F63" s="2" t="inlineStr">
        <is>
          <t>Kia Picanto</t>
        </is>
      </c>
      <c r="G63" s="2" t="inlineStr">
        <is>
          <t>1.1</t>
        </is>
      </c>
      <c r="H63" s="2" t="inlineStr">
        <is>
          <t>1.1 SOHC Emotion</t>
        </is>
      </c>
      <c r="I63" s="2" t="n"/>
      <c r="J63" s="2" t="n"/>
      <c r="K63" s="2" t="inlineStr">
        <is>
          <t>gasolina</t>
        </is>
      </c>
      <c r="L63" s="2" t="inlineStr">
        <is>
          <t>utilitario</t>
        </is>
      </c>
      <c r="M63" s="2" t="n">
        <v>2008</v>
      </c>
      <c r="N63" s="2" t="n">
        <v>180000</v>
      </c>
      <c r="O63" s="2" t="n">
        <v>2450</v>
      </c>
      <c r="P63" s="2" t="inlineStr">
        <is>
          <t>manual</t>
        </is>
      </c>
      <c r="Q63" s="2" t="inlineStr">
        <is>
          <t>no</t>
        </is>
      </c>
      <c r="R63" s="2" t="inlineStr">
        <is>
          <t>particular</t>
        </is>
      </c>
      <c r="S63" s="2" t="inlineStr">
        <is>
          <t>Alboraya</t>
        </is>
      </c>
      <c r="T63" s="2" t="inlineStr">
        <is>
          <t>2026-08-21T10:31:08Z</t>
        </is>
      </c>
      <c r="U63" s="2" t="n">
        <v>5</v>
      </c>
      <c r="V63" s="2" t="n"/>
      <c r="W63" s="2" t="n"/>
      <c r="X63" s="2" t="n"/>
      <c r="Y63" s="2" t="n"/>
      <c r="Z63" s="2" t="inlineStr">
        <is>
          <t>no</t>
        </is>
      </c>
      <c r="AA63" s="2" t="n"/>
      <c r="AB63" s="2" t="n"/>
      <c r="AC63" s="2" t="n"/>
      <c r="AD63" s="2" t="n"/>
      <c r="AE63" s="2" t="n"/>
      <c r="AF63" s="2" t="n"/>
      <c r="AG63" s="2" t="n"/>
      <c r="AH63" s="2" t="n">
        <v>2450</v>
      </c>
      <c r="AI63" s="2" t="n"/>
      <c r="AJ63" s="2" t="n"/>
      <c r="AK63" s="2" t="n"/>
      <c r="AL63" s="2" t="n"/>
      <c r="AM63" s="2" t="n">
        <v>4</v>
      </c>
      <c r="AN63" s="2" t="inlineStr">
        <is>
          <t>DE1086CC</t>
        </is>
      </c>
      <c r="AO63" s="2" t="inlineStr">
        <is>
          <t>01/2008</t>
        </is>
      </c>
      <c r="AP63" s="2" t="n">
        <v>2008</v>
      </c>
      <c r="AQ63" s="2" t="n">
        <v>1</v>
      </c>
      <c r="AR63" s="2" t="inlineStr">
        <is>
          <t>C</t>
        </is>
      </c>
      <c r="AS63" s="2" t="inlineStr">
        <is>
          <t>anuncio</t>
        </is>
      </c>
      <c r="AT63" s="2" t="n">
        <v>2590</v>
      </c>
      <c r="AU63" s="2" t="n">
        <v>4</v>
      </c>
      <c r="AV63" s="2" t="inlineStr">
        <is>
          <t>modelo+año</t>
        </is>
      </c>
      <c r="AW63" s="2" t="n"/>
      <c r="AX63" s="2" t="inlineStr">
        <is>
          <t>cuota fija ITP: &gt;12 años, hasta 1.500 cc</t>
        </is>
      </c>
      <c r="AY63" s="2" t="inlineStr">
        <is>
          <t>Perfecto para quienes buscan fiabilidad, estilo y buen rendimiento a un precio justo. Te presento mi KIA Picanto 1.1 SOHC Emotion, un utilitario versátil que combina lo mejor de la conducción urbana con la practicidad que necesitas en tu día a día.
Este Picanto destaca por su excelente relación entre consumo y potencia. Con un motor de 1086 cc y 65 CV, ofrece una conducción ágil y eficiente, perfecta tanto para moverte por la ciudad como para trayectos más largos. Su cambio manual garantiza un control total y una experiencia de conducción directa y responsiva.
El estado general del vehículo es bueno, tanto interior como exterior. Se trata de un coche berlina de cinco puertas y cinco plazas, ideal para familias o para quien necesite espacio y versatilidad sin renunciar a la maniobrabilidad en espacios reducidos. Su color amarillo le da un toque diferente y fácil de localizar en el aparcamiento.
Este modelo destaca por su fiabilidad característica de la marca KIA, con un motor robusto que ha demostrado su durabilidad a lo largo de los años. Es un vehículo sin pretensiones pero efectivo, pensado para quien valora la practicidad y el buen funcionamiento por encima de las modas pasajeras.
Estoy disponible para resolver cualquier duda específica que tengas sobre el vehículo. Puedes contactarme tanto por chat como por teléfono para ampliar la información o concertar una cita para verlo en persona.
¡No lo dejes escapar! Contacta hoy mismo y descubre por qué este Picanto puede se</t>
        </is>
      </c>
      <c r="AZ63" s="2" t="inlineStr">
        <is>
          <t>https://www.coches.net/kia-picanto-11-sohc-emotion-5p-gasolina-2008-en-valencia-71336745-covo.aspx (window.__INITIAL_PROPS__.ad) /home/user/Alopecia/buscador-coches/raw/cochesnet/7b36e2eae2b2420f.json</t>
        </is>
      </c>
      <c r="BA63" s="3">
        <f>MAX(ANIO_ACTUAL-M63,0)</f>
        <v/>
      </c>
      <c r="BB63" s="4">
        <f>N63/MAX(BA63,0.5)</f>
        <v/>
      </c>
      <c r="BC63" s="4">
        <f>F63</f>
        <v/>
      </c>
      <c r="BD63" s="3">
        <f>BC63&amp;"|"&amp;INT(M63/SEG_ANIO)*SEG_ANIO</f>
        <v/>
      </c>
      <c r="BE63" s="3">
        <f>BD63&amp;"|"&amp;INT(N63/SEG_KM)*SEG_KM</f>
        <v/>
      </c>
      <c r="BF63" s="4">
        <f>COUNTIF($BC$2:$BC$545,BC63)</f>
        <v/>
      </c>
      <c r="BG63" s="4">
        <f>COUNTIF($BD$2:$BD$545,BD63)</f>
        <v/>
      </c>
      <c r="BH63" s="4">
        <f>COUNTIF($BE$2:$BE$545,BE63)</f>
        <v/>
      </c>
      <c r="BI63" s="3">
        <f t="array" ref="BI63">IF(N(AU63)&gt;=MIN_N,AT63,IF(BH63&gt;=MIN_N,MEDIAN(IF($BE$2:$BE$545=BE63,$O$2:$O$545)),IF(BG63&gt;=MIN_N,MEDIAN(IF($BD$2:$BD$545=BD63,$O$2:$O$545)),MEDIAN(IF($BC$2:$BC$545=BC63,$O$2:$O$545)))))</f>
        <v/>
      </c>
      <c r="BJ63" s="3">
        <f>IF(N(AU63)&gt;=MIN_N,"mercado "&amp;AV63,IF(BH63&gt;=MIN_N,"modelo+año+km",IF(BG63&gt;=MIN_N,"modelo+año","modelo")))</f>
        <v/>
      </c>
      <c r="BK63" s="4">
        <f>(BI63-O63)/BI63</f>
        <v/>
      </c>
      <c r="BL63" s="3">
        <f>IF(COUNTIFS(FR_FUEL,K63,FR_YEAR,AP63)&gt;0,1,0)</f>
        <v/>
      </c>
      <c r="BM63" s="3">
        <f>IF(COUNTIFS(FR_FUEL,K63,FR_YEAR,AP63-1)&gt;0,1,0)</f>
        <v/>
      </c>
      <c r="BN63" s="4">
        <f>IF(N(AQ63)&gt;0,AP63*100+AQ63,IF(AND(BL63=1,BM63=1),(AP63-1)*100+1,AP63*100+1))</f>
        <v/>
      </c>
      <c r="BO63" s="3">
        <f>IF(OR(K63="hibrido",K63="glp",K63="gnc",K63="phev"),"ECO",IF(K63="electrico","CERO",IF(K63="gasolina",IF(BN63&gt;=GAS_C_YM,"C",IF(BN63&gt;=GAS_B_YM,"B","A")),IF(K63="diesel",IF(BN63&gt;=DIE_C_YM,"C",IF(BN63&gt;=DIE_B_YM,"B","A")),""))))</f>
        <v/>
      </c>
      <c r="BP63" s="2" t="inlineStr">
        <is>
          <t>C</t>
        </is>
      </c>
      <c r="BQ63" s="4">
        <f>IF(AS63="regla",IF(AND(N(AQ63)=0,BL63=1),"sí","no"),"no")</f>
        <v/>
      </c>
      <c r="BR63" s="3">
        <f>IFERROR(VLOOKUP(F63,MOD_TBL,11,0),IFERROR(VLOOKUP(E63,OCU_TBL,2,0),NEUTRO))</f>
        <v/>
      </c>
      <c r="BS63" s="3">
        <f>SUMIFS(MOT_AJUSTE,MOT_MOTOR,G63,MOT_MARCA,E63,MOT_DESDE,"&lt;="&amp;M63,MOT_HASTA,"&gt;="&amp;M63)+SUMIFS(MOT_AJUSTE,MOT_MOTOR,G63,MOT_MARCA,"(todas)",MOT_DESDE,"&lt;="&amp;M63,MOT_HASTA,"&gt;="&amp;M63)</f>
        <v/>
      </c>
      <c r="BT63" s="3">
        <f>SUMIFS(COMB_AJUSTE,COMB_COMB,K63)</f>
        <v/>
      </c>
      <c r="BU63" s="3">
        <f>COUNTIFS(MOT_MOTOR,G63,MOT_MARCA,E63,MOT_DESDE,"&lt;="&amp;M63,MOT_HASTA,"&gt;="&amp;M63)+COUNTIFS(MOT_MOTOR,G63,MOT_MARCA,"(todas)",MOT_DESDE,"&lt;="&amp;M63,MOT_HASTA,"&gt;="&amp;M63)</f>
        <v/>
      </c>
      <c r="BV63" s="3">
        <f>IF(AND(K63="diesel",BU63=0),MIN(BR63,NEUTRO),BR63)</f>
        <v/>
      </c>
      <c r="BW63" s="4">
        <f>MAX(0,MIN(100,BV63+BS63+BT63))</f>
        <v/>
      </c>
      <c r="BX63" s="3">
        <f>MAX(0,MIN(100,50+BK63*PRECIO_PEND))</f>
        <v/>
      </c>
      <c r="BY63" s="3">
        <f>MAX(0,100*(1-N63/KM_MAX))</f>
        <v/>
      </c>
      <c r="BZ63" s="3">
        <f>IF(BB63&lt;KMA_SOSP,IF(AA63="sí",100,KMA_PEN),IF(BB63&lt;=KMA_IDEAL_MAX,100,MAX(0,100*(KMA_CERO-BB63)/(KMA_CERO-KMA_IDEAL_MAX))))</f>
        <v/>
      </c>
      <c r="CA63" s="3">
        <f>MAX(0,MIN(100,100*(M63-ANIO_MIN)/(ANIO_ACTUAL-ANIO_MIN)))</f>
        <v/>
      </c>
      <c r="CB63" s="3">
        <f>W_KMT*BY63+W_KMA*BZ63+W_EDAD*CA63</f>
        <v/>
      </c>
      <c r="CC63" s="3">
        <f>P_ITV*(V63="sí")+P_LIBRO*(W63="sí")+P_CORREA*(X63="sí")+P_PROP*(Y63=1)+P_GAR*(Z63="sí")+P_FOTOS*MIN(1,N(U63)/FOTOS_OBJ)</f>
        <v/>
      </c>
      <c r="CD63" s="3">
        <f>MAX(0,MIN(100,IFERROR(VLOOKUP(BP63,ETQ_TBL,2,0),0)-IF(BQ63="sí",ETQ_PEN_DUD,IF(AS63="regla",ETQ_PEN_REGLA,0))))</f>
        <v/>
      </c>
      <c r="CE63" s="3">
        <f>NEUTRO</f>
        <v/>
      </c>
      <c r="CF63" s="3">
        <f>IFERROR(VLOOKUP(L63,SEGURO_TBL,3,0),"")</f>
        <v/>
      </c>
      <c r="CG63" s="3">
        <f>IF(CF63="",NEUTRO,MAX(0,MIN(100,100*(SEG_REF_MAX-CF63)/(SEG_REF_MAX-SEG_REF_MIN))))</f>
        <v/>
      </c>
      <c r="CH63" s="3">
        <f>W_CONS*CE63+W_SEG*CG63</f>
        <v/>
      </c>
      <c r="CI63" s="3">
        <f>IF(N(AB63)&gt;0,AB63,IF(AND(R63="profesional",SG_LEGAL_ON=1),GAR_LEGAL,0))</f>
        <v/>
      </c>
      <c r="CJ63" s="3">
        <f>SG_GAR*MIN(1,CI63/SG_GAR_FULL)+SG_AMPL*(AC63="sí")+SG_KMC*(AF63="sí")+SG_REV*(N(AE63)&gt;0)+SG_DEV*MIN(1,N(AG63)/SG_DEV_FULL)+SG_HIST*(W63="sí")</f>
        <v/>
      </c>
      <c r="CK63" s="3">
        <f>IFERROR(VLOOKUP(L63,CARR_PEN_TBL,2,0),0)</f>
        <v/>
      </c>
      <c r="CL63" s="3">
        <f>W_FIAB*BW63+W_PRECIO*BX63+W_KMEDAD*CB63+W_ANUNCIO*CC63+W_USO*CH63+W_SEGURIDAD*CJ63+W_ETIQUETA*CD63-CK63</f>
        <v/>
      </c>
      <c r="CM63" s="4">
        <f>IF(N(I63)&gt;0,I63,IFERROR(ROUND(_xlfn.NUMBERVALUE(LEFT(G63,FIND(" ",G63&amp;" ")-1),".")*1000,0),99999))</f>
        <v/>
      </c>
      <c r="CN63" s="3">
        <f>IF(R63="profesional",0,IF(O63&lt;CUOTA_VALOR_MAX,IF(BA63&gt;ITP_TRAMO_ALTO,SUMIFS(CF_CUOTA,CF_MAS,ITP_TRAMO_ALTO,CF_CCMIN,"&lt;="&amp;CM63,CF_CCMAX,"&gt;="&amp;CM63),IF(BA63&gt;ITP_TRAMO_BAJO,SUMIFS(CF_CUOTA,CF_MAS,ITP_TRAMO_BAJO,CF_CCMIN,"&lt;="&amp;CM63,CF_CCMAX,"&gt;="&amp;CM63),O63*ITP_TIPO)),O63*ITP_TIPO))</f>
        <v/>
      </c>
      <c r="CO63" s="4">
        <f>IF(R63="profesional",N(AK63),0)</f>
        <v/>
      </c>
      <c r="CP63" s="3">
        <f>IF(AND(R63="profesional",ISNUMBER(AK63),AL63="sí"),0,TASA_DGT)</f>
        <v/>
      </c>
      <c r="CQ63" s="3">
        <f>INFORME_DGT</f>
        <v/>
      </c>
      <c r="CR63" s="4">
        <f>O63+CO63+CN63+CP63+CQ63</f>
        <v/>
      </c>
      <c r="CS63" s="4">
        <f>CR63+N(CF63)</f>
        <v/>
      </c>
      <c r="CT63" s="3">
        <f>IF(CR63&lt;=TOTAL_MAX,"sí",IF(CR63&lt;=TOTAL_MAX+MARGEN_NEG,"negociar","no"))</f>
        <v/>
      </c>
      <c r="CU63" s="4">
        <f>IF(CT63&lt;&gt;"no",COUNTIFS($CT$2:$CT$545,"&lt;&gt;no",$CL$2:$CL$545,"&gt;"&amp;CL63)+COUNTIFS($CT$2:CT63,"&lt;&gt;no",$CL$2:CL63,CL63),"")</f>
        <v/>
      </c>
    </row>
    <row r="64">
      <c r="A64" s="2" t="inlineStr">
        <is>
          <t>cochesnet:71256371</t>
        </is>
      </c>
      <c r="B64" s="2" t="inlineStr">
        <is>
          <t>cochesnet</t>
        </is>
      </c>
      <c r="C64" s="2" t="inlineStr">
        <is>
          <t>https://www.coches.net/kia-rio-15-crdi-emotion-4p-diesel-2009-en-valencia-71256371-covo.aspx</t>
        </is>
      </c>
      <c r="D64" s="2" t="inlineStr">
        <is>
          <t>KIA Rio 1.5 CRDi Emotion</t>
        </is>
      </c>
      <c r="E64" s="2" t="inlineStr">
        <is>
          <t>Kia</t>
        </is>
      </c>
      <c r="F64" s="2" t="inlineStr">
        <is>
          <t>Kia Rio</t>
        </is>
      </c>
      <c r="G64" s="2" t="inlineStr">
        <is>
          <t>1.5 CRDi</t>
        </is>
      </c>
      <c r="H64" s="2" t="inlineStr">
        <is>
          <t>1.5 CRDi Emotion</t>
        </is>
      </c>
      <c r="I64" s="2" t="n"/>
      <c r="J64" s="2" t="n"/>
      <c r="K64" s="2" t="inlineStr">
        <is>
          <t>diesel</t>
        </is>
      </c>
      <c r="L64" s="2" t="inlineStr">
        <is>
          <t>utilitario</t>
        </is>
      </c>
      <c r="M64" s="2" t="n">
        <v>2009</v>
      </c>
      <c r="N64" s="2" t="n">
        <v>198000</v>
      </c>
      <c r="O64" s="2" t="n">
        <v>4000</v>
      </c>
      <c r="P64" s="2" t="inlineStr">
        <is>
          <t>manual</t>
        </is>
      </c>
      <c r="Q64" s="2" t="inlineStr">
        <is>
          <t>no</t>
        </is>
      </c>
      <c r="R64" s="2" t="inlineStr">
        <is>
          <t>particular</t>
        </is>
      </c>
      <c r="S64" s="2" t="inlineStr">
        <is>
          <t>Tavernes de la Valldigna</t>
        </is>
      </c>
      <c r="T64" s="2" t="inlineStr">
        <is>
          <t>2026-08-08T14:52:54Z</t>
        </is>
      </c>
      <c r="U64" s="2" t="n"/>
      <c r="V64" s="2" t="n"/>
      <c r="W64" s="2" t="inlineStr">
        <is>
          <t>sí</t>
        </is>
      </c>
      <c r="X64" s="2" t="n"/>
      <c r="Y64" s="2" t="n"/>
      <c r="Z64" s="2" t="inlineStr">
        <is>
          <t>no</t>
        </is>
      </c>
      <c r="AA64" s="2" t="n"/>
      <c r="AB64" s="2" t="n"/>
      <c r="AC64" s="2" t="n"/>
      <c r="AD64" s="2" t="n"/>
      <c r="AE64" s="2" t="n"/>
      <c r="AF64" s="2" t="n"/>
      <c r="AG64" s="2" t="n"/>
      <c r="AH64" s="2" t="n">
        <v>4000</v>
      </c>
      <c r="AI64" s="2" t="n"/>
      <c r="AJ64" s="2" t="n"/>
      <c r="AK64" s="2" t="n"/>
      <c r="AL64" s="2" t="n"/>
      <c r="AM64" s="2" t="n">
        <v>45.8</v>
      </c>
      <c r="AN64" s="2" t="n"/>
      <c r="AO64" s="2" t="inlineStr">
        <is>
          <t>12/2009</t>
        </is>
      </c>
      <c r="AP64" s="2" t="n">
        <v>2009</v>
      </c>
      <c r="AQ64" s="2" t="n">
        <v>12</v>
      </c>
      <c r="AR64" s="2" t="n"/>
      <c r="AS64" s="2" t="inlineStr">
        <is>
          <t>regla</t>
        </is>
      </c>
      <c r="AT64" s="2" t="n"/>
      <c r="AU64" s="2" t="n"/>
      <c r="AV64" s="2" t="n"/>
      <c r="AW64" s="2" t="n"/>
      <c r="AX64" s="2" t="inlineStr">
        <is>
          <t>cuota fija ITP: &gt;12 años, hasta 1.500 cc; diésel: motor sin fuente de fiabilidad (fiabilidad limitada a neutra); fiabilidad del modelo PENDIENTE de fuente (puntuación neutra); mediana con solo 1 anuncio(s)</t>
        </is>
      </c>
      <c r="AY64" s="2" t="inlineStr">
        <is>
          <t>Si buscas un coche funcional y económico que te lleve de un lado a otro sin complicaciones, aquí tienes una oportunidad. Este Kia Rio es un berlina diésel compacta y práctica, ideal para quien necesita un vehículo fiable a un precio accesible.
El motor de 1.5 CRDi ofrece 110 caballos con un consumo muy contenido, característica fundamental de los diésel de esta gama. La transmisión manual es directa y eficiente, perfecta para quienes valoran la sencillez mecánica. Con cinco plazas y cuatro puertas, es versátil tanto para desplazamientos urbanos como para trayectos más largos.
Aunque el vehículo presenta signos de uso acorde a sus años de circulación, sigue siendo operativo y funcional. Es el tipo de coche que necesita alguien que busque rentabilidad antes que estética, sin renunciar a la seguridad básica que ofrece esta berlina de clase B.
A este precio, tienes un diésel de marca consolidada que cumple su función sin pretensiones innecesarias. Los Kia Rio son conocidos por su durabilidad, y este modelo mantiene esa reputación.
Si tienes dudas sobre el estado específico, el historial de mantenimiento o cualquier otro aspecto no detallado aquí, no dudes en contactarme a través del chat. Estaré encantado de resolver todas tus preguntas.
Contacta hoy mismo y comprueba si este Rio es lo que estabas buscando.</t>
        </is>
      </c>
      <c r="AZ64" s="2" t="inlineStr">
        <is>
          <t>https://www.coches.net/kia-rio-15-crdi-emotion-4p-diesel-2009-en-valencia-71256371-covo.aspx (window.__INITIAL_PROPS__.ad) /home/user/Alopecia/buscador-coches/raw/cochesnet/94fafb6aa5842e7f.json</t>
        </is>
      </c>
      <c r="BA64" s="3">
        <f>MAX(ANIO_ACTUAL-M64,0)</f>
        <v/>
      </c>
      <c r="BB64" s="4">
        <f>N64/MAX(BA64,0.5)</f>
        <v/>
      </c>
      <c r="BC64" s="4">
        <f>F64</f>
        <v/>
      </c>
      <c r="BD64" s="3">
        <f>BC64&amp;"|"&amp;INT(M64/SEG_ANIO)*SEG_ANIO</f>
        <v/>
      </c>
      <c r="BE64" s="3">
        <f>BD64&amp;"|"&amp;INT(N64/SEG_KM)*SEG_KM</f>
        <v/>
      </c>
      <c r="BF64" s="4">
        <f>COUNTIF($BC$2:$BC$545,BC64)</f>
        <v/>
      </c>
      <c r="BG64" s="4">
        <f>COUNTIF($BD$2:$BD$545,BD64)</f>
        <v/>
      </c>
      <c r="BH64" s="4">
        <f>COUNTIF($BE$2:$BE$545,BE64)</f>
        <v/>
      </c>
      <c r="BI64" s="3">
        <f t="array" ref="BI64">IF(N(AU64)&gt;=MIN_N,AT64,IF(BH64&gt;=MIN_N,MEDIAN(IF($BE$2:$BE$545=BE64,$O$2:$O$545)),IF(BG64&gt;=MIN_N,MEDIAN(IF($BD$2:$BD$545=BD64,$O$2:$O$545)),MEDIAN(IF($BC$2:$BC$545=BC64,$O$2:$O$545)))))</f>
        <v/>
      </c>
      <c r="BJ64" s="3">
        <f>IF(N(AU64)&gt;=MIN_N,"mercado "&amp;AV64,IF(BH64&gt;=MIN_N,"modelo+año+km",IF(BG64&gt;=MIN_N,"modelo+año","modelo")))</f>
        <v/>
      </c>
      <c r="BK64" s="4">
        <f>(BI64-O64)/BI64</f>
        <v/>
      </c>
      <c r="BL64" s="3">
        <f>IF(COUNTIFS(FR_FUEL,K64,FR_YEAR,AP64)&gt;0,1,0)</f>
        <v/>
      </c>
      <c r="BM64" s="3">
        <f>IF(COUNTIFS(FR_FUEL,K64,FR_YEAR,AP64-1)&gt;0,1,0)</f>
        <v/>
      </c>
      <c r="BN64" s="4">
        <f>IF(N(AQ64)&gt;0,AP64*100+AQ64,IF(AND(BL64=1,BM64=1),(AP64-1)*100+1,AP64*100+1))</f>
        <v/>
      </c>
      <c r="BO64" s="3">
        <f>IF(OR(K64="hibrido",K64="glp",K64="gnc",K64="phev"),"ECO",IF(K64="electrico","CERO",IF(K64="gasolina",IF(BN64&gt;=GAS_C_YM,"C",IF(BN64&gt;=GAS_B_YM,"B","A")),IF(K64="diesel",IF(BN64&gt;=DIE_C_YM,"C",IF(BN64&gt;=DIE_B_YM,"B","A")),""))))</f>
        <v/>
      </c>
      <c r="BP64" s="4">
        <f>BO64</f>
        <v/>
      </c>
      <c r="BQ64" s="4">
        <f>IF(AS64="regla",IF(AND(N(AQ64)=0,BL64=1),"sí","no"),"no")</f>
        <v/>
      </c>
      <c r="BR64" s="3">
        <f>IFERROR(VLOOKUP(F64,MOD_TBL,11,0),IFERROR(VLOOKUP(E64,OCU_TBL,2,0),NEUTRO))</f>
        <v/>
      </c>
      <c r="BS64" s="3">
        <f>SUMIFS(MOT_AJUSTE,MOT_MOTOR,G64,MOT_MARCA,E64,MOT_DESDE,"&lt;="&amp;M64,MOT_HASTA,"&gt;="&amp;M64)+SUMIFS(MOT_AJUSTE,MOT_MOTOR,G64,MOT_MARCA,"(todas)",MOT_DESDE,"&lt;="&amp;M64,MOT_HASTA,"&gt;="&amp;M64)</f>
        <v/>
      </c>
      <c r="BT64" s="3">
        <f>SUMIFS(COMB_AJUSTE,COMB_COMB,K64)</f>
        <v/>
      </c>
      <c r="BU64" s="3">
        <f>COUNTIFS(MOT_MOTOR,G64,MOT_MARCA,E64,MOT_DESDE,"&lt;="&amp;M64,MOT_HASTA,"&gt;="&amp;M64)+COUNTIFS(MOT_MOTOR,G64,MOT_MARCA,"(todas)",MOT_DESDE,"&lt;="&amp;M64,MOT_HASTA,"&gt;="&amp;M64)</f>
        <v/>
      </c>
      <c r="BV64" s="3">
        <f>IF(AND(K64="diesel",BU64=0),MIN(BR64,NEUTRO),BR64)</f>
        <v/>
      </c>
      <c r="BW64" s="4">
        <f>MAX(0,MIN(100,BV64+BS64+BT64))</f>
        <v/>
      </c>
      <c r="BX64" s="3">
        <f>MAX(0,MIN(100,50+BK64*PRECIO_PEND))</f>
        <v/>
      </c>
      <c r="BY64" s="3">
        <f>MAX(0,100*(1-N64/KM_MAX))</f>
        <v/>
      </c>
      <c r="BZ64" s="3">
        <f>IF(BB64&lt;KMA_SOSP,IF(AA64="sí",100,KMA_PEN),IF(BB64&lt;=KMA_IDEAL_MAX,100,MAX(0,100*(KMA_CERO-BB64)/(KMA_CERO-KMA_IDEAL_MAX))))</f>
        <v/>
      </c>
      <c r="CA64" s="3">
        <f>MAX(0,MIN(100,100*(M64-ANIO_MIN)/(ANIO_ACTUAL-ANIO_MIN)))</f>
        <v/>
      </c>
      <c r="CB64" s="3">
        <f>W_KMT*BY64+W_KMA*BZ64+W_EDAD*CA64</f>
        <v/>
      </c>
      <c r="CC64" s="3">
        <f>P_ITV*(V64="sí")+P_LIBRO*(W64="sí")+P_CORREA*(X64="sí")+P_PROP*(Y64=1)+P_GAR*(Z64="sí")+P_FOTOS*MIN(1,N(U64)/FOTOS_OBJ)</f>
        <v/>
      </c>
      <c r="CD64" s="3">
        <f>MAX(0,MIN(100,IFERROR(VLOOKUP(BP64,ETQ_TBL,2,0),0)-IF(BQ64="sí",ETQ_PEN_DUD,IF(AS64="regla",ETQ_PEN_REGLA,0))))</f>
        <v/>
      </c>
      <c r="CE64" s="3">
        <f>NEUTRO</f>
        <v/>
      </c>
      <c r="CF64" s="3">
        <f>IFERROR(VLOOKUP(L64,SEGURO_TBL,3,0),"")</f>
        <v/>
      </c>
      <c r="CG64" s="3">
        <f>IF(CF64="",NEUTRO,MAX(0,MIN(100,100*(SEG_REF_MAX-CF64)/(SEG_REF_MAX-SEG_REF_MIN))))</f>
        <v/>
      </c>
      <c r="CH64" s="3">
        <f>W_CONS*CE64+W_SEG*CG64</f>
        <v/>
      </c>
      <c r="CI64" s="3">
        <f>IF(N(AB64)&gt;0,AB64,IF(AND(R64="profesional",SG_LEGAL_ON=1),GAR_LEGAL,0))</f>
        <v/>
      </c>
      <c r="CJ64" s="3">
        <f>SG_GAR*MIN(1,CI64/SG_GAR_FULL)+SG_AMPL*(AC64="sí")+SG_KMC*(AF64="sí")+SG_REV*(N(AE64)&gt;0)+SG_DEV*MIN(1,N(AG64)/SG_DEV_FULL)+SG_HIST*(W64="sí")</f>
        <v/>
      </c>
      <c r="CK64" s="3">
        <f>IFERROR(VLOOKUP(L64,CARR_PEN_TBL,2,0),0)</f>
        <v/>
      </c>
      <c r="CL64" s="3">
        <f>W_FIAB*BW64+W_PRECIO*BX64+W_KMEDAD*CB64+W_ANUNCIO*CC64+W_USO*CH64+W_SEGURIDAD*CJ64+W_ETIQUETA*CD64-CK64</f>
        <v/>
      </c>
      <c r="CM64" s="4">
        <f>IF(N(I64)&gt;0,I64,IFERROR(ROUND(_xlfn.NUMBERVALUE(LEFT(G64,FIND(" ",G64&amp;" ")-1),".")*1000,0),99999))</f>
        <v/>
      </c>
      <c r="CN64" s="3">
        <f>IF(R64="profesional",0,IF(O64&lt;CUOTA_VALOR_MAX,IF(BA64&gt;ITP_TRAMO_ALTO,SUMIFS(CF_CUOTA,CF_MAS,ITP_TRAMO_ALTO,CF_CCMIN,"&lt;="&amp;CM64,CF_CCMAX,"&gt;="&amp;CM64),IF(BA64&gt;ITP_TRAMO_BAJO,SUMIFS(CF_CUOTA,CF_MAS,ITP_TRAMO_BAJO,CF_CCMIN,"&lt;="&amp;CM64,CF_CCMAX,"&gt;="&amp;CM64),O64*ITP_TIPO)),O64*ITP_TIPO))</f>
        <v/>
      </c>
      <c r="CO64" s="4">
        <f>IF(R64="profesional",N(AK64),0)</f>
        <v/>
      </c>
      <c r="CP64" s="3">
        <f>IF(AND(R64="profesional",ISNUMBER(AK64),AL64="sí"),0,TASA_DGT)</f>
        <v/>
      </c>
      <c r="CQ64" s="3">
        <f>INFORME_DGT</f>
        <v/>
      </c>
      <c r="CR64" s="4">
        <f>O64+CO64+CN64+CP64+CQ64</f>
        <v/>
      </c>
      <c r="CS64" s="4">
        <f>CR64+N(CF64)</f>
        <v/>
      </c>
      <c r="CT64" s="3">
        <f>IF(CR64&lt;=TOTAL_MAX,"sí",IF(CR64&lt;=TOTAL_MAX+MARGEN_NEG,"negociar","no"))</f>
        <v/>
      </c>
      <c r="CU64" s="4">
        <f>IF(CT64&lt;&gt;"no",COUNTIFS($CT$2:$CT$545,"&lt;&gt;no",$CL$2:$CL$545,"&gt;"&amp;CL64)+COUNTIFS($CT$2:CT64,"&lt;&gt;no",$CL$2:CL64,CL64),"")</f>
        <v/>
      </c>
    </row>
    <row r="65">
      <c r="A65" s="2" t="inlineStr">
        <is>
          <t>wallapop:1303578407</t>
        </is>
      </c>
      <c r="B65" s="2" t="inlineStr">
        <is>
          <t>wallapop</t>
        </is>
      </c>
      <c r="C65" s="2" t="inlineStr">
        <is>
          <t>https://es.wallapop.com/item/hyundai-i10-2009-1303578407</t>
        </is>
      </c>
      <c r="D65" s="2" t="inlineStr">
        <is>
          <t>Hyundai i10 2009</t>
        </is>
      </c>
      <c r="E65" s="2" t="inlineStr">
        <is>
          <t>Hyundai</t>
        </is>
      </c>
      <c r="F65" s="2" t="inlineStr">
        <is>
          <t>Hyundai i10</t>
        </is>
      </c>
      <c r="G65" s="2" t="inlineStr">
        <is>
          <t>1.1</t>
        </is>
      </c>
      <c r="H65" s="2" t="inlineStr">
        <is>
          <t>1.1 66 Classic 5p</t>
        </is>
      </c>
      <c r="I65" s="2" t="n"/>
      <c r="J65" s="2" t="n">
        <v>66</v>
      </c>
      <c r="K65" s="2" t="inlineStr">
        <is>
          <t>gasolina</t>
        </is>
      </c>
      <c r="L65" s="2" t="inlineStr">
        <is>
          <t>utilitario</t>
        </is>
      </c>
      <c r="M65" s="2" t="n">
        <v>2009</v>
      </c>
      <c r="N65" s="2" t="n">
        <v>156200</v>
      </c>
      <c r="O65" s="2" t="n">
        <v>3990</v>
      </c>
      <c r="P65" s="2" t="inlineStr">
        <is>
          <t>manual</t>
        </is>
      </c>
      <c r="Q65" s="2" t="inlineStr">
        <is>
          <t>no</t>
        </is>
      </c>
      <c r="R65" s="2" t="inlineStr">
        <is>
          <t>profesional</t>
        </is>
      </c>
      <c r="S65" s="2" t="inlineStr">
        <is>
          <t>Torrent (46900)</t>
        </is>
      </c>
      <c r="T65" s="2" t="inlineStr">
        <is>
          <t>2026-10-14T00:07:49</t>
        </is>
      </c>
      <c r="U65" s="2" t="n">
        <v>16</v>
      </c>
      <c r="V65" s="2" t="n"/>
      <c r="W65" s="2" t="n"/>
      <c r="X65" s="2" t="n"/>
      <c r="Y65" s="2" t="n"/>
      <c r="Z65" s="2" t="inlineStr">
        <is>
          <t>sí</t>
        </is>
      </c>
      <c r="AA65" s="2" t="n"/>
      <c r="AB65" s="2" t="n">
        <v>12</v>
      </c>
      <c r="AC65" s="2" t="n"/>
      <c r="AD65" s="2" t="n"/>
      <c r="AE65" s="2" t="n"/>
      <c r="AF65" s="2" t="n"/>
      <c r="AG65" s="2" t="n"/>
      <c r="AH65" s="2" t="n"/>
      <c r="AI65" s="2" t="n"/>
      <c r="AJ65" s="2" t="n"/>
      <c r="AK65" s="2" t="n"/>
      <c r="AL65" s="2" t="n"/>
      <c r="AM65" s="2" t="n">
        <v>9.300000000000001</v>
      </c>
      <c r="AN65" s="2" t="n"/>
      <c r="AO65" s="2" t="inlineStr">
        <is>
          <t>2009</t>
        </is>
      </c>
      <c r="AP65" s="2" t="n">
        <v>2009</v>
      </c>
      <c r="AQ65" s="2" t="n"/>
      <c r="AR65" s="2" t="n"/>
      <c r="AS65" s="2" t="inlineStr">
        <is>
          <t>regla</t>
        </is>
      </c>
      <c r="AT65" s="2" t="n"/>
      <c r="AU65" s="2" t="n"/>
      <c r="AV65" s="2" t="n"/>
      <c r="AW65" s="2" t="inlineStr">
        <is>
          <t>cochesnet:71571543 (https://www.coches.net/hyundai-i10-11-comfort-5p-gasolina-2008-en-valencia-71571543-covo.aspx)</t>
        </is>
      </c>
      <c r="AX65" s="2" t="inlineStr">
        <is>
          <t>vendedor profesional: sin ITP (operación con IVA/REBU, confirmar en factura); gastos de gestión del vendedor no indicados: se suma la tasa DGT; preguntar el precio final; mediana con solo 3 anuncio(s)</t>
        </is>
      </c>
      <c r="AY65" s="2" t="inlineStr">
        <is>
          <t>HYUNDAI i10 1.1 67 CV – AÑO 2009
✅ 156.200 km reales
✅ Gasolina | Cambio manual | 5 puertas
✅ Color negro
✅ Distintivo ambiental: Etiqueta C
✅ Sin daños ni accidentes
✅ 2 llaves
Coche revisado y preparado en nuestras instalaciones antes de la venta. Motor 1.1 muy económico en consumo, fiable y barato de mantener, con recambios asequibles.
Compacto, fácil de aparcar y muy ágil en ciudad. Ideal como primer coche o para uso diario.
💶 PRECIO: 4.100 €
🛡️ Garantía de 12 meses
📄 Cambio de nombre: 180 €
Somos profesionales del sector, compraventa de vehículos de ocasión en Valencia. Facturamos y entregamos toda la documentación en regla.
💬 Escríbenos para más fotos o para venir a verlo y probarlo sin compromiso.
🚗 También compramos y tasamos tu coche.</t>
        </is>
      </c>
      <c r="AZ65" s="2" t="inlineStr">
        <is>
          <t>https://es.wallapop.com/item/hyundai-i10-2009-1303578407 (__NEXT_DATA__ item) /home/user/Alopecia/buscador-coches/raw/wallapop/778119b776486aca.json</t>
        </is>
      </c>
      <c r="BA65" s="3">
        <f>MAX(ANIO_ACTUAL-M65,0)</f>
        <v/>
      </c>
      <c r="BB65" s="4">
        <f>N65/MAX(BA65,0.5)</f>
        <v/>
      </c>
      <c r="BC65" s="4">
        <f>F65</f>
        <v/>
      </c>
      <c r="BD65" s="3">
        <f>BC65&amp;"|"&amp;INT(M65/SEG_ANIO)*SEG_ANIO</f>
        <v/>
      </c>
      <c r="BE65" s="3">
        <f>BD65&amp;"|"&amp;INT(N65/SEG_KM)*SEG_KM</f>
        <v/>
      </c>
      <c r="BF65" s="4">
        <f>COUNTIF($BC$2:$BC$545,BC65)</f>
        <v/>
      </c>
      <c r="BG65" s="4">
        <f>COUNTIF($BD$2:$BD$545,BD65)</f>
        <v/>
      </c>
      <c r="BH65" s="4">
        <f>COUNTIF($BE$2:$BE$545,BE65)</f>
        <v/>
      </c>
      <c r="BI65" s="3">
        <f t="array" ref="BI65">IF(N(AU65)&gt;=MIN_N,AT65,IF(BH65&gt;=MIN_N,MEDIAN(IF($BE$2:$BE$545=BE65,$O$2:$O$545)),IF(BG65&gt;=MIN_N,MEDIAN(IF($BD$2:$BD$545=BD65,$O$2:$O$545)),MEDIAN(IF($BC$2:$BC$545=BC65,$O$2:$O$545)))))</f>
        <v/>
      </c>
      <c r="BJ65" s="3">
        <f>IF(N(AU65)&gt;=MIN_N,"mercado "&amp;AV65,IF(BH65&gt;=MIN_N,"modelo+año+km",IF(BG65&gt;=MIN_N,"modelo+año","modelo")))</f>
        <v/>
      </c>
      <c r="BK65" s="4">
        <f>(BI65-O65)/BI65</f>
        <v/>
      </c>
      <c r="BL65" s="3">
        <f>IF(COUNTIFS(FR_FUEL,K65,FR_YEAR,AP65)&gt;0,1,0)</f>
        <v/>
      </c>
      <c r="BM65" s="3">
        <f>IF(COUNTIFS(FR_FUEL,K65,FR_YEAR,AP65-1)&gt;0,1,0)</f>
        <v/>
      </c>
      <c r="BN65" s="4">
        <f>IF(N(AQ65)&gt;0,AP65*100+AQ65,IF(AND(BL65=1,BM65=1),(AP65-1)*100+1,AP65*100+1))</f>
        <v/>
      </c>
      <c r="BO65" s="3">
        <f>IF(OR(K65="hibrido",K65="glp",K65="gnc",K65="phev"),"ECO",IF(K65="electrico","CERO",IF(K65="gasolina",IF(BN65&gt;=GAS_C_YM,"C",IF(BN65&gt;=GAS_B_YM,"B","A")),IF(K65="diesel",IF(BN65&gt;=DIE_C_YM,"C",IF(BN65&gt;=DIE_B_YM,"B","A")),""))))</f>
        <v/>
      </c>
      <c r="BP65" s="4">
        <f>BO65</f>
        <v/>
      </c>
      <c r="BQ65" s="4">
        <f>IF(AS65="regla",IF(AND(N(AQ65)=0,BL65=1),"sí","no"),"no")</f>
        <v/>
      </c>
      <c r="BR65" s="3">
        <f>IFERROR(VLOOKUP(F65,MOD_TBL,11,0),IFERROR(VLOOKUP(E65,OCU_TBL,2,0),NEUTRO))</f>
        <v/>
      </c>
      <c r="BS65" s="3">
        <f>SUMIFS(MOT_AJUSTE,MOT_MOTOR,G65,MOT_MARCA,E65,MOT_DESDE,"&lt;="&amp;M65,MOT_HASTA,"&gt;="&amp;M65)+SUMIFS(MOT_AJUSTE,MOT_MOTOR,G65,MOT_MARCA,"(todas)",MOT_DESDE,"&lt;="&amp;M65,MOT_HASTA,"&gt;="&amp;M65)</f>
        <v/>
      </c>
      <c r="BT65" s="3">
        <f>SUMIFS(COMB_AJUSTE,COMB_COMB,K65)</f>
        <v/>
      </c>
      <c r="BU65" s="3">
        <f>COUNTIFS(MOT_MOTOR,G65,MOT_MARCA,E65,MOT_DESDE,"&lt;="&amp;M65,MOT_HASTA,"&gt;="&amp;M65)+COUNTIFS(MOT_MOTOR,G65,MOT_MARCA,"(todas)",MOT_DESDE,"&lt;="&amp;M65,MOT_HASTA,"&gt;="&amp;M65)</f>
        <v/>
      </c>
      <c r="BV65" s="3">
        <f>IF(AND(K65="diesel",BU65=0),MIN(BR65,NEUTRO),BR65)</f>
        <v/>
      </c>
      <c r="BW65" s="4">
        <f>MAX(0,MIN(100,BV65+BS65+BT65))</f>
        <v/>
      </c>
      <c r="BX65" s="3">
        <f>MAX(0,MIN(100,50+BK65*PRECIO_PEND))</f>
        <v/>
      </c>
      <c r="BY65" s="3">
        <f>MAX(0,100*(1-N65/KM_MAX))</f>
        <v/>
      </c>
      <c r="BZ65" s="3">
        <f>IF(BB65&lt;KMA_SOSP,IF(AA65="sí",100,KMA_PEN),IF(BB65&lt;=KMA_IDEAL_MAX,100,MAX(0,100*(KMA_CERO-BB65)/(KMA_CERO-KMA_IDEAL_MAX))))</f>
        <v/>
      </c>
      <c r="CA65" s="3">
        <f>MAX(0,MIN(100,100*(M65-ANIO_MIN)/(ANIO_ACTUAL-ANIO_MIN)))</f>
        <v/>
      </c>
      <c r="CB65" s="3">
        <f>W_KMT*BY65+W_KMA*BZ65+W_EDAD*CA65</f>
        <v/>
      </c>
      <c r="CC65" s="3">
        <f>P_ITV*(V65="sí")+P_LIBRO*(W65="sí")+P_CORREA*(X65="sí")+P_PROP*(Y65=1)+P_GAR*(Z65="sí")+P_FOTOS*MIN(1,N(U65)/FOTOS_OBJ)</f>
        <v/>
      </c>
      <c r="CD65" s="3">
        <f>MAX(0,MIN(100,IFERROR(VLOOKUP(BP65,ETQ_TBL,2,0),0)-IF(BQ65="sí",ETQ_PEN_DUD,IF(AS65="regla",ETQ_PEN_REGLA,0))))</f>
        <v/>
      </c>
      <c r="CE65" s="3">
        <f>NEUTRO</f>
        <v/>
      </c>
      <c r="CF65" s="3">
        <f>IFERROR(VLOOKUP(L65,SEGURO_TBL,3,0),"")</f>
        <v/>
      </c>
      <c r="CG65" s="3">
        <f>IF(CF65="",NEUTRO,MAX(0,MIN(100,100*(SEG_REF_MAX-CF65)/(SEG_REF_MAX-SEG_REF_MIN))))</f>
        <v/>
      </c>
      <c r="CH65" s="3">
        <f>W_CONS*CE65+W_SEG*CG65</f>
        <v/>
      </c>
      <c r="CI65" s="3">
        <f>IF(N(AB65)&gt;0,AB65,IF(AND(R65="profesional",SG_LEGAL_ON=1),GAR_LEGAL,0))</f>
        <v/>
      </c>
      <c r="CJ65" s="3">
        <f>SG_GAR*MIN(1,CI65/SG_GAR_FULL)+SG_AMPL*(AC65="sí")+SG_KMC*(AF65="sí")+SG_REV*(N(AE65)&gt;0)+SG_DEV*MIN(1,N(AG65)/SG_DEV_FULL)+SG_HIST*(W65="sí")</f>
        <v/>
      </c>
      <c r="CK65" s="3">
        <f>IFERROR(VLOOKUP(L65,CARR_PEN_TBL,2,0),0)</f>
        <v/>
      </c>
      <c r="CL65" s="3">
        <f>W_FIAB*BW65+W_PRECIO*BX65+W_KMEDAD*CB65+W_ANUNCIO*CC65+W_USO*CH65+W_SEGURIDAD*CJ65+W_ETIQUETA*CD65-CK65</f>
        <v/>
      </c>
      <c r="CM65" s="4">
        <f>IF(N(I65)&gt;0,I65,IFERROR(ROUND(_xlfn.NUMBERVALUE(LEFT(G65,FIND(" ",G65&amp;" ")-1),".")*1000,0),99999))</f>
        <v/>
      </c>
      <c r="CN65" s="3">
        <f>IF(R65="profesional",0,IF(O65&lt;CUOTA_VALOR_MAX,IF(BA65&gt;ITP_TRAMO_ALTO,SUMIFS(CF_CUOTA,CF_MAS,ITP_TRAMO_ALTO,CF_CCMIN,"&lt;="&amp;CM65,CF_CCMAX,"&gt;="&amp;CM65),IF(BA65&gt;ITP_TRAMO_BAJO,SUMIFS(CF_CUOTA,CF_MAS,ITP_TRAMO_BAJO,CF_CCMIN,"&lt;="&amp;CM65,CF_CCMAX,"&gt;="&amp;CM65),O65*ITP_TIPO)),O65*ITP_TIPO))</f>
        <v/>
      </c>
      <c r="CO65" s="4">
        <f>IF(R65="profesional",N(AK65),0)</f>
        <v/>
      </c>
      <c r="CP65" s="3">
        <f>IF(AND(R65="profesional",ISNUMBER(AK65),AL65="sí"),0,TASA_DGT)</f>
        <v/>
      </c>
      <c r="CQ65" s="3">
        <f>INFORME_DGT</f>
        <v/>
      </c>
      <c r="CR65" s="4">
        <f>O65+CO65+CN65+CP65+CQ65</f>
        <v/>
      </c>
      <c r="CS65" s="4">
        <f>CR65+N(CF65)</f>
        <v/>
      </c>
      <c r="CT65" s="3">
        <f>IF(CR65&lt;=TOTAL_MAX,"sí",IF(CR65&lt;=TOTAL_MAX+MARGEN_NEG,"negociar","no"))</f>
        <v/>
      </c>
      <c r="CU65" s="4">
        <f>IF(CT65&lt;&gt;"no",COUNTIFS($CT$2:$CT$545,"&lt;&gt;no",$CL$2:$CL$545,"&gt;"&amp;CL65)+COUNTIFS($CT$2:CT65,"&lt;&gt;no",$CL$2:CL65,CL65),"")</f>
        <v/>
      </c>
    </row>
    <row r="66">
      <c r="A66" s="2" t="inlineStr">
        <is>
          <t>wallapop:1307278706</t>
        </is>
      </c>
      <c r="B66" s="2" t="inlineStr">
        <is>
          <t>wallapop</t>
        </is>
      </c>
      <c r="C66" s="2" t="inlineStr">
        <is>
          <t>https://es.wallapop.com/item/hyundai-i10-2014-1307278706</t>
        </is>
      </c>
      <c r="D66" s="2" t="inlineStr">
        <is>
          <t>Hyundai i10 2014</t>
        </is>
      </c>
      <c r="E66" s="2" t="inlineStr">
        <is>
          <t>Hyundai</t>
        </is>
      </c>
      <c r="F66" s="2" t="inlineStr">
        <is>
          <t>Hyundai i10</t>
        </is>
      </c>
      <c r="G66" s="2" t="inlineStr">
        <is>
          <t>1.0 MPI</t>
        </is>
      </c>
      <c r="H66" s="2" t="inlineStr">
        <is>
          <t>1.0 MPI 66 Essence Plus 5p</t>
        </is>
      </c>
      <c r="I66" s="2" t="n"/>
      <c r="J66" s="2" t="n">
        <v>67</v>
      </c>
      <c r="K66" s="2" t="inlineStr">
        <is>
          <t>gasolina</t>
        </is>
      </c>
      <c r="L66" s="2" t="inlineStr">
        <is>
          <t>utilitario</t>
        </is>
      </c>
      <c r="M66" s="2" t="n">
        <v>2014</v>
      </c>
      <c r="N66" s="2" t="n">
        <v>212000</v>
      </c>
      <c r="O66" s="2" t="n">
        <v>4500</v>
      </c>
      <c r="P66" s="2" t="inlineStr">
        <is>
          <t>manual</t>
        </is>
      </c>
      <c r="Q66" s="2" t="inlineStr">
        <is>
          <t>no</t>
        </is>
      </c>
      <c r="R66" s="2" t="inlineStr">
        <is>
          <t>particular</t>
        </is>
      </c>
      <c r="S66" s="2" t="inlineStr">
        <is>
          <t>Torrent (46900)</t>
        </is>
      </c>
      <c r="T66" s="2" t="inlineStr">
        <is>
          <t>2026-10-29T19:33:23</t>
        </is>
      </c>
      <c r="U66" s="2" t="n">
        <v>8</v>
      </c>
      <c r="V66" s="2" t="inlineStr">
        <is>
          <t>sí</t>
        </is>
      </c>
      <c r="W66" s="2" t="n"/>
      <c r="X66" s="2" t="n"/>
      <c r="Y66" s="2" t="n"/>
      <c r="Z66" s="2" t="n"/>
      <c r="AA66" s="2" t="n"/>
      <c r="AB66" s="2" t="n"/>
      <c r="AC66" s="2" t="n"/>
      <c r="AD66" s="2" t="n"/>
      <c r="AE66" s="2" t="n"/>
      <c r="AF66" s="2" t="n"/>
      <c r="AG66" s="2" t="n"/>
      <c r="AH66" s="2" t="n"/>
      <c r="AI66" s="2" t="n"/>
      <c r="AJ66" s="2" t="n"/>
      <c r="AK66" s="2" t="n"/>
      <c r="AL66" s="2" t="n"/>
      <c r="AM66" s="2" t="n">
        <v>9.9</v>
      </c>
      <c r="AN66" s="2" t="n"/>
      <c r="AO66" s="2" t="inlineStr">
        <is>
          <t>2014</t>
        </is>
      </c>
      <c r="AP66" s="2" t="n">
        <v>2014</v>
      </c>
      <c r="AQ66" s="2" t="n"/>
      <c r="AR66" s="2" t="n"/>
      <c r="AS66" s="2" t="inlineStr">
        <is>
          <t>regla</t>
        </is>
      </c>
      <c r="AT66" s="2" t="n"/>
      <c r="AU66" s="2" t="n"/>
      <c r="AV66" s="2" t="n"/>
      <c r="AW66" s="2" t="inlineStr">
        <is>
          <t>cochesnet:71828688 (https://www.coches.net/hyundai-i10-10-essence-5p-gasolina-2014-en-valencia-71828688-covo.aspx); cochesnet:71870097 (https://www.coches.net/hyundai-i10-10-essence-5p-gasolina-2014-en-valencia-71870097-covo.aspx)</t>
        </is>
      </c>
      <c r="AX66" s="2" t="inlineStr">
        <is>
          <t>cuota fija ITP: &gt;5 y &lt;=12 años, hasta 1.500 cc; mediana con solo 3 anuncio(s)</t>
        </is>
      </c>
      <c r="AY66" s="2" t="inlineStr">
        <is>
          <t>Vendo mi coche i10 2014 manual
ITV hasta mayo 2027
Abstenerse ofertas absurdas. Solo se atenderán ofertas serias y razonables.</t>
        </is>
      </c>
      <c r="AZ66" s="2" t="inlineStr">
        <is>
          <t>https://es.wallapop.com/item/hyundai-i10-2014-1307278706 (__NEXT_DATA__ item) /home/user/Alopecia/buscador-coches/raw/wallapop/d5bfe37c2f1f05b4.json</t>
        </is>
      </c>
      <c r="BA66" s="3">
        <f>MAX(ANIO_ACTUAL-M66,0)</f>
        <v/>
      </c>
      <c r="BB66" s="4">
        <f>N66/MAX(BA66,0.5)</f>
        <v/>
      </c>
      <c r="BC66" s="4">
        <f>F66</f>
        <v/>
      </c>
      <c r="BD66" s="3">
        <f>BC66&amp;"|"&amp;INT(M66/SEG_ANIO)*SEG_ANIO</f>
        <v/>
      </c>
      <c r="BE66" s="3">
        <f>BD66&amp;"|"&amp;INT(N66/SEG_KM)*SEG_KM</f>
        <v/>
      </c>
      <c r="BF66" s="4">
        <f>COUNTIF($BC$2:$BC$545,BC66)</f>
        <v/>
      </c>
      <c r="BG66" s="4">
        <f>COUNTIF($BD$2:$BD$545,BD66)</f>
        <v/>
      </c>
      <c r="BH66" s="4">
        <f>COUNTIF($BE$2:$BE$545,BE66)</f>
        <v/>
      </c>
      <c r="BI66" s="3">
        <f t="array" ref="BI66">IF(N(AU66)&gt;=MIN_N,AT66,IF(BH66&gt;=MIN_N,MEDIAN(IF($BE$2:$BE$545=BE66,$O$2:$O$545)),IF(BG66&gt;=MIN_N,MEDIAN(IF($BD$2:$BD$545=BD66,$O$2:$O$545)),MEDIAN(IF($BC$2:$BC$545=BC66,$O$2:$O$545)))))</f>
        <v/>
      </c>
      <c r="BJ66" s="3">
        <f>IF(N(AU66)&gt;=MIN_N,"mercado "&amp;AV66,IF(BH66&gt;=MIN_N,"modelo+año+km",IF(BG66&gt;=MIN_N,"modelo+año","modelo")))</f>
        <v/>
      </c>
      <c r="BK66" s="4">
        <f>(BI66-O66)/BI66</f>
        <v/>
      </c>
      <c r="BL66" s="3">
        <f>IF(COUNTIFS(FR_FUEL,K66,FR_YEAR,AP66)&gt;0,1,0)</f>
        <v/>
      </c>
      <c r="BM66" s="3">
        <f>IF(COUNTIFS(FR_FUEL,K66,FR_YEAR,AP66-1)&gt;0,1,0)</f>
        <v/>
      </c>
      <c r="BN66" s="4">
        <f>IF(N(AQ66)&gt;0,AP66*100+AQ66,IF(AND(BL66=1,BM66=1),(AP66-1)*100+1,AP66*100+1))</f>
        <v/>
      </c>
      <c r="BO66" s="3">
        <f>IF(OR(K66="hibrido",K66="glp",K66="gnc",K66="phev"),"ECO",IF(K66="electrico","CERO",IF(K66="gasolina",IF(BN66&gt;=GAS_C_YM,"C",IF(BN66&gt;=GAS_B_YM,"B","A")),IF(K66="diesel",IF(BN66&gt;=DIE_C_YM,"C",IF(BN66&gt;=DIE_B_YM,"B","A")),""))))</f>
        <v/>
      </c>
      <c r="BP66" s="4">
        <f>BO66</f>
        <v/>
      </c>
      <c r="BQ66" s="4">
        <f>IF(AS66="regla",IF(AND(N(AQ66)=0,BL66=1),"sí","no"),"no")</f>
        <v/>
      </c>
      <c r="BR66" s="3">
        <f>IFERROR(VLOOKUP(F66,MOD_TBL,11,0),IFERROR(VLOOKUP(E66,OCU_TBL,2,0),NEUTRO))</f>
        <v/>
      </c>
      <c r="BS66" s="3">
        <f>SUMIFS(MOT_AJUSTE,MOT_MOTOR,G66,MOT_MARCA,E66,MOT_DESDE,"&lt;="&amp;M66,MOT_HASTA,"&gt;="&amp;M66)+SUMIFS(MOT_AJUSTE,MOT_MOTOR,G66,MOT_MARCA,"(todas)",MOT_DESDE,"&lt;="&amp;M66,MOT_HASTA,"&gt;="&amp;M66)</f>
        <v/>
      </c>
      <c r="BT66" s="3">
        <f>SUMIFS(COMB_AJUSTE,COMB_COMB,K66)</f>
        <v/>
      </c>
      <c r="BU66" s="3">
        <f>COUNTIFS(MOT_MOTOR,G66,MOT_MARCA,E66,MOT_DESDE,"&lt;="&amp;M66,MOT_HASTA,"&gt;="&amp;M66)+COUNTIFS(MOT_MOTOR,G66,MOT_MARCA,"(todas)",MOT_DESDE,"&lt;="&amp;M66,MOT_HASTA,"&gt;="&amp;M66)</f>
        <v/>
      </c>
      <c r="BV66" s="3">
        <f>IF(AND(K66="diesel",BU66=0),MIN(BR66,NEUTRO),BR66)</f>
        <v/>
      </c>
      <c r="BW66" s="4">
        <f>MAX(0,MIN(100,BV66+BS66+BT66))</f>
        <v/>
      </c>
      <c r="BX66" s="3">
        <f>MAX(0,MIN(100,50+BK66*PRECIO_PEND))</f>
        <v/>
      </c>
      <c r="BY66" s="3">
        <f>MAX(0,100*(1-N66/KM_MAX))</f>
        <v/>
      </c>
      <c r="BZ66" s="3">
        <f>IF(BB66&lt;KMA_SOSP,IF(AA66="sí",100,KMA_PEN),IF(BB66&lt;=KMA_IDEAL_MAX,100,MAX(0,100*(KMA_CERO-BB66)/(KMA_CERO-KMA_IDEAL_MAX))))</f>
        <v/>
      </c>
      <c r="CA66" s="3">
        <f>MAX(0,MIN(100,100*(M66-ANIO_MIN)/(ANIO_ACTUAL-ANIO_MIN)))</f>
        <v/>
      </c>
      <c r="CB66" s="3">
        <f>W_KMT*BY66+W_KMA*BZ66+W_EDAD*CA66</f>
        <v/>
      </c>
      <c r="CC66" s="3">
        <f>P_ITV*(V66="sí")+P_LIBRO*(W66="sí")+P_CORREA*(X66="sí")+P_PROP*(Y66=1)+P_GAR*(Z66="sí")+P_FOTOS*MIN(1,N(U66)/FOTOS_OBJ)</f>
        <v/>
      </c>
      <c r="CD66" s="3">
        <f>MAX(0,MIN(100,IFERROR(VLOOKUP(BP66,ETQ_TBL,2,0),0)-IF(BQ66="sí",ETQ_PEN_DUD,IF(AS66="regla",ETQ_PEN_REGLA,0))))</f>
        <v/>
      </c>
      <c r="CE66" s="3">
        <f>NEUTRO</f>
        <v/>
      </c>
      <c r="CF66" s="3">
        <f>IFERROR(VLOOKUP(L66,SEGURO_TBL,3,0),"")</f>
        <v/>
      </c>
      <c r="CG66" s="3">
        <f>IF(CF66="",NEUTRO,MAX(0,MIN(100,100*(SEG_REF_MAX-CF66)/(SEG_REF_MAX-SEG_REF_MIN))))</f>
        <v/>
      </c>
      <c r="CH66" s="3">
        <f>W_CONS*CE66+W_SEG*CG66</f>
        <v/>
      </c>
      <c r="CI66" s="3">
        <f>IF(N(AB66)&gt;0,AB66,IF(AND(R66="profesional",SG_LEGAL_ON=1),GAR_LEGAL,0))</f>
        <v/>
      </c>
      <c r="CJ66" s="3">
        <f>SG_GAR*MIN(1,CI66/SG_GAR_FULL)+SG_AMPL*(AC66="sí")+SG_KMC*(AF66="sí")+SG_REV*(N(AE66)&gt;0)+SG_DEV*MIN(1,N(AG66)/SG_DEV_FULL)+SG_HIST*(W66="sí")</f>
        <v/>
      </c>
      <c r="CK66" s="3">
        <f>IFERROR(VLOOKUP(L66,CARR_PEN_TBL,2,0),0)</f>
        <v/>
      </c>
      <c r="CL66" s="3">
        <f>W_FIAB*BW66+W_PRECIO*BX66+W_KMEDAD*CB66+W_ANUNCIO*CC66+W_USO*CH66+W_SEGURIDAD*CJ66+W_ETIQUETA*CD66-CK66</f>
        <v/>
      </c>
      <c r="CM66" s="4">
        <f>IF(N(I66)&gt;0,I66,IFERROR(ROUND(_xlfn.NUMBERVALUE(LEFT(G66,FIND(" ",G66&amp;" ")-1),".")*1000,0),99999))</f>
        <v/>
      </c>
      <c r="CN66" s="3">
        <f>IF(R66="profesional",0,IF(O66&lt;CUOTA_VALOR_MAX,IF(BA66&gt;ITP_TRAMO_ALTO,SUMIFS(CF_CUOTA,CF_MAS,ITP_TRAMO_ALTO,CF_CCMIN,"&lt;="&amp;CM66,CF_CCMAX,"&gt;="&amp;CM66),IF(BA66&gt;ITP_TRAMO_BAJO,SUMIFS(CF_CUOTA,CF_MAS,ITP_TRAMO_BAJO,CF_CCMIN,"&lt;="&amp;CM66,CF_CCMAX,"&gt;="&amp;CM66),O66*ITP_TIPO)),O66*ITP_TIPO))</f>
        <v/>
      </c>
      <c r="CO66" s="4">
        <f>IF(R66="profesional",N(AK66),0)</f>
        <v/>
      </c>
      <c r="CP66" s="3">
        <f>IF(AND(R66="profesional",ISNUMBER(AK66),AL66="sí"),0,TASA_DGT)</f>
        <v/>
      </c>
      <c r="CQ66" s="3">
        <f>INFORME_DGT</f>
        <v/>
      </c>
      <c r="CR66" s="4">
        <f>O66+CO66+CN66+CP66+CQ66</f>
        <v/>
      </c>
      <c r="CS66" s="4">
        <f>CR66+N(CF66)</f>
        <v/>
      </c>
      <c r="CT66" s="3">
        <f>IF(CR66&lt;=TOTAL_MAX,"sí",IF(CR66&lt;=TOTAL_MAX+MARGEN_NEG,"negociar","no"))</f>
        <v/>
      </c>
      <c r="CU66" s="4">
        <f>IF(CT66&lt;&gt;"no",COUNTIFS($CT$2:$CT$545,"&lt;&gt;no",$CL$2:$CL$545,"&gt;"&amp;CL66)+COUNTIFS($CT$2:CT66,"&lt;&gt;no",$CL$2:CL66,CL66),"")</f>
        <v/>
      </c>
    </row>
    <row r="67">
      <c r="A67" s="2" t="inlineStr">
        <is>
          <t>cochesnet:71863369</t>
        </is>
      </c>
      <c r="B67" s="2" t="inlineStr">
        <is>
          <t>cochesnet</t>
        </is>
      </c>
      <c r="C67" s="2" t="inlineStr">
        <is>
          <t>https://www.coches.net/hyundai-i20-i20-12-l-pbt-classic-aa-key-5p-gasolina-2012-en-valencia-71863369-covo.aspx</t>
        </is>
      </c>
      <c r="D67" s="2" t="inlineStr">
        <is>
          <t>HYUNDAI i20 i20 1.2 L PBT Classic AA Key</t>
        </is>
      </c>
      <c r="E67" s="2" t="inlineStr">
        <is>
          <t>Hyundai</t>
        </is>
      </c>
      <c r="F67" s="2" t="inlineStr">
        <is>
          <t>Hyundai i20</t>
        </is>
      </c>
      <c r="G67" s="2" t="inlineStr">
        <is>
          <t>1.2</t>
        </is>
      </c>
      <c r="H67" s="2" t="inlineStr">
        <is>
          <t>i20 1.2 L PBT Classic AA Key</t>
        </is>
      </c>
      <c r="I67" s="2" t="n"/>
      <c r="J67" s="2" t="n"/>
      <c r="K67" s="2" t="inlineStr">
        <is>
          <t>gasolina</t>
        </is>
      </c>
      <c r="L67" s="2" t="inlineStr">
        <is>
          <t>utilitario</t>
        </is>
      </c>
      <c r="M67" s="2" t="n">
        <v>2012</v>
      </c>
      <c r="N67" s="2" t="n">
        <v>178000</v>
      </c>
      <c r="O67" s="2" t="n">
        <v>3650</v>
      </c>
      <c r="P67" s="2" t="inlineStr">
        <is>
          <t>manual</t>
        </is>
      </c>
      <c r="Q67" s="2" t="inlineStr">
        <is>
          <t>no</t>
        </is>
      </c>
      <c r="R67" s="2" t="inlineStr">
        <is>
          <t>particular</t>
        </is>
      </c>
      <c r="S67" s="2" t="inlineStr">
        <is>
          <t>Valencia</t>
        </is>
      </c>
      <c r="T67" s="2" t="inlineStr">
        <is>
          <t>2026-10-29T16:35:39Z</t>
        </is>
      </c>
      <c r="U67" s="2" t="n">
        <v>5</v>
      </c>
      <c r="V67" s="2" t="n"/>
      <c r="W67" s="2" t="n"/>
      <c r="X67" s="2" t="n"/>
      <c r="Y67" s="2" t="n"/>
      <c r="Z67" s="2" t="inlineStr">
        <is>
          <t>no</t>
        </is>
      </c>
      <c r="AA67" s="2" t="n"/>
      <c r="AB67" s="2" t="n"/>
      <c r="AC67" s="2" t="n"/>
      <c r="AD67" s="2" t="n"/>
      <c r="AE67" s="2" t="n"/>
      <c r="AF67" s="2" t="n"/>
      <c r="AG67" s="2" t="n"/>
      <c r="AH67" s="2" t="n">
        <v>3650</v>
      </c>
      <c r="AI67" s="2" t="n"/>
      <c r="AJ67" s="2" t="n"/>
      <c r="AK67" s="2" t="n"/>
      <c r="AL67" s="2" t="n"/>
      <c r="AM67" s="2" t="n">
        <v>0.1</v>
      </c>
      <c r="AN67" s="2" t="n"/>
      <c r="AO67" s="2" t="inlineStr">
        <is>
          <t>02/2012</t>
        </is>
      </c>
      <c r="AP67" s="2" t="n">
        <v>2012</v>
      </c>
      <c r="AQ67" s="2" t="n">
        <v>2</v>
      </c>
      <c r="AR67" s="2" t="n"/>
      <c r="AS67" s="2" t="inlineStr">
        <is>
          <t>regla</t>
        </is>
      </c>
      <c r="AT67" s="2" t="n">
        <v>5250</v>
      </c>
      <c r="AU67" s="2" t="n">
        <v>4</v>
      </c>
      <c r="AV67" s="2" t="inlineStr">
        <is>
          <t>modelo+año+km</t>
        </is>
      </c>
      <c r="AW67" s="2" t="n"/>
      <c r="AX67" s="2" t="inlineStr">
        <is>
          <t>cuota fija ITP: &gt;12 años, hasta 1.500 cc</t>
        </is>
      </c>
      <c r="AY67" s="2" t="inlineStr">
        <is>
          <t>El coche está recién sacado del taller, tiene algunos desperfectos en pintura, nunca ha sido accidentado y tiene un par de desperfectos en los asientos.
Etiqueta C
Recién pasada revisión y batería nueva.
Se dispone de 2 llaves.</t>
        </is>
      </c>
      <c r="AZ67" s="2" t="inlineStr">
        <is>
          <t>https://www.coches.net/hyundai-i20-i20-12-l-pbt-classic-aa-key-5p-gasolina-2012-en-valencia-71863369-covo.aspx (window.__INITIAL_PROPS__.ad) /home/user/Alopecia/buscador-coches/raw/cochesnet/ed852685a2f5189d.json</t>
        </is>
      </c>
      <c r="BA67" s="3">
        <f>MAX(ANIO_ACTUAL-M67,0)</f>
        <v/>
      </c>
      <c r="BB67" s="4">
        <f>N67/MAX(BA67,0.5)</f>
        <v/>
      </c>
      <c r="BC67" s="4">
        <f>F67</f>
        <v/>
      </c>
      <c r="BD67" s="3">
        <f>BC67&amp;"|"&amp;INT(M67/SEG_ANIO)*SEG_ANIO</f>
        <v/>
      </c>
      <c r="BE67" s="3">
        <f>BD67&amp;"|"&amp;INT(N67/SEG_KM)*SEG_KM</f>
        <v/>
      </c>
      <c r="BF67" s="4">
        <f>COUNTIF($BC$2:$BC$545,BC67)</f>
        <v/>
      </c>
      <c r="BG67" s="4">
        <f>COUNTIF($BD$2:$BD$545,BD67)</f>
        <v/>
      </c>
      <c r="BH67" s="4">
        <f>COUNTIF($BE$2:$BE$545,BE67)</f>
        <v/>
      </c>
      <c r="BI67" s="3">
        <f t="array" ref="BI67">IF(N(AU67)&gt;=MIN_N,AT67,IF(BH67&gt;=MIN_N,MEDIAN(IF($BE$2:$BE$545=BE67,$O$2:$O$545)),IF(BG67&gt;=MIN_N,MEDIAN(IF($BD$2:$BD$545=BD67,$O$2:$O$545)),MEDIAN(IF($BC$2:$BC$545=BC67,$O$2:$O$545)))))</f>
        <v/>
      </c>
      <c r="BJ67" s="3">
        <f>IF(N(AU67)&gt;=MIN_N,"mercado "&amp;AV67,IF(BH67&gt;=MIN_N,"modelo+año+km",IF(BG67&gt;=MIN_N,"modelo+año","modelo")))</f>
        <v/>
      </c>
      <c r="BK67" s="4">
        <f>(BI67-O67)/BI67</f>
        <v/>
      </c>
      <c r="BL67" s="3">
        <f>IF(COUNTIFS(FR_FUEL,K67,FR_YEAR,AP67)&gt;0,1,0)</f>
        <v/>
      </c>
      <c r="BM67" s="3">
        <f>IF(COUNTIFS(FR_FUEL,K67,FR_YEAR,AP67-1)&gt;0,1,0)</f>
        <v/>
      </c>
      <c r="BN67" s="4">
        <f>IF(N(AQ67)&gt;0,AP67*100+AQ67,IF(AND(BL67=1,BM67=1),(AP67-1)*100+1,AP67*100+1))</f>
        <v/>
      </c>
      <c r="BO67" s="3">
        <f>IF(OR(K67="hibrido",K67="glp",K67="gnc",K67="phev"),"ECO",IF(K67="electrico","CERO",IF(K67="gasolina",IF(BN67&gt;=GAS_C_YM,"C",IF(BN67&gt;=GAS_B_YM,"B","A")),IF(K67="diesel",IF(BN67&gt;=DIE_C_YM,"C",IF(BN67&gt;=DIE_B_YM,"B","A")),""))))</f>
        <v/>
      </c>
      <c r="BP67" s="4">
        <f>BO67</f>
        <v/>
      </c>
      <c r="BQ67" s="4">
        <f>IF(AS67="regla",IF(AND(N(AQ67)=0,BL67=1),"sí","no"),"no")</f>
        <v/>
      </c>
      <c r="BR67" s="3">
        <f>IFERROR(VLOOKUP(F67,MOD_TBL,11,0),IFERROR(VLOOKUP(E67,OCU_TBL,2,0),NEUTRO))</f>
        <v/>
      </c>
      <c r="BS67" s="3">
        <f>SUMIFS(MOT_AJUSTE,MOT_MOTOR,G67,MOT_MARCA,E67,MOT_DESDE,"&lt;="&amp;M67,MOT_HASTA,"&gt;="&amp;M67)+SUMIFS(MOT_AJUSTE,MOT_MOTOR,G67,MOT_MARCA,"(todas)",MOT_DESDE,"&lt;="&amp;M67,MOT_HASTA,"&gt;="&amp;M67)</f>
        <v/>
      </c>
      <c r="BT67" s="3">
        <f>SUMIFS(COMB_AJUSTE,COMB_COMB,K67)</f>
        <v/>
      </c>
      <c r="BU67" s="3">
        <f>COUNTIFS(MOT_MOTOR,G67,MOT_MARCA,E67,MOT_DESDE,"&lt;="&amp;M67,MOT_HASTA,"&gt;="&amp;M67)+COUNTIFS(MOT_MOTOR,G67,MOT_MARCA,"(todas)",MOT_DESDE,"&lt;="&amp;M67,MOT_HASTA,"&gt;="&amp;M67)</f>
        <v/>
      </c>
      <c r="BV67" s="3">
        <f>IF(AND(K67="diesel",BU67=0),MIN(BR67,NEUTRO),BR67)</f>
        <v/>
      </c>
      <c r="BW67" s="4">
        <f>MAX(0,MIN(100,BV67+BS67+BT67))</f>
        <v/>
      </c>
      <c r="BX67" s="3">
        <f>MAX(0,MIN(100,50+BK67*PRECIO_PEND))</f>
        <v/>
      </c>
      <c r="BY67" s="3">
        <f>MAX(0,100*(1-N67/KM_MAX))</f>
        <v/>
      </c>
      <c r="BZ67" s="3">
        <f>IF(BB67&lt;KMA_SOSP,IF(AA67="sí",100,KMA_PEN),IF(BB67&lt;=KMA_IDEAL_MAX,100,MAX(0,100*(KMA_CERO-BB67)/(KMA_CERO-KMA_IDEAL_MAX))))</f>
        <v/>
      </c>
      <c r="CA67" s="3">
        <f>MAX(0,MIN(100,100*(M67-ANIO_MIN)/(ANIO_ACTUAL-ANIO_MIN)))</f>
        <v/>
      </c>
      <c r="CB67" s="3">
        <f>W_KMT*BY67+W_KMA*BZ67+W_EDAD*CA67</f>
        <v/>
      </c>
      <c r="CC67" s="3">
        <f>P_ITV*(V67="sí")+P_LIBRO*(W67="sí")+P_CORREA*(X67="sí")+P_PROP*(Y67=1)+P_GAR*(Z67="sí")+P_FOTOS*MIN(1,N(U67)/FOTOS_OBJ)</f>
        <v/>
      </c>
      <c r="CD67" s="3">
        <f>MAX(0,MIN(100,IFERROR(VLOOKUP(BP67,ETQ_TBL,2,0),0)-IF(BQ67="sí",ETQ_PEN_DUD,IF(AS67="regla",ETQ_PEN_REGLA,0))))</f>
        <v/>
      </c>
      <c r="CE67" s="3">
        <f>NEUTRO</f>
        <v/>
      </c>
      <c r="CF67" s="3">
        <f>IFERROR(VLOOKUP(L67,SEGURO_TBL,3,0),"")</f>
        <v/>
      </c>
      <c r="CG67" s="3">
        <f>IF(CF67="",NEUTRO,MAX(0,MIN(100,100*(SEG_REF_MAX-CF67)/(SEG_REF_MAX-SEG_REF_MIN))))</f>
        <v/>
      </c>
      <c r="CH67" s="3">
        <f>W_CONS*CE67+W_SEG*CG67</f>
        <v/>
      </c>
      <c r="CI67" s="3">
        <f>IF(N(AB67)&gt;0,AB67,IF(AND(R67="profesional",SG_LEGAL_ON=1),GAR_LEGAL,0))</f>
        <v/>
      </c>
      <c r="CJ67" s="3">
        <f>SG_GAR*MIN(1,CI67/SG_GAR_FULL)+SG_AMPL*(AC67="sí")+SG_KMC*(AF67="sí")+SG_REV*(N(AE67)&gt;0)+SG_DEV*MIN(1,N(AG67)/SG_DEV_FULL)+SG_HIST*(W67="sí")</f>
        <v/>
      </c>
      <c r="CK67" s="3">
        <f>IFERROR(VLOOKUP(L67,CARR_PEN_TBL,2,0),0)</f>
        <v/>
      </c>
      <c r="CL67" s="3">
        <f>W_FIAB*BW67+W_PRECIO*BX67+W_KMEDAD*CB67+W_ANUNCIO*CC67+W_USO*CH67+W_SEGURIDAD*CJ67+W_ETIQUETA*CD67-CK67</f>
        <v/>
      </c>
      <c r="CM67" s="4">
        <f>IF(N(I67)&gt;0,I67,IFERROR(ROUND(_xlfn.NUMBERVALUE(LEFT(G67,FIND(" ",G67&amp;" ")-1),".")*1000,0),99999))</f>
        <v/>
      </c>
      <c r="CN67" s="3">
        <f>IF(R67="profesional",0,IF(O67&lt;CUOTA_VALOR_MAX,IF(BA67&gt;ITP_TRAMO_ALTO,SUMIFS(CF_CUOTA,CF_MAS,ITP_TRAMO_ALTO,CF_CCMIN,"&lt;="&amp;CM67,CF_CCMAX,"&gt;="&amp;CM67),IF(BA67&gt;ITP_TRAMO_BAJO,SUMIFS(CF_CUOTA,CF_MAS,ITP_TRAMO_BAJO,CF_CCMIN,"&lt;="&amp;CM67,CF_CCMAX,"&gt;="&amp;CM67),O67*ITP_TIPO)),O67*ITP_TIPO))</f>
        <v/>
      </c>
      <c r="CO67" s="4">
        <f>IF(R67="profesional",N(AK67),0)</f>
        <v/>
      </c>
      <c r="CP67" s="3">
        <f>IF(AND(R67="profesional",ISNUMBER(AK67),AL67="sí"),0,TASA_DGT)</f>
        <v/>
      </c>
      <c r="CQ67" s="3">
        <f>INFORME_DGT</f>
        <v/>
      </c>
      <c r="CR67" s="4">
        <f>O67+CO67+CN67+CP67+CQ67</f>
        <v/>
      </c>
      <c r="CS67" s="4">
        <f>CR67+N(CF67)</f>
        <v/>
      </c>
      <c r="CT67" s="3">
        <f>IF(CR67&lt;=TOTAL_MAX,"sí",IF(CR67&lt;=TOTAL_MAX+MARGEN_NEG,"negociar","no"))</f>
        <v/>
      </c>
      <c r="CU67" s="4">
        <f>IF(CT67&lt;&gt;"no",COUNTIFS($CT$2:$CT$545,"&lt;&gt;no",$CL$2:$CL$545,"&gt;"&amp;CL67)+COUNTIFS($CT$2:CT67,"&lt;&gt;no",$CL$2:CL67,CL67),"")</f>
        <v/>
      </c>
    </row>
    <row r="68">
      <c r="A68" s="2" t="inlineStr">
        <is>
          <t>cochesnet:71461135</t>
        </is>
      </c>
      <c r="B68" s="2" t="inlineStr">
        <is>
          <t>cochesnet</t>
        </is>
      </c>
      <c r="C68" s="2" t="inlineStr">
        <is>
          <t>https://www.coches.net/hyundai-getz-15-crdi-88cv-aa-5p-diesel-2008-en-valencia-71461135-covo.aspx</t>
        </is>
      </c>
      <c r="D68" s="2" t="inlineStr">
        <is>
          <t>HYUNDAI Getz 1.5 CRDi AA</t>
        </is>
      </c>
      <c r="E68" s="2" t="inlineStr">
        <is>
          <t>Hyundai</t>
        </is>
      </c>
      <c r="F68" s="2" t="inlineStr">
        <is>
          <t>Hyundai Getz</t>
        </is>
      </c>
      <c r="G68" s="2" t="inlineStr">
        <is>
          <t>1.5 CRDi</t>
        </is>
      </c>
      <c r="H68" s="2" t="inlineStr">
        <is>
          <t>1.5 CRDi 88cv AA</t>
        </is>
      </c>
      <c r="I68" s="2" t="n"/>
      <c r="J68" s="2" t="n">
        <v>88</v>
      </c>
      <c r="K68" s="2" t="inlineStr">
        <is>
          <t>diesel</t>
        </is>
      </c>
      <c r="L68" s="2" t="inlineStr">
        <is>
          <t>utilitario</t>
        </is>
      </c>
      <c r="M68" s="2" t="n">
        <v>2008</v>
      </c>
      <c r="N68" s="2" t="n">
        <v>131000</v>
      </c>
      <c r="O68" s="2" t="n">
        <v>3250</v>
      </c>
      <c r="P68" s="2" t="inlineStr">
        <is>
          <t>manual</t>
        </is>
      </c>
      <c r="Q68" s="2" t="inlineStr">
        <is>
          <t>no</t>
        </is>
      </c>
      <c r="R68" s="2" t="inlineStr">
        <is>
          <t>particular</t>
        </is>
      </c>
      <c r="S68" s="2" t="inlineStr">
        <is>
          <t>Valencia</t>
        </is>
      </c>
      <c r="T68" s="2" t="inlineStr">
        <is>
          <t>2026-09-10T12:06:43Z</t>
        </is>
      </c>
      <c r="U68" s="2" t="n">
        <v>10</v>
      </c>
      <c r="V68" s="2" t="n"/>
      <c r="W68" s="2" t="n"/>
      <c r="X68" s="2" t="n"/>
      <c r="Y68" s="2" t="n"/>
      <c r="Z68" s="2" t="inlineStr">
        <is>
          <t>no</t>
        </is>
      </c>
      <c r="AA68" s="2" t="n"/>
      <c r="AB68" s="2" t="n"/>
      <c r="AC68" s="2" t="n"/>
      <c r="AD68" s="2" t="n"/>
      <c r="AE68" s="2" t="n"/>
      <c r="AF68" s="2" t="n"/>
      <c r="AG68" s="2" t="n"/>
      <c r="AH68" s="2" t="n">
        <v>3250</v>
      </c>
      <c r="AI68" s="2" t="n"/>
      <c r="AJ68" s="2" t="n"/>
      <c r="AK68" s="2" t="n"/>
      <c r="AL68" s="2" t="n"/>
      <c r="AM68" s="2" t="n">
        <v>0.1</v>
      </c>
      <c r="AN68" s="2" t="n"/>
      <c r="AO68" s="2" t="inlineStr">
        <is>
          <t>07/2008</t>
        </is>
      </c>
      <c r="AP68" s="2" t="n">
        <v>2008</v>
      </c>
      <c r="AQ68" s="2" t="n">
        <v>7</v>
      </c>
      <c r="AR68" s="2" t="inlineStr">
        <is>
          <t>B</t>
        </is>
      </c>
      <c r="AS68" s="2" t="inlineStr">
        <is>
          <t>anuncio</t>
        </is>
      </c>
      <c r="AT68" s="2" t="n"/>
      <c r="AU68" s="2" t="n"/>
      <c r="AV68" s="2" t="n"/>
      <c r="AW68" s="2" t="n"/>
      <c r="AX68" s="2" t="inlineStr">
        <is>
          <t>cuota fija ITP: &gt;12 años, hasta 1.500 cc; diésel: motor sin fuente de fiabilidad (fiabilidad limitada a neutra); fiabilidad del modelo PENDIENTE de fuente (puntuación neutra); mediana con solo 2 anuncio(s)</t>
        </is>
      </c>
      <c r="AY68" s="2" t="inlineStr">
        <is>
          <t>Vehículo en buen estado, listo para usar y ofrecer un transporte fiable y económico. Un coche práctico que combina eficiencia de combustible, bajo coste de mantenimiento y la robustez característica de la marca.
Tiene motor diésel de 1.5 litros y 88 caballos de potencia, pero con un consumo mínimo que notarás en tu bolsillo. Su tamaño compacto lo hace ideal para aparcar sin complicaciones en espacios reducidos.
Siempre se ha utilizado con cuidado y cariño, y ha dormido en garaje. Nunca ha dado ningún fallo mecánico, ni ha tenido accidentes y funciona perfectamente. Se trata de un coche que ha cumplido su función de forma fiable y continúa, siendo una opción para quien necesite un transporte diario sin pretensiones o un segundo coche.
Recién revisado aceite + filtro, y neumáticos con menos de un año.
Por su edad, presenta marcas y signos de uso en la carrocería, pero nada que afecte a su funcionamiento. 
Se puede ver y probar sin compromiso en Valencia.
Si tienes cualquier duda sobre aspectos específicos del vehículo o deseas conocer detalles adicionales, no dudes en contactarme a través del chat.</t>
        </is>
      </c>
      <c r="AZ68" s="2" t="inlineStr">
        <is>
          <t>https://www.coches.net/hyundai-getz-15-crdi-88cv-aa-5p-diesel-2008-en-valencia-71461135-covo.aspx (window.__INITIAL_PROPS__.ad) /home/user/Alopecia/buscador-coches/raw/cochesnet/e9d5f59bf2be351e.json</t>
        </is>
      </c>
      <c r="BA68" s="3">
        <f>MAX(ANIO_ACTUAL-M68,0)</f>
        <v/>
      </c>
      <c r="BB68" s="4">
        <f>N68/MAX(BA68,0.5)</f>
        <v/>
      </c>
      <c r="BC68" s="4">
        <f>F68</f>
        <v/>
      </c>
      <c r="BD68" s="3">
        <f>BC68&amp;"|"&amp;INT(M68/SEG_ANIO)*SEG_ANIO</f>
        <v/>
      </c>
      <c r="BE68" s="3">
        <f>BD68&amp;"|"&amp;INT(N68/SEG_KM)*SEG_KM</f>
        <v/>
      </c>
      <c r="BF68" s="4">
        <f>COUNTIF($BC$2:$BC$545,BC68)</f>
        <v/>
      </c>
      <c r="BG68" s="4">
        <f>COUNTIF($BD$2:$BD$545,BD68)</f>
        <v/>
      </c>
      <c r="BH68" s="4">
        <f>COUNTIF($BE$2:$BE$545,BE68)</f>
        <v/>
      </c>
      <c r="BI68" s="3">
        <f t="array" ref="BI68">IF(N(AU68)&gt;=MIN_N,AT68,IF(BH68&gt;=MIN_N,MEDIAN(IF($BE$2:$BE$545=BE68,$O$2:$O$545)),IF(BG68&gt;=MIN_N,MEDIAN(IF($BD$2:$BD$545=BD68,$O$2:$O$545)),MEDIAN(IF($BC$2:$BC$545=BC68,$O$2:$O$545)))))</f>
        <v/>
      </c>
      <c r="BJ68" s="3">
        <f>IF(N(AU68)&gt;=MIN_N,"mercado "&amp;AV68,IF(BH68&gt;=MIN_N,"modelo+año+km",IF(BG68&gt;=MIN_N,"modelo+año","modelo")))</f>
        <v/>
      </c>
      <c r="BK68" s="4">
        <f>(BI68-O68)/BI68</f>
        <v/>
      </c>
      <c r="BL68" s="3">
        <f>IF(COUNTIFS(FR_FUEL,K68,FR_YEAR,AP68)&gt;0,1,0)</f>
        <v/>
      </c>
      <c r="BM68" s="3">
        <f>IF(COUNTIFS(FR_FUEL,K68,FR_YEAR,AP68-1)&gt;0,1,0)</f>
        <v/>
      </c>
      <c r="BN68" s="4">
        <f>IF(N(AQ68)&gt;0,AP68*100+AQ68,IF(AND(BL68=1,BM68=1),(AP68-1)*100+1,AP68*100+1))</f>
        <v/>
      </c>
      <c r="BO68" s="3">
        <f>IF(OR(K68="hibrido",K68="glp",K68="gnc",K68="phev"),"ECO",IF(K68="electrico","CERO",IF(K68="gasolina",IF(BN68&gt;=GAS_C_YM,"C",IF(BN68&gt;=GAS_B_YM,"B","A")),IF(K68="diesel",IF(BN68&gt;=DIE_C_YM,"C",IF(BN68&gt;=DIE_B_YM,"B","A")),""))))</f>
        <v/>
      </c>
      <c r="BP68" s="2" t="inlineStr">
        <is>
          <t>B</t>
        </is>
      </c>
      <c r="BQ68" s="4">
        <f>IF(AS68="regla",IF(AND(N(AQ68)=0,BL68=1),"sí","no"),"no")</f>
        <v/>
      </c>
      <c r="BR68" s="3">
        <f>IFERROR(VLOOKUP(F68,MOD_TBL,11,0),IFERROR(VLOOKUP(E68,OCU_TBL,2,0),NEUTRO))</f>
        <v/>
      </c>
      <c r="BS68" s="3">
        <f>SUMIFS(MOT_AJUSTE,MOT_MOTOR,G68,MOT_MARCA,E68,MOT_DESDE,"&lt;="&amp;M68,MOT_HASTA,"&gt;="&amp;M68)+SUMIFS(MOT_AJUSTE,MOT_MOTOR,G68,MOT_MARCA,"(todas)",MOT_DESDE,"&lt;="&amp;M68,MOT_HASTA,"&gt;="&amp;M68)</f>
        <v/>
      </c>
      <c r="BT68" s="3">
        <f>SUMIFS(COMB_AJUSTE,COMB_COMB,K68)</f>
        <v/>
      </c>
      <c r="BU68" s="3">
        <f>COUNTIFS(MOT_MOTOR,G68,MOT_MARCA,E68,MOT_DESDE,"&lt;="&amp;M68,MOT_HASTA,"&gt;="&amp;M68)+COUNTIFS(MOT_MOTOR,G68,MOT_MARCA,"(todas)",MOT_DESDE,"&lt;="&amp;M68,MOT_HASTA,"&gt;="&amp;M68)</f>
        <v/>
      </c>
      <c r="BV68" s="3">
        <f>IF(AND(K68="diesel",BU68=0),MIN(BR68,NEUTRO),BR68)</f>
        <v/>
      </c>
      <c r="BW68" s="4">
        <f>MAX(0,MIN(100,BV68+BS68+BT68))</f>
        <v/>
      </c>
      <c r="BX68" s="3">
        <f>MAX(0,MIN(100,50+BK68*PRECIO_PEND))</f>
        <v/>
      </c>
      <c r="BY68" s="3">
        <f>MAX(0,100*(1-N68/KM_MAX))</f>
        <v/>
      </c>
      <c r="BZ68" s="3">
        <f>IF(BB68&lt;KMA_SOSP,IF(AA68="sí",100,KMA_PEN),IF(BB68&lt;=KMA_IDEAL_MAX,100,MAX(0,100*(KMA_CERO-BB68)/(KMA_CERO-KMA_IDEAL_MAX))))</f>
        <v/>
      </c>
      <c r="CA68" s="3">
        <f>MAX(0,MIN(100,100*(M68-ANIO_MIN)/(ANIO_ACTUAL-ANIO_MIN)))</f>
        <v/>
      </c>
      <c r="CB68" s="3">
        <f>W_KMT*BY68+W_KMA*BZ68+W_EDAD*CA68</f>
        <v/>
      </c>
      <c r="CC68" s="3">
        <f>P_ITV*(V68="sí")+P_LIBRO*(W68="sí")+P_CORREA*(X68="sí")+P_PROP*(Y68=1)+P_GAR*(Z68="sí")+P_FOTOS*MIN(1,N(U68)/FOTOS_OBJ)</f>
        <v/>
      </c>
      <c r="CD68" s="3">
        <f>MAX(0,MIN(100,IFERROR(VLOOKUP(BP68,ETQ_TBL,2,0),0)-IF(BQ68="sí",ETQ_PEN_DUD,IF(AS68="regla",ETQ_PEN_REGLA,0))))</f>
        <v/>
      </c>
      <c r="CE68" s="3">
        <f>NEUTRO</f>
        <v/>
      </c>
      <c r="CF68" s="3">
        <f>IFERROR(VLOOKUP(L68,SEGURO_TBL,3,0),"")</f>
        <v/>
      </c>
      <c r="CG68" s="3">
        <f>IF(CF68="",NEUTRO,MAX(0,MIN(100,100*(SEG_REF_MAX-CF68)/(SEG_REF_MAX-SEG_REF_MIN))))</f>
        <v/>
      </c>
      <c r="CH68" s="3">
        <f>W_CONS*CE68+W_SEG*CG68</f>
        <v/>
      </c>
      <c r="CI68" s="3">
        <f>IF(N(AB68)&gt;0,AB68,IF(AND(R68="profesional",SG_LEGAL_ON=1),GAR_LEGAL,0))</f>
        <v/>
      </c>
      <c r="CJ68" s="3">
        <f>SG_GAR*MIN(1,CI68/SG_GAR_FULL)+SG_AMPL*(AC68="sí")+SG_KMC*(AF68="sí")+SG_REV*(N(AE68)&gt;0)+SG_DEV*MIN(1,N(AG68)/SG_DEV_FULL)+SG_HIST*(W68="sí")</f>
        <v/>
      </c>
      <c r="CK68" s="3">
        <f>IFERROR(VLOOKUP(L68,CARR_PEN_TBL,2,0),0)</f>
        <v/>
      </c>
      <c r="CL68" s="3">
        <f>W_FIAB*BW68+W_PRECIO*BX68+W_KMEDAD*CB68+W_ANUNCIO*CC68+W_USO*CH68+W_SEGURIDAD*CJ68+W_ETIQUETA*CD68-CK68</f>
        <v/>
      </c>
      <c r="CM68" s="4">
        <f>IF(N(I68)&gt;0,I68,IFERROR(ROUND(_xlfn.NUMBERVALUE(LEFT(G68,FIND(" ",G68&amp;" ")-1),".")*1000,0),99999))</f>
        <v/>
      </c>
      <c r="CN68" s="3">
        <f>IF(R68="profesional",0,IF(O68&lt;CUOTA_VALOR_MAX,IF(BA68&gt;ITP_TRAMO_ALTO,SUMIFS(CF_CUOTA,CF_MAS,ITP_TRAMO_ALTO,CF_CCMIN,"&lt;="&amp;CM68,CF_CCMAX,"&gt;="&amp;CM68),IF(BA68&gt;ITP_TRAMO_BAJO,SUMIFS(CF_CUOTA,CF_MAS,ITP_TRAMO_BAJO,CF_CCMIN,"&lt;="&amp;CM68,CF_CCMAX,"&gt;="&amp;CM68),O68*ITP_TIPO)),O68*ITP_TIPO))</f>
        <v/>
      </c>
      <c r="CO68" s="4">
        <f>IF(R68="profesional",N(AK68),0)</f>
        <v/>
      </c>
      <c r="CP68" s="3">
        <f>IF(AND(R68="profesional",ISNUMBER(AK68),AL68="sí"),0,TASA_DGT)</f>
        <v/>
      </c>
      <c r="CQ68" s="3">
        <f>INFORME_DGT</f>
        <v/>
      </c>
      <c r="CR68" s="4">
        <f>O68+CO68+CN68+CP68+CQ68</f>
        <v/>
      </c>
      <c r="CS68" s="4">
        <f>CR68+N(CF68)</f>
        <v/>
      </c>
      <c r="CT68" s="3">
        <f>IF(CR68&lt;=TOTAL_MAX,"sí",IF(CR68&lt;=TOTAL_MAX+MARGEN_NEG,"negociar","no"))</f>
        <v/>
      </c>
      <c r="CU68" s="4">
        <f>IF(CT68&lt;&gt;"no",COUNTIFS($CT$2:$CT$545,"&lt;&gt;no",$CL$2:$CL$545,"&gt;"&amp;CL68)+COUNTIFS($CT$2:CT68,"&lt;&gt;no",$CL$2:CL68,CL68),"")</f>
        <v/>
      </c>
    </row>
    <row r="69">
      <c r="A69" s="2" t="inlineStr">
        <is>
          <t>cochesnet:71876716</t>
        </is>
      </c>
      <c r="B69" s="2" t="inlineStr">
        <is>
          <t>cochesnet</t>
        </is>
      </c>
      <c r="C69" s="2" t="inlineStr">
        <is>
          <t>https://www.coches.net/seat-ibiza-14-16v-85cv-rockroll-3p-gasolina-2009-en-valencia-71876716-covo.aspx</t>
        </is>
      </c>
      <c r="D69" s="2" t="inlineStr">
        <is>
          <t>SEAT Ibiza 1.4 16v RockRoll</t>
        </is>
      </c>
      <c r="E69" s="2" t="inlineStr">
        <is>
          <t>Seat</t>
        </is>
      </c>
      <c r="F69" s="2" t="inlineStr">
        <is>
          <t>Seat Ibiza</t>
        </is>
      </c>
      <c r="G69" s="2" t="inlineStr">
        <is>
          <t>1.4</t>
        </is>
      </c>
      <c r="H69" s="2" t="inlineStr">
        <is>
          <t>1.4 16v 85cv RockRoll</t>
        </is>
      </c>
      <c r="I69" s="2" t="n"/>
      <c r="J69" s="2" t="n">
        <v>85</v>
      </c>
      <c r="K69" s="2" t="inlineStr">
        <is>
          <t>gasolina</t>
        </is>
      </c>
      <c r="L69" s="2" t="inlineStr">
        <is>
          <t>utilitario</t>
        </is>
      </c>
      <c r="M69" s="2" t="n">
        <v>2009</v>
      </c>
      <c r="N69" s="2" t="n">
        <v>200000</v>
      </c>
      <c r="O69" s="2" t="n">
        <v>3000</v>
      </c>
      <c r="P69" s="2" t="inlineStr">
        <is>
          <t>manual</t>
        </is>
      </c>
      <c r="Q69" s="2" t="inlineStr">
        <is>
          <t>no</t>
        </is>
      </c>
      <c r="R69" s="2" t="inlineStr">
        <is>
          <t>particular</t>
        </is>
      </c>
      <c r="S69" s="2" t="inlineStr">
        <is>
          <t>Paterna</t>
        </is>
      </c>
      <c r="T69" s="2" t="inlineStr">
        <is>
          <t>2026-10-31T09:21:30Z</t>
        </is>
      </c>
      <c r="U69" s="2" t="n"/>
      <c r="V69" s="2" t="inlineStr">
        <is>
          <t>sí</t>
        </is>
      </c>
      <c r="W69" s="2" t="n"/>
      <c r="X69" s="2" t="n"/>
      <c r="Y69" s="2" t="n"/>
      <c r="Z69" s="2" t="inlineStr">
        <is>
          <t>no</t>
        </is>
      </c>
      <c r="AA69" s="2" t="n"/>
      <c r="AB69" s="2" t="n"/>
      <c r="AC69" s="2" t="n"/>
      <c r="AD69" s="2" t="n"/>
      <c r="AE69" s="2" t="n"/>
      <c r="AF69" s="2" t="n"/>
      <c r="AG69" s="2" t="n"/>
      <c r="AH69" s="2" t="n">
        <v>3000</v>
      </c>
      <c r="AI69" s="2" t="n"/>
      <c r="AJ69" s="2" t="n"/>
      <c r="AK69" s="2" t="n"/>
      <c r="AL69" s="2" t="n"/>
      <c r="AM69" s="2" t="n">
        <v>6.8</v>
      </c>
      <c r="AN69" s="2" t="n"/>
      <c r="AO69" s="2" t="inlineStr">
        <is>
          <t>09/2009</t>
        </is>
      </c>
      <c r="AP69" s="2" t="n">
        <v>2009</v>
      </c>
      <c r="AQ69" s="2" t="n">
        <v>9</v>
      </c>
      <c r="AR69" s="2" t="inlineStr">
        <is>
          <t>C</t>
        </is>
      </c>
      <c r="AS69" s="2" t="inlineStr">
        <is>
          <t>anuncio</t>
        </is>
      </c>
      <c r="AT69" s="2" t="n">
        <v>3100</v>
      </c>
      <c r="AU69" s="2" t="n">
        <v>10</v>
      </c>
      <c r="AV69" s="2" t="inlineStr">
        <is>
          <t>modelo+año+km</t>
        </is>
      </c>
      <c r="AW69" s="2" t="n"/>
      <c r="AX69" s="2" t="inlineStr">
        <is>
          <t>cuota fija ITP: &gt;12 años, hasta 1.500 cc</t>
        </is>
      </c>
      <c r="AY69" s="2" t="inlineStr">
        <is>
          <t>SEAT IBIZA 1.4 ROCK &amp; ROLL – AÑO 2009 – 200.000 KM
Se vende Seat Ibiza 1.4 Rock &amp; Roll del año 2009, con 200.000 km.
Coche compacto, práctico y económico, ideal para ciudad y desplazamientos diarios.
- Motor gasolina 1.4
- Año 2009
- 205.000 km
- Acabado Rock &amp; Roll
- ITV en vigor hasta abril de 2027
Para más información o concertar una visita, contactar sin compromiso.
¡Ven a verlo y pruébalo!</t>
        </is>
      </c>
      <c r="AZ69" s="2" t="inlineStr">
        <is>
          <t>https://www.coches.net/seat-ibiza-14-16v-85cv-rockroll-3p-gasolina-2009-en-valencia-71876716-covo.aspx (window.__INITIAL_PROPS__.ad) /home/user/Alopecia/buscador-coches/raw/cochesnet/d48709c648711d4c.json</t>
        </is>
      </c>
      <c r="BA69" s="3">
        <f>MAX(ANIO_ACTUAL-M69,0)</f>
        <v/>
      </c>
      <c r="BB69" s="4">
        <f>N69/MAX(BA69,0.5)</f>
        <v/>
      </c>
      <c r="BC69" s="4">
        <f>F69</f>
        <v/>
      </c>
      <c r="BD69" s="3">
        <f>BC69&amp;"|"&amp;INT(M69/SEG_ANIO)*SEG_ANIO</f>
        <v/>
      </c>
      <c r="BE69" s="3">
        <f>BD69&amp;"|"&amp;INT(N69/SEG_KM)*SEG_KM</f>
        <v/>
      </c>
      <c r="BF69" s="4">
        <f>COUNTIF($BC$2:$BC$545,BC69)</f>
        <v/>
      </c>
      <c r="BG69" s="4">
        <f>COUNTIF($BD$2:$BD$545,BD69)</f>
        <v/>
      </c>
      <c r="BH69" s="4">
        <f>COUNTIF($BE$2:$BE$545,BE69)</f>
        <v/>
      </c>
      <c r="BI69" s="3">
        <f t="array" ref="BI69">IF(N(AU69)&gt;=MIN_N,AT69,IF(BH69&gt;=MIN_N,MEDIAN(IF($BE$2:$BE$545=BE69,$O$2:$O$545)),IF(BG69&gt;=MIN_N,MEDIAN(IF($BD$2:$BD$545=BD69,$O$2:$O$545)),MEDIAN(IF($BC$2:$BC$545=BC69,$O$2:$O$545)))))</f>
        <v/>
      </c>
      <c r="BJ69" s="3">
        <f>IF(N(AU69)&gt;=MIN_N,"mercado "&amp;AV69,IF(BH69&gt;=MIN_N,"modelo+año+km",IF(BG69&gt;=MIN_N,"modelo+año","modelo")))</f>
        <v/>
      </c>
      <c r="BK69" s="4">
        <f>(BI69-O69)/BI69</f>
        <v/>
      </c>
      <c r="BL69" s="3">
        <f>IF(COUNTIFS(FR_FUEL,K69,FR_YEAR,AP69)&gt;0,1,0)</f>
        <v/>
      </c>
      <c r="BM69" s="3">
        <f>IF(COUNTIFS(FR_FUEL,K69,FR_YEAR,AP69-1)&gt;0,1,0)</f>
        <v/>
      </c>
      <c r="BN69" s="4">
        <f>IF(N(AQ69)&gt;0,AP69*100+AQ69,IF(AND(BL69=1,BM69=1),(AP69-1)*100+1,AP69*100+1))</f>
        <v/>
      </c>
      <c r="BO69" s="3">
        <f>IF(OR(K69="hibrido",K69="glp",K69="gnc",K69="phev"),"ECO",IF(K69="electrico","CERO",IF(K69="gasolina",IF(BN69&gt;=GAS_C_YM,"C",IF(BN69&gt;=GAS_B_YM,"B","A")),IF(K69="diesel",IF(BN69&gt;=DIE_C_YM,"C",IF(BN69&gt;=DIE_B_YM,"B","A")),""))))</f>
        <v/>
      </c>
      <c r="BP69" s="2" t="inlineStr">
        <is>
          <t>C</t>
        </is>
      </c>
      <c r="BQ69" s="4">
        <f>IF(AS69="regla",IF(AND(N(AQ69)=0,BL69=1),"sí","no"),"no")</f>
        <v/>
      </c>
      <c r="BR69" s="3">
        <f>IFERROR(VLOOKUP(F69,MOD_TBL,11,0),IFERROR(VLOOKUP(E69,OCU_TBL,2,0),NEUTRO))</f>
        <v/>
      </c>
      <c r="BS69" s="3">
        <f>SUMIFS(MOT_AJUSTE,MOT_MOTOR,G69,MOT_MARCA,E69,MOT_DESDE,"&lt;="&amp;M69,MOT_HASTA,"&gt;="&amp;M69)+SUMIFS(MOT_AJUSTE,MOT_MOTOR,G69,MOT_MARCA,"(todas)",MOT_DESDE,"&lt;="&amp;M69,MOT_HASTA,"&gt;="&amp;M69)</f>
        <v/>
      </c>
      <c r="BT69" s="3">
        <f>SUMIFS(COMB_AJUSTE,COMB_COMB,K69)</f>
        <v/>
      </c>
      <c r="BU69" s="3">
        <f>COUNTIFS(MOT_MOTOR,G69,MOT_MARCA,E69,MOT_DESDE,"&lt;="&amp;M69,MOT_HASTA,"&gt;="&amp;M69)+COUNTIFS(MOT_MOTOR,G69,MOT_MARCA,"(todas)",MOT_DESDE,"&lt;="&amp;M69,MOT_HASTA,"&gt;="&amp;M69)</f>
        <v/>
      </c>
      <c r="BV69" s="3">
        <f>IF(AND(K69="diesel",BU69=0),MIN(BR69,NEUTRO),BR69)</f>
        <v/>
      </c>
      <c r="BW69" s="4">
        <f>MAX(0,MIN(100,BV69+BS69+BT69))</f>
        <v/>
      </c>
      <c r="BX69" s="3">
        <f>MAX(0,MIN(100,50+BK69*PRECIO_PEND))</f>
        <v/>
      </c>
      <c r="BY69" s="3">
        <f>MAX(0,100*(1-N69/KM_MAX))</f>
        <v/>
      </c>
      <c r="BZ69" s="3">
        <f>IF(BB69&lt;KMA_SOSP,IF(AA69="sí",100,KMA_PEN),IF(BB69&lt;=KMA_IDEAL_MAX,100,MAX(0,100*(KMA_CERO-BB69)/(KMA_CERO-KMA_IDEAL_MAX))))</f>
        <v/>
      </c>
      <c r="CA69" s="3">
        <f>MAX(0,MIN(100,100*(M69-ANIO_MIN)/(ANIO_ACTUAL-ANIO_MIN)))</f>
        <v/>
      </c>
      <c r="CB69" s="3">
        <f>W_KMT*BY69+W_KMA*BZ69+W_EDAD*CA69</f>
        <v/>
      </c>
      <c r="CC69" s="3">
        <f>P_ITV*(V69="sí")+P_LIBRO*(W69="sí")+P_CORREA*(X69="sí")+P_PROP*(Y69=1)+P_GAR*(Z69="sí")+P_FOTOS*MIN(1,N(U69)/FOTOS_OBJ)</f>
        <v/>
      </c>
      <c r="CD69" s="3">
        <f>MAX(0,MIN(100,IFERROR(VLOOKUP(BP69,ETQ_TBL,2,0),0)-IF(BQ69="sí",ETQ_PEN_DUD,IF(AS69="regla",ETQ_PEN_REGLA,0))))</f>
        <v/>
      </c>
      <c r="CE69" s="3">
        <f>NEUTRO</f>
        <v/>
      </c>
      <c r="CF69" s="3">
        <f>IFERROR(VLOOKUP(L69,SEGURO_TBL,3,0),"")</f>
        <v/>
      </c>
      <c r="CG69" s="3">
        <f>IF(CF69="",NEUTRO,MAX(0,MIN(100,100*(SEG_REF_MAX-CF69)/(SEG_REF_MAX-SEG_REF_MIN))))</f>
        <v/>
      </c>
      <c r="CH69" s="3">
        <f>W_CONS*CE69+W_SEG*CG69</f>
        <v/>
      </c>
      <c r="CI69" s="3">
        <f>IF(N(AB69)&gt;0,AB69,IF(AND(R69="profesional",SG_LEGAL_ON=1),GAR_LEGAL,0))</f>
        <v/>
      </c>
      <c r="CJ69" s="3">
        <f>SG_GAR*MIN(1,CI69/SG_GAR_FULL)+SG_AMPL*(AC69="sí")+SG_KMC*(AF69="sí")+SG_REV*(N(AE69)&gt;0)+SG_DEV*MIN(1,N(AG69)/SG_DEV_FULL)+SG_HIST*(W69="sí")</f>
        <v/>
      </c>
      <c r="CK69" s="3">
        <f>IFERROR(VLOOKUP(L69,CARR_PEN_TBL,2,0),0)</f>
        <v/>
      </c>
      <c r="CL69" s="3">
        <f>W_FIAB*BW69+W_PRECIO*BX69+W_KMEDAD*CB69+W_ANUNCIO*CC69+W_USO*CH69+W_SEGURIDAD*CJ69+W_ETIQUETA*CD69-CK69</f>
        <v/>
      </c>
      <c r="CM69" s="4">
        <f>IF(N(I69)&gt;0,I69,IFERROR(ROUND(_xlfn.NUMBERVALUE(LEFT(G69,FIND(" ",G69&amp;" ")-1),".")*1000,0),99999))</f>
        <v/>
      </c>
      <c r="CN69" s="3">
        <f>IF(R69="profesional",0,IF(O69&lt;CUOTA_VALOR_MAX,IF(BA69&gt;ITP_TRAMO_ALTO,SUMIFS(CF_CUOTA,CF_MAS,ITP_TRAMO_ALTO,CF_CCMIN,"&lt;="&amp;CM69,CF_CCMAX,"&gt;="&amp;CM69),IF(BA69&gt;ITP_TRAMO_BAJO,SUMIFS(CF_CUOTA,CF_MAS,ITP_TRAMO_BAJO,CF_CCMIN,"&lt;="&amp;CM69,CF_CCMAX,"&gt;="&amp;CM69),O69*ITP_TIPO)),O69*ITP_TIPO))</f>
        <v/>
      </c>
      <c r="CO69" s="4">
        <f>IF(R69="profesional",N(AK69),0)</f>
        <v/>
      </c>
      <c r="CP69" s="3">
        <f>IF(AND(R69="profesional",ISNUMBER(AK69),AL69="sí"),0,TASA_DGT)</f>
        <v/>
      </c>
      <c r="CQ69" s="3">
        <f>INFORME_DGT</f>
        <v/>
      </c>
      <c r="CR69" s="4">
        <f>O69+CO69+CN69+CP69+CQ69</f>
        <v/>
      </c>
      <c r="CS69" s="4">
        <f>CR69+N(CF69)</f>
        <v/>
      </c>
      <c r="CT69" s="3">
        <f>IF(CR69&lt;=TOTAL_MAX,"sí",IF(CR69&lt;=TOTAL_MAX+MARGEN_NEG,"negociar","no"))</f>
        <v/>
      </c>
      <c r="CU69" s="4">
        <f>IF(CT69&lt;&gt;"no",COUNTIFS($CT$2:$CT$545,"&lt;&gt;no",$CL$2:$CL$545,"&gt;"&amp;CL69)+COUNTIFS($CT$2:CT69,"&lt;&gt;no",$CL$2:CL69,CL69),"")</f>
        <v/>
      </c>
    </row>
    <row r="70">
      <c r="A70" s="2" t="inlineStr">
        <is>
          <t>cochesnet:71697159</t>
        </is>
      </c>
      <c r="B70" s="2" t="inlineStr">
        <is>
          <t>cochesnet</t>
        </is>
      </c>
      <c r="C70" s="2" t="inlineStr">
        <is>
          <t>https://www.coches.net/seat-ibiza-diesel-2009-en-valencia-71697159-covo.aspx</t>
        </is>
      </c>
      <c r="D70" s="2" t="inlineStr">
        <is>
          <t>SEAT Ibiza</t>
        </is>
      </c>
      <c r="E70" s="2" t="inlineStr">
        <is>
          <t>Seat</t>
        </is>
      </c>
      <c r="F70" s="2" t="inlineStr">
        <is>
          <t>Seat Ibiza</t>
        </is>
      </c>
      <c r="G70" s="2" t="n"/>
      <c r="H70" s="2" t="n"/>
      <c r="I70" s="2" t="n"/>
      <c r="J70" s="2" t="n"/>
      <c r="K70" s="2" t="inlineStr">
        <is>
          <t>diesel</t>
        </is>
      </c>
      <c r="L70" s="2" t="inlineStr">
        <is>
          <t>utilitario</t>
        </is>
      </c>
      <c r="M70" s="2" t="n">
        <v>2009</v>
      </c>
      <c r="N70" s="2" t="n">
        <v>132502</v>
      </c>
      <c r="O70" s="2" t="n">
        <v>4500</v>
      </c>
      <c r="P70" s="2" t="inlineStr">
        <is>
          <t>manual</t>
        </is>
      </c>
      <c r="Q70" s="2" t="inlineStr">
        <is>
          <t>no</t>
        </is>
      </c>
      <c r="R70" s="2" t="inlineStr">
        <is>
          <t>particular</t>
        </is>
      </c>
      <c r="S70" s="2" t="n"/>
      <c r="T70" s="2" t="inlineStr">
        <is>
          <t>2026-10-07T15:43:41Z</t>
        </is>
      </c>
      <c r="U70" s="2" t="n">
        <v>8</v>
      </c>
      <c r="V70" s="2" t="inlineStr">
        <is>
          <t>sí</t>
        </is>
      </c>
      <c r="W70" s="2" t="n"/>
      <c r="X70" s="2" t="n"/>
      <c r="Y70" s="2" t="n"/>
      <c r="Z70" s="2" t="inlineStr">
        <is>
          <t>no</t>
        </is>
      </c>
      <c r="AA70" s="2" t="n"/>
      <c r="AB70" s="2" t="n"/>
      <c r="AC70" s="2" t="n"/>
      <c r="AD70" s="2" t="n"/>
      <c r="AE70" s="2" t="n"/>
      <c r="AF70" s="2" t="n"/>
      <c r="AG70" s="2" t="n"/>
      <c r="AH70" s="2" t="n">
        <v>4500</v>
      </c>
      <c r="AI70" s="2" t="n"/>
      <c r="AJ70" s="2" t="n"/>
      <c r="AK70" s="2" t="n"/>
      <c r="AL70" s="2" t="n"/>
      <c r="AM70" s="2" t="n"/>
      <c r="AN70" s="2" t="n"/>
      <c r="AO70" s="2" t="inlineStr">
        <is>
          <t>2009</t>
        </is>
      </c>
      <c r="AP70" s="2" t="n">
        <v>2009</v>
      </c>
      <c r="AQ70" s="2" t="n"/>
      <c r="AR70" s="2" t="n"/>
      <c r="AS70" s="2" t="inlineStr">
        <is>
          <t>regla</t>
        </is>
      </c>
      <c r="AT70" s="2" t="n">
        <v>3850</v>
      </c>
      <c r="AU70" s="2" t="n">
        <v>26</v>
      </c>
      <c r="AV70" s="2" t="inlineStr">
        <is>
          <t>modelo+año</t>
        </is>
      </c>
      <c r="AW70" s="2" t="n"/>
      <c r="AX7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70" s="2" t="inlineStr">
        <is>
          <t>Itv pasada asta julio 2027 coche va bien</t>
        </is>
      </c>
      <c r="AZ70" s="2" t="inlineStr">
        <is>
          <t>https://www.coches.net/seat-ibiza-diesel-2009-en-valencia-71697159-covo.aspx (window.__INITIAL_PROPS__.ad) /home/user/Alopecia/buscador-coches/raw/cochesnet/d1a10282ebfcaeee.json</t>
        </is>
      </c>
      <c r="BA70" s="3">
        <f>MAX(ANIO_ACTUAL-M70,0)</f>
        <v/>
      </c>
      <c r="BB70" s="4">
        <f>N70/MAX(BA70,0.5)</f>
        <v/>
      </c>
      <c r="BC70" s="4">
        <f>F70</f>
        <v/>
      </c>
      <c r="BD70" s="3">
        <f>BC70&amp;"|"&amp;INT(M70/SEG_ANIO)*SEG_ANIO</f>
        <v/>
      </c>
      <c r="BE70" s="3">
        <f>BD70&amp;"|"&amp;INT(N70/SEG_KM)*SEG_KM</f>
        <v/>
      </c>
      <c r="BF70" s="4">
        <f>COUNTIF($BC$2:$BC$545,BC70)</f>
        <v/>
      </c>
      <c r="BG70" s="4">
        <f>COUNTIF($BD$2:$BD$545,BD70)</f>
        <v/>
      </c>
      <c r="BH70" s="4">
        <f>COUNTIF($BE$2:$BE$545,BE70)</f>
        <v/>
      </c>
      <c r="BI70" s="3">
        <f t="array" ref="BI70">IF(N(AU70)&gt;=MIN_N,AT70,IF(BH70&gt;=MIN_N,MEDIAN(IF($BE$2:$BE$545=BE70,$O$2:$O$545)),IF(BG70&gt;=MIN_N,MEDIAN(IF($BD$2:$BD$545=BD70,$O$2:$O$545)),MEDIAN(IF($BC$2:$BC$545=BC70,$O$2:$O$545)))))</f>
        <v/>
      </c>
      <c r="BJ70" s="3">
        <f>IF(N(AU70)&gt;=MIN_N,"mercado "&amp;AV70,IF(BH70&gt;=MIN_N,"modelo+año+km",IF(BG70&gt;=MIN_N,"modelo+año","modelo")))</f>
        <v/>
      </c>
      <c r="BK70" s="4">
        <f>(BI70-O70)/BI70</f>
        <v/>
      </c>
      <c r="BL70" s="3">
        <f>IF(COUNTIFS(FR_FUEL,K70,FR_YEAR,AP70)&gt;0,1,0)</f>
        <v/>
      </c>
      <c r="BM70" s="3">
        <f>IF(COUNTIFS(FR_FUEL,K70,FR_YEAR,AP70-1)&gt;0,1,0)</f>
        <v/>
      </c>
      <c r="BN70" s="4">
        <f>IF(N(AQ70)&gt;0,AP70*100+AQ70,IF(AND(BL70=1,BM70=1),(AP70-1)*100+1,AP70*100+1))</f>
        <v/>
      </c>
      <c r="BO70" s="3">
        <f>IF(OR(K70="hibrido",K70="glp",K70="gnc",K70="phev"),"ECO",IF(K70="electrico","CERO",IF(K70="gasolina",IF(BN70&gt;=GAS_C_YM,"C",IF(BN70&gt;=GAS_B_YM,"B","A")),IF(K70="diesel",IF(BN70&gt;=DIE_C_YM,"C",IF(BN70&gt;=DIE_B_YM,"B","A")),""))))</f>
        <v/>
      </c>
      <c r="BP70" s="4">
        <f>BO70</f>
        <v/>
      </c>
      <c r="BQ70" s="4">
        <f>IF(AS70="regla",IF(AND(N(AQ70)=0,BL70=1),"sí","no"),"no")</f>
        <v/>
      </c>
      <c r="BR70" s="3">
        <f>IFERROR(VLOOKUP(F70,MOD_TBL,11,0),IFERROR(VLOOKUP(E70,OCU_TBL,2,0),NEUTRO))</f>
        <v/>
      </c>
      <c r="BS70" s="3">
        <f>SUMIFS(MOT_AJUSTE,MOT_MOTOR,G70,MOT_MARCA,E70,MOT_DESDE,"&lt;="&amp;M70,MOT_HASTA,"&gt;="&amp;M70)+SUMIFS(MOT_AJUSTE,MOT_MOTOR,G70,MOT_MARCA,"(todas)",MOT_DESDE,"&lt;="&amp;M70,MOT_HASTA,"&gt;="&amp;M70)</f>
        <v/>
      </c>
      <c r="BT70" s="3">
        <f>SUMIFS(COMB_AJUSTE,COMB_COMB,K70)</f>
        <v/>
      </c>
      <c r="BU70" s="3">
        <f>COUNTIFS(MOT_MOTOR,G70,MOT_MARCA,E70,MOT_DESDE,"&lt;="&amp;M70,MOT_HASTA,"&gt;="&amp;M70)+COUNTIFS(MOT_MOTOR,G70,MOT_MARCA,"(todas)",MOT_DESDE,"&lt;="&amp;M70,MOT_HASTA,"&gt;="&amp;M70)</f>
        <v/>
      </c>
      <c r="BV70" s="3">
        <f>IF(AND(K70="diesel",BU70=0),MIN(BR70,NEUTRO),BR70)</f>
        <v/>
      </c>
      <c r="BW70" s="4">
        <f>MAX(0,MIN(100,BV70+BS70+BT70))</f>
        <v/>
      </c>
      <c r="BX70" s="3">
        <f>MAX(0,MIN(100,50+BK70*PRECIO_PEND))</f>
        <v/>
      </c>
      <c r="BY70" s="3">
        <f>MAX(0,100*(1-N70/KM_MAX))</f>
        <v/>
      </c>
      <c r="BZ70" s="3">
        <f>IF(BB70&lt;KMA_SOSP,IF(AA70="sí",100,KMA_PEN),IF(BB70&lt;=KMA_IDEAL_MAX,100,MAX(0,100*(KMA_CERO-BB70)/(KMA_CERO-KMA_IDEAL_MAX))))</f>
        <v/>
      </c>
      <c r="CA70" s="3">
        <f>MAX(0,MIN(100,100*(M70-ANIO_MIN)/(ANIO_ACTUAL-ANIO_MIN)))</f>
        <v/>
      </c>
      <c r="CB70" s="3">
        <f>W_KMT*BY70+W_KMA*BZ70+W_EDAD*CA70</f>
        <v/>
      </c>
      <c r="CC70" s="3">
        <f>P_ITV*(V70="sí")+P_LIBRO*(W70="sí")+P_CORREA*(X70="sí")+P_PROP*(Y70=1)+P_GAR*(Z70="sí")+P_FOTOS*MIN(1,N(U70)/FOTOS_OBJ)</f>
        <v/>
      </c>
      <c r="CD70" s="3">
        <f>MAX(0,MIN(100,IFERROR(VLOOKUP(BP70,ETQ_TBL,2,0),0)-IF(BQ70="sí",ETQ_PEN_DUD,IF(AS70="regla",ETQ_PEN_REGLA,0))))</f>
        <v/>
      </c>
      <c r="CE70" s="3">
        <f>NEUTRO</f>
        <v/>
      </c>
      <c r="CF70" s="3">
        <f>IFERROR(VLOOKUP(L70,SEGURO_TBL,3,0),"")</f>
        <v/>
      </c>
      <c r="CG70" s="3">
        <f>IF(CF70="",NEUTRO,MAX(0,MIN(100,100*(SEG_REF_MAX-CF70)/(SEG_REF_MAX-SEG_REF_MIN))))</f>
        <v/>
      </c>
      <c r="CH70" s="3">
        <f>W_CONS*CE70+W_SEG*CG70</f>
        <v/>
      </c>
      <c r="CI70" s="3">
        <f>IF(N(AB70)&gt;0,AB70,IF(AND(R70="profesional",SG_LEGAL_ON=1),GAR_LEGAL,0))</f>
        <v/>
      </c>
      <c r="CJ70" s="3">
        <f>SG_GAR*MIN(1,CI70/SG_GAR_FULL)+SG_AMPL*(AC70="sí")+SG_KMC*(AF70="sí")+SG_REV*(N(AE70)&gt;0)+SG_DEV*MIN(1,N(AG70)/SG_DEV_FULL)+SG_HIST*(W70="sí")</f>
        <v/>
      </c>
      <c r="CK70" s="3">
        <f>IFERROR(VLOOKUP(L70,CARR_PEN_TBL,2,0),0)</f>
        <v/>
      </c>
      <c r="CL70" s="3">
        <f>W_FIAB*BW70+W_PRECIO*BX70+W_KMEDAD*CB70+W_ANUNCIO*CC70+W_USO*CH70+W_SEGURIDAD*CJ70+W_ETIQUETA*CD70-CK70</f>
        <v/>
      </c>
      <c r="CM70" s="4">
        <f>IF(N(I70)&gt;0,I70,IFERROR(ROUND(_xlfn.NUMBERVALUE(LEFT(G70,FIND(" ",G70&amp;" ")-1),".")*1000,0),99999))</f>
        <v/>
      </c>
      <c r="CN70" s="3">
        <f>IF(R70="profesional",0,IF(O70&lt;CUOTA_VALOR_MAX,IF(BA70&gt;ITP_TRAMO_ALTO,SUMIFS(CF_CUOTA,CF_MAS,ITP_TRAMO_ALTO,CF_CCMIN,"&lt;="&amp;CM70,CF_CCMAX,"&gt;="&amp;CM70),IF(BA70&gt;ITP_TRAMO_BAJO,SUMIFS(CF_CUOTA,CF_MAS,ITP_TRAMO_BAJO,CF_CCMIN,"&lt;="&amp;CM70,CF_CCMAX,"&gt;="&amp;CM70),O70*ITP_TIPO)),O70*ITP_TIPO))</f>
        <v/>
      </c>
      <c r="CO70" s="4">
        <f>IF(R70="profesional",N(AK70),0)</f>
        <v/>
      </c>
      <c r="CP70" s="3">
        <f>IF(AND(R70="profesional",ISNUMBER(AK70),AL70="sí"),0,TASA_DGT)</f>
        <v/>
      </c>
      <c r="CQ70" s="3">
        <f>INFORME_DGT</f>
        <v/>
      </c>
      <c r="CR70" s="4">
        <f>O70+CO70+CN70+CP70+CQ70</f>
        <v/>
      </c>
      <c r="CS70" s="4">
        <f>CR70+N(CF70)</f>
        <v/>
      </c>
      <c r="CT70" s="3">
        <f>IF(CR70&lt;=TOTAL_MAX,"sí",IF(CR70&lt;=TOTAL_MAX+MARGEN_NEG,"negociar","no"))</f>
        <v/>
      </c>
      <c r="CU70" s="4">
        <f>IF(CT70&lt;&gt;"no",COUNTIFS($CT$2:$CT$545,"&lt;&gt;no",$CL$2:$CL$545,"&gt;"&amp;CL70)+COUNTIFS($CT$2:CT70,"&lt;&gt;no",$CL$2:CL70,CL70),"")</f>
        <v/>
      </c>
    </row>
    <row r="71">
      <c r="A71" s="2" t="inlineStr">
        <is>
          <t>cochesnet:71602139</t>
        </is>
      </c>
      <c r="B71" s="2" t="inlineStr">
        <is>
          <t>cochesnet</t>
        </is>
      </c>
      <c r="C71" s="2" t="inlineStr">
        <is>
          <t>https://www.coches.net/seat-leon-19-tdi-105cv-reference-5p-diesel-2008-en-valencia-71602139-covo.aspx</t>
        </is>
      </c>
      <c r="D71" s="2" t="inlineStr">
        <is>
          <t>SEAT Leon 1.9 TDI Reference</t>
        </is>
      </c>
      <c r="E71" s="2" t="inlineStr">
        <is>
          <t>Seat</t>
        </is>
      </c>
      <c r="F71" s="2" t="inlineStr">
        <is>
          <t>Seat León</t>
        </is>
      </c>
      <c r="G71" s="2" t="inlineStr">
        <is>
          <t>1.9 TDI</t>
        </is>
      </c>
      <c r="H71" s="2" t="n"/>
      <c r="I71" s="2" t="n"/>
      <c r="J71" s="2" t="n"/>
      <c r="K71" s="2" t="inlineStr">
        <is>
          <t>diesel</t>
        </is>
      </c>
      <c r="L71" s="2" t="inlineStr">
        <is>
          <t>compacto</t>
        </is>
      </c>
      <c r="M71" s="2" t="n">
        <v>2008</v>
      </c>
      <c r="N71" s="2" t="n">
        <v>215000</v>
      </c>
      <c r="O71" s="2" t="n">
        <v>4500</v>
      </c>
      <c r="P71" s="2" t="n"/>
      <c r="Q71" s="2" t="n"/>
      <c r="R71" s="2" t="inlineStr">
        <is>
          <t>particular</t>
        </is>
      </c>
      <c r="S71" s="2" t="inlineStr">
        <is>
          <t>Valencia</t>
        </is>
      </c>
      <c r="T71" s="2" t="inlineStr">
        <is>
          <t>2026-09-26T10:30:35Z</t>
        </is>
      </c>
      <c r="U71" s="2" t="n">
        <v>9</v>
      </c>
      <c r="V71" s="2" t="n"/>
      <c r="W71" s="2" t="n"/>
      <c r="X71" s="2" t="n"/>
      <c r="Y71" s="2" t="n"/>
      <c r="Z71" s="2" t="inlineStr">
        <is>
          <t>no</t>
        </is>
      </c>
      <c r="AA71" s="2" t="n"/>
      <c r="AB71" s="2" t="n"/>
      <c r="AC71" s="2" t="n"/>
      <c r="AD71" s="2" t="n"/>
      <c r="AE71" s="2" t="n"/>
      <c r="AF71" s="2" t="n"/>
      <c r="AG71" s="2" t="n"/>
      <c r="AH71" s="2" t="n">
        <v>4500</v>
      </c>
      <c r="AI71" s="2" t="n"/>
      <c r="AJ71" s="2" t="n"/>
      <c r="AK71" s="2" t="n"/>
      <c r="AL71" s="2" t="n"/>
      <c r="AM71" s="2" t="n"/>
      <c r="AN71" s="2" t="n"/>
      <c r="AO71" s="2" t="inlineStr">
        <is>
          <t>2008</t>
        </is>
      </c>
      <c r="AP71" s="2" t="n">
        <v>2008</v>
      </c>
      <c r="AQ71" s="2" t="n"/>
      <c r="AR71" s="2" t="n"/>
      <c r="AS71" s="2" t="inlineStr">
        <is>
          <t>regla</t>
        </is>
      </c>
      <c r="AT71" s="2" t="n">
        <v>4500</v>
      </c>
      <c r="AU71" s="2" t="n">
        <v>10</v>
      </c>
      <c r="AV71" s="2" t="inlineStr">
        <is>
          <t>modelo+año+km</t>
        </is>
      </c>
      <c r="AW71" s="2" t="n"/>
      <c r="AX71" s="2" t="inlineStr">
        <is>
          <t>cuota fija ITP: &gt;12 años, 1.501-2.000 cc; diésel: motor sin fuente de fiabilidad (fiabilidad limitada a neutra); distancia no verificable (el anuncio solo indica la provincia): confirmar que está a &lt;= 70 km</t>
        </is>
      </c>
      <c r="AY71" s="2" t="inlineStr"/>
      <c r="AZ71" s="2" t="inlineStr">
        <is>
          <t>https://www.coches.net/seat/leon/segunda-mano/valencia/?pg=5 /home/user/Alopecia/buscador-coches/raw/cochesnet/39c20fa8323240b4.json</t>
        </is>
      </c>
      <c r="BA71" s="3">
        <f>MAX(ANIO_ACTUAL-M71,0)</f>
        <v/>
      </c>
      <c r="BB71" s="4">
        <f>N71/MAX(BA71,0.5)</f>
        <v/>
      </c>
      <c r="BC71" s="4">
        <f>F71</f>
        <v/>
      </c>
      <c r="BD71" s="3">
        <f>BC71&amp;"|"&amp;INT(M71/SEG_ANIO)*SEG_ANIO</f>
        <v/>
      </c>
      <c r="BE71" s="3">
        <f>BD71&amp;"|"&amp;INT(N71/SEG_KM)*SEG_KM</f>
        <v/>
      </c>
      <c r="BF71" s="4">
        <f>COUNTIF($BC$2:$BC$545,BC71)</f>
        <v/>
      </c>
      <c r="BG71" s="4">
        <f>COUNTIF($BD$2:$BD$545,BD71)</f>
        <v/>
      </c>
      <c r="BH71" s="4">
        <f>COUNTIF($BE$2:$BE$545,BE71)</f>
        <v/>
      </c>
      <c r="BI71" s="3">
        <f t="array" ref="BI71">IF(N(AU71)&gt;=MIN_N,AT71,IF(BH71&gt;=MIN_N,MEDIAN(IF($BE$2:$BE$545=BE71,$O$2:$O$545)),IF(BG71&gt;=MIN_N,MEDIAN(IF($BD$2:$BD$545=BD71,$O$2:$O$545)),MEDIAN(IF($BC$2:$BC$545=BC71,$O$2:$O$545)))))</f>
        <v/>
      </c>
      <c r="BJ71" s="3">
        <f>IF(N(AU71)&gt;=MIN_N,"mercado "&amp;AV71,IF(BH71&gt;=MIN_N,"modelo+año+km",IF(BG71&gt;=MIN_N,"modelo+año","modelo")))</f>
        <v/>
      </c>
      <c r="BK71" s="4">
        <f>(BI71-O71)/BI71</f>
        <v/>
      </c>
      <c r="BL71" s="3">
        <f>IF(COUNTIFS(FR_FUEL,K71,FR_YEAR,AP71)&gt;0,1,0)</f>
        <v/>
      </c>
      <c r="BM71" s="3">
        <f>IF(COUNTIFS(FR_FUEL,K71,FR_YEAR,AP71-1)&gt;0,1,0)</f>
        <v/>
      </c>
      <c r="BN71" s="4">
        <f>IF(N(AQ71)&gt;0,AP71*100+AQ71,IF(AND(BL71=1,BM71=1),(AP71-1)*100+1,AP71*100+1))</f>
        <v/>
      </c>
      <c r="BO71" s="3">
        <f>IF(OR(K71="hibrido",K71="glp",K71="gnc",K71="phev"),"ECO",IF(K71="electrico","CERO",IF(K71="gasolina",IF(BN71&gt;=GAS_C_YM,"C",IF(BN71&gt;=GAS_B_YM,"B","A")),IF(K71="diesel",IF(BN71&gt;=DIE_C_YM,"C",IF(BN71&gt;=DIE_B_YM,"B","A")),""))))</f>
        <v/>
      </c>
      <c r="BP71" s="4">
        <f>BO71</f>
        <v/>
      </c>
      <c r="BQ71" s="4">
        <f>IF(AS71="regla",IF(AND(N(AQ71)=0,BL71=1),"sí","no"),"no")</f>
        <v/>
      </c>
      <c r="BR71" s="3">
        <f>IFERROR(VLOOKUP(F71,MOD_TBL,11,0),IFERROR(VLOOKUP(E71,OCU_TBL,2,0),NEUTRO))</f>
        <v/>
      </c>
      <c r="BS71" s="3">
        <f>SUMIFS(MOT_AJUSTE,MOT_MOTOR,G71,MOT_MARCA,E71,MOT_DESDE,"&lt;="&amp;M71,MOT_HASTA,"&gt;="&amp;M71)+SUMIFS(MOT_AJUSTE,MOT_MOTOR,G71,MOT_MARCA,"(todas)",MOT_DESDE,"&lt;="&amp;M71,MOT_HASTA,"&gt;="&amp;M71)</f>
        <v/>
      </c>
      <c r="BT71" s="3">
        <f>SUMIFS(COMB_AJUSTE,COMB_COMB,K71)</f>
        <v/>
      </c>
      <c r="BU71" s="3">
        <f>COUNTIFS(MOT_MOTOR,G71,MOT_MARCA,E71,MOT_DESDE,"&lt;="&amp;M71,MOT_HASTA,"&gt;="&amp;M71)+COUNTIFS(MOT_MOTOR,G71,MOT_MARCA,"(todas)",MOT_DESDE,"&lt;="&amp;M71,MOT_HASTA,"&gt;="&amp;M71)</f>
        <v/>
      </c>
      <c r="BV71" s="3">
        <f>IF(AND(K71="diesel",BU71=0),MIN(BR71,NEUTRO),BR71)</f>
        <v/>
      </c>
      <c r="BW71" s="4">
        <f>MAX(0,MIN(100,BV71+BS71+BT71))</f>
        <v/>
      </c>
      <c r="BX71" s="3">
        <f>MAX(0,MIN(100,50+BK71*PRECIO_PEND))</f>
        <v/>
      </c>
      <c r="BY71" s="3">
        <f>MAX(0,100*(1-N71/KM_MAX))</f>
        <v/>
      </c>
      <c r="BZ71" s="3">
        <f>IF(BB71&lt;KMA_SOSP,IF(AA71="sí",100,KMA_PEN),IF(BB71&lt;=KMA_IDEAL_MAX,100,MAX(0,100*(KMA_CERO-BB71)/(KMA_CERO-KMA_IDEAL_MAX))))</f>
        <v/>
      </c>
      <c r="CA71" s="3">
        <f>MAX(0,MIN(100,100*(M71-ANIO_MIN)/(ANIO_ACTUAL-ANIO_MIN)))</f>
        <v/>
      </c>
      <c r="CB71" s="3">
        <f>W_KMT*BY71+W_KMA*BZ71+W_EDAD*CA71</f>
        <v/>
      </c>
      <c r="CC71" s="3">
        <f>P_ITV*(V71="sí")+P_LIBRO*(W71="sí")+P_CORREA*(X71="sí")+P_PROP*(Y71=1)+P_GAR*(Z71="sí")+P_FOTOS*MIN(1,N(U71)/FOTOS_OBJ)</f>
        <v/>
      </c>
      <c r="CD71" s="3">
        <f>MAX(0,MIN(100,IFERROR(VLOOKUP(BP71,ETQ_TBL,2,0),0)-IF(BQ71="sí",ETQ_PEN_DUD,IF(AS71="regla",ETQ_PEN_REGLA,0))))</f>
        <v/>
      </c>
      <c r="CE71" s="3">
        <f>NEUTRO</f>
        <v/>
      </c>
      <c r="CF71" s="3">
        <f>IFERROR(VLOOKUP(L71,SEGURO_TBL,3,0),"")</f>
        <v/>
      </c>
      <c r="CG71" s="3">
        <f>IF(CF71="",NEUTRO,MAX(0,MIN(100,100*(SEG_REF_MAX-CF71)/(SEG_REF_MAX-SEG_REF_MIN))))</f>
        <v/>
      </c>
      <c r="CH71" s="3">
        <f>W_CONS*CE71+W_SEG*CG71</f>
        <v/>
      </c>
      <c r="CI71" s="3">
        <f>IF(N(AB71)&gt;0,AB71,IF(AND(R71="profesional",SG_LEGAL_ON=1),GAR_LEGAL,0))</f>
        <v/>
      </c>
      <c r="CJ71" s="3">
        <f>SG_GAR*MIN(1,CI71/SG_GAR_FULL)+SG_AMPL*(AC71="sí")+SG_KMC*(AF71="sí")+SG_REV*(N(AE71)&gt;0)+SG_DEV*MIN(1,N(AG71)/SG_DEV_FULL)+SG_HIST*(W71="sí")</f>
        <v/>
      </c>
      <c r="CK71" s="3">
        <f>IFERROR(VLOOKUP(L71,CARR_PEN_TBL,2,0),0)</f>
        <v/>
      </c>
      <c r="CL71" s="3">
        <f>W_FIAB*BW71+W_PRECIO*BX71+W_KMEDAD*CB71+W_ANUNCIO*CC71+W_USO*CH71+W_SEGURIDAD*CJ71+W_ETIQUETA*CD71-CK71</f>
        <v/>
      </c>
      <c r="CM71" s="4">
        <f>IF(N(I71)&gt;0,I71,IFERROR(ROUND(_xlfn.NUMBERVALUE(LEFT(G71,FIND(" ",G71&amp;" ")-1),".")*1000,0),99999))</f>
        <v/>
      </c>
      <c r="CN71" s="3">
        <f>IF(R71="profesional",0,IF(O71&lt;CUOTA_VALOR_MAX,IF(BA71&gt;ITP_TRAMO_ALTO,SUMIFS(CF_CUOTA,CF_MAS,ITP_TRAMO_ALTO,CF_CCMIN,"&lt;="&amp;CM71,CF_CCMAX,"&gt;="&amp;CM71),IF(BA71&gt;ITP_TRAMO_BAJO,SUMIFS(CF_CUOTA,CF_MAS,ITP_TRAMO_BAJO,CF_CCMIN,"&lt;="&amp;CM71,CF_CCMAX,"&gt;="&amp;CM71),O71*ITP_TIPO)),O71*ITP_TIPO))</f>
        <v/>
      </c>
      <c r="CO71" s="4">
        <f>IF(R71="profesional",N(AK71),0)</f>
        <v/>
      </c>
      <c r="CP71" s="3">
        <f>IF(AND(R71="profesional",ISNUMBER(AK71),AL71="sí"),0,TASA_DGT)</f>
        <v/>
      </c>
      <c r="CQ71" s="3">
        <f>INFORME_DGT</f>
        <v/>
      </c>
      <c r="CR71" s="4">
        <f>O71+CO71+CN71+CP71+CQ71</f>
        <v/>
      </c>
      <c r="CS71" s="4">
        <f>CR71+N(CF71)</f>
        <v/>
      </c>
      <c r="CT71" s="3">
        <f>IF(CR71&lt;=TOTAL_MAX,"sí",IF(CR71&lt;=TOTAL_MAX+MARGEN_NEG,"negociar","no"))</f>
        <v/>
      </c>
      <c r="CU71" s="4">
        <f>IF(CT71&lt;&gt;"no",COUNTIFS($CT$2:$CT$545,"&lt;&gt;no",$CL$2:$CL$545,"&gt;"&amp;CL71)+COUNTIFS($CT$2:CT71,"&lt;&gt;no",$CL$2:CL71,CL71),"")</f>
        <v/>
      </c>
    </row>
    <row r="72">
      <c r="A72" s="2" t="inlineStr">
        <is>
          <t>cochesnet:71548964</t>
        </is>
      </c>
      <c r="B72" s="2" t="inlineStr">
        <is>
          <t>cochesnet</t>
        </is>
      </c>
      <c r="C72" s="2" t="inlineStr">
        <is>
          <t>https://www.coches.net/seat-leon-diesel-2012-en-valencia-71548964-covo.aspx</t>
        </is>
      </c>
      <c r="D72" s="2" t="inlineStr">
        <is>
          <t>SEAT Leon</t>
        </is>
      </c>
      <c r="E72" s="2" t="inlineStr">
        <is>
          <t>Seat</t>
        </is>
      </c>
      <c r="F72" s="2" t="inlineStr">
        <is>
          <t>Seat León</t>
        </is>
      </c>
      <c r="G72" s="2" t="n"/>
      <c r="H72" s="2" t="n"/>
      <c r="I72" s="2" t="n"/>
      <c r="J72" s="2" t="n"/>
      <c r="K72" s="2" t="inlineStr">
        <is>
          <t>diesel</t>
        </is>
      </c>
      <c r="L72" s="2" t="inlineStr">
        <is>
          <t>compacto</t>
        </is>
      </c>
      <c r="M72" s="2" t="n">
        <v>2012</v>
      </c>
      <c r="N72" s="2" t="n">
        <v>24000</v>
      </c>
      <c r="O72" s="2" t="n">
        <v>4300</v>
      </c>
      <c r="P72" s="2" t="inlineStr">
        <is>
          <t>manual</t>
        </is>
      </c>
      <c r="Q72" s="2" t="inlineStr">
        <is>
          <t>no</t>
        </is>
      </c>
      <c r="R72" s="2" t="inlineStr">
        <is>
          <t>particular</t>
        </is>
      </c>
      <c r="S72" s="2" t="n"/>
      <c r="T72" s="2" t="inlineStr">
        <is>
          <t>2026-09-18T17:28:44Z</t>
        </is>
      </c>
      <c r="U72" s="2" t="n">
        <v>9</v>
      </c>
      <c r="V72" s="2" t="n"/>
      <c r="W72" s="2" t="n"/>
      <c r="X72" s="2" t="n"/>
      <c r="Y72" s="2" t="n"/>
      <c r="Z72" s="2" t="inlineStr">
        <is>
          <t>no</t>
        </is>
      </c>
      <c r="AA72" s="2" t="n"/>
      <c r="AB72" s="2" t="n"/>
      <c r="AC72" s="2" t="n"/>
      <c r="AD72" s="2" t="n"/>
      <c r="AE72" s="2" t="n"/>
      <c r="AF72" s="2" t="n"/>
      <c r="AG72" s="2" t="n"/>
      <c r="AH72" s="2" t="n">
        <v>4300</v>
      </c>
      <c r="AI72" s="2" t="n"/>
      <c r="AJ72" s="2" t="n"/>
      <c r="AK72" s="2" t="n"/>
      <c r="AL72" s="2" t="n"/>
      <c r="AM72" s="2" t="n"/>
      <c r="AN72" s="2" t="n"/>
      <c r="AO72" s="2" t="inlineStr">
        <is>
          <t>2012</t>
        </is>
      </c>
      <c r="AP72" s="2" t="n">
        <v>2012</v>
      </c>
      <c r="AQ72" s="2" t="n"/>
      <c r="AR72" s="2" t="n"/>
      <c r="AS72" s="2" t="inlineStr">
        <is>
          <t>regla</t>
        </is>
      </c>
      <c r="AT72" s="2" t="n">
        <v>5500</v>
      </c>
      <c r="AU72" s="2" t="n">
        <v>28</v>
      </c>
      <c r="AV72" s="2" t="inlineStr">
        <is>
          <t>modelo+año</t>
        </is>
      </c>
      <c r="AW72" s="2" t="n"/>
      <c r="AX7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72" s="2" t="inlineStr">
        <is>
          <t xml:space="preserve">negociable el precio </t>
        </is>
      </c>
      <c r="AZ72" s="2" t="inlineStr">
        <is>
          <t>https://www.coches.net/seat-leon-diesel-2012-en-valencia-71548964-covo.aspx (window.__INITIAL_PROPS__.ad) /home/user/Alopecia/buscador-coches/raw/cochesnet/157e87db8019c556.json</t>
        </is>
      </c>
      <c r="BA72" s="3">
        <f>MAX(ANIO_ACTUAL-M72,0)</f>
        <v/>
      </c>
      <c r="BB72" s="4">
        <f>N72/MAX(BA72,0.5)</f>
        <v/>
      </c>
      <c r="BC72" s="4">
        <f>F72</f>
        <v/>
      </c>
      <c r="BD72" s="3">
        <f>BC72&amp;"|"&amp;INT(M72/SEG_ANIO)*SEG_ANIO</f>
        <v/>
      </c>
      <c r="BE72" s="3">
        <f>BD72&amp;"|"&amp;INT(N72/SEG_KM)*SEG_KM</f>
        <v/>
      </c>
      <c r="BF72" s="4">
        <f>COUNTIF($BC$2:$BC$545,BC72)</f>
        <v/>
      </c>
      <c r="BG72" s="4">
        <f>COUNTIF($BD$2:$BD$545,BD72)</f>
        <v/>
      </c>
      <c r="BH72" s="4">
        <f>COUNTIF($BE$2:$BE$545,BE72)</f>
        <v/>
      </c>
      <c r="BI72" s="3">
        <f t="array" ref="BI72">IF(N(AU72)&gt;=MIN_N,AT72,IF(BH72&gt;=MIN_N,MEDIAN(IF($BE$2:$BE$545=BE72,$O$2:$O$545)),IF(BG72&gt;=MIN_N,MEDIAN(IF($BD$2:$BD$545=BD72,$O$2:$O$545)),MEDIAN(IF($BC$2:$BC$545=BC72,$O$2:$O$545)))))</f>
        <v/>
      </c>
      <c r="BJ72" s="3">
        <f>IF(N(AU72)&gt;=MIN_N,"mercado "&amp;AV72,IF(BH72&gt;=MIN_N,"modelo+año+km",IF(BG72&gt;=MIN_N,"modelo+año","modelo")))</f>
        <v/>
      </c>
      <c r="BK72" s="4">
        <f>(BI72-O72)/BI72</f>
        <v/>
      </c>
      <c r="BL72" s="3">
        <f>IF(COUNTIFS(FR_FUEL,K72,FR_YEAR,AP72)&gt;0,1,0)</f>
        <v/>
      </c>
      <c r="BM72" s="3">
        <f>IF(COUNTIFS(FR_FUEL,K72,FR_YEAR,AP72-1)&gt;0,1,0)</f>
        <v/>
      </c>
      <c r="BN72" s="4">
        <f>IF(N(AQ72)&gt;0,AP72*100+AQ72,IF(AND(BL72=1,BM72=1),(AP72-1)*100+1,AP72*100+1))</f>
        <v/>
      </c>
      <c r="BO72" s="3">
        <f>IF(OR(K72="hibrido",K72="glp",K72="gnc",K72="phev"),"ECO",IF(K72="electrico","CERO",IF(K72="gasolina",IF(BN72&gt;=GAS_C_YM,"C",IF(BN72&gt;=GAS_B_YM,"B","A")),IF(K72="diesel",IF(BN72&gt;=DIE_C_YM,"C",IF(BN72&gt;=DIE_B_YM,"B","A")),""))))</f>
        <v/>
      </c>
      <c r="BP72" s="4">
        <f>BO72</f>
        <v/>
      </c>
      <c r="BQ72" s="4">
        <f>IF(AS72="regla",IF(AND(N(AQ72)=0,BL72=1),"sí","no"),"no")</f>
        <v/>
      </c>
      <c r="BR72" s="3">
        <f>IFERROR(VLOOKUP(F72,MOD_TBL,11,0),IFERROR(VLOOKUP(E72,OCU_TBL,2,0),NEUTRO))</f>
        <v/>
      </c>
      <c r="BS72" s="3">
        <f>SUMIFS(MOT_AJUSTE,MOT_MOTOR,G72,MOT_MARCA,E72,MOT_DESDE,"&lt;="&amp;M72,MOT_HASTA,"&gt;="&amp;M72)+SUMIFS(MOT_AJUSTE,MOT_MOTOR,G72,MOT_MARCA,"(todas)",MOT_DESDE,"&lt;="&amp;M72,MOT_HASTA,"&gt;="&amp;M72)</f>
        <v/>
      </c>
      <c r="BT72" s="3">
        <f>SUMIFS(COMB_AJUSTE,COMB_COMB,K72)</f>
        <v/>
      </c>
      <c r="BU72" s="3">
        <f>COUNTIFS(MOT_MOTOR,G72,MOT_MARCA,E72,MOT_DESDE,"&lt;="&amp;M72,MOT_HASTA,"&gt;="&amp;M72)+COUNTIFS(MOT_MOTOR,G72,MOT_MARCA,"(todas)",MOT_DESDE,"&lt;="&amp;M72,MOT_HASTA,"&gt;="&amp;M72)</f>
        <v/>
      </c>
      <c r="BV72" s="3">
        <f>IF(AND(K72="diesel",BU72=0),MIN(BR72,NEUTRO),BR72)</f>
        <v/>
      </c>
      <c r="BW72" s="4">
        <f>MAX(0,MIN(100,BV72+BS72+BT72))</f>
        <v/>
      </c>
      <c r="BX72" s="3">
        <f>MAX(0,MIN(100,50+BK72*PRECIO_PEND))</f>
        <v/>
      </c>
      <c r="BY72" s="3">
        <f>MAX(0,100*(1-N72/KM_MAX))</f>
        <v/>
      </c>
      <c r="BZ72" s="3">
        <f>IF(BB72&lt;KMA_SOSP,IF(AA72="sí",100,KMA_PEN),IF(BB72&lt;=KMA_IDEAL_MAX,100,MAX(0,100*(KMA_CERO-BB72)/(KMA_CERO-KMA_IDEAL_MAX))))</f>
        <v/>
      </c>
      <c r="CA72" s="3">
        <f>MAX(0,MIN(100,100*(M72-ANIO_MIN)/(ANIO_ACTUAL-ANIO_MIN)))</f>
        <v/>
      </c>
      <c r="CB72" s="3">
        <f>W_KMT*BY72+W_KMA*BZ72+W_EDAD*CA72</f>
        <v/>
      </c>
      <c r="CC72" s="3">
        <f>P_ITV*(V72="sí")+P_LIBRO*(W72="sí")+P_CORREA*(X72="sí")+P_PROP*(Y72=1)+P_GAR*(Z72="sí")+P_FOTOS*MIN(1,N(U72)/FOTOS_OBJ)</f>
        <v/>
      </c>
      <c r="CD72" s="3">
        <f>MAX(0,MIN(100,IFERROR(VLOOKUP(BP72,ETQ_TBL,2,0),0)-IF(BQ72="sí",ETQ_PEN_DUD,IF(AS72="regla",ETQ_PEN_REGLA,0))))</f>
        <v/>
      </c>
      <c r="CE72" s="3">
        <f>NEUTRO</f>
        <v/>
      </c>
      <c r="CF72" s="3">
        <f>IFERROR(VLOOKUP(L72,SEGURO_TBL,3,0),"")</f>
        <v/>
      </c>
      <c r="CG72" s="3">
        <f>IF(CF72="",NEUTRO,MAX(0,MIN(100,100*(SEG_REF_MAX-CF72)/(SEG_REF_MAX-SEG_REF_MIN))))</f>
        <v/>
      </c>
      <c r="CH72" s="3">
        <f>W_CONS*CE72+W_SEG*CG72</f>
        <v/>
      </c>
      <c r="CI72" s="3">
        <f>IF(N(AB72)&gt;0,AB72,IF(AND(R72="profesional",SG_LEGAL_ON=1),GAR_LEGAL,0))</f>
        <v/>
      </c>
      <c r="CJ72" s="3">
        <f>SG_GAR*MIN(1,CI72/SG_GAR_FULL)+SG_AMPL*(AC72="sí")+SG_KMC*(AF72="sí")+SG_REV*(N(AE72)&gt;0)+SG_DEV*MIN(1,N(AG72)/SG_DEV_FULL)+SG_HIST*(W72="sí")</f>
        <v/>
      </c>
      <c r="CK72" s="3">
        <f>IFERROR(VLOOKUP(L72,CARR_PEN_TBL,2,0),0)</f>
        <v/>
      </c>
      <c r="CL72" s="3">
        <f>W_FIAB*BW72+W_PRECIO*BX72+W_KMEDAD*CB72+W_ANUNCIO*CC72+W_USO*CH72+W_SEGURIDAD*CJ72+W_ETIQUETA*CD72-CK72</f>
        <v/>
      </c>
      <c r="CM72" s="4">
        <f>IF(N(I72)&gt;0,I72,IFERROR(ROUND(_xlfn.NUMBERVALUE(LEFT(G72,FIND(" ",G72&amp;" ")-1),".")*1000,0),99999))</f>
        <v/>
      </c>
      <c r="CN72" s="3">
        <f>IF(R72="profesional",0,IF(O72&lt;CUOTA_VALOR_MAX,IF(BA72&gt;ITP_TRAMO_ALTO,SUMIFS(CF_CUOTA,CF_MAS,ITP_TRAMO_ALTO,CF_CCMIN,"&lt;="&amp;CM72,CF_CCMAX,"&gt;="&amp;CM72),IF(BA72&gt;ITP_TRAMO_BAJO,SUMIFS(CF_CUOTA,CF_MAS,ITP_TRAMO_BAJO,CF_CCMIN,"&lt;="&amp;CM72,CF_CCMAX,"&gt;="&amp;CM72),O72*ITP_TIPO)),O72*ITP_TIPO))</f>
        <v/>
      </c>
      <c r="CO72" s="4">
        <f>IF(R72="profesional",N(AK72),0)</f>
        <v/>
      </c>
      <c r="CP72" s="3">
        <f>IF(AND(R72="profesional",ISNUMBER(AK72),AL72="sí"),0,TASA_DGT)</f>
        <v/>
      </c>
      <c r="CQ72" s="3">
        <f>INFORME_DGT</f>
        <v/>
      </c>
      <c r="CR72" s="4">
        <f>O72+CO72+CN72+CP72+CQ72</f>
        <v/>
      </c>
      <c r="CS72" s="4">
        <f>CR72+N(CF72)</f>
        <v/>
      </c>
      <c r="CT72" s="3">
        <f>IF(CR72&lt;=TOTAL_MAX,"sí",IF(CR72&lt;=TOTAL_MAX+MARGEN_NEG,"negociar","no"))</f>
        <v/>
      </c>
      <c r="CU72" s="4">
        <f>IF(CT72&lt;&gt;"no",COUNTIFS($CT$2:$CT$545,"&lt;&gt;no",$CL$2:$CL$545,"&gt;"&amp;CL72)+COUNTIFS($CT$2:CT72,"&lt;&gt;no",$CL$2:CL72,CL72),"")</f>
        <v/>
      </c>
    </row>
    <row r="73">
      <c r="A73" s="2" t="inlineStr">
        <is>
          <t>cochesnet:71516293</t>
        </is>
      </c>
      <c r="B73" s="2" t="inlineStr">
        <is>
          <t>cochesnet</t>
        </is>
      </c>
      <c r="C73" s="2" t="inlineStr">
        <is>
          <t>https://www.coches.net/seat-leon-12-tsi-reference-5p-gasolina-2010-en-valencia-71516293-covo.aspx</t>
        </is>
      </c>
      <c r="D73" s="2" t="inlineStr">
        <is>
          <t>SEAT Leon 1.2 TSI Reference</t>
        </is>
      </c>
      <c r="E73" s="2" t="inlineStr">
        <is>
          <t>Seat</t>
        </is>
      </c>
      <c r="F73" s="2" t="inlineStr">
        <is>
          <t>Seat León</t>
        </is>
      </c>
      <c r="G73" s="2" t="inlineStr">
        <is>
          <t>1.2 TSI</t>
        </is>
      </c>
      <c r="H73" s="2" t="inlineStr">
        <is>
          <t>1.2 TSI Reference</t>
        </is>
      </c>
      <c r="I73" s="2" t="n"/>
      <c r="J73" s="2" t="n"/>
      <c r="K73" s="2" t="inlineStr">
        <is>
          <t>gasolina</t>
        </is>
      </c>
      <c r="L73" s="2" t="inlineStr">
        <is>
          <t>compacto</t>
        </is>
      </c>
      <c r="M73" s="2" t="n">
        <v>2010</v>
      </c>
      <c r="N73" s="2" t="n">
        <v>212000</v>
      </c>
      <c r="O73" s="2" t="n">
        <v>4390</v>
      </c>
      <c r="P73" s="2" t="inlineStr">
        <is>
          <t>manual</t>
        </is>
      </c>
      <c r="Q73" s="2" t="inlineStr">
        <is>
          <t>no</t>
        </is>
      </c>
      <c r="R73" s="2" t="inlineStr">
        <is>
          <t>particular</t>
        </is>
      </c>
      <c r="S73" s="2" t="inlineStr">
        <is>
          <t>Godelleta</t>
        </is>
      </c>
      <c r="T73" s="2" t="inlineStr">
        <is>
          <t>2026-09-15T11:24:11Z</t>
        </is>
      </c>
      <c r="U73" s="2" t="n">
        <v>11</v>
      </c>
      <c r="V73" s="2" t="inlineStr">
        <is>
          <t>sí</t>
        </is>
      </c>
      <c r="W73" s="2" t="n"/>
      <c r="X73" s="2" t="n"/>
      <c r="Y73" s="2" t="n"/>
      <c r="Z73" s="2" t="inlineStr">
        <is>
          <t>no</t>
        </is>
      </c>
      <c r="AA73" s="2" t="n"/>
      <c r="AB73" s="2" t="n"/>
      <c r="AC73" s="2" t="n"/>
      <c r="AD73" s="2" t="n"/>
      <c r="AE73" s="2" t="n"/>
      <c r="AF73" s="2" t="n"/>
      <c r="AG73" s="2" t="n"/>
      <c r="AH73" s="2" t="n">
        <v>4390</v>
      </c>
      <c r="AI73" s="2" t="n"/>
      <c r="AJ73" s="2" t="n"/>
      <c r="AK73" s="2" t="n"/>
      <c r="AL73" s="2" t="n"/>
      <c r="AM73" s="2" t="n">
        <v>27.2</v>
      </c>
      <c r="AN73" s="2" t="n"/>
      <c r="AO73" s="2" t="inlineStr">
        <is>
          <t>11/2010</t>
        </is>
      </c>
      <c r="AP73" s="2" t="n">
        <v>2010</v>
      </c>
      <c r="AQ73" s="2" t="n">
        <v>11</v>
      </c>
      <c r="AR73" s="2" t="n"/>
      <c r="AS73" s="2" t="inlineStr">
        <is>
          <t>regla</t>
        </is>
      </c>
      <c r="AT73" s="2" t="n">
        <v>5900</v>
      </c>
      <c r="AU73" s="2" t="n">
        <v>7</v>
      </c>
      <c r="AV73" s="2" t="inlineStr">
        <is>
          <t>modelo+año+km</t>
        </is>
      </c>
      <c r="AW73" s="2" t="n"/>
      <c r="AX73" s="2" t="inlineStr">
        <is>
          <t>cuota fija ITP: &gt;12 años, hasta 1.500 cc</t>
        </is>
      </c>
      <c r="AY73" s="2" t="inlineStr">
        <is>
          <t xml:space="preserve">- 105cv
- ITV hasta febrero 2027
- Escape final homologado
- Vehículo muy bien cuidado
- Mantenimientos hechos cada 10.000km
- Cambio pastillas de freno delanteras hace 7000km
- Cambio de la transmisión de ambos lados hace 15.000km
- Cambio hace de 18.000km de bujías y bobinas
- Cambio del bombín y clausor de arranque hace 1000km
- Cambio hace menos de 100km de cables de las bujías
- El coche nunca sale en frio
</t>
        </is>
      </c>
      <c r="AZ73" s="2" t="inlineStr">
        <is>
          <t>https://www.coches.net/seat-leon-12-tsi-reference-5p-gasolina-2010-en-valencia-71516293-covo.aspx (window.__INITIAL_PROPS__.ad) /home/user/Alopecia/buscador-coches/raw/cochesnet/b8483d7b372df98b.json</t>
        </is>
      </c>
      <c r="BA73" s="3">
        <f>MAX(ANIO_ACTUAL-M73,0)</f>
        <v/>
      </c>
      <c r="BB73" s="4">
        <f>N73/MAX(BA73,0.5)</f>
        <v/>
      </c>
      <c r="BC73" s="4">
        <f>F73</f>
        <v/>
      </c>
      <c r="BD73" s="3">
        <f>BC73&amp;"|"&amp;INT(M73/SEG_ANIO)*SEG_ANIO</f>
        <v/>
      </c>
      <c r="BE73" s="3">
        <f>BD73&amp;"|"&amp;INT(N73/SEG_KM)*SEG_KM</f>
        <v/>
      </c>
      <c r="BF73" s="4">
        <f>COUNTIF($BC$2:$BC$545,BC73)</f>
        <v/>
      </c>
      <c r="BG73" s="4">
        <f>COUNTIF($BD$2:$BD$545,BD73)</f>
        <v/>
      </c>
      <c r="BH73" s="4">
        <f>COUNTIF($BE$2:$BE$545,BE73)</f>
        <v/>
      </c>
      <c r="BI73" s="3">
        <f t="array" ref="BI73">IF(N(AU73)&gt;=MIN_N,AT73,IF(BH73&gt;=MIN_N,MEDIAN(IF($BE$2:$BE$545=BE73,$O$2:$O$545)),IF(BG73&gt;=MIN_N,MEDIAN(IF($BD$2:$BD$545=BD73,$O$2:$O$545)),MEDIAN(IF($BC$2:$BC$545=BC73,$O$2:$O$545)))))</f>
        <v/>
      </c>
      <c r="BJ73" s="3">
        <f>IF(N(AU73)&gt;=MIN_N,"mercado "&amp;AV73,IF(BH73&gt;=MIN_N,"modelo+año+km",IF(BG73&gt;=MIN_N,"modelo+año","modelo")))</f>
        <v/>
      </c>
      <c r="BK73" s="4">
        <f>(BI73-O73)/BI73</f>
        <v/>
      </c>
      <c r="BL73" s="3">
        <f>IF(COUNTIFS(FR_FUEL,K73,FR_YEAR,AP73)&gt;0,1,0)</f>
        <v/>
      </c>
      <c r="BM73" s="3">
        <f>IF(COUNTIFS(FR_FUEL,K73,FR_YEAR,AP73-1)&gt;0,1,0)</f>
        <v/>
      </c>
      <c r="BN73" s="4">
        <f>IF(N(AQ73)&gt;0,AP73*100+AQ73,IF(AND(BL73=1,BM73=1),(AP73-1)*100+1,AP73*100+1))</f>
        <v/>
      </c>
      <c r="BO73" s="3">
        <f>IF(OR(K73="hibrido",K73="glp",K73="gnc",K73="phev"),"ECO",IF(K73="electrico","CERO",IF(K73="gasolina",IF(BN73&gt;=GAS_C_YM,"C",IF(BN73&gt;=GAS_B_YM,"B","A")),IF(K73="diesel",IF(BN73&gt;=DIE_C_YM,"C",IF(BN73&gt;=DIE_B_YM,"B","A")),""))))</f>
        <v/>
      </c>
      <c r="BP73" s="4">
        <f>BO73</f>
        <v/>
      </c>
      <c r="BQ73" s="4">
        <f>IF(AS73="regla",IF(AND(N(AQ73)=0,BL73=1),"sí","no"),"no")</f>
        <v/>
      </c>
      <c r="BR73" s="3">
        <f>IFERROR(VLOOKUP(F73,MOD_TBL,11,0),IFERROR(VLOOKUP(E73,OCU_TBL,2,0),NEUTRO))</f>
        <v/>
      </c>
      <c r="BS73" s="3">
        <f>SUMIFS(MOT_AJUSTE,MOT_MOTOR,G73,MOT_MARCA,E73,MOT_DESDE,"&lt;="&amp;M73,MOT_HASTA,"&gt;="&amp;M73)+SUMIFS(MOT_AJUSTE,MOT_MOTOR,G73,MOT_MARCA,"(todas)",MOT_DESDE,"&lt;="&amp;M73,MOT_HASTA,"&gt;="&amp;M73)</f>
        <v/>
      </c>
      <c r="BT73" s="3">
        <f>SUMIFS(COMB_AJUSTE,COMB_COMB,K73)</f>
        <v/>
      </c>
      <c r="BU73" s="3">
        <f>COUNTIFS(MOT_MOTOR,G73,MOT_MARCA,E73,MOT_DESDE,"&lt;="&amp;M73,MOT_HASTA,"&gt;="&amp;M73)+COUNTIFS(MOT_MOTOR,G73,MOT_MARCA,"(todas)",MOT_DESDE,"&lt;="&amp;M73,MOT_HASTA,"&gt;="&amp;M73)</f>
        <v/>
      </c>
      <c r="BV73" s="3">
        <f>IF(AND(K73="diesel",BU73=0),MIN(BR73,NEUTRO),BR73)</f>
        <v/>
      </c>
      <c r="BW73" s="4">
        <f>MAX(0,MIN(100,BV73+BS73+BT73))</f>
        <v/>
      </c>
      <c r="BX73" s="3">
        <f>MAX(0,MIN(100,50+BK73*PRECIO_PEND))</f>
        <v/>
      </c>
      <c r="BY73" s="3">
        <f>MAX(0,100*(1-N73/KM_MAX))</f>
        <v/>
      </c>
      <c r="BZ73" s="3">
        <f>IF(BB73&lt;KMA_SOSP,IF(AA73="sí",100,KMA_PEN),IF(BB73&lt;=KMA_IDEAL_MAX,100,MAX(0,100*(KMA_CERO-BB73)/(KMA_CERO-KMA_IDEAL_MAX))))</f>
        <v/>
      </c>
      <c r="CA73" s="3">
        <f>MAX(0,MIN(100,100*(M73-ANIO_MIN)/(ANIO_ACTUAL-ANIO_MIN)))</f>
        <v/>
      </c>
      <c r="CB73" s="3">
        <f>W_KMT*BY73+W_KMA*BZ73+W_EDAD*CA73</f>
        <v/>
      </c>
      <c r="CC73" s="3">
        <f>P_ITV*(V73="sí")+P_LIBRO*(W73="sí")+P_CORREA*(X73="sí")+P_PROP*(Y73=1)+P_GAR*(Z73="sí")+P_FOTOS*MIN(1,N(U73)/FOTOS_OBJ)</f>
        <v/>
      </c>
      <c r="CD73" s="3">
        <f>MAX(0,MIN(100,IFERROR(VLOOKUP(BP73,ETQ_TBL,2,0),0)-IF(BQ73="sí",ETQ_PEN_DUD,IF(AS73="regla",ETQ_PEN_REGLA,0))))</f>
        <v/>
      </c>
      <c r="CE73" s="3">
        <f>NEUTRO</f>
        <v/>
      </c>
      <c r="CF73" s="3">
        <f>IFERROR(VLOOKUP(L73,SEGURO_TBL,3,0),"")</f>
        <v/>
      </c>
      <c r="CG73" s="3">
        <f>IF(CF73="",NEUTRO,MAX(0,MIN(100,100*(SEG_REF_MAX-CF73)/(SEG_REF_MAX-SEG_REF_MIN))))</f>
        <v/>
      </c>
      <c r="CH73" s="3">
        <f>W_CONS*CE73+W_SEG*CG73</f>
        <v/>
      </c>
      <c r="CI73" s="3">
        <f>IF(N(AB73)&gt;0,AB73,IF(AND(R73="profesional",SG_LEGAL_ON=1),GAR_LEGAL,0))</f>
        <v/>
      </c>
      <c r="CJ73" s="3">
        <f>SG_GAR*MIN(1,CI73/SG_GAR_FULL)+SG_AMPL*(AC73="sí")+SG_KMC*(AF73="sí")+SG_REV*(N(AE73)&gt;0)+SG_DEV*MIN(1,N(AG73)/SG_DEV_FULL)+SG_HIST*(W73="sí")</f>
        <v/>
      </c>
      <c r="CK73" s="3">
        <f>IFERROR(VLOOKUP(L73,CARR_PEN_TBL,2,0),0)</f>
        <v/>
      </c>
      <c r="CL73" s="3">
        <f>W_FIAB*BW73+W_PRECIO*BX73+W_KMEDAD*CB73+W_ANUNCIO*CC73+W_USO*CH73+W_SEGURIDAD*CJ73+W_ETIQUETA*CD73-CK73</f>
        <v/>
      </c>
      <c r="CM73" s="4">
        <f>IF(N(I73)&gt;0,I73,IFERROR(ROUND(_xlfn.NUMBERVALUE(LEFT(G73,FIND(" ",G73&amp;" ")-1),".")*1000,0),99999))</f>
        <v/>
      </c>
      <c r="CN73" s="3">
        <f>IF(R73="profesional",0,IF(O73&lt;CUOTA_VALOR_MAX,IF(BA73&gt;ITP_TRAMO_ALTO,SUMIFS(CF_CUOTA,CF_MAS,ITP_TRAMO_ALTO,CF_CCMIN,"&lt;="&amp;CM73,CF_CCMAX,"&gt;="&amp;CM73),IF(BA73&gt;ITP_TRAMO_BAJO,SUMIFS(CF_CUOTA,CF_MAS,ITP_TRAMO_BAJO,CF_CCMIN,"&lt;="&amp;CM73,CF_CCMAX,"&gt;="&amp;CM73),O73*ITP_TIPO)),O73*ITP_TIPO))</f>
        <v/>
      </c>
      <c r="CO73" s="4">
        <f>IF(R73="profesional",N(AK73),0)</f>
        <v/>
      </c>
      <c r="CP73" s="3">
        <f>IF(AND(R73="profesional",ISNUMBER(AK73),AL73="sí"),0,TASA_DGT)</f>
        <v/>
      </c>
      <c r="CQ73" s="3">
        <f>INFORME_DGT</f>
        <v/>
      </c>
      <c r="CR73" s="4">
        <f>O73+CO73+CN73+CP73+CQ73</f>
        <v/>
      </c>
      <c r="CS73" s="4">
        <f>CR73+N(CF73)</f>
        <v/>
      </c>
      <c r="CT73" s="3">
        <f>IF(CR73&lt;=TOTAL_MAX,"sí",IF(CR73&lt;=TOTAL_MAX+MARGEN_NEG,"negociar","no"))</f>
        <v/>
      </c>
      <c r="CU73" s="4">
        <f>IF(CT73&lt;&gt;"no",COUNTIFS($CT$2:$CT$545,"&lt;&gt;no",$CL$2:$CL$545,"&gt;"&amp;CL73)+COUNTIFS($CT$2:CT73,"&lt;&gt;no",$CL$2:CL73,CL73),"")</f>
        <v/>
      </c>
    </row>
    <row r="74">
      <c r="A74" s="2" t="inlineStr">
        <is>
          <t>cochesnet:71874130</t>
        </is>
      </c>
      <c r="B74" s="2" t="inlineStr">
        <is>
          <t>cochesnet</t>
        </is>
      </c>
      <c r="C74" s="2" t="inlineStr">
        <is>
          <t>https://www.coches.net/volkswagen-polo-12-70cv-advance-5p-gasolina-2010-en-valencia-71874130-covo.aspx</t>
        </is>
      </c>
      <c r="D74" s="2" t="inlineStr">
        <is>
          <t>VOLKSWAGEN Polo 1.2 Advance</t>
        </is>
      </c>
      <c r="E74" s="2" t="inlineStr">
        <is>
          <t>Volkswagen</t>
        </is>
      </c>
      <c r="F74" s="2" t="inlineStr">
        <is>
          <t>Volkswagen Polo</t>
        </is>
      </c>
      <c r="G74" s="2" t="inlineStr">
        <is>
          <t>1.2</t>
        </is>
      </c>
      <c r="H74" s="2" t="inlineStr">
        <is>
          <t>1.2 70cv Advance</t>
        </is>
      </c>
      <c r="I74" s="2" t="n"/>
      <c r="J74" s="2" t="n">
        <v>70</v>
      </c>
      <c r="K74" s="2" t="inlineStr">
        <is>
          <t>gasolina</t>
        </is>
      </c>
      <c r="L74" s="2" t="inlineStr">
        <is>
          <t>utilitario</t>
        </is>
      </c>
      <c r="M74" s="2" t="n">
        <v>2010</v>
      </c>
      <c r="N74" s="2" t="n">
        <v>210000</v>
      </c>
      <c r="O74" s="2" t="n">
        <v>4200</v>
      </c>
      <c r="P74" s="2" t="inlineStr">
        <is>
          <t>manual</t>
        </is>
      </c>
      <c r="Q74" s="2" t="inlineStr">
        <is>
          <t>no</t>
        </is>
      </c>
      <c r="R74" s="2" t="inlineStr">
        <is>
          <t>particular</t>
        </is>
      </c>
      <c r="S74" s="2" t="inlineStr">
        <is>
          <t>Torrent</t>
        </is>
      </c>
      <c r="T74" s="2" t="inlineStr">
        <is>
          <t>2026-10-30T15:29:38Z</t>
        </is>
      </c>
      <c r="U74" s="2" t="n">
        <v>7</v>
      </c>
      <c r="V74" s="2" t="inlineStr">
        <is>
          <t>sí</t>
        </is>
      </c>
      <c r="W74" s="2" t="inlineStr">
        <is>
          <t>sí</t>
        </is>
      </c>
      <c r="X74" s="2" t="n"/>
      <c r="Y74" s="2" t="n"/>
      <c r="Z74" s="2" t="inlineStr">
        <is>
          <t>no</t>
        </is>
      </c>
      <c r="AA74" s="2" t="n"/>
      <c r="AB74" s="2" t="n"/>
      <c r="AC74" s="2" t="n"/>
      <c r="AD74" s="2" t="n"/>
      <c r="AE74" s="2" t="n"/>
      <c r="AF74" s="2" t="n"/>
      <c r="AG74" s="2" t="n"/>
      <c r="AH74" s="2" t="n">
        <v>4200</v>
      </c>
      <c r="AI74" s="2" t="n"/>
      <c r="AJ74" s="2" t="n"/>
      <c r="AK74" s="2" t="n"/>
      <c r="AL74" s="2" t="n"/>
      <c r="AM74" s="2" t="n">
        <v>8.800000000000001</v>
      </c>
      <c r="AN74" s="2" t="n"/>
      <c r="AO74" s="2" t="inlineStr">
        <is>
          <t>2010</t>
        </is>
      </c>
      <c r="AP74" s="2" t="n">
        <v>2010</v>
      </c>
      <c r="AQ74" s="2" t="n"/>
      <c r="AR74" s="2" t="n"/>
      <c r="AS74" s="2" t="inlineStr">
        <is>
          <t>regla</t>
        </is>
      </c>
      <c r="AT74" s="2" t="n">
        <v>4900</v>
      </c>
      <c r="AU74" s="2" t="n">
        <v>8</v>
      </c>
      <c r="AV74" s="2" t="inlineStr">
        <is>
          <t>modelo+año+km</t>
        </is>
      </c>
      <c r="AW74" s="2" t="n"/>
      <c r="AX74" s="2" t="inlineStr">
        <is>
          <t>cuota fija ITP: &gt;12 años, hasta 1.500 cc</t>
        </is>
      </c>
      <c r="AY74" s="2" t="inlineStr">
        <is>
          <t>Volkswagen Polo 1.2 Gasolina 70 CV | Económico y Fiable | ITV 2027
?¿Buscas un utilitario urbano práctico, fácil de aparcar, de bajo consumo y con la fiabilidad de Volkswagen? Este Polo 1.2 Gasolina con cambio manual es perfecto tanto para el día a día en ciudad como para conductores noveles o segundo coche familiar.
?? Puntos clave del vehículo:
• Motor 1.2 Gasolina (70 CV): mecánico, ágil, de mantenimiento económico y muy bajo consumo.
• 1ª Matriculación: 02/2011
• Kilometraje: 211.407 km
• ITV en vigor: Pasada hasta 01/2027.
• Mantenimiento al día recién realizado, listo para llevarte a donde quieras sin invertir más.
• Entrega inmediata.</t>
        </is>
      </c>
      <c r="AZ74" s="2" t="inlineStr">
        <is>
          <t>https://www.coches.net/volkswagen-polo-12-70cv-advance-5p-gasolina-2010-en-valencia-71874130-covo.aspx (window.__INITIAL_PROPS__.ad) /home/user/Alopecia/buscador-coches/raw/cochesnet/6a7fc55baa18c560.json</t>
        </is>
      </c>
      <c r="BA74" s="3">
        <f>MAX(ANIO_ACTUAL-M74,0)</f>
        <v/>
      </c>
      <c r="BB74" s="4">
        <f>N74/MAX(BA74,0.5)</f>
        <v/>
      </c>
      <c r="BC74" s="4">
        <f>F74</f>
        <v/>
      </c>
      <c r="BD74" s="3">
        <f>BC74&amp;"|"&amp;INT(M74/SEG_ANIO)*SEG_ANIO</f>
        <v/>
      </c>
      <c r="BE74" s="3">
        <f>BD74&amp;"|"&amp;INT(N74/SEG_KM)*SEG_KM</f>
        <v/>
      </c>
      <c r="BF74" s="4">
        <f>COUNTIF($BC$2:$BC$545,BC74)</f>
        <v/>
      </c>
      <c r="BG74" s="4">
        <f>COUNTIF($BD$2:$BD$545,BD74)</f>
        <v/>
      </c>
      <c r="BH74" s="4">
        <f>COUNTIF($BE$2:$BE$545,BE74)</f>
        <v/>
      </c>
      <c r="BI74" s="3">
        <f t="array" ref="BI74">IF(N(AU74)&gt;=MIN_N,AT74,IF(BH74&gt;=MIN_N,MEDIAN(IF($BE$2:$BE$545=BE74,$O$2:$O$545)),IF(BG74&gt;=MIN_N,MEDIAN(IF($BD$2:$BD$545=BD74,$O$2:$O$545)),MEDIAN(IF($BC$2:$BC$545=BC74,$O$2:$O$545)))))</f>
        <v/>
      </c>
      <c r="BJ74" s="3">
        <f>IF(N(AU74)&gt;=MIN_N,"mercado "&amp;AV74,IF(BH74&gt;=MIN_N,"modelo+año+km",IF(BG74&gt;=MIN_N,"modelo+año","modelo")))</f>
        <v/>
      </c>
      <c r="BK74" s="4">
        <f>(BI74-O74)/BI74</f>
        <v/>
      </c>
      <c r="BL74" s="3">
        <f>IF(COUNTIFS(FR_FUEL,K74,FR_YEAR,AP74)&gt;0,1,0)</f>
        <v/>
      </c>
      <c r="BM74" s="3">
        <f>IF(COUNTIFS(FR_FUEL,K74,FR_YEAR,AP74-1)&gt;0,1,0)</f>
        <v/>
      </c>
      <c r="BN74" s="4">
        <f>IF(N(AQ74)&gt;0,AP74*100+AQ74,IF(AND(BL74=1,BM74=1),(AP74-1)*100+1,AP74*100+1))</f>
        <v/>
      </c>
      <c r="BO74" s="3">
        <f>IF(OR(K74="hibrido",K74="glp",K74="gnc",K74="phev"),"ECO",IF(K74="electrico","CERO",IF(K74="gasolina",IF(BN74&gt;=GAS_C_YM,"C",IF(BN74&gt;=GAS_B_YM,"B","A")),IF(K74="diesel",IF(BN74&gt;=DIE_C_YM,"C",IF(BN74&gt;=DIE_B_YM,"B","A")),""))))</f>
        <v/>
      </c>
      <c r="BP74" s="4">
        <f>BO74</f>
        <v/>
      </c>
      <c r="BQ74" s="4">
        <f>IF(AS74="regla",IF(AND(N(AQ74)=0,BL74=1),"sí","no"),"no")</f>
        <v/>
      </c>
      <c r="BR74" s="3">
        <f>IFERROR(VLOOKUP(F74,MOD_TBL,11,0),IFERROR(VLOOKUP(E74,OCU_TBL,2,0),NEUTRO))</f>
        <v/>
      </c>
      <c r="BS74" s="3">
        <f>SUMIFS(MOT_AJUSTE,MOT_MOTOR,G74,MOT_MARCA,E74,MOT_DESDE,"&lt;="&amp;M74,MOT_HASTA,"&gt;="&amp;M74)+SUMIFS(MOT_AJUSTE,MOT_MOTOR,G74,MOT_MARCA,"(todas)",MOT_DESDE,"&lt;="&amp;M74,MOT_HASTA,"&gt;="&amp;M74)</f>
        <v/>
      </c>
      <c r="BT74" s="3">
        <f>SUMIFS(COMB_AJUSTE,COMB_COMB,K74)</f>
        <v/>
      </c>
      <c r="BU74" s="3">
        <f>COUNTIFS(MOT_MOTOR,G74,MOT_MARCA,E74,MOT_DESDE,"&lt;="&amp;M74,MOT_HASTA,"&gt;="&amp;M74)+COUNTIFS(MOT_MOTOR,G74,MOT_MARCA,"(todas)",MOT_DESDE,"&lt;="&amp;M74,MOT_HASTA,"&gt;="&amp;M74)</f>
        <v/>
      </c>
      <c r="BV74" s="3">
        <f>IF(AND(K74="diesel",BU74=0),MIN(BR74,NEUTRO),BR74)</f>
        <v/>
      </c>
      <c r="BW74" s="4">
        <f>MAX(0,MIN(100,BV74+BS74+BT74))</f>
        <v/>
      </c>
      <c r="BX74" s="3">
        <f>MAX(0,MIN(100,50+BK74*PRECIO_PEND))</f>
        <v/>
      </c>
      <c r="BY74" s="3">
        <f>MAX(0,100*(1-N74/KM_MAX))</f>
        <v/>
      </c>
      <c r="BZ74" s="3">
        <f>IF(BB74&lt;KMA_SOSP,IF(AA74="sí",100,KMA_PEN),IF(BB74&lt;=KMA_IDEAL_MAX,100,MAX(0,100*(KMA_CERO-BB74)/(KMA_CERO-KMA_IDEAL_MAX))))</f>
        <v/>
      </c>
      <c r="CA74" s="3">
        <f>MAX(0,MIN(100,100*(M74-ANIO_MIN)/(ANIO_ACTUAL-ANIO_MIN)))</f>
        <v/>
      </c>
      <c r="CB74" s="3">
        <f>W_KMT*BY74+W_KMA*BZ74+W_EDAD*CA74</f>
        <v/>
      </c>
      <c r="CC74" s="3">
        <f>P_ITV*(V74="sí")+P_LIBRO*(W74="sí")+P_CORREA*(X74="sí")+P_PROP*(Y74=1)+P_GAR*(Z74="sí")+P_FOTOS*MIN(1,N(U74)/FOTOS_OBJ)</f>
        <v/>
      </c>
      <c r="CD74" s="3">
        <f>MAX(0,MIN(100,IFERROR(VLOOKUP(BP74,ETQ_TBL,2,0),0)-IF(BQ74="sí",ETQ_PEN_DUD,IF(AS74="regla",ETQ_PEN_REGLA,0))))</f>
        <v/>
      </c>
      <c r="CE74" s="3">
        <f>NEUTRO</f>
        <v/>
      </c>
      <c r="CF74" s="3">
        <f>IFERROR(VLOOKUP(L74,SEGURO_TBL,3,0),"")</f>
        <v/>
      </c>
      <c r="CG74" s="3">
        <f>IF(CF74="",NEUTRO,MAX(0,MIN(100,100*(SEG_REF_MAX-CF74)/(SEG_REF_MAX-SEG_REF_MIN))))</f>
        <v/>
      </c>
      <c r="CH74" s="3">
        <f>W_CONS*CE74+W_SEG*CG74</f>
        <v/>
      </c>
      <c r="CI74" s="3">
        <f>IF(N(AB74)&gt;0,AB74,IF(AND(R74="profesional",SG_LEGAL_ON=1),GAR_LEGAL,0))</f>
        <v/>
      </c>
      <c r="CJ74" s="3">
        <f>SG_GAR*MIN(1,CI74/SG_GAR_FULL)+SG_AMPL*(AC74="sí")+SG_KMC*(AF74="sí")+SG_REV*(N(AE74)&gt;0)+SG_DEV*MIN(1,N(AG74)/SG_DEV_FULL)+SG_HIST*(W74="sí")</f>
        <v/>
      </c>
      <c r="CK74" s="3">
        <f>IFERROR(VLOOKUP(L74,CARR_PEN_TBL,2,0),0)</f>
        <v/>
      </c>
      <c r="CL74" s="3">
        <f>W_FIAB*BW74+W_PRECIO*BX74+W_KMEDAD*CB74+W_ANUNCIO*CC74+W_USO*CH74+W_SEGURIDAD*CJ74+W_ETIQUETA*CD74-CK74</f>
        <v/>
      </c>
      <c r="CM74" s="4">
        <f>IF(N(I74)&gt;0,I74,IFERROR(ROUND(_xlfn.NUMBERVALUE(LEFT(G74,FIND(" ",G74&amp;" ")-1),".")*1000,0),99999))</f>
        <v/>
      </c>
      <c r="CN74" s="3">
        <f>IF(R74="profesional",0,IF(O74&lt;CUOTA_VALOR_MAX,IF(BA74&gt;ITP_TRAMO_ALTO,SUMIFS(CF_CUOTA,CF_MAS,ITP_TRAMO_ALTO,CF_CCMIN,"&lt;="&amp;CM74,CF_CCMAX,"&gt;="&amp;CM74),IF(BA74&gt;ITP_TRAMO_BAJO,SUMIFS(CF_CUOTA,CF_MAS,ITP_TRAMO_BAJO,CF_CCMIN,"&lt;="&amp;CM74,CF_CCMAX,"&gt;="&amp;CM74),O74*ITP_TIPO)),O74*ITP_TIPO))</f>
        <v/>
      </c>
      <c r="CO74" s="4">
        <f>IF(R74="profesional",N(AK74),0)</f>
        <v/>
      </c>
      <c r="CP74" s="3">
        <f>IF(AND(R74="profesional",ISNUMBER(AK74),AL74="sí"),0,TASA_DGT)</f>
        <v/>
      </c>
      <c r="CQ74" s="3">
        <f>INFORME_DGT</f>
        <v/>
      </c>
      <c r="CR74" s="4">
        <f>O74+CO74+CN74+CP74+CQ74</f>
        <v/>
      </c>
      <c r="CS74" s="4">
        <f>CR74+N(CF74)</f>
        <v/>
      </c>
      <c r="CT74" s="3">
        <f>IF(CR74&lt;=TOTAL_MAX,"sí",IF(CR74&lt;=TOTAL_MAX+MARGEN_NEG,"negociar","no"))</f>
        <v/>
      </c>
      <c r="CU74" s="4">
        <f>IF(CT74&lt;&gt;"no",COUNTIFS($CT$2:$CT$545,"&lt;&gt;no",$CL$2:$CL$545,"&gt;"&amp;CL74)+COUNTIFS($CT$2:CT74,"&lt;&gt;no",$CL$2:CL74,CL74),"")</f>
        <v/>
      </c>
    </row>
    <row r="75">
      <c r="A75" s="2" t="inlineStr">
        <is>
          <t>cochesnet:71666559</t>
        </is>
      </c>
      <c r="B75" s="2" t="inlineStr">
        <is>
          <t>cochesnet</t>
        </is>
      </c>
      <c r="C75" s="2" t="inlineStr">
        <is>
          <t>https://www.coches.net/volkswagen-polo-12-edition-60cv-5p-gasolina-2009-en-valencia-71666559-covo.aspx</t>
        </is>
      </c>
      <c r="D75" s="2" t="inlineStr">
        <is>
          <t>VOLKSWAGEN Polo 1.2 Edition</t>
        </is>
      </c>
      <c r="E75" s="2" t="inlineStr">
        <is>
          <t>Volkswagen</t>
        </is>
      </c>
      <c r="F75" s="2" t="inlineStr">
        <is>
          <t>Volkswagen Polo</t>
        </is>
      </c>
      <c r="G75" s="2" t="inlineStr">
        <is>
          <t>1.2</t>
        </is>
      </c>
      <c r="H75" s="2" t="n"/>
      <c r="I75" s="2" t="n"/>
      <c r="J75" s="2" t="n"/>
      <c r="K75" s="2" t="inlineStr">
        <is>
          <t>gasolina</t>
        </is>
      </c>
      <c r="L75" s="2" t="inlineStr">
        <is>
          <t>utilitario</t>
        </is>
      </c>
      <c r="M75" s="2" t="n">
        <v>2009</v>
      </c>
      <c r="N75" s="2" t="n">
        <v>128680</v>
      </c>
      <c r="O75" s="2" t="n">
        <v>3300</v>
      </c>
      <c r="P75" s="2" t="n"/>
      <c r="Q75" s="2" t="n"/>
      <c r="R75" s="2" t="inlineStr">
        <is>
          <t>particular</t>
        </is>
      </c>
      <c r="S75" s="2" t="inlineStr">
        <is>
          <t>Torrent</t>
        </is>
      </c>
      <c r="T75" s="2" t="inlineStr">
        <is>
          <t>2026-10-03T20:18:16Z</t>
        </is>
      </c>
      <c r="U75" s="2" t="n">
        <v>10</v>
      </c>
      <c r="V75" s="2" t="n"/>
      <c r="W75" s="2" t="n"/>
      <c r="X75" s="2" t="n"/>
      <c r="Y75" s="2" t="n"/>
      <c r="Z75" s="2" t="inlineStr">
        <is>
          <t>no</t>
        </is>
      </c>
      <c r="AA75" s="2" t="n"/>
      <c r="AB75" s="2" t="n"/>
      <c r="AC75" s="2" t="n"/>
      <c r="AD75" s="2" t="n"/>
      <c r="AE75" s="2" t="n"/>
      <c r="AF75" s="2" t="n"/>
      <c r="AG75" s="2" t="n"/>
      <c r="AH75" s="2" t="n">
        <v>3300</v>
      </c>
      <c r="AI75" s="2" t="n"/>
      <c r="AJ75" s="2" t="n"/>
      <c r="AK75" s="2" t="n"/>
      <c r="AL75" s="2" t="n"/>
      <c r="AM75" s="2" t="n"/>
      <c r="AN75" s="2" t="n"/>
      <c r="AO75" s="2" t="inlineStr">
        <is>
          <t>2009</t>
        </is>
      </c>
      <c r="AP75" s="2" t="n">
        <v>2009</v>
      </c>
      <c r="AQ75" s="2" t="n"/>
      <c r="AR75" s="2" t="n"/>
      <c r="AS75" s="2" t="inlineStr">
        <is>
          <t>regla</t>
        </is>
      </c>
      <c r="AT75" s="2" t="n">
        <v>4990</v>
      </c>
      <c r="AU75" s="2" t="n">
        <v>7</v>
      </c>
      <c r="AV75" s="2" t="inlineStr">
        <is>
          <t>modelo+año+km</t>
        </is>
      </c>
      <c r="AW75" s="2" t="n"/>
      <c r="AX75" s="2" t="inlineStr">
        <is>
          <t>cuota fija ITP: &gt;12 años, hasta 1.500 cc; distancia no verificable (el anuncio solo indica la provincia): confirmar que está a &lt;= 70 km</t>
        </is>
      </c>
      <c r="AY75" s="2" t="inlineStr"/>
      <c r="AZ75" s="2" t="inlineStr">
        <is>
          <t>https://www.coches.net/volkswagen/polo/segunda-mano/valencia/?pg=4 /home/user/Alopecia/buscador-coches/raw/cochesnet/aad67ad27b5970b2.json</t>
        </is>
      </c>
      <c r="BA75" s="3">
        <f>MAX(ANIO_ACTUAL-M75,0)</f>
        <v/>
      </c>
      <c r="BB75" s="4">
        <f>N75/MAX(BA75,0.5)</f>
        <v/>
      </c>
      <c r="BC75" s="4">
        <f>F75</f>
        <v/>
      </c>
      <c r="BD75" s="3">
        <f>BC75&amp;"|"&amp;INT(M75/SEG_ANIO)*SEG_ANIO</f>
        <v/>
      </c>
      <c r="BE75" s="3">
        <f>BD75&amp;"|"&amp;INT(N75/SEG_KM)*SEG_KM</f>
        <v/>
      </c>
      <c r="BF75" s="4">
        <f>COUNTIF($BC$2:$BC$545,BC75)</f>
        <v/>
      </c>
      <c r="BG75" s="4">
        <f>COUNTIF($BD$2:$BD$545,BD75)</f>
        <v/>
      </c>
      <c r="BH75" s="4">
        <f>COUNTIF($BE$2:$BE$545,BE75)</f>
        <v/>
      </c>
      <c r="BI75" s="3">
        <f t="array" ref="BI75">IF(N(AU75)&gt;=MIN_N,AT75,IF(BH75&gt;=MIN_N,MEDIAN(IF($BE$2:$BE$545=BE75,$O$2:$O$545)),IF(BG75&gt;=MIN_N,MEDIAN(IF($BD$2:$BD$545=BD75,$O$2:$O$545)),MEDIAN(IF($BC$2:$BC$545=BC75,$O$2:$O$545)))))</f>
        <v/>
      </c>
      <c r="BJ75" s="3">
        <f>IF(N(AU75)&gt;=MIN_N,"mercado "&amp;AV75,IF(BH75&gt;=MIN_N,"modelo+año+km",IF(BG75&gt;=MIN_N,"modelo+año","modelo")))</f>
        <v/>
      </c>
      <c r="BK75" s="4">
        <f>(BI75-O75)/BI75</f>
        <v/>
      </c>
      <c r="BL75" s="3">
        <f>IF(COUNTIFS(FR_FUEL,K75,FR_YEAR,AP75)&gt;0,1,0)</f>
        <v/>
      </c>
      <c r="BM75" s="3">
        <f>IF(COUNTIFS(FR_FUEL,K75,FR_YEAR,AP75-1)&gt;0,1,0)</f>
        <v/>
      </c>
      <c r="BN75" s="4">
        <f>IF(N(AQ75)&gt;0,AP75*100+AQ75,IF(AND(BL75=1,BM75=1),(AP75-1)*100+1,AP75*100+1))</f>
        <v/>
      </c>
      <c r="BO75" s="3">
        <f>IF(OR(K75="hibrido",K75="glp",K75="gnc",K75="phev"),"ECO",IF(K75="electrico","CERO",IF(K75="gasolina",IF(BN75&gt;=GAS_C_YM,"C",IF(BN75&gt;=GAS_B_YM,"B","A")),IF(K75="diesel",IF(BN75&gt;=DIE_C_YM,"C",IF(BN75&gt;=DIE_B_YM,"B","A")),""))))</f>
        <v/>
      </c>
      <c r="BP75" s="4">
        <f>BO75</f>
        <v/>
      </c>
      <c r="BQ75" s="4">
        <f>IF(AS75="regla",IF(AND(N(AQ75)=0,BL75=1),"sí","no"),"no")</f>
        <v/>
      </c>
      <c r="BR75" s="3">
        <f>IFERROR(VLOOKUP(F75,MOD_TBL,11,0),IFERROR(VLOOKUP(E75,OCU_TBL,2,0),NEUTRO))</f>
        <v/>
      </c>
      <c r="BS75" s="3">
        <f>SUMIFS(MOT_AJUSTE,MOT_MOTOR,G75,MOT_MARCA,E75,MOT_DESDE,"&lt;="&amp;M75,MOT_HASTA,"&gt;="&amp;M75)+SUMIFS(MOT_AJUSTE,MOT_MOTOR,G75,MOT_MARCA,"(todas)",MOT_DESDE,"&lt;="&amp;M75,MOT_HASTA,"&gt;="&amp;M75)</f>
        <v/>
      </c>
      <c r="BT75" s="3">
        <f>SUMIFS(COMB_AJUSTE,COMB_COMB,K75)</f>
        <v/>
      </c>
      <c r="BU75" s="3">
        <f>COUNTIFS(MOT_MOTOR,G75,MOT_MARCA,E75,MOT_DESDE,"&lt;="&amp;M75,MOT_HASTA,"&gt;="&amp;M75)+COUNTIFS(MOT_MOTOR,G75,MOT_MARCA,"(todas)",MOT_DESDE,"&lt;="&amp;M75,MOT_HASTA,"&gt;="&amp;M75)</f>
        <v/>
      </c>
      <c r="BV75" s="3">
        <f>IF(AND(K75="diesel",BU75=0),MIN(BR75,NEUTRO),BR75)</f>
        <v/>
      </c>
      <c r="BW75" s="4">
        <f>MAX(0,MIN(100,BV75+BS75+BT75))</f>
        <v/>
      </c>
      <c r="BX75" s="3">
        <f>MAX(0,MIN(100,50+BK75*PRECIO_PEND))</f>
        <v/>
      </c>
      <c r="BY75" s="3">
        <f>MAX(0,100*(1-N75/KM_MAX))</f>
        <v/>
      </c>
      <c r="BZ75" s="3">
        <f>IF(BB75&lt;KMA_SOSP,IF(AA75="sí",100,KMA_PEN),IF(BB75&lt;=KMA_IDEAL_MAX,100,MAX(0,100*(KMA_CERO-BB75)/(KMA_CERO-KMA_IDEAL_MAX))))</f>
        <v/>
      </c>
      <c r="CA75" s="3">
        <f>MAX(0,MIN(100,100*(M75-ANIO_MIN)/(ANIO_ACTUAL-ANIO_MIN)))</f>
        <v/>
      </c>
      <c r="CB75" s="3">
        <f>W_KMT*BY75+W_KMA*BZ75+W_EDAD*CA75</f>
        <v/>
      </c>
      <c r="CC75" s="3">
        <f>P_ITV*(V75="sí")+P_LIBRO*(W75="sí")+P_CORREA*(X75="sí")+P_PROP*(Y75=1)+P_GAR*(Z75="sí")+P_FOTOS*MIN(1,N(U75)/FOTOS_OBJ)</f>
        <v/>
      </c>
      <c r="CD75" s="3">
        <f>MAX(0,MIN(100,IFERROR(VLOOKUP(BP75,ETQ_TBL,2,0),0)-IF(BQ75="sí",ETQ_PEN_DUD,IF(AS75="regla",ETQ_PEN_REGLA,0))))</f>
        <v/>
      </c>
      <c r="CE75" s="3">
        <f>NEUTRO</f>
        <v/>
      </c>
      <c r="CF75" s="3">
        <f>IFERROR(VLOOKUP(L75,SEGURO_TBL,3,0),"")</f>
        <v/>
      </c>
      <c r="CG75" s="3">
        <f>IF(CF75="",NEUTRO,MAX(0,MIN(100,100*(SEG_REF_MAX-CF75)/(SEG_REF_MAX-SEG_REF_MIN))))</f>
        <v/>
      </c>
      <c r="CH75" s="3">
        <f>W_CONS*CE75+W_SEG*CG75</f>
        <v/>
      </c>
      <c r="CI75" s="3">
        <f>IF(N(AB75)&gt;0,AB75,IF(AND(R75="profesional",SG_LEGAL_ON=1),GAR_LEGAL,0))</f>
        <v/>
      </c>
      <c r="CJ75" s="3">
        <f>SG_GAR*MIN(1,CI75/SG_GAR_FULL)+SG_AMPL*(AC75="sí")+SG_KMC*(AF75="sí")+SG_REV*(N(AE75)&gt;0)+SG_DEV*MIN(1,N(AG75)/SG_DEV_FULL)+SG_HIST*(W75="sí")</f>
        <v/>
      </c>
      <c r="CK75" s="3">
        <f>IFERROR(VLOOKUP(L75,CARR_PEN_TBL,2,0),0)</f>
        <v/>
      </c>
      <c r="CL75" s="3">
        <f>W_FIAB*BW75+W_PRECIO*BX75+W_KMEDAD*CB75+W_ANUNCIO*CC75+W_USO*CH75+W_SEGURIDAD*CJ75+W_ETIQUETA*CD75-CK75</f>
        <v/>
      </c>
      <c r="CM75" s="4">
        <f>IF(N(I75)&gt;0,I75,IFERROR(ROUND(_xlfn.NUMBERVALUE(LEFT(G75,FIND(" ",G75&amp;" ")-1),".")*1000,0),99999))</f>
        <v/>
      </c>
      <c r="CN75" s="3">
        <f>IF(R75="profesional",0,IF(O75&lt;CUOTA_VALOR_MAX,IF(BA75&gt;ITP_TRAMO_ALTO,SUMIFS(CF_CUOTA,CF_MAS,ITP_TRAMO_ALTO,CF_CCMIN,"&lt;="&amp;CM75,CF_CCMAX,"&gt;="&amp;CM75),IF(BA75&gt;ITP_TRAMO_BAJO,SUMIFS(CF_CUOTA,CF_MAS,ITP_TRAMO_BAJO,CF_CCMIN,"&lt;="&amp;CM75,CF_CCMAX,"&gt;="&amp;CM75),O75*ITP_TIPO)),O75*ITP_TIPO))</f>
        <v/>
      </c>
      <c r="CO75" s="4">
        <f>IF(R75="profesional",N(AK75),0)</f>
        <v/>
      </c>
      <c r="CP75" s="3">
        <f>IF(AND(R75="profesional",ISNUMBER(AK75),AL75="sí"),0,TASA_DGT)</f>
        <v/>
      </c>
      <c r="CQ75" s="3">
        <f>INFORME_DGT</f>
        <v/>
      </c>
      <c r="CR75" s="4">
        <f>O75+CO75+CN75+CP75+CQ75</f>
        <v/>
      </c>
      <c r="CS75" s="4">
        <f>CR75+N(CF75)</f>
        <v/>
      </c>
      <c r="CT75" s="3">
        <f>IF(CR75&lt;=TOTAL_MAX,"sí",IF(CR75&lt;=TOTAL_MAX+MARGEN_NEG,"negociar","no"))</f>
        <v/>
      </c>
      <c r="CU75" s="4">
        <f>IF(CT75&lt;&gt;"no",COUNTIFS($CT$2:$CT$545,"&lt;&gt;no",$CL$2:$CL$545,"&gt;"&amp;CL75)+COUNTIFS($CT$2:CT75,"&lt;&gt;no",$CL$2:CL75,CL75),"")</f>
        <v/>
      </c>
    </row>
    <row r="76">
      <c r="A76" s="2" t="inlineStr">
        <is>
          <t>cochesnet:71536489</t>
        </is>
      </c>
      <c r="B76" s="2" t="inlineStr">
        <is>
          <t>cochesnet</t>
        </is>
      </c>
      <c r="C76" s="2" t="inlineStr">
        <is>
          <t>https://www.coches.net/volkswagen-polo-gasolina-2010-en-valencia-71536489-covo.aspx</t>
        </is>
      </c>
      <c r="D76" s="2" t="inlineStr">
        <is>
          <t>VOLKSWAGEN Polo 1.4 Advance DSG 7</t>
        </is>
      </c>
      <c r="E76" s="2" t="inlineStr">
        <is>
          <t>Volkswagen</t>
        </is>
      </c>
      <c r="F76" s="2" t="inlineStr">
        <is>
          <t>Volkswagen Polo</t>
        </is>
      </c>
      <c r="G76" s="2" t="inlineStr">
        <is>
          <t>1.4</t>
        </is>
      </c>
      <c r="H76" s="2" t="inlineStr">
        <is>
          <t>1.4 Advance 85cv DSG 7</t>
        </is>
      </c>
      <c r="I76" s="2" t="n"/>
      <c r="J76" s="2" t="n">
        <v>85</v>
      </c>
      <c r="K76" s="2" t="inlineStr">
        <is>
          <t>gasolina</t>
        </is>
      </c>
      <c r="L76" s="2" t="inlineStr">
        <is>
          <t>utilitario</t>
        </is>
      </c>
      <c r="M76" s="2" t="n">
        <v>2010</v>
      </c>
      <c r="N76" s="2" t="n">
        <v>177000</v>
      </c>
      <c r="O76" s="2" t="n">
        <v>4400</v>
      </c>
      <c r="P76" s="2" t="inlineStr">
        <is>
          <t>automatico</t>
        </is>
      </c>
      <c r="Q76" s="2" t="inlineStr">
        <is>
          <t>sí</t>
        </is>
      </c>
      <c r="R76" s="2" t="inlineStr">
        <is>
          <t>particular</t>
        </is>
      </c>
      <c r="S76" s="2" t="inlineStr">
        <is>
          <t>Alboraya</t>
        </is>
      </c>
      <c r="T76" s="2" t="inlineStr">
        <is>
          <t>2026-09-17T11:20:30Z</t>
        </is>
      </c>
      <c r="U76" s="2" t="n">
        <v>5</v>
      </c>
      <c r="V76" s="2" t="n"/>
      <c r="W76" s="2" t="n"/>
      <c r="X76" s="2" t="inlineStr">
        <is>
          <t>sí</t>
        </is>
      </c>
      <c r="Y76" s="2" t="n"/>
      <c r="Z76" s="2" t="inlineStr">
        <is>
          <t>no</t>
        </is>
      </c>
      <c r="AA76" s="2" t="n"/>
      <c r="AB76" s="2" t="n"/>
      <c r="AC76" s="2" t="n"/>
      <c r="AD76" s="2" t="n"/>
      <c r="AE76" s="2" t="n"/>
      <c r="AF76" s="2" t="n"/>
      <c r="AG76" s="2" t="n"/>
      <c r="AH76" s="2" t="n">
        <v>4400</v>
      </c>
      <c r="AI76" s="2" t="n"/>
      <c r="AJ76" s="2" t="n"/>
      <c r="AK76" s="2" t="n"/>
      <c r="AL76" s="2" t="n"/>
      <c r="AM76" s="2" t="n">
        <v>4</v>
      </c>
      <c r="AN76" s="2" t="n"/>
      <c r="AO76" s="2" t="inlineStr">
        <is>
          <t>2010</t>
        </is>
      </c>
      <c r="AP76" s="2" t="n">
        <v>2010</v>
      </c>
      <c r="AQ76" s="2" t="n"/>
      <c r="AR76" s="2" t="n"/>
      <c r="AS76" s="2" t="inlineStr">
        <is>
          <t>regla</t>
        </is>
      </c>
      <c r="AT76" s="2" t="n">
        <v>5825</v>
      </c>
      <c r="AU76" s="2" t="n">
        <v>12</v>
      </c>
      <c r="AV76" s="2" t="inlineStr">
        <is>
          <t>modelo+año+km</t>
        </is>
      </c>
      <c r="AW76" s="2" t="n"/>
      <c r="AX76" s="2" t="inlineStr">
        <is>
          <t>cuota fija ITP: &gt;12 años, hasta 1.500 cc</t>
        </is>
      </c>
      <c r="AY76" s="2" t="inlineStr">
        <is>
          <t>Se vende Volkswagen Polo 1.4 gasolina con cambio automático DSG, año 2010, con aproximadamente 177.000 km.
Coche cómodo, práctico y fácil de conducir, ideal tanto para ciudad como para carretera.
Cambio automático DSG
Motor 1.4 gasolina
3 puertas
Dirección asistida
Cierre centralizado
Elevalunas eléctricos
Airbags
ABS
Radio/equipo de sonido
Asientos traseros abatibles
Ordenador/display de a bordo
Color rojo
Llantas negras
Tiene la distribución hecha, mantenimiento de motor realizado con aceite y filtros cambiados, y también mantenimiento de la caja DSG con cambio de aceite y filtro.
Carrocería roja, 3 puertas y buen estado general.
Se puede ver y probar sin compromiso.
Un coche listo para seguir haciendo kilómetros con su próximo dueño. ??</t>
        </is>
      </c>
      <c r="AZ76" s="2" t="inlineStr">
        <is>
          <t>https://www.coches.net/volkswagen-polo-gasolina-2010-en-valencia-71536489-covo.aspx (window.__INITIAL_PROPS__.ad) /home/user/Alopecia/buscador-coches/raw/cochesnet/6d557d81e74b839f.json</t>
        </is>
      </c>
      <c r="BA76" s="3">
        <f>MAX(ANIO_ACTUAL-M76,0)</f>
        <v/>
      </c>
      <c r="BB76" s="4">
        <f>N76/MAX(BA76,0.5)</f>
        <v/>
      </c>
      <c r="BC76" s="4">
        <f>F76</f>
        <v/>
      </c>
      <c r="BD76" s="3">
        <f>BC76&amp;"|"&amp;INT(M76/SEG_ANIO)*SEG_ANIO</f>
        <v/>
      </c>
      <c r="BE76" s="3">
        <f>BD76&amp;"|"&amp;INT(N76/SEG_KM)*SEG_KM</f>
        <v/>
      </c>
      <c r="BF76" s="4">
        <f>COUNTIF($BC$2:$BC$545,BC76)</f>
        <v/>
      </c>
      <c r="BG76" s="4">
        <f>COUNTIF($BD$2:$BD$545,BD76)</f>
        <v/>
      </c>
      <c r="BH76" s="4">
        <f>COUNTIF($BE$2:$BE$545,BE76)</f>
        <v/>
      </c>
      <c r="BI76" s="3">
        <f t="array" ref="BI76">IF(N(AU76)&gt;=MIN_N,AT76,IF(BH76&gt;=MIN_N,MEDIAN(IF($BE$2:$BE$545=BE76,$O$2:$O$545)),IF(BG76&gt;=MIN_N,MEDIAN(IF($BD$2:$BD$545=BD76,$O$2:$O$545)),MEDIAN(IF($BC$2:$BC$545=BC76,$O$2:$O$545)))))</f>
        <v/>
      </c>
      <c r="BJ76" s="3">
        <f>IF(N(AU76)&gt;=MIN_N,"mercado "&amp;AV76,IF(BH76&gt;=MIN_N,"modelo+año+km",IF(BG76&gt;=MIN_N,"modelo+año","modelo")))</f>
        <v/>
      </c>
      <c r="BK76" s="4">
        <f>(BI76-O76)/BI76</f>
        <v/>
      </c>
      <c r="BL76" s="3">
        <f>IF(COUNTIFS(FR_FUEL,K76,FR_YEAR,AP76)&gt;0,1,0)</f>
        <v/>
      </c>
      <c r="BM76" s="3">
        <f>IF(COUNTIFS(FR_FUEL,K76,FR_YEAR,AP76-1)&gt;0,1,0)</f>
        <v/>
      </c>
      <c r="BN76" s="4">
        <f>IF(N(AQ76)&gt;0,AP76*100+AQ76,IF(AND(BL76=1,BM76=1),(AP76-1)*100+1,AP76*100+1))</f>
        <v/>
      </c>
      <c r="BO76" s="3">
        <f>IF(OR(K76="hibrido",K76="glp",K76="gnc",K76="phev"),"ECO",IF(K76="electrico","CERO",IF(K76="gasolina",IF(BN76&gt;=GAS_C_YM,"C",IF(BN76&gt;=GAS_B_YM,"B","A")),IF(K76="diesel",IF(BN76&gt;=DIE_C_YM,"C",IF(BN76&gt;=DIE_B_YM,"B","A")),""))))</f>
        <v/>
      </c>
      <c r="BP76" s="4">
        <f>BO76</f>
        <v/>
      </c>
      <c r="BQ76" s="4">
        <f>IF(AS76="regla",IF(AND(N(AQ76)=0,BL76=1),"sí","no"),"no")</f>
        <v/>
      </c>
      <c r="BR76" s="3">
        <f>IFERROR(VLOOKUP(F76,MOD_TBL,11,0),IFERROR(VLOOKUP(E76,OCU_TBL,2,0),NEUTRO))</f>
        <v/>
      </c>
      <c r="BS76" s="3">
        <f>SUMIFS(MOT_AJUSTE,MOT_MOTOR,G76,MOT_MARCA,E76,MOT_DESDE,"&lt;="&amp;M76,MOT_HASTA,"&gt;="&amp;M76)+SUMIFS(MOT_AJUSTE,MOT_MOTOR,G76,MOT_MARCA,"(todas)",MOT_DESDE,"&lt;="&amp;M76,MOT_HASTA,"&gt;="&amp;M76)</f>
        <v/>
      </c>
      <c r="BT76" s="3">
        <f>SUMIFS(COMB_AJUSTE,COMB_COMB,K76)</f>
        <v/>
      </c>
      <c r="BU76" s="3">
        <f>COUNTIFS(MOT_MOTOR,G76,MOT_MARCA,E76,MOT_DESDE,"&lt;="&amp;M76,MOT_HASTA,"&gt;="&amp;M76)+COUNTIFS(MOT_MOTOR,G76,MOT_MARCA,"(todas)",MOT_DESDE,"&lt;="&amp;M76,MOT_HASTA,"&gt;="&amp;M76)</f>
        <v/>
      </c>
      <c r="BV76" s="3">
        <f>IF(AND(K76="diesel",BU76=0),MIN(BR76,NEUTRO),BR76)</f>
        <v/>
      </c>
      <c r="BW76" s="4">
        <f>MAX(0,MIN(100,BV76+BS76+BT76))</f>
        <v/>
      </c>
      <c r="BX76" s="3">
        <f>MAX(0,MIN(100,50+BK76*PRECIO_PEND))</f>
        <v/>
      </c>
      <c r="BY76" s="3">
        <f>MAX(0,100*(1-N76/KM_MAX))</f>
        <v/>
      </c>
      <c r="BZ76" s="3">
        <f>IF(BB76&lt;KMA_SOSP,IF(AA76="sí",100,KMA_PEN),IF(BB76&lt;=KMA_IDEAL_MAX,100,MAX(0,100*(KMA_CERO-BB76)/(KMA_CERO-KMA_IDEAL_MAX))))</f>
        <v/>
      </c>
      <c r="CA76" s="3">
        <f>MAX(0,MIN(100,100*(M76-ANIO_MIN)/(ANIO_ACTUAL-ANIO_MIN)))</f>
        <v/>
      </c>
      <c r="CB76" s="3">
        <f>W_KMT*BY76+W_KMA*BZ76+W_EDAD*CA76</f>
        <v/>
      </c>
      <c r="CC76" s="3">
        <f>P_ITV*(V76="sí")+P_LIBRO*(W76="sí")+P_CORREA*(X76="sí")+P_PROP*(Y76=1)+P_GAR*(Z76="sí")+P_FOTOS*MIN(1,N(U76)/FOTOS_OBJ)</f>
        <v/>
      </c>
      <c r="CD76" s="3">
        <f>MAX(0,MIN(100,IFERROR(VLOOKUP(BP76,ETQ_TBL,2,0),0)-IF(BQ76="sí",ETQ_PEN_DUD,IF(AS76="regla",ETQ_PEN_REGLA,0))))</f>
        <v/>
      </c>
      <c r="CE76" s="3">
        <f>NEUTRO</f>
        <v/>
      </c>
      <c r="CF76" s="3">
        <f>IFERROR(VLOOKUP(L76,SEGURO_TBL,3,0),"")</f>
        <v/>
      </c>
      <c r="CG76" s="3">
        <f>IF(CF76="",NEUTRO,MAX(0,MIN(100,100*(SEG_REF_MAX-CF76)/(SEG_REF_MAX-SEG_REF_MIN))))</f>
        <v/>
      </c>
      <c r="CH76" s="3">
        <f>W_CONS*CE76+W_SEG*CG76</f>
        <v/>
      </c>
      <c r="CI76" s="3">
        <f>IF(N(AB76)&gt;0,AB76,IF(AND(R76="profesional",SG_LEGAL_ON=1),GAR_LEGAL,0))</f>
        <v/>
      </c>
      <c r="CJ76" s="3">
        <f>SG_GAR*MIN(1,CI76/SG_GAR_FULL)+SG_AMPL*(AC76="sí")+SG_KMC*(AF76="sí")+SG_REV*(N(AE76)&gt;0)+SG_DEV*MIN(1,N(AG76)/SG_DEV_FULL)+SG_HIST*(W76="sí")</f>
        <v/>
      </c>
      <c r="CK76" s="3">
        <f>IFERROR(VLOOKUP(L76,CARR_PEN_TBL,2,0),0)</f>
        <v/>
      </c>
      <c r="CL76" s="3">
        <f>W_FIAB*BW76+W_PRECIO*BX76+W_KMEDAD*CB76+W_ANUNCIO*CC76+W_USO*CH76+W_SEGURIDAD*CJ76+W_ETIQUETA*CD76-CK76</f>
        <v/>
      </c>
      <c r="CM76" s="4">
        <f>IF(N(I76)&gt;0,I76,IFERROR(ROUND(_xlfn.NUMBERVALUE(LEFT(G76,FIND(" ",G76&amp;" ")-1),".")*1000,0),99999))</f>
        <v/>
      </c>
      <c r="CN76" s="3">
        <f>IF(R76="profesional",0,IF(O76&lt;CUOTA_VALOR_MAX,IF(BA76&gt;ITP_TRAMO_ALTO,SUMIFS(CF_CUOTA,CF_MAS,ITP_TRAMO_ALTO,CF_CCMIN,"&lt;="&amp;CM76,CF_CCMAX,"&gt;="&amp;CM76),IF(BA76&gt;ITP_TRAMO_BAJO,SUMIFS(CF_CUOTA,CF_MAS,ITP_TRAMO_BAJO,CF_CCMIN,"&lt;="&amp;CM76,CF_CCMAX,"&gt;="&amp;CM76),O76*ITP_TIPO)),O76*ITP_TIPO))</f>
        <v/>
      </c>
      <c r="CO76" s="4">
        <f>IF(R76="profesional",N(AK76),0)</f>
        <v/>
      </c>
      <c r="CP76" s="3">
        <f>IF(AND(R76="profesional",ISNUMBER(AK76),AL76="sí"),0,TASA_DGT)</f>
        <v/>
      </c>
      <c r="CQ76" s="3">
        <f>INFORME_DGT</f>
        <v/>
      </c>
      <c r="CR76" s="4">
        <f>O76+CO76+CN76+CP76+CQ76</f>
        <v/>
      </c>
      <c r="CS76" s="4">
        <f>CR76+N(CF76)</f>
        <v/>
      </c>
      <c r="CT76" s="3">
        <f>IF(CR76&lt;=TOTAL_MAX,"sí",IF(CR76&lt;=TOTAL_MAX+MARGEN_NEG,"negociar","no"))</f>
        <v/>
      </c>
      <c r="CU76" s="4">
        <f>IF(CT76&lt;&gt;"no",COUNTIFS($CT$2:$CT$545,"&lt;&gt;no",$CL$2:$CL$545,"&gt;"&amp;CL76)+COUNTIFS($CT$2:CT76,"&lt;&gt;no",$CL$2:CL76,CL76),"")</f>
        <v/>
      </c>
    </row>
    <row r="77">
      <c r="A77" s="2" t="inlineStr">
        <is>
          <t>cochesnet:71512620</t>
        </is>
      </c>
      <c r="B77" s="2" t="inlineStr">
        <is>
          <t>cochesnet</t>
        </is>
      </c>
      <c r="C77" s="2" t="inlineStr">
        <is>
          <t>https://www.coches.net/volkswagen-polo-gasolina-2008-en-valencia-71512620-covo.aspx</t>
        </is>
      </c>
      <c r="D77" s="2" t="inlineStr">
        <is>
          <t>VOLKSWAGEN Polo</t>
        </is>
      </c>
      <c r="E77" s="2" t="inlineStr">
        <is>
          <t>Volkswagen</t>
        </is>
      </c>
      <c r="F77" s="2" t="inlineStr">
        <is>
          <t>Volkswagen Polo</t>
        </is>
      </c>
      <c r="G77" s="2" t="n"/>
      <c r="H77" s="2" t="n"/>
      <c r="I77" s="2" t="n"/>
      <c r="J77" s="2" t="n"/>
      <c r="K77" s="2" t="inlineStr">
        <is>
          <t>gasolina</t>
        </is>
      </c>
      <c r="L77" s="2" t="inlineStr">
        <is>
          <t>utilitario</t>
        </is>
      </c>
      <c r="M77" s="2" t="n">
        <v>2008</v>
      </c>
      <c r="N77" s="2" t="n">
        <v>219000</v>
      </c>
      <c r="O77" s="2" t="n">
        <v>3700</v>
      </c>
      <c r="P77" s="2" t="inlineStr">
        <is>
          <t>manual</t>
        </is>
      </c>
      <c r="Q77" s="2" t="inlineStr">
        <is>
          <t>no</t>
        </is>
      </c>
      <c r="R77" s="2" t="inlineStr">
        <is>
          <t>particular</t>
        </is>
      </c>
      <c r="S77" s="2" t="n"/>
      <c r="T77" s="2" t="inlineStr">
        <is>
          <t>2026-09-14T16:21:38Z</t>
        </is>
      </c>
      <c r="U77" s="2" t="n">
        <v>1</v>
      </c>
      <c r="V77" s="2" t="n"/>
      <c r="W77" s="2" t="n"/>
      <c r="X77" s="2" t="n"/>
      <c r="Y77" s="2" t="n"/>
      <c r="Z77" s="2" t="inlineStr">
        <is>
          <t>no</t>
        </is>
      </c>
      <c r="AA77" s="2" t="n"/>
      <c r="AB77" s="2" t="n"/>
      <c r="AC77" s="2" t="n"/>
      <c r="AD77" s="2" t="n"/>
      <c r="AE77" s="2" t="n"/>
      <c r="AF77" s="2" t="n"/>
      <c r="AG77" s="2" t="n"/>
      <c r="AH77" s="2" t="n">
        <v>3700</v>
      </c>
      <c r="AI77" s="2" t="n"/>
      <c r="AJ77" s="2" t="n"/>
      <c r="AK77" s="2" t="n"/>
      <c r="AL77" s="2" t="n"/>
      <c r="AM77" s="2" t="n"/>
      <c r="AN77" s="2" t="n"/>
      <c r="AO77" s="2" t="inlineStr">
        <is>
          <t>2008</t>
        </is>
      </c>
      <c r="AP77" s="2" t="n">
        <v>2008</v>
      </c>
      <c r="AQ77" s="2" t="n"/>
      <c r="AR77" s="2" t="n"/>
      <c r="AS77" s="2" t="inlineStr">
        <is>
          <t>regla</t>
        </is>
      </c>
      <c r="AT77" s="2" t="n">
        <v>3800</v>
      </c>
      <c r="AU77" s="2" t="n">
        <v>8</v>
      </c>
      <c r="AV77" s="2" t="inlineStr">
        <is>
          <t>modelo+año+km</t>
        </is>
      </c>
      <c r="AW77" s="2" t="n"/>
      <c r="AX77" s="2" t="inlineStr">
        <is>
          <t>cilindrada desconocida: se aplica el tramo de cuota fija más alto; cuota fija ITP: &gt;12 años, más de 2.000 cc; distancia no verificable (el anuncio solo indica la provincia): confirmar que está a &lt;= 70 km</t>
        </is>
      </c>
      <c r="AY77" s="2" t="inlineStr">
        <is>
          <t xml:space="preserve">el auto está impecable , lo vendo porque me regreso a mi país, está todo al día, listo para trasferir .. ! </t>
        </is>
      </c>
      <c r="AZ77" s="2" t="inlineStr">
        <is>
          <t>https://www.coches.net/volkswagen-polo-gasolina-2008-en-valencia-71512620-covo.aspx (window.__INITIAL_PROPS__.ad) /home/user/Alopecia/buscador-coches/raw/cochesnet/4757b288d8103f20.json</t>
        </is>
      </c>
      <c r="BA77" s="3">
        <f>MAX(ANIO_ACTUAL-M77,0)</f>
        <v/>
      </c>
      <c r="BB77" s="4">
        <f>N77/MAX(BA77,0.5)</f>
        <v/>
      </c>
      <c r="BC77" s="4">
        <f>F77</f>
        <v/>
      </c>
      <c r="BD77" s="3">
        <f>BC77&amp;"|"&amp;INT(M77/SEG_ANIO)*SEG_ANIO</f>
        <v/>
      </c>
      <c r="BE77" s="3">
        <f>BD77&amp;"|"&amp;INT(N77/SEG_KM)*SEG_KM</f>
        <v/>
      </c>
      <c r="BF77" s="4">
        <f>COUNTIF($BC$2:$BC$545,BC77)</f>
        <v/>
      </c>
      <c r="BG77" s="4">
        <f>COUNTIF($BD$2:$BD$545,BD77)</f>
        <v/>
      </c>
      <c r="BH77" s="4">
        <f>COUNTIF($BE$2:$BE$545,BE77)</f>
        <v/>
      </c>
      <c r="BI77" s="3">
        <f t="array" ref="BI77">IF(N(AU77)&gt;=MIN_N,AT77,IF(BH77&gt;=MIN_N,MEDIAN(IF($BE$2:$BE$545=BE77,$O$2:$O$545)),IF(BG77&gt;=MIN_N,MEDIAN(IF($BD$2:$BD$545=BD77,$O$2:$O$545)),MEDIAN(IF($BC$2:$BC$545=BC77,$O$2:$O$545)))))</f>
        <v/>
      </c>
      <c r="BJ77" s="3">
        <f>IF(N(AU77)&gt;=MIN_N,"mercado "&amp;AV77,IF(BH77&gt;=MIN_N,"modelo+año+km",IF(BG77&gt;=MIN_N,"modelo+año","modelo")))</f>
        <v/>
      </c>
      <c r="BK77" s="4">
        <f>(BI77-O77)/BI77</f>
        <v/>
      </c>
      <c r="BL77" s="3">
        <f>IF(COUNTIFS(FR_FUEL,K77,FR_YEAR,AP77)&gt;0,1,0)</f>
        <v/>
      </c>
      <c r="BM77" s="3">
        <f>IF(COUNTIFS(FR_FUEL,K77,FR_YEAR,AP77-1)&gt;0,1,0)</f>
        <v/>
      </c>
      <c r="BN77" s="4">
        <f>IF(N(AQ77)&gt;0,AP77*100+AQ77,IF(AND(BL77=1,BM77=1),(AP77-1)*100+1,AP77*100+1))</f>
        <v/>
      </c>
      <c r="BO77" s="3">
        <f>IF(OR(K77="hibrido",K77="glp",K77="gnc",K77="phev"),"ECO",IF(K77="electrico","CERO",IF(K77="gasolina",IF(BN77&gt;=GAS_C_YM,"C",IF(BN77&gt;=GAS_B_YM,"B","A")),IF(K77="diesel",IF(BN77&gt;=DIE_C_YM,"C",IF(BN77&gt;=DIE_B_YM,"B","A")),""))))</f>
        <v/>
      </c>
      <c r="BP77" s="4">
        <f>BO77</f>
        <v/>
      </c>
      <c r="BQ77" s="4">
        <f>IF(AS77="regla",IF(AND(N(AQ77)=0,BL77=1),"sí","no"),"no")</f>
        <v/>
      </c>
      <c r="BR77" s="3">
        <f>IFERROR(VLOOKUP(F77,MOD_TBL,11,0),IFERROR(VLOOKUP(E77,OCU_TBL,2,0),NEUTRO))</f>
        <v/>
      </c>
      <c r="BS77" s="3">
        <f>SUMIFS(MOT_AJUSTE,MOT_MOTOR,G77,MOT_MARCA,E77,MOT_DESDE,"&lt;="&amp;M77,MOT_HASTA,"&gt;="&amp;M77)+SUMIFS(MOT_AJUSTE,MOT_MOTOR,G77,MOT_MARCA,"(todas)",MOT_DESDE,"&lt;="&amp;M77,MOT_HASTA,"&gt;="&amp;M77)</f>
        <v/>
      </c>
      <c r="BT77" s="3">
        <f>SUMIFS(COMB_AJUSTE,COMB_COMB,K77)</f>
        <v/>
      </c>
      <c r="BU77" s="3">
        <f>COUNTIFS(MOT_MOTOR,G77,MOT_MARCA,E77,MOT_DESDE,"&lt;="&amp;M77,MOT_HASTA,"&gt;="&amp;M77)+COUNTIFS(MOT_MOTOR,G77,MOT_MARCA,"(todas)",MOT_DESDE,"&lt;="&amp;M77,MOT_HASTA,"&gt;="&amp;M77)</f>
        <v/>
      </c>
      <c r="BV77" s="3">
        <f>IF(AND(K77="diesel",BU77=0),MIN(BR77,NEUTRO),BR77)</f>
        <v/>
      </c>
      <c r="BW77" s="4">
        <f>MAX(0,MIN(100,BV77+BS77+BT77))</f>
        <v/>
      </c>
      <c r="BX77" s="3">
        <f>MAX(0,MIN(100,50+BK77*PRECIO_PEND))</f>
        <v/>
      </c>
      <c r="BY77" s="3">
        <f>MAX(0,100*(1-N77/KM_MAX))</f>
        <v/>
      </c>
      <c r="BZ77" s="3">
        <f>IF(BB77&lt;KMA_SOSP,IF(AA77="sí",100,KMA_PEN),IF(BB77&lt;=KMA_IDEAL_MAX,100,MAX(0,100*(KMA_CERO-BB77)/(KMA_CERO-KMA_IDEAL_MAX))))</f>
        <v/>
      </c>
      <c r="CA77" s="3">
        <f>MAX(0,MIN(100,100*(M77-ANIO_MIN)/(ANIO_ACTUAL-ANIO_MIN)))</f>
        <v/>
      </c>
      <c r="CB77" s="3">
        <f>W_KMT*BY77+W_KMA*BZ77+W_EDAD*CA77</f>
        <v/>
      </c>
      <c r="CC77" s="3">
        <f>P_ITV*(V77="sí")+P_LIBRO*(W77="sí")+P_CORREA*(X77="sí")+P_PROP*(Y77=1)+P_GAR*(Z77="sí")+P_FOTOS*MIN(1,N(U77)/FOTOS_OBJ)</f>
        <v/>
      </c>
      <c r="CD77" s="3">
        <f>MAX(0,MIN(100,IFERROR(VLOOKUP(BP77,ETQ_TBL,2,0),0)-IF(BQ77="sí",ETQ_PEN_DUD,IF(AS77="regla",ETQ_PEN_REGLA,0))))</f>
        <v/>
      </c>
      <c r="CE77" s="3">
        <f>NEUTRO</f>
        <v/>
      </c>
      <c r="CF77" s="3">
        <f>IFERROR(VLOOKUP(L77,SEGURO_TBL,3,0),"")</f>
        <v/>
      </c>
      <c r="CG77" s="3">
        <f>IF(CF77="",NEUTRO,MAX(0,MIN(100,100*(SEG_REF_MAX-CF77)/(SEG_REF_MAX-SEG_REF_MIN))))</f>
        <v/>
      </c>
      <c r="CH77" s="3">
        <f>W_CONS*CE77+W_SEG*CG77</f>
        <v/>
      </c>
      <c r="CI77" s="3">
        <f>IF(N(AB77)&gt;0,AB77,IF(AND(R77="profesional",SG_LEGAL_ON=1),GAR_LEGAL,0))</f>
        <v/>
      </c>
      <c r="CJ77" s="3">
        <f>SG_GAR*MIN(1,CI77/SG_GAR_FULL)+SG_AMPL*(AC77="sí")+SG_KMC*(AF77="sí")+SG_REV*(N(AE77)&gt;0)+SG_DEV*MIN(1,N(AG77)/SG_DEV_FULL)+SG_HIST*(W77="sí")</f>
        <v/>
      </c>
      <c r="CK77" s="3">
        <f>IFERROR(VLOOKUP(L77,CARR_PEN_TBL,2,0),0)</f>
        <v/>
      </c>
      <c r="CL77" s="3">
        <f>W_FIAB*BW77+W_PRECIO*BX77+W_KMEDAD*CB77+W_ANUNCIO*CC77+W_USO*CH77+W_SEGURIDAD*CJ77+W_ETIQUETA*CD77-CK77</f>
        <v/>
      </c>
      <c r="CM77" s="4">
        <f>IF(N(I77)&gt;0,I77,IFERROR(ROUND(_xlfn.NUMBERVALUE(LEFT(G77,FIND(" ",G77&amp;" ")-1),".")*1000,0),99999))</f>
        <v/>
      </c>
      <c r="CN77" s="3">
        <f>IF(R77="profesional",0,IF(O77&lt;CUOTA_VALOR_MAX,IF(BA77&gt;ITP_TRAMO_ALTO,SUMIFS(CF_CUOTA,CF_MAS,ITP_TRAMO_ALTO,CF_CCMIN,"&lt;="&amp;CM77,CF_CCMAX,"&gt;="&amp;CM77),IF(BA77&gt;ITP_TRAMO_BAJO,SUMIFS(CF_CUOTA,CF_MAS,ITP_TRAMO_BAJO,CF_CCMIN,"&lt;="&amp;CM77,CF_CCMAX,"&gt;="&amp;CM77),O77*ITP_TIPO)),O77*ITP_TIPO))</f>
        <v/>
      </c>
      <c r="CO77" s="4">
        <f>IF(R77="profesional",N(AK77),0)</f>
        <v/>
      </c>
      <c r="CP77" s="3">
        <f>IF(AND(R77="profesional",ISNUMBER(AK77),AL77="sí"),0,TASA_DGT)</f>
        <v/>
      </c>
      <c r="CQ77" s="3">
        <f>INFORME_DGT</f>
        <v/>
      </c>
      <c r="CR77" s="4">
        <f>O77+CO77+CN77+CP77+CQ77</f>
        <v/>
      </c>
      <c r="CS77" s="4">
        <f>CR77+N(CF77)</f>
        <v/>
      </c>
      <c r="CT77" s="3">
        <f>IF(CR77&lt;=TOTAL_MAX,"sí",IF(CR77&lt;=TOTAL_MAX+MARGEN_NEG,"negociar","no"))</f>
        <v/>
      </c>
      <c r="CU77" s="4">
        <f>IF(CT77&lt;&gt;"no",COUNTIFS($CT$2:$CT$545,"&lt;&gt;no",$CL$2:$CL$545,"&gt;"&amp;CL77)+COUNTIFS($CT$2:CT77,"&lt;&gt;no",$CL$2:CL77,CL77),"")</f>
        <v/>
      </c>
    </row>
    <row r="78">
      <c r="A78" s="2" t="inlineStr">
        <is>
          <t>cochesnet:70216779</t>
        </is>
      </c>
      <c r="B78" s="2" t="inlineStr">
        <is>
          <t>cochesnet</t>
        </is>
      </c>
      <c r="C78" s="2" t="inlineStr">
        <is>
          <t>https://www.coches.net/opel-corsa-13-ecoflex-75-cv-essentia-5p-diesel-2012-en-valencia-70216779-covo.aspx</t>
        </is>
      </c>
      <c r="D78" s="2" t="inlineStr">
        <is>
          <t>OPEL Corsa 1.3 ecoFLEX 75 CV Essentia</t>
        </is>
      </c>
      <c r="E78" s="2" t="inlineStr">
        <is>
          <t>Opel</t>
        </is>
      </c>
      <c r="F78" s="2" t="inlineStr">
        <is>
          <t>Opel Corsa</t>
        </is>
      </c>
      <c r="G78" s="2" t="inlineStr">
        <is>
          <t>1.3</t>
        </is>
      </c>
      <c r="H78" s="2" t="inlineStr">
        <is>
          <t>1.3 ecoFLEX 75 CV Essentia</t>
        </is>
      </c>
      <c r="I78" s="2" t="n"/>
      <c r="J78" s="2" t="n">
        <v>75</v>
      </c>
      <c r="K78" s="2" t="inlineStr">
        <is>
          <t>diesel</t>
        </is>
      </c>
      <c r="L78" s="2" t="inlineStr">
        <is>
          <t>utilitario</t>
        </is>
      </c>
      <c r="M78" s="2" t="n">
        <v>2011</v>
      </c>
      <c r="N78" s="2" t="n">
        <v>193600</v>
      </c>
      <c r="O78" s="2" t="n">
        <v>4300</v>
      </c>
      <c r="P78" s="2" t="inlineStr">
        <is>
          <t>manual</t>
        </is>
      </c>
      <c r="Q78" s="2" t="inlineStr">
        <is>
          <t>no</t>
        </is>
      </c>
      <c r="R78" s="2" t="inlineStr">
        <is>
          <t>profesional</t>
        </is>
      </c>
      <c r="S78" s="2" t="inlineStr">
        <is>
          <t>Motor Valencia Alaquàs</t>
        </is>
      </c>
      <c r="T78" s="2" t="inlineStr">
        <is>
          <t>2026-09-11T18:55:45Z</t>
        </is>
      </c>
      <c r="U78" s="2" t="n">
        <v>16</v>
      </c>
      <c r="V78" s="2" t="inlineStr">
        <is>
          <t>sí</t>
        </is>
      </c>
      <c r="W78" s="2" t="n"/>
      <c r="X78" s="2" t="n"/>
      <c r="Y78" s="2" t="n"/>
      <c r="Z78" s="2" t="inlineStr">
        <is>
          <t>sí</t>
        </is>
      </c>
      <c r="AA78" s="2" t="n"/>
      <c r="AB78" s="2" t="n">
        <v>12</v>
      </c>
      <c r="AC78" s="2" t="n"/>
      <c r="AD78" s="2" t="n"/>
      <c r="AE78" s="2" t="n"/>
      <c r="AF78" s="2" t="n"/>
      <c r="AG78" s="2" t="n"/>
      <c r="AH78" s="2" t="n">
        <v>4300</v>
      </c>
      <c r="AI78" s="2" t="n">
        <v>4300</v>
      </c>
      <c r="AJ78" s="2" t="n"/>
      <c r="AK78" s="2" t="n"/>
      <c r="AL78" s="2" t="n"/>
      <c r="AM78" s="2" t="n">
        <v>7.4</v>
      </c>
      <c r="AN78" s="2" t="n"/>
      <c r="AO78" s="2" t="inlineStr">
        <is>
          <t>2011</t>
        </is>
      </c>
      <c r="AP78" s="2" t="n">
        <v>2011</v>
      </c>
      <c r="AQ78" s="2" t="n"/>
      <c r="AR78" s="2" t="n"/>
      <c r="AS78" s="2" t="inlineStr">
        <is>
          <t>regla</t>
        </is>
      </c>
      <c r="AT78" s="2" t="n">
        <v>3500</v>
      </c>
      <c r="AU78" s="2" t="n">
        <v>7</v>
      </c>
      <c r="AV78" s="2" t="inlineStr">
        <is>
          <t>modelo+año+km</t>
        </is>
      </c>
      <c r="AW78" s="2" t="n"/>
      <c r="AX78" s="2" t="inlineStr">
        <is>
          <t>vendedor profesional: sin ITP (operación con IVA/REBU, confirmar en factura); gastos de gestión del vendedor no indicados: se suma la tasa DGT; preguntar el precio final; diésel: motor sin fuente de fiabilidad (fiabilidad limitada a neutra)</t>
        </is>
      </c>
      <c r="AY78" s="2" t="inlineStr">
        <is>
          <t>MOTOR MUY DURADERO Y MINIMO CONSUMO, SE ENTREGA CON MANTENIMIENTO COMPLETO Y KIT CADENA DISTRIBUCION REALIZADO, ITV RECIEN PASADA, CON GARANTIA, LIMPIO Y DESINFECTADO DE TAPICERIA, SE ACEPTA PRUEBAS VEHICULO DONDE DESIGNE COMPRADOR, VISITE STOCK VEHICULOS DISPONIBLES EN NUESTRA PAGINA WEB</t>
        </is>
      </c>
      <c r="AZ78" s="2" t="inlineStr">
        <is>
          <t>https://www.coches.net/opel-corsa-13-ecoflex-75-cv-essentia-5p-diesel-2012-en-valencia-70216779-covo.aspx (window.__INITIAL_PROPS__.ad) /home/user/Alopecia/buscador-coches/raw/cochesnet/ee37a0c149e995e6.json</t>
        </is>
      </c>
      <c r="BA78" s="3">
        <f>MAX(ANIO_ACTUAL-M78,0)</f>
        <v/>
      </c>
      <c r="BB78" s="4">
        <f>N78/MAX(BA78,0.5)</f>
        <v/>
      </c>
      <c r="BC78" s="4">
        <f>F78</f>
        <v/>
      </c>
      <c r="BD78" s="3">
        <f>BC78&amp;"|"&amp;INT(M78/SEG_ANIO)*SEG_ANIO</f>
        <v/>
      </c>
      <c r="BE78" s="3">
        <f>BD78&amp;"|"&amp;INT(N78/SEG_KM)*SEG_KM</f>
        <v/>
      </c>
      <c r="BF78" s="4">
        <f>COUNTIF($BC$2:$BC$545,BC78)</f>
        <v/>
      </c>
      <c r="BG78" s="4">
        <f>COUNTIF($BD$2:$BD$545,BD78)</f>
        <v/>
      </c>
      <c r="BH78" s="4">
        <f>COUNTIF($BE$2:$BE$545,BE78)</f>
        <v/>
      </c>
      <c r="BI78" s="3">
        <f t="array" ref="BI78">IF(N(AU78)&gt;=MIN_N,AT78,IF(BH78&gt;=MIN_N,MEDIAN(IF($BE$2:$BE$545=BE78,$O$2:$O$545)),IF(BG78&gt;=MIN_N,MEDIAN(IF($BD$2:$BD$545=BD78,$O$2:$O$545)),MEDIAN(IF($BC$2:$BC$545=BC78,$O$2:$O$545)))))</f>
        <v/>
      </c>
      <c r="BJ78" s="3">
        <f>IF(N(AU78)&gt;=MIN_N,"mercado "&amp;AV78,IF(BH78&gt;=MIN_N,"modelo+año+km",IF(BG78&gt;=MIN_N,"modelo+año","modelo")))</f>
        <v/>
      </c>
      <c r="BK78" s="4">
        <f>(BI78-O78)/BI78</f>
        <v/>
      </c>
      <c r="BL78" s="3">
        <f>IF(COUNTIFS(FR_FUEL,K78,FR_YEAR,AP78)&gt;0,1,0)</f>
        <v/>
      </c>
      <c r="BM78" s="3">
        <f>IF(COUNTIFS(FR_FUEL,K78,FR_YEAR,AP78-1)&gt;0,1,0)</f>
        <v/>
      </c>
      <c r="BN78" s="4">
        <f>IF(N(AQ78)&gt;0,AP78*100+AQ78,IF(AND(BL78=1,BM78=1),(AP78-1)*100+1,AP78*100+1))</f>
        <v/>
      </c>
      <c r="BO78" s="3">
        <f>IF(OR(K78="hibrido",K78="glp",K78="gnc",K78="phev"),"ECO",IF(K78="electrico","CERO",IF(K78="gasolina",IF(BN78&gt;=GAS_C_YM,"C",IF(BN78&gt;=GAS_B_YM,"B","A")),IF(K78="diesel",IF(BN78&gt;=DIE_C_YM,"C",IF(BN78&gt;=DIE_B_YM,"B","A")),""))))</f>
        <v/>
      </c>
      <c r="BP78" s="4">
        <f>BO78</f>
        <v/>
      </c>
      <c r="BQ78" s="4">
        <f>IF(AS78="regla",IF(AND(N(AQ78)=0,BL78=1),"sí","no"),"no")</f>
        <v/>
      </c>
      <c r="BR78" s="3">
        <f>IFERROR(VLOOKUP(F78,MOD_TBL,11,0),IFERROR(VLOOKUP(E78,OCU_TBL,2,0),NEUTRO))</f>
        <v/>
      </c>
      <c r="BS78" s="3">
        <f>SUMIFS(MOT_AJUSTE,MOT_MOTOR,G78,MOT_MARCA,E78,MOT_DESDE,"&lt;="&amp;M78,MOT_HASTA,"&gt;="&amp;M78)+SUMIFS(MOT_AJUSTE,MOT_MOTOR,G78,MOT_MARCA,"(todas)",MOT_DESDE,"&lt;="&amp;M78,MOT_HASTA,"&gt;="&amp;M78)</f>
        <v/>
      </c>
      <c r="BT78" s="3">
        <f>SUMIFS(COMB_AJUSTE,COMB_COMB,K78)</f>
        <v/>
      </c>
      <c r="BU78" s="3">
        <f>COUNTIFS(MOT_MOTOR,G78,MOT_MARCA,E78,MOT_DESDE,"&lt;="&amp;M78,MOT_HASTA,"&gt;="&amp;M78)+COUNTIFS(MOT_MOTOR,G78,MOT_MARCA,"(todas)",MOT_DESDE,"&lt;="&amp;M78,MOT_HASTA,"&gt;="&amp;M78)</f>
        <v/>
      </c>
      <c r="BV78" s="3">
        <f>IF(AND(K78="diesel",BU78=0),MIN(BR78,NEUTRO),BR78)</f>
        <v/>
      </c>
      <c r="BW78" s="4">
        <f>MAX(0,MIN(100,BV78+BS78+BT78))</f>
        <v/>
      </c>
      <c r="BX78" s="3">
        <f>MAX(0,MIN(100,50+BK78*PRECIO_PEND))</f>
        <v/>
      </c>
      <c r="BY78" s="3">
        <f>MAX(0,100*(1-N78/KM_MAX))</f>
        <v/>
      </c>
      <c r="BZ78" s="3">
        <f>IF(BB78&lt;KMA_SOSP,IF(AA78="sí",100,KMA_PEN),IF(BB78&lt;=KMA_IDEAL_MAX,100,MAX(0,100*(KMA_CERO-BB78)/(KMA_CERO-KMA_IDEAL_MAX))))</f>
        <v/>
      </c>
      <c r="CA78" s="3">
        <f>MAX(0,MIN(100,100*(M78-ANIO_MIN)/(ANIO_ACTUAL-ANIO_MIN)))</f>
        <v/>
      </c>
      <c r="CB78" s="3">
        <f>W_KMT*BY78+W_KMA*BZ78+W_EDAD*CA78</f>
        <v/>
      </c>
      <c r="CC78" s="3">
        <f>P_ITV*(V78="sí")+P_LIBRO*(W78="sí")+P_CORREA*(X78="sí")+P_PROP*(Y78=1)+P_GAR*(Z78="sí")+P_FOTOS*MIN(1,N(U78)/FOTOS_OBJ)</f>
        <v/>
      </c>
      <c r="CD78" s="3">
        <f>MAX(0,MIN(100,IFERROR(VLOOKUP(BP78,ETQ_TBL,2,0),0)-IF(BQ78="sí",ETQ_PEN_DUD,IF(AS78="regla",ETQ_PEN_REGLA,0))))</f>
        <v/>
      </c>
      <c r="CE78" s="3">
        <f>NEUTRO</f>
        <v/>
      </c>
      <c r="CF78" s="3">
        <f>IFERROR(VLOOKUP(L78,SEGURO_TBL,3,0),"")</f>
        <v/>
      </c>
      <c r="CG78" s="3">
        <f>IF(CF78="",NEUTRO,MAX(0,MIN(100,100*(SEG_REF_MAX-CF78)/(SEG_REF_MAX-SEG_REF_MIN))))</f>
        <v/>
      </c>
      <c r="CH78" s="3">
        <f>W_CONS*CE78+W_SEG*CG78</f>
        <v/>
      </c>
      <c r="CI78" s="3">
        <f>IF(N(AB78)&gt;0,AB78,IF(AND(R78="profesional",SG_LEGAL_ON=1),GAR_LEGAL,0))</f>
        <v/>
      </c>
      <c r="CJ78" s="3">
        <f>SG_GAR*MIN(1,CI78/SG_GAR_FULL)+SG_AMPL*(AC78="sí")+SG_KMC*(AF78="sí")+SG_REV*(N(AE78)&gt;0)+SG_DEV*MIN(1,N(AG78)/SG_DEV_FULL)+SG_HIST*(W78="sí")</f>
        <v/>
      </c>
      <c r="CK78" s="3">
        <f>IFERROR(VLOOKUP(L78,CARR_PEN_TBL,2,0),0)</f>
        <v/>
      </c>
      <c r="CL78" s="3">
        <f>W_FIAB*BW78+W_PRECIO*BX78+W_KMEDAD*CB78+W_ANUNCIO*CC78+W_USO*CH78+W_SEGURIDAD*CJ78+W_ETIQUETA*CD78-CK78</f>
        <v/>
      </c>
      <c r="CM78" s="4">
        <f>IF(N(I78)&gt;0,I78,IFERROR(ROUND(_xlfn.NUMBERVALUE(LEFT(G78,FIND(" ",G78&amp;" ")-1),".")*1000,0),99999))</f>
        <v/>
      </c>
      <c r="CN78" s="3">
        <f>IF(R78="profesional",0,IF(O78&lt;CUOTA_VALOR_MAX,IF(BA78&gt;ITP_TRAMO_ALTO,SUMIFS(CF_CUOTA,CF_MAS,ITP_TRAMO_ALTO,CF_CCMIN,"&lt;="&amp;CM78,CF_CCMAX,"&gt;="&amp;CM78),IF(BA78&gt;ITP_TRAMO_BAJO,SUMIFS(CF_CUOTA,CF_MAS,ITP_TRAMO_BAJO,CF_CCMIN,"&lt;="&amp;CM78,CF_CCMAX,"&gt;="&amp;CM78),O78*ITP_TIPO)),O78*ITP_TIPO))</f>
        <v/>
      </c>
      <c r="CO78" s="4">
        <f>IF(R78="profesional",N(AK78),0)</f>
        <v/>
      </c>
      <c r="CP78" s="3">
        <f>IF(AND(R78="profesional",ISNUMBER(AK78),AL78="sí"),0,TASA_DGT)</f>
        <v/>
      </c>
      <c r="CQ78" s="3">
        <f>INFORME_DGT</f>
        <v/>
      </c>
      <c r="CR78" s="4">
        <f>O78+CO78+CN78+CP78+CQ78</f>
        <v/>
      </c>
      <c r="CS78" s="4">
        <f>CR78+N(CF78)</f>
        <v/>
      </c>
      <c r="CT78" s="3">
        <f>IF(CR78&lt;=TOTAL_MAX,"sí",IF(CR78&lt;=TOTAL_MAX+MARGEN_NEG,"negociar","no"))</f>
        <v/>
      </c>
      <c r="CU78" s="4">
        <f>IF(CT78&lt;&gt;"no",COUNTIFS($CT$2:$CT$545,"&lt;&gt;no",$CL$2:$CL$545,"&gt;"&amp;CL78)+COUNTIFS($CT$2:CT78,"&lt;&gt;no",$CL$2:CL78,CL78),"")</f>
        <v/>
      </c>
    </row>
    <row r="79">
      <c r="A79" s="2" t="inlineStr">
        <is>
          <t>cochesnet:71818405</t>
        </is>
      </c>
      <c r="B79" s="2" t="inlineStr">
        <is>
          <t>cochesnet</t>
        </is>
      </c>
      <c r="C79" s="2" t="inlineStr">
        <is>
          <t>https://www.coches.net/opel-corsa-cosmo-14-5p-gasolina-2010-en-valencia-71818405-covo.aspx</t>
        </is>
      </c>
      <c r="D79" s="2" t="inlineStr">
        <is>
          <t>OPEL Corsa Cosmo 1.4</t>
        </is>
      </c>
      <c r="E79" s="2" t="inlineStr">
        <is>
          <t>Opel</t>
        </is>
      </c>
      <c r="F79" s="2" t="inlineStr">
        <is>
          <t>Opel Corsa</t>
        </is>
      </c>
      <c r="G79" s="2" t="inlineStr">
        <is>
          <t>1.4</t>
        </is>
      </c>
      <c r="H79" s="2" t="inlineStr">
        <is>
          <t>Cosmo 1.4</t>
        </is>
      </c>
      <c r="I79" s="2" t="n"/>
      <c r="J79" s="2" t="n"/>
      <c r="K79" s="2" t="inlineStr">
        <is>
          <t>gasolina</t>
        </is>
      </c>
      <c r="L79" s="2" t="inlineStr">
        <is>
          <t>utilitario</t>
        </is>
      </c>
      <c r="M79" s="2" t="n">
        <v>2010</v>
      </c>
      <c r="N79" s="2" t="n">
        <v>118857</v>
      </c>
      <c r="O79" s="2" t="n">
        <v>3700</v>
      </c>
      <c r="P79" s="2" t="inlineStr">
        <is>
          <t>manual</t>
        </is>
      </c>
      <c r="Q79" s="2" t="inlineStr">
        <is>
          <t>no</t>
        </is>
      </c>
      <c r="R79" s="2" t="inlineStr">
        <is>
          <t>particular</t>
        </is>
      </c>
      <c r="S79" s="2" t="inlineStr">
        <is>
          <t>Valencia</t>
        </is>
      </c>
      <c r="T79" s="2" t="inlineStr">
        <is>
          <t>2026-10-23T16:57:52Z</t>
        </is>
      </c>
      <c r="U79" s="2" t="n">
        <v>12</v>
      </c>
      <c r="V79" s="2" t="inlineStr">
        <is>
          <t>sí</t>
        </is>
      </c>
      <c r="W79" s="2" t="n"/>
      <c r="X79" s="2" t="n"/>
      <c r="Y79" s="2" t="n"/>
      <c r="Z79" s="2" t="inlineStr">
        <is>
          <t>no</t>
        </is>
      </c>
      <c r="AA79" s="2" t="n"/>
      <c r="AB79" s="2" t="n"/>
      <c r="AC79" s="2" t="n"/>
      <c r="AD79" s="2" t="n"/>
      <c r="AE79" s="2" t="n"/>
      <c r="AF79" s="2" t="n"/>
      <c r="AG79" s="2" t="n"/>
      <c r="AH79" s="2" t="n">
        <v>3700</v>
      </c>
      <c r="AI79" s="2" t="n"/>
      <c r="AJ79" s="2" t="n"/>
      <c r="AK79" s="2" t="n"/>
      <c r="AL79" s="2" t="n"/>
      <c r="AM79" s="2" t="n">
        <v>0.1</v>
      </c>
      <c r="AN79" s="2" t="n"/>
      <c r="AO79" s="2" t="inlineStr">
        <is>
          <t>06/2010</t>
        </is>
      </c>
      <c r="AP79" s="2" t="n">
        <v>2010</v>
      </c>
      <c r="AQ79" s="2" t="n">
        <v>6</v>
      </c>
      <c r="AR79" s="2" t="inlineStr">
        <is>
          <t>C</t>
        </is>
      </c>
      <c r="AS79" s="2" t="inlineStr">
        <is>
          <t>anuncio</t>
        </is>
      </c>
      <c r="AT79" s="2" t="n">
        <v>4625</v>
      </c>
      <c r="AU79" s="2" t="n">
        <v>8</v>
      </c>
      <c r="AV79" s="2" t="inlineStr">
        <is>
          <t>modelo+año+km</t>
        </is>
      </c>
      <c r="AW79" s="2" t="n"/>
      <c r="AX79" s="2" t="inlineStr">
        <is>
          <t>cuota fija ITP: &gt;12 años, hasta 1.500 cc</t>
        </is>
      </c>
      <c r="AY79" s="2" t="inlineStr">
        <is>
          <t>Lleva incorporado el parrot, perfecto para llamar por teléfonos.
ITV pasada, bloqueo de volante y etiqueta C.</t>
        </is>
      </c>
      <c r="AZ79" s="2" t="inlineStr">
        <is>
          <t>https://www.coches.net/opel-corsa-cosmo-14-5p-gasolina-2010-en-valencia-71818405-covo.aspx (window.__INITIAL_PROPS__.ad) /home/user/Alopecia/buscador-coches/raw/cochesnet/7bc0a8d4e9ae401c.json</t>
        </is>
      </c>
      <c r="BA79" s="3">
        <f>MAX(ANIO_ACTUAL-M79,0)</f>
        <v/>
      </c>
      <c r="BB79" s="4">
        <f>N79/MAX(BA79,0.5)</f>
        <v/>
      </c>
      <c r="BC79" s="4">
        <f>F79</f>
        <v/>
      </c>
      <c r="BD79" s="3">
        <f>BC79&amp;"|"&amp;INT(M79/SEG_ANIO)*SEG_ANIO</f>
        <v/>
      </c>
      <c r="BE79" s="3">
        <f>BD79&amp;"|"&amp;INT(N79/SEG_KM)*SEG_KM</f>
        <v/>
      </c>
      <c r="BF79" s="4">
        <f>COUNTIF($BC$2:$BC$545,BC79)</f>
        <v/>
      </c>
      <c r="BG79" s="4">
        <f>COUNTIF($BD$2:$BD$545,BD79)</f>
        <v/>
      </c>
      <c r="BH79" s="4">
        <f>COUNTIF($BE$2:$BE$545,BE79)</f>
        <v/>
      </c>
      <c r="BI79" s="3">
        <f t="array" ref="BI79">IF(N(AU79)&gt;=MIN_N,AT79,IF(BH79&gt;=MIN_N,MEDIAN(IF($BE$2:$BE$545=BE79,$O$2:$O$545)),IF(BG79&gt;=MIN_N,MEDIAN(IF($BD$2:$BD$545=BD79,$O$2:$O$545)),MEDIAN(IF($BC$2:$BC$545=BC79,$O$2:$O$545)))))</f>
        <v/>
      </c>
      <c r="BJ79" s="3">
        <f>IF(N(AU79)&gt;=MIN_N,"mercado "&amp;AV79,IF(BH79&gt;=MIN_N,"modelo+año+km",IF(BG79&gt;=MIN_N,"modelo+año","modelo")))</f>
        <v/>
      </c>
      <c r="BK79" s="4">
        <f>(BI79-O79)/BI79</f>
        <v/>
      </c>
      <c r="BL79" s="3">
        <f>IF(COUNTIFS(FR_FUEL,K79,FR_YEAR,AP79)&gt;0,1,0)</f>
        <v/>
      </c>
      <c r="BM79" s="3">
        <f>IF(COUNTIFS(FR_FUEL,K79,FR_YEAR,AP79-1)&gt;0,1,0)</f>
        <v/>
      </c>
      <c r="BN79" s="4">
        <f>IF(N(AQ79)&gt;0,AP79*100+AQ79,IF(AND(BL79=1,BM79=1),(AP79-1)*100+1,AP79*100+1))</f>
        <v/>
      </c>
      <c r="BO79" s="3">
        <f>IF(OR(K79="hibrido",K79="glp",K79="gnc",K79="phev"),"ECO",IF(K79="electrico","CERO",IF(K79="gasolina",IF(BN79&gt;=GAS_C_YM,"C",IF(BN79&gt;=GAS_B_YM,"B","A")),IF(K79="diesel",IF(BN79&gt;=DIE_C_YM,"C",IF(BN79&gt;=DIE_B_YM,"B","A")),""))))</f>
        <v/>
      </c>
      <c r="BP79" s="2" t="inlineStr">
        <is>
          <t>C</t>
        </is>
      </c>
      <c r="BQ79" s="4">
        <f>IF(AS79="regla",IF(AND(N(AQ79)=0,BL79=1),"sí","no"),"no")</f>
        <v/>
      </c>
      <c r="BR79" s="3">
        <f>IFERROR(VLOOKUP(F79,MOD_TBL,11,0),IFERROR(VLOOKUP(E79,OCU_TBL,2,0),NEUTRO))</f>
        <v/>
      </c>
      <c r="BS79" s="3">
        <f>SUMIFS(MOT_AJUSTE,MOT_MOTOR,G79,MOT_MARCA,E79,MOT_DESDE,"&lt;="&amp;M79,MOT_HASTA,"&gt;="&amp;M79)+SUMIFS(MOT_AJUSTE,MOT_MOTOR,G79,MOT_MARCA,"(todas)",MOT_DESDE,"&lt;="&amp;M79,MOT_HASTA,"&gt;="&amp;M79)</f>
        <v/>
      </c>
      <c r="BT79" s="3">
        <f>SUMIFS(COMB_AJUSTE,COMB_COMB,K79)</f>
        <v/>
      </c>
      <c r="BU79" s="3">
        <f>COUNTIFS(MOT_MOTOR,G79,MOT_MARCA,E79,MOT_DESDE,"&lt;="&amp;M79,MOT_HASTA,"&gt;="&amp;M79)+COUNTIFS(MOT_MOTOR,G79,MOT_MARCA,"(todas)",MOT_DESDE,"&lt;="&amp;M79,MOT_HASTA,"&gt;="&amp;M79)</f>
        <v/>
      </c>
      <c r="BV79" s="3">
        <f>IF(AND(K79="diesel",BU79=0),MIN(BR79,NEUTRO),BR79)</f>
        <v/>
      </c>
      <c r="BW79" s="4">
        <f>MAX(0,MIN(100,BV79+BS79+BT79))</f>
        <v/>
      </c>
      <c r="BX79" s="3">
        <f>MAX(0,MIN(100,50+BK79*PRECIO_PEND))</f>
        <v/>
      </c>
      <c r="BY79" s="3">
        <f>MAX(0,100*(1-N79/KM_MAX))</f>
        <v/>
      </c>
      <c r="BZ79" s="3">
        <f>IF(BB79&lt;KMA_SOSP,IF(AA79="sí",100,KMA_PEN),IF(BB79&lt;=KMA_IDEAL_MAX,100,MAX(0,100*(KMA_CERO-BB79)/(KMA_CERO-KMA_IDEAL_MAX))))</f>
        <v/>
      </c>
      <c r="CA79" s="3">
        <f>MAX(0,MIN(100,100*(M79-ANIO_MIN)/(ANIO_ACTUAL-ANIO_MIN)))</f>
        <v/>
      </c>
      <c r="CB79" s="3">
        <f>W_KMT*BY79+W_KMA*BZ79+W_EDAD*CA79</f>
        <v/>
      </c>
      <c r="CC79" s="3">
        <f>P_ITV*(V79="sí")+P_LIBRO*(W79="sí")+P_CORREA*(X79="sí")+P_PROP*(Y79=1)+P_GAR*(Z79="sí")+P_FOTOS*MIN(1,N(U79)/FOTOS_OBJ)</f>
        <v/>
      </c>
      <c r="CD79" s="3">
        <f>MAX(0,MIN(100,IFERROR(VLOOKUP(BP79,ETQ_TBL,2,0),0)-IF(BQ79="sí",ETQ_PEN_DUD,IF(AS79="regla",ETQ_PEN_REGLA,0))))</f>
        <v/>
      </c>
      <c r="CE79" s="3">
        <f>NEUTRO</f>
        <v/>
      </c>
      <c r="CF79" s="3">
        <f>IFERROR(VLOOKUP(L79,SEGURO_TBL,3,0),"")</f>
        <v/>
      </c>
      <c r="CG79" s="3">
        <f>IF(CF79="",NEUTRO,MAX(0,MIN(100,100*(SEG_REF_MAX-CF79)/(SEG_REF_MAX-SEG_REF_MIN))))</f>
        <v/>
      </c>
      <c r="CH79" s="3">
        <f>W_CONS*CE79+W_SEG*CG79</f>
        <v/>
      </c>
      <c r="CI79" s="3">
        <f>IF(N(AB79)&gt;0,AB79,IF(AND(R79="profesional",SG_LEGAL_ON=1),GAR_LEGAL,0))</f>
        <v/>
      </c>
      <c r="CJ79" s="3">
        <f>SG_GAR*MIN(1,CI79/SG_GAR_FULL)+SG_AMPL*(AC79="sí")+SG_KMC*(AF79="sí")+SG_REV*(N(AE79)&gt;0)+SG_DEV*MIN(1,N(AG79)/SG_DEV_FULL)+SG_HIST*(W79="sí")</f>
        <v/>
      </c>
      <c r="CK79" s="3">
        <f>IFERROR(VLOOKUP(L79,CARR_PEN_TBL,2,0),0)</f>
        <v/>
      </c>
      <c r="CL79" s="3">
        <f>W_FIAB*BW79+W_PRECIO*BX79+W_KMEDAD*CB79+W_ANUNCIO*CC79+W_USO*CH79+W_SEGURIDAD*CJ79+W_ETIQUETA*CD79-CK79</f>
        <v/>
      </c>
      <c r="CM79" s="4">
        <f>IF(N(I79)&gt;0,I79,IFERROR(ROUND(_xlfn.NUMBERVALUE(LEFT(G79,FIND(" ",G79&amp;" ")-1),".")*1000,0),99999))</f>
        <v/>
      </c>
      <c r="CN79" s="3">
        <f>IF(R79="profesional",0,IF(O79&lt;CUOTA_VALOR_MAX,IF(BA79&gt;ITP_TRAMO_ALTO,SUMIFS(CF_CUOTA,CF_MAS,ITP_TRAMO_ALTO,CF_CCMIN,"&lt;="&amp;CM79,CF_CCMAX,"&gt;="&amp;CM79),IF(BA79&gt;ITP_TRAMO_BAJO,SUMIFS(CF_CUOTA,CF_MAS,ITP_TRAMO_BAJO,CF_CCMIN,"&lt;="&amp;CM79,CF_CCMAX,"&gt;="&amp;CM79),O79*ITP_TIPO)),O79*ITP_TIPO))</f>
        <v/>
      </c>
      <c r="CO79" s="4">
        <f>IF(R79="profesional",N(AK79),0)</f>
        <v/>
      </c>
      <c r="CP79" s="3">
        <f>IF(AND(R79="profesional",ISNUMBER(AK79),AL79="sí"),0,TASA_DGT)</f>
        <v/>
      </c>
      <c r="CQ79" s="3">
        <f>INFORME_DGT</f>
        <v/>
      </c>
      <c r="CR79" s="4">
        <f>O79+CO79+CN79+CP79+CQ79</f>
        <v/>
      </c>
      <c r="CS79" s="4">
        <f>CR79+N(CF79)</f>
        <v/>
      </c>
      <c r="CT79" s="3">
        <f>IF(CR79&lt;=TOTAL_MAX,"sí",IF(CR79&lt;=TOTAL_MAX+MARGEN_NEG,"negociar","no"))</f>
        <v/>
      </c>
      <c r="CU79" s="4">
        <f>IF(CT79&lt;&gt;"no",COUNTIFS($CT$2:$CT$545,"&lt;&gt;no",$CL$2:$CL$545,"&gt;"&amp;CL79)+COUNTIFS($CT$2:CT79,"&lt;&gt;no",$CL$2:CL79,CL79),"")</f>
        <v/>
      </c>
    </row>
    <row r="80">
      <c r="A80" s="2" t="inlineStr">
        <is>
          <t>cochesnet:71729834</t>
        </is>
      </c>
      <c r="B80" s="2" t="inlineStr">
        <is>
          <t>cochesnet</t>
        </is>
      </c>
      <c r="C80" s="2" t="inlineStr">
        <is>
          <t>https://www.coches.net/opel-corsa-12-expression-start--stop-5p-gasolina-2012-en-valencia-71729834-covo.aspx</t>
        </is>
      </c>
      <c r="D80" s="2" t="inlineStr">
        <is>
          <t>OPEL Corsa 1.2 Expression Start Stop</t>
        </is>
      </c>
      <c r="E80" s="2" t="inlineStr">
        <is>
          <t>Opel</t>
        </is>
      </c>
      <c r="F80" s="2" t="inlineStr">
        <is>
          <t>Opel Corsa</t>
        </is>
      </c>
      <c r="G80" s="2" t="inlineStr">
        <is>
          <t>1.2</t>
        </is>
      </c>
      <c r="H80" s="2" t="inlineStr">
        <is>
          <t>1.2 Expression Start  Stop</t>
        </is>
      </c>
      <c r="I80" s="2" t="n"/>
      <c r="J80" s="2" t="n"/>
      <c r="K80" s="2" t="inlineStr">
        <is>
          <t>gasolina</t>
        </is>
      </c>
      <c r="L80" s="2" t="inlineStr">
        <is>
          <t>utilitario</t>
        </is>
      </c>
      <c r="M80" s="2" t="n">
        <v>2012</v>
      </c>
      <c r="N80" s="2" t="n">
        <v>166000</v>
      </c>
      <c r="O80" s="2" t="n">
        <v>4300</v>
      </c>
      <c r="P80" s="2" t="inlineStr">
        <is>
          <t>manual</t>
        </is>
      </c>
      <c r="Q80" s="2" t="inlineStr">
        <is>
          <t>no</t>
        </is>
      </c>
      <c r="R80" s="2" t="inlineStr">
        <is>
          <t>particular</t>
        </is>
      </c>
      <c r="S80" s="2" t="inlineStr">
        <is>
          <t>Valencia</t>
        </is>
      </c>
      <c r="T80" s="2" t="inlineStr">
        <is>
          <t>2026-10-13T07:31:22Z</t>
        </is>
      </c>
      <c r="U80" s="2" t="n">
        <v>4</v>
      </c>
      <c r="V80" s="2" t="n"/>
      <c r="W80" s="2" t="n"/>
      <c r="X80" s="2" t="n"/>
      <c r="Y80" s="2" t="n"/>
      <c r="Z80" s="2" t="inlineStr">
        <is>
          <t>no</t>
        </is>
      </c>
      <c r="AA80" s="2" t="n"/>
      <c r="AB80" s="2" t="n"/>
      <c r="AC80" s="2" t="n"/>
      <c r="AD80" s="2" t="n"/>
      <c r="AE80" s="2" t="n"/>
      <c r="AF80" s="2" t="n"/>
      <c r="AG80" s="2" t="n"/>
      <c r="AH80" s="2" t="n">
        <v>4300</v>
      </c>
      <c r="AI80" s="2" t="n"/>
      <c r="AJ80" s="2" t="n"/>
      <c r="AK80" s="2" t="n"/>
      <c r="AL80" s="2" t="n"/>
      <c r="AM80" s="2" t="n">
        <v>0.1</v>
      </c>
      <c r="AN80" s="2" t="n"/>
      <c r="AO80" s="2" t="inlineStr">
        <is>
          <t>2012</t>
        </is>
      </c>
      <c r="AP80" s="2" t="n">
        <v>2012</v>
      </c>
      <c r="AQ80" s="2" t="n"/>
      <c r="AR80" s="2" t="inlineStr">
        <is>
          <t>C</t>
        </is>
      </c>
      <c r="AS80" s="2" t="inlineStr">
        <is>
          <t>anuncio</t>
        </is>
      </c>
      <c r="AT80" s="2" t="n">
        <v>3500</v>
      </c>
      <c r="AU80" s="2" t="n">
        <v>7</v>
      </c>
      <c r="AV80" s="2" t="inlineStr">
        <is>
          <t>modelo+año+km</t>
        </is>
      </c>
      <c r="AW80" s="2" t="n"/>
      <c r="AX80" s="2" t="inlineStr">
        <is>
          <t>cuota fija ITP: &gt;12 años, hasta 1.500 cc</t>
        </is>
      </c>
      <c r="AY80" s="2" t="inlineStr">
        <is>
          <t>Revisión mecánica al día yneumáticos cambiados recientemente</t>
        </is>
      </c>
      <c r="AZ80" s="2" t="inlineStr">
        <is>
          <t>https://www.coches.net/opel-corsa-12-expression-start--stop-5p-gasolina-2012-en-valencia-71729834-covo.aspx (window.__INITIAL_PROPS__.ad) /home/user/Alopecia/buscador-coches/raw/cochesnet/3b6a5f8f4f22e958.json</t>
        </is>
      </c>
      <c r="BA80" s="3">
        <f>MAX(ANIO_ACTUAL-M80,0)</f>
        <v/>
      </c>
      <c r="BB80" s="4">
        <f>N80/MAX(BA80,0.5)</f>
        <v/>
      </c>
      <c r="BC80" s="4">
        <f>F80</f>
        <v/>
      </c>
      <c r="BD80" s="3">
        <f>BC80&amp;"|"&amp;INT(M80/SEG_ANIO)*SEG_ANIO</f>
        <v/>
      </c>
      <c r="BE80" s="3">
        <f>BD80&amp;"|"&amp;INT(N80/SEG_KM)*SEG_KM</f>
        <v/>
      </c>
      <c r="BF80" s="4">
        <f>COUNTIF($BC$2:$BC$545,BC80)</f>
        <v/>
      </c>
      <c r="BG80" s="4">
        <f>COUNTIF($BD$2:$BD$545,BD80)</f>
        <v/>
      </c>
      <c r="BH80" s="4">
        <f>COUNTIF($BE$2:$BE$545,BE80)</f>
        <v/>
      </c>
      <c r="BI80" s="3">
        <f t="array" ref="BI80">IF(N(AU80)&gt;=MIN_N,AT80,IF(BH80&gt;=MIN_N,MEDIAN(IF($BE$2:$BE$545=BE80,$O$2:$O$545)),IF(BG80&gt;=MIN_N,MEDIAN(IF($BD$2:$BD$545=BD80,$O$2:$O$545)),MEDIAN(IF($BC$2:$BC$545=BC80,$O$2:$O$545)))))</f>
        <v/>
      </c>
      <c r="BJ80" s="3">
        <f>IF(N(AU80)&gt;=MIN_N,"mercado "&amp;AV80,IF(BH80&gt;=MIN_N,"modelo+año+km",IF(BG80&gt;=MIN_N,"modelo+año","modelo")))</f>
        <v/>
      </c>
      <c r="BK80" s="4">
        <f>(BI80-O80)/BI80</f>
        <v/>
      </c>
      <c r="BL80" s="3">
        <f>IF(COUNTIFS(FR_FUEL,K80,FR_YEAR,AP80)&gt;0,1,0)</f>
        <v/>
      </c>
      <c r="BM80" s="3">
        <f>IF(COUNTIFS(FR_FUEL,K80,FR_YEAR,AP80-1)&gt;0,1,0)</f>
        <v/>
      </c>
      <c r="BN80" s="4">
        <f>IF(N(AQ80)&gt;0,AP80*100+AQ80,IF(AND(BL80=1,BM80=1),(AP80-1)*100+1,AP80*100+1))</f>
        <v/>
      </c>
      <c r="BO80" s="3">
        <f>IF(OR(K80="hibrido",K80="glp",K80="gnc",K80="phev"),"ECO",IF(K80="electrico","CERO",IF(K80="gasolina",IF(BN80&gt;=GAS_C_YM,"C",IF(BN80&gt;=GAS_B_YM,"B","A")),IF(K80="diesel",IF(BN80&gt;=DIE_C_YM,"C",IF(BN80&gt;=DIE_B_YM,"B","A")),""))))</f>
        <v/>
      </c>
      <c r="BP80" s="2" t="inlineStr">
        <is>
          <t>C</t>
        </is>
      </c>
      <c r="BQ80" s="4">
        <f>IF(AS80="regla",IF(AND(N(AQ80)=0,BL80=1),"sí","no"),"no")</f>
        <v/>
      </c>
      <c r="BR80" s="3">
        <f>IFERROR(VLOOKUP(F80,MOD_TBL,11,0),IFERROR(VLOOKUP(E80,OCU_TBL,2,0),NEUTRO))</f>
        <v/>
      </c>
      <c r="BS80" s="3">
        <f>SUMIFS(MOT_AJUSTE,MOT_MOTOR,G80,MOT_MARCA,E80,MOT_DESDE,"&lt;="&amp;M80,MOT_HASTA,"&gt;="&amp;M80)+SUMIFS(MOT_AJUSTE,MOT_MOTOR,G80,MOT_MARCA,"(todas)",MOT_DESDE,"&lt;="&amp;M80,MOT_HASTA,"&gt;="&amp;M80)</f>
        <v/>
      </c>
      <c r="BT80" s="3">
        <f>SUMIFS(COMB_AJUSTE,COMB_COMB,K80)</f>
        <v/>
      </c>
      <c r="BU80" s="3">
        <f>COUNTIFS(MOT_MOTOR,G80,MOT_MARCA,E80,MOT_DESDE,"&lt;="&amp;M80,MOT_HASTA,"&gt;="&amp;M80)+COUNTIFS(MOT_MOTOR,G80,MOT_MARCA,"(todas)",MOT_DESDE,"&lt;="&amp;M80,MOT_HASTA,"&gt;="&amp;M80)</f>
        <v/>
      </c>
      <c r="BV80" s="3">
        <f>IF(AND(K80="diesel",BU80=0),MIN(BR80,NEUTRO),BR80)</f>
        <v/>
      </c>
      <c r="BW80" s="4">
        <f>MAX(0,MIN(100,BV80+BS80+BT80))</f>
        <v/>
      </c>
      <c r="BX80" s="3">
        <f>MAX(0,MIN(100,50+BK80*PRECIO_PEND))</f>
        <v/>
      </c>
      <c r="BY80" s="3">
        <f>MAX(0,100*(1-N80/KM_MAX))</f>
        <v/>
      </c>
      <c r="BZ80" s="3">
        <f>IF(BB80&lt;KMA_SOSP,IF(AA80="sí",100,KMA_PEN),IF(BB80&lt;=KMA_IDEAL_MAX,100,MAX(0,100*(KMA_CERO-BB80)/(KMA_CERO-KMA_IDEAL_MAX))))</f>
        <v/>
      </c>
      <c r="CA80" s="3">
        <f>MAX(0,MIN(100,100*(M80-ANIO_MIN)/(ANIO_ACTUAL-ANIO_MIN)))</f>
        <v/>
      </c>
      <c r="CB80" s="3">
        <f>W_KMT*BY80+W_KMA*BZ80+W_EDAD*CA80</f>
        <v/>
      </c>
      <c r="CC80" s="3">
        <f>P_ITV*(V80="sí")+P_LIBRO*(W80="sí")+P_CORREA*(X80="sí")+P_PROP*(Y80=1)+P_GAR*(Z80="sí")+P_FOTOS*MIN(1,N(U80)/FOTOS_OBJ)</f>
        <v/>
      </c>
      <c r="CD80" s="3">
        <f>MAX(0,MIN(100,IFERROR(VLOOKUP(BP80,ETQ_TBL,2,0),0)-IF(BQ80="sí",ETQ_PEN_DUD,IF(AS80="regla",ETQ_PEN_REGLA,0))))</f>
        <v/>
      </c>
      <c r="CE80" s="3">
        <f>NEUTRO</f>
        <v/>
      </c>
      <c r="CF80" s="3">
        <f>IFERROR(VLOOKUP(L80,SEGURO_TBL,3,0),"")</f>
        <v/>
      </c>
      <c r="CG80" s="3">
        <f>IF(CF80="",NEUTRO,MAX(0,MIN(100,100*(SEG_REF_MAX-CF80)/(SEG_REF_MAX-SEG_REF_MIN))))</f>
        <v/>
      </c>
      <c r="CH80" s="3">
        <f>W_CONS*CE80+W_SEG*CG80</f>
        <v/>
      </c>
      <c r="CI80" s="3">
        <f>IF(N(AB80)&gt;0,AB80,IF(AND(R80="profesional",SG_LEGAL_ON=1),GAR_LEGAL,0))</f>
        <v/>
      </c>
      <c r="CJ80" s="3">
        <f>SG_GAR*MIN(1,CI80/SG_GAR_FULL)+SG_AMPL*(AC80="sí")+SG_KMC*(AF80="sí")+SG_REV*(N(AE80)&gt;0)+SG_DEV*MIN(1,N(AG80)/SG_DEV_FULL)+SG_HIST*(W80="sí")</f>
        <v/>
      </c>
      <c r="CK80" s="3">
        <f>IFERROR(VLOOKUP(L80,CARR_PEN_TBL,2,0),0)</f>
        <v/>
      </c>
      <c r="CL80" s="3">
        <f>W_FIAB*BW80+W_PRECIO*BX80+W_KMEDAD*CB80+W_ANUNCIO*CC80+W_USO*CH80+W_SEGURIDAD*CJ80+W_ETIQUETA*CD80-CK80</f>
        <v/>
      </c>
      <c r="CM80" s="4">
        <f>IF(N(I80)&gt;0,I80,IFERROR(ROUND(_xlfn.NUMBERVALUE(LEFT(G80,FIND(" ",G80&amp;" ")-1),".")*1000,0),99999))</f>
        <v/>
      </c>
      <c r="CN80" s="3">
        <f>IF(R80="profesional",0,IF(O80&lt;CUOTA_VALOR_MAX,IF(BA80&gt;ITP_TRAMO_ALTO,SUMIFS(CF_CUOTA,CF_MAS,ITP_TRAMO_ALTO,CF_CCMIN,"&lt;="&amp;CM80,CF_CCMAX,"&gt;="&amp;CM80),IF(BA80&gt;ITP_TRAMO_BAJO,SUMIFS(CF_CUOTA,CF_MAS,ITP_TRAMO_BAJO,CF_CCMIN,"&lt;="&amp;CM80,CF_CCMAX,"&gt;="&amp;CM80),O80*ITP_TIPO)),O80*ITP_TIPO))</f>
        <v/>
      </c>
      <c r="CO80" s="4">
        <f>IF(R80="profesional",N(AK80),0)</f>
        <v/>
      </c>
      <c r="CP80" s="3">
        <f>IF(AND(R80="profesional",ISNUMBER(AK80),AL80="sí"),0,TASA_DGT)</f>
        <v/>
      </c>
      <c r="CQ80" s="3">
        <f>INFORME_DGT</f>
        <v/>
      </c>
      <c r="CR80" s="4">
        <f>O80+CO80+CN80+CP80+CQ80</f>
        <v/>
      </c>
      <c r="CS80" s="4">
        <f>CR80+N(CF80)</f>
        <v/>
      </c>
      <c r="CT80" s="3">
        <f>IF(CR80&lt;=TOTAL_MAX,"sí",IF(CR80&lt;=TOTAL_MAX+MARGEN_NEG,"negociar","no"))</f>
        <v/>
      </c>
      <c r="CU80" s="4">
        <f>IF(CT80&lt;&gt;"no",COUNTIFS($CT$2:$CT$545,"&lt;&gt;no",$CL$2:$CL$545,"&gt;"&amp;CL80)+COUNTIFS($CT$2:CT80,"&lt;&gt;no",$CL$2:CL80,CL80),"")</f>
        <v/>
      </c>
    </row>
    <row r="81">
      <c r="A81" s="2" t="inlineStr">
        <is>
          <t>cochesnet:71625576</t>
        </is>
      </c>
      <c r="B81" s="2" t="inlineStr">
        <is>
          <t>cochesnet</t>
        </is>
      </c>
      <c r="C81" s="2" t="inlineStr">
        <is>
          <t>https://www.coches.net/opel-corsa-10-essentia-3p-gasolina-2011-en-valencia-71625576-covo.aspx</t>
        </is>
      </c>
      <c r="D81" s="2" t="inlineStr">
        <is>
          <t>OPEL Corsa 1.0 Essentia</t>
        </is>
      </c>
      <c r="E81" s="2" t="inlineStr">
        <is>
          <t>Opel</t>
        </is>
      </c>
      <c r="F81" s="2" t="inlineStr">
        <is>
          <t>Opel Corsa</t>
        </is>
      </c>
      <c r="G81" s="2" t="inlineStr">
        <is>
          <t>1.0</t>
        </is>
      </c>
      <c r="H81" s="2" t="inlineStr">
        <is>
          <t>1.0 Essentia</t>
        </is>
      </c>
      <c r="I81" s="2" t="n"/>
      <c r="J81" s="2" t="n"/>
      <c r="K81" s="2" t="inlineStr">
        <is>
          <t>gasolina</t>
        </is>
      </c>
      <c r="L81" s="2" t="inlineStr">
        <is>
          <t>utilitario</t>
        </is>
      </c>
      <c r="M81" s="2" t="n">
        <v>2010</v>
      </c>
      <c r="N81" s="2" t="n">
        <v>205000</v>
      </c>
      <c r="O81" s="2" t="n">
        <v>3990</v>
      </c>
      <c r="P81" s="2" t="inlineStr">
        <is>
          <t>manual</t>
        </is>
      </c>
      <c r="Q81" s="2" t="inlineStr">
        <is>
          <t>no</t>
        </is>
      </c>
      <c r="R81" s="2" t="inlineStr">
        <is>
          <t>profesional</t>
        </is>
      </c>
      <c r="S81" s="2" t="inlineStr">
        <is>
          <t>Fos Motor Valencia</t>
        </is>
      </c>
      <c r="T81" s="2" t="inlineStr">
        <is>
          <t>2026-09-29T16:17:21Z</t>
        </is>
      </c>
      <c r="U81" s="2" t="n">
        <v>11</v>
      </c>
      <c r="V81" s="2" t="n"/>
      <c r="W81" s="2" t="n"/>
      <c r="X81" s="2" t="n"/>
      <c r="Y81" s="2" t="n"/>
      <c r="Z81" s="2" t="inlineStr">
        <is>
          <t>sí</t>
        </is>
      </c>
      <c r="AA81" s="2" t="n"/>
      <c r="AB81" s="2" t="n">
        <v>12</v>
      </c>
      <c r="AC81" s="2" t="n"/>
      <c r="AD81" s="2" t="n"/>
      <c r="AE81" s="2" t="n"/>
      <c r="AF81" s="2" t="inlineStr">
        <is>
          <t>sí</t>
        </is>
      </c>
      <c r="AG81" s="2" t="n"/>
      <c r="AH81" s="2" t="n">
        <v>3990</v>
      </c>
      <c r="AI81" s="2" t="n">
        <v>3990</v>
      </c>
      <c r="AJ81" s="2" t="n"/>
      <c r="AK81" s="2" t="n"/>
      <c r="AL81" s="2" t="n"/>
      <c r="AM81" s="2" t="n">
        <v>0.1</v>
      </c>
      <c r="AN81" s="2" t="n"/>
      <c r="AO81" s="2" t="inlineStr">
        <is>
          <t>2010</t>
        </is>
      </c>
      <c r="AP81" s="2" t="n">
        <v>2010</v>
      </c>
      <c r="AQ81" s="2" t="n"/>
      <c r="AR81" s="2" t="inlineStr">
        <is>
          <t>C</t>
        </is>
      </c>
      <c r="AS81" s="2" t="inlineStr">
        <is>
          <t>anuncio</t>
        </is>
      </c>
      <c r="AT81" s="2" t="n">
        <v>2990</v>
      </c>
      <c r="AU81" s="2" t="n">
        <v>4</v>
      </c>
      <c r="AV81" s="2" t="inlineStr">
        <is>
          <t>modelo+año+km</t>
        </is>
      </c>
      <c r="AW81" s="2" t="n"/>
      <c r="AX81" s="2" t="inlineStr">
        <is>
          <t>vendedor profesional: sin ITP (operación con IVA/REBU, confirmar en factura); gastos de gestión del vendedor no indicados: se suma la tasa DGT; preguntar el precio final</t>
        </is>
      </c>
      <c r="AY81"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AZ81" s="2" t="inlineStr">
        <is>
          <t>https://www.coches.net/opel-corsa-10-essentia-3p-gasolina-2011-en-valencia-71625576-covo.aspx (window.__INITIAL_PROPS__.ad) /home/user/Alopecia/buscador-coches/raw/cochesnet/25f38d7266968fd1.json</t>
        </is>
      </c>
      <c r="BA81" s="3">
        <f>MAX(ANIO_ACTUAL-M81,0)</f>
        <v/>
      </c>
      <c r="BB81" s="4">
        <f>N81/MAX(BA81,0.5)</f>
        <v/>
      </c>
      <c r="BC81" s="4">
        <f>F81</f>
        <v/>
      </c>
      <c r="BD81" s="3">
        <f>BC81&amp;"|"&amp;INT(M81/SEG_ANIO)*SEG_ANIO</f>
        <v/>
      </c>
      <c r="BE81" s="3">
        <f>BD81&amp;"|"&amp;INT(N81/SEG_KM)*SEG_KM</f>
        <v/>
      </c>
      <c r="BF81" s="4">
        <f>COUNTIF($BC$2:$BC$545,BC81)</f>
        <v/>
      </c>
      <c r="BG81" s="4">
        <f>COUNTIF($BD$2:$BD$545,BD81)</f>
        <v/>
      </c>
      <c r="BH81" s="4">
        <f>COUNTIF($BE$2:$BE$545,BE81)</f>
        <v/>
      </c>
      <c r="BI81" s="3">
        <f t="array" ref="BI81">IF(N(AU81)&gt;=MIN_N,AT81,IF(BH81&gt;=MIN_N,MEDIAN(IF($BE$2:$BE$545=BE81,$O$2:$O$545)),IF(BG81&gt;=MIN_N,MEDIAN(IF($BD$2:$BD$545=BD81,$O$2:$O$545)),MEDIAN(IF($BC$2:$BC$545=BC81,$O$2:$O$545)))))</f>
        <v/>
      </c>
      <c r="BJ81" s="3">
        <f>IF(N(AU81)&gt;=MIN_N,"mercado "&amp;AV81,IF(BH81&gt;=MIN_N,"modelo+año+km",IF(BG81&gt;=MIN_N,"modelo+año","modelo")))</f>
        <v/>
      </c>
      <c r="BK81" s="4">
        <f>(BI81-O81)/BI81</f>
        <v/>
      </c>
      <c r="BL81" s="3">
        <f>IF(COUNTIFS(FR_FUEL,K81,FR_YEAR,AP81)&gt;0,1,0)</f>
        <v/>
      </c>
      <c r="BM81" s="3">
        <f>IF(COUNTIFS(FR_FUEL,K81,FR_YEAR,AP81-1)&gt;0,1,0)</f>
        <v/>
      </c>
      <c r="BN81" s="4">
        <f>IF(N(AQ81)&gt;0,AP81*100+AQ81,IF(AND(BL81=1,BM81=1),(AP81-1)*100+1,AP81*100+1))</f>
        <v/>
      </c>
      <c r="BO81" s="3">
        <f>IF(OR(K81="hibrido",K81="glp",K81="gnc",K81="phev"),"ECO",IF(K81="electrico","CERO",IF(K81="gasolina",IF(BN81&gt;=GAS_C_YM,"C",IF(BN81&gt;=GAS_B_YM,"B","A")),IF(K81="diesel",IF(BN81&gt;=DIE_C_YM,"C",IF(BN81&gt;=DIE_B_YM,"B","A")),""))))</f>
        <v/>
      </c>
      <c r="BP81" s="2" t="inlineStr">
        <is>
          <t>C</t>
        </is>
      </c>
      <c r="BQ81" s="4">
        <f>IF(AS81="regla",IF(AND(N(AQ81)=0,BL81=1),"sí","no"),"no")</f>
        <v/>
      </c>
      <c r="BR81" s="3">
        <f>IFERROR(VLOOKUP(F81,MOD_TBL,11,0),IFERROR(VLOOKUP(E81,OCU_TBL,2,0),NEUTRO))</f>
        <v/>
      </c>
      <c r="BS81" s="3">
        <f>SUMIFS(MOT_AJUSTE,MOT_MOTOR,G81,MOT_MARCA,E81,MOT_DESDE,"&lt;="&amp;M81,MOT_HASTA,"&gt;="&amp;M81)+SUMIFS(MOT_AJUSTE,MOT_MOTOR,G81,MOT_MARCA,"(todas)",MOT_DESDE,"&lt;="&amp;M81,MOT_HASTA,"&gt;="&amp;M81)</f>
        <v/>
      </c>
      <c r="BT81" s="3">
        <f>SUMIFS(COMB_AJUSTE,COMB_COMB,K81)</f>
        <v/>
      </c>
      <c r="BU81" s="3">
        <f>COUNTIFS(MOT_MOTOR,G81,MOT_MARCA,E81,MOT_DESDE,"&lt;="&amp;M81,MOT_HASTA,"&gt;="&amp;M81)+COUNTIFS(MOT_MOTOR,G81,MOT_MARCA,"(todas)",MOT_DESDE,"&lt;="&amp;M81,MOT_HASTA,"&gt;="&amp;M81)</f>
        <v/>
      </c>
      <c r="BV81" s="3">
        <f>IF(AND(K81="diesel",BU81=0),MIN(BR81,NEUTRO),BR81)</f>
        <v/>
      </c>
      <c r="BW81" s="4">
        <f>MAX(0,MIN(100,BV81+BS81+BT81))</f>
        <v/>
      </c>
      <c r="BX81" s="3">
        <f>MAX(0,MIN(100,50+BK81*PRECIO_PEND))</f>
        <v/>
      </c>
      <c r="BY81" s="3">
        <f>MAX(0,100*(1-N81/KM_MAX))</f>
        <v/>
      </c>
      <c r="BZ81" s="3">
        <f>IF(BB81&lt;KMA_SOSP,IF(AA81="sí",100,KMA_PEN),IF(BB81&lt;=KMA_IDEAL_MAX,100,MAX(0,100*(KMA_CERO-BB81)/(KMA_CERO-KMA_IDEAL_MAX))))</f>
        <v/>
      </c>
      <c r="CA81" s="3">
        <f>MAX(0,MIN(100,100*(M81-ANIO_MIN)/(ANIO_ACTUAL-ANIO_MIN)))</f>
        <v/>
      </c>
      <c r="CB81" s="3">
        <f>W_KMT*BY81+W_KMA*BZ81+W_EDAD*CA81</f>
        <v/>
      </c>
      <c r="CC81" s="3">
        <f>P_ITV*(V81="sí")+P_LIBRO*(W81="sí")+P_CORREA*(X81="sí")+P_PROP*(Y81=1)+P_GAR*(Z81="sí")+P_FOTOS*MIN(1,N(U81)/FOTOS_OBJ)</f>
        <v/>
      </c>
      <c r="CD81" s="3">
        <f>MAX(0,MIN(100,IFERROR(VLOOKUP(BP81,ETQ_TBL,2,0),0)-IF(BQ81="sí",ETQ_PEN_DUD,IF(AS81="regla",ETQ_PEN_REGLA,0))))</f>
        <v/>
      </c>
      <c r="CE81" s="3">
        <f>NEUTRO</f>
        <v/>
      </c>
      <c r="CF81" s="3">
        <f>IFERROR(VLOOKUP(L81,SEGURO_TBL,3,0),"")</f>
        <v/>
      </c>
      <c r="CG81" s="3">
        <f>IF(CF81="",NEUTRO,MAX(0,MIN(100,100*(SEG_REF_MAX-CF81)/(SEG_REF_MAX-SEG_REF_MIN))))</f>
        <v/>
      </c>
      <c r="CH81" s="3">
        <f>W_CONS*CE81+W_SEG*CG81</f>
        <v/>
      </c>
      <c r="CI81" s="3">
        <f>IF(N(AB81)&gt;0,AB81,IF(AND(R81="profesional",SG_LEGAL_ON=1),GAR_LEGAL,0))</f>
        <v/>
      </c>
      <c r="CJ81" s="3">
        <f>SG_GAR*MIN(1,CI81/SG_GAR_FULL)+SG_AMPL*(AC81="sí")+SG_KMC*(AF81="sí")+SG_REV*(N(AE81)&gt;0)+SG_DEV*MIN(1,N(AG81)/SG_DEV_FULL)+SG_HIST*(W81="sí")</f>
        <v/>
      </c>
      <c r="CK81" s="3">
        <f>IFERROR(VLOOKUP(L81,CARR_PEN_TBL,2,0),0)</f>
        <v/>
      </c>
      <c r="CL81" s="3">
        <f>W_FIAB*BW81+W_PRECIO*BX81+W_KMEDAD*CB81+W_ANUNCIO*CC81+W_USO*CH81+W_SEGURIDAD*CJ81+W_ETIQUETA*CD81-CK81</f>
        <v/>
      </c>
      <c r="CM81" s="4">
        <f>IF(N(I81)&gt;0,I81,IFERROR(ROUND(_xlfn.NUMBERVALUE(LEFT(G81,FIND(" ",G81&amp;" ")-1),".")*1000,0),99999))</f>
        <v/>
      </c>
      <c r="CN81" s="3">
        <f>IF(R81="profesional",0,IF(O81&lt;CUOTA_VALOR_MAX,IF(BA81&gt;ITP_TRAMO_ALTO,SUMIFS(CF_CUOTA,CF_MAS,ITP_TRAMO_ALTO,CF_CCMIN,"&lt;="&amp;CM81,CF_CCMAX,"&gt;="&amp;CM81),IF(BA81&gt;ITP_TRAMO_BAJO,SUMIFS(CF_CUOTA,CF_MAS,ITP_TRAMO_BAJO,CF_CCMIN,"&lt;="&amp;CM81,CF_CCMAX,"&gt;="&amp;CM81),O81*ITP_TIPO)),O81*ITP_TIPO))</f>
        <v/>
      </c>
      <c r="CO81" s="4">
        <f>IF(R81="profesional",N(AK81),0)</f>
        <v/>
      </c>
      <c r="CP81" s="3">
        <f>IF(AND(R81="profesional",ISNUMBER(AK81),AL81="sí"),0,TASA_DGT)</f>
        <v/>
      </c>
      <c r="CQ81" s="3">
        <f>INFORME_DGT</f>
        <v/>
      </c>
      <c r="CR81" s="4">
        <f>O81+CO81+CN81+CP81+CQ81</f>
        <v/>
      </c>
      <c r="CS81" s="4">
        <f>CR81+N(CF81)</f>
        <v/>
      </c>
      <c r="CT81" s="3">
        <f>IF(CR81&lt;=TOTAL_MAX,"sí",IF(CR81&lt;=TOTAL_MAX+MARGEN_NEG,"negociar","no"))</f>
        <v/>
      </c>
      <c r="CU81" s="4">
        <f>IF(CT81&lt;&gt;"no",COUNTIFS($CT$2:$CT$545,"&lt;&gt;no",$CL$2:$CL$545,"&gt;"&amp;CL81)+COUNTIFS($CT$2:CT81,"&lt;&gt;no",$CL$2:CL81,CL81),"")</f>
        <v/>
      </c>
    </row>
    <row r="82">
      <c r="A82" s="2" t="inlineStr">
        <is>
          <t>cochesnet:71686433</t>
        </is>
      </c>
      <c r="B82" s="2" t="inlineStr">
        <is>
          <t>cochesnet</t>
        </is>
      </c>
      <c r="C82" s="2" t="inlineStr">
        <is>
          <t>https://www.coches.net/opel-corsa-14-selective-start--stop-5p-gasolina-2014-en-valencia-71686433-covo.aspx</t>
        </is>
      </c>
      <c r="D82" s="2" t="inlineStr">
        <is>
          <t>OPEL Corsa 1.4 Selective Start Stop</t>
        </is>
      </c>
      <c r="E82" s="2" t="inlineStr">
        <is>
          <t>Opel</t>
        </is>
      </c>
      <c r="F82" s="2" t="inlineStr">
        <is>
          <t>Opel Corsa</t>
        </is>
      </c>
      <c r="G82" s="2" t="inlineStr">
        <is>
          <t>1.4</t>
        </is>
      </c>
      <c r="H82" s="2" t="inlineStr">
        <is>
          <t>1.4 Selective Start  Stop</t>
        </is>
      </c>
      <c r="I82" s="2" t="n"/>
      <c r="J82" s="2" t="n"/>
      <c r="K82" s="2" t="inlineStr">
        <is>
          <t>gasolina</t>
        </is>
      </c>
      <c r="L82" s="2" t="inlineStr">
        <is>
          <t>utilitario</t>
        </is>
      </c>
      <c r="M82" s="2" t="n">
        <v>2014</v>
      </c>
      <c r="N82" s="2" t="n">
        <v>215000</v>
      </c>
      <c r="O82" s="2" t="n">
        <v>3950</v>
      </c>
      <c r="P82" s="2" t="inlineStr">
        <is>
          <t>manual</t>
        </is>
      </c>
      <c r="Q82" s="2" t="inlineStr">
        <is>
          <t>no</t>
        </is>
      </c>
      <c r="R82" s="2" t="inlineStr">
        <is>
          <t>particular</t>
        </is>
      </c>
      <c r="S82" s="2" t="inlineStr">
        <is>
          <t>Paterna</t>
        </is>
      </c>
      <c r="T82" s="2" t="inlineStr">
        <is>
          <t>2026-10-06T15:44:23Z</t>
        </is>
      </c>
      <c r="U82" s="2" t="n">
        <v>9</v>
      </c>
      <c r="V82" s="2" t="inlineStr">
        <is>
          <t>sí</t>
        </is>
      </c>
      <c r="W82" s="2" t="inlineStr">
        <is>
          <t>sí</t>
        </is>
      </c>
      <c r="X82" s="2" t="n"/>
      <c r="Y82" s="2" t="n"/>
      <c r="Z82" s="2" t="inlineStr">
        <is>
          <t>no</t>
        </is>
      </c>
      <c r="AA82" s="2" t="n"/>
      <c r="AB82" s="2" t="n"/>
      <c r="AC82" s="2" t="n"/>
      <c r="AD82" s="2" t="n"/>
      <c r="AE82" s="2" t="n"/>
      <c r="AF82" s="2" t="n"/>
      <c r="AG82" s="2" t="n"/>
      <c r="AH82" s="2" t="n">
        <v>3950</v>
      </c>
      <c r="AI82" s="2" t="n"/>
      <c r="AJ82" s="2" t="n"/>
      <c r="AK82" s="2" t="n"/>
      <c r="AL82" s="2" t="n"/>
      <c r="AM82" s="2" t="n">
        <v>6.8</v>
      </c>
      <c r="AN82" s="2" t="n"/>
      <c r="AO82" s="2" t="inlineStr">
        <is>
          <t>08/2014</t>
        </is>
      </c>
      <c r="AP82" s="2" t="n">
        <v>2014</v>
      </c>
      <c r="AQ82" s="2" t="n">
        <v>8</v>
      </c>
      <c r="AR82" s="2" t="n"/>
      <c r="AS82" s="2" t="inlineStr">
        <is>
          <t>regla</t>
        </is>
      </c>
      <c r="AT82" s="2" t="n">
        <v>4690</v>
      </c>
      <c r="AU82" s="2" t="n">
        <v>8</v>
      </c>
      <c r="AV82" s="2" t="inlineStr">
        <is>
          <t>modelo+año+km</t>
        </is>
      </c>
      <c r="AW82" s="2" t="n"/>
      <c r="AX82" s="2" t="inlineStr">
        <is>
          <t>cuota fija ITP: &gt;5 y &lt;=12 años, hasta 1.500 cc</t>
        </is>
      </c>
      <c r="AY82" s="2" t="inlineStr">
        <is>
          <t>OPEL CORSA 2014 – PERSONALIZADO Y CON MANTENIMIENTO AL DÍA ??
¿Buscas un coche fiable, de consumo mínimo, pero con estética deportiva y equipamiento moderno? Vendo mi Opel Corsa del año 2014 con 210.000 km, cuidado al detalle y cargado de extras exclusivos que no vienen de fábrica. El coche está impecable y listo para rodar sin tener que invertir un solo euro en él.
?? MANTENIMIENTO COMPLETO Y RECIENTE:
El coche se ha mantenido rigurosamente al día. Cuenta con:
• ITV RECIÉN PASADA: Totalmente al día y válida hasta junio del año que viene.
• Revisión mecánica reciente: Aceite y todos los filtros recién cambiados.
• Frenos: Pastillas de freno totalmente nuevas.
• Renovación de ópticas: Todas las luces de los faros, tanto delanteras como traseras, se acaban de cambiar por completo.
• Estética: Matrículas recién cambiadas de las antiguas metálicas a unas nuevas de metacrilato, mucho más modernas.
?? EXTRAS EXCLUSIVOS AÑADIDOS:
Este coche destaca por su personalización tanto en rendimiento como en estética:
• ILUMINACIÓN: Faros delanteros con bombillas LED H7 HOMOLOGADAS (pasan ITV sin problemas y ofrecen una visibilidad nocturna espectacular).
• MULTIMEDIA Y SONIDO: Pantalla con conexión Bluetooth instantánea (conecta al momento). Además, se ha cambiado y mejorado por completo el equipo de música y los altavoces para una calidad de audio limpia y potente.
• RENDIMIENTO: Filtro de aire cilíndrico de alto flujo y tubo de escape especial que le da un toque extra de personalidad.
• E</t>
        </is>
      </c>
      <c r="AZ82" s="2" t="inlineStr">
        <is>
          <t>https://www.coches.net/opel-corsa-14-selective-start--stop-5p-gasolina-2014-en-valencia-71686433-covo.aspx (window.__INITIAL_PROPS__.ad) /home/user/Alopecia/buscador-coches/raw/cochesnet/0f18ff75809ca372.json</t>
        </is>
      </c>
      <c r="BA82" s="3">
        <f>MAX(ANIO_ACTUAL-M82,0)</f>
        <v/>
      </c>
      <c r="BB82" s="4">
        <f>N82/MAX(BA82,0.5)</f>
        <v/>
      </c>
      <c r="BC82" s="4">
        <f>F82</f>
        <v/>
      </c>
      <c r="BD82" s="3">
        <f>BC82&amp;"|"&amp;INT(M82/SEG_ANIO)*SEG_ANIO</f>
        <v/>
      </c>
      <c r="BE82" s="3">
        <f>BD82&amp;"|"&amp;INT(N82/SEG_KM)*SEG_KM</f>
        <v/>
      </c>
      <c r="BF82" s="4">
        <f>COUNTIF($BC$2:$BC$545,BC82)</f>
        <v/>
      </c>
      <c r="BG82" s="4">
        <f>COUNTIF($BD$2:$BD$545,BD82)</f>
        <v/>
      </c>
      <c r="BH82" s="4">
        <f>COUNTIF($BE$2:$BE$545,BE82)</f>
        <v/>
      </c>
      <c r="BI82" s="3">
        <f t="array" ref="BI82">IF(N(AU82)&gt;=MIN_N,AT82,IF(BH82&gt;=MIN_N,MEDIAN(IF($BE$2:$BE$545=BE82,$O$2:$O$545)),IF(BG82&gt;=MIN_N,MEDIAN(IF($BD$2:$BD$545=BD82,$O$2:$O$545)),MEDIAN(IF($BC$2:$BC$545=BC82,$O$2:$O$545)))))</f>
        <v/>
      </c>
      <c r="BJ82" s="3">
        <f>IF(N(AU82)&gt;=MIN_N,"mercado "&amp;AV82,IF(BH82&gt;=MIN_N,"modelo+año+km",IF(BG82&gt;=MIN_N,"modelo+año","modelo")))</f>
        <v/>
      </c>
      <c r="BK82" s="4">
        <f>(BI82-O82)/BI82</f>
        <v/>
      </c>
      <c r="BL82" s="3">
        <f>IF(COUNTIFS(FR_FUEL,K82,FR_YEAR,AP82)&gt;0,1,0)</f>
        <v/>
      </c>
      <c r="BM82" s="3">
        <f>IF(COUNTIFS(FR_FUEL,K82,FR_YEAR,AP82-1)&gt;0,1,0)</f>
        <v/>
      </c>
      <c r="BN82" s="4">
        <f>IF(N(AQ82)&gt;0,AP82*100+AQ82,IF(AND(BL82=1,BM82=1),(AP82-1)*100+1,AP82*100+1))</f>
        <v/>
      </c>
      <c r="BO82" s="3">
        <f>IF(OR(K82="hibrido",K82="glp",K82="gnc",K82="phev"),"ECO",IF(K82="electrico","CERO",IF(K82="gasolina",IF(BN82&gt;=GAS_C_YM,"C",IF(BN82&gt;=GAS_B_YM,"B","A")),IF(K82="diesel",IF(BN82&gt;=DIE_C_YM,"C",IF(BN82&gt;=DIE_B_YM,"B","A")),""))))</f>
        <v/>
      </c>
      <c r="BP82" s="4">
        <f>BO82</f>
        <v/>
      </c>
      <c r="BQ82" s="4">
        <f>IF(AS82="regla",IF(AND(N(AQ82)=0,BL82=1),"sí","no"),"no")</f>
        <v/>
      </c>
      <c r="BR82" s="3">
        <f>IFERROR(VLOOKUP(F82,MOD_TBL,11,0),IFERROR(VLOOKUP(E82,OCU_TBL,2,0),NEUTRO))</f>
        <v/>
      </c>
      <c r="BS82" s="3">
        <f>SUMIFS(MOT_AJUSTE,MOT_MOTOR,G82,MOT_MARCA,E82,MOT_DESDE,"&lt;="&amp;M82,MOT_HASTA,"&gt;="&amp;M82)+SUMIFS(MOT_AJUSTE,MOT_MOTOR,G82,MOT_MARCA,"(todas)",MOT_DESDE,"&lt;="&amp;M82,MOT_HASTA,"&gt;="&amp;M82)</f>
        <v/>
      </c>
      <c r="BT82" s="3">
        <f>SUMIFS(COMB_AJUSTE,COMB_COMB,K82)</f>
        <v/>
      </c>
      <c r="BU82" s="3">
        <f>COUNTIFS(MOT_MOTOR,G82,MOT_MARCA,E82,MOT_DESDE,"&lt;="&amp;M82,MOT_HASTA,"&gt;="&amp;M82)+COUNTIFS(MOT_MOTOR,G82,MOT_MARCA,"(todas)",MOT_DESDE,"&lt;="&amp;M82,MOT_HASTA,"&gt;="&amp;M82)</f>
        <v/>
      </c>
      <c r="BV82" s="3">
        <f>IF(AND(K82="diesel",BU82=0),MIN(BR82,NEUTRO),BR82)</f>
        <v/>
      </c>
      <c r="BW82" s="4">
        <f>MAX(0,MIN(100,BV82+BS82+BT82))</f>
        <v/>
      </c>
      <c r="BX82" s="3">
        <f>MAX(0,MIN(100,50+BK82*PRECIO_PEND))</f>
        <v/>
      </c>
      <c r="BY82" s="3">
        <f>MAX(0,100*(1-N82/KM_MAX))</f>
        <v/>
      </c>
      <c r="BZ82" s="3">
        <f>IF(BB82&lt;KMA_SOSP,IF(AA82="sí",100,KMA_PEN),IF(BB82&lt;=KMA_IDEAL_MAX,100,MAX(0,100*(KMA_CERO-BB82)/(KMA_CERO-KMA_IDEAL_MAX))))</f>
        <v/>
      </c>
      <c r="CA82" s="3">
        <f>MAX(0,MIN(100,100*(M82-ANIO_MIN)/(ANIO_ACTUAL-ANIO_MIN)))</f>
        <v/>
      </c>
      <c r="CB82" s="3">
        <f>W_KMT*BY82+W_KMA*BZ82+W_EDAD*CA82</f>
        <v/>
      </c>
      <c r="CC82" s="3">
        <f>P_ITV*(V82="sí")+P_LIBRO*(W82="sí")+P_CORREA*(X82="sí")+P_PROP*(Y82=1)+P_GAR*(Z82="sí")+P_FOTOS*MIN(1,N(U82)/FOTOS_OBJ)</f>
        <v/>
      </c>
      <c r="CD82" s="3">
        <f>MAX(0,MIN(100,IFERROR(VLOOKUP(BP82,ETQ_TBL,2,0),0)-IF(BQ82="sí",ETQ_PEN_DUD,IF(AS82="regla",ETQ_PEN_REGLA,0))))</f>
        <v/>
      </c>
      <c r="CE82" s="3">
        <f>NEUTRO</f>
        <v/>
      </c>
      <c r="CF82" s="3">
        <f>IFERROR(VLOOKUP(L82,SEGURO_TBL,3,0),"")</f>
        <v/>
      </c>
      <c r="CG82" s="3">
        <f>IF(CF82="",NEUTRO,MAX(0,MIN(100,100*(SEG_REF_MAX-CF82)/(SEG_REF_MAX-SEG_REF_MIN))))</f>
        <v/>
      </c>
      <c r="CH82" s="3">
        <f>W_CONS*CE82+W_SEG*CG82</f>
        <v/>
      </c>
      <c r="CI82" s="3">
        <f>IF(N(AB82)&gt;0,AB82,IF(AND(R82="profesional",SG_LEGAL_ON=1),GAR_LEGAL,0))</f>
        <v/>
      </c>
      <c r="CJ82" s="3">
        <f>SG_GAR*MIN(1,CI82/SG_GAR_FULL)+SG_AMPL*(AC82="sí")+SG_KMC*(AF82="sí")+SG_REV*(N(AE82)&gt;0)+SG_DEV*MIN(1,N(AG82)/SG_DEV_FULL)+SG_HIST*(W82="sí")</f>
        <v/>
      </c>
      <c r="CK82" s="3">
        <f>IFERROR(VLOOKUP(L82,CARR_PEN_TBL,2,0),0)</f>
        <v/>
      </c>
      <c r="CL82" s="3">
        <f>W_FIAB*BW82+W_PRECIO*BX82+W_KMEDAD*CB82+W_ANUNCIO*CC82+W_USO*CH82+W_SEGURIDAD*CJ82+W_ETIQUETA*CD82-CK82</f>
        <v/>
      </c>
      <c r="CM82" s="4">
        <f>IF(N(I82)&gt;0,I82,IFERROR(ROUND(_xlfn.NUMBERVALUE(LEFT(G82,FIND(" ",G82&amp;" ")-1),".")*1000,0),99999))</f>
        <v/>
      </c>
      <c r="CN82" s="3">
        <f>IF(R82="profesional",0,IF(O82&lt;CUOTA_VALOR_MAX,IF(BA82&gt;ITP_TRAMO_ALTO,SUMIFS(CF_CUOTA,CF_MAS,ITP_TRAMO_ALTO,CF_CCMIN,"&lt;="&amp;CM82,CF_CCMAX,"&gt;="&amp;CM82),IF(BA82&gt;ITP_TRAMO_BAJO,SUMIFS(CF_CUOTA,CF_MAS,ITP_TRAMO_BAJO,CF_CCMIN,"&lt;="&amp;CM82,CF_CCMAX,"&gt;="&amp;CM82),O82*ITP_TIPO)),O82*ITP_TIPO))</f>
        <v/>
      </c>
      <c r="CO82" s="4">
        <f>IF(R82="profesional",N(AK82),0)</f>
        <v/>
      </c>
      <c r="CP82" s="3">
        <f>IF(AND(R82="profesional",ISNUMBER(AK82),AL82="sí"),0,TASA_DGT)</f>
        <v/>
      </c>
      <c r="CQ82" s="3">
        <f>INFORME_DGT</f>
        <v/>
      </c>
      <c r="CR82" s="4">
        <f>O82+CO82+CN82+CP82+CQ82</f>
        <v/>
      </c>
      <c r="CS82" s="4">
        <f>CR82+N(CF82)</f>
        <v/>
      </c>
      <c r="CT82" s="3">
        <f>IF(CR82&lt;=TOTAL_MAX,"sí",IF(CR82&lt;=TOTAL_MAX+MARGEN_NEG,"negociar","no"))</f>
        <v/>
      </c>
      <c r="CU82" s="4">
        <f>IF(CT82&lt;&gt;"no",COUNTIFS($CT$2:$CT$545,"&lt;&gt;no",$CL$2:$CL$545,"&gt;"&amp;CL82)+COUNTIFS($CT$2:CT82,"&lt;&gt;no",$CL$2:CL82,CL82),"")</f>
        <v/>
      </c>
    </row>
    <row r="83">
      <c r="A83" s="2" t="inlineStr">
        <is>
          <t>cochesnet:71531628</t>
        </is>
      </c>
      <c r="B83" s="2" t="inlineStr">
        <is>
          <t>cochesnet</t>
        </is>
      </c>
      <c r="C83" s="2" t="inlineStr">
        <is>
          <t>https://www.coches.net/opel-corsa-gasolina-2014-en-valencia-71531628-covo.aspx</t>
        </is>
      </c>
      <c r="D83" s="2" t="inlineStr">
        <is>
          <t>OPEL Corsa 1.4 Selective Start Stop</t>
        </is>
      </c>
      <c r="E83" s="2" t="inlineStr">
        <is>
          <t>Opel</t>
        </is>
      </c>
      <c r="F83" s="2" t="inlineStr">
        <is>
          <t>Opel Corsa</t>
        </is>
      </c>
      <c r="G83" s="2" t="inlineStr">
        <is>
          <t>1.4</t>
        </is>
      </c>
      <c r="H83" s="2" t="inlineStr">
        <is>
          <t>1.4 Selective Start  Stop</t>
        </is>
      </c>
      <c r="I83" s="2" t="n"/>
      <c r="J83" s="2" t="n"/>
      <c r="K83" s="2" t="inlineStr">
        <is>
          <t>gasolina</t>
        </is>
      </c>
      <c r="L83" s="2" t="inlineStr">
        <is>
          <t>utilitario</t>
        </is>
      </c>
      <c r="M83" s="2" t="n">
        <v>2014</v>
      </c>
      <c r="N83" s="2" t="n">
        <v>160000</v>
      </c>
      <c r="O83" s="2" t="n">
        <v>4000</v>
      </c>
      <c r="P83" s="2" t="inlineStr">
        <is>
          <t>manual</t>
        </is>
      </c>
      <c r="Q83" s="2" t="inlineStr">
        <is>
          <t>no</t>
        </is>
      </c>
      <c r="R83" s="2" t="inlineStr">
        <is>
          <t>particular</t>
        </is>
      </c>
      <c r="S83" s="2" t="inlineStr">
        <is>
          <t>Alzira</t>
        </is>
      </c>
      <c r="T83" s="2" t="inlineStr">
        <is>
          <t>2026-09-16T17:55:30Z</t>
        </is>
      </c>
      <c r="U83" s="2" t="n">
        <v>8</v>
      </c>
      <c r="V83" s="2" t="n"/>
      <c r="W83" s="2" t="n"/>
      <c r="X83" s="2" t="n"/>
      <c r="Y83" s="2" t="n"/>
      <c r="Z83" s="2" t="inlineStr">
        <is>
          <t>no</t>
        </is>
      </c>
      <c r="AA83" s="2" t="n"/>
      <c r="AB83" s="2" t="n"/>
      <c r="AC83" s="2" t="n"/>
      <c r="AD83" s="2" t="n"/>
      <c r="AE83" s="2" t="n"/>
      <c r="AF83" s="2" t="n"/>
      <c r="AG83" s="2" t="n"/>
      <c r="AH83" s="2" t="n">
        <v>4000</v>
      </c>
      <c r="AI83" s="2" t="n"/>
      <c r="AJ83" s="2" t="n"/>
      <c r="AK83" s="2" t="n"/>
      <c r="AL83" s="2" t="n"/>
      <c r="AM83" s="2" t="n">
        <v>35.7</v>
      </c>
      <c r="AN83" s="2" t="n"/>
      <c r="AO83" s="2" t="inlineStr">
        <is>
          <t>2014</t>
        </is>
      </c>
      <c r="AP83" s="2" t="n">
        <v>2014</v>
      </c>
      <c r="AQ83" s="2" t="n"/>
      <c r="AR83" s="2" t="n"/>
      <c r="AS83" s="2" t="inlineStr">
        <is>
          <t>regla</t>
        </is>
      </c>
      <c r="AT83" s="2" t="n">
        <v>4550</v>
      </c>
      <c r="AU83" s="2" t="n">
        <v>8</v>
      </c>
      <c r="AV83" s="2" t="inlineStr">
        <is>
          <t>modelo+año+km</t>
        </is>
      </c>
      <c r="AW83" s="2" t="n"/>
      <c r="AX83" s="2" t="inlineStr">
        <is>
          <t>cuota fija ITP: &gt;5 y &lt;=12 años, hasta 1.500 cc</t>
        </is>
      </c>
      <c r="AY83" s="2" t="inlineStr">
        <is>
          <t>se vende por cambio de coche, 
perfecto para ir a trabajar
 no gasta casi nada de gasolina
6-7 es un mechero 
revisiones pasadas listo para 
conducir 
( NEGOCIABLE</t>
        </is>
      </c>
      <c r="AZ83" s="2" t="inlineStr">
        <is>
          <t>https://www.coches.net/opel-corsa-gasolina-2014-en-valencia-71531628-covo.aspx (window.__INITIAL_PROPS__.ad) /home/user/Alopecia/buscador-coches/raw/cochesnet/d02eaf1dc9ab39c9.json</t>
        </is>
      </c>
      <c r="BA83" s="3">
        <f>MAX(ANIO_ACTUAL-M83,0)</f>
        <v/>
      </c>
      <c r="BB83" s="4">
        <f>N83/MAX(BA83,0.5)</f>
        <v/>
      </c>
      <c r="BC83" s="4">
        <f>F83</f>
        <v/>
      </c>
      <c r="BD83" s="3">
        <f>BC83&amp;"|"&amp;INT(M83/SEG_ANIO)*SEG_ANIO</f>
        <v/>
      </c>
      <c r="BE83" s="3">
        <f>BD83&amp;"|"&amp;INT(N83/SEG_KM)*SEG_KM</f>
        <v/>
      </c>
      <c r="BF83" s="4">
        <f>COUNTIF($BC$2:$BC$545,BC83)</f>
        <v/>
      </c>
      <c r="BG83" s="4">
        <f>COUNTIF($BD$2:$BD$545,BD83)</f>
        <v/>
      </c>
      <c r="BH83" s="4">
        <f>COUNTIF($BE$2:$BE$545,BE83)</f>
        <v/>
      </c>
      <c r="BI83" s="3">
        <f t="array" ref="BI83">IF(N(AU83)&gt;=MIN_N,AT83,IF(BH83&gt;=MIN_N,MEDIAN(IF($BE$2:$BE$545=BE83,$O$2:$O$545)),IF(BG83&gt;=MIN_N,MEDIAN(IF($BD$2:$BD$545=BD83,$O$2:$O$545)),MEDIAN(IF($BC$2:$BC$545=BC83,$O$2:$O$545)))))</f>
        <v/>
      </c>
      <c r="BJ83" s="3">
        <f>IF(N(AU83)&gt;=MIN_N,"mercado "&amp;AV83,IF(BH83&gt;=MIN_N,"modelo+año+km",IF(BG83&gt;=MIN_N,"modelo+año","modelo")))</f>
        <v/>
      </c>
      <c r="BK83" s="4">
        <f>(BI83-O83)/BI83</f>
        <v/>
      </c>
      <c r="BL83" s="3">
        <f>IF(COUNTIFS(FR_FUEL,K83,FR_YEAR,AP83)&gt;0,1,0)</f>
        <v/>
      </c>
      <c r="BM83" s="3">
        <f>IF(COUNTIFS(FR_FUEL,K83,FR_YEAR,AP83-1)&gt;0,1,0)</f>
        <v/>
      </c>
      <c r="BN83" s="4">
        <f>IF(N(AQ83)&gt;0,AP83*100+AQ83,IF(AND(BL83=1,BM83=1),(AP83-1)*100+1,AP83*100+1))</f>
        <v/>
      </c>
      <c r="BO83" s="3">
        <f>IF(OR(K83="hibrido",K83="glp",K83="gnc",K83="phev"),"ECO",IF(K83="electrico","CERO",IF(K83="gasolina",IF(BN83&gt;=GAS_C_YM,"C",IF(BN83&gt;=GAS_B_YM,"B","A")),IF(K83="diesel",IF(BN83&gt;=DIE_C_YM,"C",IF(BN83&gt;=DIE_B_YM,"B","A")),""))))</f>
        <v/>
      </c>
      <c r="BP83" s="4">
        <f>BO83</f>
        <v/>
      </c>
      <c r="BQ83" s="4">
        <f>IF(AS83="regla",IF(AND(N(AQ83)=0,BL83=1),"sí","no"),"no")</f>
        <v/>
      </c>
      <c r="BR83" s="3">
        <f>IFERROR(VLOOKUP(F83,MOD_TBL,11,0),IFERROR(VLOOKUP(E83,OCU_TBL,2,0),NEUTRO))</f>
        <v/>
      </c>
      <c r="BS83" s="3">
        <f>SUMIFS(MOT_AJUSTE,MOT_MOTOR,G83,MOT_MARCA,E83,MOT_DESDE,"&lt;="&amp;M83,MOT_HASTA,"&gt;="&amp;M83)+SUMIFS(MOT_AJUSTE,MOT_MOTOR,G83,MOT_MARCA,"(todas)",MOT_DESDE,"&lt;="&amp;M83,MOT_HASTA,"&gt;="&amp;M83)</f>
        <v/>
      </c>
      <c r="BT83" s="3">
        <f>SUMIFS(COMB_AJUSTE,COMB_COMB,K83)</f>
        <v/>
      </c>
      <c r="BU83" s="3">
        <f>COUNTIFS(MOT_MOTOR,G83,MOT_MARCA,E83,MOT_DESDE,"&lt;="&amp;M83,MOT_HASTA,"&gt;="&amp;M83)+COUNTIFS(MOT_MOTOR,G83,MOT_MARCA,"(todas)",MOT_DESDE,"&lt;="&amp;M83,MOT_HASTA,"&gt;="&amp;M83)</f>
        <v/>
      </c>
      <c r="BV83" s="3">
        <f>IF(AND(K83="diesel",BU83=0),MIN(BR83,NEUTRO),BR83)</f>
        <v/>
      </c>
      <c r="BW83" s="4">
        <f>MAX(0,MIN(100,BV83+BS83+BT83))</f>
        <v/>
      </c>
      <c r="BX83" s="3">
        <f>MAX(0,MIN(100,50+BK83*PRECIO_PEND))</f>
        <v/>
      </c>
      <c r="BY83" s="3">
        <f>MAX(0,100*(1-N83/KM_MAX))</f>
        <v/>
      </c>
      <c r="BZ83" s="3">
        <f>IF(BB83&lt;KMA_SOSP,IF(AA83="sí",100,KMA_PEN),IF(BB83&lt;=KMA_IDEAL_MAX,100,MAX(0,100*(KMA_CERO-BB83)/(KMA_CERO-KMA_IDEAL_MAX))))</f>
        <v/>
      </c>
      <c r="CA83" s="3">
        <f>MAX(0,MIN(100,100*(M83-ANIO_MIN)/(ANIO_ACTUAL-ANIO_MIN)))</f>
        <v/>
      </c>
      <c r="CB83" s="3">
        <f>W_KMT*BY83+W_KMA*BZ83+W_EDAD*CA83</f>
        <v/>
      </c>
      <c r="CC83" s="3">
        <f>P_ITV*(V83="sí")+P_LIBRO*(W83="sí")+P_CORREA*(X83="sí")+P_PROP*(Y83=1)+P_GAR*(Z83="sí")+P_FOTOS*MIN(1,N(U83)/FOTOS_OBJ)</f>
        <v/>
      </c>
      <c r="CD83" s="3">
        <f>MAX(0,MIN(100,IFERROR(VLOOKUP(BP83,ETQ_TBL,2,0),0)-IF(BQ83="sí",ETQ_PEN_DUD,IF(AS83="regla",ETQ_PEN_REGLA,0))))</f>
        <v/>
      </c>
      <c r="CE83" s="3">
        <f>NEUTRO</f>
        <v/>
      </c>
      <c r="CF83" s="3">
        <f>IFERROR(VLOOKUP(L83,SEGURO_TBL,3,0),"")</f>
        <v/>
      </c>
      <c r="CG83" s="3">
        <f>IF(CF83="",NEUTRO,MAX(0,MIN(100,100*(SEG_REF_MAX-CF83)/(SEG_REF_MAX-SEG_REF_MIN))))</f>
        <v/>
      </c>
      <c r="CH83" s="3">
        <f>W_CONS*CE83+W_SEG*CG83</f>
        <v/>
      </c>
      <c r="CI83" s="3">
        <f>IF(N(AB83)&gt;0,AB83,IF(AND(R83="profesional",SG_LEGAL_ON=1),GAR_LEGAL,0))</f>
        <v/>
      </c>
      <c r="CJ83" s="3">
        <f>SG_GAR*MIN(1,CI83/SG_GAR_FULL)+SG_AMPL*(AC83="sí")+SG_KMC*(AF83="sí")+SG_REV*(N(AE83)&gt;0)+SG_DEV*MIN(1,N(AG83)/SG_DEV_FULL)+SG_HIST*(W83="sí")</f>
        <v/>
      </c>
      <c r="CK83" s="3">
        <f>IFERROR(VLOOKUP(L83,CARR_PEN_TBL,2,0),0)</f>
        <v/>
      </c>
      <c r="CL83" s="3">
        <f>W_FIAB*BW83+W_PRECIO*BX83+W_KMEDAD*CB83+W_ANUNCIO*CC83+W_USO*CH83+W_SEGURIDAD*CJ83+W_ETIQUETA*CD83-CK83</f>
        <v/>
      </c>
      <c r="CM83" s="4">
        <f>IF(N(I83)&gt;0,I83,IFERROR(ROUND(_xlfn.NUMBERVALUE(LEFT(G83,FIND(" ",G83&amp;" ")-1),".")*1000,0),99999))</f>
        <v/>
      </c>
      <c r="CN83" s="3">
        <f>IF(R83="profesional",0,IF(O83&lt;CUOTA_VALOR_MAX,IF(BA83&gt;ITP_TRAMO_ALTO,SUMIFS(CF_CUOTA,CF_MAS,ITP_TRAMO_ALTO,CF_CCMIN,"&lt;="&amp;CM83,CF_CCMAX,"&gt;="&amp;CM83),IF(BA83&gt;ITP_TRAMO_BAJO,SUMIFS(CF_CUOTA,CF_MAS,ITP_TRAMO_BAJO,CF_CCMIN,"&lt;="&amp;CM83,CF_CCMAX,"&gt;="&amp;CM83),O83*ITP_TIPO)),O83*ITP_TIPO))</f>
        <v/>
      </c>
      <c r="CO83" s="4">
        <f>IF(R83="profesional",N(AK83),0)</f>
        <v/>
      </c>
      <c r="CP83" s="3">
        <f>IF(AND(R83="profesional",ISNUMBER(AK83),AL83="sí"),0,TASA_DGT)</f>
        <v/>
      </c>
      <c r="CQ83" s="3">
        <f>INFORME_DGT</f>
        <v/>
      </c>
      <c r="CR83" s="4">
        <f>O83+CO83+CN83+CP83+CQ83</f>
        <v/>
      </c>
      <c r="CS83" s="4">
        <f>CR83+N(CF83)</f>
        <v/>
      </c>
      <c r="CT83" s="3">
        <f>IF(CR83&lt;=TOTAL_MAX,"sí",IF(CR83&lt;=TOTAL_MAX+MARGEN_NEG,"negociar","no"))</f>
        <v/>
      </c>
      <c r="CU83" s="4">
        <f>IF(CT83&lt;&gt;"no",COUNTIFS($CT$2:$CT$545,"&lt;&gt;no",$CL$2:$CL$545,"&gt;"&amp;CL83)+COUNTIFS($CT$2:CT83,"&lt;&gt;no",$CL$2:CL83,CL83),"")</f>
        <v/>
      </c>
    </row>
    <row r="84">
      <c r="A84" s="2" t="inlineStr">
        <is>
          <t>cochesnet:71442825</t>
        </is>
      </c>
      <c r="B84" s="2" t="inlineStr">
        <is>
          <t>cochesnet</t>
        </is>
      </c>
      <c r="C84" s="2" t="inlineStr">
        <is>
          <t>https://www.coches.net/opel-corsa-14-selective-start--stop-3p-gasolina-2014-en-valencia-71442825-covo.aspx</t>
        </is>
      </c>
      <c r="D84" s="2" t="inlineStr">
        <is>
          <t>OPEL Corsa 1.4 Selective Start Stop</t>
        </is>
      </c>
      <c r="E84" s="2" t="inlineStr">
        <is>
          <t>Opel</t>
        </is>
      </c>
      <c r="F84" s="2" t="inlineStr">
        <is>
          <t>Opel Corsa</t>
        </is>
      </c>
      <c r="G84" s="2" t="inlineStr">
        <is>
          <t>1.4</t>
        </is>
      </c>
      <c r="H84" s="2" t="inlineStr">
        <is>
          <t>1.4 Selective Start  Stop</t>
        </is>
      </c>
      <c r="I84" s="2" t="n"/>
      <c r="J84" s="2" t="n"/>
      <c r="K84" s="2" t="inlineStr">
        <is>
          <t>gasolina</t>
        </is>
      </c>
      <c r="L84" s="2" t="inlineStr">
        <is>
          <t>utilitario</t>
        </is>
      </c>
      <c r="M84" s="2" t="n">
        <v>2014</v>
      </c>
      <c r="N84" s="2" t="n">
        <v>163000</v>
      </c>
      <c r="O84" s="2" t="n">
        <v>4600</v>
      </c>
      <c r="P84" s="2" t="inlineStr">
        <is>
          <t>manual</t>
        </is>
      </c>
      <c r="Q84" s="2" t="inlineStr">
        <is>
          <t>no</t>
        </is>
      </c>
      <c r="R84" s="2" t="inlineStr">
        <is>
          <t>particular</t>
        </is>
      </c>
      <c r="S84" s="2" t="inlineStr">
        <is>
          <t>Alzira</t>
        </is>
      </c>
      <c r="T84" s="2" t="inlineStr">
        <is>
          <t>2026-09-04T16:01:22Z</t>
        </is>
      </c>
      <c r="U84" s="2" t="n">
        <v>3</v>
      </c>
      <c r="V84" s="2" t="n"/>
      <c r="W84" s="2" t="n"/>
      <c r="X84" s="2" t="n"/>
      <c r="Y84" s="2" t="n"/>
      <c r="Z84" s="2" t="inlineStr">
        <is>
          <t>no</t>
        </is>
      </c>
      <c r="AA84" s="2" t="n"/>
      <c r="AB84" s="2" t="n"/>
      <c r="AC84" s="2" t="n"/>
      <c r="AD84" s="2" t="n"/>
      <c r="AE84" s="2" t="n"/>
      <c r="AF84" s="2" t="n"/>
      <c r="AG84" s="2" t="n"/>
      <c r="AH84" s="2" t="n">
        <v>4600</v>
      </c>
      <c r="AI84" s="2" t="n"/>
      <c r="AJ84" s="2" t="n"/>
      <c r="AK84" s="2" t="n"/>
      <c r="AL84" s="2" t="n"/>
      <c r="AM84" s="2" t="n">
        <v>35.7</v>
      </c>
      <c r="AN84" s="2" t="n"/>
      <c r="AO84" s="2" t="inlineStr">
        <is>
          <t>10/2014</t>
        </is>
      </c>
      <c r="AP84" s="2" t="n">
        <v>2014</v>
      </c>
      <c r="AQ84" s="2" t="n">
        <v>10</v>
      </c>
      <c r="AR84" s="2" t="inlineStr">
        <is>
          <t>C</t>
        </is>
      </c>
      <c r="AS84" s="2" t="inlineStr">
        <is>
          <t>anuncio</t>
        </is>
      </c>
      <c r="AT84" s="2" t="n">
        <v>4550</v>
      </c>
      <c r="AU84" s="2" t="n">
        <v>8</v>
      </c>
      <c r="AV84" s="2" t="inlineStr">
        <is>
          <t>modelo+año+km</t>
        </is>
      </c>
      <c r="AW84" s="2" t="n"/>
      <c r="AX84" s="2" t="inlineStr">
        <is>
          <t>cuota fija ITP: &gt;5 y &lt;=12 años, hasta 1.500 cc</t>
        </is>
      </c>
      <c r="AY84" s="2" t="inlineStr">
        <is>
          <t xml:space="preserve">coche en vigor se vende por cambio de coche, 
garantia  oficial  hasta diciembre
vehiculo en muy buen estado con consumos muy bajos, bien cuidado durmiendo en garaje
NEGOCIABLE VENTA URGENTE
</t>
        </is>
      </c>
      <c r="AZ84" s="2" t="inlineStr">
        <is>
          <t>https://www.coches.net/opel-corsa-14-selective-start--stop-3p-gasolina-2014-en-valencia-71442825-covo.aspx (window.__INITIAL_PROPS__.ad) /home/user/Alopecia/buscador-coches/raw/cochesnet/1f34c95fd0f4f3f4.json</t>
        </is>
      </c>
      <c r="BA84" s="3">
        <f>MAX(ANIO_ACTUAL-M84,0)</f>
        <v/>
      </c>
      <c r="BB84" s="4">
        <f>N84/MAX(BA84,0.5)</f>
        <v/>
      </c>
      <c r="BC84" s="4">
        <f>F84</f>
        <v/>
      </c>
      <c r="BD84" s="3">
        <f>BC84&amp;"|"&amp;INT(M84/SEG_ANIO)*SEG_ANIO</f>
        <v/>
      </c>
      <c r="BE84" s="3">
        <f>BD84&amp;"|"&amp;INT(N84/SEG_KM)*SEG_KM</f>
        <v/>
      </c>
      <c r="BF84" s="4">
        <f>COUNTIF($BC$2:$BC$545,BC84)</f>
        <v/>
      </c>
      <c r="BG84" s="4">
        <f>COUNTIF($BD$2:$BD$545,BD84)</f>
        <v/>
      </c>
      <c r="BH84" s="4">
        <f>COUNTIF($BE$2:$BE$545,BE84)</f>
        <v/>
      </c>
      <c r="BI84" s="3">
        <f t="array" ref="BI84">IF(N(AU84)&gt;=MIN_N,AT84,IF(BH84&gt;=MIN_N,MEDIAN(IF($BE$2:$BE$545=BE84,$O$2:$O$545)),IF(BG84&gt;=MIN_N,MEDIAN(IF($BD$2:$BD$545=BD84,$O$2:$O$545)),MEDIAN(IF($BC$2:$BC$545=BC84,$O$2:$O$545)))))</f>
        <v/>
      </c>
      <c r="BJ84" s="3">
        <f>IF(N(AU84)&gt;=MIN_N,"mercado "&amp;AV84,IF(BH84&gt;=MIN_N,"modelo+año+km",IF(BG84&gt;=MIN_N,"modelo+año","modelo")))</f>
        <v/>
      </c>
      <c r="BK84" s="4">
        <f>(BI84-O84)/BI84</f>
        <v/>
      </c>
      <c r="BL84" s="3">
        <f>IF(COUNTIFS(FR_FUEL,K84,FR_YEAR,AP84)&gt;0,1,0)</f>
        <v/>
      </c>
      <c r="BM84" s="3">
        <f>IF(COUNTIFS(FR_FUEL,K84,FR_YEAR,AP84-1)&gt;0,1,0)</f>
        <v/>
      </c>
      <c r="BN84" s="4">
        <f>IF(N(AQ84)&gt;0,AP84*100+AQ84,IF(AND(BL84=1,BM84=1),(AP84-1)*100+1,AP84*100+1))</f>
        <v/>
      </c>
      <c r="BO84" s="3">
        <f>IF(OR(K84="hibrido",K84="glp",K84="gnc",K84="phev"),"ECO",IF(K84="electrico","CERO",IF(K84="gasolina",IF(BN84&gt;=GAS_C_YM,"C",IF(BN84&gt;=GAS_B_YM,"B","A")),IF(K84="diesel",IF(BN84&gt;=DIE_C_YM,"C",IF(BN84&gt;=DIE_B_YM,"B","A")),""))))</f>
        <v/>
      </c>
      <c r="BP84" s="2" t="inlineStr">
        <is>
          <t>C</t>
        </is>
      </c>
      <c r="BQ84" s="4">
        <f>IF(AS84="regla",IF(AND(N(AQ84)=0,BL84=1),"sí","no"),"no")</f>
        <v/>
      </c>
      <c r="BR84" s="3">
        <f>IFERROR(VLOOKUP(F84,MOD_TBL,11,0),IFERROR(VLOOKUP(E84,OCU_TBL,2,0),NEUTRO))</f>
        <v/>
      </c>
      <c r="BS84" s="3">
        <f>SUMIFS(MOT_AJUSTE,MOT_MOTOR,G84,MOT_MARCA,E84,MOT_DESDE,"&lt;="&amp;M84,MOT_HASTA,"&gt;="&amp;M84)+SUMIFS(MOT_AJUSTE,MOT_MOTOR,G84,MOT_MARCA,"(todas)",MOT_DESDE,"&lt;="&amp;M84,MOT_HASTA,"&gt;="&amp;M84)</f>
        <v/>
      </c>
      <c r="BT84" s="3">
        <f>SUMIFS(COMB_AJUSTE,COMB_COMB,K84)</f>
        <v/>
      </c>
      <c r="BU84" s="3">
        <f>COUNTIFS(MOT_MOTOR,G84,MOT_MARCA,E84,MOT_DESDE,"&lt;="&amp;M84,MOT_HASTA,"&gt;="&amp;M84)+COUNTIFS(MOT_MOTOR,G84,MOT_MARCA,"(todas)",MOT_DESDE,"&lt;="&amp;M84,MOT_HASTA,"&gt;="&amp;M84)</f>
        <v/>
      </c>
      <c r="BV84" s="3">
        <f>IF(AND(K84="diesel",BU84=0),MIN(BR84,NEUTRO),BR84)</f>
        <v/>
      </c>
      <c r="BW84" s="4">
        <f>MAX(0,MIN(100,BV84+BS84+BT84))</f>
        <v/>
      </c>
      <c r="BX84" s="3">
        <f>MAX(0,MIN(100,50+BK84*PRECIO_PEND))</f>
        <v/>
      </c>
      <c r="BY84" s="3">
        <f>MAX(0,100*(1-N84/KM_MAX))</f>
        <v/>
      </c>
      <c r="BZ84" s="3">
        <f>IF(BB84&lt;KMA_SOSP,IF(AA84="sí",100,KMA_PEN),IF(BB84&lt;=KMA_IDEAL_MAX,100,MAX(0,100*(KMA_CERO-BB84)/(KMA_CERO-KMA_IDEAL_MAX))))</f>
        <v/>
      </c>
      <c r="CA84" s="3">
        <f>MAX(0,MIN(100,100*(M84-ANIO_MIN)/(ANIO_ACTUAL-ANIO_MIN)))</f>
        <v/>
      </c>
      <c r="CB84" s="3">
        <f>W_KMT*BY84+W_KMA*BZ84+W_EDAD*CA84</f>
        <v/>
      </c>
      <c r="CC84" s="3">
        <f>P_ITV*(V84="sí")+P_LIBRO*(W84="sí")+P_CORREA*(X84="sí")+P_PROP*(Y84=1)+P_GAR*(Z84="sí")+P_FOTOS*MIN(1,N(U84)/FOTOS_OBJ)</f>
        <v/>
      </c>
      <c r="CD84" s="3">
        <f>MAX(0,MIN(100,IFERROR(VLOOKUP(BP84,ETQ_TBL,2,0),0)-IF(BQ84="sí",ETQ_PEN_DUD,IF(AS84="regla",ETQ_PEN_REGLA,0))))</f>
        <v/>
      </c>
      <c r="CE84" s="3">
        <f>NEUTRO</f>
        <v/>
      </c>
      <c r="CF84" s="3">
        <f>IFERROR(VLOOKUP(L84,SEGURO_TBL,3,0),"")</f>
        <v/>
      </c>
      <c r="CG84" s="3">
        <f>IF(CF84="",NEUTRO,MAX(0,MIN(100,100*(SEG_REF_MAX-CF84)/(SEG_REF_MAX-SEG_REF_MIN))))</f>
        <v/>
      </c>
      <c r="CH84" s="3">
        <f>W_CONS*CE84+W_SEG*CG84</f>
        <v/>
      </c>
      <c r="CI84" s="3">
        <f>IF(N(AB84)&gt;0,AB84,IF(AND(R84="profesional",SG_LEGAL_ON=1),GAR_LEGAL,0))</f>
        <v/>
      </c>
      <c r="CJ84" s="3">
        <f>SG_GAR*MIN(1,CI84/SG_GAR_FULL)+SG_AMPL*(AC84="sí")+SG_KMC*(AF84="sí")+SG_REV*(N(AE84)&gt;0)+SG_DEV*MIN(1,N(AG84)/SG_DEV_FULL)+SG_HIST*(W84="sí")</f>
        <v/>
      </c>
      <c r="CK84" s="3">
        <f>IFERROR(VLOOKUP(L84,CARR_PEN_TBL,2,0),0)</f>
        <v/>
      </c>
      <c r="CL84" s="3">
        <f>W_FIAB*BW84+W_PRECIO*BX84+W_KMEDAD*CB84+W_ANUNCIO*CC84+W_USO*CH84+W_SEGURIDAD*CJ84+W_ETIQUETA*CD84-CK84</f>
        <v/>
      </c>
      <c r="CM84" s="4">
        <f>IF(N(I84)&gt;0,I84,IFERROR(ROUND(_xlfn.NUMBERVALUE(LEFT(G84,FIND(" ",G84&amp;" ")-1),".")*1000,0),99999))</f>
        <v/>
      </c>
      <c r="CN84" s="3">
        <f>IF(R84="profesional",0,IF(O84&lt;CUOTA_VALOR_MAX,IF(BA84&gt;ITP_TRAMO_ALTO,SUMIFS(CF_CUOTA,CF_MAS,ITP_TRAMO_ALTO,CF_CCMIN,"&lt;="&amp;CM84,CF_CCMAX,"&gt;="&amp;CM84),IF(BA84&gt;ITP_TRAMO_BAJO,SUMIFS(CF_CUOTA,CF_MAS,ITP_TRAMO_BAJO,CF_CCMIN,"&lt;="&amp;CM84,CF_CCMAX,"&gt;="&amp;CM84),O84*ITP_TIPO)),O84*ITP_TIPO))</f>
        <v/>
      </c>
      <c r="CO84" s="4">
        <f>IF(R84="profesional",N(AK84),0)</f>
        <v/>
      </c>
      <c r="CP84" s="3">
        <f>IF(AND(R84="profesional",ISNUMBER(AK84),AL84="sí"),0,TASA_DGT)</f>
        <v/>
      </c>
      <c r="CQ84" s="3">
        <f>INFORME_DGT</f>
        <v/>
      </c>
      <c r="CR84" s="4">
        <f>O84+CO84+CN84+CP84+CQ84</f>
        <v/>
      </c>
      <c r="CS84" s="4">
        <f>CR84+N(CF84)</f>
        <v/>
      </c>
      <c r="CT84" s="3">
        <f>IF(CR84&lt;=TOTAL_MAX,"sí",IF(CR84&lt;=TOTAL_MAX+MARGEN_NEG,"negociar","no"))</f>
        <v/>
      </c>
      <c r="CU84" s="4">
        <f>IF(CT84&lt;&gt;"no",COUNTIFS($CT$2:$CT$545,"&lt;&gt;no",$CL$2:$CL$545,"&gt;"&amp;CL84)+COUNTIFS($CT$2:CT84,"&lt;&gt;no",$CL$2:CL84,CL84),"")</f>
        <v/>
      </c>
    </row>
    <row r="85">
      <c r="A85" s="2" t="inlineStr">
        <is>
          <t>cochesnet:71411401</t>
        </is>
      </c>
      <c r="B85" s="2" t="inlineStr">
        <is>
          <t>cochesnet</t>
        </is>
      </c>
      <c r="C85" s="2" t="inlineStr">
        <is>
          <t>https://www.coches.net/opel-corsa-diesel-2013-en-valencia-71411401-covo.aspx</t>
        </is>
      </c>
      <c r="D85" s="2" t="inlineStr">
        <is>
          <t>OPEL Corsa</t>
        </is>
      </c>
      <c r="E85" s="2" t="inlineStr">
        <is>
          <t>Opel</t>
        </is>
      </c>
      <c r="F85" s="2" t="inlineStr">
        <is>
          <t>Opel Corsa</t>
        </is>
      </c>
      <c r="G85" s="2" t="n"/>
      <c r="H85" s="2" t="n"/>
      <c r="I85" s="2" t="n"/>
      <c r="J85" s="2" t="n"/>
      <c r="K85" s="2" t="inlineStr">
        <is>
          <t>diesel</t>
        </is>
      </c>
      <c r="L85" s="2" t="inlineStr">
        <is>
          <t>utilitario</t>
        </is>
      </c>
      <c r="M85" s="2" t="n">
        <v>2013</v>
      </c>
      <c r="N85" s="2" t="n">
        <v>180000</v>
      </c>
      <c r="O85" s="2" t="n">
        <v>3999</v>
      </c>
      <c r="P85" s="2" t="inlineStr">
        <is>
          <t>manual</t>
        </is>
      </c>
      <c r="Q85" s="2" t="inlineStr">
        <is>
          <t>no</t>
        </is>
      </c>
      <c r="R85" s="2" t="inlineStr">
        <is>
          <t>particular</t>
        </is>
      </c>
      <c r="S85" s="2" t="inlineStr">
        <is>
          <t>Alboraya</t>
        </is>
      </c>
      <c r="T85" s="2" t="inlineStr">
        <is>
          <t>2026-09-01T10:58:08Z</t>
        </is>
      </c>
      <c r="U85" s="2" t="n">
        <v>9</v>
      </c>
      <c r="V85" s="2" t="n"/>
      <c r="W85" s="2" t="n"/>
      <c r="X85" s="2" t="n"/>
      <c r="Y85" s="2" t="n"/>
      <c r="Z85" s="2" t="inlineStr">
        <is>
          <t>no</t>
        </is>
      </c>
      <c r="AA85" s="2" t="n"/>
      <c r="AB85" s="2" t="n"/>
      <c r="AC85" s="2" t="n"/>
      <c r="AD85" s="2" t="n"/>
      <c r="AE85" s="2" t="n"/>
      <c r="AF85" s="2" t="n"/>
      <c r="AG85" s="2" t="n"/>
      <c r="AH85" s="2" t="n">
        <v>3999</v>
      </c>
      <c r="AI85" s="2" t="n"/>
      <c r="AJ85" s="2" t="n"/>
      <c r="AK85" s="2" t="n"/>
      <c r="AL85" s="2" t="n"/>
      <c r="AM85" s="2" t="n">
        <v>4</v>
      </c>
      <c r="AN85" s="2" t="n"/>
      <c r="AO85" s="2" t="inlineStr">
        <is>
          <t>2013</t>
        </is>
      </c>
      <c r="AP85" s="2" t="n">
        <v>2013</v>
      </c>
      <c r="AQ85" s="2" t="n"/>
      <c r="AR85" s="2" t="n"/>
      <c r="AS85" s="2" t="inlineStr">
        <is>
          <t>regla</t>
        </is>
      </c>
      <c r="AT85" s="2" t="n">
        <v>4550</v>
      </c>
      <c r="AU85" s="2" t="n">
        <v>8</v>
      </c>
      <c r="AV85" s="2" t="inlineStr">
        <is>
          <t>modelo+año+km</t>
        </is>
      </c>
      <c r="AW85" s="2" t="n"/>
      <c r="AX85" s="2" t="inlineStr">
        <is>
          <t>cilindrada desconocida: se aplica el tramo de cuota fija más alto; antigüedad en el límite del tramo: depende de la fecha exacta de matriculación; cuota fija ITP: &gt;12 años, más de 2.000 cc; diésel: motor sin fuente de fiabilidad (fiabilidad limitada a neutra)</t>
        </is>
      </c>
      <c r="AY85" s="2" t="inlineStr">
        <is>
          <t xml:space="preserve">De promoción se vende Opel corsa, recién pasada la ITV, en perfecto estado, pantalla táctil nueva, motor Diésel 2013 le funciona todo en 3.999€. València </t>
        </is>
      </c>
      <c r="AZ85" s="2" t="inlineStr">
        <is>
          <t>https://www.coches.net/opel-corsa-diesel-2013-en-valencia-71411401-covo.aspx (window.__INITIAL_PROPS__.ad) /home/user/Alopecia/buscador-coches/raw/cochesnet/3733effccce9ec6d.json</t>
        </is>
      </c>
      <c r="BA85" s="3">
        <f>MAX(ANIO_ACTUAL-M85,0)</f>
        <v/>
      </c>
      <c r="BB85" s="4">
        <f>N85/MAX(BA85,0.5)</f>
        <v/>
      </c>
      <c r="BC85" s="4">
        <f>F85</f>
        <v/>
      </c>
      <c r="BD85" s="3">
        <f>BC85&amp;"|"&amp;INT(M85/SEG_ANIO)*SEG_ANIO</f>
        <v/>
      </c>
      <c r="BE85" s="3">
        <f>BD85&amp;"|"&amp;INT(N85/SEG_KM)*SEG_KM</f>
        <v/>
      </c>
      <c r="BF85" s="4">
        <f>COUNTIF($BC$2:$BC$545,BC85)</f>
        <v/>
      </c>
      <c r="BG85" s="4">
        <f>COUNTIF($BD$2:$BD$545,BD85)</f>
        <v/>
      </c>
      <c r="BH85" s="4">
        <f>COUNTIF($BE$2:$BE$545,BE85)</f>
        <v/>
      </c>
      <c r="BI85" s="3">
        <f t="array" ref="BI85">IF(N(AU85)&gt;=MIN_N,AT85,IF(BH85&gt;=MIN_N,MEDIAN(IF($BE$2:$BE$545=BE85,$O$2:$O$545)),IF(BG85&gt;=MIN_N,MEDIAN(IF($BD$2:$BD$545=BD85,$O$2:$O$545)),MEDIAN(IF($BC$2:$BC$545=BC85,$O$2:$O$545)))))</f>
        <v/>
      </c>
      <c r="BJ85" s="3">
        <f>IF(N(AU85)&gt;=MIN_N,"mercado "&amp;AV85,IF(BH85&gt;=MIN_N,"modelo+año+km",IF(BG85&gt;=MIN_N,"modelo+año","modelo")))</f>
        <v/>
      </c>
      <c r="BK85" s="4">
        <f>(BI85-O85)/BI85</f>
        <v/>
      </c>
      <c r="BL85" s="3">
        <f>IF(COUNTIFS(FR_FUEL,K85,FR_YEAR,AP85)&gt;0,1,0)</f>
        <v/>
      </c>
      <c r="BM85" s="3">
        <f>IF(COUNTIFS(FR_FUEL,K85,FR_YEAR,AP85-1)&gt;0,1,0)</f>
        <v/>
      </c>
      <c r="BN85" s="4">
        <f>IF(N(AQ85)&gt;0,AP85*100+AQ85,IF(AND(BL85=1,BM85=1),(AP85-1)*100+1,AP85*100+1))</f>
        <v/>
      </c>
      <c r="BO85" s="3">
        <f>IF(OR(K85="hibrido",K85="glp",K85="gnc",K85="phev"),"ECO",IF(K85="electrico","CERO",IF(K85="gasolina",IF(BN85&gt;=GAS_C_YM,"C",IF(BN85&gt;=GAS_B_YM,"B","A")),IF(K85="diesel",IF(BN85&gt;=DIE_C_YM,"C",IF(BN85&gt;=DIE_B_YM,"B","A")),""))))</f>
        <v/>
      </c>
      <c r="BP85" s="4">
        <f>BO85</f>
        <v/>
      </c>
      <c r="BQ85" s="4">
        <f>IF(AS85="regla",IF(AND(N(AQ85)=0,BL85=1),"sí","no"),"no")</f>
        <v/>
      </c>
      <c r="BR85" s="3">
        <f>IFERROR(VLOOKUP(F85,MOD_TBL,11,0),IFERROR(VLOOKUP(E85,OCU_TBL,2,0),NEUTRO))</f>
        <v/>
      </c>
      <c r="BS85" s="3">
        <f>SUMIFS(MOT_AJUSTE,MOT_MOTOR,G85,MOT_MARCA,E85,MOT_DESDE,"&lt;="&amp;M85,MOT_HASTA,"&gt;="&amp;M85)+SUMIFS(MOT_AJUSTE,MOT_MOTOR,G85,MOT_MARCA,"(todas)",MOT_DESDE,"&lt;="&amp;M85,MOT_HASTA,"&gt;="&amp;M85)</f>
        <v/>
      </c>
      <c r="BT85" s="3">
        <f>SUMIFS(COMB_AJUSTE,COMB_COMB,K85)</f>
        <v/>
      </c>
      <c r="BU85" s="3">
        <f>COUNTIFS(MOT_MOTOR,G85,MOT_MARCA,E85,MOT_DESDE,"&lt;="&amp;M85,MOT_HASTA,"&gt;="&amp;M85)+COUNTIFS(MOT_MOTOR,G85,MOT_MARCA,"(todas)",MOT_DESDE,"&lt;="&amp;M85,MOT_HASTA,"&gt;="&amp;M85)</f>
        <v/>
      </c>
      <c r="BV85" s="3">
        <f>IF(AND(K85="diesel",BU85=0),MIN(BR85,NEUTRO),BR85)</f>
        <v/>
      </c>
      <c r="BW85" s="4">
        <f>MAX(0,MIN(100,BV85+BS85+BT85))</f>
        <v/>
      </c>
      <c r="BX85" s="3">
        <f>MAX(0,MIN(100,50+BK85*PRECIO_PEND))</f>
        <v/>
      </c>
      <c r="BY85" s="3">
        <f>MAX(0,100*(1-N85/KM_MAX))</f>
        <v/>
      </c>
      <c r="BZ85" s="3">
        <f>IF(BB85&lt;KMA_SOSP,IF(AA85="sí",100,KMA_PEN),IF(BB85&lt;=KMA_IDEAL_MAX,100,MAX(0,100*(KMA_CERO-BB85)/(KMA_CERO-KMA_IDEAL_MAX))))</f>
        <v/>
      </c>
      <c r="CA85" s="3">
        <f>MAX(0,MIN(100,100*(M85-ANIO_MIN)/(ANIO_ACTUAL-ANIO_MIN)))</f>
        <v/>
      </c>
      <c r="CB85" s="3">
        <f>W_KMT*BY85+W_KMA*BZ85+W_EDAD*CA85</f>
        <v/>
      </c>
      <c r="CC85" s="3">
        <f>P_ITV*(V85="sí")+P_LIBRO*(W85="sí")+P_CORREA*(X85="sí")+P_PROP*(Y85=1)+P_GAR*(Z85="sí")+P_FOTOS*MIN(1,N(U85)/FOTOS_OBJ)</f>
        <v/>
      </c>
      <c r="CD85" s="3">
        <f>MAX(0,MIN(100,IFERROR(VLOOKUP(BP85,ETQ_TBL,2,0),0)-IF(BQ85="sí",ETQ_PEN_DUD,IF(AS85="regla",ETQ_PEN_REGLA,0))))</f>
        <v/>
      </c>
      <c r="CE85" s="3">
        <f>NEUTRO</f>
        <v/>
      </c>
      <c r="CF85" s="3">
        <f>IFERROR(VLOOKUP(L85,SEGURO_TBL,3,0),"")</f>
        <v/>
      </c>
      <c r="CG85" s="3">
        <f>IF(CF85="",NEUTRO,MAX(0,MIN(100,100*(SEG_REF_MAX-CF85)/(SEG_REF_MAX-SEG_REF_MIN))))</f>
        <v/>
      </c>
      <c r="CH85" s="3">
        <f>W_CONS*CE85+W_SEG*CG85</f>
        <v/>
      </c>
      <c r="CI85" s="3">
        <f>IF(N(AB85)&gt;0,AB85,IF(AND(R85="profesional",SG_LEGAL_ON=1),GAR_LEGAL,0))</f>
        <v/>
      </c>
      <c r="CJ85" s="3">
        <f>SG_GAR*MIN(1,CI85/SG_GAR_FULL)+SG_AMPL*(AC85="sí")+SG_KMC*(AF85="sí")+SG_REV*(N(AE85)&gt;0)+SG_DEV*MIN(1,N(AG85)/SG_DEV_FULL)+SG_HIST*(W85="sí")</f>
        <v/>
      </c>
      <c r="CK85" s="3">
        <f>IFERROR(VLOOKUP(L85,CARR_PEN_TBL,2,0),0)</f>
        <v/>
      </c>
      <c r="CL85" s="3">
        <f>W_FIAB*BW85+W_PRECIO*BX85+W_KMEDAD*CB85+W_ANUNCIO*CC85+W_USO*CH85+W_SEGURIDAD*CJ85+W_ETIQUETA*CD85-CK85</f>
        <v/>
      </c>
      <c r="CM85" s="4">
        <f>IF(N(I85)&gt;0,I85,IFERROR(ROUND(_xlfn.NUMBERVALUE(LEFT(G85,FIND(" ",G85&amp;" ")-1),".")*1000,0),99999))</f>
        <v/>
      </c>
      <c r="CN85" s="3">
        <f>IF(R85="profesional",0,IF(O85&lt;CUOTA_VALOR_MAX,IF(BA85&gt;ITP_TRAMO_ALTO,SUMIFS(CF_CUOTA,CF_MAS,ITP_TRAMO_ALTO,CF_CCMIN,"&lt;="&amp;CM85,CF_CCMAX,"&gt;="&amp;CM85),IF(BA85&gt;ITP_TRAMO_BAJO,SUMIFS(CF_CUOTA,CF_MAS,ITP_TRAMO_BAJO,CF_CCMIN,"&lt;="&amp;CM85,CF_CCMAX,"&gt;="&amp;CM85),O85*ITP_TIPO)),O85*ITP_TIPO))</f>
        <v/>
      </c>
      <c r="CO85" s="4">
        <f>IF(R85="profesional",N(AK85),0)</f>
        <v/>
      </c>
      <c r="CP85" s="3">
        <f>IF(AND(R85="profesional",ISNUMBER(AK85),AL85="sí"),0,TASA_DGT)</f>
        <v/>
      </c>
      <c r="CQ85" s="3">
        <f>INFORME_DGT</f>
        <v/>
      </c>
      <c r="CR85" s="4">
        <f>O85+CO85+CN85+CP85+CQ85</f>
        <v/>
      </c>
      <c r="CS85" s="4">
        <f>CR85+N(CF85)</f>
        <v/>
      </c>
      <c r="CT85" s="3">
        <f>IF(CR85&lt;=TOTAL_MAX,"sí",IF(CR85&lt;=TOTAL_MAX+MARGEN_NEG,"negociar","no"))</f>
        <v/>
      </c>
      <c r="CU85" s="4">
        <f>IF(CT85&lt;&gt;"no",COUNTIFS($CT$2:$CT$545,"&lt;&gt;no",$CL$2:$CL$545,"&gt;"&amp;CL85)+COUNTIFS($CT$2:CT85,"&lt;&gt;no",$CL$2:CL85,CL85),"")</f>
        <v/>
      </c>
    </row>
    <row r="86">
      <c r="A86" s="2" t="inlineStr">
        <is>
          <t>cochesnet:71398067</t>
        </is>
      </c>
      <c r="B86" s="2" t="inlineStr">
        <is>
          <t>cochesnet</t>
        </is>
      </c>
      <c r="C86" s="2" t="inlineStr">
        <is>
          <t>https://www.coches.net/opel-corsa-cosmo-13-ecoflex-5p-diesel-2009-en-valencia-71398067-covo.aspx</t>
        </is>
      </c>
      <c r="D86" s="2" t="inlineStr">
        <is>
          <t>OPEL Corsa Cosmo 1.3 ecoFLEX</t>
        </is>
      </c>
      <c r="E86" s="2" t="inlineStr">
        <is>
          <t>Opel</t>
        </is>
      </c>
      <c r="F86" s="2" t="inlineStr">
        <is>
          <t>Opel Corsa</t>
        </is>
      </c>
      <c r="G86" s="2" t="inlineStr">
        <is>
          <t>1.3</t>
        </is>
      </c>
      <c r="H86" s="2" t="inlineStr">
        <is>
          <t>Cosmo 1.3 ecoFLEX</t>
        </is>
      </c>
      <c r="I86" s="2" t="n"/>
      <c r="J86" s="2" t="n"/>
      <c r="K86" s="2" t="inlineStr">
        <is>
          <t>diesel</t>
        </is>
      </c>
      <c r="L86" s="2" t="inlineStr">
        <is>
          <t>utilitario</t>
        </is>
      </c>
      <c r="M86" s="2" t="n">
        <v>2009</v>
      </c>
      <c r="N86" s="2" t="n">
        <v>120000</v>
      </c>
      <c r="O86" s="2" t="n">
        <v>3300</v>
      </c>
      <c r="P86" s="2" t="inlineStr">
        <is>
          <t>manual</t>
        </is>
      </c>
      <c r="Q86" s="2" t="inlineStr">
        <is>
          <t>no</t>
        </is>
      </c>
      <c r="R86" s="2" t="inlineStr">
        <is>
          <t>particular</t>
        </is>
      </c>
      <c r="S86" s="2" t="inlineStr">
        <is>
          <t>Valencia</t>
        </is>
      </c>
      <c r="T86" s="2" t="inlineStr">
        <is>
          <t>2026-08-31T10:55:27Z</t>
        </is>
      </c>
      <c r="U86" s="2" t="n">
        <v>4</v>
      </c>
      <c r="V86" s="2" t="inlineStr">
        <is>
          <t>sí</t>
        </is>
      </c>
      <c r="W86" s="2" t="n"/>
      <c r="X86" s="2" t="n"/>
      <c r="Y86" s="2" t="n"/>
      <c r="Z86" s="2" t="inlineStr">
        <is>
          <t>no</t>
        </is>
      </c>
      <c r="AA86" s="2" t="n"/>
      <c r="AB86" s="2" t="n"/>
      <c r="AC86" s="2" t="n"/>
      <c r="AD86" s="2" t="n"/>
      <c r="AE86" s="2" t="n"/>
      <c r="AF86" s="2" t="n"/>
      <c r="AG86" s="2" t="n"/>
      <c r="AH86" s="2" t="n">
        <v>3300</v>
      </c>
      <c r="AI86" s="2" t="n"/>
      <c r="AJ86" s="2" t="n"/>
      <c r="AK86" s="2" t="n"/>
      <c r="AL86" s="2" t="n"/>
      <c r="AM86" s="2" t="n">
        <v>0.1</v>
      </c>
      <c r="AN86" s="2" t="n"/>
      <c r="AO86" s="2" t="inlineStr">
        <is>
          <t>05/2009</t>
        </is>
      </c>
      <c r="AP86" s="2" t="n">
        <v>2009</v>
      </c>
      <c r="AQ86" s="2" t="n">
        <v>5</v>
      </c>
      <c r="AR86" s="2" t="inlineStr">
        <is>
          <t>B</t>
        </is>
      </c>
      <c r="AS86" s="2" t="inlineStr">
        <is>
          <t>anuncio</t>
        </is>
      </c>
      <c r="AT86" s="2" t="n">
        <v>3600</v>
      </c>
      <c r="AU86" s="2" t="n">
        <v>9</v>
      </c>
      <c r="AV86" s="2" t="inlineStr">
        <is>
          <t>modelo+año+km</t>
        </is>
      </c>
      <c r="AW86" s="2" t="n"/>
      <c r="AX86" s="2" t="inlineStr">
        <is>
          <t>cuota fija ITP: &gt;12 años, hasta 1.500 cc; diésel: motor sin fuente de fiabilidad (fiabilidad limitada a neutra)</t>
        </is>
      </c>
      <c r="AY86" s="2" t="inlineStr">
        <is>
          <t xml:space="preserve">ITV recién pasada (Agosto 2026)
Funciona perfectamente y consume poquísimo 
Coche perfecto para romper mano o para uso diario 
Pequeño fallo en los altavoces que no se escuchan a la perfección pero son útiles
Chapa lateral trasera ligeramente levantada pero no le pusieron pegas en la ITV, no se aprecia prácticamente y su reparación es de bajo coste 
Pintura algo desgastada por el sol 
Precio ligeramente negociable 
</t>
        </is>
      </c>
      <c r="AZ86" s="2" t="inlineStr">
        <is>
          <t>https://www.coches.net/opel-corsa-cosmo-13-ecoflex-5p-diesel-2009-en-valencia-71398067-covo.aspx (window.__INITIAL_PROPS__.ad) /home/user/Alopecia/buscador-coches/raw/cochesnet/492363561c87c562.json</t>
        </is>
      </c>
      <c r="BA86" s="3">
        <f>MAX(ANIO_ACTUAL-M86,0)</f>
        <v/>
      </c>
      <c r="BB86" s="4">
        <f>N86/MAX(BA86,0.5)</f>
        <v/>
      </c>
      <c r="BC86" s="4">
        <f>F86</f>
        <v/>
      </c>
      <c r="BD86" s="3">
        <f>BC86&amp;"|"&amp;INT(M86/SEG_ANIO)*SEG_ANIO</f>
        <v/>
      </c>
      <c r="BE86" s="3">
        <f>BD86&amp;"|"&amp;INT(N86/SEG_KM)*SEG_KM</f>
        <v/>
      </c>
      <c r="BF86" s="4">
        <f>COUNTIF($BC$2:$BC$545,BC86)</f>
        <v/>
      </c>
      <c r="BG86" s="4">
        <f>COUNTIF($BD$2:$BD$545,BD86)</f>
        <v/>
      </c>
      <c r="BH86" s="4">
        <f>COUNTIF($BE$2:$BE$545,BE86)</f>
        <v/>
      </c>
      <c r="BI86" s="3">
        <f t="array" ref="BI86">IF(N(AU86)&gt;=MIN_N,AT86,IF(BH86&gt;=MIN_N,MEDIAN(IF($BE$2:$BE$545=BE86,$O$2:$O$545)),IF(BG86&gt;=MIN_N,MEDIAN(IF($BD$2:$BD$545=BD86,$O$2:$O$545)),MEDIAN(IF($BC$2:$BC$545=BC86,$O$2:$O$545)))))</f>
        <v/>
      </c>
      <c r="BJ86" s="3">
        <f>IF(N(AU86)&gt;=MIN_N,"mercado "&amp;AV86,IF(BH86&gt;=MIN_N,"modelo+año+km",IF(BG86&gt;=MIN_N,"modelo+año","modelo")))</f>
        <v/>
      </c>
      <c r="BK86" s="4">
        <f>(BI86-O86)/BI86</f>
        <v/>
      </c>
      <c r="BL86" s="3">
        <f>IF(COUNTIFS(FR_FUEL,K86,FR_YEAR,AP86)&gt;0,1,0)</f>
        <v/>
      </c>
      <c r="BM86" s="3">
        <f>IF(COUNTIFS(FR_FUEL,K86,FR_YEAR,AP86-1)&gt;0,1,0)</f>
        <v/>
      </c>
      <c r="BN86" s="4">
        <f>IF(N(AQ86)&gt;0,AP86*100+AQ86,IF(AND(BL86=1,BM86=1),(AP86-1)*100+1,AP86*100+1))</f>
        <v/>
      </c>
      <c r="BO86" s="3">
        <f>IF(OR(K86="hibrido",K86="glp",K86="gnc",K86="phev"),"ECO",IF(K86="electrico","CERO",IF(K86="gasolina",IF(BN86&gt;=GAS_C_YM,"C",IF(BN86&gt;=GAS_B_YM,"B","A")),IF(K86="diesel",IF(BN86&gt;=DIE_C_YM,"C",IF(BN86&gt;=DIE_B_YM,"B","A")),""))))</f>
        <v/>
      </c>
      <c r="BP86" s="2" t="inlineStr">
        <is>
          <t>B</t>
        </is>
      </c>
      <c r="BQ86" s="4">
        <f>IF(AS86="regla",IF(AND(N(AQ86)=0,BL86=1),"sí","no"),"no")</f>
        <v/>
      </c>
      <c r="BR86" s="3">
        <f>IFERROR(VLOOKUP(F86,MOD_TBL,11,0),IFERROR(VLOOKUP(E86,OCU_TBL,2,0),NEUTRO))</f>
        <v/>
      </c>
      <c r="BS86" s="3">
        <f>SUMIFS(MOT_AJUSTE,MOT_MOTOR,G86,MOT_MARCA,E86,MOT_DESDE,"&lt;="&amp;M86,MOT_HASTA,"&gt;="&amp;M86)+SUMIFS(MOT_AJUSTE,MOT_MOTOR,G86,MOT_MARCA,"(todas)",MOT_DESDE,"&lt;="&amp;M86,MOT_HASTA,"&gt;="&amp;M86)</f>
        <v/>
      </c>
      <c r="BT86" s="3">
        <f>SUMIFS(COMB_AJUSTE,COMB_COMB,K86)</f>
        <v/>
      </c>
      <c r="BU86" s="3">
        <f>COUNTIFS(MOT_MOTOR,G86,MOT_MARCA,E86,MOT_DESDE,"&lt;="&amp;M86,MOT_HASTA,"&gt;="&amp;M86)+COUNTIFS(MOT_MOTOR,G86,MOT_MARCA,"(todas)",MOT_DESDE,"&lt;="&amp;M86,MOT_HASTA,"&gt;="&amp;M86)</f>
        <v/>
      </c>
      <c r="BV86" s="3">
        <f>IF(AND(K86="diesel",BU86=0),MIN(BR86,NEUTRO),BR86)</f>
        <v/>
      </c>
      <c r="BW86" s="4">
        <f>MAX(0,MIN(100,BV86+BS86+BT86))</f>
        <v/>
      </c>
      <c r="BX86" s="3">
        <f>MAX(0,MIN(100,50+BK86*PRECIO_PEND))</f>
        <v/>
      </c>
      <c r="BY86" s="3">
        <f>MAX(0,100*(1-N86/KM_MAX))</f>
        <v/>
      </c>
      <c r="BZ86" s="3">
        <f>IF(BB86&lt;KMA_SOSP,IF(AA86="sí",100,KMA_PEN),IF(BB86&lt;=KMA_IDEAL_MAX,100,MAX(0,100*(KMA_CERO-BB86)/(KMA_CERO-KMA_IDEAL_MAX))))</f>
        <v/>
      </c>
      <c r="CA86" s="3">
        <f>MAX(0,MIN(100,100*(M86-ANIO_MIN)/(ANIO_ACTUAL-ANIO_MIN)))</f>
        <v/>
      </c>
      <c r="CB86" s="3">
        <f>W_KMT*BY86+W_KMA*BZ86+W_EDAD*CA86</f>
        <v/>
      </c>
      <c r="CC86" s="3">
        <f>P_ITV*(V86="sí")+P_LIBRO*(W86="sí")+P_CORREA*(X86="sí")+P_PROP*(Y86=1)+P_GAR*(Z86="sí")+P_FOTOS*MIN(1,N(U86)/FOTOS_OBJ)</f>
        <v/>
      </c>
      <c r="CD86" s="3">
        <f>MAX(0,MIN(100,IFERROR(VLOOKUP(BP86,ETQ_TBL,2,0),0)-IF(BQ86="sí",ETQ_PEN_DUD,IF(AS86="regla",ETQ_PEN_REGLA,0))))</f>
        <v/>
      </c>
      <c r="CE86" s="3">
        <f>NEUTRO</f>
        <v/>
      </c>
      <c r="CF86" s="3">
        <f>IFERROR(VLOOKUP(L86,SEGURO_TBL,3,0),"")</f>
        <v/>
      </c>
      <c r="CG86" s="3">
        <f>IF(CF86="",NEUTRO,MAX(0,MIN(100,100*(SEG_REF_MAX-CF86)/(SEG_REF_MAX-SEG_REF_MIN))))</f>
        <v/>
      </c>
      <c r="CH86" s="3">
        <f>W_CONS*CE86+W_SEG*CG86</f>
        <v/>
      </c>
      <c r="CI86" s="3">
        <f>IF(N(AB86)&gt;0,AB86,IF(AND(R86="profesional",SG_LEGAL_ON=1),GAR_LEGAL,0))</f>
        <v/>
      </c>
      <c r="CJ86" s="3">
        <f>SG_GAR*MIN(1,CI86/SG_GAR_FULL)+SG_AMPL*(AC86="sí")+SG_KMC*(AF86="sí")+SG_REV*(N(AE86)&gt;0)+SG_DEV*MIN(1,N(AG86)/SG_DEV_FULL)+SG_HIST*(W86="sí")</f>
        <v/>
      </c>
      <c r="CK86" s="3">
        <f>IFERROR(VLOOKUP(L86,CARR_PEN_TBL,2,0),0)</f>
        <v/>
      </c>
      <c r="CL86" s="3">
        <f>W_FIAB*BW86+W_PRECIO*BX86+W_KMEDAD*CB86+W_ANUNCIO*CC86+W_USO*CH86+W_SEGURIDAD*CJ86+W_ETIQUETA*CD86-CK86</f>
        <v/>
      </c>
      <c r="CM86" s="4">
        <f>IF(N(I86)&gt;0,I86,IFERROR(ROUND(_xlfn.NUMBERVALUE(LEFT(G86,FIND(" ",G86&amp;" ")-1),".")*1000,0),99999))</f>
        <v/>
      </c>
      <c r="CN86" s="3">
        <f>IF(R86="profesional",0,IF(O86&lt;CUOTA_VALOR_MAX,IF(BA86&gt;ITP_TRAMO_ALTO,SUMIFS(CF_CUOTA,CF_MAS,ITP_TRAMO_ALTO,CF_CCMIN,"&lt;="&amp;CM86,CF_CCMAX,"&gt;="&amp;CM86),IF(BA86&gt;ITP_TRAMO_BAJO,SUMIFS(CF_CUOTA,CF_MAS,ITP_TRAMO_BAJO,CF_CCMIN,"&lt;="&amp;CM86,CF_CCMAX,"&gt;="&amp;CM86),O86*ITP_TIPO)),O86*ITP_TIPO))</f>
        <v/>
      </c>
      <c r="CO86" s="4">
        <f>IF(R86="profesional",N(AK86),0)</f>
        <v/>
      </c>
      <c r="CP86" s="3">
        <f>IF(AND(R86="profesional",ISNUMBER(AK86),AL86="sí"),0,TASA_DGT)</f>
        <v/>
      </c>
      <c r="CQ86" s="3">
        <f>INFORME_DGT</f>
        <v/>
      </c>
      <c r="CR86" s="4">
        <f>O86+CO86+CN86+CP86+CQ86</f>
        <v/>
      </c>
      <c r="CS86" s="4">
        <f>CR86+N(CF86)</f>
        <v/>
      </c>
      <c r="CT86" s="3">
        <f>IF(CR86&lt;=TOTAL_MAX,"sí",IF(CR86&lt;=TOTAL_MAX+MARGEN_NEG,"negociar","no"))</f>
        <v/>
      </c>
      <c r="CU86" s="4">
        <f>IF(CT86&lt;&gt;"no",COUNTIFS($CT$2:$CT$545,"&lt;&gt;no",$CL$2:$CL$545,"&gt;"&amp;CL86)+COUNTIFS($CT$2:CT86,"&lt;&gt;no",$CL$2:CL86,CL86),"")</f>
        <v/>
      </c>
    </row>
    <row r="87">
      <c r="A87" s="2" t="inlineStr">
        <is>
          <t>cochesnet:71876224</t>
        </is>
      </c>
      <c r="B87" s="2" t="inlineStr">
        <is>
          <t>cochesnet</t>
        </is>
      </c>
      <c r="C87" s="2" t="inlineStr">
        <is>
          <t>https://www.coches.net/opel-astra-gtc-14-16v-essentia-3p-gasolina-2009-en-valencia-71876224-covo.aspx</t>
        </is>
      </c>
      <c r="D87" s="2" t="inlineStr">
        <is>
          <t>OPEL Astra GTC 1.4 16v Essentia</t>
        </is>
      </c>
      <c r="E87" s="2" t="inlineStr">
        <is>
          <t>Opel</t>
        </is>
      </c>
      <c r="F87" s="2" t="inlineStr">
        <is>
          <t>Opel Astra</t>
        </is>
      </c>
      <c r="G87" s="2" t="inlineStr">
        <is>
          <t>1.4</t>
        </is>
      </c>
      <c r="H87" s="2" t="inlineStr">
        <is>
          <t>GTC 1.4 16v Essentia</t>
        </is>
      </c>
      <c r="I87" s="2" t="n"/>
      <c r="J87" s="2" t="n"/>
      <c r="K87" s="2" t="inlineStr">
        <is>
          <t>gasolina</t>
        </is>
      </c>
      <c r="L87" s="2" t="inlineStr">
        <is>
          <t>compacto</t>
        </is>
      </c>
      <c r="M87" s="2" t="n">
        <v>2009</v>
      </c>
      <c r="N87" s="2" t="n">
        <v>121000</v>
      </c>
      <c r="O87" s="2" t="n">
        <v>3990</v>
      </c>
      <c r="P87" s="2" t="inlineStr">
        <is>
          <t>manual</t>
        </is>
      </c>
      <c r="Q87" s="2" t="inlineStr">
        <is>
          <t>no</t>
        </is>
      </c>
      <c r="R87" s="2" t="inlineStr">
        <is>
          <t>profesional</t>
        </is>
      </c>
      <c r="S87" s="2" t="inlineStr">
        <is>
          <t>AutoEco Valencia</t>
        </is>
      </c>
      <c r="T87" s="2" t="inlineStr">
        <is>
          <t>2026-10-31T00:52:16Z</t>
        </is>
      </c>
      <c r="U87" s="2" t="n">
        <v>5</v>
      </c>
      <c r="V87" s="2" t="n"/>
      <c r="W87" s="2" t="inlineStr">
        <is>
          <t>sí</t>
        </is>
      </c>
      <c r="X87" s="2" t="n"/>
      <c r="Y87" s="2" t="n"/>
      <c r="Z87" s="2" t="inlineStr">
        <is>
          <t>sí</t>
        </is>
      </c>
      <c r="AA87" s="2" t="n"/>
      <c r="AB87" s="2" t="n">
        <v>12</v>
      </c>
      <c r="AC87" s="2" t="n"/>
      <c r="AD87" s="2" t="n"/>
      <c r="AE87" s="2" t="n"/>
      <c r="AF87" s="2" t="n"/>
      <c r="AG87" s="2" t="n"/>
      <c r="AH87" s="2" t="n">
        <v>3990</v>
      </c>
      <c r="AI87" s="2" t="n">
        <v>3990</v>
      </c>
      <c r="AJ87" s="2" t="n"/>
      <c r="AK87" s="2" t="n"/>
      <c r="AL87" s="2" t="n"/>
      <c r="AM87" s="2" t="n">
        <v>0.1</v>
      </c>
      <c r="AN87" s="2" t="n"/>
      <c r="AO87" s="2" t="inlineStr">
        <is>
          <t>2009</t>
        </is>
      </c>
      <c r="AP87" s="2" t="n">
        <v>2009</v>
      </c>
      <c r="AQ87" s="2" t="n"/>
      <c r="AR87" s="2" t="inlineStr">
        <is>
          <t>C</t>
        </is>
      </c>
      <c r="AS87" s="2" t="inlineStr">
        <is>
          <t>anuncio</t>
        </is>
      </c>
      <c r="AT87" s="2" t="n">
        <v>4445</v>
      </c>
      <c r="AU87" s="2" t="n">
        <v>10</v>
      </c>
      <c r="AV87" s="2" t="inlineStr">
        <is>
          <t>modelo+año+km</t>
        </is>
      </c>
      <c r="AW87" s="2" t="n"/>
      <c r="AX87" s="2" t="inlineStr">
        <is>
          <t>vendedor profesional: sin ITP (operación con IVA/REBU, confirmar en factura); gastos de gestión del vendedor no indicados: se suma la tasa DGT; preguntar el precio final</t>
        </is>
      </c>
      <c r="AY87"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-Luces xenon.
-Aire acondicionado.
-Pantalla Android táctil con sistema de navegación.
-Llantas de aleación.
-Gran espacio interior y amplitud de maletero.
- 1 año de Garantía incluida en precio con opción de ampliación. 
*Se entrega con ITV y mantenimiento al día, listo para circular.*
Este anuncio puede contener algún error tipográfico o de transcripción. 
Para más información contacten sin compromiso.</t>
        </is>
      </c>
      <c r="AZ87" s="2" t="inlineStr">
        <is>
          <t>https://www.coches.net/opel-astra-gtc-14-16v-essentia-3p-gasolina-2009-en-valencia-71876224-covo.aspx (window.__INITIAL_PROPS__.ad) /home/user/Alopecia/buscador-coches/raw/cochesnet/6280a944348bcd0b.json</t>
        </is>
      </c>
      <c r="BA87" s="3">
        <f>MAX(ANIO_ACTUAL-M87,0)</f>
        <v/>
      </c>
      <c r="BB87" s="4">
        <f>N87/MAX(BA87,0.5)</f>
        <v/>
      </c>
      <c r="BC87" s="4">
        <f>F87</f>
        <v/>
      </c>
      <c r="BD87" s="3">
        <f>BC87&amp;"|"&amp;INT(M87/SEG_ANIO)*SEG_ANIO</f>
        <v/>
      </c>
      <c r="BE87" s="3">
        <f>BD87&amp;"|"&amp;INT(N87/SEG_KM)*SEG_KM</f>
        <v/>
      </c>
      <c r="BF87" s="4">
        <f>COUNTIF($BC$2:$BC$545,BC87)</f>
        <v/>
      </c>
      <c r="BG87" s="4">
        <f>COUNTIF($BD$2:$BD$545,BD87)</f>
        <v/>
      </c>
      <c r="BH87" s="4">
        <f>COUNTIF($BE$2:$BE$545,BE87)</f>
        <v/>
      </c>
      <c r="BI87" s="3">
        <f t="array" ref="BI87">IF(N(AU87)&gt;=MIN_N,AT87,IF(BH87&gt;=MIN_N,MEDIAN(IF($BE$2:$BE$545=BE87,$O$2:$O$545)),IF(BG87&gt;=MIN_N,MEDIAN(IF($BD$2:$BD$545=BD87,$O$2:$O$545)),MEDIAN(IF($BC$2:$BC$545=BC87,$O$2:$O$545)))))</f>
        <v/>
      </c>
      <c r="BJ87" s="3">
        <f>IF(N(AU87)&gt;=MIN_N,"mercado "&amp;AV87,IF(BH87&gt;=MIN_N,"modelo+año+km",IF(BG87&gt;=MIN_N,"modelo+año","modelo")))</f>
        <v/>
      </c>
      <c r="BK87" s="4">
        <f>(BI87-O87)/BI87</f>
        <v/>
      </c>
      <c r="BL87" s="3">
        <f>IF(COUNTIFS(FR_FUEL,K87,FR_YEAR,AP87)&gt;0,1,0)</f>
        <v/>
      </c>
      <c r="BM87" s="3">
        <f>IF(COUNTIFS(FR_FUEL,K87,FR_YEAR,AP87-1)&gt;0,1,0)</f>
        <v/>
      </c>
      <c r="BN87" s="4">
        <f>IF(N(AQ87)&gt;0,AP87*100+AQ87,IF(AND(BL87=1,BM87=1),(AP87-1)*100+1,AP87*100+1))</f>
        <v/>
      </c>
      <c r="BO87" s="3">
        <f>IF(OR(K87="hibrido",K87="glp",K87="gnc",K87="phev"),"ECO",IF(K87="electrico","CERO",IF(K87="gasolina",IF(BN87&gt;=GAS_C_YM,"C",IF(BN87&gt;=GAS_B_YM,"B","A")),IF(K87="diesel",IF(BN87&gt;=DIE_C_YM,"C",IF(BN87&gt;=DIE_B_YM,"B","A")),""))))</f>
        <v/>
      </c>
      <c r="BP87" s="2" t="inlineStr">
        <is>
          <t>C</t>
        </is>
      </c>
      <c r="BQ87" s="4">
        <f>IF(AS87="regla",IF(AND(N(AQ87)=0,BL87=1),"sí","no"),"no")</f>
        <v/>
      </c>
      <c r="BR87" s="3">
        <f>IFERROR(VLOOKUP(F87,MOD_TBL,11,0),IFERROR(VLOOKUP(E87,OCU_TBL,2,0),NEUTRO))</f>
        <v/>
      </c>
      <c r="BS87" s="3">
        <f>SUMIFS(MOT_AJUSTE,MOT_MOTOR,G87,MOT_MARCA,E87,MOT_DESDE,"&lt;="&amp;M87,MOT_HASTA,"&gt;="&amp;M87)+SUMIFS(MOT_AJUSTE,MOT_MOTOR,G87,MOT_MARCA,"(todas)",MOT_DESDE,"&lt;="&amp;M87,MOT_HASTA,"&gt;="&amp;M87)</f>
        <v/>
      </c>
      <c r="BT87" s="3">
        <f>SUMIFS(COMB_AJUSTE,COMB_COMB,K87)</f>
        <v/>
      </c>
      <c r="BU87" s="3">
        <f>COUNTIFS(MOT_MOTOR,G87,MOT_MARCA,E87,MOT_DESDE,"&lt;="&amp;M87,MOT_HASTA,"&gt;="&amp;M87)+COUNTIFS(MOT_MOTOR,G87,MOT_MARCA,"(todas)",MOT_DESDE,"&lt;="&amp;M87,MOT_HASTA,"&gt;="&amp;M87)</f>
        <v/>
      </c>
      <c r="BV87" s="3">
        <f>IF(AND(K87="diesel",BU87=0),MIN(BR87,NEUTRO),BR87)</f>
        <v/>
      </c>
      <c r="BW87" s="4">
        <f>MAX(0,MIN(100,BV87+BS87+BT87))</f>
        <v/>
      </c>
      <c r="BX87" s="3">
        <f>MAX(0,MIN(100,50+BK87*PRECIO_PEND))</f>
        <v/>
      </c>
      <c r="BY87" s="3">
        <f>MAX(0,100*(1-N87/KM_MAX))</f>
        <v/>
      </c>
      <c r="BZ87" s="3">
        <f>IF(BB87&lt;KMA_SOSP,IF(AA87="sí",100,KMA_PEN),IF(BB87&lt;=KMA_IDEAL_MAX,100,MAX(0,100*(KMA_CERO-BB87)/(KMA_CERO-KMA_IDEAL_MAX))))</f>
        <v/>
      </c>
      <c r="CA87" s="3">
        <f>MAX(0,MIN(100,100*(M87-ANIO_MIN)/(ANIO_ACTUAL-ANIO_MIN)))</f>
        <v/>
      </c>
      <c r="CB87" s="3">
        <f>W_KMT*BY87+W_KMA*BZ87+W_EDAD*CA87</f>
        <v/>
      </c>
      <c r="CC87" s="3">
        <f>P_ITV*(V87="sí")+P_LIBRO*(W87="sí")+P_CORREA*(X87="sí")+P_PROP*(Y87=1)+P_GAR*(Z87="sí")+P_FOTOS*MIN(1,N(U87)/FOTOS_OBJ)</f>
        <v/>
      </c>
      <c r="CD87" s="3">
        <f>MAX(0,MIN(100,IFERROR(VLOOKUP(BP87,ETQ_TBL,2,0),0)-IF(BQ87="sí",ETQ_PEN_DUD,IF(AS87="regla",ETQ_PEN_REGLA,0))))</f>
        <v/>
      </c>
      <c r="CE87" s="3">
        <f>NEUTRO</f>
        <v/>
      </c>
      <c r="CF87" s="3">
        <f>IFERROR(VLOOKUP(L87,SEGURO_TBL,3,0),"")</f>
        <v/>
      </c>
      <c r="CG87" s="3">
        <f>IF(CF87="",NEUTRO,MAX(0,MIN(100,100*(SEG_REF_MAX-CF87)/(SEG_REF_MAX-SEG_REF_MIN))))</f>
        <v/>
      </c>
      <c r="CH87" s="3">
        <f>W_CONS*CE87+W_SEG*CG87</f>
        <v/>
      </c>
      <c r="CI87" s="3">
        <f>IF(N(AB87)&gt;0,AB87,IF(AND(R87="profesional",SG_LEGAL_ON=1),GAR_LEGAL,0))</f>
        <v/>
      </c>
      <c r="CJ87" s="3">
        <f>SG_GAR*MIN(1,CI87/SG_GAR_FULL)+SG_AMPL*(AC87="sí")+SG_KMC*(AF87="sí")+SG_REV*(N(AE87)&gt;0)+SG_DEV*MIN(1,N(AG87)/SG_DEV_FULL)+SG_HIST*(W87="sí")</f>
        <v/>
      </c>
      <c r="CK87" s="3">
        <f>IFERROR(VLOOKUP(L87,CARR_PEN_TBL,2,0),0)</f>
        <v/>
      </c>
      <c r="CL87" s="3">
        <f>W_FIAB*BW87+W_PRECIO*BX87+W_KMEDAD*CB87+W_ANUNCIO*CC87+W_USO*CH87+W_SEGURIDAD*CJ87+W_ETIQUETA*CD87-CK87</f>
        <v/>
      </c>
      <c r="CM87" s="4">
        <f>IF(N(I87)&gt;0,I87,IFERROR(ROUND(_xlfn.NUMBERVALUE(LEFT(G87,FIND(" ",G87&amp;" ")-1),".")*1000,0),99999))</f>
        <v/>
      </c>
      <c r="CN87" s="3">
        <f>IF(R87="profesional",0,IF(O87&lt;CUOTA_VALOR_MAX,IF(BA87&gt;ITP_TRAMO_ALTO,SUMIFS(CF_CUOTA,CF_MAS,ITP_TRAMO_ALTO,CF_CCMIN,"&lt;="&amp;CM87,CF_CCMAX,"&gt;="&amp;CM87),IF(BA87&gt;ITP_TRAMO_BAJO,SUMIFS(CF_CUOTA,CF_MAS,ITP_TRAMO_BAJO,CF_CCMIN,"&lt;="&amp;CM87,CF_CCMAX,"&gt;="&amp;CM87),O87*ITP_TIPO)),O87*ITP_TIPO))</f>
        <v/>
      </c>
      <c r="CO87" s="4">
        <f>IF(R87="profesional",N(AK87),0)</f>
        <v/>
      </c>
      <c r="CP87" s="3">
        <f>IF(AND(R87="profesional",ISNUMBER(AK87),AL87="sí"),0,TASA_DGT)</f>
        <v/>
      </c>
      <c r="CQ87" s="3">
        <f>INFORME_DGT</f>
        <v/>
      </c>
      <c r="CR87" s="4">
        <f>O87+CO87+CN87+CP87+CQ87</f>
        <v/>
      </c>
      <c r="CS87" s="4">
        <f>CR87+N(CF87)</f>
        <v/>
      </c>
      <c r="CT87" s="3">
        <f>IF(CR87&lt;=TOTAL_MAX,"sí",IF(CR87&lt;=TOTAL_MAX+MARGEN_NEG,"negociar","no"))</f>
        <v/>
      </c>
      <c r="CU87" s="4">
        <f>IF(CT87&lt;&gt;"no",COUNTIFS($CT$2:$CT$545,"&lt;&gt;no",$CL$2:$CL$545,"&gt;"&amp;CL87)+COUNTIFS($CT$2:CT87,"&lt;&gt;no",$CL$2:CL87,CL87),"")</f>
        <v/>
      </c>
    </row>
    <row r="88">
      <c r="A88" s="2" t="inlineStr">
        <is>
          <t>cochesnet:71872803</t>
        </is>
      </c>
      <c r="B88" s="2" t="inlineStr">
        <is>
          <t>cochesnet</t>
        </is>
      </c>
      <c r="C88" s="2" t="inlineStr">
        <is>
          <t>https://www.coches.net/opel-astra-17-cdti-cosmo-5p-diesel-2009-en-valencia-71872803-covo.aspx</t>
        </is>
      </c>
      <c r="D88" s="2" t="inlineStr">
        <is>
          <t>OPEL Astra 1.7 CDTi Cosmo</t>
        </is>
      </c>
      <c r="E88" s="2" t="inlineStr">
        <is>
          <t>Opel</t>
        </is>
      </c>
      <c r="F88" s="2" t="inlineStr">
        <is>
          <t>Opel Astra</t>
        </is>
      </c>
      <c r="G88" s="2" t="inlineStr">
        <is>
          <t>1.7 CDTi</t>
        </is>
      </c>
      <c r="H88" s="2" t="inlineStr">
        <is>
          <t>1.7 CDTi Cosmo</t>
        </is>
      </c>
      <c r="I88" s="2" t="n"/>
      <c r="J88" s="2" t="n"/>
      <c r="K88" s="2" t="inlineStr">
        <is>
          <t>diesel</t>
        </is>
      </c>
      <c r="L88" s="2" t="inlineStr">
        <is>
          <t>compacto</t>
        </is>
      </c>
      <c r="M88" s="2" t="n">
        <v>2009</v>
      </c>
      <c r="N88" s="2" t="n">
        <v>190000</v>
      </c>
      <c r="O88" s="2" t="n">
        <v>3500</v>
      </c>
      <c r="P88" s="2" t="inlineStr">
        <is>
          <t>manual</t>
        </is>
      </c>
      <c r="Q88" s="2" t="inlineStr">
        <is>
          <t>no</t>
        </is>
      </c>
      <c r="R88" s="2" t="inlineStr">
        <is>
          <t>particular</t>
        </is>
      </c>
      <c r="S88" s="2" t="n"/>
      <c r="T88" s="2" t="inlineStr">
        <is>
          <t>2026-10-30T14:02:39Z</t>
        </is>
      </c>
      <c r="U88" s="2" t="n">
        <v>6</v>
      </c>
      <c r="V88" s="2" t="inlineStr">
        <is>
          <t>sí</t>
        </is>
      </c>
      <c r="W88" s="2" t="n"/>
      <c r="X88" s="2" t="inlineStr">
        <is>
          <t>sí</t>
        </is>
      </c>
      <c r="Y88" s="2" t="n"/>
      <c r="Z88" s="2" t="inlineStr">
        <is>
          <t>no</t>
        </is>
      </c>
      <c r="AA88" s="2" t="n"/>
      <c r="AB88" s="2" t="n"/>
      <c r="AC88" s="2" t="n"/>
      <c r="AD88" s="2" t="n"/>
      <c r="AE88" s="2" t="n"/>
      <c r="AF88" s="2" t="n"/>
      <c r="AG88" s="2" t="n"/>
      <c r="AH88" s="2" t="n">
        <v>3500</v>
      </c>
      <c r="AI88" s="2" t="n"/>
      <c r="AJ88" s="2" t="n"/>
      <c r="AK88" s="2" t="n"/>
      <c r="AL88" s="2" t="n"/>
      <c r="AM88" s="2" t="n"/>
      <c r="AN88" s="2" t="n"/>
      <c r="AO88" s="2" t="inlineStr">
        <is>
          <t>2009</t>
        </is>
      </c>
      <c r="AP88" s="2" t="n">
        <v>2009</v>
      </c>
      <c r="AQ88" s="2" t="n"/>
      <c r="AR88" s="2" t="n"/>
      <c r="AS88" s="2" t="inlineStr">
        <is>
          <t>regla</t>
        </is>
      </c>
      <c r="AT88" s="2" t="n">
        <v>4300</v>
      </c>
      <c r="AU88" s="2" t="n">
        <v>17</v>
      </c>
      <c r="AV88" s="2" t="inlineStr">
        <is>
          <t>modelo+año+km</t>
        </is>
      </c>
      <c r="AW88" s="2" t="n"/>
      <c r="AX88" s="2" t="inlineStr">
        <is>
          <t>cuota fija ITP: &gt;12 años, 1.501-2.000 cc; diésel: motor sin fuente de fiabilidad (fiabilidad limitada a neutra); distancia no verificable (el anuncio solo indica la provincia): confirmar que está a &lt;= 70 km</t>
        </is>
      </c>
      <c r="AY88" s="2" t="inlineStr">
        <is>
          <t>Vendo Opel Astra 1.7 CDTI de 100 CV, año 2009, con solo 190.000 km. Coche en buen estado general, listo para usar sin gastos.
?? Precio: 3.500 €
?? ITV en vigor hasta enero de 2027
? Mantenimiento recién hecho:
• Neumáticos nuevos
• Cambio de aceite y filtro de aceite
• Filtro de aire y filtro de polen nuevos
? Correa de distribución cambiada a los 130.000 km
? Embrague en buen estado
? Aire acondicionado funcionando perfectamente
Motor diésel muy fiable y económico de consumo, ideal para el día a día o para viajar.
?? Llosa de Ranes (Valencia). Se puede ver y probar sin compromiso.
?? Escríbeme por el chat para más información o para concertar una visita.</t>
        </is>
      </c>
      <c r="AZ88" s="2" t="inlineStr">
        <is>
          <t>https://www.coches.net/opel-astra-17-cdti-cosmo-5p-diesel-2009-en-valencia-71872803-covo.aspx (window.__INITIAL_PROPS__.ad) /home/user/Alopecia/buscador-coches/raw/cochesnet/1f2c43a57bc447a8.json</t>
        </is>
      </c>
      <c r="BA88" s="3">
        <f>MAX(ANIO_ACTUAL-M88,0)</f>
        <v/>
      </c>
      <c r="BB88" s="4">
        <f>N88/MAX(BA88,0.5)</f>
        <v/>
      </c>
      <c r="BC88" s="4">
        <f>F88</f>
        <v/>
      </c>
      <c r="BD88" s="3">
        <f>BC88&amp;"|"&amp;INT(M88/SEG_ANIO)*SEG_ANIO</f>
        <v/>
      </c>
      <c r="BE88" s="3">
        <f>BD88&amp;"|"&amp;INT(N88/SEG_KM)*SEG_KM</f>
        <v/>
      </c>
      <c r="BF88" s="4">
        <f>COUNTIF($BC$2:$BC$545,BC88)</f>
        <v/>
      </c>
      <c r="BG88" s="4">
        <f>COUNTIF($BD$2:$BD$545,BD88)</f>
        <v/>
      </c>
      <c r="BH88" s="4">
        <f>COUNTIF($BE$2:$BE$545,BE88)</f>
        <v/>
      </c>
      <c r="BI88" s="3">
        <f t="array" ref="BI88">IF(N(AU88)&gt;=MIN_N,AT88,IF(BH88&gt;=MIN_N,MEDIAN(IF($BE$2:$BE$545=BE88,$O$2:$O$545)),IF(BG88&gt;=MIN_N,MEDIAN(IF($BD$2:$BD$545=BD88,$O$2:$O$545)),MEDIAN(IF($BC$2:$BC$545=BC88,$O$2:$O$545)))))</f>
        <v/>
      </c>
      <c r="BJ88" s="3">
        <f>IF(N(AU88)&gt;=MIN_N,"mercado "&amp;AV88,IF(BH88&gt;=MIN_N,"modelo+año+km",IF(BG88&gt;=MIN_N,"modelo+año","modelo")))</f>
        <v/>
      </c>
      <c r="BK88" s="4">
        <f>(BI88-O88)/BI88</f>
        <v/>
      </c>
      <c r="BL88" s="3">
        <f>IF(COUNTIFS(FR_FUEL,K88,FR_YEAR,AP88)&gt;0,1,0)</f>
        <v/>
      </c>
      <c r="BM88" s="3">
        <f>IF(COUNTIFS(FR_FUEL,K88,FR_YEAR,AP88-1)&gt;0,1,0)</f>
        <v/>
      </c>
      <c r="BN88" s="4">
        <f>IF(N(AQ88)&gt;0,AP88*100+AQ88,IF(AND(BL88=1,BM88=1),(AP88-1)*100+1,AP88*100+1))</f>
        <v/>
      </c>
      <c r="BO88" s="3">
        <f>IF(OR(K88="hibrido",K88="glp",K88="gnc",K88="phev"),"ECO",IF(K88="electrico","CERO",IF(K88="gasolina",IF(BN88&gt;=GAS_C_YM,"C",IF(BN88&gt;=GAS_B_YM,"B","A")),IF(K88="diesel",IF(BN88&gt;=DIE_C_YM,"C",IF(BN88&gt;=DIE_B_YM,"B","A")),""))))</f>
        <v/>
      </c>
      <c r="BP88" s="4">
        <f>BO88</f>
        <v/>
      </c>
      <c r="BQ88" s="4">
        <f>IF(AS88="regla",IF(AND(N(AQ88)=0,BL88=1),"sí","no"),"no")</f>
        <v/>
      </c>
      <c r="BR88" s="3">
        <f>IFERROR(VLOOKUP(F88,MOD_TBL,11,0),IFERROR(VLOOKUP(E88,OCU_TBL,2,0),NEUTRO))</f>
        <v/>
      </c>
      <c r="BS88" s="3">
        <f>SUMIFS(MOT_AJUSTE,MOT_MOTOR,G88,MOT_MARCA,E88,MOT_DESDE,"&lt;="&amp;M88,MOT_HASTA,"&gt;="&amp;M88)+SUMIFS(MOT_AJUSTE,MOT_MOTOR,G88,MOT_MARCA,"(todas)",MOT_DESDE,"&lt;="&amp;M88,MOT_HASTA,"&gt;="&amp;M88)</f>
        <v/>
      </c>
      <c r="BT88" s="3">
        <f>SUMIFS(COMB_AJUSTE,COMB_COMB,K88)</f>
        <v/>
      </c>
      <c r="BU88" s="3">
        <f>COUNTIFS(MOT_MOTOR,G88,MOT_MARCA,E88,MOT_DESDE,"&lt;="&amp;M88,MOT_HASTA,"&gt;="&amp;M88)+COUNTIFS(MOT_MOTOR,G88,MOT_MARCA,"(todas)",MOT_DESDE,"&lt;="&amp;M88,MOT_HASTA,"&gt;="&amp;M88)</f>
        <v/>
      </c>
      <c r="BV88" s="3">
        <f>IF(AND(K88="diesel",BU88=0),MIN(BR88,NEUTRO),BR88)</f>
        <v/>
      </c>
      <c r="BW88" s="4">
        <f>MAX(0,MIN(100,BV88+BS88+BT88))</f>
        <v/>
      </c>
      <c r="BX88" s="3">
        <f>MAX(0,MIN(100,50+BK88*PRECIO_PEND))</f>
        <v/>
      </c>
      <c r="BY88" s="3">
        <f>MAX(0,100*(1-N88/KM_MAX))</f>
        <v/>
      </c>
      <c r="BZ88" s="3">
        <f>IF(BB88&lt;KMA_SOSP,IF(AA88="sí",100,KMA_PEN),IF(BB88&lt;=KMA_IDEAL_MAX,100,MAX(0,100*(KMA_CERO-BB88)/(KMA_CERO-KMA_IDEAL_MAX))))</f>
        <v/>
      </c>
      <c r="CA88" s="3">
        <f>MAX(0,MIN(100,100*(M88-ANIO_MIN)/(ANIO_ACTUAL-ANIO_MIN)))</f>
        <v/>
      </c>
      <c r="CB88" s="3">
        <f>W_KMT*BY88+W_KMA*BZ88+W_EDAD*CA88</f>
        <v/>
      </c>
      <c r="CC88" s="3">
        <f>P_ITV*(V88="sí")+P_LIBRO*(W88="sí")+P_CORREA*(X88="sí")+P_PROP*(Y88=1)+P_GAR*(Z88="sí")+P_FOTOS*MIN(1,N(U88)/FOTOS_OBJ)</f>
        <v/>
      </c>
      <c r="CD88" s="3">
        <f>MAX(0,MIN(100,IFERROR(VLOOKUP(BP88,ETQ_TBL,2,0),0)-IF(BQ88="sí",ETQ_PEN_DUD,IF(AS88="regla",ETQ_PEN_REGLA,0))))</f>
        <v/>
      </c>
      <c r="CE88" s="3">
        <f>NEUTRO</f>
        <v/>
      </c>
      <c r="CF88" s="3">
        <f>IFERROR(VLOOKUP(L88,SEGURO_TBL,3,0),"")</f>
        <v/>
      </c>
      <c r="CG88" s="3">
        <f>IF(CF88="",NEUTRO,MAX(0,MIN(100,100*(SEG_REF_MAX-CF88)/(SEG_REF_MAX-SEG_REF_MIN))))</f>
        <v/>
      </c>
      <c r="CH88" s="3">
        <f>W_CONS*CE88+W_SEG*CG88</f>
        <v/>
      </c>
      <c r="CI88" s="3">
        <f>IF(N(AB88)&gt;0,AB88,IF(AND(R88="profesional",SG_LEGAL_ON=1),GAR_LEGAL,0))</f>
        <v/>
      </c>
      <c r="CJ88" s="3">
        <f>SG_GAR*MIN(1,CI88/SG_GAR_FULL)+SG_AMPL*(AC88="sí")+SG_KMC*(AF88="sí")+SG_REV*(N(AE88)&gt;0)+SG_DEV*MIN(1,N(AG88)/SG_DEV_FULL)+SG_HIST*(W88="sí")</f>
        <v/>
      </c>
      <c r="CK88" s="3">
        <f>IFERROR(VLOOKUP(L88,CARR_PEN_TBL,2,0),0)</f>
        <v/>
      </c>
      <c r="CL88" s="3">
        <f>W_FIAB*BW88+W_PRECIO*BX88+W_KMEDAD*CB88+W_ANUNCIO*CC88+W_USO*CH88+W_SEGURIDAD*CJ88+W_ETIQUETA*CD88-CK88</f>
        <v/>
      </c>
      <c r="CM88" s="4">
        <f>IF(N(I88)&gt;0,I88,IFERROR(ROUND(_xlfn.NUMBERVALUE(LEFT(G88,FIND(" ",G88&amp;" ")-1),".")*1000,0),99999))</f>
        <v/>
      </c>
      <c r="CN88" s="3">
        <f>IF(R88="profesional",0,IF(O88&lt;CUOTA_VALOR_MAX,IF(BA88&gt;ITP_TRAMO_ALTO,SUMIFS(CF_CUOTA,CF_MAS,ITP_TRAMO_ALTO,CF_CCMIN,"&lt;="&amp;CM88,CF_CCMAX,"&gt;="&amp;CM88),IF(BA88&gt;ITP_TRAMO_BAJO,SUMIFS(CF_CUOTA,CF_MAS,ITP_TRAMO_BAJO,CF_CCMIN,"&lt;="&amp;CM88,CF_CCMAX,"&gt;="&amp;CM88),O88*ITP_TIPO)),O88*ITP_TIPO))</f>
        <v/>
      </c>
      <c r="CO88" s="4">
        <f>IF(R88="profesional",N(AK88),0)</f>
        <v/>
      </c>
      <c r="CP88" s="3">
        <f>IF(AND(R88="profesional",ISNUMBER(AK88),AL88="sí"),0,TASA_DGT)</f>
        <v/>
      </c>
      <c r="CQ88" s="3">
        <f>INFORME_DGT</f>
        <v/>
      </c>
      <c r="CR88" s="4">
        <f>O88+CO88+CN88+CP88+CQ88</f>
        <v/>
      </c>
      <c r="CS88" s="4">
        <f>CR88+N(CF88)</f>
        <v/>
      </c>
      <c r="CT88" s="3">
        <f>IF(CR88&lt;=TOTAL_MAX,"sí",IF(CR88&lt;=TOTAL_MAX+MARGEN_NEG,"negociar","no"))</f>
        <v/>
      </c>
      <c r="CU88" s="4">
        <f>IF(CT88&lt;&gt;"no",COUNTIFS($CT$2:$CT$545,"&lt;&gt;no",$CL$2:$CL$545,"&gt;"&amp;CL88)+COUNTIFS($CT$2:CT88,"&lt;&gt;no",$CL$2:CL88,CL88),"")</f>
        <v/>
      </c>
    </row>
    <row r="89">
      <c r="A89" s="2" t="inlineStr">
        <is>
          <t>cochesnet:71339047</t>
        </is>
      </c>
      <c r="B89" s="2" t="inlineStr">
        <is>
          <t>cochesnet</t>
        </is>
      </c>
      <c r="C89" s="2" t="inlineStr">
        <is>
          <t>https://www.coches.net/opel-astra-13-ecoflex-ss-selective-5p-diesel-2013-en-valencia-71339047-covo.aspx</t>
        </is>
      </c>
      <c r="D89" s="2" t="inlineStr">
        <is>
          <t>OPEL Astra 1.3 ecoFlex SS Selective</t>
        </is>
      </c>
      <c r="E89" s="2" t="inlineStr">
        <is>
          <t>Opel</t>
        </is>
      </c>
      <c r="F89" s="2" t="inlineStr">
        <is>
          <t>Opel Astra</t>
        </is>
      </c>
      <c r="G89" s="2" t="inlineStr">
        <is>
          <t>1.3</t>
        </is>
      </c>
      <c r="H89" s="2" t="inlineStr">
        <is>
          <t>1.3 ecoFlex SS Selective</t>
        </is>
      </c>
      <c r="I89" s="2" t="n"/>
      <c r="J89" s="2" t="n"/>
      <c r="K89" s="2" t="inlineStr">
        <is>
          <t>diesel</t>
        </is>
      </c>
      <c r="L89" s="2" t="inlineStr">
        <is>
          <t>compacto</t>
        </is>
      </c>
      <c r="M89" s="2" t="n">
        <v>2012</v>
      </c>
      <c r="N89" s="2" t="n">
        <v>215000</v>
      </c>
      <c r="O89" s="2" t="n">
        <v>4490</v>
      </c>
      <c r="P89" s="2" t="inlineStr">
        <is>
          <t>manual</t>
        </is>
      </c>
      <c r="Q89" s="2" t="inlineStr">
        <is>
          <t>no</t>
        </is>
      </c>
      <c r="R89" s="2" t="inlineStr">
        <is>
          <t>profesional</t>
        </is>
      </c>
      <c r="S89" s="2" t="inlineStr">
        <is>
          <t>V.O. Eliana San Antonio de Benagéber</t>
        </is>
      </c>
      <c r="T89" s="2" t="inlineStr">
        <is>
          <t>2026-08-21T14:26:39Z</t>
        </is>
      </c>
      <c r="U89" s="2" t="n">
        <v>16</v>
      </c>
      <c r="V89" s="2" t="n"/>
      <c r="W89" s="2" t="n"/>
      <c r="X89" s="2" t="n"/>
      <c r="Y89" s="2" t="n"/>
      <c r="Z89" s="2" t="inlineStr">
        <is>
          <t>sí</t>
        </is>
      </c>
      <c r="AA89" s="2" t="n"/>
      <c r="AB89" s="2" t="n">
        <v>12</v>
      </c>
      <c r="AC89" s="2" t="n"/>
      <c r="AD89" s="2" t="n"/>
      <c r="AE89" s="2" t="n"/>
      <c r="AF89" s="2" t="n"/>
      <c r="AG89" s="2" t="n"/>
      <c r="AH89" s="2" t="n">
        <v>4490</v>
      </c>
      <c r="AI89" s="2" t="n"/>
      <c r="AJ89" s="2" t="n"/>
      <c r="AK89" s="2" t="n"/>
      <c r="AL89" s="2" t="n"/>
      <c r="AM89" s="2" t="n">
        <v>19.1</v>
      </c>
      <c r="AN89" s="2" t="n"/>
      <c r="AO89" s="2" t="inlineStr">
        <is>
          <t>2012</t>
        </is>
      </c>
      <c r="AP89" s="2" t="n">
        <v>2012</v>
      </c>
      <c r="AQ89" s="2" t="n"/>
      <c r="AR89" s="2" t="inlineStr">
        <is>
          <t>B</t>
        </is>
      </c>
      <c r="AS89" s="2" t="inlineStr">
        <is>
          <t>anuncio</t>
        </is>
      </c>
      <c r="AT89" s="2" t="n">
        <v>4490</v>
      </c>
      <c r="AU89" s="2" t="n">
        <v>7</v>
      </c>
      <c r="AV89" s="2" t="inlineStr">
        <is>
          <t>modelo+año+km</t>
        </is>
      </c>
      <c r="AW89" s="2" t="n"/>
      <c r="AX89" s="2" t="inlineStr">
        <is>
          <t>vendedor profesional: sin ITP (operación con IVA/REBU, confirmar en factura); gastos de gestión del vendedor no indicados: se suma la tasa DGT; preguntar el precio final; diésel: motor sin fuente de fiabilidad (fiabilidad limitada a neutra)</t>
        </is>
      </c>
      <c r="AY89" s="2" t="inlineStr">
        <is>
          <t>Este Opel Astra Selective combina equipamiento multimedia completo con control de crucero y ordenador de viaje para optimizar cada trayecto. Dirección asistida eléctrica con endurecimiento progresivo, aire acondicionado, asientos delanteros ajustables manualmente y volante multifunción regulable ofrecen confort y practicidad diaria. Cristales tintados, retrovisores eléctricos desempañables y elevalunas con un solo toque completan la experiencia de conducción. Sistema de ventilación con filtros de polen y carbón activo, junto con limpiaparabrisas delantero, garantizan habitabilidad. Etiqueta medioambiental B facilita acceso a zonas de tráfico limitado.</t>
        </is>
      </c>
      <c r="AZ89" s="2" t="inlineStr">
        <is>
          <t>https://www.coches.net/opel-astra-13-ecoflex-ss-selective-5p-diesel-2013-en-valencia-71339047-covo.aspx (window.__INITIAL_PROPS__.ad) /home/user/Alopecia/buscador-coches/raw/cochesnet/127119c37c17981d.json</t>
        </is>
      </c>
      <c r="BA89" s="3">
        <f>MAX(ANIO_ACTUAL-M89,0)</f>
        <v/>
      </c>
      <c r="BB89" s="4">
        <f>N89/MAX(BA89,0.5)</f>
        <v/>
      </c>
      <c r="BC89" s="4">
        <f>F89</f>
        <v/>
      </c>
      <c r="BD89" s="3">
        <f>BC89&amp;"|"&amp;INT(M89/SEG_ANIO)*SEG_ANIO</f>
        <v/>
      </c>
      <c r="BE89" s="3">
        <f>BD89&amp;"|"&amp;INT(N89/SEG_KM)*SEG_KM</f>
        <v/>
      </c>
      <c r="BF89" s="4">
        <f>COUNTIF($BC$2:$BC$545,BC89)</f>
        <v/>
      </c>
      <c r="BG89" s="4">
        <f>COUNTIF($BD$2:$BD$545,BD89)</f>
        <v/>
      </c>
      <c r="BH89" s="4">
        <f>COUNTIF($BE$2:$BE$545,BE89)</f>
        <v/>
      </c>
      <c r="BI89" s="3">
        <f t="array" ref="BI89">IF(N(AU89)&gt;=MIN_N,AT89,IF(BH89&gt;=MIN_N,MEDIAN(IF($BE$2:$BE$545=BE89,$O$2:$O$545)),IF(BG89&gt;=MIN_N,MEDIAN(IF($BD$2:$BD$545=BD89,$O$2:$O$545)),MEDIAN(IF($BC$2:$BC$545=BC89,$O$2:$O$545)))))</f>
        <v/>
      </c>
      <c r="BJ89" s="3">
        <f>IF(N(AU89)&gt;=MIN_N,"mercado "&amp;AV89,IF(BH89&gt;=MIN_N,"modelo+año+km",IF(BG89&gt;=MIN_N,"modelo+año","modelo")))</f>
        <v/>
      </c>
      <c r="BK89" s="4">
        <f>(BI89-O89)/BI89</f>
        <v/>
      </c>
      <c r="BL89" s="3">
        <f>IF(COUNTIFS(FR_FUEL,K89,FR_YEAR,AP89)&gt;0,1,0)</f>
        <v/>
      </c>
      <c r="BM89" s="3">
        <f>IF(COUNTIFS(FR_FUEL,K89,FR_YEAR,AP89-1)&gt;0,1,0)</f>
        <v/>
      </c>
      <c r="BN89" s="4">
        <f>IF(N(AQ89)&gt;0,AP89*100+AQ89,IF(AND(BL89=1,BM89=1),(AP89-1)*100+1,AP89*100+1))</f>
        <v/>
      </c>
      <c r="BO89" s="3">
        <f>IF(OR(K89="hibrido",K89="glp",K89="gnc",K89="phev"),"ECO",IF(K89="electrico","CERO",IF(K89="gasolina",IF(BN89&gt;=GAS_C_YM,"C",IF(BN89&gt;=GAS_B_YM,"B","A")),IF(K89="diesel",IF(BN89&gt;=DIE_C_YM,"C",IF(BN89&gt;=DIE_B_YM,"B","A")),""))))</f>
        <v/>
      </c>
      <c r="BP89" s="2" t="inlineStr">
        <is>
          <t>B</t>
        </is>
      </c>
      <c r="BQ89" s="4">
        <f>IF(AS89="regla",IF(AND(N(AQ89)=0,BL89=1),"sí","no"),"no")</f>
        <v/>
      </c>
      <c r="BR89" s="3">
        <f>IFERROR(VLOOKUP(F89,MOD_TBL,11,0),IFERROR(VLOOKUP(E89,OCU_TBL,2,0),NEUTRO))</f>
        <v/>
      </c>
      <c r="BS89" s="3">
        <f>SUMIFS(MOT_AJUSTE,MOT_MOTOR,G89,MOT_MARCA,E89,MOT_DESDE,"&lt;="&amp;M89,MOT_HASTA,"&gt;="&amp;M89)+SUMIFS(MOT_AJUSTE,MOT_MOTOR,G89,MOT_MARCA,"(todas)",MOT_DESDE,"&lt;="&amp;M89,MOT_HASTA,"&gt;="&amp;M89)</f>
        <v/>
      </c>
      <c r="BT89" s="3">
        <f>SUMIFS(COMB_AJUSTE,COMB_COMB,K89)</f>
        <v/>
      </c>
      <c r="BU89" s="3">
        <f>COUNTIFS(MOT_MOTOR,G89,MOT_MARCA,E89,MOT_DESDE,"&lt;="&amp;M89,MOT_HASTA,"&gt;="&amp;M89)+COUNTIFS(MOT_MOTOR,G89,MOT_MARCA,"(todas)",MOT_DESDE,"&lt;="&amp;M89,MOT_HASTA,"&gt;="&amp;M89)</f>
        <v/>
      </c>
      <c r="BV89" s="3">
        <f>IF(AND(K89="diesel",BU89=0),MIN(BR89,NEUTRO),BR89)</f>
        <v/>
      </c>
      <c r="BW89" s="4">
        <f>MAX(0,MIN(100,BV89+BS89+BT89))</f>
        <v/>
      </c>
      <c r="BX89" s="3">
        <f>MAX(0,MIN(100,50+BK89*PRECIO_PEND))</f>
        <v/>
      </c>
      <c r="BY89" s="3">
        <f>MAX(0,100*(1-N89/KM_MAX))</f>
        <v/>
      </c>
      <c r="BZ89" s="3">
        <f>IF(BB89&lt;KMA_SOSP,IF(AA89="sí",100,KMA_PEN),IF(BB89&lt;=KMA_IDEAL_MAX,100,MAX(0,100*(KMA_CERO-BB89)/(KMA_CERO-KMA_IDEAL_MAX))))</f>
        <v/>
      </c>
      <c r="CA89" s="3">
        <f>MAX(0,MIN(100,100*(M89-ANIO_MIN)/(ANIO_ACTUAL-ANIO_MIN)))</f>
        <v/>
      </c>
      <c r="CB89" s="3">
        <f>W_KMT*BY89+W_KMA*BZ89+W_EDAD*CA89</f>
        <v/>
      </c>
      <c r="CC89" s="3">
        <f>P_ITV*(V89="sí")+P_LIBRO*(W89="sí")+P_CORREA*(X89="sí")+P_PROP*(Y89=1)+P_GAR*(Z89="sí")+P_FOTOS*MIN(1,N(U89)/FOTOS_OBJ)</f>
        <v/>
      </c>
      <c r="CD89" s="3">
        <f>MAX(0,MIN(100,IFERROR(VLOOKUP(BP89,ETQ_TBL,2,0),0)-IF(BQ89="sí",ETQ_PEN_DUD,IF(AS89="regla",ETQ_PEN_REGLA,0))))</f>
        <v/>
      </c>
      <c r="CE89" s="3">
        <f>NEUTRO</f>
        <v/>
      </c>
      <c r="CF89" s="3">
        <f>IFERROR(VLOOKUP(L89,SEGURO_TBL,3,0),"")</f>
        <v/>
      </c>
      <c r="CG89" s="3">
        <f>IF(CF89="",NEUTRO,MAX(0,MIN(100,100*(SEG_REF_MAX-CF89)/(SEG_REF_MAX-SEG_REF_MIN))))</f>
        <v/>
      </c>
      <c r="CH89" s="3">
        <f>W_CONS*CE89+W_SEG*CG89</f>
        <v/>
      </c>
      <c r="CI89" s="3">
        <f>IF(N(AB89)&gt;0,AB89,IF(AND(R89="profesional",SG_LEGAL_ON=1),GAR_LEGAL,0))</f>
        <v/>
      </c>
      <c r="CJ89" s="3">
        <f>SG_GAR*MIN(1,CI89/SG_GAR_FULL)+SG_AMPL*(AC89="sí")+SG_KMC*(AF89="sí")+SG_REV*(N(AE89)&gt;0)+SG_DEV*MIN(1,N(AG89)/SG_DEV_FULL)+SG_HIST*(W89="sí")</f>
        <v/>
      </c>
      <c r="CK89" s="3">
        <f>IFERROR(VLOOKUP(L89,CARR_PEN_TBL,2,0),0)</f>
        <v/>
      </c>
      <c r="CL89" s="3">
        <f>W_FIAB*BW89+W_PRECIO*BX89+W_KMEDAD*CB89+W_ANUNCIO*CC89+W_USO*CH89+W_SEGURIDAD*CJ89+W_ETIQUETA*CD89-CK89</f>
        <v/>
      </c>
      <c r="CM89" s="4">
        <f>IF(N(I89)&gt;0,I89,IFERROR(ROUND(_xlfn.NUMBERVALUE(LEFT(G89,FIND(" ",G89&amp;" ")-1),".")*1000,0),99999))</f>
        <v/>
      </c>
      <c r="CN89" s="3">
        <f>IF(R89="profesional",0,IF(O89&lt;CUOTA_VALOR_MAX,IF(BA89&gt;ITP_TRAMO_ALTO,SUMIFS(CF_CUOTA,CF_MAS,ITP_TRAMO_ALTO,CF_CCMIN,"&lt;="&amp;CM89,CF_CCMAX,"&gt;="&amp;CM89),IF(BA89&gt;ITP_TRAMO_BAJO,SUMIFS(CF_CUOTA,CF_MAS,ITP_TRAMO_BAJO,CF_CCMIN,"&lt;="&amp;CM89,CF_CCMAX,"&gt;="&amp;CM89),O89*ITP_TIPO)),O89*ITP_TIPO))</f>
        <v/>
      </c>
      <c r="CO89" s="4">
        <f>IF(R89="profesional",N(AK89),0)</f>
        <v/>
      </c>
      <c r="CP89" s="3">
        <f>IF(AND(R89="profesional",ISNUMBER(AK89),AL89="sí"),0,TASA_DGT)</f>
        <v/>
      </c>
      <c r="CQ89" s="3">
        <f>INFORME_DGT</f>
        <v/>
      </c>
      <c r="CR89" s="4">
        <f>O89+CO89+CN89+CP89+CQ89</f>
        <v/>
      </c>
      <c r="CS89" s="4">
        <f>CR89+N(CF89)</f>
        <v/>
      </c>
      <c r="CT89" s="3">
        <f>IF(CR89&lt;=TOTAL_MAX,"sí",IF(CR89&lt;=TOTAL_MAX+MARGEN_NEG,"negociar","no"))</f>
        <v/>
      </c>
      <c r="CU89" s="4">
        <f>IF(CT89&lt;&gt;"no",COUNTIFS($CT$2:$CT$545,"&lt;&gt;no",$CL$2:$CL$545,"&gt;"&amp;CL89)+COUNTIFS($CT$2:CT89,"&lt;&gt;no",$CL$2:CL89,CL89),"")</f>
        <v/>
      </c>
    </row>
    <row r="90">
      <c r="A90" s="2" t="inlineStr">
        <is>
          <t>cochesnet:71331925</t>
        </is>
      </c>
      <c r="B90" s="2" t="inlineStr">
        <is>
          <t>cochesnet</t>
        </is>
      </c>
      <c r="C90" s="2" t="inlineStr">
        <is>
          <t>https://www.coches.net/opel-astra-14-turbo-sport-5p-gasolina-2010-en-valencia-71331925-covo.aspx</t>
        </is>
      </c>
      <c r="D90" s="2" t="inlineStr">
        <is>
          <t>OPEL Astra 1.4 Turbo Sport</t>
        </is>
      </c>
      <c r="E90" s="2" t="inlineStr">
        <is>
          <t>Opel</t>
        </is>
      </c>
      <c r="F90" s="2" t="inlineStr">
        <is>
          <t>Opel Astra</t>
        </is>
      </c>
      <c r="G90" s="2" t="inlineStr">
        <is>
          <t>1.4 Turbo</t>
        </is>
      </c>
      <c r="H90" s="2" t="inlineStr">
        <is>
          <t>1.4 Turbo Sport</t>
        </is>
      </c>
      <c r="I90" s="2" t="n"/>
      <c r="J90" s="2" t="n"/>
      <c r="K90" s="2" t="inlineStr">
        <is>
          <t>gasolina</t>
        </is>
      </c>
      <c r="L90" s="2" t="inlineStr">
        <is>
          <t>compacto</t>
        </is>
      </c>
      <c r="M90" s="2" t="n">
        <v>2010</v>
      </c>
      <c r="N90" s="2" t="n">
        <v>195000</v>
      </c>
      <c r="O90" s="2" t="n">
        <v>4500</v>
      </c>
      <c r="P90" s="2" t="inlineStr">
        <is>
          <t>manual</t>
        </is>
      </c>
      <c r="Q90" s="2" t="inlineStr">
        <is>
          <t>no</t>
        </is>
      </c>
      <c r="R90" s="2" t="inlineStr">
        <is>
          <t>particular</t>
        </is>
      </c>
      <c r="S90" s="2" t="inlineStr">
        <is>
          <t>Alzira</t>
        </is>
      </c>
      <c r="T90" s="2" t="inlineStr">
        <is>
          <t>2026-10-31T08:29:44Z</t>
        </is>
      </c>
      <c r="U90" s="2" t="n">
        <v>21</v>
      </c>
      <c r="V90" s="2" t="inlineStr">
        <is>
          <t>sí</t>
        </is>
      </c>
      <c r="W90" s="2" t="inlineStr">
        <is>
          <t>sí</t>
        </is>
      </c>
      <c r="X90" s="2" t="n"/>
      <c r="Y90" s="2" t="n">
        <v>1</v>
      </c>
      <c r="Z90" s="2" t="inlineStr">
        <is>
          <t>no</t>
        </is>
      </c>
      <c r="AA90" s="2" t="n"/>
      <c r="AB90" s="2" t="n"/>
      <c r="AC90" s="2" t="n"/>
      <c r="AD90" s="2" t="n"/>
      <c r="AE90" s="2" t="n"/>
      <c r="AF90" s="2" t="n"/>
      <c r="AG90" s="2" t="n"/>
      <c r="AH90" s="2" t="n">
        <v>4500</v>
      </c>
      <c r="AI90" s="2" t="n"/>
      <c r="AJ90" s="2" t="n"/>
      <c r="AK90" s="2" t="n"/>
      <c r="AL90" s="2" t="n"/>
      <c r="AM90" s="2" t="n">
        <v>35.7</v>
      </c>
      <c r="AN90" s="2" t="n"/>
      <c r="AO90" s="2" t="inlineStr">
        <is>
          <t>10/2010</t>
        </is>
      </c>
      <c r="AP90" s="2" t="n">
        <v>2010</v>
      </c>
      <c r="AQ90" s="2" t="n">
        <v>10</v>
      </c>
      <c r="AR90" s="2" t="n"/>
      <c r="AS90" s="2" t="inlineStr">
        <is>
          <t>regla</t>
        </is>
      </c>
      <c r="AT90" s="2" t="n">
        <v>4745</v>
      </c>
      <c r="AU90" s="2" t="n">
        <v>10</v>
      </c>
      <c r="AV90" s="2" t="inlineStr">
        <is>
          <t>modelo+año+km</t>
        </is>
      </c>
      <c r="AW90" s="2" t="n"/>
      <c r="AX90" s="2" t="inlineStr">
        <is>
          <t>cuota fija ITP: &gt;12 años, hasta 1.500 cc</t>
        </is>
      </c>
      <c r="AY90" s="2" t="inlineStr">
        <is>
          <t>Opel Astra Sport 5 puertas, año 2010, motor 1.4 Turbo 140cv, color negro, con aproximadamente 195.000 km. 
Un solo dueño, no fumador. 
Equipado con faros de Xenón, luces automáticas y largas automáticas, limpiaparabrisas automático regulable en velocidad, climatizador bizona, navegador vía CD con pantalla a color, Bluetooth para llamadas, reproductor USB y compatible con iPod/iPhone, reposacabezas en plazas traseras, porta esquís, pack interior versatilidad, pack premium, elevalunas eléctricos traseros, asistente de aparcamiento delantero y trasero, retrovisores exteriores plegables y llantas de 18". 
Neumáticos Michelin Sport 5 en muy buen estado. Estado interior impecable. Dos arañazos en el paragolpes trasero y un desperfecto en la puerta trasera derecha. 
Historial de mantenimiento disponible. 
Factura original de compra disponible. 
ITV en vigor. 
Se vende por cambio a vehículo eléctrico.</t>
        </is>
      </c>
      <c r="AZ90" s="2" t="inlineStr">
        <is>
          <t>https://www.coches.net/opel-astra-14-turbo-sport-5p-gasolina-2010-en-valencia-71331925-covo.aspx (window.__INITIAL_PROPS__.ad) /home/user/Alopecia/buscador-coches/raw/cochesnet/396a2396256ccd48.json</t>
        </is>
      </c>
      <c r="BA90" s="3">
        <f>MAX(ANIO_ACTUAL-M90,0)</f>
        <v/>
      </c>
      <c r="BB90" s="4">
        <f>N90/MAX(BA90,0.5)</f>
        <v/>
      </c>
      <c r="BC90" s="4">
        <f>F90</f>
        <v/>
      </c>
      <c r="BD90" s="3">
        <f>BC90&amp;"|"&amp;INT(M90/SEG_ANIO)*SEG_ANIO</f>
        <v/>
      </c>
      <c r="BE90" s="3">
        <f>BD90&amp;"|"&amp;INT(N90/SEG_KM)*SEG_KM</f>
        <v/>
      </c>
      <c r="BF90" s="4">
        <f>COUNTIF($BC$2:$BC$545,BC90)</f>
        <v/>
      </c>
      <c r="BG90" s="4">
        <f>COUNTIF($BD$2:$BD$545,BD90)</f>
        <v/>
      </c>
      <c r="BH90" s="4">
        <f>COUNTIF($BE$2:$BE$545,BE90)</f>
        <v/>
      </c>
      <c r="BI90" s="3">
        <f t="array" ref="BI90">IF(N(AU90)&gt;=MIN_N,AT90,IF(BH90&gt;=MIN_N,MEDIAN(IF($BE$2:$BE$545=BE90,$O$2:$O$545)),IF(BG90&gt;=MIN_N,MEDIAN(IF($BD$2:$BD$545=BD90,$O$2:$O$545)),MEDIAN(IF($BC$2:$BC$545=BC90,$O$2:$O$545)))))</f>
        <v/>
      </c>
      <c r="BJ90" s="3">
        <f>IF(N(AU90)&gt;=MIN_N,"mercado "&amp;AV90,IF(BH90&gt;=MIN_N,"modelo+año+km",IF(BG90&gt;=MIN_N,"modelo+año","modelo")))</f>
        <v/>
      </c>
      <c r="BK90" s="4">
        <f>(BI90-O90)/BI90</f>
        <v/>
      </c>
      <c r="BL90" s="3">
        <f>IF(COUNTIFS(FR_FUEL,K90,FR_YEAR,AP90)&gt;0,1,0)</f>
        <v/>
      </c>
      <c r="BM90" s="3">
        <f>IF(COUNTIFS(FR_FUEL,K90,FR_YEAR,AP90-1)&gt;0,1,0)</f>
        <v/>
      </c>
      <c r="BN90" s="4">
        <f>IF(N(AQ90)&gt;0,AP90*100+AQ90,IF(AND(BL90=1,BM90=1),(AP90-1)*100+1,AP90*100+1))</f>
        <v/>
      </c>
      <c r="BO90" s="3">
        <f>IF(OR(K90="hibrido",K90="glp",K90="gnc",K90="phev"),"ECO",IF(K90="electrico","CERO",IF(K90="gasolina",IF(BN90&gt;=GAS_C_YM,"C",IF(BN90&gt;=GAS_B_YM,"B","A")),IF(K90="diesel",IF(BN90&gt;=DIE_C_YM,"C",IF(BN90&gt;=DIE_B_YM,"B","A")),""))))</f>
        <v/>
      </c>
      <c r="BP90" s="4">
        <f>BO90</f>
        <v/>
      </c>
      <c r="BQ90" s="4">
        <f>IF(AS90="regla",IF(AND(N(AQ90)=0,BL90=1),"sí","no"),"no")</f>
        <v/>
      </c>
      <c r="BR90" s="3">
        <f>IFERROR(VLOOKUP(F90,MOD_TBL,11,0),IFERROR(VLOOKUP(E90,OCU_TBL,2,0),NEUTRO))</f>
        <v/>
      </c>
      <c r="BS90" s="3">
        <f>SUMIFS(MOT_AJUSTE,MOT_MOTOR,G90,MOT_MARCA,E90,MOT_DESDE,"&lt;="&amp;M90,MOT_HASTA,"&gt;="&amp;M90)+SUMIFS(MOT_AJUSTE,MOT_MOTOR,G90,MOT_MARCA,"(todas)",MOT_DESDE,"&lt;="&amp;M90,MOT_HASTA,"&gt;="&amp;M90)</f>
        <v/>
      </c>
      <c r="BT90" s="3">
        <f>SUMIFS(COMB_AJUSTE,COMB_COMB,K90)</f>
        <v/>
      </c>
      <c r="BU90" s="3">
        <f>COUNTIFS(MOT_MOTOR,G90,MOT_MARCA,E90,MOT_DESDE,"&lt;="&amp;M90,MOT_HASTA,"&gt;="&amp;M90)+COUNTIFS(MOT_MOTOR,G90,MOT_MARCA,"(todas)",MOT_DESDE,"&lt;="&amp;M90,MOT_HASTA,"&gt;="&amp;M90)</f>
        <v/>
      </c>
      <c r="BV90" s="3">
        <f>IF(AND(K90="diesel",BU90=0),MIN(BR90,NEUTRO),BR90)</f>
        <v/>
      </c>
      <c r="BW90" s="4">
        <f>MAX(0,MIN(100,BV90+BS90+BT90))</f>
        <v/>
      </c>
      <c r="BX90" s="3">
        <f>MAX(0,MIN(100,50+BK90*PRECIO_PEND))</f>
        <v/>
      </c>
      <c r="BY90" s="3">
        <f>MAX(0,100*(1-N90/KM_MAX))</f>
        <v/>
      </c>
      <c r="BZ90" s="3">
        <f>IF(BB90&lt;KMA_SOSP,IF(AA90="sí",100,KMA_PEN),IF(BB90&lt;=KMA_IDEAL_MAX,100,MAX(0,100*(KMA_CERO-BB90)/(KMA_CERO-KMA_IDEAL_MAX))))</f>
        <v/>
      </c>
      <c r="CA90" s="3">
        <f>MAX(0,MIN(100,100*(M90-ANIO_MIN)/(ANIO_ACTUAL-ANIO_MIN)))</f>
        <v/>
      </c>
      <c r="CB90" s="3">
        <f>W_KMT*BY90+W_KMA*BZ90+W_EDAD*CA90</f>
        <v/>
      </c>
      <c r="CC90" s="3">
        <f>P_ITV*(V90="sí")+P_LIBRO*(W90="sí")+P_CORREA*(X90="sí")+P_PROP*(Y90=1)+P_GAR*(Z90="sí")+P_FOTOS*MIN(1,N(U90)/FOTOS_OBJ)</f>
        <v/>
      </c>
      <c r="CD90" s="3">
        <f>MAX(0,MIN(100,IFERROR(VLOOKUP(BP90,ETQ_TBL,2,0),0)-IF(BQ90="sí",ETQ_PEN_DUD,IF(AS90="regla",ETQ_PEN_REGLA,0))))</f>
        <v/>
      </c>
      <c r="CE90" s="3">
        <f>NEUTRO</f>
        <v/>
      </c>
      <c r="CF90" s="3">
        <f>IFERROR(VLOOKUP(L90,SEGURO_TBL,3,0),"")</f>
        <v/>
      </c>
      <c r="CG90" s="3">
        <f>IF(CF90="",NEUTRO,MAX(0,MIN(100,100*(SEG_REF_MAX-CF90)/(SEG_REF_MAX-SEG_REF_MIN))))</f>
        <v/>
      </c>
      <c r="CH90" s="3">
        <f>W_CONS*CE90+W_SEG*CG90</f>
        <v/>
      </c>
      <c r="CI90" s="3">
        <f>IF(N(AB90)&gt;0,AB90,IF(AND(R90="profesional",SG_LEGAL_ON=1),GAR_LEGAL,0))</f>
        <v/>
      </c>
      <c r="CJ90" s="3">
        <f>SG_GAR*MIN(1,CI90/SG_GAR_FULL)+SG_AMPL*(AC90="sí")+SG_KMC*(AF90="sí")+SG_REV*(N(AE90)&gt;0)+SG_DEV*MIN(1,N(AG90)/SG_DEV_FULL)+SG_HIST*(W90="sí")</f>
        <v/>
      </c>
      <c r="CK90" s="3">
        <f>IFERROR(VLOOKUP(L90,CARR_PEN_TBL,2,0),0)</f>
        <v/>
      </c>
      <c r="CL90" s="3">
        <f>W_FIAB*BW90+W_PRECIO*BX90+W_KMEDAD*CB90+W_ANUNCIO*CC90+W_USO*CH90+W_SEGURIDAD*CJ90+W_ETIQUETA*CD90-CK90</f>
        <v/>
      </c>
      <c r="CM90" s="4">
        <f>IF(N(I90)&gt;0,I90,IFERROR(ROUND(_xlfn.NUMBERVALUE(LEFT(G90,FIND(" ",G90&amp;" ")-1),".")*1000,0),99999))</f>
        <v/>
      </c>
      <c r="CN90" s="3">
        <f>IF(R90="profesional",0,IF(O90&lt;CUOTA_VALOR_MAX,IF(BA90&gt;ITP_TRAMO_ALTO,SUMIFS(CF_CUOTA,CF_MAS,ITP_TRAMO_ALTO,CF_CCMIN,"&lt;="&amp;CM90,CF_CCMAX,"&gt;="&amp;CM90),IF(BA90&gt;ITP_TRAMO_BAJO,SUMIFS(CF_CUOTA,CF_MAS,ITP_TRAMO_BAJO,CF_CCMIN,"&lt;="&amp;CM90,CF_CCMAX,"&gt;="&amp;CM90),O90*ITP_TIPO)),O90*ITP_TIPO))</f>
        <v/>
      </c>
      <c r="CO90" s="4">
        <f>IF(R90="profesional",N(AK90),0)</f>
        <v/>
      </c>
      <c r="CP90" s="3">
        <f>IF(AND(R90="profesional",ISNUMBER(AK90),AL90="sí"),0,TASA_DGT)</f>
        <v/>
      </c>
      <c r="CQ90" s="3">
        <f>INFORME_DGT</f>
        <v/>
      </c>
      <c r="CR90" s="4">
        <f>O90+CO90+CN90+CP90+CQ90</f>
        <v/>
      </c>
      <c r="CS90" s="4">
        <f>CR90+N(CF90)</f>
        <v/>
      </c>
      <c r="CT90" s="3">
        <f>IF(CR90&lt;=TOTAL_MAX,"sí",IF(CR90&lt;=TOTAL_MAX+MARGEN_NEG,"negociar","no"))</f>
        <v/>
      </c>
      <c r="CU90" s="4">
        <f>IF(CT90&lt;&gt;"no",COUNTIFS($CT$2:$CT$545,"&lt;&gt;no",$CL$2:$CL$545,"&gt;"&amp;CL90)+COUNTIFS($CT$2:CT90,"&lt;&gt;no",$CL$2:CL90,CL90),"")</f>
        <v/>
      </c>
    </row>
    <row r="91">
      <c r="A91" s="2" t="inlineStr">
        <is>
          <t>cochesnet:71805860</t>
        </is>
      </c>
      <c r="B91" s="2" t="inlineStr">
        <is>
          <t>cochesnet</t>
        </is>
      </c>
      <c r="C91" s="2" t="inlineStr">
        <is>
          <t>https://www.coches.net/opel-astra-17-cdti-110-cv-sportive-5p-diesel-2014-en-valencia-71805860-covo.aspx</t>
        </is>
      </c>
      <c r="D91" s="2" t="inlineStr">
        <is>
          <t>OPEL Astra 1.7 CDTi 110 CV Sportive</t>
        </is>
      </c>
      <c r="E91" s="2" t="inlineStr">
        <is>
          <t>Opel</t>
        </is>
      </c>
      <c r="F91" s="2" t="inlineStr">
        <is>
          <t>Opel Astra</t>
        </is>
      </c>
      <c r="G91" s="2" t="inlineStr">
        <is>
          <t>1.7 CDTi</t>
        </is>
      </c>
      <c r="H91" s="2" t="inlineStr">
        <is>
          <t>1.7 CDTi 110 CV Sportive</t>
        </is>
      </c>
      <c r="I91" s="2" t="n"/>
      <c r="J91" s="2" t="n">
        <v>110</v>
      </c>
      <c r="K91" s="2" t="inlineStr">
        <is>
          <t>diesel</t>
        </is>
      </c>
      <c r="L91" s="2" t="inlineStr">
        <is>
          <t>compacto</t>
        </is>
      </c>
      <c r="M91" s="2" t="n">
        <v>2014</v>
      </c>
      <c r="N91" s="2" t="n">
        <v>160000</v>
      </c>
      <c r="O91" s="2" t="n">
        <v>3900</v>
      </c>
      <c r="P91" s="2" t="inlineStr">
        <is>
          <t>manual</t>
        </is>
      </c>
      <c r="Q91" s="2" t="inlineStr">
        <is>
          <t>no</t>
        </is>
      </c>
      <c r="R91" s="2" t="inlineStr">
        <is>
          <t>particular</t>
        </is>
      </c>
      <c r="S91" s="2" t="n"/>
      <c r="T91" s="2" t="inlineStr">
        <is>
          <t>2026-10-22T06:41:42Z</t>
        </is>
      </c>
      <c r="U91" s="2" t="n">
        <v>6</v>
      </c>
      <c r="V91" s="2" t="inlineStr">
        <is>
          <t>sí</t>
        </is>
      </c>
      <c r="W91" s="2" t="n"/>
      <c r="X91" s="2" t="n"/>
      <c r="Y91" s="2" t="n"/>
      <c r="Z91" s="2" t="inlineStr">
        <is>
          <t>no</t>
        </is>
      </c>
      <c r="AA91" s="2" t="n"/>
      <c r="AB91" s="2" t="n"/>
      <c r="AC91" s="2" t="n"/>
      <c r="AD91" s="2" t="n"/>
      <c r="AE91" s="2" t="n"/>
      <c r="AF91" s="2" t="n"/>
      <c r="AG91" s="2" t="n"/>
      <c r="AH91" s="2" t="n">
        <v>3900</v>
      </c>
      <c r="AI91" s="2" t="n"/>
      <c r="AJ91" s="2" t="n"/>
      <c r="AK91" s="2" t="n"/>
      <c r="AL91" s="2" t="n"/>
      <c r="AM91" s="2" t="n"/>
      <c r="AN91" s="2" t="n"/>
      <c r="AO91" s="2" t="inlineStr">
        <is>
          <t>2014</t>
        </is>
      </c>
      <c r="AP91" s="2" t="n">
        <v>2014</v>
      </c>
      <c r="AQ91" s="2" t="n"/>
      <c r="AR91" s="2" t="n"/>
      <c r="AS91" s="2" t="inlineStr">
        <is>
          <t>regla</t>
        </is>
      </c>
      <c r="AT91" s="2" t="n">
        <v>5700</v>
      </c>
      <c r="AU91" s="2" t="n">
        <v>7</v>
      </c>
      <c r="AV91" s="2" t="inlineStr">
        <is>
          <t>modelo+año+km</t>
        </is>
      </c>
      <c r="AW91" s="2" t="n"/>
      <c r="AX91" s="2" t="inlineStr">
        <is>
          <t>cuota fija ITP: &gt;5 y &lt;=12 años, 1.501-2.000 cc; diésel: motor sin fuente de fiabilidad (fiabilidad limitada a neutra); distancia no verificable (el anuncio solo indica la provincia): confirmar que está a &lt;= 70 km</t>
        </is>
      </c>
      <c r="AY91" s="2" t="inlineStr">
        <is>
          <t>Opel Astra excelente estado ITV hasta el 05/2027
móvil +33  aíre acondicionado seguro hasta mayo</t>
        </is>
      </c>
      <c r="AZ91" s="2" t="inlineStr">
        <is>
          <t>https://www.coches.net/opel-astra-17-cdti-110-cv-sportive-5p-diesel-2014-en-valencia-71805860-covo.aspx (window.__INITIAL_PROPS__.ad) /home/user/Alopecia/buscador-coches/raw/cochesnet/1d4cc4a127353db3.json</t>
        </is>
      </c>
      <c r="BA91" s="3">
        <f>MAX(ANIO_ACTUAL-M91,0)</f>
        <v/>
      </c>
      <c r="BB91" s="4">
        <f>N91/MAX(BA91,0.5)</f>
        <v/>
      </c>
      <c r="BC91" s="4">
        <f>F91</f>
        <v/>
      </c>
      <c r="BD91" s="3">
        <f>BC91&amp;"|"&amp;INT(M91/SEG_ANIO)*SEG_ANIO</f>
        <v/>
      </c>
      <c r="BE91" s="3">
        <f>BD91&amp;"|"&amp;INT(N91/SEG_KM)*SEG_KM</f>
        <v/>
      </c>
      <c r="BF91" s="4">
        <f>COUNTIF($BC$2:$BC$545,BC91)</f>
        <v/>
      </c>
      <c r="BG91" s="4">
        <f>COUNTIF($BD$2:$BD$545,BD91)</f>
        <v/>
      </c>
      <c r="BH91" s="4">
        <f>COUNTIF($BE$2:$BE$545,BE91)</f>
        <v/>
      </c>
      <c r="BI91" s="3">
        <f t="array" ref="BI91">IF(N(AU91)&gt;=MIN_N,AT91,IF(BH91&gt;=MIN_N,MEDIAN(IF($BE$2:$BE$545=BE91,$O$2:$O$545)),IF(BG91&gt;=MIN_N,MEDIAN(IF($BD$2:$BD$545=BD91,$O$2:$O$545)),MEDIAN(IF($BC$2:$BC$545=BC91,$O$2:$O$545)))))</f>
        <v/>
      </c>
      <c r="BJ91" s="3">
        <f>IF(N(AU91)&gt;=MIN_N,"mercado "&amp;AV91,IF(BH91&gt;=MIN_N,"modelo+año+km",IF(BG91&gt;=MIN_N,"modelo+año","modelo")))</f>
        <v/>
      </c>
      <c r="BK91" s="4">
        <f>(BI91-O91)/BI91</f>
        <v/>
      </c>
      <c r="BL91" s="3">
        <f>IF(COUNTIFS(FR_FUEL,K91,FR_YEAR,AP91)&gt;0,1,0)</f>
        <v/>
      </c>
      <c r="BM91" s="3">
        <f>IF(COUNTIFS(FR_FUEL,K91,FR_YEAR,AP91-1)&gt;0,1,0)</f>
        <v/>
      </c>
      <c r="BN91" s="4">
        <f>IF(N(AQ91)&gt;0,AP91*100+AQ91,IF(AND(BL91=1,BM91=1),(AP91-1)*100+1,AP91*100+1))</f>
        <v/>
      </c>
      <c r="BO91" s="3">
        <f>IF(OR(K91="hibrido",K91="glp",K91="gnc",K91="phev"),"ECO",IF(K91="electrico","CERO",IF(K91="gasolina",IF(BN91&gt;=GAS_C_YM,"C",IF(BN91&gt;=GAS_B_YM,"B","A")),IF(K91="diesel",IF(BN91&gt;=DIE_C_YM,"C",IF(BN91&gt;=DIE_B_YM,"B","A")),""))))</f>
        <v/>
      </c>
      <c r="BP91" s="4">
        <f>BO91</f>
        <v/>
      </c>
      <c r="BQ91" s="4">
        <f>IF(AS91="regla",IF(AND(N(AQ91)=0,BL91=1),"sí","no"),"no")</f>
        <v/>
      </c>
      <c r="BR91" s="3">
        <f>IFERROR(VLOOKUP(F91,MOD_TBL,11,0),IFERROR(VLOOKUP(E91,OCU_TBL,2,0),NEUTRO))</f>
        <v/>
      </c>
      <c r="BS91" s="3">
        <f>SUMIFS(MOT_AJUSTE,MOT_MOTOR,G91,MOT_MARCA,E91,MOT_DESDE,"&lt;="&amp;M91,MOT_HASTA,"&gt;="&amp;M91)+SUMIFS(MOT_AJUSTE,MOT_MOTOR,G91,MOT_MARCA,"(todas)",MOT_DESDE,"&lt;="&amp;M91,MOT_HASTA,"&gt;="&amp;M91)</f>
        <v/>
      </c>
      <c r="BT91" s="3">
        <f>SUMIFS(COMB_AJUSTE,COMB_COMB,K91)</f>
        <v/>
      </c>
      <c r="BU91" s="3">
        <f>COUNTIFS(MOT_MOTOR,G91,MOT_MARCA,E91,MOT_DESDE,"&lt;="&amp;M91,MOT_HASTA,"&gt;="&amp;M91)+COUNTIFS(MOT_MOTOR,G91,MOT_MARCA,"(todas)",MOT_DESDE,"&lt;="&amp;M91,MOT_HASTA,"&gt;="&amp;M91)</f>
        <v/>
      </c>
      <c r="BV91" s="3">
        <f>IF(AND(K91="diesel",BU91=0),MIN(BR91,NEUTRO),BR91)</f>
        <v/>
      </c>
      <c r="BW91" s="4">
        <f>MAX(0,MIN(100,BV91+BS91+BT91))</f>
        <v/>
      </c>
      <c r="BX91" s="3">
        <f>MAX(0,MIN(100,50+BK91*PRECIO_PEND))</f>
        <v/>
      </c>
      <c r="BY91" s="3">
        <f>MAX(0,100*(1-N91/KM_MAX))</f>
        <v/>
      </c>
      <c r="BZ91" s="3">
        <f>IF(BB91&lt;KMA_SOSP,IF(AA91="sí",100,KMA_PEN),IF(BB91&lt;=KMA_IDEAL_MAX,100,MAX(0,100*(KMA_CERO-BB91)/(KMA_CERO-KMA_IDEAL_MAX))))</f>
        <v/>
      </c>
      <c r="CA91" s="3">
        <f>MAX(0,MIN(100,100*(M91-ANIO_MIN)/(ANIO_ACTUAL-ANIO_MIN)))</f>
        <v/>
      </c>
      <c r="CB91" s="3">
        <f>W_KMT*BY91+W_KMA*BZ91+W_EDAD*CA91</f>
        <v/>
      </c>
      <c r="CC91" s="3">
        <f>P_ITV*(V91="sí")+P_LIBRO*(W91="sí")+P_CORREA*(X91="sí")+P_PROP*(Y91=1)+P_GAR*(Z91="sí")+P_FOTOS*MIN(1,N(U91)/FOTOS_OBJ)</f>
        <v/>
      </c>
      <c r="CD91" s="3">
        <f>MAX(0,MIN(100,IFERROR(VLOOKUP(BP91,ETQ_TBL,2,0),0)-IF(BQ91="sí",ETQ_PEN_DUD,IF(AS91="regla",ETQ_PEN_REGLA,0))))</f>
        <v/>
      </c>
      <c r="CE91" s="3">
        <f>NEUTRO</f>
        <v/>
      </c>
      <c r="CF91" s="3">
        <f>IFERROR(VLOOKUP(L91,SEGURO_TBL,3,0),"")</f>
        <v/>
      </c>
      <c r="CG91" s="3">
        <f>IF(CF91="",NEUTRO,MAX(0,MIN(100,100*(SEG_REF_MAX-CF91)/(SEG_REF_MAX-SEG_REF_MIN))))</f>
        <v/>
      </c>
      <c r="CH91" s="3">
        <f>W_CONS*CE91+W_SEG*CG91</f>
        <v/>
      </c>
      <c r="CI91" s="3">
        <f>IF(N(AB91)&gt;0,AB91,IF(AND(R91="profesional",SG_LEGAL_ON=1),GAR_LEGAL,0))</f>
        <v/>
      </c>
      <c r="CJ91" s="3">
        <f>SG_GAR*MIN(1,CI91/SG_GAR_FULL)+SG_AMPL*(AC91="sí")+SG_KMC*(AF91="sí")+SG_REV*(N(AE91)&gt;0)+SG_DEV*MIN(1,N(AG91)/SG_DEV_FULL)+SG_HIST*(W91="sí")</f>
        <v/>
      </c>
      <c r="CK91" s="3">
        <f>IFERROR(VLOOKUP(L91,CARR_PEN_TBL,2,0),0)</f>
        <v/>
      </c>
      <c r="CL91" s="3">
        <f>W_FIAB*BW91+W_PRECIO*BX91+W_KMEDAD*CB91+W_ANUNCIO*CC91+W_USO*CH91+W_SEGURIDAD*CJ91+W_ETIQUETA*CD91-CK91</f>
        <v/>
      </c>
      <c r="CM91" s="4">
        <f>IF(N(I91)&gt;0,I91,IFERROR(ROUND(_xlfn.NUMBERVALUE(LEFT(G91,FIND(" ",G91&amp;" ")-1),".")*1000,0),99999))</f>
        <v/>
      </c>
      <c r="CN91" s="3">
        <f>IF(R91="profesional",0,IF(O91&lt;CUOTA_VALOR_MAX,IF(BA91&gt;ITP_TRAMO_ALTO,SUMIFS(CF_CUOTA,CF_MAS,ITP_TRAMO_ALTO,CF_CCMIN,"&lt;="&amp;CM91,CF_CCMAX,"&gt;="&amp;CM91),IF(BA91&gt;ITP_TRAMO_BAJO,SUMIFS(CF_CUOTA,CF_MAS,ITP_TRAMO_BAJO,CF_CCMIN,"&lt;="&amp;CM91,CF_CCMAX,"&gt;="&amp;CM91),O91*ITP_TIPO)),O91*ITP_TIPO))</f>
        <v/>
      </c>
      <c r="CO91" s="4">
        <f>IF(R91="profesional",N(AK91),0)</f>
        <v/>
      </c>
      <c r="CP91" s="3">
        <f>IF(AND(R91="profesional",ISNUMBER(AK91),AL91="sí"),0,TASA_DGT)</f>
        <v/>
      </c>
      <c r="CQ91" s="3">
        <f>INFORME_DGT</f>
        <v/>
      </c>
      <c r="CR91" s="4">
        <f>O91+CO91+CN91+CP91+CQ91</f>
        <v/>
      </c>
      <c r="CS91" s="4">
        <f>CR91+N(CF91)</f>
        <v/>
      </c>
      <c r="CT91" s="3">
        <f>IF(CR91&lt;=TOTAL_MAX,"sí",IF(CR91&lt;=TOTAL_MAX+MARGEN_NEG,"negociar","no"))</f>
        <v/>
      </c>
      <c r="CU91" s="4">
        <f>IF(CT91&lt;&gt;"no",COUNTIFS($CT$2:$CT$545,"&lt;&gt;no",$CL$2:$CL$545,"&gt;"&amp;CL91)+COUNTIFS($CT$2:CT91,"&lt;&gt;no",$CL$2:CL91,CL91),"")</f>
        <v/>
      </c>
    </row>
    <row r="92">
      <c r="A92" s="2" t="inlineStr">
        <is>
          <t>cochesnet:71561861</t>
        </is>
      </c>
      <c r="B92" s="2" t="inlineStr">
        <is>
          <t>cochesnet</t>
        </is>
      </c>
      <c r="C92" s="2" t="inlineStr">
        <is>
          <t>https://www.coches.net/opel-astra-17-cdti-110-cv-cosmo-5p-diesel-2010-en-valencia-71561861-covo.aspx</t>
        </is>
      </c>
      <c r="D92" s="2" t="inlineStr">
        <is>
          <t>OPEL Astra 1.7 CDTi 110 CV Cosmo</t>
        </is>
      </c>
      <c r="E92" s="2" t="inlineStr">
        <is>
          <t>Opel</t>
        </is>
      </c>
      <c r="F92" s="2" t="inlineStr">
        <is>
          <t>Opel Astra</t>
        </is>
      </c>
      <c r="G92" s="2" t="inlineStr">
        <is>
          <t>1.7 CDTi</t>
        </is>
      </c>
      <c r="H92" s="2" t="inlineStr">
        <is>
          <t>1.7 CDTi 110 CV Cosmo</t>
        </is>
      </c>
      <c r="I92" s="2" t="n"/>
      <c r="J92" s="2" t="n">
        <v>110</v>
      </c>
      <c r="K92" s="2" t="inlineStr">
        <is>
          <t>diesel</t>
        </is>
      </c>
      <c r="L92" s="2" t="inlineStr">
        <is>
          <t>compacto</t>
        </is>
      </c>
      <c r="M92" s="2" t="n">
        <v>2010</v>
      </c>
      <c r="N92" s="2" t="n">
        <v>140000</v>
      </c>
      <c r="O92" s="2" t="n">
        <v>4390</v>
      </c>
      <c r="P92" s="2" t="inlineStr">
        <is>
          <t>manual</t>
        </is>
      </c>
      <c r="Q92" s="2" t="inlineStr">
        <is>
          <t>no</t>
        </is>
      </c>
      <c r="R92" s="2" t="inlineStr">
        <is>
          <t>particular</t>
        </is>
      </c>
      <c r="S92" s="2" t="inlineStr">
        <is>
          <t>Valencia</t>
        </is>
      </c>
      <c r="T92" s="2" t="inlineStr">
        <is>
          <t>2026-09-21T13:28:52Z</t>
        </is>
      </c>
      <c r="U92" s="2" t="n">
        <v>5</v>
      </c>
      <c r="V92" s="2" t="inlineStr">
        <is>
          <t>sí</t>
        </is>
      </c>
      <c r="W92" s="2" t="n"/>
      <c r="X92" s="2" t="n"/>
      <c r="Y92" s="2" t="n"/>
      <c r="Z92" s="2" t="inlineStr">
        <is>
          <t>no</t>
        </is>
      </c>
      <c r="AA92" s="2" t="n"/>
      <c r="AB92" s="2" t="n"/>
      <c r="AC92" s="2" t="n"/>
      <c r="AD92" s="2" t="n"/>
      <c r="AE92" s="2" t="n"/>
      <c r="AF92" s="2" t="n"/>
      <c r="AG92" s="2" t="n"/>
      <c r="AH92" s="2" t="n">
        <v>4390</v>
      </c>
      <c r="AI92" s="2" t="n"/>
      <c r="AJ92" s="2" t="n"/>
      <c r="AK92" s="2" t="n"/>
      <c r="AL92" s="2" t="n"/>
      <c r="AM92" s="2" t="n">
        <v>0.1</v>
      </c>
      <c r="AN92" s="2" t="n"/>
      <c r="AO92" s="2" t="inlineStr">
        <is>
          <t>07/2010</t>
        </is>
      </c>
      <c r="AP92" s="2" t="n">
        <v>2010</v>
      </c>
      <c r="AQ92" s="2" t="n">
        <v>7</v>
      </c>
      <c r="AR92" s="2" t="n"/>
      <c r="AS92" s="2" t="inlineStr">
        <is>
          <t>regla</t>
        </is>
      </c>
      <c r="AT92" s="2" t="n">
        <v>5695</v>
      </c>
      <c r="AU92" s="2" t="n">
        <v>8</v>
      </c>
      <c r="AV92" s="2" t="inlineStr">
        <is>
          <t>modelo+año+km</t>
        </is>
      </c>
      <c r="AW92" s="2" t="inlineStr">
        <is>
          <t>cochesnet:71561678 (https://www.coches.net/opel-astra-diesel-2010-en-valencia-71561678-covo.aspx)</t>
        </is>
      </c>
      <c r="AX92" s="2" t="inlineStr">
        <is>
          <t>cuota fija ITP: &gt;12 años, 1.501-2.000 cc; diésel: motor sin fuente de fiabilidad (fiabilidad limitada a neutra)</t>
        </is>
      </c>
      <c r="AY92" s="2" t="inlineStr">
        <is>
          <t xml:space="preserve">Mantenimientos al día 
Cambio de aceite y filtros 29/09/26
ITV en vigor 
Acepto prueba mecánica </t>
        </is>
      </c>
      <c r="AZ92" s="2" t="inlineStr">
        <is>
          <t>https://www.coches.net/opel-astra-17-cdti-110-cv-cosmo-5p-diesel-2010-en-valencia-71561861-covo.aspx (window.__INITIAL_PROPS__.ad) /home/user/Alopecia/buscador-coches/raw/cochesnet/eb2e4e78a124d8a8.json</t>
        </is>
      </c>
      <c r="BA92" s="3">
        <f>MAX(ANIO_ACTUAL-M92,0)</f>
        <v/>
      </c>
      <c r="BB92" s="4">
        <f>N92/MAX(BA92,0.5)</f>
        <v/>
      </c>
      <c r="BC92" s="4">
        <f>F92</f>
        <v/>
      </c>
      <c r="BD92" s="3">
        <f>BC92&amp;"|"&amp;INT(M92/SEG_ANIO)*SEG_ANIO</f>
        <v/>
      </c>
      <c r="BE92" s="3">
        <f>BD92&amp;"|"&amp;INT(N92/SEG_KM)*SEG_KM</f>
        <v/>
      </c>
      <c r="BF92" s="4">
        <f>COUNTIF($BC$2:$BC$545,BC92)</f>
        <v/>
      </c>
      <c r="BG92" s="4">
        <f>COUNTIF($BD$2:$BD$545,BD92)</f>
        <v/>
      </c>
      <c r="BH92" s="4">
        <f>COUNTIF($BE$2:$BE$545,BE92)</f>
        <v/>
      </c>
      <c r="BI92" s="3">
        <f t="array" ref="BI92">IF(N(AU92)&gt;=MIN_N,AT92,IF(BH92&gt;=MIN_N,MEDIAN(IF($BE$2:$BE$545=BE92,$O$2:$O$545)),IF(BG92&gt;=MIN_N,MEDIAN(IF($BD$2:$BD$545=BD92,$O$2:$O$545)),MEDIAN(IF($BC$2:$BC$545=BC92,$O$2:$O$545)))))</f>
        <v/>
      </c>
      <c r="BJ92" s="3">
        <f>IF(N(AU92)&gt;=MIN_N,"mercado "&amp;AV92,IF(BH92&gt;=MIN_N,"modelo+año+km",IF(BG92&gt;=MIN_N,"modelo+año","modelo")))</f>
        <v/>
      </c>
      <c r="BK92" s="4">
        <f>(BI92-O92)/BI92</f>
        <v/>
      </c>
      <c r="BL92" s="3">
        <f>IF(COUNTIFS(FR_FUEL,K92,FR_YEAR,AP92)&gt;0,1,0)</f>
        <v/>
      </c>
      <c r="BM92" s="3">
        <f>IF(COUNTIFS(FR_FUEL,K92,FR_YEAR,AP92-1)&gt;0,1,0)</f>
        <v/>
      </c>
      <c r="BN92" s="4">
        <f>IF(N(AQ92)&gt;0,AP92*100+AQ92,IF(AND(BL92=1,BM92=1),(AP92-1)*100+1,AP92*100+1))</f>
        <v/>
      </c>
      <c r="BO92" s="3">
        <f>IF(OR(K92="hibrido",K92="glp",K92="gnc",K92="phev"),"ECO",IF(K92="electrico","CERO",IF(K92="gasolina",IF(BN92&gt;=GAS_C_YM,"C",IF(BN92&gt;=GAS_B_YM,"B","A")),IF(K92="diesel",IF(BN92&gt;=DIE_C_YM,"C",IF(BN92&gt;=DIE_B_YM,"B","A")),""))))</f>
        <v/>
      </c>
      <c r="BP92" s="4">
        <f>BO92</f>
        <v/>
      </c>
      <c r="BQ92" s="4">
        <f>IF(AS92="regla",IF(AND(N(AQ92)=0,BL92=1),"sí","no"),"no")</f>
        <v/>
      </c>
      <c r="BR92" s="3">
        <f>IFERROR(VLOOKUP(F92,MOD_TBL,11,0),IFERROR(VLOOKUP(E92,OCU_TBL,2,0),NEUTRO))</f>
        <v/>
      </c>
      <c r="BS92" s="3">
        <f>SUMIFS(MOT_AJUSTE,MOT_MOTOR,G92,MOT_MARCA,E92,MOT_DESDE,"&lt;="&amp;M92,MOT_HASTA,"&gt;="&amp;M92)+SUMIFS(MOT_AJUSTE,MOT_MOTOR,G92,MOT_MARCA,"(todas)",MOT_DESDE,"&lt;="&amp;M92,MOT_HASTA,"&gt;="&amp;M92)</f>
        <v/>
      </c>
      <c r="BT92" s="3">
        <f>SUMIFS(COMB_AJUSTE,COMB_COMB,K92)</f>
        <v/>
      </c>
      <c r="BU92" s="3">
        <f>COUNTIFS(MOT_MOTOR,G92,MOT_MARCA,E92,MOT_DESDE,"&lt;="&amp;M92,MOT_HASTA,"&gt;="&amp;M92)+COUNTIFS(MOT_MOTOR,G92,MOT_MARCA,"(todas)",MOT_DESDE,"&lt;="&amp;M92,MOT_HASTA,"&gt;="&amp;M92)</f>
        <v/>
      </c>
      <c r="BV92" s="3">
        <f>IF(AND(K92="diesel",BU92=0),MIN(BR92,NEUTRO),BR92)</f>
        <v/>
      </c>
      <c r="BW92" s="4">
        <f>MAX(0,MIN(100,BV92+BS92+BT92))</f>
        <v/>
      </c>
      <c r="BX92" s="3">
        <f>MAX(0,MIN(100,50+BK92*PRECIO_PEND))</f>
        <v/>
      </c>
      <c r="BY92" s="3">
        <f>MAX(0,100*(1-N92/KM_MAX))</f>
        <v/>
      </c>
      <c r="BZ92" s="3">
        <f>IF(BB92&lt;KMA_SOSP,IF(AA92="sí",100,KMA_PEN),IF(BB92&lt;=KMA_IDEAL_MAX,100,MAX(0,100*(KMA_CERO-BB92)/(KMA_CERO-KMA_IDEAL_MAX))))</f>
        <v/>
      </c>
      <c r="CA92" s="3">
        <f>MAX(0,MIN(100,100*(M92-ANIO_MIN)/(ANIO_ACTUAL-ANIO_MIN)))</f>
        <v/>
      </c>
      <c r="CB92" s="3">
        <f>W_KMT*BY92+W_KMA*BZ92+W_EDAD*CA92</f>
        <v/>
      </c>
      <c r="CC92" s="3">
        <f>P_ITV*(V92="sí")+P_LIBRO*(W92="sí")+P_CORREA*(X92="sí")+P_PROP*(Y92=1)+P_GAR*(Z92="sí")+P_FOTOS*MIN(1,N(U92)/FOTOS_OBJ)</f>
        <v/>
      </c>
      <c r="CD92" s="3">
        <f>MAX(0,MIN(100,IFERROR(VLOOKUP(BP92,ETQ_TBL,2,0),0)-IF(BQ92="sí",ETQ_PEN_DUD,IF(AS92="regla",ETQ_PEN_REGLA,0))))</f>
        <v/>
      </c>
      <c r="CE92" s="3">
        <f>NEUTRO</f>
        <v/>
      </c>
      <c r="CF92" s="3">
        <f>IFERROR(VLOOKUP(L92,SEGURO_TBL,3,0),"")</f>
        <v/>
      </c>
      <c r="CG92" s="3">
        <f>IF(CF92="",NEUTRO,MAX(0,MIN(100,100*(SEG_REF_MAX-CF92)/(SEG_REF_MAX-SEG_REF_MIN))))</f>
        <v/>
      </c>
      <c r="CH92" s="3">
        <f>W_CONS*CE92+W_SEG*CG92</f>
        <v/>
      </c>
      <c r="CI92" s="3">
        <f>IF(N(AB92)&gt;0,AB92,IF(AND(R92="profesional",SG_LEGAL_ON=1),GAR_LEGAL,0))</f>
        <v/>
      </c>
      <c r="CJ92" s="3">
        <f>SG_GAR*MIN(1,CI92/SG_GAR_FULL)+SG_AMPL*(AC92="sí")+SG_KMC*(AF92="sí")+SG_REV*(N(AE92)&gt;0)+SG_DEV*MIN(1,N(AG92)/SG_DEV_FULL)+SG_HIST*(W92="sí")</f>
        <v/>
      </c>
      <c r="CK92" s="3">
        <f>IFERROR(VLOOKUP(L92,CARR_PEN_TBL,2,0),0)</f>
        <v/>
      </c>
      <c r="CL92" s="3">
        <f>W_FIAB*BW92+W_PRECIO*BX92+W_KMEDAD*CB92+W_ANUNCIO*CC92+W_USO*CH92+W_SEGURIDAD*CJ92+W_ETIQUETA*CD92-CK92</f>
        <v/>
      </c>
      <c r="CM92" s="4">
        <f>IF(N(I92)&gt;0,I92,IFERROR(ROUND(_xlfn.NUMBERVALUE(LEFT(G92,FIND(" ",G92&amp;" ")-1),".")*1000,0),99999))</f>
        <v/>
      </c>
      <c r="CN92" s="3">
        <f>IF(R92="profesional",0,IF(O92&lt;CUOTA_VALOR_MAX,IF(BA92&gt;ITP_TRAMO_ALTO,SUMIFS(CF_CUOTA,CF_MAS,ITP_TRAMO_ALTO,CF_CCMIN,"&lt;="&amp;CM92,CF_CCMAX,"&gt;="&amp;CM92),IF(BA92&gt;ITP_TRAMO_BAJO,SUMIFS(CF_CUOTA,CF_MAS,ITP_TRAMO_BAJO,CF_CCMIN,"&lt;="&amp;CM92,CF_CCMAX,"&gt;="&amp;CM92),O92*ITP_TIPO)),O92*ITP_TIPO))</f>
        <v/>
      </c>
      <c r="CO92" s="4">
        <f>IF(R92="profesional",N(AK92),0)</f>
        <v/>
      </c>
      <c r="CP92" s="3">
        <f>IF(AND(R92="profesional",ISNUMBER(AK92),AL92="sí"),0,TASA_DGT)</f>
        <v/>
      </c>
      <c r="CQ92" s="3">
        <f>INFORME_DGT</f>
        <v/>
      </c>
      <c r="CR92" s="4">
        <f>O92+CO92+CN92+CP92+CQ92</f>
        <v/>
      </c>
      <c r="CS92" s="4">
        <f>CR92+N(CF92)</f>
        <v/>
      </c>
      <c r="CT92" s="3">
        <f>IF(CR92&lt;=TOTAL_MAX,"sí",IF(CR92&lt;=TOTAL_MAX+MARGEN_NEG,"negociar","no"))</f>
        <v/>
      </c>
      <c r="CU92" s="4">
        <f>IF(CT92&lt;&gt;"no",COUNTIFS($CT$2:$CT$545,"&lt;&gt;no",$CL$2:$CL$545,"&gt;"&amp;CL92)+COUNTIFS($CT$2:CT92,"&lt;&gt;no",$CL$2:CL92,CL92),"")</f>
        <v/>
      </c>
    </row>
    <row r="93">
      <c r="A93" s="2" t="inlineStr">
        <is>
          <t>cochesnet:71370972</t>
        </is>
      </c>
      <c r="B93" s="2" t="inlineStr">
        <is>
          <t>cochesnet</t>
        </is>
      </c>
      <c r="C93" s="2" t="inlineStr">
        <is>
          <t>https://www.coches.net/opel-astra-17-cdti-ss-sportive-gtc-3p-diesel-2013-en-valencia-71370972-covo.aspx</t>
        </is>
      </c>
      <c r="D93" s="2" t="inlineStr">
        <is>
          <t>OPEL Astra 1.7 CDTi SS Sportive GTC</t>
        </is>
      </c>
      <c r="E93" s="2" t="inlineStr">
        <is>
          <t>Opel</t>
        </is>
      </c>
      <c r="F93" s="2" t="inlineStr">
        <is>
          <t>Opel Astra</t>
        </is>
      </c>
      <c r="G93" s="2" t="inlineStr">
        <is>
          <t>1.7 CDTi</t>
        </is>
      </c>
      <c r="H93" s="2" t="inlineStr">
        <is>
          <t>1.7 CDTi SS Sportive GTC</t>
        </is>
      </c>
      <c r="I93" s="2" t="n"/>
      <c r="J93" s="2" t="n"/>
      <c r="K93" s="2" t="inlineStr">
        <is>
          <t>diesel</t>
        </is>
      </c>
      <c r="L93" s="2" t="inlineStr">
        <is>
          <t>compacto</t>
        </is>
      </c>
      <c r="M93" s="2" t="n">
        <v>2013</v>
      </c>
      <c r="N93" s="2" t="n">
        <v>199000</v>
      </c>
      <c r="O93" s="2" t="n">
        <v>4400</v>
      </c>
      <c r="P93" s="2" t="inlineStr">
        <is>
          <t>manual</t>
        </is>
      </c>
      <c r="Q93" s="2" t="inlineStr">
        <is>
          <t>no</t>
        </is>
      </c>
      <c r="R93" s="2" t="inlineStr">
        <is>
          <t>particular</t>
        </is>
      </c>
      <c r="S93" s="2" t="inlineStr">
        <is>
          <t>Rotglà i Corbera</t>
        </is>
      </c>
      <c r="T93" s="2" t="inlineStr">
        <is>
          <t>2026-08-26T18:55:16Z</t>
        </is>
      </c>
      <c r="U93" s="2" t="n">
        <v>10</v>
      </c>
      <c r="V93" s="2" t="inlineStr">
        <is>
          <t>sí</t>
        </is>
      </c>
      <c r="W93" s="2" t="n"/>
      <c r="X93" s="2" t="n"/>
      <c r="Y93" s="2" t="n"/>
      <c r="Z93" s="2" t="inlineStr">
        <is>
          <t>no</t>
        </is>
      </c>
      <c r="AA93" s="2" t="n"/>
      <c r="AB93" s="2" t="n"/>
      <c r="AC93" s="2" t="n"/>
      <c r="AD93" s="2" t="n"/>
      <c r="AE93" s="2" t="n"/>
      <c r="AF93" s="2" t="n"/>
      <c r="AG93" s="2" t="n"/>
      <c r="AH93" s="2" t="n">
        <v>4400</v>
      </c>
      <c r="AI93" s="2" t="n"/>
      <c r="AJ93" s="2" t="n"/>
      <c r="AK93" s="2" t="n"/>
      <c r="AL93" s="2" t="n"/>
      <c r="AM93" s="2" t="n">
        <v>54.2</v>
      </c>
      <c r="AN93" s="2" t="n"/>
      <c r="AO93" s="2" t="inlineStr">
        <is>
          <t>02/2013</t>
        </is>
      </c>
      <c r="AP93" s="2" t="n">
        <v>2013</v>
      </c>
      <c r="AQ93" s="2" t="n">
        <v>2</v>
      </c>
      <c r="AR93" s="2" t="n"/>
      <c r="AS93" s="2" t="inlineStr">
        <is>
          <t>regla</t>
        </is>
      </c>
      <c r="AT93" s="2" t="n">
        <v>5700</v>
      </c>
      <c r="AU93" s="2" t="n">
        <v>7</v>
      </c>
      <c r="AV93" s="2" t="inlineStr">
        <is>
          <t>modelo+año+km</t>
        </is>
      </c>
      <c r="AW93" s="2" t="n"/>
      <c r="AX93" s="2" t="inlineStr">
        <is>
          <t>antigüedad en el límite del tramo: depende de la fecha exacta de matriculación; cuota fija ITP: &gt;12 años, 1.501-2.000 cc; diésel: motor sin fuente de fiabilidad (fiabilidad limitada a neutra)</t>
        </is>
      </c>
      <c r="AY93" s="2" t="inlineStr">
        <is>
          <t xml:space="preserve">ULTIMO PRECIO
-Asiento de piel mixtos
-Interior en perfecto estado
-Ruedas en perfecto sado
-Aceite y filtros recien hechos
-Se deja con ITV pasada de un año
-Posibilidad ampliación de garantia 1 año
-Se puede ver y probar sin compromiso </t>
        </is>
      </c>
      <c r="AZ93" s="2" t="inlineStr">
        <is>
          <t>https://www.coches.net/opel-astra-17-cdti-ss-sportive-gtc-3p-diesel-2013-en-valencia-71370972-covo.aspx (window.__INITIAL_PROPS__.ad) /home/user/Alopecia/buscador-coches/raw/cochesnet/b872b3cb4f54b6ca.json</t>
        </is>
      </c>
      <c r="BA93" s="3">
        <f>MAX(ANIO_ACTUAL-M93,0)</f>
        <v/>
      </c>
      <c r="BB93" s="4">
        <f>N93/MAX(BA93,0.5)</f>
        <v/>
      </c>
      <c r="BC93" s="4">
        <f>F93</f>
        <v/>
      </c>
      <c r="BD93" s="3">
        <f>BC93&amp;"|"&amp;INT(M93/SEG_ANIO)*SEG_ANIO</f>
        <v/>
      </c>
      <c r="BE93" s="3">
        <f>BD93&amp;"|"&amp;INT(N93/SEG_KM)*SEG_KM</f>
        <v/>
      </c>
      <c r="BF93" s="4">
        <f>COUNTIF($BC$2:$BC$545,BC93)</f>
        <v/>
      </c>
      <c r="BG93" s="4">
        <f>COUNTIF($BD$2:$BD$545,BD93)</f>
        <v/>
      </c>
      <c r="BH93" s="4">
        <f>COUNTIF($BE$2:$BE$545,BE93)</f>
        <v/>
      </c>
      <c r="BI93" s="3">
        <f t="array" ref="BI93">IF(N(AU93)&gt;=MIN_N,AT93,IF(BH93&gt;=MIN_N,MEDIAN(IF($BE$2:$BE$545=BE93,$O$2:$O$545)),IF(BG93&gt;=MIN_N,MEDIAN(IF($BD$2:$BD$545=BD93,$O$2:$O$545)),MEDIAN(IF($BC$2:$BC$545=BC93,$O$2:$O$545)))))</f>
        <v/>
      </c>
      <c r="BJ93" s="3">
        <f>IF(N(AU93)&gt;=MIN_N,"mercado "&amp;AV93,IF(BH93&gt;=MIN_N,"modelo+año+km",IF(BG93&gt;=MIN_N,"modelo+año","modelo")))</f>
        <v/>
      </c>
      <c r="BK93" s="4">
        <f>(BI93-O93)/BI93</f>
        <v/>
      </c>
      <c r="BL93" s="3">
        <f>IF(COUNTIFS(FR_FUEL,K93,FR_YEAR,AP93)&gt;0,1,0)</f>
        <v/>
      </c>
      <c r="BM93" s="3">
        <f>IF(COUNTIFS(FR_FUEL,K93,FR_YEAR,AP93-1)&gt;0,1,0)</f>
        <v/>
      </c>
      <c r="BN93" s="4">
        <f>IF(N(AQ93)&gt;0,AP93*100+AQ93,IF(AND(BL93=1,BM93=1),(AP93-1)*100+1,AP93*100+1))</f>
        <v/>
      </c>
      <c r="BO93" s="3">
        <f>IF(OR(K93="hibrido",K93="glp",K93="gnc",K93="phev"),"ECO",IF(K93="electrico","CERO",IF(K93="gasolina",IF(BN93&gt;=GAS_C_YM,"C",IF(BN93&gt;=GAS_B_YM,"B","A")),IF(K93="diesel",IF(BN93&gt;=DIE_C_YM,"C",IF(BN93&gt;=DIE_B_YM,"B","A")),""))))</f>
        <v/>
      </c>
      <c r="BP93" s="4">
        <f>BO93</f>
        <v/>
      </c>
      <c r="BQ93" s="4">
        <f>IF(AS93="regla",IF(AND(N(AQ93)=0,BL93=1),"sí","no"),"no")</f>
        <v/>
      </c>
      <c r="BR93" s="3">
        <f>IFERROR(VLOOKUP(F93,MOD_TBL,11,0),IFERROR(VLOOKUP(E93,OCU_TBL,2,0),NEUTRO))</f>
        <v/>
      </c>
      <c r="BS93" s="3">
        <f>SUMIFS(MOT_AJUSTE,MOT_MOTOR,G93,MOT_MARCA,E93,MOT_DESDE,"&lt;="&amp;M93,MOT_HASTA,"&gt;="&amp;M93)+SUMIFS(MOT_AJUSTE,MOT_MOTOR,G93,MOT_MARCA,"(todas)",MOT_DESDE,"&lt;="&amp;M93,MOT_HASTA,"&gt;="&amp;M93)</f>
        <v/>
      </c>
      <c r="BT93" s="3">
        <f>SUMIFS(COMB_AJUSTE,COMB_COMB,K93)</f>
        <v/>
      </c>
      <c r="BU93" s="3">
        <f>COUNTIFS(MOT_MOTOR,G93,MOT_MARCA,E93,MOT_DESDE,"&lt;="&amp;M93,MOT_HASTA,"&gt;="&amp;M93)+COUNTIFS(MOT_MOTOR,G93,MOT_MARCA,"(todas)",MOT_DESDE,"&lt;="&amp;M93,MOT_HASTA,"&gt;="&amp;M93)</f>
        <v/>
      </c>
      <c r="BV93" s="3">
        <f>IF(AND(K93="diesel",BU93=0),MIN(BR93,NEUTRO),BR93)</f>
        <v/>
      </c>
      <c r="BW93" s="4">
        <f>MAX(0,MIN(100,BV93+BS93+BT93))</f>
        <v/>
      </c>
      <c r="BX93" s="3">
        <f>MAX(0,MIN(100,50+BK93*PRECIO_PEND))</f>
        <v/>
      </c>
      <c r="BY93" s="3">
        <f>MAX(0,100*(1-N93/KM_MAX))</f>
        <v/>
      </c>
      <c r="BZ93" s="3">
        <f>IF(BB93&lt;KMA_SOSP,IF(AA93="sí",100,KMA_PEN),IF(BB93&lt;=KMA_IDEAL_MAX,100,MAX(0,100*(KMA_CERO-BB93)/(KMA_CERO-KMA_IDEAL_MAX))))</f>
        <v/>
      </c>
      <c r="CA93" s="3">
        <f>MAX(0,MIN(100,100*(M93-ANIO_MIN)/(ANIO_ACTUAL-ANIO_MIN)))</f>
        <v/>
      </c>
      <c r="CB93" s="3">
        <f>W_KMT*BY93+W_KMA*BZ93+W_EDAD*CA93</f>
        <v/>
      </c>
      <c r="CC93" s="3">
        <f>P_ITV*(V93="sí")+P_LIBRO*(W93="sí")+P_CORREA*(X93="sí")+P_PROP*(Y93=1)+P_GAR*(Z93="sí")+P_FOTOS*MIN(1,N(U93)/FOTOS_OBJ)</f>
        <v/>
      </c>
      <c r="CD93" s="3">
        <f>MAX(0,MIN(100,IFERROR(VLOOKUP(BP93,ETQ_TBL,2,0),0)-IF(BQ93="sí",ETQ_PEN_DUD,IF(AS93="regla",ETQ_PEN_REGLA,0))))</f>
        <v/>
      </c>
      <c r="CE93" s="3">
        <f>NEUTRO</f>
        <v/>
      </c>
      <c r="CF93" s="3">
        <f>IFERROR(VLOOKUP(L93,SEGURO_TBL,3,0),"")</f>
        <v/>
      </c>
      <c r="CG93" s="3">
        <f>IF(CF93="",NEUTRO,MAX(0,MIN(100,100*(SEG_REF_MAX-CF93)/(SEG_REF_MAX-SEG_REF_MIN))))</f>
        <v/>
      </c>
      <c r="CH93" s="3">
        <f>W_CONS*CE93+W_SEG*CG93</f>
        <v/>
      </c>
      <c r="CI93" s="3">
        <f>IF(N(AB93)&gt;0,AB93,IF(AND(R93="profesional",SG_LEGAL_ON=1),GAR_LEGAL,0))</f>
        <v/>
      </c>
      <c r="CJ93" s="3">
        <f>SG_GAR*MIN(1,CI93/SG_GAR_FULL)+SG_AMPL*(AC93="sí")+SG_KMC*(AF93="sí")+SG_REV*(N(AE93)&gt;0)+SG_DEV*MIN(1,N(AG93)/SG_DEV_FULL)+SG_HIST*(W93="sí")</f>
        <v/>
      </c>
      <c r="CK93" s="3">
        <f>IFERROR(VLOOKUP(L93,CARR_PEN_TBL,2,0),0)</f>
        <v/>
      </c>
      <c r="CL93" s="3">
        <f>W_FIAB*BW93+W_PRECIO*BX93+W_KMEDAD*CB93+W_ANUNCIO*CC93+W_USO*CH93+W_SEGURIDAD*CJ93+W_ETIQUETA*CD93-CK93</f>
        <v/>
      </c>
      <c r="CM93" s="4">
        <f>IF(N(I93)&gt;0,I93,IFERROR(ROUND(_xlfn.NUMBERVALUE(LEFT(G93,FIND(" ",G93&amp;" ")-1),".")*1000,0),99999))</f>
        <v/>
      </c>
      <c r="CN93" s="3">
        <f>IF(R93="profesional",0,IF(O93&lt;CUOTA_VALOR_MAX,IF(BA93&gt;ITP_TRAMO_ALTO,SUMIFS(CF_CUOTA,CF_MAS,ITP_TRAMO_ALTO,CF_CCMIN,"&lt;="&amp;CM93,CF_CCMAX,"&gt;="&amp;CM93),IF(BA93&gt;ITP_TRAMO_BAJO,SUMIFS(CF_CUOTA,CF_MAS,ITP_TRAMO_BAJO,CF_CCMIN,"&lt;="&amp;CM93,CF_CCMAX,"&gt;="&amp;CM93),O93*ITP_TIPO)),O93*ITP_TIPO))</f>
        <v/>
      </c>
      <c r="CO93" s="4">
        <f>IF(R93="profesional",N(AK93),0)</f>
        <v/>
      </c>
      <c r="CP93" s="3">
        <f>IF(AND(R93="profesional",ISNUMBER(AK93),AL93="sí"),0,TASA_DGT)</f>
        <v/>
      </c>
      <c r="CQ93" s="3">
        <f>INFORME_DGT</f>
        <v/>
      </c>
      <c r="CR93" s="4">
        <f>O93+CO93+CN93+CP93+CQ93</f>
        <v/>
      </c>
      <c r="CS93" s="4">
        <f>CR93+N(CF93)</f>
        <v/>
      </c>
      <c r="CT93" s="3">
        <f>IF(CR93&lt;=TOTAL_MAX,"sí",IF(CR93&lt;=TOTAL_MAX+MARGEN_NEG,"negociar","no"))</f>
        <v/>
      </c>
      <c r="CU93" s="4">
        <f>IF(CT93&lt;&gt;"no",COUNTIFS($CT$2:$CT$545,"&lt;&gt;no",$CL$2:$CL$545,"&gt;"&amp;CL93)+COUNTIFS($CT$2:CT93,"&lt;&gt;no",$CL$2:CL93,CL93),"")</f>
        <v/>
      </c>
    </row>
    <row r="94">
      <c r="A94" s="2" t="inlineStr">
        <is>
          <t>cochesnet:71346295</t>
        </is>
      </c>
      <c r="B94" s="2" t="inlineStr">
        <is>
          <t>cochesnet</t>
        </is>
      </c>
      <c r="C94" s="2" t="inlineStr">
        <is>
          <t>https://www.coches.net/opel-astra-17-cdti-110-cv-enjoy-5p-diesel-2011-en-valencia-71346295-covo.aspx</t>
        </is>
      </c>
      <c r="D94" s="2" t="inlineStr">
        <is>
          <t>OPEL Astra 1.7 CDTi 110 CV Enjoy</t>
        </is>
      </c>
      <c r="E94" s="2" t="inlineStr">
        <is>
          <t>Opel</t>
        </is>
      </c>
      <c r="F94" s="2" t="inlineStr">
        <is>
          <t>Opel Astra</t>
        </is>
      </c>
      <c r="G94" s="2" t="inlineStr">
        <is>
          <t>1.7 CDTi</t>
        </is>
      </c>
      <c r="H94" s="2" t="inlineStr">
        <is>
          <t>1.7 CDTi 110 CV Enjoy</t>
        </is>
      </c>
      <c r="I94" s="2" t="n"/>
      <c r="J94" s="2" t="n">
        <v>110</v>
      </c>
      <c r="K94" s="2" t="inlineStr">
        <is>
          <t>diesel</t>
        </is>
      </c>
      <c r="L94" s="2" t="inlineStr">
        <is>
          <t>compacto</t>
        </is>
      </c>
      <c r="M94" s="2" t="n">
        <v>2011</v>
      </c>
      <c r="N94" s="2" t="n">
        <v>160000</v>
      </c>
      <c r="O94" s="2" t="n">
        <v>4000</v>
      </c>
      <c r="P94" s="2" t="inlineStr">
        <is>
          <t>manual</t>
        </is>
      </c>
      <c r="Q94" s="2" t="inlineStr">
        <is>
          <t>no</t>
        </is>
      </c>
      <c r="R94" s="2" t="inlineStr">
        <is>
          <t>particular</t>
        </is>
      </c>
      <c r="S94" s="2" t="inlineStr">
        <is>
          <t>Gandia</t>
        </is>
      </c>
      <c r="T94" s="2" t="inlineStr">
        <is>
          <t>2026-08-23T20:01:23Z</t>
        </is>
      </c>
      <c r="U94" s="2" t="n">
        <v>6</v>
      </c>
      <c r="V94" s="2" t="n"/>
      <c r="W94" s="2" t="n"/>
      <c r="X94" s="2" t="n"/>
      <c r="Y94" s="2" t="n"/>
      <c r="Z94" s="2" t="inlineStr">
        <is>
          <t>no</t>
        </is>
      </c>
      <c r="AA94" s="2" t="n"/>
      <c r="AB94" s="2" t="n"/>
      <c r="AC94" s="2" t="n"/>
      <c r="AD94" s="2" t="n"/>
      <c r="AE94" s="2" t="n"/>
      <c r="AF94" s="2" t="n"/>
      <c r="AG94" s="2" t="n"/>
      <c r="AH94" s="2" t="n">
        <v>4000</v>
      </c>
      <c r="AI94" s="2" t="n"/>
      <c r="AJ94" s="2" t="n"/>
      <c r="AK94" s="2" t="n"/>
      <c r="AL94" s="2" t="n"/>
      <c r="AM94" s="2" t="n">
        <v>58.4</v>
      </c>
      <c r="AN94" s="2" t="n"/>
      <c r="AO94" s="2" t="inlineStr">
        <is>
          <t>2011</t>
        </is>
      </c>
      <c r="AP94" s="2" t="n">
        <v>2011</v>
      </c>
      <c r="AQ94" s="2" t="n"/>
      <c r="AR94" s="2" t="n"/>
      <c r="AS94" s="2" t="inlineStr">
        <is>
          <t>regla</t>
        </is>
      </c>
      <c r="AT94" s="2" t="n">
        <v>4745</v>
      </c>
      <c r="AU94" s="2" t="n">
        <v>10</v>
      </c>
      <c r="AV94" s="2" t="inlineStr">
        <is>
          <t>modelo+año+km</t>
        </is>
      </c>
      <c r="AW94" s="2" t="n"/>
      <c r="AX94" s="2" t="inlineStr">
        <is>
          <t>cuota fija ITP: &gt;12 años, 1.501-2.000 cc; diésel: motor sin fuente de fiabilidad (fiabilidad limitada a neutra)</t>
        </is>
      </c>
      <c r="AY94" s="2" t="inlineStr">
        <is>
          <t>De Gandia</t>
        </is>
      </c>
      <c r="AZ94" s="2" t="inlineStr">
        <is>
          <t>https://www.coches.net/opel-astra-17-cdti-110-cv-enjoy-5p-diesel-2011-en-valencia-71346295-covo.aspx (window.__INITIAL_PROPS__.ad) /home/user/Alopecia/buscador-coches/raw/cochesnet/bd0f5a5afc44d2f1.json</t>
        </is>
      </c>
      <c r="BA94" s="3">
        <f>MAX(ANIO_ACTUAL-M94,0)</f>
        <v/>
      </c>
      <c r="BB94" s="4">
        <f>N94/MAX(BA94,0.5)</f>
        <v/>
      </c>
      <c r="BC94" s="4">
        <f>F94</f>
        <v/>
      </c>
      <c r="BD94" s="3">
        <f>BC94&amp;"|"&amp;INT(M94/SEG_ANIO)*SEG_ANIO</f>
        <v/>
      </c>
      <c r="BE94" s="3">
        <f>BD94&amp;"|"&amp;INT(N94/SEG_KM)*SEG_KM</f>
        <v/>
      </c>
      <c r="BF94" s="4">
        <f>COUNTIF($BC$2:$BC$545,BC94)</f>
        <v/>
      </c>
      <c r="BG94" s="4">
        <f>COUNTIF($BD$2:$BD$545,BD94)</f>
        <v/>
      </c>
      <c r="BH94" s="4">
        <f>COUNTIF($BE$2:$BE$545,BE94)</f>
        <v/>
      </c>
      <c r="BI94" s="3">
        <f t="array" ref="BI94">IF(N(AU94)&gt;=MIN_N,AT94,IF(BH94&gt;=MIN_N,MEDIAN(IF($BE$2:$BE$545=BE94,$O$2:$O$545)),IF(BG94&gt;=MIN_N,MEDIAN(IF($BD$2:$BD$545=BD94,$O$2:$O$545)),MEDIAN(IF($BC$2:$BC$545=BC94,$O$2:$O$545)))))</f>
        <v/>
      </c>
      <c r="BJ94" s="3">
        <f>IF(N(AU94)&gt;=MIN_N,"mercado "&amp;AV94,IF(BH94&gt;=MIN_N,"modelo+año+km",IF(BG94&gt;=MIN_N,"modelo+año","modelo")))</f>
        <v/>
      </c>
      <c r="BK94" s="4">
        <f>(BI94-O94)/BI94</f>
        <v/>
      </c>
      <c r="BL94" s="3">
        <f>IF(COUNTIFS(FR_FUEL,K94,FR_YEAR,AP94)&gt;0,1,0)</f>
        <v/>
      </c>
      <c r="BM94" s="3">
        <f>IF(COUNTIFS(FR_FUEL,K94,FR_YEAR,AP94-1)&gt;0,1,0)</f>
        <v/>
      </c>
      <c r="BN94" s="4">
        <f>IF(N(AQ94)&gt;0,AP94*100+AQ94,IF(AND(BL94=1,BM94=1),(AP94-1)*100+1,AP94*100+1))</f>
        <v/>
      </c>
      <c r="BO94" s="3">
        <f>IF(OR(K94="hibrido",K94="glp",K94="gnc",K94="phev"),"ECO",IF(K94="electrico","CERO",IF(K94="gasolina",IF(BN94&gt;=GAS_C_YM,"C",IF(BN94&gt;=GAS_B_YM,"B","A")),IF(K94="diesel",IF(BN94&gt;=DIE_C_YM,"C",IF(BN94&gt;=DIE_B_YM,"B","A")),""))))</f>
        <v/>
      </c>
      <c r="BP94" s="4">
        <f>BO94</f>
        <v/>
      </c>
      <c r="BQ94" s="4">
        <f>IF(AS94="regla",IF(AND(N(AQ94)=0,BL94=1),"sí","no"),"no")</f>
        <v/>
      </c>
      <c r="BR94" s="3">
        <f>IFERROR(VLOOKUP(F94,MOD_TBL,11,0),IFERROR(VLOOKUP(E94,OCU_TBL,2,0),NEUTRO))</f>
        <v/>
      </c>
      <c r="BS94" s="3">
        <f>SUMIFS(MOT_AJUSTE,MOT_MOTOR,G94,MOT_MARCA,E94,MOT_DESDE,"&lt;="&amp;M94,MOT_HASTA,"&gt;="&amp;M94)+SUMIFS(MOT_AJUSTE,MOT_MOTOR,G94,MOT_MARCA,"(todas)",MOT_DESDE,"&lt;="&amp;M94,MOT_HASTA,"&gt;="&amp;M94)</f>
        <v/>
      </c>
      <c r="BT94" s="3">
        <f>SUMIFS(COMB_AJUSTE,COMB_COMB,K94)</f>
        <v/>
      </c>
      <c r="BU94" s="3">
        <f>COUNTIFS(MOT_MOTOR,G94,MOT_MARCA,E94,MOT_DESDE,"&lt;="&amp;M94,MOT_HASTA,"&gt;="&amp;M94)+COUNTIFS(MOT_MOTOR,G94,MOT_MARCA,"(todas)",MOT_DESDE,"&lt;="&amp;M94,MOT_HASTA,"&gt;="&amp;M94)</f>
        <v/>
      </c>
      <c r="BV94" s="3">
        <f>IF(AND(K94="diesel",BU94=0),MIN(BR94,NEUTRO),BR94)</f>
        <v/>
      </c>
      <c r="BW94" s="4">
        <f>MAX(0,MIN(100,BV94+BS94+BT94))</f>
        <v/>
      </c>
      <c r="BX94" s="3">
        <f>MAX(0,MIN(100,50+BK94*PRECIO_PEND))</f>
        <v/>
      </c>
      <c r="BY94" s="3">
        <f>MAX(0,100*(1-N94/KM_MAX))</f>
        <v/>
      </c>
      <c r="BZ94" s="3">
        <f>IF(BB94&lt;KMA_SOSP,IF(AA94="sí",100,KMA_PEN),IF(BB94&lt;=KMA_IDEAL_MAX,100,MAX(0,100*(KMA_CERO-BB94)/(KMA_CERO-KMA_IDEAL_MAX))))</f>
        <v/>
      </c>
      <c r="CA94" s="3">
        <f>MAX(0,MIN(100,100*(M94-ANIO_MIN)/(ANIO_ACTUAL-ANIO_MIN)))</f>
        <v/>
      </c>
      <c r="CB94" s="3">
        <f>W_KMT*BY94+W_KMA*BZ94+W_EDAD*CA94</f>
        <v/>
      </c>
      <c r="CC94" s="3">
        <f>P_ITV*(V94="sí")+P_LIBRO*(W94="sí")+P_CORREA*(X94="sí")+P_PROP*(Y94=1)+P_GAR*(Z94="sí")+P_FOTOS*MIN(1,N(U94)/FOTOS_OBJ)</f>
        <v/>
      </c>
      <c r="CD94" s="3">
        <f>MAX(0,MIN(100,IFERROR(VLOOKUP(BP94,ETQ_TBL,2,0),0)-IF(BQ94="sí",ETQ_PEN_DUD,IF(AS94="regla",ETQ_PEN_REGLA,0))))</f>
        <v/>
      </c>
      <c r="CE94" s="3">
        <f>NEUTRO</f>
        <v/>
      </c>
      <c r="CF94" s="3">
        <f>IFERROR(VLOOKUP(L94,SEGURO_TBL,3,0),"")</f>
        <v/>
      </c>
      <c r="CG94" s="3">
        <f>IF(CF94="",NEUTRO,MAX(0,MIN(100,100*(SEG_REF_MAX-CF94)/(SEG_REF_MAX-SEG_REF_MIN))))</f>
        <v/>
      </c>
      <c r="CH94" s="3">
        <f>W_CONS*CE94+W_SEG*CG94</f>
        <v/>
      </c>
      <c r="CI94" s="3">
        <f>IF(N(AB94)&gt;0,AB94,IF(AND(R94="profesional",SG_LEGAL_ON=1),GAR_LEGAL,0))</f>
        <v/>
      </c>
      <c r="CJ94" s="3">
        <f>SG_GAR*MIN(1,CI94/SG_GAR_FULL)+SG_AMPL*(AC94="sí")+SG_KMC*(AF94="sí")+SG_REV*(N(AE94)&gt;0)+SG_DEV*MIN(1,N(AG94)/SG_DEV_FULL)+SG_HIST*(W94="sí")</f>
        <v/>
      </c>
      <c r="CK94" s="3">
        <f>IFERROR(VLOOKUP(L94,CARR_PEN_TBL,2,0),0)</f>
        <v/>
      </c>
      <c r="CL94" s="3">
        <f>W_FIAB*BW94+W_PRECIO*BX94+W_KMEDAD*CB94+W_ANUNCIO*CC94+W_USO*CH94+W_SEGURIDAD*CJ94+W_ETIQUETA*CD94-CK94</f>
        <v/>
      </c>
      <c r="CM94" s="4">
        <f>IF(N(I94)&gt;0,I94,IFERROR(ROUND(_xlfn.NUMBERVALUE(LEFT(G94,FIND(" ",G94&amp;" ")-1),".")*1000,0),99999))</f>
        <v/>
      </c>
      <c r="CN94" s="3">
        <f>IF(R94="profesional",0,IF(O94&lt;CUOTA_VALOR_MAX,IF(BA94&gt;ITP_TRAMO_ALTO,SUMIFS(CF_CUOTA,CF_MAS,ITP_TRAMO_ALTO,CF_CCMIN,"&lt;="&amp;CM94,CF_CCMAX,"&gt;="&amp;CM94),IF(BA94&gt;ITP_TRAMO_BAJO,SUMIFS(CF_CUOTA,CF_MAS,ITP_TRAMO_BAJO,CF_CCMIN,"&lt;="&amp;CM94,CF_CCMAX,"&gt;="&amp;CM94),O94*ITP_TIPO)),O94*ITP_TIPO))</f>
        <v/>
      </c>
      <c r="CO94" s="4">
        <f>IF(R94="profesional",N(AK94),0)</f>
        <v/>
      </c>
      <c r="CP94" s="3">
        <f>IF(AND(R94="profesional",ISNUMBER(AK94),AL94="sí"),0,TASA_DGT)</f>
        <v/>
      </c>
      <c r="CQ94" s="3">
        <f>INFORME_DGT</f>
        <v/>
      </c>
      <c r="CR94" s="4">
        <f>O94+CO94+CN94+CP94+CQ94</f>
        <v/>
      </c>
      <c r="CS94" s="4">
        <f>CR94+N(CF94)</f>
        <v/>
      </c>
      <c r="CT94" s="3">
        <f>IF(CR94&lt;=TOTAL_MAX,"sí",IF(CR94&lt;=TOTAL_MAX+MARGEN_NEG,"negociar","no"))</f>
        <v/>
      </c>
      <c r="CU94" s="4">
        <f>IF(CT94&lt;&gt;"no",COUNTIFS($CT$2:$CT$545,"&lt;&gt;no",$CL$2:$CL$545,"&gt;"&amp;CL94)+COUNTIFS($CT$2:CT94,"&lt;&gt;no",$CL$2:CL94,CL94),"")</f>
        <v/>
      </c>
    </row>
    <row r="95">
      <c r="A95" s="2" t="inlineStr">
        <is>
          <t>cochesnet:71249625</t>
        </is>
      </c>
      <c r="B95" s="2" t="inlineStr">
        <is>
          <t>cochesnet</t>
        </is>
      </c>
      <c r="C95" s="2" t="inlineStr">
        <is>
          <t>https://www.coches.net/opel-astra-17-cdti-ss-130-cv-excellence-4p-diesel-2014-en-valencia-71249625-covo.aspx</t>
        </is>
      </c>
      <c r="D95" s="2" t="inlineStr">
        <is>
          <t>OPEL Astra 1.7 CDTi SS 130 CV Excellence</t>
        </is>
      </c>
      <c r="E95" s="2" t="inlineStr">
        <is>
          <t>Opel</t>
        </is>
      </c>
      <c r="F95" s="2" t="inlineStr">
        <is>
          <t>Opel Astra</t>
        </is>
      </c>
      <c r="G95" s="2" t="inlineStr">
        <is>
          <t>1.7 CDTi</t>
        </is>
      </c>
      <c r="H95" s="2" t="inlineStr">
        <is>
          <t>1.7 CDTi SS 130 CV Excellence</t>
        </is>
      </c>
      <c r="I95" s="2" t="n"/>
      <c r="J95" s="2" t="n">
        <v>130</v>
      </c>
      <c r="K95" s="2" t="inlineStr">
        <is>
          <t>diesel</t>
        </is>
      </c>
      <c r="L95" s="2" t="inlineStr">
        <is>
          <t>compacto</t>
        </is>
      </c>
      <c r="M95" s="2" t="n">
        <v>2014</v>
      </c>
      <c r="N95" s="2" t="n">
        <v>220000</v>
      </c>
      <c r="O95" s="2" t="n">
        <v>4500</v>
      </c>
      <c r="P95" s="2" t="inlineStr">
        <is>
          <t>manual</t>
        </is>
      </c>
      <c r="Q95" s="2" t="inlineStr">
        <is>
          <t>no</t>
        </is>
      </c>
      <c r="R95" s="2" t="inlineStr">
        <is>
          <t>particular</t>
        </is>
      </c>
      <c r="S95" s="2" t="inlineStr">
        <is>
          <t>La Pobla de Vallbona</t>
        </is>
      </c>
      <c r="T95" s="2" t="inlineStr">
        <is>
          <t>2026-08-07T12:55:35Z</t>
        </is>
      </c>
      <c r="U95" s="2" t="n"/>
      <c r="V95" s="2" t="n"/>
      <c r="W95" s="2" t="n"/>
      <c r="X95" s="2" t="n"/>
      <c r="Y95" s="2" t="n"/>
      <c r="Z95" s="2" t="inlineStr">
        <is>
          <t>no</t>
        </is>
      </c>
      <c r="AA95" s="2" t="n"/>
      <c r="AB95" s="2" t="n"/>
      <c r="AC95" s="2" t="n"/>
      <c r="AD95" s="2" t="n"/>
      <c r="AE95" s="2" t="n"/>
      <c r="AF95" s="2" t="n"/>
      <c r="AG95" s="2" t="n"/>
      <c r="AH95" s="2" t="n">
        <v>4500</v>
      </c>
      <c r="AI95" s="2" t="n"/>
      <c r="AJ95" s="2" t="n"/>
      <c r="AK95" s="2" t="n"/>
      <c r="AL95" s="2" t="n"/>
      <c r="AM95" s="2" t="n">
        <v>20.8</v>
      </c>
      <c r="AN95" s="2" t="inlineStr">
        <is>
          <t>DE1686CC</t>
        </is>
      </c>
      <c r="AO95" s="2" t="inlineStr">
        <is>
          <t>03/2014</t>
        </is>
      </c>
      <c r="AP95" s="2" t="n">
        <v>2014</v>
      </c>
      <c r="AQ95" s="2" t="n">
        <v>3</v>
      </c>
      <c r="AR95" s="2" t="n"/>
      <c r="AS95" s="2" t="inlineStr">
        <is>
          <t>regla</t>
        </is>
      </c>
      <c r="AT95" s="2" t="n">
        <v>5300</v>
      </c>
      <c r="AU95" s="2" t="n">
        <v>30</v>
      </c>
      <c r="AV95" s="2" t="inlineStr">
        <is>
          <t>modelo+año</t>
        </is>
      </c>
      <c r="AW95" s="2" t="n"/>
      <c r="AX95" s="2" t="inlineStr">
        <is>
          <t>cuota fija ITP: &gt;5 y &lt;=12 años, 1.501-2.000 cc; diésel: motor sin fuente de fiabilidad (fiabilidad limitada a neutra)</t>
        </is>
      </c>
      <c r="AY95" s="2" t="inlineStr">
        <is>
          <t>Motor potente, consumo ajustado y conducción suave: una gran oportunidad.
Te presento mi Opel Astra 1.7 CDTi SS 130 CV Excellence, un berlina diésel que combina eficiencia y rendimiento en la carretera. Con motor de 1686 cc y 130 caballos de potencia, ofrece una conducción ágil y responsiva, ideal tanto para desplazamientos urbanos como para viajes de mayor distancia.
Este modelo destaca por su consumo optimizado gracias a la tecnología diésel, lo que se traduce en ahorros significativos en combustible sin renunciar a la potencia. La caja de cambios manual proporciona un control directo y una experiencia de conducción más conectada, característica que muchos conductores valoran especialmente.
La versión Excellence incluye un equipamiento pensado para el confort y la seguridad, con características que elevan la experiencia de conducción diaria. El diseño de berlina de cuatro puertas y cinco plazas lo hace versátil para familias y usuarios que necesitan espacio práctico.
Se trata de un vehículo que ha demostrado la fiabilidad característica de la marca Opel, con un motor diésel conocido por su durabilidad. La carrocería y el interior reflejan un uso cuidadoso a lo largo de los años.
Si tienes dudas sobre aspectos específicos del vehículo o deseas conocer más detalles sobre su estado, no dudes en contactarme a través del chat. Estoy disponible para resolver cualquier pregunta que tengas.
Contacta hoy mismo y descubre por qué este Astra puede ser exactamente lo que buscas.</t>
        </is>
      </c>
      <c r="AZ95" s="2" t="inlineStr">
        <is>
          <t>https://www.coches.net/opel-astra-17-cdti-ss-130-cv-excellence-4p-diesel-2014-en-valencia-71249625-covo.aspx (window.__INITIAL_PROPS__.ad) /home/user/Alopecia/buscador-coches/raw/cochesnet/300b5820103d642b.json</t>
        </is>
      </c>
      <c r="BA95" s="3">
        <f>MAX(ANIO_ACTUAL-M95,0)</f>
        <v/>
      </c>
      <c r="BB95" s="4">
        <f>N95/MAX(BA95,0.5)</f>
        <v/>
      </c>
      <c r="BC95" s="4">
        <f>F95</f>
        <v/>
      </c>
      <c r="BD95" s="3">
        <f>BC95&amp;"|"&amp;INT(M95/SEG_ANIO)*SEG_ANIO</f>
        <v/>
      </c>
      <c r="BE95" s="3">
        <f>BD95&amp;"|"&amp;INT(N95/SEG_KM)*SEG_KM</f>
        <v/>
      </c>
      <c r="BF95" s="4">
        <f>COUNTIF($BC$2:$BC$545,BC95)</f>
        <v/>
      </c>
      <c r="BG95" s="4">
        <f>COUNTIF($BD$2:$BD$545,BD95)</f>
        <v/>
      </c>
      <c r="BH95" s="4">
        <f>COUNTIF($BE$2:$BE$545,BE95)</f>
        <v/>
      </c>
      <c r="BI95" s="3">
        <f t="array" ref="BI95">IF(N(AU95)&gt;=MIN_N,AT95,IF(BH95&gt;=MIN_N,MEDIAN(IF($BE$2:$BE$545=BE95,$O$2:$O$545)),IF(BG95&gt;=MIN_N,MEDIAN(IF($BD$2:$BD$545=BD95,$O$2:$O$545)),MEDIAN(IF($BC$2:$BC$545=BC95,$O$2:$O$545)))))</f>
        <v/>
      </c>
      <c r="BJ95" s="3">
        <f>IF(N(AU95)&gt;=MIN_N,"mercado "&amp;AV95,IF(BH95&gt;=MIN_N,"modelo+año+km",IF(BG95&gt;=MIN_N,"modelo+año","modelo")))</f>
        <v/>
      </c>
      <c r="BK95" s="4">
        <f>(BI95-O95)/BI95</f>
        <v/>
      </c>
      <c r="BL95" s="3">
        <f>IF(COUNTIFS(FR_FUEL,K95,FR_YEAR,AP95)&gt;0,1,0)</f>
        <v/>
      </c>
      <c r="BM95" s="3">
        <f>IF(COUNTIFS(FR_FUEL,K95,FR_YEAR,AP95-1)&gt;0,1,0)</f>
        <v/>
      </c>
      <c r="BN95" s="4">
        <f>IF(N(AQ95)&gt;0,AP95*100+AQ95,IF(AND(BL95=1,BM95=1),(AP95-1)*100+1,AP95*100+1))</f>
        <v/>
      </c>
      <c r="BO95" s="3">
        <f>IF(OR(K95="hibrido",K95="glp",K95="gnc",K95="phev"),"ECO",IF(K95="electrico","CERO",IF(K95="gasolina",IF(BN95&gt;=GAS_C_YM,"C",IF(BN95&gt;=GAS_B_YM,"B","A")),IF(K95="diesel",IF(BN95&gt;=DIE_C_YM,"C",IF(BN95&gt;=DIE_B_YM,"B","A")),""))))</f>
        <v/>
      </c>
      <c r="BP95" s="4">
        <f>BO95</f>
        <v/>
      </c>
      <c r="BQ95" s="4">
        <f>IF(AS95="regla",IF(AND(N(AQ95)=0,BL95=1),"sí","no"),"no")</f>
        <v/>
      </c>
      <c r="BR95" s="3">
        <f>IFERROR(VLOOKUP(F95,MOD_TBL,11,0),IFERROR(VLOOKUP(E95,OCU_TBL,2,0),NEUTRO))</f>
        <v/>
      </c>
      <c r="BS95" s="3">
        <f>SUMIFS(MOT_AJUSTE,MOT_MOTOR,G95,MOT_MARCA,E95,MOT_DESDE,"&lt;="&amp;M95,MOT_HASTA,"&gt;="&amp;M95)+SUMIFS(MOT_AJUSTE,MOT_MOTOR,G95,MOT_MARCA,"(todas)",MOT_DESDE,"&lt;="&amp;M95,MOT_HASTA,"&gt;="&amp;M95)</f>
        <v/>
      </c>
      <c r="BT95" s="3">
        <f>SUMIFS(COMB_AJUSTE,COMB_COMB,K95)</f>
        <v/>
      </c>
      <c r="BU95" s="3">
        <f>COUNTIFS(MOT_MOTOR,G95,MOT_MARCA,E95,MOT_DESDE,"&lt;="&amp;M95,MOT_HASTA,"&gt;="&amp;M95)+COUNTIFS(MOT_MOTOR,G95,MOT_MARCA,"(todas)",MOT_DESDE,"&lt;="&amp;M95,MOT_HASTA,"&gt;="&amp;M95)</f>
        <v/>
      </c>
      <c r="BV95" s="3">
        <f>IF(AND(K95="diesel",BU95=0),MIN(BR95,NEUTRO),BR95)</f>
        <v/>
      </c>
      <c r="BW95" s="4">
        <f>MAX(0,MIN(100,BV95+BS95+BT95))</f>
        <v/>
      </c>
      <c r="BX95" s="3">
        <f>MAX(0,MIN(100,50+BK95*PRECIO_PEND))</f>
        <v/>
      </c>
      <c r="BY95" s="3">
        <f>MAX(0,100*(1-N95/KM_MAX))</f>
        <v/>
      </c>
      <c r="BZ95" s="3">
        <f>IF(BB95&lt;KMA_SOSP,IF(AA95="sí",100,KMA_PEN),IF(BB95&lt;=KMA_IDEAL_MAX,100,MAX(0,100*(KMA_CERO-BB95)/(KMA_CERO-KMA_IDEAL_MAX))))</f>
        <v/>
      </c>
      <c r="CA95" s="3">
        <f>MAX(0,MIN(100,100*(M95-ANIO_MIN)/(ANIO_ACTUAL-ANIO_MIN)))</f>
        <v/>
      </c>
      <c r="CB95" s="3">
        <f>W_KMT*BY95+W_KMA*BZ95+W_EDAD*CA95</f>
        <v/>
      </c>
      <c r="CC95" s="3">
        <f>P_ITV*(V95="sí")+P_LIBRO*(W95="sí")+P_CORREA*(X95="sí")+P_PROP*(Y95=1)+P_GAR*(Z95="sí")+P_FOTOS*MIN(1,N(U95)/FOTOS_OBJ)</f>
        <v/>
      </c>
      <c r="CD95" s="3">
        <f>MAX(0,MIN(100,IFERROR(VLOOKUP(BP95,ETQ_TBL,2,0),0)-IF(BQ95="sí",ETQ_PEN_DUD,IF(AS95="regla",ETQ_PEN_REGLA,0))))</f>
        <v/>
      </c>
      <c r="CE95" s="3">
        <f>NEUTRO</f>
        <v/>
      </c>
      <c r="CF95" s="3">
        <f>IFERROR(VLOOKUP(L95,SEGURO_TBL,3,0),"")</f>
        <v/>
      </c>
      <c r="CG95" s="3">
        <f>IF(CF95="",NEUTRO,MAX(0,MIN(100,100*(SEG_REF_MAX-CF95)/(SEG_REF_MAX-SEG_REF_MIN))))</f>
        <v/>
      </c>
      <c r="CH95" s="3">
        <f>W_CONS*CE95+W_SEG*CG95</f>
        <v/>
      </c>
      <c r="CI95" s="3">
        <f>IF(N(AB95)&gt;0,AB95,IF(AND(R95="profesional",SG_LEGAL_ON=1),GAR_LEGAL,0))</f>
        <v/>
      </c>
      <c r="CJ95" s="3">
        <f>SG_GAR*MIN(1,CI95/SG_GAR_FULL)+SG_AMPL*(AC95="sí")+SG_KMC*(AF95="sí")+SG_REV*(N(AE95)&gt;0)+SG_DEV*MIN(1,N(AG95)/SG_DEV_FULL)+SG_HIST*(W95="sí")</f>
        <v/>
      </c>
      <c r="CK95" s="3">
        <f>IFERROR(VLOOKUP(L95,CARR_PEN_TBL,2,0),0)</f>
        <v/>
      </c>
      <c r="CL95" s="3">
        <f>W_FIAB*BW95+W_PRECIO*BX95+W_KMEDAD*CB95+W_ANUNCIO*CC95+W_USO*CH95+W_SEGURIDAD*CJ95+W_ETIQUETA*CD95-CK95</f>
        <v/>
      </c>
      <c r="CM95" s="4">
        <f>IF(N(I95)&gt;0,I95,IFERROR(ROUND(_xlfn.NUMBERVALUE(LEFT(G95,FIND(" ",G95&amp;" ")-1),".")*1000,0),99999))</f>
        <v/>
      </c>
      <c r="CN95" s="3">
        <f>IF(R95="profesional",0,IF(O95&lt;CUOTA_VALOR_MAX,IF(BA95&gt;ITP_TRAMO_ALTO,SUMIFS(CF_CUOTA,CF_MAS,ITP_TRAMO_ALTO,CF_CCMIN,"&lt;="&amp;CM95,CF_CCMAX,"&gt;="&amp;CM95),IF(BA95&gt;ITP_TRAMO_BAJO,SUMIFS(CF_CUOTA,CF_MAS,ITP_TRAMO_BAJO,CF_CCMIN,"&lt;="&amp;CM95,CF_CCMAX,"&gt;="&amp;CM95),O95*ITP_TIPO)),O95*ITP_TIPO))</f>
        <v/>
      </c>
      <c r="CO95" s="4">
        <f>IF(R95="profesional",N(AK95),0)</f>
        <v/>
      </c>
      <c r="CP95" s="3">
        <f>IF(AND(R95="profesional",ISNUMBER(AK95),AL95="sí"),0,TASA_DGT)</f>
        <v/>
      </c>
      <c r="CQ95" s="3">
        <f>INFORME_DGT</f>
        <v/>
      </c>
      <c r="CR95" s="4">
        <f>O95+CO95+CN95+CP95+CQ95</f>
        <v/>
      </c>
      <c r="CS95" s="4">
        <f>CR95+N(CF95)</f>
        <v/>
      </c>
      <c r="CT95" s="3">
        <f>IF(CR95&lt;=TOTAL_MAX,"sí",IF(CR95&lt;=TOTAL_MAX+MARGEN_NEG,"negociar","no"))</f>
        <v/>
      </c>
      <c r="CU95" s="4">
        <f>IF(CT95&lt;&gt;"no",COUNTIFS($CT$2:$CT$545,"&lt;&gt;no",$CL$2:$CL$545,"&gt;"&amp;CL95)+COUNTIFS($CT$2:CT95,"&lt;&gt;no",$CL$2:CL95,CL95),"")</f>
        <v/>
      </c>
    </row>
    <row r="96">
      <c r="A96" s="2" t="inlineStr">
        <is>
          <t>cochesnet:70943940</t>
        </is>
      </c>
      <c r="B96" s="2" t="inlineStr">
        <is>
          <t>cochesnet</t>
        </is>
      </c>
      <c r="C96" s="2" t="inlineStr">
        <is>
          <t>https://www.coches.net/opel-astra-diesel-2009-en-valencia-70943940-covo.aspx</t>
        </is>
      </c>
      <c r="D96" s="2" t="inlineStr">
        <is>
          <t>OPEL Astra</t>
        </is>
      </c>
      <c r="E96" s="2" t="inlineStr">
        <is>
          <t>Opel</t>
        </is>
      </c>
      <c r="F96" s="2" t="inlineStr">
        <is>
          <t>Opel Astra</t>
        </is>
      </c>
      <c r="G96" s="2" t="n"/>
      <c r="H96" s="2" t="n"/>
      <c r="I96" s="2" t="n"/>
      <c r="J96" s="2" t="n"/>
      <c r="K96" s="2" t="inlineStr">
        <is>
          <t>diesel</t>
        </is>
      </c>
      <c r="L96" s="2" t="inlineStr">
        <is>
          <t>compacto</t>
        </is>
      </c>
      <c r="M96" s="2" t="n">
        <v>2009</v>
      </c>
      <c r="N96" s="2" t="n">
        <v>195000</v>
      </c>
      <c r="O96" s="2" t="n">
        <v>4500</v>
      </c>
      <c r="P96" s="2" t="inlineStr">
        <is>
          <t>manual</t>
        </is>
      </c>
      <c r="Q96" s="2" t="inlineStr">
        <is>
          <t>no</t>
        </is>
      </c>
      <c r="R96" s="2" t="inlineStr">
        <is>
          <t>particular</t>
        </is>
      </c>
      <c r="S96" s="2" t="n"/>
      <c r="T96" s="2" t="inlineStr">
        <is>
          <t>2026-06-28T08:36:24Z</t>
        </is>
      </c>
      <c r="U96" s="2" t="n">
        <v>4</v>
      </c>
      <c r="V96" s="2" t="n"/>
      <c r="W96" s="2" t="n"/>
      <c r="X96" s="2" t="n"/>
      <c r="Y96" s="2" t="n">
        <v>1</v>
      </c>
      <c r="Z96" s="2" t="inlineStr">
        <is>
          <t>no</t>
        </is>
      </c>
      <c r="AA96" s="2" t="n"/>
      <c r="AB96" s="2" t="n"/>
      <c r="AC96" s="2" t="n"/>
      <c r="AD96" s="2" t="n"/>
      <c r="AE96" s="2" t="n"/>
      <c r="AF96" s="2" t="n"/>
      <c r="AG96" s="2" t="n"/>
      <c r="AH96" s="2" t="n">
        <v>4500</v>
      </c>
      <c r="AI96" s="2" t="n"/>
      <c r="AJ96" s="2" t="n"/>
      <c r="AK96" s="2" t="n"/>
      <c r="AL96" s="2" t="n"/>
      <c r="AM96" s="2" t="n"/>
      <c r="AN96" s="2" t="n"/>
      <c r="AO96" s="2" t="inlineStr">
        <is>
          <t>2009</t>
        </is>
      </c>
      <c r="AP96" s="2" t="n">
        <v>2009</v>
      </c>
      <c r="AQ96" s="2" t="n"/>
      <c r="AR96" s="2" t="n"/>
      <c r="AS96" s="2" t="inlineStr">
        <is>
          <t>regla</t>
        </is>
      </c>
      <c r="AT96" s="2" t="n">
        <v>4300</v>
      </c>
      <c r="AU96" s="2" t="n">
        <v>17</v>
      </c>
      <c r="AV96" s="2" t="inlineStr">
        <is>
          <t>modelo+año+km</t>
        </is>
      </c>
      <c r="AW96" s="2" t="n"/>
      <c r="AX9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96" s="2" t="inlineStr">
        <is>
          <t>Opel astra 1.7 cdti unico dueño , aceite filtros echo y correa hace 6 mesos , acepto canvio por moto whatssap gsx cbr, r6</t>
        </is>
      </c>
      <c r="AZ96" s="2" t="inlineStr">
        <is>
          <t>https://www.coches.net/opel-astra-diesel-2009-en-valencia-70943940-covo.aspx (window.__INITIAL_PROPS__.ad) /home/user/Alopecia/buscador-coches/raw/cochesnet/1fc896ec409145e4.json</t>
        </is>
      </c>
      <c r="BA96" s="3">
        <f>MAX(ANIO_ACTUAL-M96,0)</f>
        <v/>
      </c>
      <c r="BB96" s="4">
        <f>N96/MAX(BA96,0.5)</f>
        <v/>
      </c>
      <c r="BC96" s="4">
        <f>F96</f>
        <v/>
      </c>
      <c r="BD96" s="3">
        <f>BC96&amp;"|"&amp;INT(M96/SEG_ANIO)*SEG_ANIO</f>
        <v/>
      </c>
      <c r="BE96" s="3">
        <f>BD96&amp;"|"&amp;INT(N96/SEG_KM)*SEG_KM</f>
        <v/>
      </c>
      <c r="BF96" s="4">
        <f>COUNTIF($BC$2:$BC$545,BC96)</f>
        <v/>
      </c>
      <c r="BG96" s="4">
        <f>COUNTIF($BD$2:$BD$545,BD96)</f>
        <v/>
      </c>
      <c r="BH96" s="4">
        <f>COUNTIF($BE$2:$BE$545,BE96)</f>
        <v/>
      </c>
      <c r="BI96" s="3">
        <f t="array" ref="BI96">IF(N(AU96)&gt;=MIN_N,AT96,IF(BH96&gt;=MIN_N,MEDIAN(IF($BE$2:$BE$545=BE96,$O$2:$O$545)),IF(BG96&gt;=MIN_N,MEDIAN(IF($BD$2:$BD$545=BD96,$O$2:$O$545)),MEDIAN(IF($BC$2:$BC$545=BC96,$O$2:$O$545)))))</f>
        <v/>
      </c>
      <c r="BJ96" s="3">
        <f>IF(N(AU96)&gt;=MIN_N,"mercado "&amp;AV96,IF(BH96&gt;=MIN_N,"modelo+año+km",IF(BG96&gt;=MIN_N,"modelo+año","modelo")))</f>
        <v/>
      </c>
      <c r="BK96" s="4">
        <f>(BI96-O96)/BI96</f>
        <v/>
      </c>
      <c r="BL96" s="3">
        <f>IF(COUNTIFS(FR_FUEL,K96,FR_YEAR,AP96)&gt;0,1,0)</f>
        <v/>
      </c>
      <c r="BM96" s="3">
        <f>IF(COUNTIFS(FR_FUEL,K96,FR_YEAR,AP96-1)&gt;0,1,0)</f>
        <v/>
      </c>
      <c r="BN96" s="4">
        <f>IF(N(AQ96)&gt;0,AP96*100+AQ96,IF(AND(BL96=1,BM96=1),(AP96-1)*100+1,AP96*100+1))</f>
        <v/>
      </c>
      <c r="BO96" s="3">
        <f>IF(OR(K96="hibrido",K96="glp",K96="gnc",K96="phev"),"ECO",IF(K96="electrico","CERO",IF(K96="gasolina",IF(BN96&gt;=GAS_C_YM,"C",IF(BN96&gt;=GAS_B_YM,"B","A")),IF(K96="diesel",IF(BN96&gt;=DIE_C_YM,"C",IF(BN96&gt;=DIE_B_YM,"B","A")),""))))</f>
        <v/>
      </c>
      <c r="BP96" s="4">
        <f>BO96</f>
        <v/>
      </c>
      <c r="BQ96" s="4">
        <f>IF(AS96="regla",IF(AND(N(AQ96)=0,BL96=1),"sí","no"),"no")</f>
        <v/>
      </c>
      <c r="BR96" s="3">
        <f>IFERROR(VLOOKUP(F96,MOD_TBL,11,0),IFERROR(VLOOKUP(E96,OCU_TBL,2,0),NEUTRO))</f>
        <v/>
      </c>
      <c r="BS96" s="3">
        <f>SUMIFS(MOT_AJUSTE,MOT_MOTOR,G96,MOT_MARCA,E96,MOT_DESDE,"&lt;="&amp;M96,MOT_HASTA,"&gt;="&amp;M96)+SUMIFS(MOT_AJUSTE,MOT_MOTOR,G96,MOT_MARCA,"(todas)",MOT_DESDE,"&lt;="&amp;M96,MOT_HASTA,"&gt;="&amp;M96)</f>
        <v/>
      </c>
      <c r="BT96" s="3">
        <f>SUMIFS(COMB_AJUSTE,COMB_COMB,K96)</f>
        <v/>
      </c>
      <c r="BU96" s="3">
        <f>COUNTIFS(MOT_MOTOR,G96,MOT_MARCA,E96,MOT_DESDE,"&lt;="&amp;M96,MOT_HASTA,"&gt;="&amp;M96)+COUNTIFS(MOT_MOTOR,G96,MOT_MARCA,"(todas)",MOT_DESDE,"&lt;="&amp;M96,MOT_HASTA,"&gt;="&amp;M96)</f>
        <v/>
      </c>
      <c r="BV96" s="3">
        <f>IF(AND(K96="diesel",BU96=0),MIN(BR96,NEUTRO),BR96)</f>
        <v/>
      </c>
      <c r="BW96" s="4">
        <f>MAX(0,MIN(100,BV96+BS96+BT96))</f>
        <v/>
      </c>
      <c r="BX96" s="3">
        <f>MAX(0,MIN(100,50+BK96*PRECIO_PEND))</f>
        <v/>
      </c>
      <c r="BY96" s="3">
        <f>MAX(0,100*(1-N96/KM_MAX))</f>
        <v/>
      </c>
      <c r="BZ96" s="3">
        <f>IF(BB96&lt;KMA_SOSP,IF(AA96="sí",100,KMA_PEN),IF(BB96&lt;=KMA_IDEAL_MAX,100,MAX(0,100*(KMA_CERO-BB96)/(KMA_CERO-KMA_IDEAL_MAX))))</f>
        <v/>
      </c>
      <c r="CA96" s="3">
        <f>MAX(0,MIN(100,100*(M96-ANIO_MIN)/(ANIO_ACTUAL-ANIO_MIN)))</f>
        <v/>
      </c>
      <c r="CB96" s="3">
        <f>W_KMT*BY96+W_KMA*BZ96+W_EDAD*CA96</f>
        <v/>
      </c>
      <c r="CC96" s="3">
        <f>P_ITV*(V96="sí")+P_LIBRO*(W96="sí")+P_CORREA*(X96="sí")+P_PROP*(Y96=1)+P_GAR*(Z96="sí")+P_FOTOS*MIN(1,N(U96)/FOTOS_OBJ)</f>
        <v/>
      </c>
      <c r="CD96" s="3">
        <f>MAX(0,MIN(100,IFERROR(VLOOKUP(BP96,ETQ_TBL,2,0),0)-IF(BQ96="sí",ETQ_PEN_DUD,IF(AS96="regla",ETQ_PEN_REGLA,0))))</f>
        <v/>
      </c>
      <c r="CE96" s="3">
        <f>NEUTRO</f>
        <v/>
      </c>
      <c r="CF96" s="3">
        <f>IFERROR(VLOOKUP(L96,SEGURO_TBL,3,0),"")</f>
        <v/>
      </c>
      <c r="CG96" s="3">
        <f>IF(CF96="",NEUTRO,MAX(0,MIN(100,100*(SEG_REF_MAX-CF96)/(SEG_REF_MAX-SEG_REF_MIN))))</f>
        <v/>
      </c>
      <c r="CH96" s="3">
        <f>W_CONS*CE96+W_SEG*CG96</f>
        <v/>
      </c>
      <c r="CI96" s="3">
        <f>IF(N(AB96)&gt;0,AB96,IF(AND(R96="profesional",SG_LEGAL_ON=1),GAR_LEGAL,0))</f>
        <v/>
      </c>
      <c r="CJ96" s="3">
        <f>SG_GAR*MIN(1,CI96/SG_GAR_FULL)+SG_AMPL*(AC96="sí")+SG_KMC*(AF96="sí")+SG_REV*(N(AE96)&gt;0)+SG_DEV*MIN(1,N(AG96)/SG_DEV_FULL)+SG_HIST*(W96="sí")</f>
        <v/>
      </c>
      <c r="CK96" s="3">
        <f>IFERROR(VLOOKUP(L96,CARR_PEN_TBL,2,0),0)</f>
        <v/>
      </c>
      <c r="CL96" s="3">
        <f>W_FIAB*BW96+W_PRECIO*BX96+W_KMEDAD*CB96+W_ANUNCIO*CC96+W_USO*CH96+W_SEGURIDAD*CJ96+W_ETIQUETA*CD96-CK96</f>
        <v/>
      </c>
      <c r="CM96" s="4">
        <f>IF(N(I96)&gt;0,I96,IFERROR(ROUND(_xlfn.NUMBERVALUE(LEFT(G96,FIND(" ",G96&amp;" ")-1),".")*1000,0),99999))</f>
        <v/>
      </c>
      <c r="CN96" s="3">
        <f>IF(R96="profesional",0,IF(O96&lt;CUOTA_VALOR_MAX,IF(BA96&gt;ITP_TRAMO_ALTO,SUMIFS(CF_CUOTA,CF_MAS,ITP_TRAMO_ALTO,CF_CCMIN,"&lt;="&amp;CM96,CF_CCMAX,"&gt;="&amp;CM96),IF(BA96&gt;ITP_TRAMO_BAJO,SUMIFS(CF_CUOTA,CF_MAS,ITP_TRAMO_BAJO,CF_CCMIN,"&lt;="&amp;CM96,CF_CCMAX,"&gt;="&amp;CM96),O96*ITP_TIPO)),O96*ITP_TIPO))</f>
        <v/>
      </c>
      <c r="CO96" s="4">
        <f>IF(R96="profesional",N(AK96),0)</f>
        <v/>
      </c>
      <c r="CP96" s="3">
        <f>IF(AND(R96="profesional",ISNUMBER(AK96),AL96="sí"),0,TASA_DGT)</f>
        <v/>
      </c>
      <c r="CQ96" s="3">
        <f>INFORME_DGT</f>
        <v/>
      </c>
      <c r="CR96" s="4">
        <f>O96+CO96+CN96+CP96+CQ96</f>
        <v/>
      </c>
      <c r="CS96" s="4">
        <f>CR96+N(CF96)</f>
        <v/>
      </c>
      <c r="CT96" s="3">
        <f>IF(CR96&lt;=TOTAL_MAX,"sí",IF(CR96&lt;=TOTAL_MAX+MARGEN_NEG,"negociar","no"))</f>
        <v/>
      </c>
      <c r="CU96" s="4">
        <f>IF(CT96&lt;&gt;"no",COUNTIFS($CT$2:$CT$545,"&lt;&gt;no",$CL$2:$CL$545,"&gt;"&amp;CL96)+COUNTIFS($CT$2:CT96,"&lt;&gt;no",$CL$2:CL96,CL96),"")</f>
        <v/>
      </c>
    </row>
    <row r="97">
      <c r="A97" s="2" t="inlineStr">
        <is>
          <t>cochesnet:71757766</t>
        </is>
      </c>
      <c r="B97" s="2" t="inlineStr">
        <is>
          <t>cochesnet</t>
        </is>
      </c>
      <c r="C97" s="2" t="inlineStr">
        <is>
          <t>https://www.coches.net/renault-clio-grand-tour-20-aniv-dci-90-eco2-e5-5p-diesel-2010-en-valencia-71757766-covo.aspx</t>
        </is>
      </c>
      <c r="D97" s="2" t="inlineStr">
        <is>
          <t>RENAULT Clio Grand Tour 20 Aniv. dCi 90 eco2 E5</t>
        </is>
      </c>
      <c r="E97" s="2" t="inlineStr">
        <is>
          <t>Renault</t>
        </is>
      </c>
      <c r="F97" s="2" t="inlineStr">
        <is>
          <t>Renault Clio</t>
        </is>
      </c>
      <c r="G97" s="2" t="inlineStr">
        <is>
          <t>? dCi</t>
        </is>
      </c>
      <c r="H97" s="2" t="inlineStr">
        <is>
          <t>Grand Tour 20 Aniv. dCi 90 eco2 E5</t>
        </is>
      </c>
      <c r="I97" s="2" t="n"/>
      <c r="J97" s="2" t="n"/>
      <c r="K97" s="2" t="inlineStr">
        <is>
          <t>diesel</t>
        </is>
      </c>
      <c r="L97" s="2" t="inlineStr">
        <is>
          <t>familiar</t>
        </is>
      </c>
      <c r="M97" s="2" t="n">
        <v>2010</v>
      </c>
      <c r="N97" s="2" t="n">
        <v>185000</v>
      </c>
      <c r="O97" s="2" t="n">
        <v>3700</v>
      </c>
      <c r="P97" s="2" t="inlineStr">
        <is>
          <t>manual</t>
        </is>
      </c>
      <c r="Q97" s="2" t="inlineStr">
        <is>
          <t>no</t>
        </is>
      </c>
      <c r="R97" s="2" t="inlineStr">
        <is>
          <t>particular</t>
        </is>
      </c>
      <c r="S97" s="2" t="n"/>
      <c r="T97" s="2" t="inlineStr">
        <is>
          <t>2026-10-15T18:22:57Z</t>
        </is>
      </c>
      <c r="U97" s="2" t="n">
        <v>9</v>
      </c>
      <c r="V97" s="2" t="inlineStr">
        <is>
          <t>sí</t>
        </is>
      </c>
      <c r="W97" s="2" t="n"/>
      <c r="X97" s="2" t="n"/>
      <c r="Y97" s="2" t="n"/>
      <c r="Z97" s="2" t="inlineStr">
        <is>
          <t>no</t>
        </is>
      </c>
      <c r="AA97" s="2" t="n"/>
      <c r="AB97" s="2" t="n"/>
      <c r="AC97" s="2" t="n"/>
      <c r="AD97" s="2" t="n"/>
      <c r="AE97" s="2" t="n"/>
      <c r="AF97" s="2" t="n"/>
      <c r="AG97" s="2" t="n"/>
      <c r="AH97" s="2" t="n">
        <v>3700</v>
      </c>
      <c r="AI97" s="2" t="n"/>
      <c r="AJ97" s="2" t="n"/>
      <c r="AK97" s="2" t="n"/>
      <c r="AL97" s="2" t="n"/>
      <c r="AM97" s="2" t="n"/>
      <c r="AN97" s="2" t="n"/>
      <c r="AO97" s="2" t="inlineStr">
        <is>
          <t>2010</t>
        </is>
      </c>
      <c r="AP97" s="2" t="n">
        <v>2010</v>
      </c>
      <c r="AQ97" s="2" t="n"/>
      <c r="AR97" s="2" t="n"/>
      <c r="AS97" s="2" t="inlineStr">
        <is>
          <t>regla</t>
        </is>
      </c>
      <c r="AT97" s="2" t="n">
        <v>4200</v>
      </c>
      <c r="AU97" s="2" t="n">
        <v>7</v>
      </c>
      <c r="AV97" s="2" t="inlineStr">
        <is>
          <t>modelo+año+km</t>
        </is>
      </c>
      <c r="AW97" s="2" t="n"/>
      <c r="AX97" s="2" t="inlineStr">
        <is>
          <t>cilindrada desconocida: se aplica el tramo de cuota fija más alto; cuota fija ITP: &gt;12 años, más de 2.000 cc; diésel: motor sin fuente de fiabilidad (fiabilidad limitada a neutra); carrocería familiar: -3 puntos; distancia no verificable (el anuncio solo indica la provincia): confirmar que está a &lt;= 70 km</t>
        </is>
      </c>
      <c r="AY97" s="2" t="inlineStr">
        <is>
          <t>Revisiones  siempre  al dia
Itv recien pasada ( sept)
Ruedas con solo 10000km
Bateria nueva
Aceite y filtros recien camb
Correa y bomba cambiados a los 140000km
Frenos y discos recientes</t>
        </is>
      </c>
      <c r="AZ97" s="2" t="inlineStr">
        <is>
          <t>https://www.coches.net/renault-clio-grand-tour-20-aniv-dci-90-eco2-e5-5p-diesel-2010-en-valencia-71757766-covo.aspx (window.__INITIAL_PROPS__.ad) /home/user/Alopecia/buscador-coches/raw/cochesnet/919f2f6ca3b3a79d.json</t>
        </is>
      </c>
      <c r="BA97" s="3">
        <f>MAX(ANIO_ACTUAL-M97,0)</f>
        <v/>
      </c>
      <c r="BB97" s="4">
        <f>N97/MAX(BA97,0.5)</f>
        <v/>
      </c>
      <c r="BC97" s="4">
        <f>F97</f>
        <v/>
      </c>
      <c r="BD97" s="3">
        <f>BC97&amp;"|"&amp;INT(M97/SEG_ANIO)*SEG_ANIO</f>
        <v/>
      </c>
      <c r="BE97" s="3">
        <f>BD97&amp;"|"&amp;INT(N97/SEG_KM)*SEG_KM</f>
        <v/>
      </c>
      <c r="BF97" s="4">
        <f>COUNTIF($BC$2:$BC$545,BC97)</f>
        <v/>
      </c>
      <c r="BG97" s="4">
        <f>COUNTIF($BD$2:$BD$545,BD97)</f>
        <v/>
      </c>
      <c r="BH97" s="4">
        <f>COUNTIF($BE$2:$BE$545,BE97)</f>
        <v/>
      </c>
      <c r="BI97" s="3">
        <f t="array" ref="BI97">IF(N(AU97)&gt;=MIN_N,AT97,IF(BH97&gt;=MIN_N,MEDIAN(IF($BE$2:$BE$545=BE97,$O$2:$O$545)),IF(BG97&gt;=MIN_N,MEDIAN(IF($BD$2:$BD$545=BD97,$O$2:$O$545)),MEDIAN(IF($BC$2:$BC$545=BC97,$O$2:$O$545)))))</f>
        <v/>
      </c>
      <c r="BJ97" s="3">
        <f>IF(N(AU97)&gt;=MIN_N,"mercado "&amp;AV97,IF(BH97&gt;=MIN_N,"modelo+año+km",IF(BG97&gt;=MIN_N,"modelo+año","modelo")))</f>
        <v/>
      </c>
      <c r="BK97" s="4">
        <f>(BI97-O97)/BI97</f>
        <v/>
      </c>
      <c r="BL97" s="3">
        <f>IF(COUNTIFS(FR_FUEL,K97,FR_YEAR,AP97)&gt;0,1,0)</f>
        <v/>
      </c>
      <c r="BM97" s="3">
        <f>IF(COUNTIFS(FR_FUEL,K97,FR_YEAR,AP97-1)&gt;0,1,0)</f>
        <v/>
      </c>
      <c r="BN97" s="4">
        <f>IF(N(AQ97)&gt;0,AP97*100+AQ97,IF(AND(BL97=1,BM97=1),(AP97-1)*100+1,AP97*100+1))</f>
        <v/>
      </c>
      <c r="BO97" s="3">
        <f>IF(OR(K97="hibrido",K97="glp",K97="gnc",K97="phev"),"ECO",IF(K97="electrico","CERO",IF(K97="gasolina",IF(BN97&gt;=GAS_C_YM,"C",IF(BN97&gt;=GAS_B_YM,"B","A")),IF(K97="diesel",IF(BN97&gt;=DIE_C_YM,"C",IF(BN97&gt;=DIE_B_YM,"B","A")),""))))</f>
        <v/>
      </c>
      <c r="BP97" s="4">
        <f>BO97</f>
        <v/>
      </c>
      <c r="BQ97" s="4">
        <f>IF(AS97="regla",IF(AND(N(AQ97)=0,BL97=1),"sí","no"),"no")</f>
        <v/>
      </c>
      <c r="BR97" s="3">
        <f>IFERROR(VLOOKUP(F97,MOD_TBL,11,0),IFERROR(VLOOKUP(E97,OCU_TBL,2,0),NEUTRO))</f>
        <v/>
      </c>
      <c r="BS97" s="3">
        <f>SUMIFS(MOT_AJUSTE,MOT_MOTOR,G97,MOT_MARCA,E97,MOT_DESDE,"&lt;="&amp;M97,MOT_HASTA,"&gt;="&amp;M97)+SUMIFS(MOT_AJUSTE,MOT_MOTOR,G97,MOT_MARCA,"(todas)",MOT_DESDE,"&lt;="&amp;M97,MOT_HASTA,"&gt;="&amp;M97)</f>
        <v/>
      </c>
      <c r="BT97" s="3">
        <f>SUMIFS(COMB_AJUSTE,COMB_COMB,K97)</f>
        <v/>
      </c>
      <c r="BU97" s="3">
        <f>COUNTIFS(MOT_MOTOR,G97,MOT_MARCA,E97,MOT_DESDE,"&lt;="&amp;M97,MOT_HASTA,"&gt;="&amp;M97)+COUNTIFS(MOT_MOTOR,G97,MOT_MARCA,"(todas)",MOT_DESDE,"&lt;="&amp;M97,MOT_HASTA,"&gt;="&amp;M97)</f>
        <v/>
      </c>
      <c r="BV97" s="3">
        <f>IF(AND(K97="diesel",BU97=0),MIN(BR97,NEUTRO),BR97)</f>
        <v/>
      </c>
      <c r="BW97" s="4">
        <f>MAX(0,MIN(100,BV97+BS97+BT97))</f>
        <v/>
      </c>
      <c r="BX97" s="3">
        <f>MAX(0,MIN(100,50+BK97*PRECIO_PEND))</f>
        <v/>
      </c>
      <c r="BY97" s="3">
        <f>MAX(0,100*(1-N97/KM_MAX))</f>
        <v/>
      </c>
      <c r="BZ97" s="3">
        <f>IF(BB97&lt;KMA_SOSP,IF(AA97="sí",100,KMA_PEN),IF(BB97&lt;=KMA_IDEAL_MAX,100,MAX(0,100*(KMA_CERO-BB97)/(KMA_CERO-KMA_IDEAL_MAX))))</f>
        <v/>
      </c>
      <c r="CA97" s="3">
        <f>MAX(0,MIN(100,100*(M97-ANIO_MIN)/(ANIO_ACTUAL-ANIO_MIN)))</f>
        <v/>
      </c>
      <c r="CB97" s="3">
        <f>W_KMT*BY97+W_KMA*BZ97+W_EDAD*CA97</f>
        <v/>
      </c>
      <c r="CC97" s="3">
        <f>P_ITV*(V97="sí")+P_LIBRO*(W97="sí")+P_CORREA*(X97="sí")+P_PROP*(Y97=1)+P_GAR*(Z97="sí")+P_FOTOS*MIN(1,N(U97)/FOTOS_OBJ)</f>
        <v/>
      </c>
      <c r="CD97" s="3">
        <f>MAX(0,MIN(100,IFERROR(VLOOKUP(BP97,ETQ_TBL,2,0),0)-IF(BQ97="sí",ETQ_PEN_DUD,IF(AS97="regla",ETQ_PEN_REGLA,0))))</f>
        <v/>
      </c>
      <c r="CE97" s="3">
        <f>NEUTRO</f>
        <v/>
      </c>
      <c r="CF97" s="3">
        <f>IFERROR(VLOOKUP(L97,SEGURO_TBL,3,0),"")</f>
        <v/>
      </c>
      <c r="CG97" s="3">
        <f>IF(CF97="",NEUTRO,MAX(0,MIN(100,100*(SEG_REF_MAX-CF97)/(SEG_REF_MAX-SEG_REF_MIN))))</f>
        <v/>
      </c>
      <c r="CH97" s="3">
        <f>W_CONS*CE97+W_SEG*CG97</f>
        <v/>
      </c>
      <c r="CI97" s="3">
        <f>IF(N(AB97)&gt;0,AB97,IF(AND(R97="profesional",SG_LEGAL_ON=1),GAR_LEGAL,0))</f>
        <v/>
      </c>
      <c r="CJ97" s="3">
        <f>SG_GAR*MIN(1,CI97/SG_GAR_FULL)+SG_AMPL*(AC97="sí")+SG_KMC*(AF97="sí")+SG_REV*(N(AE97)&gt;0)+SG_DEV*MIN(1,N(AG97)/SG_DEV_FULL)+SG_HIST*(W97="sí")</f>
        <v/>
      </c>
      <c r="CK97" s="3">
        <f>IFERROR(VLOOKUP(L97,CARR_PEN_TBL,2,0),0)</f>
        <v/>
      </c>
      <c r="CL97" s="3">
        <f>W_FIAB*BW97+W_PRECIO*BX97+W_KMEDAD*CB97+W_ANUNCIO*CC97+W_USO*CH97+W_SEGURIDAD*CJ97+W_ETIQUETA*CD97-CK97</f>
        <v/>
      </c>
      <c r="CM97" s="4">
        <f>IF(N(I97)&gt;0,I97,IFERROR(ROUND(_xlfn.NUMBERVALUE(LEFT(G97,FIND(" ",G97&amp;" ")-1),".")*1000,0),99999))</f>
        <v/>
      </c>
      <c r="CN97" s="3">
        <f>IF(R97="profesional",0,IF(O97&lt;CUOTA_VALOR_MAX,IF(BA97&gt;ITP_TRAMO_ALTO,SUMIFS(CF_CUOTA,CF_MAS,ITP_TRAMO_ALTO,CF_CCMIN,"&lt;="&amp;CM97,CF_CCMAX,"&gt;="&amp;CM97),IF(BA97&gt;ITP_TRAMO_BAJO,SUMIFS(CF_CUOTA,CF_MAS,ITP_TRAMO_BAJO,CF_CCMIN,"&lt;="&amp;CM97,CF_CCMAX,"&gt;="&amp;CM97),O97*ITP_TIPO)),O97*ITP_TIPO))</f>
        <v/>
      </c>
      <c r="CO97" s="4">
        <f>IF(R97="profesional",N(AK97),0)</f>
        <v/>
      </c>
      <c r="CP97" s="3">
        <f>IF(AND(R97="profesional",ISNUMBER(AK97),AL97="sí"),0,TASA_DGT)</f>
        <v/>
      </c>
      <c r="CQ97" s="3">
        <f>INFORME_DGT</f>
        <v/>
      </c>
      <c r="CR97" s="4">
        <f>O97+CO97+CN97+CP97+CQ97</f>
        <v/>
      </c>
      <c r="CS97" s="4">
        <f>CR97+N(CF97)</f>
        <v/>
      </c>
      <c r="CT97" s="3">
        <f>IF(CR97&lt;=TOTAL_MAX,"sí",IF(CR97&lt;=TOTAL_MAX+MARGEN_NEG,"negociar","no"))</f>
        <v/>
      </c>
      <c r="CU97" s="4">
        <f>IF(CT97&lt;&gt;"no",COUNTIFS($CT$2:$CT$545,"&lt;&gt;no",$CL$2:$CL$545,"&gt;"&amp;CL97)+COUNTIFS($CT$2:CT97,"&lt;&gt;no",$CL$2:CL97,CL97),"")</f>
        <v/>
      </c>
    </row>
    <row r="98">
      <c r="A98" s="2" t="inlineStr">
        <is>
          <t>cochesnet:71725639</t>
        </is>
      </c>
      <c r="B98" s="2" t="inlineStr">
        <is>
          <t>cochesnet</t>
        </is>
      </c>
      <c r="C98" s="2" t="inlineStr">
        <is>
          <t>https://www.coches.net/renault-clio-business-15dci85-eco2-5p-diesel-2008-en-valencia-71725639-covo.aspx</t>
        </is>
      </c>
      <c r="D98" s="2" t="inlineStr">
        <is>
          <t>RENAULT Clio Business 1.5DCI85 eco2</t>
        </is>
      </c>
      <c r="E98" s="2" t="inlineStr">
        <is>
          <t>Renault</t>
        </is>
      </c>
      <c r="F98" s="2" t="inlineStr">
        <is>
          <t>Renault Clio</t>
        </is>
      </c>
      <c r="G98" s="2" t="inlineStr">
        <is>
          <t>1.5</t>
        </is>
      </c>
      <c r="H98" s="2" t="inlineStr">
        <is>
          <t>Business 1.5DCI85 eco2</t>
        </is>
      </c>
      <c r="I98" s="2" t="n"/>
      <c r="J98" s="2" t="n"/>
      <c r="K98" s="2" t="inlineStr">
        <is>
          <t>diesel</t>
        </is>
      </c>
      <c r="L98" s="2" t="inlineStr">
        <is>
          <t>utilitario</t>
        </is>
      </c>
      <c r="M98" s="2" t="n">
        <v>2009</v>
      </c>
      <c r="N98" s="2" t="n">
        <v>160000</v>
      </c>
      <c r="O98" s="2" t="n">
        <v>3990</v>
      </c>
      <c r="P98" s="2" t="inlineStr">
        <is>
          <t>manual</t>
        </is>
      </c>
      <c r="Q98" s="2" t="inlineStr">
        <is>
          <t>no</t>
        </is>
      </c>
      <c r="R98" s="2" t="inlineStr">
        <is>
          <t>profesional</t>
        </is>
      </c>
      <c r="S98" s="2" t="inlineStr">
        <is>
          <t>Foios</t>
        </is>
      </c>
      <c r="T98" s="2" t="inlineStr">
        <is>
          <t>2026-10-12T10:42:16Z</t>
        </is>
      </c>
      <c r="U98" s="2" t="n">
        <v>10</v>
      </c>
      <c r="V98" s="2" t="n"/>
      <c r="W98" s="2" t="n"/>
      <c r="X98" s="2" t="n"/>
      <c r="Y98" s="2" t="n"/>
      <c r="Z98" s="2" t="inlineStr">
        <is>
          <t>sí</t>
        </is>
      </c>
      <c r="AA98" s="2" t="n"/>
      <c r="AB98" s="2" t="n">
        <v>12</v>
      </c>
      <c r="AC98" s="2" t="n"/>
      <c r="AD98" s="2" t="n"/>
      <c r="AE98" s="2" t="n"/>
      <c r="AF98" s="2" t="n"/>
      <c r="AG98" s="2" t="n"/>
      <c r="AH98" s="2" t="n">
        <v>3990</v>
      </c>
      <c r="AI98" s="2" t="n">
        <v>3990</v>
      </c>
      <c r="AJ98" s="2" t="n"/>
      <c r="AK98" s="2" t="n"/>
      <c r="AL98" s="2" t="n"/>
      <c r="AM98" s="2" t="n">
        <v>7.7</v>
      </c>
      <c r="AN98" s="2" t="n"/>
      <c r="AO98" s="2" t="inlineStr">
        <is>
          <t>2009</t>
        </is>
      </c>
      <c r="AP98" s="2" t="n">
        <v>2009</v>
      </c>
      <c r="AQ98" s="2" t="n"/>
      <c r="AR98" s="2" t="inlineStr">
        <is>
          <t>C</t>
        </is>
      </c>
      <c r="AS98" s="2" t="inlineStr">
        <is>
          <t>anuncio</t>
        </is>
      </c>
      <c r="AT98" s="2" t="n">
        <v>3470</v>
      </c>
      <c r="AU98" s="2" t="n">
        <v>4</v>
      </c>
      <c r="AV98" s="2" t="inlineStr">
        <is>
          <t>modelo+año+km</t>
        </is>
      </c>
      <c r="AW98" s="2" t="n"/>
      <c r="AX98" s="2" t="inlineStr">
        <is>
          <t>vendedor profesional: sin ITP (operación con IVA/REBU, confirmar en factura); gastos de gestión del vendedor no indicados: se suma la tasa DGT; preguntar el precio final; diésel: motor sin fuente de fiabilidad (fiabilidad limitada a neutra)</t>
        </is>
      </c>
      <c r="AY98" s="2" t="inlineStr">
        <is>
          <t xml:space="preserve">Este Renault Clio Exception 1.5dCi destaca por su equipamiento multimedia completo con radio AM/FM, reproductor de CD y mandos en el volante, combinado con climatizador automático y dirección asistida progresiva. Incorpora control de crucero, sensor de lluvia en limpiaparabrisas, retrovisores eléctricos desempañables y cristales tintados. Dispone de asientos ajustables en altura con reposacabezas regulables, volante multifuncional de cuero, elevalunas eléctricos en las cuatro puertas y cierre centralizado con mando a distancia. Este modelo ofrece confort y conectividad en un compacto versátil con etiqueta medioambiental C. Este anuncio puede contener errores de valor no contractual </t>
        </is>
      </c>
      <c r="AZ98" s="2" t="inlineStr">
        <is>
          <t>https://www.coches.net/renault-clio-business-15dci85-eco2-5p-diesel-2008-en-valencia-71725639-covo.aspx (window.__INITIAL_PROPS__.ad) /home/user/Alopecia/buscador-coches/raw/cochesnet/56093e2c37b0b096.json</t>
        </is>
      </c>
      <c r="BA98" s="3">
        <f>MAX(ANIO_ACTUAL-M98,0)</f>
        <v/>
      </c>
      <c r="BB98" s="4">
        <f>N98/MAX(BA98,0.5)</f>
        <v/>
      </c>
      <c r="BC98" s="4">
        <f>F98</f>
        <v/>
      </c>
      <c r="BD98" s="3">
        <f>BC98&amp;"|"&amp;INT(M98/SEG_ANIO)*SEG_ANIO</f>
        <v/>
      </c>
      <c r="BE98" s="3">
        <f>BD98&amp;"|"&amp;INT(N98/SEG_KM)*SEG_KM</f>
        <v/>
      </c>
      <c r="BF98" s="4">
        <f>COUNTIF($BC$2:$BC$545,BC98)</f>
        <v/>
      </c>
      <c r="BG98" s="4">
        <f>COUNTIF($BD$2:$BD$545,BD98)</f>
        <v/>
      </c>
      <c r="BH98" s="4">
        <f>COUNTIF($BE$2:$BE$545,BE98)</f>
        <v/>
      </c>
      <c r="BI98" s="3">
        <f t="array" ref="BI98">IF(N(AU98)&gt;=MIN_N,AT98,IF(BH98&gt;=MIN_N,MEDIAN(IF($BE$2:$BE$545=BE98,$O$2:$O$545)),IF(BG98&gt;=MIN_N,MEDIAN(IF($BD$2:$BD$545=BD98,$O$2:$O$545)),MEDIAN(IF($BC$2:$BC$545=BC98,$O$2:$O$545)))))</f>
        <v/>
      </c>
      <c r="BJ98" s="3">
        <f>IF(N(AU98)&gt;=MIN_N,"mercado "&amp;AV98,IF(BH98&gt;=MIN_N,"modelo+año+km",IF(BG98&gt;=MIN_N,"modelo+año","modelo")))</f>
        <v/>
      </c>
      <c r="BK98" s="4">
        <f>(BI98-O98)/BI98</f>
        <v/>
      </c>
      <c r="BL98" s="3">
        <f>IF(COUNTIFS(FR_FUEL,K98,FR_YEAR,AP98)&gt;0,1,0)</f>
        <v/>
      </c>
      <c r="BM98" s="3">
        <f>IF(COUNTIFS(FR_FUEL,K98,FR_YEAR,AP98-1)&gt;0,1,0)</f>
        <v/>
      </c>
      <c r="BN98" s="4">
        <f>IF(N(AQ98)&gt;0,AP98*100+AQ98,IF(AND(BL98=1,BM98=1),(AP98-1)*100+1,AP98*100+1))</f>
        <v/>
      </c>
      <c r="BO98" s="3">
        <f>IF(OR(K98="hibrido",K98="glp",K98="gnc",K98="phev"),"ECO",IF(K98="electrico","CERO",IF(K98="gasolina",IF(BN98&gt;=GAS_C_YM,"C",IF(BN98&gt;=GAS_B_YM,"B","A")),IF(K98="diesel",IF(BN98&gt;=DIE_C_YM,"C",IF(BN98&gt;=DIE_B_YM,"B","A")),""))))</f>
        <v/>
      </c>
      <c r="BP98" s="2" t="inlineStr">
        <is>
          <t>C</t>
        </is>
      </c>
      <c r="BQ98" s="4">
        <f>IF(AS98="regla",IF(AND(N(AQ98)=0,BL98=1),"sí","no"),"no")</f>
        <v/>
      </c>
      <c r="BR98" s="3">
        <f>IFERROR(VLOOKUP(F98,MOD_TBL,11,0),IFERROR(VLOOKUP(E98,OCU_TBL,2,0),NEUTRO))</f>
        <v/>
      </c>
      <c r="BS98" s="3">
        <f>SUMIFS(MOT_AJUSTE,MOT_MOTOR,G98,MOT_MARCA,E98,MOT_DESDE,"&lt;="&amp;M98,MOT_HASTA,"&gt;="&amp;M98)+SUMIFS(MOT_AJUSTE,MOT_MOTOR,G98,MOT_MARCA,"(todas)",MOT_DESDE,"&lt;="&amp;M98,MOT_HASTA,"&gt;="&amp;M98)</f>
        <v/>
      </c>
      <c r="BT98" s="3">
        <f>SUMIFS(COMB_AJUSTE,COMB_COMB,K98)</f>
        <v/>
      </c>
      <c r="BU98" s="3">
        <f>COUNTIFS(MOT_MOTOR,G98,MOT_MARCA,E98,MOT_DESDE,"&lt;="&amp;M98,MOT_HASTA,"&gt;="&amp;M98)+COUNTIFS(MOT_MOTOR,G98,MOT_MARCA,"(todas)",MOT_DESDE,"&lt;="&amp;M98,MOT_HASTA,"&gt;="&amp;M98)</f>
        <v/>
      </c>
      <c r="BV98" s="3">
        <f>IF(AND(K98="diesel",BU98=0),MIN(BR98,NEUTRO),BR98)</f>
        <v/>
      </c>
      <c r="BW98" s="4">
        <f>MAX(0,MIN(100,BV98+BS98+BT98))</f>
        <v/>
      </c>
      <c r="BX98" s="3">
        <f>MAX(0,MIN(100,50+BK98*PRECIO_PEND))</f>
        <v/>
      </c>
      <c r="BY98" s="3">
        <f>MAX(0,100*(1-N98/KM_MAX))</f>
        <v/>
      </c>
      <c r="BZ98" s="3">
        <f>IF(BB98&lt;KMA_SOSP,IF(AA98="sí",100,KMA_PEN),IF(BB98&lt;=KMA_IDEAL_MAX,100,MAX(0,100*(KMA_CERO-BB98)/(KMA_CERO-KMA_IDEAL_MAX))))</f>
        <v/>
      </c>
      <c r="CA98" s="3">
        <f>MAX(0,MIN(100,100*(M98-ANIO_MIN)/(ANIO_ACTUAL-ANIO_MIN)))</f>
        <v/>
      </c>
      <c r="CB98" s="3">
        <f>W_KMT*BY98+W_KMA*BZ98+W_EDAD*CA98</f>
        <v/>
      </c>
      <c r="CC98" s="3">
        <f>P_ITV*(V98="sí")+P_LIBRO*(W98="sí")+P_CORREA*(X98="sí")+P_PROP*(Y98=1)+P_GAR*(Z98="sí")+P_FOTOS*MIN(1,N(U98)/FOTOS_OBJ)</f>
        <v/>
      </c>
      <c r="CD98" s="3">
        <f>MAX(0,MIN(100,IFERROR(VLOOKUP(BP98,ETQ_TBL,2,0),0)-IF(BQ98="sí",ETQ_PEN_DUD,IF(AS98="regla",ETQ_PEN_REGLA,0))))</f>
        <v/>
      </c>
      <c r="CE98" s="3">
        <f>NEUTRO</f>
        <v/>
      </c>
      <c r="CF98" s="3">
        <f>IFERROR(VLOOKUP(L98,SEGURO_TBL,3,0),"")</f>
        <v/>
      </c>
      <c r="CG98" s="3">
        <f>IF(CF98="",NEUTRO,MAX(0,MIN(100,100*(SEG_REF_MAX-CF98)/(SEG_REF_MAX-SEG_REF_MIN))))</f>
        <v/>
      </c>
      <c r="CH98" s="3">
        <f>W_CONS*CE98+W_SEG*CG98</f>
        <v/>
      </c>
      <c r="CI98" s="3">
        <f>IF(N(AB98)&gt;0,AB98,IF(AND(R98="profesional",SG_LEGAL_ON=1),GAR_LEGAL,0))</f>
        <v/>
      </c>
      <c r="CJ98" s="3">
        <f>SG_GAR*MIN(1,CI98/SG_GAR_FULL)+SG_AMPL*(AC98="sí")+SG_KMC*(AF98="sí")+SG_REV*(N(AE98)&gt;0)+SG_DEV*MIN(1,N(AG98)/SG_DEV_FULL)+SG_HIST*(W98="sí")</f>
        <v/>
      </c>
      <c r="CK98" s="3">
        <f>IFERROR(VLOOKUP(L98,CARR_PEN_TBL,2,0),0)</f>
        <v/>
      </c>
      <c r="CL98" s="3">
        <f>W_FIAB*BW98+W_PRECIO*BX98+W_KMEDAD*CB98+W_ANUNCIO*CC98+W_USO*CH98+W_SEGURIDAD*CJ98+W_ETIQUETA*CD98-CK98</f>
        <v/>
      </c>
      <c r="CM98" s="4">
        <f>IF(N(I98)&gt;0,I98,IFERROR(ROUND(_xlfn.NUMBERVALUE(LEFT(G98,FIND(" ",G98&amp;" ")-1),".")*1000,0),99999))</f>
        <v/>
      </c>
      <c r="CN98" s="3">
        <f>IF(R98="profesional",0,IF(O98&lt;CUOTA_VALOR_MAX,IF(BA98&gt;ITP_TRAMO_ALTO,SUMIFS(CF_CUOTA,CF_MAS,ITP_TRAMO_ALTO,CF_CCMIN,"&lt;="&amp;CM98,CF_CCMAX,"&gt;="&amp;CM98),IF(BA98&gt;ITP_TRAMO_BAJO,SUMIFS(CF_CUOTA,CF_MAS,ITP_TRAMO_BAJO,CF_CCMIN,"&lt;="&amp;CM98,CF_CCMAX,"&gt;="&amp;CM98),O98*ITP_TIPO)),O98*ITP_TIPO))</f>
        <v/>
      </c>
      <c r="CO98" s="4">
        <f>IF(R98="profesional",N(AK98),0)</f>
        <v/>
      </c>
      <c r="CP98" s="3">
        <f>IF(AND(R98="profesional",ISNUMBER(AK98),AL98="sí"),0,TASA_DGT)</f>
        <v/>
      </c>
      <c r="CQ98" s="3">
        <f>INFORME_DGT</f>
        <v/>
      </c>
      <c r="CR98" s="4">
        <f>O98+CO98+CN98+CP98+CQ98</f>
        <v/>
      </c>
      <c r="CS98" s="4">
        <f>CR98+N(CF98)</f>
        <v/>
      </c>
      <c r="CT98" s="3">
        <f>IF(CR98&lt;=TOTAL_MAX,"sí",IF(CR98&lt;=TOTAL_MAX+MARGEN_NEG,"negociar","no"))</f>
        <v/>
      </c>
      <c r="CU98" s="4">
        <f>IF(CT98&lt;&gt;"no",COUNTIFS($CT$2:$CT$545,"&lt;&gt;no",$CL$2:$CL$545,"&gt;"&amp;CL98)+COUNTIFS($CT$2:CT98,"&lt;&gt;no",$CL$2:CL98,CL98),"")</f>
        <v/>
      </c>
    </row>
    <row r="99">
      <c r="A99" s="2" t="inlineStr">
        <is>
          <t>cochesnet:71612608</t>
        </is>
      </c>
      <c r="B99" s="2" t="inlineStr">
        <is>
          <t>cochesnet</t>
        </is>
      </c>
      <c r="C99" s="2" t="inlineStr">
        <is>
          <t>https://www.coches.net/renault-clio-authentique-12-16v-75cv-5p-eco2-5p-gasolina-2009-en-valencia-71612608-covo.aspx</t>
        </is>
      </c>
      <c r="D99" s="2" t="inlineStr">
        <is>
          <t>RENAULT Clio Authentique 1.2 16v eco2</t>
        </is>
      </c>
      <c r="E99" s="2" t="inlineStr">
        <is>
          <t>Renault</t>
        </is>
      </c>
      <c r="F99" s="2" t="inlineStr">
        <is>
          <t>Renault Clio</t>
        </is>
      </c>
      <c r="G99" s="2" t="inlineStr">
        <is>
          <t>1.2</t>
        </is>
      </c>
      <c r="H99" s="2" t="inlineStr">
        <is>
          <t>Authentique 1.2 16v 75cv 5p. eco2</t>
        </is>
      </c>
      <c r="I99" s="2" t="n"/>
      <c r="J99" s="2" t="n">
        <v>75</v>
      </c>
      <c r="K99" s="2" t="inlineStr">
        <is>
          <t>gasolina</t>
        </is>
      </c>
      <c r="L99" s="2" t="inlineStr">
        <is>
          <t>utilitario</t>
        </is>
      </c>
      <c r="M99" s="2" t="n">
        <v>2009</v>
      </c>
      <c r="N99" s="2" t="n">
        <v>200500</v>
      </c>
      <c r="O99" s="2" t="n">
        <v>2200</v>
      </c>
      <c r="P99" s="2" t="inlineStr">
        <is>
          <t>manual</t>
        </is>
      </c>
      <c r="Q99" s="2" t="inlineStr">
        <is>
          <t>no</t>
        </is>
      </c>
      <c r="R99" s="2" t="inlineStr">
        <is>
          <t>particular</t>
        </is>
      </c>
      <c r="S99" s="2" t="inlineStr">
        <is>
          <t>Valencia</t>
        </is>
      </c>
      <c r="T99" s="2" t="inlineStr">
        <is>
          <t>2026-09-28T10:46:30Z</t>
        </is>
      </c>
      <c r="U99" s="2" t="n">
        <v>10</v>
      </c>
      <c r="V99" s="2" t="n"/>
      <c r="W99" s="2" t="n"/>
      <c r="X99" s="2" t="n"/>
      <c r="Y99" s="2" t="n"/>
      <c r="Z99" s="2" t="inlineStr">
        <is>
          <t>no</t>
        </is>
      </c>
      <c r="AA99" s="2" t="n"/>
      <c r="AB99" s="2" t="n"/>
      <c r="AC99" s="2" t="n"/>
      <c r="AD99" s="2" t="n"/>
      <c r="AE99" s="2" t="n"/>
      <c r="AF99" s="2" t="n"/>
      <c r="AG99" s="2" t="n"/>
      <c r="AH99" s="2" t="n">
        <v>2200</v>
      </c>
      <c r="AI99" s="2" t="n"/>
      <c r="AJ99" s="2" t="n"/>
      <c r="AK99" s="2" t="n"/>
      <c r="AL99" s="2" t="n"/>
      <c r="AM99" s="2" t="n">
        <v>0.1</v>
      </c>
      <c r="AN99" s="2" t="n"/>
      <c r="AO99" s="2" t="inlineStr">
        <is>
          <t>2009</t>
        </is>
      </c>
      <c r="AP99" s="2" t="n">
        <v>2009</v>
      </c>
      <c r="AQ99" s="2" t="n"/>
      <c r="AR99" s="2" t="n"/>
      <c r="AS99" s="2" t="inlineStr">
        <is>
          <t>regla</t>
        </is>
      </c>
      <c r="AT99" s="2" t="n">
        <v>2575</v>
      </c>
      <c r="AU99" s="2" t="n">
        <v>6</v>
      </c>
      <c r="AV99" s="2" t="inlineStr">
        <is>
          <t>modelo+año+km</t>
        </is>
      </c>
      <c r="AW99" s="2" t="n"/>
      <c r="AX99" s="2" t="inlineStr">
        <is>
          <t>cuota fija ITP: &gt;12 años, hasta 1.500 cc</t>
        </is>
      </c>
      <c r="AY99" s="2" t="inlineStr">
        <is>
          <t>Si buscas un coche funcional y económico para moverte por la ciudad, este Renault Clio es una opción práctica a tener en cuenta. Se trata de un berlina de cinco puertas con motor 1.2 de 75 CV que destaca por su eficiencia en consumo, ideal para quienes quieren mantener los gastos de combustible bajo control sin renunciar a la movilidad diaria.
Con cambio manual y cinco plazas, ofrece la versatilidad que necesitas para desplazamientos cotidianos. Su tamaño compacto lo hace especialmente ágil en tráfico urbano y fácil de aparcar, mientras que la tracción delantera garantiza una buena estabilidad en cualquier condición.
Este modelo cuenta con la etiqueta medioambiental, lo que te permite acceder a determinadas zonas de circulación restringida en ciudades. Además, el motor sin plomo es respetuoso con el medio ambiente, un punto a favor si te importa tu huella ecológica.
Se vende tal como se ve, con el historial de uso que refleja un vehículo que ha prestado servicio durante años. Si tienes dudas sobre aspectos específicos del estado, equipamiento o historial del coche, no dudes en contactarme. Estoy disponible tanto por chat como por teléfono para resolver cualquier pregunta que tengas.
Es una buena oportunidad para quien busca un transporte fiable y asequible. Contacta hoy mismo si te interesa conocer más detalles o concertar una cita para verlo en persona.</t>
        </is>
      </c>
      <c r="AZ99" s="2" t="inlineStr">
        <is>
          <t>https://www.coches.net/renault-clio-authentique-12-16v-75cv-5p-eco2-5p-gasolina-2009-en-valencia-71612608-covo.aspx (window.__INITIAL_PROPS__.ad) /home/user/Alopecia/buscador-coches/raw/cochesnet/0089906f83d7fbfd.json</t>
        </is>
      </c>
      <c r="BA99" s="3">
        <f>MAX(ANIO_ACTUAL-M99,0)</f>
        <v/>
      </c>
      <c r="BB99" s="4">
        <f>N99/MAX(BA99,0.5)</f>
        <v/>
      </c>
      <c r="BC99" s="4">
        <f>F99</f>
        <v/>
      </c>
      <c r="BD99" s="3">
        <f>BC99&amp;"|"&amp;INT(M99/SEG_ANIO)*SEG_ANIO</f>
        <v/>
      </c>
      <c r="BE99" s="3">
        <f>BD99&amp;"|"&amp;INT(N99/SEG_KM)*SEG_KM</f>
        <v/>
      </c>
      <c r="BF99" s="4">
        <f>COUNTIF($BC$2:$BC$545,BC99)</f>
        <v/>
      </c>
      <c r="BG99" s="4">
        <f>COUNTIF($BD$2:$BD$545,BD99)</f>
        <v/>
      </c>
      <c r="BH99" s="4">
        <f>COUNTIF($BE$2:$BE$545,BE99)</f>
        <v/>
      </c>
      <c r="BI99" s="3">
        <f t="array" ref="BI99">IF(N(AU99)&gt;=MIN_N,AT99,IF(BH99&gt;=MIN_N,MEDIAN(IF($BE$2:$BE$545=BE99,$O$2:$O$545)),IF(BG99&gt;=MIN_N,MEDIAN(IF($BD$2:$BD$545=BD99,$O$2:$O$545)),MEDIAN(IF($BC$2:$BC$545=BC99,$O$2:$O$545)))))</f>
        <v/>
      </c>
      <c r="BJ99" s="3">
        <f>IF(N(AU99)&gt;=MIN_N,"mercado "&amp;AV99,IF(BH99&gt;=MIN_N,"modelo+año+km",IF(BG99&gt;=MIN_N,"modelo+año","modelo")))</f>
        <v/>
      </c>
      <c r="BK99" s="4">
        <f>(BI99-O99)/BI99</f>
        <v/>
      </c>
      <c r="BL99" s="3">
        <f>IF(COUNTIFS(FR_FUEL,K99,FR_YEAR,AP99)&gt;0,1,0)</f>
        <v/>
      </c>
      <c r="BM99" s="3">
        <f>IF(COUNTIFS(FR_FUEL,K99,FR_YEAR,AP99-1)&gt;0,1,0)</f>
        <v/>
      </c>
      <c r="BN99" s="4">
        <f>IF(N(AQ99)&gt;0,AP99*100+AQ99,IF(AND(BL99=1,BM99=1),(AP99-1)*100+1,AP99*100+1))</f>
        <v/>
      </c>
      <c r="BO99" s="3">
        <f>IF(OR(K99="hibrido",K99="glp",K99="gnc",K99="phev"),"ECO",IF(K99="electrico","CERO",IF(K99="gasolina",IF(BN99&gt;=GAS_C_YM,"C",IF(BN99&gt;=GAS_B_YM,"B","A")),IF(K99="diesel",IF(BN99&gt;=DIE_C_YM,"C",IF(BN99&gt;=DIE_B_YM,"B","A")),""))))</f>
        <v/>
      </c>
      <c r="BP99" s="4">
        <f>BO99</f>
        <v/>
      </c>
      <c r="BQ99" s="4">
        <f>IF(AS99="regla",IF(AND(N(AQ99)=0,BL99=1),"sí","no"),"no")</f>
        <v/>
      </c>
      <c r="BR99" s="3">
        <f>IFERROR(VLOOKUP(F99,MOD_TBL,11,0),IFERROR(VLOOKUP(E99,OCU_TBL,2,0),NEUTRO))</f>
        <v/>
      </c>
      <c r="BS99" s="3">
        <f>SUMIFS(MOT_AJUSTE,MOT_MOTOR,G99,MOT_MARCA,E99,MOT_DESDE,"&lt;="&amp;M99,MOT_HASTA,"&gt;="&amp;M99)+SUMIFS(MOT_AJUSTE,MOT_MOTOR,G99,MOT_MARCA,"(todas)",MOT_DESDE,"&lt;="&amp;M99,MOT_HASTA,"&gt;="&amp;M99)</f>
        <v/>
      </c>
      <c r="BT99" s="3">
        <f>SUMIFS(COMB_AJUSTE,COMB_COMB,K99)</f>
        <v/>
      </c>
      <c r="BU99" s="3">
        <f>COUNTIFS(MOT_MOTOR,G99,MOT_MARCA,E99,MOT_DESDE,"&lt;="&amp;M99,MOT_HASTA,"&gt;="&amp;M99)+COUNTIFS(MOT_MOTOR,G99,MOT_MARCA,"(todas)",MOT_DESDE,"&lt;="&amp;M99,MOT_HASTA,"&gt;="&amp;M99)</f>
        <v/>
      </c>
      <c r="BV99" s="3">
        <f>IF(AND(K99="diesel",BU99=0),MIN(BR99,NEUTRO),BR99)</f>
        <v/>
      </c>
      <c r="BW99" s="4">
        <f>MAX(0,MIN(100,BV99+BS99+BT99))</f>
        <v/>
      </c>
      <c r="BX99" s="3">
        <f>MAX(0,MIN(100,50+BK99*PRECIO_PEND))</f>
        <v/>
      </c>
      <c r="BY99" s="3">
        <f>MAX(0,100*(1-N99/KM_MAX))</f>
        <v/>
      </c>
      <c r="BZ99" s="3">
        <f>IF(BB99&lt;KMA_SOSP,IF(AA99="sí",100,KMA_PEN),IF(BB99&lt;=KMA_IDEAL_MAX,100,MAX(0,100*(KMA_CERO-BB99)/(KMA_CERO-KMA_IDEAL_MAX))))</f>
        <v/>
      </c>
      <c r="CA99" s="3">
        <f>MAX(0,MIN(100,100*(M99-ANIO_MIN)/(ANIO_ACTUAL-ANIO_MIN)))</f>
        <v/>
      </c>
      <c r="CB99" s="3">
        <f>W_KMT*BY99+W_KMA*BZ99+W_EDAD*CA99</f>
        <v/>
      </c>
      <c r="CC99" s="3">
        <f>P_ITV*(V99="sí")+P_LIBRO*(W99="sí")+P_CORREA*(X99="sí")+P_PROP*(Y99=1)+P_GAR*(Z99="sí")+P_FOTOS*MIN(1,N(U99)/FOTOS_OBJ)</f>
        <v/>
      </c>
      <c r="CD99" s="3">
        <f>MAX(0,MIN(100,IFERROR(VLOOKUP(BP99,ETQ_TBL,2,0),0)-IF(BQ99="sí",ETQ_PEN_DUD,IF(AS99="regla",ETQ_PEN_REGLA,0))))</f>
        <v/>
      </c>
      <c r="CE99" s="3">
        <f>NEUTRO</f>
        <v/>
      </c>
      <c r="CF99" s="3">
        <f>IFERROR(VLOOKUP(L99,SEGURO_TBL,3,0),"")</f>
        <v/>
      </c>
      <c r="CG99" s="3">
        <f>IF(CF99="",NEUTRO,MAX(0,MIN(100,100*(SEG_REF_MAX-CF99)/(SEG_REF_MAX-SEG_REF_MIN))))</f>
        <v/>
      </c>
      <c r="CH99" s="3">
        <f>W_CONS*CE99+W_SEG*CG99</f>
        <v/>
      </c>
      <c r="CI99" s="3">
        <f>IF(N(AB99)&gt;0,AB99,IF(AND(R99="profesional",SG_LEGAL_ON=1),GAR_LEGAL,0))</f>
        <v/>
      </c>
      <c r="CJ99" s="3">
        <f>SG_GAR*MIN(1,CI99/SG_GAR_FULL)+SG_AMPL*(AC99="sí")+SG_KMC*(AF99="sí")+SG_REV*(N(AE99)&gt;0)+SG_DEV*MIN(1,N(AG99)/SG_DEV_FULL)+SG_HIST*(W99="sí")</f>
        <v/>
      </c>
      <c r="CK99" s="3">
        <f>IFERROR(VLOOKUP(L99,CARR_PEN_TBL,2,0),0)</f>
        <v/>
      </c>
      <c r="CL99" s="3">
        <f>W_FIAB*BW99+W_PRECIO*BX99+W_KMEDAD*CB99+W_ANUNCIO*CC99+W_USO*CH99+W_SEGURIDAD*CJ99+W_ETIQUETA*CD99-CK99</f>
        <v/>
      </c>
      <c r="CM99" s="4">
        <f>IF(N(I99)&gt;0,I99,IFERROR(ROUND(_xlfn.NUMBERVALUE(LEFT(G99,FIND(" ",G99&amp;" ")-1),".")*1000,0),99999))</f>
        <v/>
      </c>
      <c r="CN99" s="3">
        <f>IF(R99="profesional",0,IF(O99&lt;CUOTA_VALOR_MAX,IF(BA99&gt;ITP_TRAMO_ALTO,SUMIFS(CF_CUOTA,CF_MAS,ITP_TRAMO_ALTO,CF_CCMIN,"&lt;="&amp;CM99,CF_CCMAX,"&gt;="&amp;CM99),IF(BA99&gt;ITP_TRAMO_BAJO,SUMIFS(CF_CUOTA,CF_MAS,ITP_TRAMO_BAJO,CF_CCMIN,"&lt;="&amp;CM99,CF_CCMAX,"&gt;="&amp;CM99),O99*ITP_TIPO)),O99*ITP_TIPO))</f>
        <v/>
      </c>
      <c r="CO99" s="4">
        <f>IF(R99="profesional",N(AK99),0)</f>
        <v/>
      </c>
      <c r="CP99" s="3">
        <f>IF(AND(R99="profesional",ISNUMBER(AK99),AL99="sí"),0,TASA_DGT)</f>
        <v/>
      </c>
      <c r="CQ99" s="3">
        <f>INFORME_DGT</f>
        <v/>
      </c>
      <c r="CR99" s="4">
        <f>O99+CO99+CN99+CP99+CQ99</f>
        <v/>
      </c>
      <c r="CS99" s="4">
        <f>CR99+N(CF99)</f>
        <v/>
      </c>
      <c r="CT99" s="3">
        <f>IF(CR99&lt;=TOTAL_MAX,"sí",IF(CR99&lt;=TOTAL_MAX+MARGEN_NEG,"negociar","no"))</f>
        <v/>
      </c>
      <c r="CU99" s="4">
        <f>IF(CT99&lt;&gt;"no",COUNTIFS($CT$2:$CT$545,"&lt;&gt;no",$CL$2:$CL$545,"&gt;"&amp;CL99)+COUNTIFS($CT$2:CT99,"&lt;&gt;no",$CL$2:CL99,CL99),"")</f>
        <v/>
      </c>
    </row>
    <row r="100">
      <c r="A100" s="2" t="inlineStr">
        <is>
          <t>cochesnet:71601675</t>
        </is>
      </c>
      <c r="B100" s="2" t="inlineStr">
        <is>
          <t>cochesnet</t>
        </is>
      </c>
      <c r="C100" s="2" t="inlineStr">
        <is>
          <t>https://www.coches.net/renault-clio-grand-tour-exception-15dci-105cv-eco2-5p-diesel-2008-en-valencia-71601675-covo.aspx</t>
        </is>
      </c>
      <c r="D100" s="2" t="inlineStr">
        <is>
          <t>RENAULT Clio Grand Tour Exception 1.5dCi eco2</t>
        </is>
      </c>
      <c r="E100" s="2" t="inlineStr">
        <is>
          <t>Renault</t>
        </is>
      </c>
      <c r="F100" s="2" t="inlineStr">
        <is>
          <t>Renault Clio</t>
        </is>
      </c>
      <c r="G100" s="2" t="inlineStr">
        <is>
          <t>1.5</t>
        </is>
      </c>
      <c r="H100" s="2" t="inlineStr">
        <is>
          <t>Grand Tour Exception 1.5dCi 105cv eco2</t>
        </is>
      </c>
      <c r="I100" s="2" t="n"/>
      <c r="J100" s="2" t="n">
        <v>105</v>
      </c>
      <c r="K100" s="2" t="inlineStr">
        <is>
          <t>diesel</t>
        </is>
      </c>
      <c r="L100" s="2" t="inlineStr">
        <is>
          <t>familiar</t>
        </is>
      </c>
      <c r="M100" s="2" t="n">
        <v>2008</v>
      </c>
      <c r="N100" s="2" t="n">
        <v>123000</v>
      </c>
      <c r="O100" s="2" t="n">
        <v>3800</v>
      </c>
      <c r="P100" s="2" t="inlineStr">
        <is>
          <t>manual</t>
        </is>
      </c>
      <c r="Q100" s="2" t="inlineStr">
        <is>
          <t>no</t>
        </is>
      </c>
      <c r="R100" s="2" t="inlineStr">
        <is>
          <t>particular</t>
        </is>
      </c>
      <c r="S100" s="2" t="inlineStr">
        <is>
          <t>Valencia</t>
        </is>
      </c>
      <c r="T100" s="2" t="inlineStr">
        <is>
          <t>2026-09-25T21:49:01Z</t>
        </is>
      </c>
      <c r="U100" s="2" t="n">
        <v>5</v>
      </c>
      <c r="V100" s="2" t="n"/>
      <c r="W100" s="2" t="n"/>
      <c r="X100" s="2" t="n"/>
      <c r="Y100" s="2" t="n"/>
      <c r="Z100" s="2" t="inlineStr">
        <is>
          <t>no</t>
        </is>
      </c>
      <c r="AA100" s="2" t="n"/>
      <c r="AB100" s="2" t="n"/>
      <c r="AC100" s="2" t="n"/>
      <c r="AD100" s="2" t="n"/>
      <c r="AE100" s="2" t="n"/>
      <c r="AF100" s="2" t="n"/>
      <c r="AG100" s="2" t="n"/>
      <c r="AH100" s="2" t="n">
        <v>3800</v>
      </c>
      <c r="AI100" s="2" t="n"/>
      <c r="AJ100" s="2" t="n"/>
      <c r="AK100" s="2" t="n"/>
      <c r="AL100" s="2" t="n"/>
      <c r="AM100" s="2" t="n">
        <v>0.1</v>
      </c>
      <c r="AN100" s="2" t="n"/>
      <c r="AO100" s="2" t="inlineStr">
        <is>
          <t>2008</t>
        </is>
      </c>
      <c r="AP100" s="2" t="n">
        <v>2008</v>
      </c>
      <c r="AQ100" s="2" t="n"/>
      <c r="AR100" s="2" t="inlineStr">
        <is>
          <t>B</t>
        </is>
      </c>
      <c r="AS100" s="2" t="inlineStr">
        <is>
          <t>anuncio</t>
        </is>
      </c>
      <c r="AT100" s="2" t="n">
        <v>3500</v>
      </c>
      <c r="AU100" s="2" t="n">
        <v>7</v>
      </c>
      <c r="AV100" s="2" t="inlineStr">
        <is>
          <t>modelo+año+km</t>
        </is>
      </c>
      <c r="AW100" s="2" t="n"/>
      <c r="AX100" s="2" t="inlineStr">
        <is>
          <t>cuota fija ITP: &gt;12 años, hasta 1.500 cc; diésel: motor sin fuente de fiabilidad (fiabilidad limitada a neutra); carrocería familiar: -3 puntos</t>
        </is>
      </c>
      <c r="AY100" s="2" t="inlineStr">
        <is>
          <t>Se vende Renault Clio 3 uno de los más alto de gama con todos los estras y con pantalla car play lo tienes todo echo y muy pocos kilómetros distribución recién echa ruedas nuevas no hace falta sacar la tarjeta ni para abrir ni cerrar ni arrancar el coche mejor ver y probar es del 2007(no me deja modificarlo)</t>
        </is>
      </c>
      <c r="AZ100" s="2" t="inlineStr">
        <is>
          <t>https://www.coches.net/renault-clio-grand-tour-exception-15dci-105cv-eco2-5p-diesel-2008-en-valencia-71601675-covo.aspx (window.__INITIAL_PROPS__.ad) /home/user/Alopecia/buscador-coches/raw/cochesnet/f2fee8dbbfc19a30.json</t>
        </is>
      </c>
      <c r="BA100" s="3">
        <f>MAX(ANIO_ACTUAL-M100,0)</f>
        <v/>
      </c>
      <c r="BB100" s="4">
        <f>N100/MAX(BA100,0.5)</f>
        <v/>
      </c>
      <c r="BC100" s="4">
        <f>F100</f>
        <v/>
      </c>
      <c r="BD100" s="3">
        <f>BC100&amp;"|"&amp;INT(M100/SEG_ANIO)*SEG_ANIO</f>
        <v/>
      </c>
      <c r="BE100" s="3">
        <f>BD100&amp;"|"&amp;INT(N100/SEG_KM)*SEG_KM</f>
        <v/>
      </c>
      <c r="BF100" s="4">
        <f>COUNTIF($BC$2:$BC$545,BC100)</f>
        <v/>
      </c>
      <c r="BG100" s="4">
        <f>COUNTIF($BD$2:$BD$545,BD100)</f>
        <v/>
      </c>
      <c r="BH100" s="4">
        <f>COUNTIF($BE$2:$BE$545,BE100)</f>
        <v/>
      </c>
      <c r="BI100" s="3">
        <f t="array" ref="BI100">IF(N(AU100)&gt;=MIN_N,AT100,IF(BH100&gt;=MIN_N,MEDIAN(IF($BE$2:$BE$545=BE100,$O$2:$O$545)),IF(BG100&gt;=MIN_N,MEDIAN(IF($BD$2:$BD$545=BD100,$O$2:$O$545)),MEDIAN(IF($BC$2:$BC$545=BC100,$O$2:$O$545)))))</f>
        <v/>
      </c>
      <c r="BJ100" s="3">
        <f>IF(N(AU100)&gt;=MIN_N,"mercado "&amp;AV100,IF(BH100&gt;=MIN_N,"modelo+año+km",IF(BG100&gt;=MIN_N,"modelo+año","modelo")))</f>
        <v/>
      </c>
      <c r="BK100" s="4">
        <f>(BI100-O100)/BI100</f>
        <v/>
      </c>
      <c r="BL100" s="3">
        <f>IF(COUNTIFS(FR_FUEL,K100,FR_YEAR,AP100)&gt;0,1,0)</f>
        <v/>
      </c>
      <c r="BM100" s="3">
        <f>IF(COUNTIFS(FR_FUEL,K100,FR_YEAR,AP100-1)&gt;0,1,0)</f>
        <v/>
      </c>
      <c r="BN100" s="4">
        <f>IF(N(AQ100)&gt;0,AP100*100+AQ100,IF(AND(BL100=1,BM100=1),(AP100-1)*100+1,AP100*100+1))</f>
        <v/>
      </c>
      <c r="BO100" s="3">
        <f>IF(OR(K100="hibrido",K100="glp",K100="gnc",K100="phev"),"ECO",IF(K100="electrico","CERO",IF(K100="gasolina",IF(BN100&gt;=GAS_C_YM,"C",IF(BN100&gt;=GAS_B_YM,"B","A")),IF(K100="diesel",IF(BN100&gt;=DIE_C_YM,"C",IF(BN100&gt;=DIE_B_YM,"B","A")),""))))</f>
        <v/>
      </c>
      <c r="BP100" s="2" t="inlineStr">
        <is>
          <t>B</t>
        </is>
      </c>
      <c r="BQ100" s="4">
        <f>IF(AS100="regla",IF(AND(N(AQ100)=0,BL100=1),"sí","no"),"no")</f>
        <v/>
      </c>
      <c r="BR100" s="3">
        <f>IFERROR(VLOOKUP(F100,MOD_TBL,11,0),IFERROR(VLOOKUP(E100,OCU_TBL,2,0),NEUTRO))</f>
        <v/>
      </c>
      <c r="BS100" s="3">
        <f>SUMIFS(MOT_AJUSTE,MOT_MOTOR,G100,MOT_MARCA,E100,MOT_DESDE,"&lt;="&amp;M100,MOT_HASTA,"&gt;="&amp;M100)+SUMIFS(MOT_AJUSTE,MOT_MOTOR,G100,MOT_MARCA,"(todas)",MOT_DESDE,"&lt;="&amp;M100,MOT_HASTA,"&gt;="&amp;M100)</f>
        <v/>
      </c>
      <c r="BT100" s="3">
        <f>SUMIFS(COMB_AJUSTE,COMB_COMB,K100)</f>
        <v/>
      </c>
      <c r="BU100" s="3">
        <f>COUNTIFS(MOT_MOTOR,G100,MOT_MARCA,E100,MOT_DESDE,"&lt;="&amp;M100,MOT_HASTA,"&gt;="&amp;M100)+COUNTIFS(MOT_MOTOR,G100,MOT_MARCA,"(todas)",MOT_DESDE,"&lt;="&amp;M100,MOT_HASTA,"&gt;="&amp;M100)</f>
        <v/>
      </c>
      <c r="BV100" s="3">
        <f>IF(AND(K100="diesel",BU100=0),MIN(BR100,NEUTRO),BR100)</f>
        <v/>
      </c>
      <c r="BW100" s="4">
        <f>MAX(0,MIN(100,BV100+BS100+BT100))</f>
        <v/>
      </c>
      <c r="BX100" s="3">
        <f>MAX(0,MIN(100,50+BK100*PRECIO_PEND))</f>
        <v/>
      </c>
      <c r="BY100" s="3">
        <f>MAX(0,100*(1-N100/KM_MAX))</f>
        <v/>
      </c>
      <c r="BZ100" s="3">
        <f>IF(BB100&lt;KMA_SOSP,IF(AA100="sí",100,KMA_PEN),IF(BB100&lt;=KMA_IDEAL_MAX,100,MAX(0,100*(KMA_CERO-BB100)/(KMA_CERO-KMA_IDEAL_MAX))))</f>
        <v/>
      </c>
      <c r="CA100" s="3">
        <f>MAX(0,MIN(100,100*(M100-ANIO_MIN)/(ANIO_ACTUAL-ANIO_MIN)))</f>
        <v/>
      </c>
      <c r="CB100" s="3">
        <f>W_KMT*BY100+W_KMA*BZ100+W_EDAD*CA100</f>
        <v/>
      </c>
      <c r="CC100" s="3">
        <f>P_ITV*(V100="sí")+P_LIBRO*(W100="sí")+P_CORREA*(X100="sí")+P_PROP*(Y100=1)+P_GAR*(Z100="sí")+P_FOTOS*MIN(1,N(U100)/FOTOS_OBJ)</f>
        <v/>
      </c>
      <c r="CD100" s="3">
        <f>MAX(0,MIN(100,IFERROR(VLOOKUP(BP100,ETQ_TBL,2,0),0)-IF(BQ100="sí",ETQ_PEN_DUD,IF(AS100="regla",ETQ_PEN_REGLA,0))))</f>
        <v/>
      </c>
      <c r="CE100" s="3">
        <f>NEUTRO</f>
        <v/>
      </c>
      <c r="CF100" s="3">
        <f>IFERROR(VLOOKUP(L100,SEGURO_TBL,3,0),"")</f>
        <v/>
      </c>
      <c r="CG100" s="3">
        <f>IF(CF100="",NEUTRO,MAX(0,MIN(100,100*(SEG_REF_MAX-CF100)/(SEG_REF_MAX-SEG_REF_MIN))))</f>
        <v/>
      </c>
      <c r="CH100" s="3">
        <f>W_CONS*CE100+W_SEG*CG100</f>
        <v/>
      </c>
      <c r="CI100" s="3">
        <f>IF(N(AB100)&gt;0,AB100,IF(AND(R100="profesional",SG_LEGAL_ON=1),GAR_LEGAL,0))</f>
        <v/>
      </c>
      <c r="CJ100" s="3">
        <f>SG_GAR*MIN(1,CI100/SG_GAR_FULL)+SG_AMPL*(AC100="sí")+SG_KMC*(AF100="sí")+SG_REV*(N(AE100)&gt;0)+SG_DEV*MIN(1,N(AG100)/SG_DEV_FULL)+SG_HIST*(W100="sí")</f>
        <v/>
      </c>
      <c r="CK100" s="3">
        <f>IFERROR(VLOOKUP(L100,CARR_PEN_TBL,2,0),0)</f>
        <v/>
      </c>
      <c r="CL100" s="3">
        <f>W_FIAB*BW100+W_PRECIO*BX100+W_KMEDAD*CB100+W_ANUNCIO*CC100+W_USO*CH100+W_SEGURIDAD*CJ100+W_ETIQUETA*CD100-CK100</f>
        <v/>
      </c>
      <c r="CM100" s="4">
        <f>IF(N(I100)&gt;0,I100,IFERROR(ROUND(_xlfn.NUMBERVALUE(LEFT(G100,FIND(" ",G100&amp;" ")-1),".")*1000,0),99999))</f>
        <v/>
      </c>
      <c r="CN100" s="3">
        <f>IF(R100="profesional",0,IF(O100&lt;CUOTA_VALOR_MAX,IF(BA100&gt;ITP_TRAMO_ALTO,SUMIFS(CF_CUOTA,CF_MAS,ITP_TRAMO_ALTO,CF_CCMIN,"&lt;="&amp;CM100,CF_CCMAX,"&gt;="&amp;CM100),IF(BA100&gt;ITP_TRAMO_BAJO,SUMIFS(CF_CUOTA,CF_MAS,ITP_TRAMO_BAJO,CF_CCMIN,"&lt;="&amp;CM100,CF_CCMAX,"&gt;="&amp;CM100),O100*ITP_TIPO)),O100*ITP_TIPO))</f>
        <v/>
      </c>
      <c r="CO100" s="4">
        <f>IF(R100="profesional",N(AK100),0)</f>
        <v/>
      </c>
      <c r="CP100" s="3">
        <f>IF(AND(R100="profesional",ISNUMBER(AK100),AL100="sí"),0,TASA_DGT)</f>
        <v/>
      </c>
      <c r="CQ100" s="3">
        <f>INFORME_DGT</f>
        <v/>
      </c>
      <c r="CR100" s="4">
        <f>O100+CO100+CN100+CP100+CQ100</f>
        <v/>
      </c>
      <c r="CS100" s="4">
        <f>CR100+N(CF100)</f>
        <v/>
      </c>
      <c r="CT100" s="3">
        <f>IF(CR100&lt;=TOTAL_MAX,"sí",IF(CR100&lt;=TOTAL_MAX+MARGEN_NEG,"negociar","no"))</f>
        <v/>
      </c>
      <c r="CU100" s="4">
        <f>IF(CT100&lt;&gt;"no",COUNTIFS($CT$2:$CT$545,"&lt;&gt;no",$CL$2:$CL$545,"&gt;"&amp;CL100)+COUNTIFS($CT$2:CT100,"&lt;&gt;no",$CL$2:CL100,CL100),"")</f>
        <v/>
      </c>
    </row>
    <row r="101">
      <c r="A101" s="2" t="inlineStr">
        <is>
          <t>cochesnet:71554659</t>
        </is>
      </c>
      <c r="B101" s="2" t="inlineStr">
        <is>
          <t>cochesnet</t>
        </is>
      </c>
      <c r="C101" s="2" t="inlineStr">
        <is>
          <t>https://www.coches.net/renault-clio-20-aniversario-15dci-85cv-3p-eco2-3p-diesel-2011-en-valencia-71554659-covo.aspx</t>
        </is>
      </c>
      <c r="D101" s="2" t="inlineStr">
        <is>
          <t>RENAULT Clio 20 Aniversario 1.5dCi eco2</t>
        </is>
      </c>
      <c r="E101" s="2" t="inlineStr">
        <is>
          <t>Renault</t>
        </is>
      </c>
      <c r="F101" s="2" t="inlineStr">
        <is>
          <t>Renault Clio</t>
        </is>
      </c>
      <c r="G101" s="2" t="inlineStr">
        <is>
          <t>1.5</t>
        </is>
      </c>
      <c r="H101" s="2" t="inlineStr">
        <is>
          <t>20 Aniversario 1.5dCi 85cv 3p. eco2</t>
        </is>
      </c>
      <c r="I101" s="2" t="n"/>
      <c r="J101" s="2" t="n">
        <v>85</v>
      </c>
      <c r="K101" s="2" t="inlineStr">
        <is>
          <t>diesel</t>
        </is>
      </c>
      <c r="L101" s="2" t="inlineStr">
        <is>
          <t>utilitario</t>
        </is>
      </c>
      <c r="M101" s="2" t="n">
        <v>2010</v>
      </c>
      <c r="N101" s="2" t="n">
        <v>182000</v>
      </c>
      <c r="O101" s="2" t="n">
        <v>3800</v>
      </c>
      <c r="P101" s="2" t="inlineStr">
        <is>
          <t>manual</t>
        </is>
      </c>
      <c r="Q101" s="2" t="inlineStr">
        <is>
          <t>no</t>
        </is>
      </c>
      <c r="R101" s="2" t="inlineStr">
        <is>
          <t>particular</t>
        </is>
      </c>
      <c r="S101" s="2" t="inlineStr">
        <is>
          <t>Valencia</t>
        </is>
      </c>
      <c r="T101" s="2" t="inlineStr">
        <is>
          <t>2026-09-20T10:03:01Z</t>
        </is>
      </c>
      <c r="U101" s="2" t="n">
        <v>6</v>
      </c>
      <c r="V101" s="2" t="inlineStr">
        <is>
          <t>sí</t>
        </is>
      </c>
      <c r="W101" s="2" t="n"/>
      <c r="X101" s="2" t="inlineStr">
        <is>
          <t>sí</t>
        </is>
      </c>
      <c r="Y101" s="2" t="n"/>
      <c r="Z101" s="2" t="inlineStr">
        <is>
          <t>no</t>
        </is>
      </c>
      <c r="AA101" s="2" t="n"/>
      <c r="AB101" s="2" t="n"/>
      <c r="AC101" s="2" t="n"/>
      <c r="AD101" s="2" t="n"/>
      <c r="AE101" s="2" t="n"/>
      <c r="AF101" s="2" t="n"/>
      <c r="AG101" s="2" t="n"/>
      <c r="AH101" s="2" t="n">
        <v>3800</v>
      </c>
      <c r="AI101" s="2" t="n"/>
      <c r="AJ101" s="2" t="n"/>
      <c r="AK101" s="2" t="n"/>
      <c r="AL101" s="2" t="n"/>
      <c r="AM101" s="2" t="n">
        <v>0.1</v>
      </c>
      <c r="AN101" s="2" t="n"/>
      <c r="AO101" s="2" t="inlineStr">
        <is>
          <t>12/2010</t>
        </is>
      </c>
      <c r="AP101" s="2" t="n">
        <v>2010</v>
      </c>
      <c r="AQ101" s="2" t="n">
        <v>12</v>
      </c>
      <c r="AR101" s="2" t="inlineStr">
        <is>
          <t>B</t>
        </is>
      </c>
      <c r="AS101" s="2" t="inlineStr">
        <is>
          <t>anuncio</t>
        </is>
      </c>
      <c r="AT101" s="2" t="n">
        <v>4200</v>
      </c>
      <c r="AU101" s="2" t="n">
        <v>7</v>
      </c>
      <c r="AV101" s="2" t="inlineStr">
        <is>
          <t>modelo+año+km</t>
        </is>
      </c>
      <c r="AW101" s="2" t="n"/>
      <c r="AX101" s="2" t="inlineStr">
        <is>
          <t>cuota fija ITP: &gt;12 años, hasta 1.500 cc; diésel: motor sin fuente de fiabilidad (fiabilidad limitada a neutra)</t>
        </is>
      </c>
      <c r="AY101" s="2" t="inlineStr">
        <is>
          <t xml:space="preserve">Itv recién pasada ruedas embrague y distribución cambiadas año de matriculación 2011
</t>
        </is>
      </c>
      <c r="AZ101" s="2" t="inlineStr">
        <is>
          <t>https://www.coches.net/renault-clio-20-aniversario-15dci-85cv-3p-eco2-3p-diesel-2011-en-valencia-71554659-covo.aspx (window.__INITIAL_PROPS__.ad) /home/user/Alopecia/buscador-coches/raw/cochesnet/55f3a536b1ff8523.json</t>
        </is>
      </c>
      <c r="BA101" s="3">
        <f>MAX(ANIO_ACTUAL-M101,0)</f>
        <v/>
      </c>
      <c r="BB101" s="4">
        <f>N101/MAX(BA101,0.5)</f>
        <v/>
      </c>
      <c r="BC101" s="4">
        <f>F101</f>
        <v/>
      </c>
      <c r="BD101" s="3">
        <f>BC101&amp;"|"&amp;INT(M101/SEG_ANIO)*SEG_ANIO</f>
        <v/>
      </c>
      <c r="BE101" s="3">
        <f>BD101&amp;"|"&amp;INT(N101/SEG_KM)*SEG_KM</f>
        <v/>
      </c>
      <c r="BF101" s="4">
        <f>COUNTIF($BC$2:$BC$545,BC101)</f>
        <v/>
      </c>
      <c r="BG101" s="4">
        <f>COUNTIF($BD$2:$BD$545,BD101)</f>
        <v/>
      </c>
      <c r="BH101" s="4">
        <f>COUNTIF($BE$2:$BE$545,BE101)</f>
        <v/>
      </c>
      <c r="BI101" s="3">
        <f t="array" ref="BI101">IF(N(AU101)&gt;=MIN_N,AT101,IF(BH101&gt;=MIN_N,MEDIAN(IF($BE$2:$BE$545=BE101,$O$2:$O$545)),IF(BG101&gt;=MIN_N,MEDIAN(IF($BD$2:$BD$545=BD101,$O$2:$O$545)),MEDIAN(IF($BC$2:$BC$545=BC101,$O$2:$O$545)))))</f>
        <v/>
      </c>
      <c r="BJ101" s="3">
        <f>IF(N(AU101)&gt;=MIN_N,"mercado "&amp;AV101,IF(BH101&gt;=MIN_N,"modelo+año+km",IF(BG101&gt;=MIN_N,"modelo+año","modelo")))</f>
        <v/>
      </c>
      <c r="BK101" s="4">
        <f>(BI101-O101)/BI101</f>
        <v/>
      </c>
      <c r="BL101" s="3">
        <f>IF(COUNTIFS(FR_FUEL,K101,FR_YEAR,AP101)&gt;0,1,0)</f>
        <v/>
      </c>
      <c r="BM101" s="3">
        <f>IF(COUNTIFS(FR_FUEL,K101,FR_YEAR,AP101-1)&gt;0,1,0)</f>
        <v/>
      </c>
      <c r="BN101" s="4">
        <f>IF(N(AQ101)&gt;0,AP101*100+AQ101,IF(AND(BL101=1,BM101=1),(AP101-1)*100+1,AP101*100+1))</f>
        <v/>
      </c>
      <c r="BO101" s="3">
        <f>IF(OR(K101="hibrido",K101="glp",K101="gnc",K101="phev"),"ECO",IF(K101="electrico","CERO",IF(K101="gasolina",IF(BN101&gt;=GAS_C_YM,"C",IF(BN101&gt;=GAS_B_YM,"B","A")),IF(K101="diesel",IF(BN101&gt;=DIE_C_YM,"C",IF(BN101&gt;=DIE_B_YM,"B","A")),""))))</f>
        <v/>
      </c>
      <c r="BP101" s="2" t="inlineStr">
        <is>
          <t>B</t>
        </is>
      </c>
      <c r="BQ101" s="4">
        <f>IF(AS101="regla",IF(AND(N(AQ101)=0,BL101=1),"sí","no"),"no")</f>
        <v/>
      </c>
      <c r="BR101" s="3">
        <f>IFERROR(VLOOKUP(F101,MOD_TBL,11,0),IFERROR(VLOOKUP(E101,OCU_TBL,2,0),NEUTRO))</f>
        <v/>
      </c>
      <c r="BS101" s="3">
        <f>SUMIFS(MOT_AJUSTE,MOT_MOTOR,G101,MOT_MARCA,E101,MOT_DESDE,"&lt;="&amp;M101,MOT_HASTA,"&gt;="&amp;M101)+SUMIFS(MOT_AJUSTE,MOT_MOTOR,G101,MOT_MARCA,"(todas)",MOT_DESDE,"&lt;="&amp;M101,MOT_HASTA,"&gt;="&amp;M101)</f>
        <v/>
      </c>
      <c r="BT101" s="3">
        <f>SUMIFS(COMB_AJUSTE,COMB_COMB,K101)</f>
        <v/>
      </c>
      <c r="BU101" s="3">
        <f>COUNTIFS(MOT_MOTOR,G101,MOT_MARCA,E101,MOT_DESDE,"&lt;="&amp;M101,MOT_HASTA,"&gt;="&amp;M101)+COUNTIFS(MOT_MOTOR,G101,MOT_MARCA,"(todas)",MOT_DESDE,"&lt;="&amp;M101,MOT_HASTA,"&gt;="&amp;M101)</f>
        <v/>
      </c>
      <c r="BV101" s="3">
        <f>IF(AND(K101="diesel",BU101=0),MIN(BR101,NEUTRO),BR101)</f>
        <v/>
      </c>
      <c r="BW101" s="4">
        <f>MAX(0,MIN(100,BV101+BS101+BT101))</f>
        <v/>
      </c>
      <c r="BX101" s="3">
        <f>MAX(0,MIN(100,50+BK101*PRECIO_PEND))</f>
        <v/>
      </c>
      <c r="BY101" s="3">
        <f>MAX(0,100*(1-N101/KM_MAX))</f>
        <v/>
      </c>
      <c r="BZ101" s="3">
        <f>IF(BB101&lt;KMA_SOSP,IF(AA101="sí",100,KMA_PEN),IF(BB101&lt;=KMA_IDEAL_MAX,100,MAX(0,100*(KMA_CERO-BB101)/(KMA_CERO-KMA_IDEAL_MAX))))</f>
        <v/>
      </c>
      <c r="CA101" s="3">
        <f>MAX(0,MIN(100,100*(M101-ANIO_MIN)/(ANIO_ACTUAL-ANIO_MIN)))</f>
        <v/>
      </c>
      <c r="CB101" s="3">
        <f>W_KMT*BY101+W_KMA*BZ101+W_EDAD*CA101</f>
        <v/>
      </c>
      <c r="CC101" s="3">
        <f>P_ITV*(V101="sí")+P_LIBRO*(W101="sí")+P_CORREA*(X101="sí")+P_PROP*(Y101=1)+P_GAR*(Z101="sí")+P_FOTOS*MIN(1,N(U101)/FOTOS_OBJ)</f>
        <v/>
      </c>
      <c r="CD101" s="3">
        <f>MAX(0,MIN(100,IFERROR(VLOOKUP(BP101,ETQ_TBL,2,0),0)-IF(BQ101="sí",ETQ_PEN_DUD,IF(AS101="regla",ETQ_PEN_REGLA,0))))</f>
        <v/>
      </c>
      <c r="CE101" s="3">
        <f>NEUTRO</f>
        <v/>
      </c>
      <c r="CF101" s="3">
        <f>IFERROR(VLOOKUP(L101,SEGURO_TBL,3,0),"")</f>
        <v/>
      </c>
      <c r="CG101" s="3">
        <f>IF(CF101="",NEUTRO,MAX(0,MIN(100,100*(SEG_REF_MAX-CF101)/(SEG_REF_MAX-SEG_REF_MIN))))</f>
        <v/>
      </c>
      <c r="CH101" s="3">
        <f>W_CONS*CE101+W_SEG*CG101</f>
        <v/>
      </c>
      <c r="CI101" s="3">
        <f>IF(N(AB101)&gt;0,AB101,IF(AND(R101="profesional",SG_LEGAL_ON=1),GAR_LEGAL,0))</f>
        <v/>
      </c>
      <c r="CJ101" s="3">
        <f>SG_GAR*MIN(1,CI101/SG_GAR_FULL)+SG_AMPL*(AC101="sí")+SG_KMC*(AF101="sí")+SG_REV*(N(AE101)&gt;0)+SG_DEV*MIN(1,N(AG101)/SG_DEV_FULL)+SG_HIST*(W101="sí")</f>
        <v/>
      </c>
      <c r="CK101" s="3">
        <f>IFERROR(VLOOKUP(L101,CARR_PEN_TBL,2,0),0)</f>
        <v/>
      </c>
      <c r="CL101" s="3">
        <f>W_FIAB*BW101+W_PRECIO*BX101+W_KMEDAD*CB101+W_ANUNCIO*CC101+W_USO*CH101+W_SEGURIDAD*CJ101+W_ETIQUETA*CD101-CK101</f>
        <v/>
      </c>
      <c r="CM101" s="4">
        <f>IF(N(I101)&gt;0,I101,IFERROR(ROUND(_xlfn.NUMBERVALUE(LEFT(G101,FIND(" ",G101&amp;" ")-1),".")*1000,0),99999))</f>
        <v/>
      </c>
      <c r="CN101" s="3">
        <f>IF(R101="profesional",0,IF(O101&lt;CUOTA_VALOR_MAX,IF(BA101&gt;ITP_TRAMO_ALTO,SUMIFS(CF_CUOTA,CF_MAS,ITP_TRAMO_ALTO,CF_CCMIN,"&lt;="&amp;CM101,CF_CCMAX,"&gt;="&amp;CM101),IF(BA101&gt;ITP_TRAMO_BAJO,SUMIFS(CF_CUOTA,CF_MAS,ITP_TRAMO_BAJO,CF_CCMIN,"&lt;="&amp;CM101,CF_CCMAX,"&gt;="&amp;CM101),O101*ITP_TIPO)),O101*ITP_TIPO))</f>
        <v/>
      </c>
      <c r="CO101" s="4">
        <f>IF(R101="profesional",N(AK101),0)</f>
        <v/>
      </c>
      <c r="CP101" s="3">
        <f>IF(AND(R101="profesional",ISNUMBER(AK101),AL101="sí"),0,TASA_DGT)</f>
        <v/>
      </c>
      <c r="CQ101" s="3">
        <f>INFORME_DGT</f>
        <v/>
      </c>
      <c r="CR101" s="4">
        <f>O101+CO101+CN101+CP101+CQ101</f>
        <v/>
      </c>
      <c r="CS101" s="4">
        <f>CR101+N(CF101)</f>
        <v/>
      </c>
      <c r="CT101" s="3">
        <f>IF(CR101&lt;=TOTAL_MAX,"sí",IF(CR101&lt;=TOTAL_MAX+MARGEN_NEG,"negociar","no"))</f>
        <v/>
      </c>
      <c r="CU101" s="4">
        <f>IF(CT101&lt;&gt;"no",COUNTIFS($CT$2:$CT$545,"&lt;&gt;no",$CL$2:$CL$545,"&gt;"&amp;CL101)+COUNTIFS($CT$2:CT101,"&lt;&gt;no",$CL$2:CL101,CL101),"")</f>
        <v/>
      </c>
    </row>
    <row r="102">
      <c r="A102" s="2" t="inlineStr">
        <is>
          <t>cochesnet:71399209</t>
        </is>
      </c>
      <c r="B102" s="2" t="inlineStr">
        <is>
          <t>cochesnet</t>
        </is>
      </c>
      <c r="C102" s="2" t="inlineStr">
        <is>
          <t>https://www.coches.net/renault-megane-emotion-2008-14-16v-5p-gasolina-2008-en-valencia-71399209-covo.aspx</t>
        </is>
      </c>
      <c r="D102" s="2" t="inlineStr">
        <is>
          <t>RENAULT Mégane Emotion 2008 1.4 16V</t>
        </is>
      </c>
      <c r="E102" s="2" t="inlineStr">
        <is>
          <t>Renault</t>
        </is>
      </c>
      <c r="F102" s="2" t="inlineStr">
        <is>
          <t>Renault Mégane</t>
        </is>
      </c>
      <c r="G102" s="2" t="inlineStr">
        <is>
          <t>1.4</t>
        </is>
      </c>
      <c r="H102" s="2" t="inlineStr">
        <is>
          <t>Emotion 2008 1.4 16V</t>
        </is>
      </c>
      <c r="I102" s="2" t="n"/>
      <c r="J102" s="2" t="n"/>
      <c r="K102" s="2" t="inlineStr">
        <is>
          <t>gasolina</t>
        </is>
      </c>
      <c r="L102" s="2" t="inlineStr">
        <is>
          <t>compacto</t>
        </is>
      </c>
      <c r="M102" s="2" t="n">
        <v>2008</v>
      </c>
      <c r="N102" s="2" t="n">
        <v>134000</v>
      </c>
      <c r="O102" s="2" t="n">
        <v>4590</v>
      </c>
      <c r="P102" s="2" t="inlineStr">
        <is>
          <t>manual</t>
        </is>
      </c>
      <c r="Q102" s="2" t="inlineStr">
        <is>
          <t>no</t>
        </is>
      </c>
      <c r="R102" s="2" t="inlineStr">
        <is>
          <t>profesional</t>
        </is>
      </c>
      <c r="S102" s="2" t="inlineStr">
        <is>
          <t>Only Cars Valencia Aldaia</t>
        </is>
      </c>
      <c r="T102" s="2" t="inlineStr">
        <is>
          <t>2026-08-31T12:15:05Z</t>
        </is>
      </c>
      <c r="U102" s="2" t="n">
        <v>11</v>
      </c>
      <c r="V102" s="2" t="n"/>
      <c r="W102" s="2" t="n"/>
      <c r="X102" s="2" t="n"/>
      <c r="Y102" s="2" t="n">
        <v>1</v>
      </c>
      <c r="Z102" s="2" t="inlineStr">
        <is>
          <t>sí</t>
        </is>
      </c>
      <c r="AA102" s="2" t="n"/>
      <c r="AB102" s="2" t="n">
        <v>12</v>
      </c>
      <c r="AC102" s="2" t="n"/>
      <c r="AD102" s="2" t="n"/>
      <c r="AE102" s="2" t="n"/>
      <c r="AF102" s="2" t="n"/>
      <c r="AG102" s="2" t="n"/>
      <c r="AH102" s="2" t="n">
        <v>4590</v>
      </c>
      <c r="AI102" s="2" t="n"/>
      <c r="AJ102" s="2" t="n"/>
      <c r="AK102" s="2" t="n"/>
      <c r="AL102" s="2" t="n"/>
      <c r="AM102" s="2" t="n">
        <v>7.5</v>
      </c>
      <c r="AN102" s="2" t="n"/>
      <c r="AO102" s="2" t="inlineStr">
        <is>
          <t>2008</t>
        </is>
      </c>
      <c r="AP102" s="2" t="n">
        <v>2008</v>
      </c>
      <c r="AQ102" s="2" t="n"/>
      <c r="AR102" s="2" t="inlineStr">
        <is>
          <t>C</t>
        </is>
      </c>
      <c r="AS102" s="2" t="inlineStr">
        <is>
          <t>anuncio</t>
        </is>
      </c>
      <c r="AT102" s="2" t="n">
        <v>4500</v>
      </c>
      <c r="AU102" s="2" t="n">
        <v>5</v>
      </c>
      <c r="AV102" s="2" t="inlineStr">
        <is>
          <t>modelo+año+km</t>
        </is>
      </c>
      <c r="AW102" s="2" t="n"/>
      <c r="AX102" s="2" t="inlineStr">
        <is>
          <t>vendedor profesional: sin ITP (operación con IVA/REBU, confirmar en factura); gastos de gestión del vendedor no indicados: se suma la tasa DGT; preguntar el precio final</t>
        </is>
      </c>
      <c r="AY102"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102" s="2" t="inlineStr">
        <is>
          <t>https://www.coches.net/renault-megane-emotion-2008-14-16v-5p-gasolina-2008-en-valencia-71399209-covo.aspx (window.__INITIAL_PROPS__.ad) /home/user/Alopecia/buscador-coches/raw/cochesnet/893afa53c262edfe.json</t>
        </is>
      </c>
      <c r="BA102" s="3">
        <f>MAX(ANIO_ACTUAL-M102,0)</f>
        <v/>
      </c>
      <c r="BB102" s="4">
        <f>N102/MAX(BA102,0.5)</f>
        <v/>
      </c>
      <c r="BC102" s="4">
        <f>F102</f>
        <v/>
      </c>
      <c r="BD102" s="3">
        <f>BC102&amp;"|"&amp;INT(M102/SEG_ANIO)*SEG_ANIO</f>
        <v/>
      </c>
      <c r="BE102" s="3">
        <f>BD102&amp;"|"&amp;INT(N102/SEG_KM)*SEG_KM</f>
        <v/>
      </c>
      <c r="BF102" s="4">
        <f>COUNTIF($BC$2:$BC$545,BC102)</f>
        <v/>
      </c>
      <c r="BG102" s="4">
        <f>COUNTIF($BD$2:$BD$545,BD102)</f>
        <v/>
      </c>
      <c r="BH102" s="4">
        <f>COUNTIF($BE$2:$BE$545,BE102)</f>
        <v/>
      </c>
      <c r="BI102" s="3">
        <f t="array" ref="BI102">IF(N(AU102)&gt;=MIN_N,AT102,IF(BH102&gt;=MIN_N,MEDIAN(IF($BE$2:$BE$545=BE102,$O$2:$O$545)),IF(BG102&gt;=MIN_N,MEDIAN(IF($BD$2:$BD$545=BD102,$O$2:$O$545)),MEDIAN(IF($BC$2:$BC$545=BC102,$O$2:$O$545)))))</f>
        <v/>
      </c>
      <c r="BJ102" s="3">
        <f>IF(N(AU102)&gt;=MIN_N,"mercado "&amp;AV102,IF(BH102&gt;=MIN_N,"modelo+año+km",IF(BG102&gt;=MIN_N,"modelo+año","modelo")))</f>
        <v/>
      </c>
      <c r="BK102" s="4">
        <f>(BI102-O102)/BI102</f>
        <v/>
      </c>
      <c r="BL102" s="3">
        <f>IF(COUNTIFS(FR_FUEL,K102,FR_YEAR,AP102)&gt;0,1,0)</f>
        <v/>
      </c>
      <c r="BM102" s="3">
        <f>IF(COUNTIFS(FR_FUEL,K102,FR_YEAR,AP102-1)&gt;0,1,0)</f>
        <v/>
      </c>
      <c r="BN102" s="4">
        <f>IF(N(AQ102)&gt;0,AP102*100+AQ102,IF(AND(BL102=1,BM102=1),(AP102-1)*100+1,AP102*100+1))</f>
        <v/>
      </c>
      <c r="BO102" s="3">
        <f>IF(OR(K102="hibrido",K102="glp",K102="gnc",K102="phev"),"ECO",IF(K102="electrico","CERO",IF(K102="gasolina",IF(BN102&gt;=GAS_C_YM,"C",IF(BN102&gt;=GAS_B_YM,"B","A")),IF(K102="diesel",IF(BN102&gt;=DIE_C_YM,"C",IF(BN102&gt;=DIE_B_YM,"B","A")),""))))</f>
        <v/>
      </c>
      <c r="BP102" s="2" t="inlineStr">
        <is>
          <t>C</t>
        </is>
      </c>
      <c r="BQ102" s="4">
        <f>IF(AS102="regla",IF(AND(N(AQ102)=0,BL102=1),"sí","no"),"no")</f>
        <v/>
      </c>
      <c r="BR102" s="3">
        <f>IFERROR(VLOOKUP(F102,MOD_TBL,11,0),IFERROR(VLOOKUP(E102,OCU_TBL,2,0),NEUTRO))</f>
        <v/>
      </c>
      <c r="BS102" s="3">
        <f>SUMIFS(MOT_AJUSTE,MOT_MOTOR,G102,MOT_MARCA,E102,MOT_DESDE,"&lt;="&amp;M102,MOT_HASTA,"&gt;="&amp;M102)+SUMIFS(MOT_AJUSTE,MOT_MOTOR,G102,MOT_MARCA,"(todas)",MOT_DESDE,"&lt;="&amp;M102,MOT_HASTA,"&gt;="&amp;M102)</f>
        <v/>
      </c>
      <c r="BT102" s="3">
        <f>SUMIFS(COMB_AJUSTE,COMB_COMB,K102)</f>
        <v/>
      </c>
      <c r="BU102" s="3">
        <f>COUNTIFS(MOT_MOTOR,G102,MOT_MARCA,E102,MOT_DESDE,"&lt;="&amp;M102,MOT_HASTA,"&gt;="&amp;M102)+COUNTIFS(MOT_MOTOR,G102,MOT_MARCA,"(todas)",MOT_DESDE,"&lt;="&amp;M102,MOT_HASTA,"&gt;="&amp;M102)</f>
        <v/>
      </c>
      <c r="BV102" s="3">
        <f>IF(AND(K102="diesel",BU102=0),MIN(BR102,NEUTRO),BR102)</f>
        <v/>
      </c>
      <c r="BW102" s="4">
        <f>MAX(0,MIN(100,BV102+BS102+BT102))</f>
        <v/>
      </c>
      <c r="BX102" s="3">
        <f>MAX(0,MIN(100,50+BK102*PRECIO_PEND))</f>
        <v/>
      </c>
      <c r="BY102" s="3">
        <f>MAX(0,100*(1-N102/KM_MAX))</f>
        <v/>
      </c>
      <c r="BZ102" s="3">
        <f>IF(BB102&lt;KMA_SOSP,IF(AA102="sí",100,KMA_PEN),IF(BB102&lt;=KMA_IDEAL_MAX,100,MAX(0,100*(KMA_CERO-BB102)/(KMA_CERO-KMA_IDEAL_MAX))))</f>
        <v/>
      </c>
      <c r="CA102" s="3">
        <f>MAX(0,MIN(100,100*(M102-ANIO_MIN)/(ANIO_ACTUAL-ANIO_MIN)))</f>
        <v/>
      </c>
      <c r="CB102" s="3">
        <f>W_KMT*BY102+W_KMA*BZ102+W_EDAD*CA102</f>
        <v/>
      </c>
      <c r="CC102" s="3">
        <f>P_ITV*(V102="sí")+P_LIBRO*(W102="sí")+P_CORREA*(X102="sí")+P_PROP*(Y102=1)+P_GAR*(Z102="sí")+P_FOTOS*MIN(1,N(U102)/FOTOS_OBJ)</f>
        <v/>
      </c>
      <c r="CD102" s="3">
        <f>MAX(0,MIN(100,IFERROR(VLOOKUP(BP102,ETQ_TBL,2,0),0)-IF(BQ102="sí",ETQ_PEN_DUD,IF(AS102="regla",ETQ_PEN_REGLA,0))))</f>
        <v/>
      </c>
      <c r="CE102" s="3">
        <f>NEUTRO</f>
        <v/>
      </c>
      <c r="CF102" s="3">
        <f>IFERROR(VLOOKUP(L102,SEGURO_TBL,3,0),"")</f>
        <v/>
      </c>
      <c r="CG102" s="3">
        <f>IF(CF102="",NEUTRO,MAX(0,MIN(100,100*(SEG_REF_MAX-CF102)/(SEG_REF_MAX-SEG_REF_MIN))))</f>
        <v/>
      </c>
      <c r="CH102" s="3">
        <f>W_CONS*CE102+W_SEG*CG102</f>
        <v/>
      </c>
      <c r="CI102" s="3">
        <f>IF(N(AB102)&gt;0,AB102,IF(AND(R102="profesional",SG_LEGAL_ON=1),GAR_LEGAL,0))</f>
        <v/>
      </c>
      <c r="CJ102" s="3">
        <f>SG_GAR*MIN(1,CI102/SG_GAR_FULL)+SG_AMPL*(AC102="sí")+SG_KMC*(AF102="sí")+SG_REV*(N(AE102)&gt;0)+SG_DEV*MIN(1,N(AG102)/SG_DEV_FULL)+SG_HIST*(W102="sí")</f>
        <v/>
      </c>
      <c r="CK102" s="3">
        <f>IFERROR(VLOOKUP(L102,CARR_PEN_TBL,2,0),0)</f>
        <v/>
      </c>
      <c r="CL102" s="3">
        <f>W_FIAB*BW102+W_PRECIO*BX102+W_KMEDAD*CB102+W_ANUNCIO*CC102+W_USO*CH102+W_SEGURIDAD*CJ102+W_ETIQUETA*CD102-CK102</f>
        <v/>
      </c>
      <c r="CM102" s="4">
        <f>IF(N(I102)&gt;0,I102,IFERROR(ROUND(_xlfn.NUMBERVALUE(LEFT(G102,FIND(" ",G102&amp;" ")-1),".")*1000,0),99999))</f>
        <v/>
      </c>
      <c r="CN102" s="3">
        <f>IF(R102="profesional",0,IF(O102&lt;CUOTA_VALOR_MAX,IF(BA102&gt;ITP_TRAMO_ALTO,SUMIFS(CF_CUOTA,CF_MAS,ITP_TRAMO_ALTO,CF_CCMIN,"&lt;="&amp;CM102,CF_CCMAX,"&gt;="&amp;CM102),IF(BA102&gt;ITP_TRAMO_BAJO,SUMIFS(CF_CUOTA,CF_MAS,ITP_TRAMO_BAJO,CF_CCMIN,"&lt;="&amp;CM102,CF_CCMAX,"&gt;="&amp;CM102),O102*ITP_TIPO)),O102*ITP_TIPO))</f>
        <v/>
      </c>
      <c r="CO102" s="4">
        <f>IF(R102="profesional",N(AK102),0)</f>
        <v/>
      </c>
      <c r="CP102" s="3">
        <f>IF(AND(R102="profesional",ISNUMBER(AK102),AL102="sí"),0,TASA_DGT)</f>
        <v/>
      </c>
      <c r="CQ102" s="3">
        <f>INFORME_DGT</f>
        <v/>
      </c>
      <c r="CR102" s="4">
        <f>O102+CO102+CN102+CP102+CQ102</f>
        <v/>
      </c>
      <c r="CS102" s="4">
        <f>CR102+N(CF102)</f>
        <v/>
      </c>
      <c r="CT102" s="3">
        <f>IF(CR102&lt;=TOTAL_MAX,"sí",IF(CR102&lt;=TOTAL_MAX+MARGEN_NEG,"negociar","no"))</f>
        <v/>
      </c>
      <c r="CU102" s="4">
        <f>IF(CT102&lt;&gt;"no",COUNTIFS($CT$2:$CT$545,"&lt;&gt;no",$CL$2:$CL$545,"&gt;"&amp;CL102)+COUNTIFS($CT$2:CT102,"&lt;&gt;no",$CL$2:CL102,CL102),"")</f>
        <v/>
      </c>
    </row>
    <row r="103">
      <c r="A103" s="2" t="inlineStr">
        <is>
          <t>cochesnet:71622320</t>
        </is>
      </c>
      <c r="B103" s="2" t="inlineStr">
        <is>
          <t>cochesnet</t>
        </is>
      </c>
      <c r="C103" s="2" t="inlineStr">
        <is>
          <t>https://www.coches.net/renault-megane-dynamique-15dci85-eco2-5p-diesel-2008-en-valencia-71622320-covo.aspx</t>
        </is>
      </c>
      <c r="D103" s="2" t="inlineStr">
        <is>
          <t>RENAULT Mégane Dynamique 1.5dCi85 eco2</t>
        </is>
      </c>
      <c r="E103" s="2" t="inlineStr">
        <is>
          <t>Renault</t>
        </is>
      </c>
      <c r="F103" s="2" t="inlineStr">
        <is>
          <t>Renault Mégane</t>
        </is>
      </c>
      <c r="G103" s="2" t="inlineStr">
        <is>
          <t>1.5</t>
        </is>
      </c>
      <c r="H103" s="2" t="inlineStr">
        <is>
          <t>Dynamique 1.5dCi85 eco2</t>
        </is>
      </c>
      <c r="I103" s="2" t="n"/>
      <c r="J103" s="2" t="n"/>
      <c r="K103" s="2" t="inlineStr">
        <is>
          <t>diesel</t>
        </is>
      </c>
      <c r="L103" s="2" t="inlineStr">
        <is>
          <t>compacto</t>
        </is>
      </c>
      <c r="M103" s="2" t="n">
        <v>2008</v>
      </c>
      <c r="N103" s="2" t="n">
        <v>145000</v>
      </c>
      <c r="O103" s="2" t="n">
        <v>3990</v>
      </c>
      <c r="P103" s="2" t="inlineStr">
        <is>
          <t>manual</t>
        </is>
      </c>
      <c r="Q103" s="2" t="inlineStr">
        <is>
          <t>no</t>
        </is>
      </c>
      <c r="R103" s="2" t="inlineStr">
        <is>
          <t>profesional</t>
        </is>
      </c>
      <c r="S103" s="2" t="inlineStr">
        <is>
          <t>Only Cars Valencia Aldaia</t>
        </is>
      </c>
      <c r="T103" s="2" t="inlineStr">
        <is>
          <t>2026-09-29T10:48:11Z</t>
        </is>
      </c>
      <c r="U103" s="2" t="n">
        <v>11</v>
      </c>
      <c r="V103" s="2" t="n"/>
      <c r="W103" s="2" t="n"/>
      <c r="X103" s="2" t="n"/>
      <c r="Y103" s="2" t="n">
        <v>1</v>
      </c>
      <c r="Z103" s="2" t="inlineStr">
        <is>
          <t>sí</t>
        </is>
      </c>
      <c r="AA103" s="2" t="n"/>
      <c r="AB103" s="2" t="n">
        <v>12</v>
      </c>
      <c r="AC103" s="2" t="n"/>
      <c r="AD103" s="2" t="n"/>
      <c r="AE103" s="2" t="n"/>
      <c r="AF103" s="2" t="n"/>
      <c r="AG103" s="2" t="n"/>
      <c r="AH103" s="2" t="n">
        <v>3990</v>
      </c>
      <c r="AI103" s="2" t="n"/>
      <c r="AJ103" s="2" t="n"/>
      <c r="AK103" s="2" t="n"/>
      <c r="AL103" s="2" t="n"/>
      <c r="AM103" s="2" t="n">
        <v>7.5</v>
      </c>
      <c r="AN103" s="2" t="n"/>
      <c r="AO103" s="2" t="inlineStr">
        <is>
          <t>2008</t>
        </is>
      </c>
      <c r="AP103" s="2" t="n">
        <v>2008</v>
      </c>
      <c r="AQ103" s="2" t="n"/>
      <c r="AR103" s="2" t="inlineStr">
        <is>
          <t>B</t>
        </is>
      </c>
      <c r="AS103" s="2" t="inlineStr">
        <is>
          <t>anuncio</t>
        </is>
      </c>
      <c r="AT103" s="2" t="n">
        <v>4500</v>
      </c>
      <c r="AU103" s="2" t="n">
        <v>5</v>
      </c>
      <c r="AV103" s="2" t="inlineStr">
        <is>
          <t>modelo+año+km</t>
        </is>
      </c>
      <c r="AW103" s="2" t="n"/>
      <c r="AX103" s="2" t="inlineStr">
        <is>
          <t>vendedor profesional: sin ITP (operación con IVA/REBU, confirmar en factura); gastos de gestión del vendedor no indicados: se suma la tasa DGT; preguntar el precio final; diésel: motor sin fuente de fiabilidad (fiabilidad limitada a neutra)</t>
        </is>
      </c>
      <c r="AY103" s="2" t="inlineStr">
        <is>
          <t>Renault Megane 1.5 dCi Dynamique año 2008 con 145.000Kms 85CV.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103" s="2" t="inlineStr">
        <is>
          <t>https://www.coches.net/renault-megane-dynamique-15dci85-eco2-5p-diesel-2008-en-valencia-71622320-covo.aspx (window.__INITIAL_PROPS__.ad) /home/user/Alopecia/buscador-coches/raw/cochesnet/b27e6845a5e23e51.json</t>
        </is>
      </c>
      <c r="BA103" s="3">
        <f>MAX(ANIO_ACTUAL-M103,0)</f>
        <v/>
      </c>
      <c r="BB103" s="4">
        <f>N103/MAX(BA103,0.5)</f>
        <v/>
      </c>
      <c r="BC103" s="4">
        <f>F103</f>
        <v/>
      </c>
      <c r="BD103" s="3">
        <f>BC103&amp;"|"&amp;INT(M103/SEG_ANIO)*SEG_ANIO</f>
        <v/>
      </c>
      <c r="BE103" s="3">
        <f>BD103&amp;"|"&amp;INT(N103/SEG_KM)*SEG_KM</f>
        <v/>
      </c>
      <c r="BF103" s="4">
        <f>COUNTIF($BC$2:$BC$545,BC103)</f>
        <v/>
      </c>
      <c r="BG103" s="4">
        <f>COUNTIF($BD$2:$BD$545,BD103)</f>
        <v/>
      </c>
      <c r="BH103" s="4">
        <f>COUNTIF($BE$2:$BE$545,BE103)</f>
        <v/>
      </c>
      <c r="BI103" s="3">
        <f t="array" ref="BI103">IF(N(AU103)&gt;=MIN_N,AT103,IF(BH103&gt;=MIN_N,MEDIAN(IF($BE$2:$BE$545=BE103,$O$2:$O$545)),IF(BG103&gt;=MIN_N,MEDIAN(IF($BD$2:$BD$545=BD103,$O$2:$O$545)),MEDIAN(IF($BC$2:$BC$545=BC103,$O$2:$O$545)))))</f>
        <v/>
      </c>
      <c r="BJ103" s="3">
        <f>IF(N(AU103)&gt;=MIN_N,"mercado "&amp;AV103,IF(BH103&gt;=MIN_N,"modelo+año+km",IF(BG103&gt;=MIN_N,"modelo+año","modelo")))</f>
        <v/>
      </c>
      <c r="BK103" s="4">
        <f>(BI103-O103)/BI103</f>
        <v/>
      </c>
      <c r="BL103" s="3">
        <f>IF(COUNTIFS(FR_FUEL,K103,FR_YEAR,AP103)&gt;0,1,0)</f>
        <v/>
      </c>
      <c r="BM103" s="3">
        <f>IF(COUNTIFS(FR_FUEL,K103,FR_YEAR,AP103-1)&gt;0,1,0)</f>
        <v/>
      </c>
      <c r="BN103" s="4">
        <f>IF(N(AQ103)&gt;0,AP103*100+AQ103,IF(AND(BL103=1,BM103=1),(AP103-1)*100+1,AP103*100+1))</f>
        <v/>
      </c>
      <c r="BO103" s="3">
        <f>IF(OR(K103="hibrido",K103="glp",K103="gnc",K103="phev"),"ECO",IF(K103="electrico","CERO",IF(K103="gasolina",IF(BN103&gt;=GAS_C_YM,"C",IF(BN103&gt;=GAS_B_YM,"B","A")),IF(K103="diesel",IF(BN103&gt;=DIE_C_YM,"C",IF(BN103&gt;=DIE_B_YM,"B","A")),""))))</f>
        <v/>
      </c>
      <c r="BP103" s="2" t="inlineStr">
        <is>
          <t>B</t>
        </is>
      </c>
      <c r="BQ103" s="4">
        <f>IF(AS103="regla",IF(AND(N(AQ103)=0,BL103=1),"sí","no"),"no")</f>
        <v/>
      </c>
      <c r="BR103" s="3">
        <f>IFERROR(VLOOKUP(F103,MOD_TBL,11,0),IFERROR(VLOOKUP(E103,OCU_TBL,2,0),NEUTRO))</f>
        <v/>
      </c>
      <c r="BS103" s="3">
        <f>SUMIFS(MOT_AJUSTE,MOT_MOTOR,G103,MOT_MARCA,E103,MOT_DESDE,"&lt;="&amp;M103,MOT_HASTA,"&gt;="&amp;M103)+SUMIFS(MOT_AJUSTE,MOT_MOTOR,G103,MOT_MARCA,"(todas)",MOT_DESDE,"&lt;="&amp;M103,MOT_HASTA,"&gt;="&amp;M103)</f>
        <v/>
      </c>
      <c r="BT103" s="3">
        <f>SUMIFS(COMB_AJUSTE,COMB_COMB,K103)</f>
        <v/>
      </c>
      <c r="BU103" s="3">
        <f>COUNTIFS(MOT_MOTOR,G103,MOT_MARCA,E103,MOT_DESDE,"&lt;="&amp;M103,MOT_HASTA,"&gt;="&amp;M103)+COUNTIFS(MOT_MOTOR,G103,MOT_MARCA,"(todas)",MOT_DESDE,"&lt;="&amp;M103,MOT_HASTA,"&gt;="&amp;M103)</f>
        <v/>
      </c>
      <c r="BV103" s="3">
        <f>IF(AND(K103="diesel",BU103=0),MIN(BR103,NEUTRO),BR103)</f>
        <v/>
      </c>
      <c r="BW103" s="4">
        <f>MAX(0,MIN(100,BV103+BS103+BT103))</f>
        <v/>
      </c>
      <c r="BX103" s="3">
        <f>MAX(0,MIN(100,50+BK103*PRECIO_PEND))</f>
        <v/>
      </c>
      <c r="BY103" s="3">
        <f>MAX(0,100*(1-N103/KM_MAX))</f>
        <v/>
      </c>
      <c r="BZ103" s="3">
        <f>IF(BB103&lt;KMA_SOSP,IF(AA103="sí",100,KMA_PEN),IF(BB103&lt;=KMA_IDEAL_MAX,100,MAX(0,100*(KMA_CERO-BB103)/(KMA_CERO-KMA_IDEAL_MAX))))</f>
        <v/>
      </c>
      <c r="CA103" s="3">
        <f>MAX(0,MIN(100,100*(M103-ANIO_MIN)/(ANIO_ACTUAL-ANIO_MIN)))</f>
        <v/>
      </c>
      <c r="CB103" s="3">
        <f>W_KMT*BY103+W_KMA*BZ103+W_EDAD*CA103</f>
        <v/>
      </c>
      <c r="CC103" s="3">
        <f>P_ITV*(V103="sí")+P_LIBRO*(W103="sí")+P_CORREA*(X103="sí")+P_PROP*(Y103=1)+P_GAR*(Z103="sí")+P_FOTOS*MIN(1,N(U103)/FOTOS_OBJ)</f>
        <v/>
      </c>
      <c r="CD103" s="3">
        <f>MAX(0,MIN(100,IFERROR(VLOOKUP(BP103,ETQ_TBL,2,0),0)-IF(BQ103="sí",ETQ_PEN_DUD,IF(AS103="regla",ETQ_PEN_REGLA,0))))</f>
        <v/>
      </c>
      <c r="CE103" s="3">
        <f>NEUTRO</f>
        <v/>
      </c>
      <c r="CF103" s="3">
        <f>IFERROR(VLOOKUP(L103,SEGURO_TBL,3,0),"")</f>
        <v/>
      </c>
      <c r="CG103" s="3">
        <f>IF(CF103="",NEUTRO,MAX(0,MIN(100,100*(SEG_REF_MAX-CF103)/(SEG_REF_MAX-SEG_REF_MIN))))</f>
        <v/>
      </c>
      <c r="CH103" s="3">
        <f>W_CONS*CE103+W_SEG*CG103</f>
        <v/>
      </c>
      <c r="CI103" s="3">
        <f>IF(N(AB103)&gt;0,AB103,IF(AND(R103="profesional",SG_LEGAL_ON=1),GAR_LEGAL,0))</f>
        <v/>
      </c>
      <c r="CJ103" s="3">
        <f>SG_GAR*MIN(1,CI103/SG_GAR_FULL)+SG_AMPL*(AC103="sí")+SG_KMC*(AF103="sí")+SG_REV*(N(AE103)&gt;0)+SG_DEV*MIN(1,N(AG103)/SG_DEV_FULL)+SG_HIST*(W103="sí")</f>
        <v/>
      </c>
      <c r="CK103" s="3">
        <f>IFERROR(VLOOKUP(L103,CARR_PEN_TBL,2,0),0)</f>
        <v/>
      </c>
      <c r="CL103" s="3">
        <f>W_FIAB*BW103+W_PRECIO*BX103+W_KMEDAD*CB103+W_ANUNCIO*CC103+W_USO*CH103+W_SEGURIDAD*CJ103+W_ETIQUETA*CD103-CK103</f>
        <v/>
      </c>
      <c r="CM103" s="4">
        <f>IF(N(I103)&gt;0,I103,IFERROR(ROUND(_xlfn.NUMBERVALUE(LEFT(G103,FIND(" ",G103&amp;" ")-1),".")*1000,0),99999))</f>
        <v/>
      </c>
      <c r="CN103" s="3">
        <f>IF(R103="profesional",0,IF(O103&lt;CUOTA_VALOR_MAX,IF(BA103&gt;ITP_TRAMO_ALTO,SUMIFS(CF_CUOTA,CF_MAS,ITP_TRAMO_ALTO,CF_CCMIN,"&lt;="&amp;CM103,CF_CCMAX,"&gt;="&amp;CM103),IF(BA103&gt;ITP_TRAMO_BAJO,SUMIFS(CF_CUOTA,CF_MAS,ITP_TRAMO_BAJO,CF_CCMIN,"&lt;="&amp;CM103,CF_CCMAX,"&gt;="&amp;CM103),O103*ITP_TIPO)),O103*ITP_TIPO))</f>
        <v/>
      </c>
      <c r="CO103" s="4">
        <f>IF(R103="profesional",N(AK103),0)</f>
        <v/>
      </c>
      <c r="CP103" s="3">
        <f>IF(AND(R103="profesional",ISNUMBER(AK103),AL103="sí"),0,TASA_DGT)</f>
        <v/>
      </c>
      <c r="CQ103" s="3">
        <f>INFORME_DGT</f>
        <v/>
      </c>
      <c r="CR103" s="4">
        <f>O103+CO103+CN103+CP103+CQ103</f>
        <v/>
      </c>
      <c r="CS103" s="4">
        <f>CR103+N(CF103)</f>
        <v/>
      </c>
      <c r="CT103" s="3">
        <f>IF(CR103&lt;=TOTAL_MAX,"sí",IF(CR103&lt;=TOTAL_MAX+MARGEN_NEG,"negociar","no"))</f>
        <v/>
      </c>
      <c r="CU103" s="4">
        <f>IF(CT103&lt;&gt;"no",COUNTIFS($CT$2:$CT$545,"&lt;&gt;no",$CL$2:$CL$545,"&gt;"&amp;CL103)+COUNTIFS($CT$2:CT103,"&lt;&gt;no",$CL$2:CL103,CL103),"")</f>
        <v/>
      </c>
    </row>
    <row r="104">
      <c r="A104" s="2" t="inlineStr">
        <is>
          <t>cochesnet:71721172</t>
        </is>
      </c>
      <c r="B104" s="2" t="inlineStr">
        <is>
          <t>cochesnet</t>
        </is>
      </c>
      <c r="C104" s="2" t="inlineStr">
        <is>
          <t>https://www.coches.net/renault-megane-diesel-2011-en-valencia-71721172-covo.aspx</t>
        </is>
      </c>
      <c r="D104" s="2" t="inlineStr">
        <is>
          <t>RENAULT Megane</t>
        </is>
      </c>
      <c r="E104" s="2" t="inlineStr">
        <is>
          <t>Renault</t>
        </is>
      </c>
      <c r="F104" s="2" t="inlineStr">
        <is>
          <t>Renault Mégane</t>
        </is>
      </c>
      <c r="G104" s="2" t="n"/>
      <c r="H104" s="2" t="n"/>
      <c r="I104" s="2" t="n"/>
      <c r="J104" s="2" t="n"/>
      <c r="K104" s="2" t="inlineStr">
        <is>
          <t>diesel</t>
        </is>
      </c>
      <c r="L104" s="2" t="inlineStr">
        <is>
          <t>compacto</t>
        </is>
      </c>
      <c r="M104" s="2" t="n">
        <v>2011</v>
      </c>
      <c r="N104" s="2" t="n">
        <v>215000</v>
      </c>
      <c r="O104" s="2" t="n">
        <v>4500</v>
      </c>
      <c r="P104" s="2" t="inlineStr">
        <is>
          <t>manual</t>
        </is>
      </c>
      <c r="Q104" s="2" t="inlineStr">
        <is>
          <t>no</t>
        </is>
      </c>
      <c r="R104" s="2" t="inlineStr">
        <is>
          <t>particular</t>
        </is>
      </c>
      <c r="S104" s="2" t="n"/>
      <c r="T104" s="2" t="inlineStr">
        <is>
          <t>2026-10-11T04:39:45Z</t>
        </is>
      </c>
      <c r="U104" s="2" t="n">
        <v>8</v>
      </c>
      <c r="V104" s="2" t="n"/>
      <c r="W104" s="2" t="n"/>
      <c r="X104" s="2" t="n"/>
      <c r="Y104" s="2" t="n"/>
      <c r="Z104" s="2" t="inlineStr">
        <is>
          <t>no</t>
        </is>
      </c>
      <c r="AA104" s="2" t="n"/>
      <c r="AB104" s="2" t="n"/>
      <c r="AC104" s="2" t="n"/>
      <c r="AD104" s="2" t="n"/>
      <c r="AE104" s="2" t="n"/>
      <c r="AF104" s="2" t="n"/>
      <c r="AG104" s="2" t="n"/>
      <c r="AH104" s="2" t="n">
        <v>4500</v>
      </c>
      <c r="AI104" s="2" t="n"/>
      <c r="AJ104" s="2" t="n"/>
      <c r="AK104" s="2" t="n"/>
      <c r="AL104" s="2" t="n"/>
      <c r="AM104" s="2" t="n"/>
      <c r="AN104" s="2" t="n"/>
      <c r="AO104" s="2" t="inlineStr">
        <is>
          <t>2011</t>
        </is>
      </c>
      <c r="AP104" s="2" t="n">
        <v>2011</v>
      </c>
      <c r="AQ104" s="2" t="n"/>
      <c r="AR104" s="2" t="n"/>
      <c r="AS104" s="2" t="inlineStr">
        <is>
          <t>regla</t>
        </is>
      </c>
      <c r="AT104" s="2" t="n">
        <v>4500</v>
      </c>
      <c r="AU104" s="2" t="n">
        <v>7</v>
      </c>
      <c r="AV104" s="2" t="inlineStr">
        <is>
          <t>modelo+año+km</t>
        </is>
      </c>
      <c r="AW104" s="2" t="n"/>
      <c r="AX10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04" s="2" t="inlineStr">
        <is>
          <t xml:space="preserve">coche nova con motour Bueno </t>
        </is>
      </c>
      <c r="AZ104" s="2" t="inlineStr">
        <is>
          <t>https://www.coches.net/renault-megane-diesel-2011-en-valencia-71721172-covo.aspx (window.__INITIAL_PROPS__.ad) /home/user/Alopecia/buscador-coches/raw/cochesnet/fa615d654d0dc531.json</t>
        </is>
      </c>
      <c r="BA104" s="3">
        <f>MAX(ANIO_ACTUAL-M104,0)</f>
        <v/>
      </c>
      <c r="BB104" s="4">
        <f>N104/MAX(BA104,0.5)</f>
        <v/>
      </c>
      <c r="BC104" s="4">
        <f>F104</f>
        <v/>
      </c>
      <c r="BD104" s="3">
        <f>BC104&amp;"|"&amp;INT(M104/SEG_ANIO)*SEG_ANIO</f>
        <v/>
      </c>
      <c r="BE104" s="3">
        <f>BD104&amp;"|"&amp;INT(N104/SEG_KM)*SEG_KM</f>
        <v/>
      </c>
      <c r="BF104" s="4">
        <f>COUNTIF($BC$2:$BC$545,BC104)</f>
        <v/>
      </c>
      <c r="BG104" s="4">
        <f>COUNTIF($BD$2:$BD$545,BD104)</f>
        <v/>
      </c>
      <c r="BH104" s="4">
        <f>COUNTIF($BE$2:$BE$545,BE104)</f>
        <v/>
      </c>
      <c r="BI104" s="3">
        <f t="array" ref="BI104">IF(N(AU104)&gt;=MIN_N,AT104,IF(BH104&gt;=MIN_N,MEDIAN(IF($BE$2:$BE$545=BE104,$O$2:$O$545)),IF(BG104&gt;=MIN_N,MEDIAN(IF($BD$2:$BD$545=BD104,$O$2:$O$545)),MEDIAN(IF($BC$2:$BC$545=BC104,$O$2:$O$545)))))</f>
        <v/>
      </c>
      <c r="BJ104" s="3">
        <f>IF(N(AU104)&gt;=MIN_N,"mercado "&amp;AV104,IF(BH104&gt;=MIN_N,"modelo+año+km",IF(BG104&gt;=MIN_N,"modelo+año","modelo")))</f>
        <v/>
      </c>
      <c r="BK104" s="4">
        <f>(BI104-O104)/BI104</f>
        <v/>
      </c>
      <c r="BL104" s="3">
        <f>IF(COUNTIFS(FR_FUEL,K104,FR_YEAR,AP104)&gt;0,1,0)</f>
        <v/>
      </c>
      <c r="BM104" s="3">
        <f>IF(COUNTIFS(FR_FUEL,K104,FR_YEAR,AP104-1)&gt;0,1,0)</f>
        <v/>
      </c>
      <c r="BN104" s="4">
        <f>IF(N(AQ104)&gt;0,AP104*100+AQ104,IF(AND(BL104=1,BM104=1),(AP104-1)*100+1,AP104*100+1))</f>
        <v/>
      </c>
      <c r="BO104" s="3">
        <f>IF(OR(K104="hibrido",K104="glp",K104="gnc",K104="phev"),"ECO",IF(K104="electrico","CERO",IF(K104="gasolina",IF(BN104&gt;=GAS_C_YM,"C",IF(BN104&gt;=GAS_B_YM,"B","A")),IF(K104="diesel",IF(BN104&gt;=DIE_C_YM,"C",IF(BN104&gt;=DIE_B_YM,"B","A")),""))))</f>
        <v/>
      </c>
      <c r="BP104" s="4">
        <f>BO104</f>
        <v/>
      </c>
      <c r="BQ104" s="4">
        <f>IF(AS104="regla",IF(AND(N(AQ104)=0,BL104=1),"sí","no"),"no")</f>
        <v/>
      </c>
      <c r="BR104" s="3">
        <f>IFERROR(VLOOKUP(F104,MOD_TBL,11,0),IFERROR(VLOOKUP(E104,OCU_TBL,2,0),NEUTRO))</f>
        <v/>
      </c>
      <c r="BS104" s="3">
        <f>SUMIFS(MOT_AJUSTE,MOT_MOTOR,G104,MOT_MARCA,E104,MOT_DESDE,"&lt;="&amp;M104,MOT_HASTA,"&gt;="&amp;M104)+SUMIFS(MOT_AJUSTE,MOT_MOTOR,G104,MOT_MARCA,"(todas)",MOT_DESDE,"&lt;="&amp;M104,MOT_HASTA,"&gt;="&amp;M104)</f>
        <v/>
      </c>
      <c r="BT104" s="3">
        <f>SUMIFS(COMB_AJUSTE,COMB_COMB,K104)</f>
        <v/>
      </c>
      <c r="BU104" s="3">
        <f>COUNTIFS(MOT_MOTOR,G104,MOT_MARCA,E104,MOT_DESDE,"&lt;="&amp;M104,MOT_HASTA,"&gt;="&amp;M104)+COUNTIFS(MOT_MOTOR,G104,MOT_MARCA,"(todas)",MOT_DESDE,"&lt;="&amp;M104,MOT_HASTA,"&gt;="&amp;M104)</f>
        <v/>
      </c>
      <c r="BV104" s="3">
        <f>IF(AND(K104="diesel",BU104=0),MIN(BR104,NEUTRO),BR104)</f>
        <v/>
      </c>
      <c r="BW104" s="4">
        <f>MAX(0,MIN(100,BV104+BS104+BT104))</f>
        <v/>
      </c>
      <c r="BX104" s="3">
        <f>MAX(0,MIN(100,50+BK104*PRECIO_PEND))</f>
        <v/>
      </c>
      <c r="BY104" s="3">
        <f>MAX(0,100*(1-N104/KM_MAX))</f>
        <v/>
      </c>
      <c r="BZ104" s="3">
        <f>IF(BB104&lt;KMA_SOSP,IF(AA104="sí",100,KMA_PEN),IF(BB104&lt;=KMA_IDEAL_MAX,100,MAX(0,100*(KMA_CERO-BB104)/(KMA_CERO-KMA_IDEAL_MAX))))</f>
        <v/>
      </c>
      <c r="CA104" s="3">
        <f>MAX(0,MIN(100,100*(M104-ANIO_MIN)/(ANIO_ACTUAL-ANIO_MIN)))</f>
        <v/>
      </c>
      <c r="CB104" s="3">
        <f>W_KMT*BY104+W_KMA*BZ104+W_EDAD*CA104</f>
        <v/>
      </c>
      <c r="CC104" s="3">
        <f>P_ITV*(V104="sí")+P_LIBRO*(W104="sí")+P_CORREA*(X104="sí")+P_PROP*(Y104=1)+P_GAR*(Z104="sí")+P_FOTOS*MIN(1,N(U104)/FOTOS_OBJ)</f>
        <v/>
      </c>
      <c r="CD104" s="3">
        <f>MAX(0,MIN(100,IFERROR(VLOOKUP(BP104,ETQ_TBL,2,0),0)-IF(BQ104="sí",ETQ_PEN_DUD,IF(AS104="regla",ETQ_PEN_REGLA,0))))</f>
        <v/>
      </c>
      <c r="CE104" s="3">
        <f>NEUTRO</f>
        <v/>
      </c>
      <c r="CF104" s="3">
        <f>IFERROR(VLOOKUP(L104,SEGURO_TBL,3,0),"")</f>
        <v/>
      </c>
      <c r="CG104" s="3">
        <f>IF(CF104="",NEUTRO,MAX(0,MIN(100,100*(SEG_REF_MAX-CF104)/(SEG_REF_MAX-SEG_REF_MIN))))</f>
        <v/>
      </c>
      <c r="CH104" s="3">
        <f>W_CONS*CE104+W_SEG*CG104</f>
        <v/>
      </c>
      <c r="CI104" s="3">
        <f>IF(N(AB104)&gt;0,AB104,IF(AND(R104="profesional",SG_LEGAL_ON=1),GAR_LEGAL,0))</f>
        <v/>
      </c>
      <c r="CJ104" s="3">
        <f>SG_GAR*MIN(1,CI104/SG_GAR_FULL)+SG_AMPL*(AC104="sí")+SG_KMC*(AF104="sí")+SG_REV*(N(AE104)&gt;0)+SG_DEV*MIN(1,N(AG104)/SG_DEV_FULL)+SG_HIST*(W104="sí")</f>
        <v/>
      </c>
      <c r="CK104" s="3">
        <f>IFERROR(VLOOKUP(L104,CARR_PEN_TBL,2,0),0)</f>
        <v/>
      </c>
      <c r="CL104" s="3">
        <f>W_FIAB*BW104+W_PRECIO*BX104+W_KMEDAD*CB104+W_ANUNCIO*CC104+W_USO*CH104+W_SEGURIDAD*CJ104+W_ETIQUETA*CD104-CK104</f>
        <v/>
      </c>
      <c r="CM104" s="4">
        <f>IF(N(I104)&gt;0,I104,IFERROR(ROUND(_xlfn.NUMBERVALUE(LEFT(G104,FIND(" ",G104&amp;" ")-1),".")*1000,0),99999))</f>
        <v/>
      </c>
      <c r="CN104" s="3">
        <f>IF(R104="profesional",0,IF(O104&lt;CUOTA_VALOR_MAX,IF(BA104&gt;ITP_TRAMO_ALTO,SUMIFS(CF_CUOTA,CF_MAS,ITP_TRAMO_ALTO,CF_CCMIN,"&lt;="&amp;CM104,CF_CCMAX,"&gt;="&amp;CM104),IF(BA104&gt;ITP_TRAMO_BAJO,SUMIFS(CF_CUOTA,CF_MAS,ITP_TRAMO_BAJO,CF_CCMIN,"&lt;="&amp;CM104,CF_CCMAX,"&gt;="&amp;CM104),O104*ITP_TIPO)),O104*ITP_TIPO))</f>
        <v/>
      </c>
      <c r="CO104" s="4">
        <f>IF(R104="profesional",N(AK104),0)</f>
        <v/>
      </c>
      <c r="CP104" s="3">
        <f>IF(AND(R104="profesional",ISNUMBER(AK104),AL104="sí"),0,TASA_DGT)</f>
        <v/>
      </c>
      <c r="CQ104" s="3">
        <f>INFORME_DGT</f>
        <v/>
      </c>
      <c r="CR104" s="4">
        <f>O104+CO104+CN104+CP104+CQ104</f>
        <v/>
      </c>
      <c r="CS104" s="4">
        <f>CR104+N(CF104)</f>
        <v/>
      </c>
      <c r="CT104" s="3">
        <f>IF(CR104&lt;=TOTAL_MAX,"sí",IF(CR104&lt;=TOTAL_MAX+MARGEN_NEG,"negociar","no"))</f>
        <v/>
      </c>
      <c r="CU104" s="4">
        <f>IF(CT104&lt;&gt;"no",COUNTIFS($CT$2:$CT$545,"&lt;&gt;no",$CL$2:$CL$545,"&gt;"&amp;CL104)+COUNTIFS($CT$2:CT104,"&lt;&gt;no",$CL$2:CL104,CL104),"")</f>
        <v/>
      </c>
    </row>
    <row r="105">
      <c r="A105" s="2" t="inlineStr">
        <is>
          <t>cochesnet:71224992</t>
        </is>
      </c>
      <c r="B105" s="2" t="inlineStr">
        <is>
          <t>cochesnet</t>
        </is>
      </c>
      <c r="C105" s="2" t="inlineStr">
        <is>
          <t>https://www.coches.net/renault-megane-dynamique-16-16v-110-e5-5p-gasolina-2010-en-valencia-71224992-covo.aspx</t>
        </is>
      </c>
      <c r="D105" s="2" t="inlineStr">
        <is>
          <t>RENAULT Mégane Dynamique 1.6 16v 110 E5</t>
        </is>
      </c>
      <c r="E105" s="2" t="inlineStr">
        <is>
          <t>Renault</t>
        </is>
      </c>
      <c r="F105" s="2" t="inlineStr">
        <is>
          <t>Renault Mégane</t>
        </is>
      </c>
      <c r="G105" s="2" t="inlineStr">
        <is>
          <t>1.6</t>
        </is>
      </c>
      <c r="H105" s="2" t="inlineStr">
        <is>
          <t>Dynamique 1.6 16v 110 E5</t>
        </is>
      </c>
      <c r="I105" s="2" t="n"/>
      <c r="J105" s="2" t="n"/>
      <c r="K105" s="2" t="inlineStr">
        <is>
          <t>gasolina</t>
        </is>
      </c>
      <c r="L105" s="2" t="inlineStr">
        <is>
          <t>compacto</t>
        </is>
      </c>
      <c r="M105" s="2" t="n">
        <v>2011</v>
      </c>
      <c r="N105" s="2" t="n">
        <v>170000</v>
      </c>
      <c r="O105" s="2" t="n">
        <v>4490</v>
      </c>
      <c r="P105" s="2" t="inlineStr">
        <is>
          <t>manual</t>
        </is>
      </c>
      <c r="Q105" s="2" t="inlineStr">
        <is>
          <t>no</t>
        </is>
      </c>
      <c r="R105" s="2" t="inlineStr">
        <is>
          <t>profesional</t>
        </is>
      </c>
      <c r="S105" s="2" t="inlineStr">
        <is>
          <t>Cullera</t>
        </is>
      </c>
      <c r="T105" s="2" t="inlineStr">
        <is>
          <t>2026-08-04T11:55:07Z</t>
        </is>
      </c>
      <c r="U105" s="2" t="n">
        <v>16</v>
      </c>
      <c r="V105" s="2" t="n"/>
      <c r="W105" s="2" t="n"/>
      <c r="X105" s="2" t="n"/>
      <c r="Y105" s="2" t="n"/>
      <c r="Z105" s="2" t="inlineStr">
        <is>
          <t>sí</t>
        </is>
      </c>
      <c r="AA105" s="2" t="n"/>
      <c r="AB105" s="2" t="n">
        <v>12</v>
      </c>
      <c r="AC105" s="2" t="n"/>
      <c r="AD105" s="2" t="n"/>
      <c r="AE105" s="2" t="n"/>
      <c r="AF105" s="2" t="n"/>
      <c r="AG105" s="2" t="n"/>
      <c r="AH105" s="2" t="n">
        <v>4490</v>
      </c>
      <c r="AI105" s="2" t="n"/>
      <c r="AJ105" s="2" t="n"/>
      <c r="AK105" s="2" t="n"/>
      <c r="AL105" s="2" t="n"/>
      <c r="AM105" s="2" t="n">
        <v>35.4</v>
      </c>
      <c r="AN105" s="2" t="n"/>
      <c r="AO105" s="2" t="inlineStr">
        <is>
          <t>2011</t>
        </is>
      </c>
      <c r="AP105" s="2" t="n">
        <v>2011</v>
      </c>
      <c r="AQ105" s="2" t="n"/>
      <c r="AR105" s="2" t="inlineStr">
        <is>
          <t>C</t>
        </is>
      </c>
      <c r="AS105" s="2" t="inlineStr">
        <is>
          <t>anuncio</t>
        </is>
      </c>
      <c r="AT105" s="2" t="n">
        <v>5045</v>
      </c>
      <c r="AU105" s="2" t="n">
        <v>12</v>
      </c>
      <c r="AV105" s="2" t="inlineStr">
        <is>
          <t>modelo+año+km</t>
        </is>
      </c>
      <c r="AW105" s="2" t="n"/>
      <c r="AX105" s="2" t="inlineStr">
        <is>
          <t>vendedor profesional: sin ITP (operación con IVA/REBU, confirmar en factura); gastos de gestión del vendedor no indicados: se suma la tasa DGT; preguntar el precio final</t>
        </is>
      </c>
      <c r="AY105"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AZ105" s="2" t="inlineStr">
        <is>
          <t>https://www.coches.net/renault-megane-dynamique-16-16v-110-e5-5p-gasolina-2010-en-valencia-71224992-covo.aspx (window.__INITIAL_PROPS__.ad) /home/user/Alopecia/buscador-coches/raw/cochesnet/b60848ab8e8cf1e1.json</t>
        </is>
      </c>
      <c r="BA105" s="3">
        <f>MAX(ANIO_ACTUAL-M105,0)</f>
        <v/>
      </c>
      <c r="BB105" s="4">
        <f>N105/MAX(BA105,0.5)</f>
        <v/>
      </c>
      <c r="BC105" s="4">
        <f>F105</f>
        <v/>
      </c>
      <c r="BD105" s="3">
        <f>BC105&amp;"|"&amp;INT(M105/SEG_ANIO)*SEG_ANIO</f>
        <v/>
      </c>
      <c r="BE105" s="3">
        <f>BD105&amp;"|"&amp;INT(N105/SEG_KM)*SEG_KM</f>
        <v/>
      </c>
      <c r="BF105" s="4">
        <f>COUNTIF($BC$2:$BC$545,BC105)</f>
        <v/>
      </c>
      <c r="BG105" s="4">
        <f>COUNTIF($BD$2:$BD$545,BD105)</f>
        <v/>
      </c>
      <c r="BH105" s="4">
        <f>COUNTIF($BE$2:$BE$545,BE105)</f>
        <v/>
      </c>
      <c r="BI105" s="3">
        <f t="array" ref="BI105">IF(N(AU105)&gt;=MIN_N,AT105,IF(BH105&gt;=MIN_N,MEDIAN(IF($BE$2:$BE$545=BE105,$O$2:$O$545)),IF(BG105&gt;=MIN_N,MEDIAN(IF($BD$2:$BD$545=BD105,$O$2:$O$545)),MEDIAN(IF($BC$2:$BC$545=BC105,$O$2:$O$545)))))</f>
        <v/>
      </c>
      <c r="BJ105" s="3">
        <f>IF(N(AU105)&gt;=MIN_N,"mercado "&amp;AV105,IF(BH105&gt;=MIN_N,"modelo+año+km",IF(BG105&gt;=MIN_N,"modelo+año","modelo")))</f>
        <v/>
      </c>
      <c r="BK105" s="4">
        <f>(BI105-O105)/BI105</f>
        <v/>
      </c>
      <c r="BL105" s="3">
        <f>IF(COUNTIFS(FR_FUEL,K105,FR_YEAR,AP105)&gt;0,1,0)</f>
        <v/>
      </c>
      <c r="BM105" s="3">
        <f>IF(COUNTIFS(FR_FUEL,K105,FR_YEAR,AP105-1)&gt;0,1,0)</f>
        <v/>
      </c>
      <c r="BN105" s="4">
        <f>IF(N(AQ105)&gt;0,AP105*100+AQ105,IF(AND(BL105=1,BM105=1),(AP105-1)*100+1,AP105*100+1))</f>
        <v/>
      </c>
      <c r="BO105" s="3">
        <f>IF(OR(K105="hibrido",K105="glp",K105="gnc",K105="phev"),"ECO",IF(K105="electrico","CERO",IF(K105="gasolina",IF(BN105&gt;=GAS_C_YM,"C",IF(BN105&gt;=GAS_B_YM,"B","A")),IF(K105="diesel",IF(BN105&gt;=DIE_C_YM,"C",IF(BN105&gt;=DIE_B_YM,"B","A")),""))))</f>
        <v/>
      </c>
      <c r="BP105" s="2" t="inlineStr">
        <is>
          <t>C</t>
        </is>
      </c>
      <c r="BQ105" s="4">
        <f>IF(AS105="regla",IF(AND(N(AQ105)=0,BL105=1),"sí","no"),"no")</f>
        <v/>
      </c>
      <c r="BR105" s="3">
        <f>IFERROR(VLOOKUP(F105,MOD_TBL,11,0),IFERROR(VLOOKUP(E105,OCU_TBL,2,0),NEUTRO))</f>
        <v/>
      </c>
      <c r="BS105" s="3">
        <f>SUMIFS(MOT_AJUSTE,MOT_MOTOR,G105,MOT_MARCA,E105,MOT_DESDE,"&lt;="&amp;M105,MOT_HASTA,"&gt;="&amp;M105)+SUMIFS(MOT_AJUSTE,MOT_MOTOR,G105,MOT_MARCA,"(todas)",MOT_DESDE,"&lt;="&amp;M105,MOT_HASTA,"&gt;="&amp;M105)</f>
        <v/>
      </c>
      <c r="BT105" s="3">
        <f>SUMIFS(COMB_AJUSTE,COMB_COMB,K105)</f>
        <v/>
      </c>
      <c r="BU105" s="3">
        <f>COUNTIFS(MOT_MOTOR,G105,MOT_MARCA,E105,MOT_DESDE,"&lt;="&amp;M105,MOT_HASTA,"&gt;="&amp;M105)+COUNTIFS(MOT_MOTOR,G105,MOT_MARCA,"(todas)",MOT_DESDE,"&lt;="&amp;M105,MOT_HASTA,"&gt;="&amp;M105)</f>
        <v/>
      </c>
      <c r="BV105" s="3">
        <f>IF(AND(K105="diesel",BU105=0),MIN(BR105,NEUTRO),BR105)</f>
        <v/>
      </c>
      <c r="BW105" s="4">
        <f>MAX(0,MIN(100,BV105+BS105+BT105))</f>
        <v/>
      </c>
      <c r="BX105" s="3">
        <f>MAX(0,MIN(100,50+BK105*PRECIO_PEND))</f>
        <v/>
      </c>
      <c r="BY105" s="3">
        <f>MAX(0,100*(1-N105/KM_MAX))</f>
        <v/>
      </c>
      <c r="BZ105" s="3">
        <f>IF(BB105&lt;KMA_SOSP,IF(AA105="sí",100,KMA_PEN),IF(BB105&lt;=KMA_IDEAL_MAX,100,MAX(0,100*(KMA_CERO-BB105)/(KMA_CERO-KMA_IDEAL_MAX))))</f>
        <v/>
      </c>
      <c r="CA105" s="3">
        <f>MAX(0,MIN(100,100*(M105-ANIO_MIN)/(ANIO_ACTUAL-ANIO_MIN)))</f>
        <v/>
      </c>
      <c r="CB105" s="3">
        <f>W_KMT*BY105+W_KMA*BZ105+W_EDAD*CA105</f>
        <v/>
      </c>
      <c r="CC105" s="3">
        <f>P_ITV*(V105="sí")+P_LIBRO*(W105="sí")+P_CORREA*(X105="sí")+P_PROP*(Y105=1)+P_GAR*(Z105="sí")+P_FOTOS*MIN(1,N(U105)/FOTOS_OBJ)</f>
        <v/>
      </c>
      <c r="CD105" s="3">
        <f>MAX(0,MIN(100,IFERROR(VLOOKUP(BP105,ETQ_TBL,2,0),0)-IF(BQ105="sí",ETQ_PEN_DUD,IF(AS105="regla",ETQ_PEN_REGLA,0))))</f>
        <v/>
      </c>
      <c r="CE105" s="3">
        <f>NEUTRO</f>
        <v/>
      </c>
      <c r="CF105" s="3">
        <f>IFERROR(VLOOKUP(L105,SEGURO_TBL,3,0),"")</f>
        <v/>
      </c>
      <c r="CG105" s="3">
        <f>IF(CF105="",NEUTRO,MAX(0,MIN(100,100*(SEG_REF_MAX-CF105)/(SEG_REF_MAX-SEG_REF_MIN))))</f>
        <v/>
      </c>
      <c r="CH105" s="3">
        <f>W_CONS*CE105+W_SEG*CG105</f>
        <v/>
      </c>
      <c r="CI105" s="3">
        <f>IF(N(AB105)&gt;0,AB105,IF(AND(R105="profesional",SG_LEGAL_ON=1),GAR_LEGAL,0))</f>
        <v/>
      </c>
      <c r="CJ105" s="3">
        <f>SG_GAR*MIN(1,CI105/SG_GAR_FULL)+SG_AMPL*(AC105="sí")+SG_KMC*(AF105="sí")+SG_REV*(N(AE105)&gt;0)+SG_DEV*MIN(1,N(AG105)/SG_DEV_FULL)+SG_HIST*(W105="sí")</f>
        <v/>
      </c>
      <c r="CK105" s="3">
        <f>IFERROR(VLOOKUP(L105,CARR_PEN_TBL,2,0),0)</f>
        <v/>
      </c>
      <c r="CL105" s="3">
        <f>W_FIAB*BW105+W_PRECIO*BX105+W_KMEDAD*CB105+W_ANUNCIO*CC105+W_USO*CH105+W_SEGURIDAD*CJ105+W_ETIQUETA*CD105-CK105</f>
        <v/>
      </c>
      <c r="CM105" s="4">
        <f>IF(N(I105)&gt;0,I105,IFERROR(ROUND(_xlfn.NUMBERVALUE(LEFT(G105,FIND(" ",G105&amp;" ")-1),".")*1000,0),99999))</f>
        <v/>
      </c>
      <c r="CN105" s="3">
        <f>IF(R105="profesional",0,IF(O105&lt;CUOTA_VALOR_MAX,IF(BA105&gt;ITP_TRAMO_ALTO,SUMIFS(CF_CUOTA,CF_MAS,ITP_TRAMO_ALTO,CF_CCMIN,"&lt;="&amp;CM105,CF_CCMAX,"&gt;="&amp;CM105),IF(BA105&gt;ITP_TRAMO_BAJO,SUMIFS(CF_CUOTA,CF_MAS,ITP_TRAMO_BAJO,CF_CCMIN,"&lt;="&amp;CM105,CF_CCMAX,"&gt;="&amp;CM105),O105*ITP_TIPO)),O105*ITP_TIPO))</f>
        <v/>
      </c>
      <c r="CO105" s="4">
        <f>IF(R105="profesional",N(AK105),0)</f>
        <v/>
      </c>
      <c r="CP105" s="3">
        <f>IF(AND(R105="profesional",ISNUMBER(AK105),AL105="sí"),0,TASA_DGT)</f>
        <v/>
      </c>
      <c r="CQ105" s="3">
        <f>INFORME_DGT</f>
        <v/>
      </c>
      <c r="CR105" s="4">
        <f>O105+CO105+CN105+CP105+CQ105</f>
        <v/>
      </c>
      <c r="CS105" s="4">
        <f>CR105+N(CF105)</f>
        <v/>
      </c>
      <c r="CT105" s="3">
        <f>IF(CR105&lt;=TOTAL_MAX,"sí",IF(CR105&lt;=TOTAL_MAX+MARGEN_NEG,"negociar","no"))</f>
        <v/>
      </c>
      <c r="CU105" s="4">
        <f>IF(CT105&lt;&gt;"no",COUNTIFS($CT$2:$CT$545,"&lt;&gt;no",$CL$2:$CL$545,"&gt;"&amp;CL105)+COUNTIFS($CT$2:CT105,"&lt;&gt;no",$CL$2:CL105,CL105),"")</f>
        <v/>
      </c>
    </row>
    <row r="106">
      <c r="A106" s="2" t="inlineStr">
        <is>
          <t>cochesnet:71600409</t>
        </is>
      </c>
      <c r="B106" s="2" t="inlineStr">
        <is>
          <t>cochesnet</t>
        </is>
      </c>
      <c r="C106" s="2" t="inlineStr">
        <is>
          <t>https://www.coches.net/renault-megane-dynamique-15dci-105cv-eco2-3p-diesel-2009-en-valencia-71600409-covo.aspx</t>
        </is>
      </c>
      <c r="D106" s="2" t="inlineStr">
        <is>
          <t>RENAULT Megane Dynamique 1.5dCi eco2</t>
        </is>
      </c>
      <c r="E106" s="2" t="inlineStr">
        <is>
          <t>Renault</t>
        </is>
      </c>
      <c r="F106" s="2" t="inlineStr">
        <is>
          <t>Renault Mégane</t>
        </is>
      </c>
      <c r="G106" s="2" t="inlineStr">
        <is>
          <t>1.5</t>
        </is>
      </c>
      <c r="H106" s="2" t="inlineStr">
        <is>
          <t>Dynamique 1.5dCi 105cv eco2</t>
        </is>
      </c>
      <c r="I106" s="2" t="n"/>
      <c r="J106" s="2" t="n">
        <v>105</v>
      </c>
      <c r="K106" s="2" t="inlineStr">
        <is>
          <t>diesel</t>
        </is>
      </c>
      <c r="L106" s="2" t="inlineStr">
        <is>
          <t>compacto</t>
        </is>
      </c>
      <c r="M106" s="2" t="n">
        <v>2009</v>
      </c>
      <c r="N106" s="2" t="n">
        <v>204000</v>
      </c>
      <c r="O106" s="2" t="n">
        <v>4290</v>
      </c>
      <c r="P106" s="2" t="inlineStr">
        <is>
          <t>manual</t>
        </is>
      </c>
      <c r="Q106" s="2" t="inlineStr">
        <is>
          <t>no</t>
        </is>
      </c>
      <c r="R106" s="2" t="inlineStr">
        <is>
          <t>particular</t>
        </is>
      </c>
      <c r="S106" s="2" t="inlineStr">
        <is>
          <t>Alboraya</t>
        </is>
      </c>
      <c r="T106" s="2" t="inlineStr">
        <is>
          <t>2026-09-25T19:27:14Z</t>
        </is>
      </c>
      <c r="U106" s="2" t="n">
        <v>8</v>
      </c>
      <c r="V106" s="2" t="n"/>
      <c r="W106" s="2" t="n"/>
      <c r="X106" s="2" t="n"/>
      <c r="Y106" s="2" t="n"/>
      <c r="Z106" s="2" t="inlineStr">
        <is>
          <t>no</t>
        </is>
      </c>
      <c r="AA106" s="2" t="n"/>
      <c r="AB106" s="2" t="n"/>
      <c r="AC106" s="2" t="n"/>
      <c r="AD106" s="2" t="n"/>
      <c r="AE106" s="2" t="n"/>
      <c r="AF106" s="2" t="n"/>
      <c r="AG106" s="2" t="n"/>
      <c r="AH106" s="2" t="n">
        <v>4290</v>
      </c>
      <c r="AI106" s="2" t="n"/>
      <c r="AJ106" s="2" t="n"/>
      <c r="AK106" s="2" t="n"/>
      <c r="AL106" s="2" t="n"/>
      <c r="AM106" s="2" t="n">
        <v>4</v>
      </c>
      <c r="AN106" s="2" t="n"/>
      <c r="AO106" s="2" t="inlineStr">
        <is>
          <t>2009</t>
        </is>
      </c>
      <c r="AP106" s="2" t="n">
        <v>2009</v>
      </c>
      <c r="AQ106" s="2" t="n"/>
      <c r="AR106" s="2" t="inlineStr">
        <is>
          <t>B</t>
        </is>
      </c>
      <c r="AS106" s="2" t="inlineStr">
        <is>
          <t>anuncio</t>
        </is>
      </c>
      <c r="AT106" s="2" t="n">
        <v>2350</v>
      </c>
      <c r="AU106" s="2" t="n">
        <v>11</v>
      </c>
      <c r="AV106" s="2" t="inlineStr">
        <is>
          <t>modelo+año+km</t>
        </is>
      </c>
      <c r="AW106" s="2" t="n"/>
      <c r="AX106" s="2" t="inlineStr">
        <is>
          <t>cuota fija ITP: &gt;12 años, hasta 1.500 cc; diésel: motor sin fuente de fiabilidad (fiabilidad limitada a neutra)</t>
        </is>
      </c>
      <c r="AY106" s="2" t="inlineStr">
        <is>
          <t>Vendo mi Renault Mégane Dynamique 1.5dCi 105cv eco2, un diésel que combina eficiencia, fiabilidad y practicidad. Vehículo en buen estado general, con exterior limpio y bien conservado. El interior presenta asientos en buen estado con tapicería sin daños significativos, mostrando solo los signos naturales de uso habitual.
Este motor diésel de 105 CV es conocido por su excelente relación entre potencia y consumo, ideal si buscas economía en carburante sin renunciar a prestaciones. La etiqueta medioambiental eco2 refleja su compromiso con la eficiencia energética, perfecto para quienes valoran un consumo responsable.
Con tres puertas y cinco plazas, ofrece la versatilidad que necesitas para la ciudad y los viajes más largos. La caja de cambios manual proporciona una conducción directa y controlada, característica que muchos conductores aprecian por su fiabilidad y bajo mantenimiento.
Se trata de un vehículo práctico que ha demostrado su durabilidad a lo largo del tiempo. El Mégane es sinónimo de robustez y sencillez mecánica, lo que significa menores costes de mantenimiento y reparación en el futuro.
Disponible en gris plata, color que siempre mantiene un aspecto limpio y distinguido.
Si tienes preguntas sobre aspectos específicos del vehículo o deseas conocer más detalles, no dudes en contactarme a través del chat. Estoy disponible para resolver cualquier duda que tengas.
Contacta hoy mismo y descubre por qué este Mégane puede ser exactamente lo que buscas.</t>
        </is>
      </c>
      <c r="AZ106" s="2" t="inlineStr">
        <is>
          <t>https://www.coches.net/renault-megane-dynamique-15dci-105cv-eco2-3p-diesel-2009-en-valencia-71600409-covo.aspx (window.__INITIAL_PROPS__.ad) /home/user/Alopecia/buscador-coches/raw/cochesnet/8f4e11c0dffc4e29.json</t>
        </is>
      </c>
      <c r="BA106" s="3">
        <f>MAX(ANIO_ACTUAL-M106,0)</f>
        <v/>
      </c>
      <c r="BB106" s="4">
        <f>N106/MAX(BA106,0.5)</f>
        <v/>
      </c>
      <c r="BC106" s="4">
        <f>F106</f>
        <v/>
      </c>
      <c r="BD106" s="3">
        <f>BC106&amp;"|"&amp;INT(M106/SEG_ANIO)*SEG_ANIO</f>
        <v/>
      </c>
      <c r="BE106" s="3">
        <f>BD106&amp;"|"&amp;INT(N106/SEG_KM)*SEG_KM</f>
        <v/>
      </c>
      <c r="BF106" s="4">
        <f>COUNTIF($BC$2:$BC$545,BC106)</f>
        <v/>
      </c>
      <c r="BG106" s="4">
        <f>COUNTIF($BD$2:$BD$545,BD106)</f>
        <v/>
      </c>
      <c r="BH106" s="4">
        <f>COUNTIF($BE$2:$BE$545,BE106)</f>
        <v/>
      </c>
      <c r="BI106" s="3">
        <f t="array" ref="BI106">IF(N(AU106)&gt;=MIN_N,AT106,IF(BH106&gt;=MIN_N,MEDIAN(IF($BE$2:$BE$545=BE106,$O$2:$O$545)),IF(BG106&gt;=MIN_N,MEDIAN(IF($BD$2:$BD$545=BD106,$O$2:$O$545)),MEDIAN(IF($BC$2:$BC$545=BC106,$O$2:$O$545)))))</f>
        <v/>
      </c>
      <c r="BJ106" s="3">
        <f>IF(N(AU106)&gt;=MIN_N,"mercado "&amp;AV106,IF(BH106&gt;=MIN_N,"modelo+año+km",IF(BG106&gt;=MIN_N,"modelo+año","modelo")))</f>
        <v/>
      </c>
      <c r="BK106" s="4">
        <f>(BI106-O106)/BI106</f>
        <v/>
      </c>
      <c r="BL106" s="3">
        <f>IF(COUNTIFS(FR_FUEL,K106,FR_YEAR,AP106)&gt;0,1,0)</f>
        <v/>
      </c>
      <c r="BM106" s="3">
        <f>IF(COUNTIFS(FR_FUEL,K106,FR_YEAR,AP106-1)&gt;0,1,0)</f>
        <v/>
      </c>
      <c r="BN106" s="4">
        <f>IF(N(AQ106)&gt;0,AP106*100+AQ106,IF(AND(BL106=1,BM106=1),(AP106-1)*100+1,AP106*100+1))</f>
        <v/>
      </c>
      <c r="BO106" s="3">
        <f>IF(OR(K106="hibrido",K106="glp",K106="gnc",K106="phev"),"ECO",IF(K106="electrico","CERO",IF(K106="gasolina",IF(BN106&gt;=GAS_C_YM,"C",IF(BN106&gt;=GAS_B_YM,"B","A")),IF(K106="diesel",IF(BN106&gt;=DIE_C_YM,"C",IF(BN106&gt;=DIE_B_YM,"B","A")),""))))</f>
        <v/>
      </c>
      <c r="BP106" s="2" t="inlineStr">
        <is>
          <t>B</t>
        </is>
      </c>
      <c r="BQ106" s="4">
        <f>IF(AS106="regla",IF(AND(N(AQ106)=0,BL106=1),"sí","no"),"no")</f>
        <v/>
      </c>
      <c r="BR106" s="3">
        <f>IFERROR(VLOOKUP(F106,MOD_TBL,11,0),IFERROR(VLOOKUP(E106,OCU_TBL,2,0),NEUTRO))</f>
        <v/>
      </c>
      <c r="BS106" s="3">
        <f>SUMIFS(MOT_AJUSTE,MOT_MOTOR,G106,MOT_MARCA,E106,MOT_DESDE,"&lt;="&amp;M106,MOT_HASTA,"&gt;="&amp;M106)+SUMIFS(MOT_AJUSTE,MOT_MOTOR,G106,MOT_MARCA,"(todas)",MOT_DESDE,"&lt;="&amp;M106,MOT_HASTA,"&gt;="&amp;M106)</f>
        <v/>
      </c>
      <c r="BT106" s="3">
        <f>SUMIFS(COMB_AJUSTE,COMB_COMB,K106)</f>
        <v/>
      </c>
      <c r="BU106" s="3">
        <f>COUNTIFS(MOT_MOTOR,G106,MOT_MARCA,E106,MOT_DESDE,"&lt;="&amp;M106,MOT_HASTA,"&gt;="&amp;M106)+COUNTIFS(MOT_MOTOR,G106,MOT_MARCA,"(todas)",MOT_DESDE,"&lt;="&amp;M106,MOT_HASTA,"&gt;="&amp;M106)</f>
        <v/>
      </c>
      <c r="BV106" s="3">
        <f>IF(AND(K106="diesel",BU106=0),MIN(BR106,NEUTRO),BR106)</f>
        <v/>
      </c>
      <c r="BW106" s="4">
        <f>MAX(0,MIN(100,BV106+BS106+BT106))</f>
        <v/>
      </c>
      <c r="BX106" s="3">
        <f>MAX(0,MIN(100,50+BK106*PRECIO_PEND))</f>
        <v/>
      </c>
      <c r="BY106" s="3">
        <f>MAX(0,100*(1-N106/KM_MAX))</f>
        <v/>
      </c>
      <c r="BZ106" s="3">
        <f>IF(BB106&lt;KMA_SOSP,IF(AA106="sí",100,KMA_PEN),IF(BB106&lt;=KMA_IDEAL_MAX,100,MAX(0,100*(KMA_CERO-BB106)/(KMA_CERO-KMA_IDEAL_MAX))))</f>
        <v/>
      </c>
      <c r="CA106" s="3">
        <f>MAX(0,MIN(100,100*(M106-ANIO_MIN)/(ANIO_ACTUAL-ANIO_MIN)))</f>
        <v/>
      </c>
      <c r="CB106" s="3">
        <f>W_KMT*BY106+W_KMA*BZ106+W_EDAD*CA106</f>
        <v/>
      </c>
      <c r="CC106" s="3">
        <f>P_ITV*(V106="sí")+P_LIBRO*(W106="sí")+P_CORREA*(X106="sí")+P_PROP*(Y106=1)+P_GAR*(Z106="sí")+P_FOTOS*MIN(1,N(U106)/FOTOS_OBJ)</f>
        <v/>
      </c>
      <c r="CD106" s="3">
        <f>MAX(0,MIN(100,IFERROR(VLOOKUP(BP106,ETQ_TBL,2,0),0)-IF(BQ106="sí",ETQ_PEN_DUD,IF(AS106="regla",ETQ_PEN_REGLA,0))))</f>
        <v/>
      </c>
      <c r="CE106" s="3">
        <f>NEUTRO</f>
        <v/>
      </c>
      <c r="CF106" s="3">
        <f>IFERROR(VLOOKUP(L106,SEGURO_TBL,3,0),"")</f>
        <v/>
      </c>
      <c r="CG106" s="3">
        <f>IF(CF106="",NEUTRO,MAX(0,MIN(100,100*(SEG_REF_MAX-CF106)/(SEG_REF_MAX-SEG_REF_MIN))))</f>
        <v/>
      </c>
      <c r="CH106" s="3">
        <f>W_CONS*CE106+W_SEG*CG106</f>
        <v/>
      </c>
      <c r="CI106" s="3">
        <f>IF(N(AB106)&gt;0,AB106,IF(AND(R106="profesional",SG_LEGAL_ON=1),GAR_LEGAL,0))</f>
        <v/>
      </c>
      <c r="CJ106" s="3">
        <f>SG_GAR*MIN(1,CI106/SG_GAR_FULL)+SG_AMPL*(AC106="sí")+SG_KMC*(AF106="sí")+SG_REV*(N(AE106)&gt;0)+SG_DEV*MIN(1,N(AG106)/SG_DEV_FULL)+SG_HIST*(W106="sí")</f>
        <v/>
      </c>
      <c r="CK106" s="3">
        <f>IFERROR(VLOOKUP(L106,CARR_PEN_TBL,2,0),0)</f>
        <v/>
      </c>
      <c r="CL106" s="3">
        <f>W_FIAB*BW106+W_PRECIO*BX106+W_KMEDAD*CB106+W_ANUNCIO*CC106+W_USO*CH106+W_SEGURIDAD*CJ106+W_ETIQUETA*CD106-CK106</f>
        <v/>
      </c>
      <c r="CM106" s="4">
        <f>IF(N(I106)&gt;0,I106,IFERROR(ROUND(_xlfn.NUMBERVALUE(LEFT(G106,FIND(" ",G106&amp;" ")-1),".")*1000,0),99999))</f>
        <v/>
      </c>
      <c r="CN106" s="3">
        <f>IF(R106="profesional",0,IF(O106&lt;CUOTA_VALOR_MAX,IF(BA106&gt;ITP_TRAMO_ALTO,SUMIFS(CF_CUOTA,CF_MAS,ITP_TRAMO_ALTO,CF_CCMIN,"&lt;="&amp;CM106,CF_CCMAX,"&gt;="&amp;CM106),IF(BA106&gt;ITP_TRAMO_BAJO,SUMIFS(CF_CUOTA,CF_MAS,ITP_TRAMO_BAJO,CF_CCMIN,"&lt;="&amp;CM106,CF_CCMAX,"&gt;="&amp;CM106),O106*ITP_TIPO)),O106*ITP_TIPO))</f>
        <v/>
      </c>
      <c r="CO106" s="4">
        <f>IF(R106="profesional",N(AK106),0)</f>
        <v/>
      </c>
      <c r="CP106" s="3">
        <f>IF(AND(R106="profesional",ISNUMBER(AK106),AL106="sí"),0,TASA_DGT)</f>
        <v/>
      </c>
      <c r="CQ106" s="3">
        <f>INFORME_DGT</f>
        <v/>
      </c>
      <c r="CR106" s="4">
        <f>O106+CO106+CN106+CP106+CQ106</f>
        <v/>
      </c>
      <c r="CS106" s="4">
        <f>CR106+N(CF106)</f>
        <v/>
      </c>
      <c r="CT106" s="3">
        <f>IF(CR106&lt;=TOTAL_MAX,"sí",IF(CR106&lt;=TOTAL_MAX+MARGEN_NEG,"negociar","no"))</f>
        <v/>
      </c>
      <c r="CU106" s="4">
        <f>IF(CT106&lt;&gt;"no",COUNTIFS($CT$2:$CT$545,"&lt;&gt;no",$CL$2:$CL$545,"&gt;"&amp;CL106)+COUNTIFS($CT$2:CT106,"&lt;&gt;no",$CL$2:CL106,CL106),"")</f>
        <v/>
      </c>
    </row>
    <row r="107">
      <c r="A107" s="2" t="inlineStr">
        <is>
          <t>cochesnet:71597988</t>
        </is>
      </c>
      <c r="B107" s="2" t="inlineStr">
        <is>
          <t>cochesnet</t>
        </is>
      </c>
      <c r="C107" s="2" t="inlineStr">
        <is>
          <t>https://www.coches.net/renault-megane-dynamique-dci-110-eco2-3p-diesel-2009-en-valencia-71597988-covo.aspx</t>
        </is>
      </c>
      <c r="D107" s="2" t="inlineStr">
        <is>
          <t>RENAULT Megane Dynamique dCi 110 eco2</t>
        </is>
      </c>
      <c r="E107" s="2" t="inlineStr">
        <is>
          <t>Renault</t>
        </is>
      </c>
      <c r="F107" s="2" t="inlineStr">
        <is>
          <t>Renault Mégane</t>
        </is>
      </c>
      <c r="G107" s="2" t="inlineStr">
        <is>
          <t>? dCi</t>
        </is>
      </c>
      <c r="H107" s="2" t="inlineStr">
        <is>
          <t>Dynamique dCi 110 eco2</t>
        </is>
      </c>
      <c r="I107" s="2" t="n"/>
      <c r="J107" s="2" t="n"/>
      <c r="K107" s="2" t="inlineStr">
        <is>
          <t>diesel</t>
        </is>
      </c>
      <c r="L107" s="2" t="inlineStr">
        <is>
          <t>compacto</t>
        </is>
      </c>
      <c r="M107" s="2" t="n">
        <v>2009</v>
      </c>
      <c r="N107" s="2" t="n">
        <v>199000</v>
      </c>
      <c r="O107" s="2" t="n">
        <v>4000</v>
      </c>
      <c r="P107" s="2" t="inlineStr">
        <is>
          <t>manual</t>
        </is>
      </c>
      <c r="Q107" s="2" t="inlineStr">
        <is>
          <t>no</t>
        </is>
      </c>
      <c r="R107" s="2" t="inlineStr">
        <is>
          <t>particular</t>
        </is>
      </c>
      <c r="S107" s="2" t="inlineStr">
        <is>
          <t>Sueca</t>
        </is>
      </c>
      <c r="T107" s="2" t="inlineStr">
        <is>
          <t>2026-09-25T13:48:19Z</t>
        </is>
      </c>
      <c r="U107" s="2" t="n">
        <v>7</v>
      </c>
      <c r="V107" s="2" t="n"/>
      <c r="W107" s="2" t="n"/>
      <c r="X107" s="2" t="n"/>
      <c r="Y107" s="2" t="n"/>
      <c r="Z107" s="2" t="inlineStr">
        <is>
          <t>no</t>
        </is>
      </c>
      <c r="AA107" s="2" t="n"/>
      <c r="AB107" s="2" t="n"/>
      <c r="AC107" s="2" t="n"/>
      <c r="AD107" s="2" t="n"/>
      <c r="AE107" s="2" t="n"/>
      <c r="AF107" s="2" t="n"/>
      <c r="AG107" s="2" t="n"/>
      <c r="AH107" s="2" t="n">
        <v>4000</v>
      </c>
      <c r="AI107" s="2" t="n"/>
      <c r="AJ107" s="2" t="n"/>
      <c r="AK107" s="2" t="n"/>
      <c r="AL107" s="2" t="n"/>
      <c r="AM107" s="2" t="n">
        <v>30.3</v>
      </c>
      <c r="AN107" s="2" t="n"/>
      <c r="AO107" s="2" t="inlineStr">
        <is>
          <t>2009</t>
        </is>
      </c>
      <c r="AP107" s="2" t="n">
        <v>2009</v>
      </c>
      <c r="AQ107" s="2" t="n"/>
      <c r="AR107" s="2" t="n"/>
      <c r="AS107" s="2" t="inlineStr">
        <is>
          <t>regla</t>
        </is>
      </c>
      <c r="AT107" s="2" t="n">
        <v>3850</v>
      </c>
      <c r="AU107" s="2" t="n">
        <v>6</v>
      </c>
      <c r="AV107" s="2" t="inlineStr">
        <is>
          <t>modelo+año+km</t>
        </is>
      </c>
      <c r="AW107" s="2" t="n"/>
      <c r="AX107" s="2" t="inlineStr">
        <is>
          <t>cilindrada desconocida: se aplica el tramo de cuota fija más alto; cuota fija ITP: &gt;12 años, más de 2.000 cc; diésel: motor sin fuente de fiabilidad (fiabilidad limitada a neutra)</t>
        </is>
      </c>
      <c r="AY107" s="2" t="inlineStr"/>
      <c r="AZ107" s="2" t="inlineStr">
        <is>
          <t>https://www.coches.net/renault-megane-dynamique-dci-110-eco2-3p-diesel-2009-en-valencia-71597988-covo.aspx (window.__INITIAL_PROPS__.ad) /home/user/Alopecia/buscador-coches/raw/cochesnet/850c471972782053.json</t>
        </is>
      </c>
      <c r="BA107" s="3">
        <f>MAX(ANIO_ACTUAL-M107,0)</f>
        <v/>
      </c>
      <c r="BB107" s="4">
        <f>N107/MAX(BA107,0.5)</f>
        <v/>
      </c>
      <c r="BC107" s="4">
        <f>F107</f>
        <v/>
      </c>
      <c r="BD107" s="3">
        <f>BC107&amp;"|"&amp;INT(M107/SEG_ANIO)*SEG_ANIO</f>
        <v/>
      </c>
      <c r="BE107" s="3">
        <f>BD107&amp;"|"&amp;INT(N107/SEG_KM)*SEG_KM</f>
        <v/>
      </c>
      <c r="BF107" s="4">
        <f>COUNTIF($BC$2:$BC$545,BC107)</f>
        <v/>
      </c>
      <c r="BG107" s="4">
        <f>COUNTIF($BD$2:$BD$545,BD107)</f>
        <v/>
      </c>
      <c r="BH107" s="4">
        <f>COUNTIF($BE$2:$BE$545,BE107)</f>
        <v/>
      </c>
      <c r="BI107" s="3">
        <f t="array" ref="BI107">IF(N(AU107)&gt;=MIN_N,AT107,IF(BH107&gt;=MIN_N,MEDIAN(IF($BE$2:$BE$545=BE107,$O$2:$O$545)),IF(BG107&gt;=MIN_N,MEDIAN(IF($BD$2:$BD$545=BD107,$O$2:$O$545)),MEDIAN(IF($BC$2:$BC$545=BC107,$O$2:$O$545)))))</f>
        <v/>
      </c>
      <c r="BJ107" s="3">
        <f>IF(N(AU107)&gt;=MIN_N,"mercado "&amp;AV107,IF(BH107&gt;=MIN_N,"modelo+año+km",IF(BG107&gt;=MIN_N,"modelo+año","modelo")))</f>
        <v/>
      </c>
      <c r="BK107" s="4">
        <f>(BI107-O107)/BI107</f>
        <v/>
      </c>
      <c r="BL107" s="3">
        <f>IF(COUNTIFS(FR_FUEL,K107,FR_YEAR,AP107)&gt;0,1,0)</f>
        <v/>
      </c>
      <c r="BM107" s="3">
        <f>IF(COUNTIFS(FR_FUEL,K107,FR_YEAR,AP107-1)&gt;0,1,0)</f>
        <v/>
      </c>
      <c r="BN107" s="4">
        <f>IF(N(AQ107)&gt;0,AP107*100+AQ107,IF(AND(BL107=1,BM107=1),(AP107-1)*100+1,AP107*100+1))</f>
        <v/>
      </c>
      <c r="BO107" s="3">
        <f>IF(OR(K107="hibrido",K107="glp",K107="gnc",K107="phev"),"ECO",IF(K107="electrico","CERO",IF(K107="gasolina",IF(BN107&gt;=GAS_C_YM,"C",IF(BN107&gt;=GAS_B_YM,"B","A")),IF(K107="diesel",IF(BN107&gt;=DIE_C_YM,"C",IF(BN107&gt;=DIE_B_YM,"B","A")),""))))</f>
        <v/>
      </c>
      <c r="BP107" s="4">
        <f>BO107</f>
        <v/>
      </c>
      <c r="BQ107" s="4">
        <f>IF(AS107="regla",IF(AND(N(AQ107)=0,BL107=1),"sí","no"),"no")</f>
        <v/>
      </c>
      <c r="BR107" s="3">
        <f>IFERROR(VLOOKUP(F107,MOD_TBL,11,0),IFERROR(VLOOKUP(E107,OCU_TBL,2,0),NEUTRO))</f>
        <v/>
      </c>
      <c r="BS107" s="3">
        <f>SUMIFS(MOT_AJUSTE,MOT_MOTOR,G107,MOT_MARCA,E107,MOT_DESDE,"&lt;="&amp;M107,MOT_HASTA,"&gt;="&amp;M107)+SUMIFS(MOT_AJUSTE,MOT_MOTOR,G107,MOT_MARCA,"(todas)",MOT_DESDE,"&lt;="&amp;M107,MOT_HASTA,"&gt;="&amp;M107)</f>
        <v/>
      </c>
      <c r="BT107" s="3">
        <f>SUMIFS(COMB_AJUSTE,COMB_COMB,K107)</f>
        <v/>
      </c>
      <c r="BU107" s="3">
        <f>COUNTIFS(MOT_MOTOR,G107,MOT_MARCA,E107,MOT_DESDE,"&lt;="&amp;M107,MOT_HASTA,"&gt;="&amp;M107)+COUNTIFS(MOT_MOTOR,G107,MOT_MARCA,"(todas)",MOT_DESDE,"&lt;="&amp;M107,MOT_HASTA,"&gt;="&amp;M107)</f>
        <v/>
      </c>
      <c r="BV107" s="3">
        <f>IF(AND(K107="diesel",BU107=0),MIN(BR107,NEUTRO),BR107)</f>
        <v/>
      </c>
      <c r="BW107" s="4">
        <f>MAX(0,MIN(100,BV107+BS107+BT107))</f>
        <v/>
      </c>
      <c r="BX107" s="3">
        <f>MAX(0,MIN(100,50+BK107*PRECIO_PEND))</f>
        <v/>
      </c>
      <c r="BY107" s="3">
        <f>MAX(0,100*(1-N107/KM_MAX))</f>
        <v/>
      </c>
      <c r="BZ107" s="3">
        <f>IF(BB107&lt;KMA_SOSP,IF(AA107="sí",100,KMA_PEN),IF(BB107&lt;=KMA_IDEAL_MAX,100,MAX(0,100*(KMA_CERO-BB107)/(KMA_CERO-KMA_IDEAL_MAX))))</f>
        <v/>
      </c>
      <c r="CA107" s="3">
        <f>MAX(0,MIN(100,100*(M107-ANIO_MIN)/(ANIO_ACTUAL-ANIO_MIN)))</f>
        <v/>
      </c>
      <c r="CB107" s="3">
        <f>W_KMT*BY107+W_KMA*BZ107+W_EDAD*CA107</f>
        <v/>
      </c>
      <c r="CC107" s="3">
        <f>P_ITV*(V107="sí")+P_LIBRO*(W107="sí")+P_CORREA*(X107="sí")+P_PROP*(Y107=1)+P_GAR*(Z107="sí")+P_FOTOS*MIN(1,N(U107)/FOTOS_OBJ)</f>
        <v/>
      </c>
      <c r="CD107" s="3">
        <f>MAX(0,MIN(100,IFERROR(VLOOKUP(BP107,ETQ_TBL,2,0),0)-IF(BQ107="sí",ETQ_PEN_DUD,IF(AS107="regla",ETQ_PEN_REGLA,0))))</f>
        <v/>
      </c>
      <c r="CE107" s="3">
        <f>NEUTRO</f>
        <v/>
      </c>
      <c r="CF107" s="3">
        <f>IFERROR(VLOOKUP(L107,SEGURO_TBL,3,0),"")</f>
        <v/>
      </c>
      <c r="CG107" s="3">
        <f>IF(CF107="",NEUTRO,MAX(0,MIN(100,100*(SEG_REF_MAX-CF107)/(SEG_REF_MAX-SEG_REF_MIN))))</f>
        <v/>
      </c>
      <c r="CH107" s="3">
        <f>W_CONS*CE107+W_SEG*CG107</f>
        <v/>
      </c>
      <c r="CI107" s="3">
        <f>IF(N(AB107)&gt;0,AB107,IF(AND(R107="profesional",SG_LEGAL_ON=1),GAR_LEGAL,0))</f>
        <v/>
      </c>
      <c r="CJ107" s="3">
        <f>SG_GAR*MIN(1,CI107/SG_GAR_FULL)+SG_AMPL*(AC107="sí")+SG_KMC*(AF107="sí")+SG_REV*(N(AE107)&gt;0)+SG_DEV*MIN(1,N(AG107)/SG_DEV_FULL)+SG_HIST*(W107="sí")</f>
        <v/>
      </c>
      <c r="CK107" s="3">
        <f>IFERROR(VLOOKUP(L107,CARR_PEN_TBL,2,0),0)</f>
        <v/>
      </c>
      <c r="CL107" s="3">
        <f>W_FIAB*BW107+W_PRECIO*BX107+W_KMEDAD*CB107+W_ANUNCIO*CC107+W_USO*CH107+W_SEGURIDAD*CJ107+W_ETIQUETA*CD107-CK107</f>
        <v/>
      </c>
      <c r="CM107" s="4">
        <f>IF(N(I107)&gt;0,I107,IFERROR(ROUND(_xlfn.NUMBERVALUE(LEFT(G107,FIND(" ",G107&amp;" ")-1),".")*1000,0),99999))</f>
        <v/>
      </c>
      <c r="CN107" s="3">
        <f>IF(R107="profesional",0,IF(O107&lt;CUOTA_VALOR_MAX,IF(BA107&gt;ITP_TRAMO_ALTO,SUMIFS(CF_CUOTA,CF_MAS,ITP_TRAMO_ALTO,CF_CCMIN,"&lt;="&amp;CM107,CF_CCMAX,"&gt;="&amp;CM107),IF(BA107&gt;ITP_TRAMO_BAJO,SUMIFS(CF_CUOTA,CF_MAS,ITP_TRAMO_BAJO,CF_CCMIN,"&lt;="&amp;CM107,CF_CCMAX,"&gt;="&amp;CM107),O107*ITP_TIPO)),O107*ITP_TIPO))</f>
        <v/>
      </c>
      <c r="CO107" s="4">
        <f>IF(R107="profesional",N(AK107),0)</f>
        <v/>
      </c>
      <c r="CP107" s="3">
        <f>IF(AND(R107="profesional",ISNUMBER(AK107),AL107="sí"),0,TASA_DGT)</f>
        <v/>
      </c>
      <c r="CQ107" s="3">
        <f>INFORME_DGT</f>
        <v/>
      </c>
      <c r="CR107" s="4">
        <f>O107+CO107+CN107+CP107+CQ107</f>
        <v/>
      </c>
      <c r="CS107" s="4">
        <f>CR107+N(CF107)</f>
        <v/>
      </c>
      <c r="CT107" s="3">
        <f>IF(CR107&lt;=TOTAL_MAX,"sí",IF(CR107&lt;=TOTAL_MAX+MARGEN_NEG,"negociar","no"))</f>
        <v/>
      </c>
      <c r="CU107" s="4">
        <f>IF(CT107&lt;&gt;"no",COUNTIFS($CT$2:$CT$545,"&lt;&gt;no",$CL$2:$CL$545,"&gt;"&amp;CL107)+COUNTIFS($CT$2:CT107,"&lt;&gt;no",$CL$2:CL107,CL107),"")</f>
        <v/>
      </c>
    </row>
    <row r="108">
      <c r="A108" s="2" t="inlineStr">
        <is>
          <t>cochesnet:71375913</t>
        </is>
      </c>
      <c r="B108" s="2" t="inlineStr">
        <is>
          <t>cochesnet</t>
        </is>
      </c>
      <c r="C108" s="2" t="inlineStr">
        <is>
          <t>https://www.coches.net/renault-megane-dynamique-16-16v-110cv-5p-gasolina-2008-en-valencia-71375913-covo.aspx</t>
        </is>
      </c>
      <c r="D108" s="2" t="inlineStr">
        <is>
          <t>RENAULT Megane Dynamique 1.6 16v</t>
        </is>
      </c>
      <c r="E108" s="2" t="inlineStr">
        <is>
          <t>Renault</t>
        </is>
      </c>
      <c r="F108" s="2" t="inlineStr">
        <is>
          <t>Renault Mégane</t>
        </is>
      </c>
      <c r="G108" s="2" t="inlineStr">
        <is>
          <t>1.6</t>
        </is>
      </c>
      <c r="H108" s="2" t="inlineStr">
        <is>
          <t>Dynamique 1.6 16v 110cv</t>
        </is>
      </c>
      <c r="I108" s="2" t="n"/>
      <c r="J108" s="2" t="n">
        <v>110</v>
      </c>
      <c r="K108" s="2" t="inlineStr">
        <is>
          <t>gasolina</t>
        </is>
      </c>
      <c r="L108" s="2" t="inlineStr">
        <is>
          <t>compacto</t>
        </is>
      </c>
      <c r="M108" s="2" t="n">
        <v>2008</v>
      </c>
      <c r="N108" s="2" t="n">
        <v>94500</v>
      </c>
      <c r="O108" s="2" t="n">
        <v>4400</v>
      </c>
      <c r="P108" s="2" t="inlineStr">
        <is>
          <t>manual</t>
        </is>
      </c>
      <c r="Q108" s="2" t="inlineStr">
        <is>
          <t>no</t>
        </is>
      </c>
      <c r="R108" s="2" t="inlineStr">
        <is>
          <t>particular</t>
        </is>
      </c>
      <c r="S108" s="2" t="inlineStr">
        <is>
          <t>Llíria</t>
        </is>
      </c>
      <c r="T108" s="2" t="inlineStr">
        <is>
          <t>2026-08-27T14:08:50Z</t>
        </is>
      </c>
      <c r="U108" s="2" t="n">
        <v>7</v>
      </c>
      <c r="V108" s="2" t="n"/>
      <c r="W108" s="2" t="n"/>
      <c r="X108" s="2" t="n"/>
      <c r="Y108" s="2" t="n"/>
      <c r="Z108" s="2" t="inlineStr">
        <is>
          <t>no</t>
        </is>
      </c>
      <c r="AA108" s="2" t="n"/>
      <c r="AB108" s="2" t="n"/>
      <c r="AC108" s="2" t="n"/>
      <c r="AD108" s="2" t="n"/>
      <c r="AE108" s="2" t="n"/>
      <c r="AF108" s="2" t="n"/>
      <c r="AG108" s="2" t="n"/>
      <c r="AH108" s="2" t="n">
        <v>4400</v>
      </c>
      <c r="AI108" s="2" t="n"/>
      <c r="AJ108" s="2" t="n"/>
      <c r="AK108" s="2" t="n"/>
      <c r="AL108" s="2" t="n"/>
      <c r="AM108" s="2" t="n">
        <v>26.4</v>
      </c>
      <c r="AN108" s="2" t="n"/>
      <c r="AO108" s="2" t="inlineStr">
        <is>
          <t>2008</t>
        </is>
      </c>
      <c r="AP108" s="2" t="n">
        <v>2008</v>
      </c>
      <c r="AQ108" s="2" t="n"/>
      <c r="AR108" s="2" t="inlineStr">
        <is>
          <t>B</t>
        </is>
      </c>
      <c r="AS108" s="2" t="inlineStr">
        <is>
          <t>anuncio</t>
        </is>
      </c>
      <c r="AT108" s="2" t="n">
        <v>5200</v>
      </c>
      <c r="AU108" s="2" t="n">
        <v>4</v>
      </c>
      <c r="AV108" s="2" t="inlineStr">
        <is>
          <t>modelo+año+km</t>
        </is>
      </c>
      <c r="AW108" s="2" t="n"/>
      <c r="AX108" s="2" t="inlineStr">
        <is>
          <t>cuota fija ITP: &gt;12 años, 1.501-2.000 cc</t>
        </is>
      </c>
      <c r="AY108" s="2" t="inlineStr">
        <is>
          <t>Vendo mi Renault Mégane Dynamique, un berlina práctico y fiable que ha sido mi compañero de viajes durante estos años. Se trata de un vehículo perfecto para quien busca un coche versátil, económico y con un motor que responde bien en cualquier situación.
Este Mégane cuenta con un motor de 1.6 litros y 110 caballos de potencia que ofrece un excelente equilibrio entre rendimiento y consumo eficiente. Ideal tanto para desplazamientos urbanos como para carreteras, te proporciona la comodidad y seguridad que esperas en un berlina de cinco puertas y cinco plazas. Además, cuenta con etiqueta medioambiental B, lo que facilita tu circulación en cualquier zona.
El cambio manual garantiza una conducción directa y controlada, mientras que el estado general del vehículo te permite disfrutar de él sin preocupaciones. Con este precio de 4.900 euros, accedes a un transporte funcional y duradero que cumple perfectamente su cometido.
Si tienes dudas sobre aspectos específicos del vehículo o deseas conocer más detalles sobre su historial y estado, no dudes en contactarme a través del chat. Estaré encantada de resolver todas tus preguntas.
Contacta hoy mismo y comprueba por qué este Mégane es una gran oportunidad.</t>
        </is>
      </c>
      <c r="AZ108" s="2" t="inlineStr">
        <is>
          <t>https://www.coches.net/renault-megane-dynamique-16-16v-110cv-5p-gasolina-2008-en-valencia-71375913-covo.aspx (window.__INITIAL_PROPS__.ad) /home/user/Alopecia/buscador-coches/raw/cochesnet/59f7f0221cac3ed6.json</t>
        </is>
      </c>
      <c r="BA108" s="3">
        <f>MAX(ANIO_ACTUAL-M108,0)</f>
        <v/>
      </c>
      <c r="BB108" s="4">
        <f>N108/MAX(BA108,0.5)</f>
        <v/>
      </c>
      <c r="BC108" s="4">
        <f>F108</f>
        <v/>
      </c>
      <c r="BD108" s="3">
        <f>BC108&amp;"|"&amp;INT(M108/SEG_ANIO)*SEG_ANIO</f>
        <v/>
      </c>
      <c r="BE108" s="3">
        <f>BD108&amp;"|"&amp;INT(N108/SEG_KM)*SEG_KM</f>
        <v/>
      </c>
      <c r="BF108" s="4">
        <f>COUNTIF($BC$2:$BC$545,BC108)</f>
        <v/>
      </c>
      <c r="BG108" s="4">
        <f>COUNTIF($BD$2:$BD$545,BD108)</f>
        <v/>
      </c>
      <c r="BH108" s="4">
        <f>COUNTIF($BE$2:$BE$545,BE108)</f>
        <v/>
      </c>
      <c r="BI108" s="3">
        <f t="array" ref="BI108">IF(N(AU108)&gt;=MIN_N,AT108,IF(BH108&gt;=MIN_N,MEDIAN(IF($BE$2:$BE$545=BE108,$O$2:$O$545)),IF(BG108&gt;=MIN_N,MEDIAN(IF($BD$2:$BD$545=BD108,$O$2:$O$545)),MEDIAN(IF($BC$2:$BC$545=BC108,$O$2:$O$545)))))</f>
        <v/>
      </c>
      <c r="BJ108" s="3">
        <f>IF(N(AU108)&gt;=MIN_N,"mercado "&amp;AV108,IF(BH108&gt;=MIN_N,"modelo+año+km",IF(BG108&gt;=MIN_N,"modelo+año","modelo")))</f>
        <v/>
      </c>
      <c r="BK108" s="4">
        <f>(BI108-O108)/BI108</f>
        <v/>
      </c>
      <c r="BL108" s="3">
        <f>IF(COUNTIFS(FR_FUEL,K108,FR_YEAR,AP108)&gt;0,1,0)</f>
        <v/>
      </c>
      <c r="BM108" s="3">
        <f>IF(COUNTIFS(FR_FUEL,K108,FR_YEAR,AP108-1)&gt;0,1,0)</f>
        <v/>
      </c>
      <c r="BN108" s="4">
        <f>IF(N(AQ108)&gt;0,AP108*100+AQ108,IF(AND(BL108=1,BM108=1),(AP108-1)*100+1,AP108*100+1))</f>
        <v/>
      </c>
      <c r="BO108" s="3">
        <f>IF(OR(K108="hibrido",K108="glp",K108="gnc",K108="phev"),"ECO",IF(K108="electrico","CERO",IF(K108="gasolina",IF(BN108&gt;=GAS_C_YM,"C",IF(BN108&gt;=GAS_B_YM,"B","A")),IF(K108="diesel",IF(BN108&gt;=DIE_C_YM,"C",IF(BN108&gt;=DIE_B_YM,"B","A")),""))))</f>
        <v/>
      </c>
      <c r="BP108" s="2" t="inlineStr">
        <is>
          <t>B</t>
        </is>
      </c>
      <c r="BQ108" s="4">
        <f>IF(AS108="regla",IF(AND(N(AQ108)=0,BL108=1),"sí","no"),"no")</f>
        <v/>
      </c>
      <c r="BR108" s="3">
        <f>IFERROR(VLOOKUP(F108,MOD_TBL,11,0),IFERROR(VLOOKUP(E108,OCU_TBL,2,0),NEUTRO))</f>
        <v/>
      </c>
      <c r="BS108" s="3">
        <f>SUMIFS(MOT_AJUSTE,MOT_MOTOR,G108,MOT_MARCA,E108,MOT_DESDE,"&lt;="&amp;M108,MOT_HASTA,"&gt;="&amp;M108)+SUMIFS(MOT_AJUSTE,MOT_MOTOR,G108,MOT_MARCA,"(todas)",MOT_DESDE,"&lt;="&amp;M108,MOT_HASTA,"&gt;="&amp;M108)</f>
        <v/>
      </c>
      <c r="BT108" s="3">
        <f>SUMIFS(COMB_AJUSTE,COMB_COMB,K108)</f>
        <v/>
      </c>
      <c r="BU108" s="3">
        <f>COUNTIFS(MOT_MOTOR,G108,MOT_MARCA,E108,MOT_DESDE,"&lt;="&amp;M108,MOT_HASTA,"&gt;="&amp;M108)+COUNTIFS(MOT_MOTOR,G108,MOT_MARCA,"(todas)",MOT_DESDE,"&lt;="&amp;M108,MOT_HASTA,"&gt;="&amp;M108)</f>
        <v/>
      </c>
      <c r="BV108" s="3">
        <f>IF(AND(K108="diesel",BU108=0),MIN(BR108,NEUTRO),BR108)</f>
        <v/>
      </c>
      <c r="BW108" s="4">
        <f>MAX(0,MIN(100,BV108+BS108+BT108))</f>
        <v/>
      </c>
      <c r="BX108" s="3">
        <f>MAX(0,MIN(100,50+BK108*PRECIO_PEND))</f>
        <v/>
      </c>
      <c r="BY108" s="3">
        <f>MAX(0,100*(1-N108/KM_MAX))</f>
        <v/>
      </c>
      <c r="BZ108" s="3">
        <f>IF(BB108&lt;KMA_SOSP,IF(AA108="sí",100,KMA_PEN),IF(BB108&lt;=KMA_IDEAL_MAX,100,MAX(0,100*(KMA_CERO-BB108)/(KMA_CERO-KMA_IDEAL_MAX))))</f>
        <v/>
      </c>
      <c r="CA108" s="3">
        <f>MAX(0,MIN(100,100*(M108-ANIO_MIN)/(ANIO_ACTUAL-ANIO_MIN)))</f>
        <v/>
      </c>
      <c r="CB108" s="3">
        <f>W_KMT*BY108+W_KMA*BZ108+W_EDAD*CA108</f>
        <v/>
      </c>
      <c r="CC108" s="3">
        <f>P_ITV*(V108="sí")+P_LIBRO*(W108="sí")+P_CORREA*(X108="sí")+P_PROP*(Y108=1)+P_GAR*(Z108="sí")+P_FOTOS*MIN(1,N(U108)/FOTOS_OBJ)</f>
        <v/>
      </c>
      <c r="CD108" s="3">
        <f>MAX(0,MIN(100,IFERROR(VLOOKUP(BP108,ETQ_TBL,2,0),0)-IF(BQ108="sí",ETQ_PEN_DUD,IF(AS108="regla",ETQ_PEN_REGLA,0))))</f>
        <v/>
      </c>
      <c r="CE108" s="3">
        <f>NEUTRO</f>
        <v/>
      </c>
      <c r="CF108" s="3">
        <f>IFERROR(VLOOKUP(L108,SEGURO_TBL,3,0),"")</f>
        <v/>
      </c>
      <c r="CG108" s="3">
        <f>IF(CF108="",NEUTRO,MAX(0,MIN(100,100*(SEG_REF_MAX-CF108)/(SEG_REF_MAX-SEG_REF_MIN))))</f>
        <v/>
      </c>
      <c r="CH108" s="3">
        <f>W_CONS*CE108+W_SEG*CG108</f>
        <v/>
      </c>
      <c r="CI108" s="3">
        <f>IF(N(AB108)&gt;0,AB108,IF(AND(R108="profesional",SG_LEGAL_ON=1),GAR_LEGAL,0))</f>
        <v/>
      </c>
      <c r="CJ108" s="3">
        <f>SG_GAR*MIN(1,CI108/SG_GAR_FULL)+SG_AMPL*(AC108="sí")+SG_KMC*(AF108="sí")+SG_REV*(N(AE108)&gt;0)+SG_DEV*MIN(1,N(AG108)/SG_DEV_FULL)+SG_HIST*(W108="sí")</f>
        <v/>
      </c>
      <c r="CK108" s="3">
        <f>IFERROR(VLOOKUP(L108,CARR_PEN_TBL,2,0),0)</f>
        <v/>
      </c>
      <c r="CL108" s="3">
        <f>W_FIAB*BW108+W_PRECIO*BX108+W_KMEDAD*CB108+W_ANUNCIO*CC108+W_USO*CH108+W_SEGURIDAD*CJ108+W_ETIQUETA*CD108-CK108</f>
        <v/>
      </c>
      <c r="CM108" s="4">
        <f>IF(N(I108)&gt;0,I108,IFERROR(ROUND(_xlfn.NUMBERVALUE(LEFT(G108,FIND(" ",G108&amp;" ")-1),".")*1000,0),99999))</f>
        <v/>
      </c>
      <c r="CN108" s="3">
        <f>IF(R108="profesional",0,IF(O108&lt;CUOTA_VALOR_MAX,IF(BA108&gt;ITP_TRAMO_ALTO,SUMIFS(CF_CUOTA,CF_MAS,ITP_TRAMO_ALTO,CF_CCMIN,"&lt;="&amp;CM108,CF_CCMAX,"&gt;="&amp;CM108),IF(BA108&gt;ITP_TRAMO_BAJO,SUMIFS(CF_CUOTA,CF_MAS,ITP_TRAMO_BAJO,CF_CCMIN,"&lt;="&amp;CM108,CF_CCMAX,"&gt;="&amp;CM108),O108*ITP_TIPO)),O108*ITP_TIPO))</f>
        <v/>
      </c>
      <c r="CO108" s="4">
        <f>IF(R108="profesional",N(AK108),0)</f>
        <v/>
      </c>
      <c r="CP108" s="3">
        <f>IF(AND(R108="profesional",ISNUMBER(AK108),AL108="sí"),0,TASA_DGT)</f>
        <v/>
      </c>
      <c r="CQ108" s="3">
        <f>INFORME_DGT</f>
        <v/>
      </c>
      <c r="CR108" s="4">
        <f>O108+CO108+CN108+CP108+CQ108</f>
        <v/>
      </c>
      <c r="CS108" s="4">
        <f>CR108+N(CF108)</f>
        <v/>
      </c>
      <c r="CT108" s="3">
        <f>IF(CR108&lt;=TOTAL_MAX,"sí",IF(CR108&lt;=TOTAL_MAX+MARGEN_NEG,"negociar","no"))</f>
        <v/>
      </c>
      <c r="CU108" s="4">
        <f>IF(CT108&lt;&gt;"no",COUNTIFS($CT$2:$CT$545,"&lt;&gt;no",$CL$2:$CL$545,"&gt;"&amp;CL108)+COUNTIFS($CT$2:CT108,"&lt;&gt;no",$CL$2:CL108,CL108),"")</f>
        <v/>
      </c>
    </row>
    <row r="109">
      <c r="A109" s="2" t="inlineStr">
        <is>
          <t>cochesnet:71806426</t>
        </is>
      </c>
      <c r="B109" s="2" t="inlineStr">
        <is>
          <t>cochesnet</t>
        </is>
      </c>
      <c r="C109" s="2" t="inlineStr">
        <is>
          <t>https://www.coches.net/renault-twingo-emotion-dci-85-eco2-3p-diesel-2012-en-valencia-71806426-covo.aspx</t>
        </is>
      </c>
      <c r="D109" s="2" t="inlineStr">
        <is>
          <t>RENAULT Twingo Emotion dCi 85 eco2</t>
        </is>
      </c>
      <c r="E109" s="2" t="inlineStr">
        <is>
          <t>Renault</t>
        </is>
      </c>
      <c r="F109" s="2" t="inlineStr">
        <is>
          <t>Renault Twingo</t>
        </is>
      </c>
      <c r="G109" s="2" t="inlineStr">
        <is>
          <t>? dCi</t>
        </is>
      </c>
      <c r="H109" s="2" t="inlineStr">
        <is>
          <t>Emotion dCi 85 eco2</t>
        </is>
      </c>
      <c r="I109" s="2" t="n"/>
      <c r="J109" s="2" t="n"/>
      <c r="K109" s="2" t="inlineStr">
        <is>
          <t>diesel</t>
        </is>
      </c>
      <c r="L109" s="2" t="inlineStr">
        <is>
          <t>utilitario</t>
        </is>
      </c>
      <c r="M109" s="2" t="n">
        <v>2012</v>
      </c>
      <c r="N109" s="2" t="n">
        <v>131375</v>
      </c>
      <c r="O109" s="2" t="n">
        <v>4550</v>
      </c>
      <c r="P109" s="2" t="inlineStr">
        <is>
          <t>manual</t>
        </is>
      </c>
      <c r="Q109" s="2" t="inlineStr">
        <is>
          <t>no</t>
        </is>
      </c>
      <c r="R109" s="2" t="inlineStr">
        <is>
          <t>profesional</t>
        </is>
      </c>
      <c r="S109" s="2" t="inlineStr">
        <is>
          <t>Autos Sant Isidre Valencia</t>
        </is>
      </c>
      <c r="T109" s="2" t="inlineStr">
        <is>
          <t>2026-10-22T10:28:20Z</t>
        </is>
      </c>
      <c r="U109" s="2" t="n">
        <v>12</v>
      </c>
      <c r="V109" s="2" t="n"/>
      <c r="W109" s="2" t="n"/>
      <c r="X109" s="2" t="n"/>
      <c r="Y109" s="2" t="n"/>
      <c r="Z109" s="2" t="inlineStr">
        <is>
          <t>sí</t>
        </is>
      </c>
      <c r="AA109" s="2" t="n"/>
      <c r="AB109" s="2" t="n">
        <v>12</v>
      </c>
      <c r="AC109" s="2" t="n"/>
      <c r="AD109" s="2" t="n"/>
      <c r="AE109" s="2" t="n"/>
      <c r="AF109" s="2" t="n"/>
      <c r="AG109" s="2" t="n"/>
      <c r="AH109" s="2" t="n">
        <v>4550</v>
      </c>
      <c r="AI109" s="2" t="n">
        <v>4550</v>
      </c>
      <c r="AJ109" s="2" t="n"/>
      <c r="AK109" s="2" t="n"/>
      <c r="AL109" s="2" t="n"/>
      <c r="AM109" s="2" t="n">
        <v>0.1</v>
      </c>
      <c r="AN109" s="2" t="n"/>
      <c r="AO109" s="2" t="inlineStr">
        <is>
          <t>2012</t>
        </is>
      </c>
      <c r="AP109" s="2" t="n">
        <v>2012</v>
      </c>
      <c r="AQ109" s="2" t="n"/>
      <c r="AR109" s="2" t="n"/>
      <c r="AS109" s="2" t="inlineStr">
        <is>
          <t>regla</t>
        </is>
      </c>
      <c r="AT109" s="2" t="n"/>
      <c r="AU109" s="2" t="n"/>
      <c r="AV109" s="2" t="n"/>
      <c r="AW109" s="2" t="n"/>
      <c r="AX109" s="2" t="inlineStr">
        <is>
          <t>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 mediana con solo 3 anuncio(s)</t>
        </is>
      </c>
      <c r="AY109" s="2" t="inlineStr"/>
      <c r="AZ109" s="2" t="inlineStr">
        <is>
          <t>https://www.coches.net/renault-twingo-emotion-dci-85-eco2-3p-diesel-2012-en-valencia-71806426-covo.aspx (window.__INITIAL_PROPS__.ad) /home/user/Alopecia/buscador-coches/raw/cochesnet/d74433edc5e27707.json</t>
        </is>
      </c>
      <c r="BA109" s="3">
        <f>MAX(ANIO_ACTUAL-M109,0)</f>
        <v/>
      </c>
      <c r="BB109" s="4">
        <f>N109/MAX(BA109,0.5)</f>
        <v/>
      </c>
      <c r="BC109" s="4">
        <f>F109</f>
        <v/>
      </c>
      <c r="BD109" s="3">
        <f>BC109&amp;"|"&amp;INT(M109/SEG_ANIO)*SEG_ANIO</f>
        <v/>
      </c>
      <c r="BE109" s="3">
        <f>BD109&amp;"|"&amp;INT(N109/SEG_KM)*SEG_KM</f>
        <v/>
      </c>
      <c r="BF109" s="4">
        <f>COUNTIF($BC$2:$BC$545,BC109)</f>
        <v/>
      </c>
      <c r="BG109" s="4">
        <f>COUNTIF($BD$2:$BD$545,BD109)</f>
        <v/>
      </c>
      <c r="BH109" s="4">
        <f>COUNTIF($BE$2:$BE$545,BE109)</f>
        <v/>
      </c>
      <c r="BI109" s="3">
        <f t="array" ref="BI109">IF(N(AU109)&gt;=MIN_N,AT109,IF(BH109&gt;=MIN_N,MEDIAN(IF($BE$2:$BE$545=BE109,$O$2:$O$545)),IF(BG109&gt;=MIN_N,MEDIAN(IF($BD$2:$BD$545=BD109,$O$2:$O$545)),MEDIAN(IF($BC$2:$BC$545=BC109,$O$2:$O$545)))))</f>
        <v/>
      </c>
      <c r="BJ109" s="3">
        <f>IF(N(AU109)&gt;=MIN_N,"mercado "&amp;AV109,IF(BH109&gt;=MIN_N,"modelo+año+km",IF(BG109&gt;=MIN_N,"modelo+año","modelo")))</f>
        <v/>
      </c>
      <c r="BK109" s="4">
        <f>(BI109-O109)/BI109</f>
        <v/>
      </c>
      <c r="BL109" s="3">
        <f>IF(COUNTIFS(FR_FUEL,K109,FR_YEAR,AP109)&gt;0,1,0)</f>
        <v/>
      </c>
      <c r="BM109" s="3">
        <f>IF(COUNTIFS(FR_FUEL,K109,FR_YEAR,AP109-1)&gt;0,1,0)</f>
        <v/>
      </c>
      <c r="BN109" s="4">
        <f>IF(N(AQ109)&gt;0,AP109*100+AQ109,IF(AND(BL109=1,BM109=1),(AP109-1)*100+1,AP109*100+1))</f>
        <v/>
      </c>
      <c r="BO109" s="3">
        <f>IF(OR(K109="hibrido",K109="glp",K109="gnc",K109="phev"),"ECO",IF(K109="electrico","CERO",IF(K109="gasolina",IF(BN109&gt;=GAS_C_YM,"C",IF(BN109&gt;=GAS_B_YM,"B","A")),IF(K109="diesel",IF(BN109&gt;=DIE_C_YM,"C",IF(BN109&gt;=DIE_B_YM,"B","A")),""))))</f>
        <v/>
      </c>
      <c r="BP109" s="4">
        <f>BO109</f>
        <v/>
      </c>
      <c r="BQ109" s="4">
        <f>IF(AS109="regla",IF(AND(N(AQ109)=0,BL109=1),"sí","no"),"no")</f>
        <v/>
      </c>
      <c r="BR109" s="3">
        <f>IFERROR(VLOOKUP(F109,MOD_TBL,11,0),IFERROR(VLOOKUP(E109,OCU_TBL,2,0),NEUTRO))</f>
        <v/>
      </c>
      <c r="BS109" s="3">
        <f>SUMIFS(MOT_AJUSTE,MOT_MOTOR,G109,MOT_MARCA,E109,MOT_DESDE,"&lt;="&amp;M109,MOT_HASTA,"&gt;="&amp;M109)+SUMIFS(MOT_AJUSTE,MOT_MOTOR,G109,MOT_MARCA,"(todas)",MOT_DESDE,"&lt;="&amp;M109,MOT_HASTA,"&gt;="&amp;M109)</f>
        <v/>
      </c>
      <c r="BT109" s="3">
        <f>SUMIFS(COMB_AJUSTE,COMB_COMB,K109)</f>
        <v/>
      </c>
      <c r="BU109" s="3">
        <f>COUNTIFS(MOT_MOTOR,G109,MOT_MARCA,E109,MOT_DESDE,"&lt;="&amp;M109,MOT_HASTA,"&gt;="&amp;M109)+COUNTIFS(MOT_MOTOR,G109,MOT_MARCA,"(todas)",MOT_DESDE,"&lt;="&amp;M109,MOT_HASTA,"&gt;="&amp;M109)</f>
        <v/>
      </c>
      <c r="BV109" s="3">
        <f>IF(AND(K109="diesel",BU109=0),MIN(BR109,NEUTRO),BR109)</f>
        <v/>
      </c>
      <c r="BW109" s="4">
        <f>MAX(0,MIN(100,BV109+BS109+BT109))</f>
        <v/>
      </c>
      <c r="BX109" s="3">
        <f>MAX(0,MIN(100,50+BK109*PRECIO_PEND))</f>
        <v/>
      </c>
      <c r="BY109" s="3">
        <f>MAX(0,100*(1-N109/KM_MAX))</f>
        <v/>
      </c>
      <c r="BZ109" s="3">
        <f>IF(BB109&lt;KMA_SOSP,IF(AA109="sí",100,KMA_PEN),IF(BB109&lt;=KMA_IDEAL_MAX,100,MAX(0,100*(KMA_CERO-BB109)/(KMA_CERO-KMA_IDEAL_MAX))))</f>
        <v/>
      </c>
      <c r="CA109" s="3">
        <f>MAX(0,MIN(100,100*(M109-ANIO_MIN)/(ANIO_ACTUAL-ANIO_MIN)))</f>
        <v/>
      </c>
      <c r="CB109" s="3">
        <f>W_KMT*BY109+W_KMA*BZ109+W_EDAD*CA109</f>
        <v/>
      </c>
      <c r="CC109" s="3">
        <f>P_ITV*(V109="sí")+P_LIBRO*(W109="sí")+P_CORREA*(X109="sí")+P_PROP*(Y109=1)+P_GAR*(Z109="sí")+P_FOTOS*MIN(1,N(U109)/FOTOS_OBJ)</f>
        <v/>
      </c>
      <c r="CD109" s="3">
        <f>MAX(0,MIN(100,IFERROR(VLOOKUP(BP109,ETQ_TBL,2,0),0)-IF(BQ109="sí",ETQ_PEN_DUD,IF(AS109="regla",ETQ_PEN_REGLA,0))))</f>
        <v/>
      </c>
      <c r="CE109" s="3">
        <f>NEUTRO</f>
        <v/>
      </c>
      <c r="CF109" s="3">
        <f>IFERROR(VLOOKUP(L109,SEGURO_TBL,3,0),"")</f>
        <v/>
      </c>
      <c r="CG109" s="3">
        <f>IF(CF109="",NEUTRO,MAX(0,MIN(100,100*(SEG_REF_MAX-CF109)/(SEG_REF_MAX-SEG_REF_MIN))))</f>
        <v/>
      </c>
      <c r="CH109" s="3">
        <f>W_CONS*CE109+W_SEG*CG109</f>
        <v/>
      </c>
      <c r="CI109" s="3">
        <f>IF(N(AB109)&gt;0,AB109,IF(AND(R109="profesional",SG_LEGAL_ON=1),GAR_LEGAL,0))</f>
        <v/>
      </c>
      <c r="CJ109" s="3">
        <f>SG_GAR*MIN(1,CI109/SG_GAR_FULL)+SG_AMPL*(AC109="sí")+SG_KMC*(AF109="sí")+SG_REV*(N(AE109)&gt;0)+SG_DEV*MIN(1,N(AG109)/SG_DEV_FULL)+SG_HIST*(W109="sí")</f>
        <v/>
      </c>
      <c r="CK109" s="3">
        <f>IFERROR(VLOOKUP(L109,CARR_PEN_TBL,2,0),0)</f>
        <v/>
      </c>
      <c r="CL109" s="3">
        <f>W_FIAB*BW109+W_PRECIO*BX109+W_KMEDAD*CB109+W_ANUNCIO*CC109+W_USO*CH109+W_SEGURIDAD*CJ109+W_ETIQUETA*CD109-CK109</f>
        <v/>
      </c>
      <c r="CM109" s="4">
        <f>IF(N(I109)&gt;0,I109,IFERROR(ROUND(_xlfn.NUMBERVALUE(LEFT(G109,FIND(" ",G109&amp;" ")-1),".")*1000,0),99999))</f>
        <v/>
      </c>
      <c r="CN109" s="3">
        <f>IF(R109="profesional",0,IF(O109&lt;CUOTA_VALOR_MAX,IF(BA109&gt;ITP_TRAMO_ALTO,SUMIFS(CF_CUOTA,CF_MAS,ITP_TRAMO_ALTO,CF_CCMIN,"&lt;="&amp;CM109,CF_CCMAX,"&gt;="&amp;CM109),IF(BA109&gt;ITP_TRAMO_BAJO,SUMIFS(CF_CUOTA,CF_MAS,ITP_TRAMO_BAJO,CF_CCMIN,"&lt;="&amp;CM109,CF_CCMAX,"&gt;="&amp;CM109),O109*ITP_TIPO)),O109*ITP_TIPO))</f>
        <v/>
      </c>
      <c r="CO109" s="4">
        <f>IF(R109="profesional",N(AK109),0)</f>
        <v/>
      </c>
      <c r="CP109" s="3">
        <f>IF(AND(R109="profesional",ISNUMBER(AK109),AL109="sí"),0,TASA_DGT)</f>
        <v/>
      </c>
      <c r="CQ109" s="3">
        <f>INFORME_DGT</f>
        <v/>
      </c>
      <c r="CR109" s="4">
        <f>O109+CO109+CN109+CP109+CQ109</f>
        <v/>
      </c>
      <c r="CS109" s="4">
        <f>CR109+N(CF109)</f>
        <v/>
      </c>
      <c r="CT109" s="3">
        <f>IF(CR109&lt;=TOTAL_MAX,"sí",IF(CR109&lt;=TOTAL_MAX+MARGEN_NEG,"negociar","no"))</f>
        <v/>
      </c>
      <c r="CU109" s="4">
        <f>IF(CT109&lt;&gt;"no",COUNTIFS($CT$2:$CT$545,"&lt;&gt;no",$CL$2:$CL$545,"&gt;"&amp;CL109)+COUNTIFS($CT$2:CT109,"&lt;&gt;no",$CL$2:CL109,CL109),"")</f>
        <v/>
      </c>
    </row>
    <row r="110">
      <c r="A110" s="2" t="inlineStr">
        <is>
          <t>cochesnet:70507667</t>
        </is>
      </c>
      <c r="B110" s="2" t="inlineStr">
        <is>
          <t>cochesnet</t>
        </is>
      </c>
      <c r="C110" s="2" t="inlineStr">
        <is>
          <t>https://www.coches.net/dacia-sandero-ambiance-12-75cv-5p-gasolina-2012-en-valencia-70507667-covo.aspx</t>
        </is>
      </c>
      <c r="D110" s="2" t="inlineStr">
        <is>
          <t>DACIA Sandero Ambiance 1.2</t>
        </is>
      </c>
      <c r="E110" s="2" t="inlineStr">
        <is>
          <t>Dacia</t>
        </is>
      </c>
      <c r="F110" s="2" t="inlineStr">
        <is>
          <t>Dacia Sandero</t>
        </is>
      </c>
      <c r="G110" s="2" t="inlineStr">
        <is>
          <t>1.2</t>
        </is>
      </c>
      <c r="H110" s="2" t="inlineStr">
        <is>
          <t>Ambiance 1.2 75cv</t>
        </is>
      </c>
      <c r="I110" s="2" t="n"/>
      <c r="J110" s="2" t="n">
        <v>75</v>
      </c>
      <c r="K110" s="2" t="inlineStr">
        <is>
          <t>gasolina</t>
        </is>
      </c>
      <c r="L110" s="2" t="inlineStr">
        <is>
          <t>utilitario</t>
        </is>
      </c>
      <c r="M110" s="2" t="n">
        <v>2013</v>
      </c>
      <c r="N110" s="2" t="n">
        <v>175000</v>
      </c>
      <c r="O110" s="2" t="n">
        <v>3490</v>
      </c>
      <c r="P110" s="2" t="inlineStr">
        <is>
          <t>manual</t>
        </is>
      </c>
      <c r="Q110" s="2" t="inlineStr">
        <is>
          <t>no</t>
        </is>
      </c>
      <c r="R110" s="2" t="inlineStr">
        <is>
          <t>profesional</t>
        </is>
      </c>
      <c r="S110" s="2" t="inlineStr">
        <is>
          <t>AutoEco Valencia</t>
        </is>
      </c>
      <c r="T110" s="2" t="inlineStr">
        <is>
          <t>2026-10-23T09:34:08Z</t>
        </is>
      </c>
      <c r="U110" s="2" t="n">
        <v>14</v>
      </c>
      <c r="V110" s="2" t="n"/>
      <c r="W110" s="2" t="inlineStr">
        <is>
          <t>sí</t>
        </is>
      </c>
      <c r="X110" s="2" t="n"/>
      <c r="Y110" s="2" t="n"/>
      <c r="Z110" s="2" t="inlineStr">
        <is>
          <t>sí</t>
        </is>
      </c>
      <c r="AA110" s="2" t="n"/>
      <c r="AB110" s="2" t="n">
        <v>12</v>
      </c>
      <c r="AC110" s="2" t="n"/>
      <c r="AD110" s="2" t="n"/>
      <c r="AE110" s="2" t="n"/>
      <c r="AF110" s="2" t="n"/>
      <c r="AG110" s="2" t="n"/>
      <c r="AH110" s="2" t="n">
        <v>3490</v>
      </c>
      <c r="AI110" s="2" t="n">
        <v>3490</v>
      </c>
      <c r="AJ110" s="2" t="n"/>
      <c r="AK110" s="2" t="n"/>
      <c r="AL110" s="2" t="n"/>
      <c r="AM110" s="2" t="n">
        <v>0.1</v>
      </c>
      <c r="AN110" s="2" t="n"/>
      <c r="AO110" s="2" t="inlineStr">
        <is>
          <t>2013</t>
        </is>
      </c>
      <c r="AP110" s="2" t="n">
        <v>2013</v>
      </c>
      <c r="AQ110" s="2" t="n"/>
      <c r="AR110" s="2" t="inlineStr">
        <is>
          <t>C</t>
        </is>
      </c>
      <c r="AS110" s="2" t="inlineStr">
        <is>
          <t>anuncio</t>
        </is>
      </c>
      <c r="AT110" s="2" t="n">
        <v>5300</v>
      </c>
      <c r="AU110" s="2" t="n">
        <v>4</v>
      </c>
      <c r="AV110" s="2" t="inlineStr">
        <is>
          <t>modelo+año+km</t>
        </is>
      </c>
      <c r="AW110" s="2" t="n"/>
      <c r="AX110" s="2" t="inlineStr">
        <is>
          <t>vendedor profesional: sin ITP (operación con IVA/REBU, confirmar en factura); gastos de gestión del vendedor no indicados: se suma la tasa DGT; preguntar el precio final</t>
        </is>
      </c>
      <c r="AY110" s="2" t="inlineStr">
        <is>
          <t>-AUTOECO- 
*Concesionario Vehículos Ocasión multimarca. 
*C/ Cases de Bárcena N4 Bonrepos/Valencia 46131 Junto a Gasolinera Repsol*
*Lunes a Viernes 9h a 14h y 16h a 20h*
*Sábados 10h a 14h tarde y domingos atendemos con cita previa*
FINANCIACIÓN A SU MEDIDA sin necesidad de entrada, consulte sin compromiso.
DESTACADO: 
-Con algunos desperfectos de chapa, de ahí su precio.
-Vehículo nacional.
-Vehículo sin mucha electrónica, fiable.
-Sin aire acondicionado.
-Muy buen estado interior con desperfectos exteriores de chapa.
-Distintivo medioambiental C.
-Gran espacio de maletero y amplitud interior.
-Radio CD/USB.
-1 año de Garantía incluido en precio con opción de ampliación a Premium. 
*Se entrega con ITV y mantenimiento al día, listo para circular.*
Este anuncio puede contener algún error tipográfico o de transcripción. 
Para más información contacten sin compromiso.</t>
        </is>
      </c>
      <c r="AZ110" s="2" t="inlineStr">
        <is>
          <t>https://www.coches.net/dacia-sandero-ambiance-12-75cv-5p-gasolina-2012-en-valencia-70507667-covo.aspx (window.__INITIAL_PROPS__.ad) /home/user/Alopecia/buscador-coches/raw/cochesnet/0b381e23cb5ab3e1.json</t>
        </is>
      </c>
      <c r="BA110" s="3">
        <f>MAX(ANIO_ACTUAL-M110,0)</f>
        <v/>
      </c>
      <c r="BB110" s="4">
        <f>N110/MAX(BA110,0.5)</f>
        <v/>
      </c>
      <c r="BC110" s="4">
        <f>F110</f>
        <v/>
      </c>
      <c r="BD110" s="3">
        <f>BC110&amp;"|"&amp;INT(M110/SEG_ANIO)*SEG_ANIO</f>
        <v/>
      </c>
      <c r="BE110" s="3">
        <f>BD110&amp;"|"&amp;INT(N110/SEG_KM)*SEG_KM</f>
        <v/>
      </c>
      <c r="BF110" s="4">
        <f>COUNTIF($BC$2:$BC$545,BC110)</f>
        <v/>
      </c>
      <c r="BG110" s="4">
        <f>COUNTIF($BD$2:$BD$545,BD110)</f>
        <v/>
      </c>
      <c r="BH110" s="4">
        <f>COUNTIF($BE$2:$BE$545,BE110)</f>
        <v/>
      </c>
      <c r="BI110" s="3">
        <f t="array" ref="BI110">IF(N(AU110)&gt;=MIN_N,AT110,IF(BH110&gt;=MIN_N,MEDIAN(IF($BE$2:$BE$545=BE110,$O$2:$O$545)),IF(BG110&gt;=MIN_N,MEDIAN(IF($BD$2:$BD$545=BD110,$O$2:$O$545)),MEDIAN(IF($BC$2:$BC$545=BC110,$O$2:$O$545)))))</f>
        <v/>
      </c>
      <c r="BJ110" s="3">
        <f>IF(N(AU110)&gt;=MIN_N,"mercado "&amp;AV110,IF(BH110&gt;=MIN_N,"modelo+año+km",IF(BG110&gt;=MIN_N,"modelo+año","modelo")))</f>
        <v/>
      </c>
      <c r="BK110" s="4">
        <f>(BI110-O110)/BI110</f>
        <v/>
      </c>
      <c r="BL110" s="3">
        <f>IF(COUNTIFS(FR_FUEL,K110,FR_YEAR,AP110)&gt;0,1,0)</f>
        <v/>
      </c>
      <c r="BM110" s="3">
        <f>IF(COUNTIFS(FR_FUEL,K110,FR_YEAR,AP110-1)&gt;0,1,0)</f>
        <v/>
      </c>
      <c r="BN110" s="4">
        <f>IF(N(AQ110)&gt;0,AP110*100+AQ110,IF(AND(BL110=1,BM110=1),(AP110-1)*100+1,AP110*100+1))</f>
        <v/>
      </c>
      <c r="BO110" s="3">
        <f>IF(OR(K110="hibrido",K110="glp",K110="gnc",K110="phev"),"ECO",IF(K110="electrico","CERO",IF(K110="gasolina",IF(BN110&gt;=GAS_C_YM,"C",IF(BN110&gt;=GAS_B_YM,"B","A")),IF(K110="diesel",IF(BN110&gt;=DIE_C_YM,"C",IF(BN110&gt;=DIE_B_YM,"B","A")),""))))</f>
        <v/>
      </c>
      <c r="BP110" s="2" t="inlineStr">
        <is>
          <t>C</t>
        </is>
      </c>
      <c r="BQ110" s="4">
        <f>IF(AS110="regla",IF(AND(N(AQ110)=0,BL110=1),"sí","no"),"no")</f>
        <v/>
      </c>
      <c r="BR110" s="3">
        <f>IFERROR(VLOOKUP(F110,MOD_TBL,11,0),IFERROR(VLOOKUP(E110,OCU_TBL,2,0),NEUTRO))</f>
        <v/>
      </c>
      <c r="BS110" s="3">
        <f>SUMIFS(MOT_AJUSTE,MOT_MOTOR,G110,MOT_MARCA,E110,MOT_DESDE,"&lt;="&amp;M110,MOT_HASTA,"&gt;="&amp;M110)+SUMIFS(MOT_AJUSTE,MOT_MOTOR,G110,MOT_MARCA,"(todas)",MOT_DESDE,"&lt;="&amp;M110,MOT_HASTA,"&gt;="&amp;M110)</f>
        <v/>
      </c>
      <c r="BT110" s="3">
        <f>SUMIFS(COMB_AJUSTE,COMB_COMB,K110)</f>
        <v/>
      </c>
      <c r="BU110" s="3">
        <f>COUNTIFS(MOT_MOTOR,G110,MOT_MARCA,E110,MOT_DESDE,"&lt;="&amp;M110,MOT_HASTA,"&gt;="&amp;M110)+COUNTIFS(MOT_MOTOR,G110,MOT_MARCA,"(todas)",MOT_DESDE,"&lt;="&amp;M110,MOT_HASTA,"&gt;="&amp;M110)</f>
        <v/>
      </c>
      <c r="BV110" s="3">
        <f>IF(AND(K110="diesel",BU110=0),MIN(BR110,NEUTRO),BR110)</f>
        <v/>
      </c>
      <c r="BW110" s="4">
        <f>MAX(0,MIN(100,BV110+BS110+BT110))</f>
        <v/>
      </c>
      <c r="BX110" s="3">
        <f>MAX(0,MIN(100,50+BK110*PRECIO_PEND))</f>
        <v/>
      </c>
      <c r="BY110" s="3">
        <f>MAX(0,100*(1-N110/KM_MAX))</f>
        <v/>
      </c>
      <c r="BZ110" s="3">
        <f>IF(BB110&lt;KMA_SOSP,IF(AA110="sí",100,KMA_PEN),IF(BB110&lt;=KMA_IDEAL_MAX,100,MAX(0,100*(KMA_CERO-BB110)/(KMA_CERO-KMA_IDEAL_MAX))))</f>
        <v/>
      </c>
      <c r="CA110" s="3">
        <f>MAX(0,MIN(100,100*(M110-ANIO_MIN)/(ANIO_ACTUAL-ANIO_MIN)))</f>
        <v/>
      </c>
      <c r="CB110" s="3">
        <f>W_KMT*BY110+W_KMA*BZ110+W_EDAD*CA110</f>
        <v/>
      </c>
      <c r="CC110" s="3">
        <f>P_ITV*(V110="sí")+P_LIBRO*(W110="sí")+P_CORREA*(X110="sí")+P_PROP*(Y110=1)+P_GAR*(Z110="sí")+P_FOTOS*MIN(1,N(U110)/FOTOS_OBJ)</f>
        <v/>
      </c>
      <c r="CD110" s="3">
        <f>MAX(0,MIN(100,IFERROR(VLOOKUP(BP110,ETQ_TBL,2,0),0)-IF(BQ110="sí",ETQ_PEN_DUD,IF(AS110="regla",ETQ_PEN_REGLA,0))))</f>
        <v/>
      </c>
      <c r="CE110" s="3">
        <f>NEUTRO</f>
        <v/>
      </c>
      <c r="CF110" s="3">
        <f>IFERROR(VLOOKUP(L110,SEGURO_TBL,3,0),"")</f>
        <v/>
      </c>
      <c r="CG110" s="3">
        <f>IF(CF110="",NEUTRO,MAX(0,MIN(100,100*(SEG_REF_MAX-CF110)/(SEG_REF_MAX-SEG_REF_MIN))))</f>
        <v/>
      </c>
      <c r="CH110" s="3">
        <f>W_CONS*CE110+W_SEG*CG110</f>
        <v/>
      </c>
      <c r="CI110" s="3">
        <f>IF(N(AB110)&gt;0,AB110,IF(AND(R110="profesional",SG_LEGAL_ON=1),GAR_LEGAL,0))</f>
        <v/>
      </c>
      <c r="CJ110" s="3">
        <f>SG_GAR*MIN(1,CI110/SG_GAR_FULL)+SG_AMPL*(AC110="sí")+SG_KMC*(AF110="sí")+SG_REV*(N(AE110)&gt;0)+SG_DEV*MIN(1,N(AG110)/SG_DEV_FULL)+SG_HIST*(W110="sí")</f>
        <v/>
      </c>
      <c r="CK110" s="3">
        <f>IFERROR(VLOOKUP(L110,CARR_PEN_TBL,2,0),0)</f>
        <v/>
      </c>
      <c r="CL110" s="3">
        <f>W_FIAB*BW110+W_PRECIO*BX110+W_KMEDAD*CB110+W_ANUNCIO*CC110+W_USO*CH110+W_SEGURIDAD*CJ110+W_ETIQUETA*CD110-CK110</f>
        <v/>
      </c>
      <c r="CM110" s="4">
        <f>IF(N(I110)&gt;0,I110,IFERROR(ROUND(_xlfn.NUMBERVALUE(LEFT(G110,FIND(" ",G110&amp;" ")-1),".")*1000,0),99999))</f>
        <v/>
      </c>
      <c r="CN110" s="3">
        <f>IF(R110="profesional",0,IF(O110&lt;CUOTA_VALOR_MAX,IF(BA110&gt;ITP_TRAMO_ALTO,SUMIFS(CF_CUOTA,CF_MAS,ITP_TRAMO_ALTO,CF_CCMIN,"&lt;="&amp;CM110,CF_CCMAX,"&gt;="&amp;CM110),IF(BA110&gt;ITP_TRAMO_BAJO,SUMIFS(CF_CUOTA,CF_MAS,ITP_TRAMO_BAJO,CF_CCMIN,"&lt;="&amp;CM110,CF_CCMAX,"&gt;="&amp;CM110),O110*ITP_TIPO)),O110*ITP_TIPO))</f>
        <v/>
      </c>
      <c r="CO110" s="4">
        <f>IF(R110="profesional",N(AK110),0)</f>
        <v/>
      </c>
      <c r="CP110" s="3">
        <f>IF(AND(R110="profesional",ISNUMBER(AK110),AL110="sí"),0,TASA_DGT)</f>
        <v/>
      </c>
      <c r="CQ110" s="3">
        <f>INFORME_DGT</f>
        <v/>
      </c>
      <c r="CR110" s="4">
        <f>O110+CO110+CN110+CP110+CQ110</f>
        <v/>
      </c>
      <c r="CS110" s="4">
        <f>CR110+N(CF110)</f>
        <v/>
      </c>
      <c r="CT110" s="3">
        <f>IF(CR110&lt;=TOTAL_MAX,"sí",IF(CR110&lt;=TOTAL_MAX+MARGEN_NEG,"negociar","no"))</f>
        <v/>
      </c>
      <c r="CU110" s="4">
        <f>IF(CT110&lt;&gt;"no",COUNTIFS($CT$2:$CT$545,"&lt;&gt;no",$CL$2:$CL$545,"&gt;"&amp;CL110)+COUNTIFS($CT$2:CT110,"&lt;&gt;no",$CL$2:CL110,CL110),"")</f>
        <v/>
      </c>
    </row>
    <row r="111">
      <c r="A111" s="2" t="inlineStr">
        <is>
          <t>cochesnet:71831034</t>
        </is>
      </c>
      <c r="B111" s="2" t="inlineStr">
        <is>
          <t>cochesnet</t>
        </is>
      </c>
      <c r="C111" s="2" t="inlineStr">
        <is>
          <t>https://www.coches.net/dacia-sandero-ambiance-12-16v-75cv-5p-gasolina-2010-en-valencia-71831034-covo.aspx</t>
        </is>
      </c>
      <c r="D111" s="2" t="inlineStr">
        <is>
          <t>DACIA Sandero Ambiance 1.2 16v</t>
        </is>
      </c>
      <c r="E111" s="2" t="inlineStr">
        <is>
          <t>Dacia</t>
        </is>
      </c>
      <c r="F111" s="2" t="inlineStr">
        <is>
          <t>Dacia Sandero</t>
        </is>
      </c>
      <c r="G111" s="2" t="inlineStr">
        <is>
          <t>1.2</t>
        </is>
      </c>
      <c r="H111" s="2" t="inlineStr">
        <is>
          <t>Ambiance 1.2 16v 75cv</t>
        </is>
      </c>
      <c r="I111" s="2" t="n"/>
      <c r="J111" s="2" t="n">
        <v>75</v>
      </c>
      <c r="K111" s="2" t="inlineStr">
        <is>
          <t>gasolina</t>
        </is>
      </c>
      <c r="L111" s="2" t="inlineStr">
        <is>
          <t>utilitario</t>
        </is>
      </c>
      <c r="M111" s="2" t="n">
        <v>2010</v>
      </c>
      <c r="N111" s="2" t="n">
        <v>99000</v>
      </c>
      <c r="O111" s="2" t="n">
        <v>3800</v>
      </c>
      <c r="P111" s="2" t="inlineStr">
        <is>
          <t>manual</t>
        </is>
      </c>
      <c r="Q111" s="2" t="inlineStr">
        <is>
          <t>no</t>
        </is>
      </c>
      <c r="R111" s="2" t="inlineStr">
        <is>
          <t>particular</t>
        </is>
      </c>
      <c r="S111" s="2" t="inlineStr">
        <is>
          <t>Valencia</t>
        </is>
      </c>
      <c r="T111" s="2" t="inlineStr">
        <is>
          <t>2026-10-26T09:55:46Z</t>
        </is>
      </c>
      <c r="U111" s="2" t="n">
        <v>46</v>
      </c>
      <c r="V111" s="2" t="n"/>
      <c r="W111" s="2" t="inlineStr">
        <is>
          <t>sí</t>
        </is>
      </c>
      <c r="X111" s="2" t="n"/>
      <c r="Y111" s="2" t="n"/>
      <c r="Z111" s="2" t="inlineStr">
        <is>
          <t>no</t>
        </is>
      </c>
      <c r="AA111" s="2" t="n"/>
      <c r="AB111" s="2" t="n"/>
      <c r="AC111" s="2" t="n"/>
      <c r="AD111" s="2" t="n"/>
      <c r="AE111" s="2" t="n"/>
      <c r="AF111" s="2" t="n"/>
      <c r="AG111" s="2" t="n"/>
      <c r="AH111" s="2" t="n">
        <v>3800</v>
      </c>
      <c r="AI111" s="2" t="n"/>
      <c r="AJ111" s="2" t="n"/>
      <c r="AK111" s="2" t="n"/>
      <c r="AL111" s="2" t="n"/>
      <c r="AM111" s="2" t="n">
        <v>0.1</v>
      </c>
      <c r="AN111" s="2" t="n"/>
      <c r="AO111" s="2" t="inlineStr">
        <is>
          <t>04/2010</t>
        </is>
      </c>
      <c r="AP111" s="2" t="n">
        <v>2010</v>
      </c>
      <c r="AQ111" s="2" t="n">
        <v>4</v>
      </c>
      <c r="AR111" s="2" t="inlineStr">
        <is>
          <t>ECO</t>
        </is>
      </c>
      <c r="AS111" s="2" t="inlineStr">
        <is>
          <t>anuncio</t>
        </is>
      </c>
      <c r="AT111" s="2" t="n">
        <v>3800</v>
      </c>
      <c r="AU111" s="2" t="n">
        <v>4</v>
      </c>
      <c r="AV111" s="2" t="inlineStr">
        <is>
          <t>modelo+año+km</t>
        </is>
      </c>
      <c r="AW111" s="2" t="n"/>
      <c r="AX111" s="2" t="inlineStr">
        <is>
          <t>cuota fija ITP: &gt;12 años, hasta 1.500 cc</t>
        </is>
      </c>
      <c r="AY111" s="2" t="inlineStr">
        <is>
          <t xml:space="preserve">DACIA SANDERO 1.2 AMBIANCE 2010 - 99.000 KM - MUY BUEN ESTADO
Vendo Dacia Sandero Ambiance 1.2 gasolina, 5 puertas, año 2010, color gris, con aproximadamente 99.000 km.
MOTIVO DE VENTA: MUDANZA A ARGENTINA
Compré el vehículo en junio de 2024 con aproximadamente 75.000 km. Desde entonces, lo he utilizado de forma particular, recorriendo unos 24.000 km y realizando los mantenimientos y reparaciones necesarios, con sus correspondientes facturas.
Es un coche práctico, económico, de bajo consumo y mantenimiento sencillo. Ideal para uso diario, desplazamientos urbanos o como primer vehículo.
EQUIPAMIENTO
Motor 1.2 gasolina, cambio manual, 5 puertas, aire acondicionado funcionando perfectamente, elevalunas eléctricos, cierre centralizado, dirección asistida, radio original y llantas de aleación.
MANTENIMIENTO Y REPARACIONES DOCUMENTADAS
JULIO 2024 - 75.400 KM
Cambio de aceite y filtros. Sustitución del kit de distribución y bomba de agua. Cambio de discos y pastillas de freno. Otros componentes y mantenimiento general.
ENERO 2026 - 89.000 KM
Sustitución de los cuatro neumáticos por BFGoodrich nuevos, incluyendo montaje, equilibrado y válvulas.
Contratación de Master Garantía de Euromaster, con cobertura de tres años frente a pinchazos, roturas y vandalismo, conforme a sus condiciones y en centros asociados.
JULIO 2026 - 94.600 KM
Trabajos de mantenimiento y reparación del sistema de frenos traseros, sustitución de componentes y revisión en taller.
ITV Y DOCUMENTACIÓN
</t>
        </is>
      </c>
      <c r="AZ111" s="2" t="inlineStr">
        <is>
          <t>https://www.coches.net/dacia-sandero-ambiance-12-16v-75cv-5p-gasolina-2010-en-valencia-71831034-covo.aspx (window.__INITIAL_PROPS__.ad) /home/user/Alopecia/buscador-coches/raw/cochesnet/33e686ccd017f9a5.json</t>
        </is>
      </c>
      <c r="BA111" s="3">
        <f>MAX(ANIO_ACTUAL-M111,0)</f>
        <v/>
      </c>
      <c r="BB111" s="4">
        <f>N111/MAX(BA111,0.5)</f>
        <v/>
      </c>
      <c r="BC111" s="4">
        <f>F111</f>
        <v/>
      </c>
      <c r="BD111" s="3">
        <f>BC111&amp;"|"&amp;INT(M111/SEG_ANIO)*SEG_ANIO</f>
        <v/>
      </c>
      <c r="BE111" s="3">
        <f>BD111&amp;"|"&amp;INT(N111/SEG_KM)*SEG_KM</f>
        <v/>
      </c>
      <c r="BF111" s="4">
        <f>COUNTIF($BC$2:$BC$545,BC111)</f>
        <v/>
      </c>
      <c r="BG111" s="4">
        <f>COUNTIF($BD$2:$BD$545,BD111)</f>
        <v/>
      </c>
      <c r="BH111" s="4">
        <f>COUNTIF($BE$2:$BE$545,BE111)</f>
        <v/>
      </c>
      <c r="BI111" s="3">
        <f t="array" ref="BI111">IF(N(AU111)&gt;=MIN_N,AT111,IF(BH111&gt;=MIN_N,MEDIAN(IF($BE$2:$BE$545=BE111,$O$2:$O$545)),IF(BG111&gt;=MIN_N,MEDIAN(IF($BD$2:$BD$545=BD111,$O$2:$O$545)),MEDIAN(IF($BC$2:$BC$545=BC111,$O$2:$O$545)))))</f>
        <v/>
      </c>
      <c r="BJ111" s="3">
        <f>IF(N(AU111)&gt;=MIN_N,"mercado "&amp;AV111,IF(BH111&gt;=MIN_N,"modelo+año+km",IF(BG111&gt;=MIN_N,"modelo+año","modelo")))</f>
        <v/>
      </c>
      <c r="BK111" s="4">
        <f>(BI111-O111)/BI111</f>
        <v/>
      </c>
      <c r="BL111" s="3">
        <f>IF(COUNTIFS(FR_FUEL,K111,FR_YEAR,AP111)&gt;0,1,0)</f>
        <v/>
      </c>
      <c r="BM111" s="3">
        <f>IF(COUNTIFS(FR_FUEL,K111,FR_YEAR,AP111-1)&gt;0,1,0)</f>
        <v/>
      </c>
      <c r="BN111" s="4">
        <f>IF(N(AQ111)&gt;0,AP111*100+AQ111,IF(AND(BL111=1,BM111=1),(AP111-1)*100+1,AP111*100+1))</f>
        <v/>
      </c>
      <c r="BO111" s="3">
        <f>IF(OR(K111="hibrido",K111="glp",K111="gnc",K111="phev"),"ECO",IF(K111="electrico","CERO",IF(K111="gasolina",IF(BN111&gt;=GAS_C_YM,"C",IF(BN111&gt;=GAS_B_YM,"B","A")),IF(K111="diesel",IF(BN111&gt;=DIE_C_YM,"C",IF(BN111&gt;=DIE_B_YM,"B","A")),""))))</f>
        <v/>
      </c>
      <c r="BP111" s="2" t="inlineStr">
        <is>
          <t>ECO</t>
        </is>
      </c>
      <c r="BQ111" s="4">
        <f>IF(AS111="regla",IF(AND(N(AQ111)=0,BL111=1),"sí","no"),"no")</f>
        <v/>
      </c>
      <c r="BR111" s="3">
        <f>IFERROR(VLOOKUP(F111,MOD_TBL,11,0),IFERROR(VLOOKUP(E111,OCU_TBL,2,0),NEUTRO))</f>
        <v/>
      </c>
      <c r="BS111" s="3">
        <f>SUMIFS(MOT_AJUSTE,MOT_MOTOR,G111,MOT_MARCA,E111,MOT_DESDE,"&lt;="&amp;M111,MOT_HASTA,"&gt;="&amp;M111)+SUMIFS(MOT_AJUSTE,MOT_MOTOR,G111,MOT_MARCA,"(todas)",MOT_DESDE,"&lt;="&amp;M111,MOT_HASTA,"&gt;="&amp;M111)</f>
        <v/>
      </c>
      <c r="BT111" s="3">
        <f>SUMIFS(COMB_AJUSTE,COMB_COMB,K111)</f>
        <v/>
      </c>
      <c r="BU111" s="3">
        <f>COUNTIFS(MOT_MOTOR,G111,MOT_MARCA,E111,MOT_DESDE,"&lt;="&amp;M111,MOT_HASTA,"&gt;="&amp;M111)+COUNTIFS(MOT_MOTOR,G111,MOT_MARCA,"(todas)",MOT_DESDE,"&lt;="&amp;M111,MOT_HASTA,"&gt;="&amp;M111)</f>
        <v/>
      </c>
      <c r="BV111" s="3">
        <f>IF(AND(K111="diesel",BU111=0),MIN(BR111,NEUTRO),BR111)</f>
        <v/>
      </c>
      <c r="BW111" s="4">
        <f>MAX(0,MIN(100,BV111+BS111+BT111))</f>
        <v/>
      </c>
      <c r="BX111" s="3">
        <f>MAX(0,MIN(100,50+BK111*PRECIO_PEND))</f>
        <v/>
      </c>
      <c r="BY111" s="3">
        <f>MAX(0,100*(1-N111/KM_MAX))</f>
        <v/>
      </c>
      <c r="BZ111" s="3">
        <f>IF(BB111&lt;KMA_SOSP,IF(AA111="sí",100,KMA_PEN),IF(BB111&lt;=KMA_IDEAL_MAX,100,MAX(0,100*(KMA_CERO-BB111)/(KMA_CERO-KMA_IDEAL_MAX))))</f>
        <v/>
      </c>
      <c r="CA111" s="3">
        <f>MAX(0,MIN(100,100*(M111-ANIO_MIN)/(ANIO_ACTUAL-ANIO_MIN)))</f>
        <v/>
      </c>
      <c r="CB111" s="3">
        <f>W_KMT*BY111+W_KMA*BZ111+W_EDAD*CA111</f>
        <v/>
      </c>
      <c r="CC111" s="3">
        <f>P_ITV*(V111="sí")+P_LIBRO*(W111="sí")+P_CORREA*(X111="sí")+P_PROP*(Y111=1)+P_GAR*(Z111="sí")+P_FOTOS*MIN(1,N(U111)/FOTOS_OBJ)</f>
        <v/>
      </c>
      <c r="CD111" s="3">
        <f>MAX(0,MIN(100,IFERROR(VLOOKUP(BP111,ETQ_TBL,2,0),0)-IF(BQ111="sí",ETQ_PEN_DUD,IF(AS111="regla",ETQ_PEN_REGLA,0))))</f>
        <v/>
      </c>
      <c r="CE111" s="3">
        <f>NEUTRO</f>
        <v/>
      </c>
      <c r="CF111" s="3">
        <f>IFERROR(VLOOKUP(L111,SEGURO_TBL,3,0),"")</f>
        <v/>
      </c>
      <c r="CG111" s="3">
        <f>IF(CF111="",NEUTRO,MAX(0,MIN(100,100*(SEG_REF_MAX-CF111)/(SEG_REF_MAX-SEG_REF_MIN))))</f>
        <v/>
      </c>
      <c r="CH111" s="3">
        <f>W_CONS*CE111+W_SEG*CG111</f>
        <v/>
      </c>
      <c r="CI111" s="3">
        <f>IF(N(AB111)&gt;0,AB111,IF(AND(R111="profesional",SG_LEGAL_ON=1),GAR_LEGAL,0))</f>
        <v/>
      </c>
      <c r="CJ111" s="3">
        <f>SG_GAR*MIN(1,CI111/SG_GAR_FULL)+SG_AMPL*(AC111="sí")+SG_KMC*(AF111="sí")+SG_REV*(N(AE111)&gt;0)+SG_DEV*MIN(1,N(AG111)/SG_DEV_FULL)+SG_HIST*(W111="sí")</f>
        <v/>
      </c>
      <c r="CK111" s="3">
        <f>IFERROR(VLOOKUP(L111,CARR_PEN_TBL,2,0),0)</f>
        <v/>
      </c>
      <c r="CL111" s="3">
        <f>W_FIAB*BW111+W_PRECIO*BX111+W_KMEDAD*CB111+W_ANUNCIO*CC111+W_USO*CH111+W_SEGURIDAD*CJ111+W_ETIQUETA*CD111-CK111</f>
        <v/>
      </c>
      <c r="CM111" s="4">
        <f>IF(N(I111)&gt;0,I111,IFERROR(ROUND(_xlfn.NUMBERVALUE(LEFT(G111,FIND(" ",G111&amp;" ")-1),".")*1000,0),99999))</f>
        <v/>
      </c>
      <c r="CN111" s="3">
        <f>IF(R111="profesional",0,IF(O111&lt;CUOTA_VALOR_MAX,IF(BA111&gt;ITP_TRAMO_ALTO,SUMIFS(CF_CUOTA,CF_MAS,ITP_TRAMO_ALTO,CF_CCMIN,"&lt;="&amp;CM111,CF_CCMAX,"&gt;="&amp;CM111),IF(BA111&gt;ITP_TRAMO_BAJO,SUMIFS(CF_CUOTA,CF_MAS,ITP_TRAMO_BAJO,CF_CCMIN,"&lt;="&amp;CM111,CF_CCMAX,"&gt;="&amp;CM111),O111*ITP_TIPO)),O111*ITP_TIPO))</f>
        <v/>
      </c>
      <c r="CO111" s="4">
        <f>IF(R111="profesional",N(AK111),0)</f>
        <v/>
      </c>
      <c r="CP111" s="3">
        <f>IF(AND(R111="profesional",ISNUMBER(AK111),AL111="sí"),0,TASA_DGT)</f>
        <v/>
      </c>
      <c r="CQ111" s="3">
        <f>INFORME_DGT</f>
        <v/>
      </c>
      <c r="CR111" s="4">
        <f>O111+CO111+CN111+CP111+CQ111</f>
        <v/>
      </c>
      <c r="CS111" s="4">
        <f>CR111+N(CF111)</f>
        <v/>
      </c>
      <c r="CT111" s="3">
        <f>IF(CR111&lt;=TOTAL_MAX,"sí",IF(CR111&lt;=TOTAL_MAX+MARGEN_NEG,"negociar","no"))</f>
        <v/>
      </c>
      <c r="CU111" s="4">
        <f>IF(CT111&lt;&gt;"no",COUNTIFS($CT$2:$CT$545,"&lt;&gt;no",$CL$2:$CL$545,"&gt;"&amp;CL111)+COUNTIFS($CT$2:CT111,"&lt;&gt;no",$CL$2:CL111,CL111),"")</f>
        <v/>
      </c>
    </row>
    <row r="112">
      <c r="A112" s="2" t="inlineStr">
        <is>
          <t>cochesnet:71662297</t>
        </is>
      </c>
      <c r="B112" s="2" t="inlineStr">
        <is>
          <t>cochesnet</t>
        </is>
      </c>
      <c r="C112" s="2" t="inlineStr">
        <is>
          <t>https://www.coches.net/dacia-sandero-ambiance-14-5p-gasolina-2008-en-valencia-71662297-covo.aspx</t>
        </is>
      </c>
      <c r="D112" s="2" t="inlineStr">
        <is>
          <t>DACIA Sandero Ambiance 1.4</t>
        </is>
      </c>
      <c r="E112" s="2" t="inlineStr">
        <is>
          <t>Dacia</t>
        </is>
      </c>
      <c r="F112" s="2" t="inlineStr">
        <is>
          <t>Dacia Sandero</t>
        </is>
      </c>
      <c r="G112" s="2" t="inlineStr">
        <is>
          <t>1.4</t>
        </is>
      </c>
      <c r="H112" s="2" t="inlineStr">
        <is>
          <t>Ambiance 1.4</t>
        </is>
      </c>
      <c r="I112" s="2" t="n"/>
      <c r="J112" s="2" t="n"/>
      <c r="K112" s="2" t="inlineStr">
        <is>
          <t>gasolina</t>
        </is>
      </c>
      <c r="L112" s="2" t="inlineStr">
        <is>
          <t>utilitario</t>
        </is>
      </c>
      <c r="M112" s="2" t="n">
        <v>2008</v>
      </c>
      <c r="N112" s="2" t="n">
        <v>184000</v>
      </c>
      <c r="O112" s="2" t="n">
        <v>3200</v>
      </c>
      <c r="P112" s="2" t="inlineStr">
        <is>
          <t>manual</t>
        </is>
      </c>
      <c r="Q112" s="2" t="inlineStr">
        <is>
          <t>no</t>
        </is>
      </c>
      <c r="R112" s="2" t="inlineStr">
        <is>
          <t>particular</t>
        </is>
      </c>
      <c r="S112" s="2" t="inlineStr">
        <is>
          <t>Valencia</t>
        </is>
      </c>
      <c r="T112" s="2" t="inlineStr">
        <is>
          <t>2026-10-02T23:16:12Z</t>
        </is>
      </c>
      <c r="U112" s="2" t="n">
        <v>7</v>
      </c>
      <c r="V112" s="2" t="inlineStr">
        <is>
          <t>sí</t>
        </is>
      </c>
      <c r="W112" s="2" t="inlineStr">
        <is>
          <t>sí</t>
        </is>
      </c>
      <c r="X112" s="2" t="n"/>
      <c r="Y112" s="2" t="n"/>
      <c r="Z112" s="2" t="inlineStr">
        <is>
          <t>no</t>
        </is>
      </c>
      <c r="AA112" s="2" t="n"/>
      <c r="AB112" s="2" t="n"/>
      <c r="AC112" s="2" t="n"/>
      <c r="AD112" s="2" t="n"/>
      <c r="AE112" s="2" t="n"/>
      <c r="AF112" s="2" t="n"/>
      <c r="AG112" s="2" t="n"/>
      <c r="AH112" s="2" t="n">
        <v>3200</v>
      </c>
      <c r="AI112" s="2" t="n"/>
      <c r="AJ112" s="2" t="n"/>
      <c r="AK112" s="2" t="n"/>
      <c r="AL112" s="2" t="n"/>
      <c r="AM112" s="2" t="n">
        <v>0.1</v>
      </c>
      <c r="AN112" s="2" t="n"/>
      <c r="AO112" s="2" t="inlineStr">
        <is>
          <t>12/2008</t>
        </is>
      </c>
      <c r="AP112" s="2" t="n">
        <v>2008</v>
      </c>
      <c r="AQ112" s="2" t="n">
        <v>12</v>
      </c>
      <c r="AR112" s="2" t="inlineStr">
        <is>
          <t>C</t>
        </is>
      </c>
      <c r="AS112" s="2" t="inlineStr">
        <is>
          <t>anuncio</t>
        </is>
      </c>
      <c r="AT112" s="2" t="n">
        <v>3225</v>
      </c>
      <c r="AU112" s="2" t="n">
        <v>4</v>
      </c>
      <c r="AV112" s="2" t="inlineStr">
        <is>
          <t>modelo+año+km</t>
        </is>
      </c>
      <c r="AW112" s="2" t="inlineStr">
        <is>
          <t>wallapop:1307444875 (https://es.wallapop.com/item/dacia-sandero-2008-1307444875)</t>
        </is>
      </c>
      <c r="AX112" s="2" t="inlineStr">
        <is>
          <t>cuota fija ITP: &gt;12 años, hasta 1.500 cc</t>
        </is>
      </c>
      <c r="AY112" s="2" t="inlineStr">
        <is>
          <t xml:space="preserve">Coche en muy buen estado, ITV hasta Febrero 2027, batería recién cambiada, etiqueta ambiental C, gasolina, mantenimiento al día.
Si desean mas fotos e informacion preguntar 
NEGOCIABLES </t>
        </is>
      </c>
      <c r="AZ112" s="2" t="inlineStr">
        <is>
          <t>https://www.coches.net/dacia-sandero-ambiance-14-5p-gasolina-2008-en-valencia-71662297-covo.aspx (window.__INITIAL_PROPS__.ad) /home/user/Alopecia/buscador-coches/raw/cochesnet/83ce804c42af57db.json</t>
        </is>
      </c>
      <c r="BA112" s="3">
        <f>MAX(ANIO_ACTUAL-M112,0)</f>
        <v/>
      </c>
      <c r="BB112" s="4">
        <f>N112/MAX(BA112,0.5)</f>
        <v/>
      </c>
      <c r="BC112" s="4">
        <f>F112</f>
        <v/>
      </c>
      <c r="BD112" s="3">
        <f>BC112&amp;"|"&amp;INT(M112/SEG_ANIO)*SEG_ANIO</f>
        <v/>
      </c>
      <c r="BE112" s="3">
        <f>BD112&amp;"|"&amp;INT(N112/SEG_KM)*SEG_KM</f>
        <v/>
      </c>
      <c r="BF112" s="4">
        <f>COUNTIF($BC$2:$BC$545,BC112)</f>
        <v/>
      </c>
      <c r="BG112" s="4">
        <f>COUNTIF($BD$2:$BD$545,BD112)</f>
        <v/>
      </c>
      <c r="BH112" s="4">
        <f>COUNTIF($BE$2:$BE$545,BE112)</f>
        <v/>
      </c>
      <c r="BI112" s="3">
        <f t="array" ref="BI112">IF(N(AU112)&gt;=MIN_N,AT112,IF(BH112&gt;=MIN_N,MEDIAN(IF($BE$2:$BE$545=BE112,$O$2:$O$545)),IF(BG112&gt;=MIN_N,MEDIAN(IF($BD$2:$BD$545=BD112,$O$2:$O$545)),MEDIAN(IF($BC$2:$BC$545=BC112,$O$2:$O$545)))))</f>
        <v/>
      </c>
      <c r="BJ112" s="3">
        <f>IF(N(AU112)&gt;=MIN_N,"mercado "&amp;AV112,IF(BH112&gt;=MIN_N,"modelo+año+km",IF(BG112&gt;=MIN_N,"modelo+año","modelo")))</f>
        <v/>
      </c>
      <c r="BK112" s="4">
        <f>(BI112-O112)/BI112</f>
        <v/>
      </c>
      <c r="BL112" s="3">
        <f>IF(COUNTIFS(FR_FUEL,K112,FR_YEAR,AP112)&gt;0,1,0)</f>
        <v/>
      </c>
      <c r="BM112" s="3">
        <f>IF(COUNTIFS(FR_FUEL,K112,FR_YEAR,AP112-1)&gt;0,1,0)</f>
        <v/>
      </c>
      <c r="BN112" s="4">
        <f>IF(N(AQ112)&gt;0,AP112*100+AQ112,IF(AND(BL112=1,BM112=1),(AP112-1)*100+1,AP112*100+1))</f>
        <v/>
      </c>
      <c r="BO112" s="3">
        <f>IF(OR(K112="hibrido",K112="glp",K112="gnc",K112="phev"),"ECO",IF(K112="electrico","CERO",IF(K112="gasolina",IF(BN112&gt;=GAS_C_YM,"C",IF(BN112&gt;=GAS_B_YM,"B","A")),IF(K112="diesel",IF(BN112&gt;=DIE_C_YM,"C",IF(BN112&gt;=DIE_B_YM,"B","A")),""))))</f>
        <v/>
      </c>
      <c r="BP112" s="2" t="inlineStr">
        <is>
          <t>C</t>
        </is>
      </c>
      <c r="BQ112" s="4">
        <f>IF(AS112="regla",IF(AND(N(AQ112)=0,BL112=1),"sí","no"),"no")</f>
        <v/>
      </c>
      <c r="BR112" s="3">
        <f>IFERROR(VLOOKUP(F112,MOD_TBL,11,0),IFERROR(VLOOKUP(E112,OCU_TBL,2,0),NEUTRO))</f>
        <v/>
      </c>
      <c r="BS112" s="3">
        <f>SUMIFS(MOT_AJUSTE,MOT_MOTOR,G112,MOT_MARCA,E112,MOT_DESDE,"&lt;="&amp;M112,MOT_HASTA,"&gt;="&amp;M112)+SUMIFS(MOT_AJUSTE,MOT_MOTOR,G112,MOT_MARCA,"(todas)",MOT_DESDE,"&lt;="&amp;M112,MOT_HASTA,"&gt;="&amp;M112)</f>
        <v/>
      </c>
      <c r="BT112" s="3">
        <f>SUMIFS(COMB_AJUSTE,COMB_COMB,K112)</f>
        <v/>
      </c>
      <c r="BU112" s="3">
        <f>COUNTIFS(MOT_MOTOR,G112,MOT_MARCA,E112,MOT_DESDE,"&lt;="&amp;M112,MOT_HASTA,"&gt;="&amp;M112)+COUNTIFS(MOT_MOTOR,G112,MOT_MARCA,"(todas)",MOT_DESDE,"&lt;="&amp;M112,MOT_HASTA,"&gt;="&amp;M112)</f>
        <v/>
      </c>
      <c r="BV112" s="3">
        <f>IF(AND(K112="diesel",BU112=0),MIN(BR112,NEUTRO),BR112)</f>
        <v/>
      </c>
      <c r="BW112" s="4">
        <f>MAX(0,MIN(100,BV112+BS112+BT112))</f>
        <v/>
      </c>
      <c r="BX112" s="3">
        <f>MAX(0,MIN(100,50+BK112*PRECIO_PEND))</f>
        <v/>
      </c>
      <c r="BY112" s="3">
        <f>MAX(0,100*(1-N112/KM_MAX))</f>
        <v/>
      </c>
      <c r="BZ112" s="3">
        <f>IF(BB112&lt;KMA_SOSP,IF(AA112="sí",100,KMA_PEN),IF(BB112&lt;=KMA_IDEAL_MAX,100,MAX(0,100*(KMA_CERO-BB112)/(KMA_CERO-KMA_IDEAL_MAX))))</f>
        <v/>
      </c>
      <c r="CA112" s="3">
        <f>MAX(0,MIN(100,100*(M112-ANIO_MIN)/(ANIO_ACTUAL-ANIO_MIN)))</f>
        <v/>
      </c>
      <c r="CB112" s="3">
        <f>W_KMT*BY112+W_KMA*BZ112+W_EDAD*CA112</f>
        <v/>
      </c>
      <c r="CC112" s="3">
        <f>P_ITV*(V112="sí")+P_LIBRO*(W112="sí")+P_CORREA*(X112="sí")+P_PROP*(Y112=1)+P_GAR*(Z112="sí")+P_FOTOS*MIN(1,N(U112)/FOTOS_OBJ)</f>
        <v/>
      </c>
      <c r="CD112" s="3">
        <f>MAX(0,MIN(100,IFERROR(VLOOKUP(BP112,ETQ_TBL,2,0),0)-IF(BQ112="sí",ETQ_PEN_DUD,IF(AS112="regla",ETQ_PEN_REGLA,0))))</f>
        <v/>
      </c>
      <c r="CE112" s="3">
        <f>NEUTRO</f>
        <v/>
      </c>
      <c r="CF112" s="3">
        <f>IFERROR(VLOOKUP(L112,SEGURO_TBL,3,0),"")</f>
        <v/>
      </c>
      <c r="CG112" s="3">
        <f>IF(CF112="",NEUTRO,MAX(0,MIN(100,100*(SEG_REF_MAX-CF112)/(SEG_REF_MAX-SEG_REF_MIN))))</f>
        <v/>
      </c>
      <c r="CH112" s="3">
        <f>W_CONS*CE112+W_SEG*CG112</f>
        <v/>
      </c>
      <c r="CI112" s="3">
        <f>IF(N(AB112)&gt;0,AB112,IF(AND(R112="profesional",SG_LEGAL_ON=1),GAR_LEGAL,0))</f>
        <v/>
      </c>
      <c r="CJ112" s="3">
        <f>SG_GAR*MIN(1,CI112/SG_GAR_FULL)+SG_AMPL*(AC112="sí")+SG_KMC*(AF112="sí")+SG_REV*(N(AE112)&gt;0)+SG_DEV*MIN(1,N(AG112)/SG_DEV_FULL)+SG_HIST*(W112="sí")</f>
        <v/>
      </c>
      <c r="CK112" s="3">
        <f>IFERROR(VLOOKUP(L112,CARR_PEN_TBL,2,0),0)</f>
        <v/>
      </c>
      <c r="CL112" s="3">
        <f>W_FIAB*BW112+W_PRECIO*BX112+W_KMEDAD*CB112+W_ANUNCIO*CC112+W_USO*CH112+W_SEGURIDAD*CJ112+W_ETIQUETA*CD112-CK112</f>
        <v/>
      </c>
      <c r="CM112" s="4">
        <f>IF(N(I112)&gt;0,I112,IFERROR(ROUND(_xlfn.NUMBERVALUE(LEFT(G112,FIND(" ",G112&amp;" ")-1),".")*1000,0),99999))</f>
        <v/>
      </c>
      <c r="CN112" s="3">
        <f>IF(R112="profesional",0,IF(O112&lt;CUOTA_VALOR_MAX,IF(BA112&gt;ITP_TRAMO_ALTO,SUMIFS(CF_CUOTA,CF_MAS,ITP_TRAMO_ALTO,CF_CCMIN,"&lt;="&amp;CM112,CF_CCMAX,"&gt;="&amp;CM112),IF(BA112&gt;ITP_TRAMO_BAJO,SUMIFS(CF_CUOTA,CF_MAS,ITP_TRAMO_BAJO,CF_CCMIN,"&lt;="&amp;CM112,CF_CCMAX,"&gt;="&amp;CM112),O112*ITP_TIPO)),O112*ITP_TIPO))</f>
        <v/>
      </c>
      <c r="CO112" s="4">
        <f>IF(R112="profesional",N(AK112),0)</f>
        <v/>
      </c>
      <c r="CP112" s="3">
        <f>IF(AND(R112="profesional",ISNUMBER(AK112),AL112="sí"),0,TASA_DGT)</f>
        <v/>
      </c>
      <c r="CQ112" s="3">
        <f>INFORME_DGT</f>
        <v/>
      </c>
      <c r="CR112" s="4">
        <f>O112+CO112+CN112+CP112+CQ112</f>
        <v/>
      </c>
      <c r="CS112" s="4">
        <f>CR112+N(CF112)</f>
        <v/>
      </c>
      <c r="CT112" s="3">
        <f>IF(CR112&lt;=TOTAL_MAX,"sí",IF(CR112&lt;=TOTAL_MAX+MARGEN_NEG,"negociar","no"))</f>
        <v/>
      </c>
      <c r="CU112" s="4">
        <f>IF(CT112&lt;&gt;"no",COUNTIFS($CT$2:$CT$545,"&lt;&gt;no",$CL$2:$CL$545,"&gt;"&amp;CL112)+COUNTIFS($CT$2:CT112,"&lt;&gt;no",$CL$2:CL112,CL112),"")</f>
        <v/>
      </c>
    </row>
    <row r="113">
      <c r="A113" s="2" t="inlineStr">
        <is>
          <t>cochesnet:71576210</t>
        </is>
      </c>
      <c r="B113" s="2" t="inlineStr">
        <is>
          <t>cochesnet</t>
        </is>
      </c>
      <c r="C113" s="2" t="inlineStr">
        <is>
          <t>https://www.coches.net/dacia-sandero-diesel-2010-en-valencia-71576210-covo.aspx</t>
        </is>
      </c>
      <c r="D113" s="2" t="inlineStr">
        <is>
          <t>DACIA Sandero</t>
        </is>
      </c>
      <c r="E113" s="2" t="inlineStr">
        <is>
          <t>Dacia</t>
        </is>
      </c>
      <c r="F113" s="2" t="inlineStr">
        <is>
          <t>Dacia Sandero</t>
        </is>
      </c>
      <c r="G113" s="2" t="n"/>
      <c r="H113" s="2" t="n"/>
      <c r="I113" s="2" t="n"/>
      <c r="J113" s="2" t="n"/>
      <c r="K113" s="2" t="inlineStr">
        <is>
          <t>diesel</t>
        </is>
      </c>
      <c r="L113" s="2" t="inlineStr">
        <is>
          <t>utilitario</t>
        </is>
      </c>
      <c r="M113" s="2" t="n">
        <v>2010</v>
      </c>
      <c r="N113" s="2" t="n">
        <v>210000</v>
      </c>
      <c r="O113" s="2" t="n">
        <v>2650</v>
      </c>
      <c r="P113" s="2" t="inlineStr">
        <is>
          <t>manual</t>
        </is>
      </c>
      <c r="Q113" s="2" t="inlineStr">
        <is>
          <t>no</t>
        </is>
      </c>
      <c r="R113" s="2" t="inlineStr">
        <is>
          <t>particular</t>
        </is>
      </c>
      <c r="S113" s="2" t="inlineStr">
        <is>
          <t>Vinalesa</t>
        </is>
      </c>
      <c r="T113" s="2" t="inlineStr">
        <is>
          <t>2026-09-22T19:10:34Z</t>
        </is>
      </c>
      <c r="U113" s="2" t="n">
        <v>4</v>
      </c>
      <c r="V113" s="2" t="inlineStr">
        <is>
          <t>sí</t>
        </is>
      </c>
      <c r="W113" s="2" t="n"/>
      <c r="X113" s="2" t="n"/>
      <c r="Y113" s="2" t="n"/>
      <c r="Z113" s="2" t="inlineStr">
        <is>
          <t>no</t>
        </is>
      </c>
      <c r="AA113" s="2" t="n"/>
      <c r="AB113" s="2" t="n"/>
      <c r="AC113" s="2" t="n"/>
      <c r="AD113" s="2" t="n"/>
      <c r="AE113" s="2" t="n"/>
      <c r="AF113" s="2" t="n"/>
      <c r="AG113" s="2" t="n"/>
      <c r="AH113" s="2" t="n">
        <v>2650</v>
      </c>
      <c r="AI113" s="2" t="n"/>
      <c r="AJ113" s="2" t="n"/>
      <c r="AK113" s="2" t="n"/>
      <c r="AL113" s="2" t="n"/>
      <c r="AM113" s="2" t="n">
        <v>7.6</v>
      </c>
      <c r="AN113" s="2" t="n"/>
      <c r="AO113" s="2" t="inlineStr">
        <is>
          <t>2010</t>
        </is>
      </c>
      <c r="AP113" s="2" t="n">
        <v>2010</v>
      </c>
      <c r="AQ113" s="2" t="n"/>
      <c r="AR113" s="2" t="n"/>
      <c r="AS113" s="2" t="inlineStr">
        <is>
          <t>regla</t>
        </is>
      </c>
      <c r="AT113" s="2" t="n">
        <v>3800</v>
      </c>
      <c r="AU113" s="2" t="n">
        <v>8</v>
      </c>
      <c r="AV113" s="2" t="inlineStr">
        <is>
          <t>modelo+año</t>
        </is>
      </c>
      <c r="AW113" s="2" t="n"/>
      <c r="AX113" s="2" t="inlineStr">
        <is>
          <t>cilindrada desconocida: se aplica el tramo de cuota fija más alto; cuota fija ITP: &gt;12 años, más de 2.000 cc; diésel: motor sin fuente de fiabilidad (fiabilidad limitada a neutra)</t>
        </is>
      </c>
      <c r="AY113" s="2" t="inlineStr">
        <is>
          <t>Vendo Dacia Sandero 1.5dci 85 caballos coche con ITV hasta julio del 2027. El Coche tiene todos los extras más información por privado. Gracias</t>
        </is>
      </c>
      <c r="AZ113" s="2" t="inlineStr">
        <is>
          <t>https://www.coches.net/dacia-sandero-diesel-2010-en-valencia-71576210-covo.aspx (window.__INITIAL_PROPS__.ad) /home/user/Alopecia/buscador-coches/raw/cochesnet/d350643f0716cfd1.json</t>
        </is>
      </c>
      <c r="BA113" s="3">
        <f>MAX(ANIO_ACTUAL-M113,0)</f>
        <v/>
      </c>
      <c r="BB113" s="4">
        <f>N113/MAX(BA113,0.5)</f>
        <v/>
      </c>
      <c r="BC113" s="4">
        <f>F113</f>
        <v/>
      </c>
      <c r="BD113" s="3">
        <f>BC113&amp;"|"&amp;INT(M113/SEG_ANIO)*SEG_ANIO</f>
        <v/>
      </c>
      <c r="BE113" s="3">
        <f>BD113&amp;"|"&amp;INT(N113/SEG_KM)*SEG_KM</f>
        <v/>
      </c>
      <c r="BF113" s="4">
        <f>COUNTIF($BC$2:$BC$545,BC113)</f>
        <v/>
      </c>
      <c r="BG113" s="4">
        <f>COUNTIF($BD$2:$BD$545,BD113)</f>
        <v/>
      </c>
      <c r="BH113" s="4">
        <f>COUNTIF($BE$2:$BE$545,BE113)</f>
        <v/>
      </c>
      <c r="BI113" s="3">
        <f t="array" ref="BI113">IF(N(AU113)&gt;=MIN_N,AT113,IF(BH113&gt;=MIN_N,MEDIAN(IF($BE$2:$BE$545=BE113,$O$2:$O$545)),IF(BG113&gt;=MIN_N,MEDIAN(IF($BD$2:$BD$545=BD113,$O$2:$O$545)),MEDIAN(IF($BC$2:$BC$545=BC113,$O$2:$O$545)))))</f>
        <v/>
      </c>
      <c r="BJ113" s="3">
        <f>IF(N(AU113)&gt;=MIN_N,"mercado "&amp;AV113,IF(BH113&gt;=MIN_N,"modelo+año+km",IF(BG113&gt;=MIN_N,"modelo+año","modelo")))</f>
        <v/>
      </c>
      <c r="BK113" s="4">
        <f>(BI113-O113)/BI113</f>
        <v/>
      </c>
      <c r="BL113" s="3">
        <f>IF(COUNTIFS(FR_FUEL,K113,FR_YEAR,AP113)&gt;0,1,0)</f>
        <v/>
      </c>
      <c r="BM113" s="3">
        <f>IF(COUNTIFS(FR_FUEL,K113,FR_YEAR,AP113-1)&gt;0,1,0)</f>
        <v/>
      </c>
      <c r="BN113" s="4">
        <f>IF(N(AQ113)&gt;0,AP113*100+AQ113,IF(AND(BL113=1,BM113=1),(AP113-1)*100+1,AP113*100+1))</f>
        <v/>
      </c>
      <c r="BO113" s="3">
        <f>IF(OR(K113="hibrido",K113="glp",K113="gnc",K113="phev"),"ECO",IF(K113="electrico","CERO",IF(K113="gasolina",IF(BN113&gt;=GAS_C_YM,"C",IF(BN113&gt;=GAS_B_YM,"B","A")),IF(K113="diesel",IF(BN113&gt;=DIE_C_YM,"C",IF(BN113&gt;=DIE_B_YM,"B","A")),""))))</f>
        <v/>
      </c>
      <c r="BP113" s="4">
        <f>BO113</f>
        <v/>
      </c>
      <c r="BQ113" s="4">
        <f>IF(AS113="regla",IF(AND(N(AQ113)=0,BL113=1),"sí","no"),"no")</f>
        <v/>
      </c>
      <c r="BR113" s="3">
        <f>IFERROR(VLOOKUP(F113,MOD_TBL,11,0),IFERROR(VLOOKUP(E113,OCU_TBL,2,0),NEUTRO))</f>
        <v/>
      </c>
      <c r="BS113" s="3">
        <f>SUMIFS(MOT_AJUSTE,MOT_MOTOR,G113,MOT_MARCA,E113,MOT_DESDE,"&lt;="&amp;M113,MOT_HASTA,"&gt;="&amp;M113)+SUMIFS(MOT_AJUSTE,MOT_MOTOR,G113,MOT_MARCA,"(todas)",MOT_DESDE,"&lt;="&amp;M113,MOT_HASTA,"&gt;="&amp;M113)</f>
        <v/>
      </c>
      <c r="BT113" s="3">
        <f>SUMIFS(COMB_AJUSTE,COMB_COMB,K113)</f>
        <v/>
      </c>
      <c r="BU113" s="3">
        <f>COUNTIFS(MOT_MOTOR,G113,MOT_MARCA,E113,MOT_DESDE,"&lt;="&amp;M113,MOT_HASTA,"&gt;="&amp;M113)+COUNTIFS(MOT_MOTOR,G113,MOT_MARCA,"(todas)",MOT_DESDE,"&lt;="&amp;M113,MOT_HASTA,"&gt;="&amp;M113)</f>
        <v/>
      </c>
      <c r="BV113" s="3">
        <f>IF(AND(K113="diesel",BU113=0),MIN(BR113,NEUTRO),BR113)</f>
        <v/>
      </c>
      <c r="BW113" s="4">
        <f>MAX(0,MIN(100,BV113+BS113+BT113))</f>
        <v/>
      </c>
      <c r="BX113" s="3">
        <f>MAX(0,MIN(100,50+BK113*PRECIO_PEND))</f>
        <v/>
      </c>
      <c r="BY113" s="3">
        <f>MAX(0,100*(1-N113/KM_MAX))</f>
        <v/>
      </c>
      <c r="BZ113" s="3">
        <f>IF(BB113&lt;KMA_SOSP,IF(AA113="sí",100,KMA_PEN),IF(BB113&lt;=KMA_IDEAL_MAX,100,MAX(0,100*(KMA_CERO-BB113)/(KMA_CERO-KMA_IDEAL_MAX))))</f>
        <v/>
      </c>
      <c r="CA113" s="3">
        <f>MAX(0,MIN(100,100*(M113-ANIO_MIN)/(ANIO_ACTUAL-ANIO_MIN)))</f>
        <v/>
      </c>
      <c r="CB113" s="3">
        <f>W_KMT*BY113+W_KMA*BZ113+W_EDAD*CA113</f>
        <v/>
      </c>
      <c r="CC113" s="3">
        <f>P_ITV*(V113="sí")+P_LIBRO*(W113="sí")+P_CORREA*(X113="sí")+P_PROP*(Y113=1)+P_GAR*(Z113="sí")+P_FOTOS*MIN(1,N(U113)/FOTOS_OBJ)</f>
        <v/>
      </c>
      <c r="CD113" s="3">
        <f>MAX(0,MIN(100,IFERROR(VLOOKUP(BP113,ETQ_TBL,2,0),0)-IF(BQ113="sí",ETQ_PEN_DUD,IF(AS113="regla",ETQ_PEN_REGLA,0))))</f>
        <v/>
      </c>
      <c r="CE113" s="3">
        <f>NEUTRO</f>
        <v/>
      </c>
      <c r="CF113" s="3">
        <f>IFERROR(VLOOKUP(L113,SEGURO_TBL,3,0),"")</f>
        <v/>
      </c>
      <c r="CG113" s="3">
        <f>IF(CF113="",NEUTRO,MAX(0,MIN(100,100*(SEG_REF_MAX-CF113)/(SEG_REF_MAX-SEG_REF_MIN))))</f>
        <v/>
      </c>
      <c r="CH113" s="3">
        <f>W_CONS*CE113+W_SEG*CG113</f>
        <v/>
      </c>
      <c r="CI113" s="3">
        <f>IF(N(AB113)&gt;0,AB113,IF(AND(R113="profesional",SG_LEGAL_ON=1),GAR_LEGAL,0))</f>
        <v/>
      </c>
      <c r="CJ113" s="3">
        <f>SG_GAR*MIN(1,CI113/SG_GAR_FULL)+SG_AMPL*(AC113="sí")+SG_KMC*(AF113="sí")+SG_REV*(N(AE113)&gt;0)+SG_DEV*MIN(1,N(AG113)/SG_DEV_FULL)+SG_HIST*(W113="sí")</f>
        <v/>
      </c>
      <c r="CK113" s="3">
        <f>IFERROR(VLOOKUP(L113,CARR_PEN_TBL,2,0),0)</f>
        <v/>
      </c>
      <c r="CL113" s="3">
        <f>W_FIAB*BW113+W_PRECIO*BX113+W_KMEDAD*CB113+W_ANUNCIO*CC113+W_USO*CH113+W_SEGURIDAD*CJ113+W_ETIQUETA*CD113-CK113</f>
        <v/>
      </c>
      <c r="CM113" s="4">
        <f>IF(N(I113)&gt;0,I113,IFERROR(ROUND(_xlfn.NUMBERVALUE(LEFT(G113,FIND(" ",G113&amp;" ")-1),".")*1000,0),99999))</f>
        <v/>
      </c>
      <c r="CN113" s="3">
        <f>IF(R113="profesional",0,IF(O113&lt;CUOTA_VALOR_MAX,IF(BA113&gt;ITP_TRAMO_ALTO,SUMIFS(CF_CUOTA,CF_MAS,ITP_TRAMO_ALTO,CF_CCMIN,"&lt;="&amp;CM113,CF_CCMAX,"&gt;="&amp;CM113),IF(BA113&gt;ITP_TRAMO_BAJO,SUMIFS(CF_CUOTA,CF_MAS,ITP_TRAMO_BAJO,CF_CCMIN,"&lt;="&amp;CM113,CF_CCMAX,"&gt;="&amp;CM113),O113*ITP_TIPO)),O113*ITP_TIPO))</f>
        <v/>
      </c>
      <c r="CO113" s="4">
        <f>IF(R113="profesional",N(AK113),0)</f>
        <v/>
      </c>
      <c r="CP113" s="3">
        <f>IF(AND(R113="profesional",ISNUMBER(AK113),AL113="sí"),0,TASA_DGT)</f>
        <v/>
      </c>
      <c r="CQ113" s="3">
        <f>INFORME_DGT</f>
        <v/>
      </c>
      <c r="CR113" s="4">
        <f>O113+CO113+CN113+CP113+CQ113</f>
        <v/>
      </c>
      <c r="CS113" s="4">
        <f>CR113+N(CF113)</f>
        <v/>
      </c>
      <c r="CT113" s="3">
        <f>IF(CR113&lt;=TOTAL_MAX,"sí",IF(CR113&lt;=TOTAL_MAX+MARGEN_NEG,"negociar","no"))</f>
        <v/>
      </c>
      <c r="CU113" s="4">
        <f>IF(CT113&lt;&gt;"no",COUNTIFS($CT$2:$CT$545,"&lt;&gt;no",$CL$2:$CL$545,"&gt;"&amp;CL113)+COUNTIFS($CT$2:CT113,"&lt;&gt;no",$CL$2:CL113,CL113),"")</f>
        <v/>
      </c>
    </row>
    <row r="114">
      <c r="A114" s="2" t="inlineStr">
        <is>
          <t>cochesnet:71393663</t>
        </is>
      </c>
      <c r="B114" s="2" t="inlineStr">
        <is>
          <t>cochesnet</t>
        </is>
      </c>
      <c r="C114" s="2" t="inlineStr">
        <is>
          <t>https://www.coches.net/dacia-sandero-gasolina-2010-en-valencia-71393663-covo.aspx</t>
        </is>
      </c>
      <c r="D114" s="2" t="inlineStr">
        <is>
          <t>DACIA Sandero Laureate 1.2 16v</t>
        </is>
      </c>
      <c r="E114" s="2" t="inlineStr">
        <is>
          <t>Dacia</t>
        </is>
      </c>
      <c r="F114" s="2" t="inlineStr">
        <is>
          <t>Dacia Sandero</t>
        </is>
      </c>
      <c r="G114" s="2" t="inlineStr">
        <is>
          <t>1.2</t>
        </is>
      </c>
      <c r="H114" s="2" t="inlineStr">
        <is>
          <t>Laureate 1.2 16v 75cv</t>
        </is>
      </c>
      <c r="I114" s="2" t="n"/>
      <c r="J114" s="2" t="n">
        <v>75</v>
      </c>
      <c r="K114" s="2" t="inlineStr">
        <is>
          <t>gasolina</t>
        </is>
      </c>
      <c r="L114" s="2" t="inlineStr">
        <is>
          <t>utilitario</t>
        </is>
      </c>
      <c r="M114" s="2" t="n">
        <v>2010</v>
      </c>
      <c r="N114" s="2" t="n">
        <v>143000</v>
      </c>
      <c r="O114" s="2" t="n">
        <v>4000</v>
      </c>
      <c r="P114" s="2" t="inlineStr">
        <is>
          <t>manual</t>
        </is>
      </c>
      <c r="Q114" s="2" t="inlineStr">
        <is>
          <t>no</t>
        </is>
      </c>
      <c r="R114" s="2" t="inlineStr">
        <is>
          <t>particular</t>
        </is>
      </c>
      <c r="S114" s="2" t="n"/>
      <c r="T114" s="2" t="inlineStr">
        <is>
          <t>2026-08-30T09:47:21Z</t>
        </is>
      </c>
      <c r="U114" s="2" t="n">
        <v>9</v>
      </c>
      <c r="V114" s="2" t="n"/>
      <c r="W114" s="2" t="n"/>
      <c r="X114" s="2" t="n"/>
      <c r="Y114" s="2" t="n"/>
      <c r="Z114" s="2" t="inlineStr">
        <is>
          <t>no</t>
        </is>
      </c>
      <c r="AA114" s="2" t="n"/>
      <c r="AB114" s="2" t="n"/>
      <c r="AC114" s="2" t="n"/>
      <c r="AD114" s="2" t="n"/>
      <c r="AE114" s="2" t="n"/>
      <c r="AF114" s="2" t="n"/>
      <c r="AG114" s="2" t="n"/>
      <c r="AH114" s="2" t="n">
        <v>4000</v>
      </c>
      <c r="AI114" s="2" t="n"/>
      <c r="AJ114" s="2" t="n"/>
      <c r="AK114" s="2" t="n"/>
      <c r="AL114" s="2" t="n"/>
      <c r="AM114" s="2" t="n"/>
      <c r="AN114" s="2" t="n"/>
      <c r="AO114" s="2" t="inlineStr">
        <is>
          <t>2010</t>
        </is>
      </c>
      <c r="AP114" s="2" t="n">
        <v>2010</v>
      </c>
      <c r="AQ114" s="2" t="n"/>
      <c r="AR114" s="2" t="n"/>
      <c r="AS114" s="2" t="inlineStr">
        <is>
          <t>regla</t>
        </is>
      </c>
      <c r="AT114" s="2" t="n">
        <v>3800</v>
      </c>
      <c r="AU114" s="2" t="n">
        <v>8</v>
      </c>
      <c r="AV114" s="2" t="inlineStr">
        <is>
          <t>modelo+año</t>
        </is>
      </c>
      <c r="AW114" s="2" t="n"/>
      <c r="AX114" s="2" t="inlineStr">
        <is>
          <t>cuota fija ITP: &gt;12 años, hasta 1.500 cc; distancia no verificable (el anuncio solo indica la provincia): confirmar que está a &lt;= 70 km</t>
        </is>
      </c>
      <c r="AY114" s="2" t="inlineStr">
        <is>
          <t xml:space="preserve">aceite, filtros, patillas de freno recién cambiados, itv hace un mes se le hizo, lo único el aire me dejó de enfriar hace una semana! del resto perfecto </t>
        </is>
      </c>
      <c r="AZ114" s="2" t="inlineStr">
        <is>
          <t>https://www.coches.net/dacia-sandero-gasolina-2010-en-valencia-71393663-covo.aspx (window.__INITIAL_PROPS__.ad) /home/user/Alopecia/buscador-coches/raw/cochesnet/f15dade2dad63cd0.json</t>
        </is>
      </c>
      <c r="BA114" s="3">
        <f>MAX(ANIO_ACTUAL-M114,0)</f>
        <v/>
      </c>
      <c r="BB114" s="4">
        <f>N114/MAX(BA114,0.5)</f>
        <v/>
      </c>
      <c r="BC114" s="4">
        <f>F114</f>
        <v/>
      </c>
      <c r="BD114" s="3">
        <f>BC114&amp;"|"&amp;INT(M114/SEG_ANIO)*SEG_ANIO</f>
        <v/>
      </c>
      <c r="BE114" s="3">
        <f>BD114&amp;"|"&amp;INT(N114/SEG_KM)*SEG_KM</f>
        <v/>
      </c>
      <c r="BF114" s="4">
        <f>COUNTIF($BC$2:$BC$545,BC114)</f>
        <v/>
      </c>
      <c r="BG114" s="4">
        <f>COUNTIF($BD$2:$BD$545,BD114)</f>
        <v/>
      </c>
      <c r="BH114" s="4">
        <f>COUNTIF($BE$2:$BE$545,BE114)</f>
        <v/>
      </c>
      <c r="BI114" s="3">
        <f t="array" ref="BI114">IF(N(AU114)&gt;=MIN_N,AT114,IF(BH114&gt;=MIN_N,MEDIAN(IF($BE$2:$BE$545=BE114,$O$2:$O$545)),IF(BG114&gt;=MIN_N,MEDIAN(IF($BD$2:$BD$545=BD114,$O$2:$O$545)),MEDIAN(IF($BC$2:$BC$545=BC114,$O$2:$O$545)))))</f>
        <v/>
      </c>
      <c r="BJ114" s="3">
        <f>IF(N(AU114)&gt;=MIN_N,"mercado "&amp;AV114,IF(BH114&gt;=MIN_N,"modelo+año+km",IF(BG114&gt;=MIN_N,"modelo+año","modelo")))</f>
        <v/>
      </c>
      <c r="BK114" s="4">
        <f>(BI114-O114)/BI114</f>
        <v/>
      </c>
      <c r="BL114" s="3">
        <f>IF(COUNTIFS(FR_FUEL,K114,FR_YEAR,AP114)&gt;0,1,0)</f>
        <v/>
      </c>
      <c r="BM114" s="3">
        <f>IF(COUNTIFS(FR_FUEL,K114,FR_YEAR,AP114-1)&gt;0,1,0)</f>
        <v/>
      </c>
      <c r="BN114" s="4">
        <f>IF(N(AQ114)&gt;0,AP114*100+AQ114,IF(AND(BL114=1,BM114=1),(AP114-1)*100+1,AP114*100+1))</f>
        <v/>
      </c>
      <c r="BO114" s="3">
        <f>IF(OR(K114="hibrido",K114="glp",K114="gnc",K114="phev"),"ECO",IF(K114="electrico","CERO",IF(K114="gasolina",IF(BN114&gt;=GAS_C_YM,"C",IF(BN114&gt;=GAS_B_YM,"B","A")),IF(K114="diesel",IF(BN114&gt;=DIE_C_YM,"C",IF(BN114&gt;=DIE_B_YM,"B","A")),""))))</f>
        <v/>
      </c>
      <c r="BP114" s="4">
        <f>BO114</f>
        <v/>
      </c>
      <c r="BQ114" s="4">
        <f>IF(AS114="regla",IF(AND(N(AQ114)=0,BL114=1),"sí","no"),"no")</f>
        <v/>
      </c>
      <c r="BR114" s="3">
        <f>IFERROR(VLOOKUP(F114,MOD_TBL,11,0),IFERROR(VLOOKUP(E114,OCU_TBL,2,0),NEUTRO))</f>
        <v/>
      </c>
      <c r="BS114" s="3">
        <f>SUMIFS(MOT_AJUSTE,MOT_MOTOR,G114,MOT_MARCA,E114,MOT_DESDE,"&lt;="&amp;M114,MOT_HASTA,"&gt;="&amp;M114)+SUMIFS(MOT_AJUSTE,MOT_MOTOR,G114,MOT_MARCA,"(todas)",MOT_DESDE,"&lt;="&amp;M114,MOT_HASTA,"&gt;="&amp;M114)</f>
        <v/>
      </c>
      <c r="BT114" s="3">
        <f>SUMIFS(COMB_AJUSTE,COMB_COMB,K114)</f>
        <v/>
      </c>
      <c r="BU114" s="3">
        <f>COUNTIFS(MOT_MOTOR,G114,MOT_MARCA,E114,MOT_DESDE,"&lt;="&amp;M114,MOT_HASTA,"&gt;="&amp;M114)+COUNTIFS(MOT_MOTOR,G114,MOT_MARCA,"(todas)",MOT_DESDE,"&lt;="&amp;M114,MOT_HASTA,"&gt;="&amp;M114)</f>
        <v/>
      </c>
      <c r="BV114" s="3">
        <f>IF(AND(K114="diesel",BU114=0),MIN(BR114,NEUTRO),BR114)</f>
        <v/>
      </c>
      <c r="BW114" s="4">
        <f>MAX(0,MIN(100,BV114+BS114+BT114))</f>
        <v/>
      </c>
      <c r="BX114" s="3">
        <f>MAX(0,MIN(100,50+BK114*PRECIO_PEND))</f>
        <v/>
      </c>
      <c r="BY114" s="3">
        <f>MAX(0,100*(1-N114/KM_MAX))</f>
        <v/>
      </c>
      <c r="BZ114" s="3">
        <f>IF(BB114&lt;KMA_SOSP,IF(AA114="sí",100,KMA_PEN),IF(BB114&lt;=KMA_IDEAL_MAX,100,MAX(0,100*(KMA_CERO-BB114)/(KMA_CERO-KMA_IDEAL_MAX))))</f>
        <v/>
      </c>
      <c r="CA114" s="3">
        <f>MAX(0,MIN(100,100*(M114-ANIO_MIN)/(ANIO_ACTUAL-ANIO_MIN)))</f>
        <v/>
      </c>
      <c r="CB114" s="3">
        <f>W_KMT*BY114+W_KMA*BZ114+W_EDAD*CA114</f>
        <v/>
      </c>
      <c r="CC114" s="3">
        <f>P_ITV*(V114="sí")+P_LIBRO*(W114="sí")+P_CORREA*(X114="sí")+P_PROP*(Y114=1)+P_GAR*(Z114="sí")+P_FOTOS*MIN(1,N(U114)/FOTOS_OBJ)</f>
        <v/>
      </c>
      <c r="CD114" s="3">
        <f>MAX(0,MIN(100,IFERROR(VLOOKUP(BP114,ETQ_TBL,2,0),0)-IF(BQ114="sí",ETQ_PEN_DUD,IF(AS114="regla",ETQ_PEN_REGLA,0))))</f>
        <v/>
      </c>
      <c r="CE114" s="3">
        <f>NEUTRO</f>
        <v/>
      </c>
      <c r="CF114" s="3">
        <f>IFERROR(VLOOKUP(L114,SEGURO_TBL,3,0),"")</f>
        <v/>
      </c>
      <c r="CG114" s="3">
        <f>IF(CF114="",NEUTRO,MAX(0,MIN(100,100*(SEG_REF_MAX-CF114)/(SEG_REF_MAX-SEG_REF_MIN))))</f>
        <v/>
      </c>
      <c r="CH114" s="3">
        <f>W_CONS*CE114+W_SEG*CG114</f>
        <v/>
      </c>
      <c r="CI114" s="3">
        <f>IF(N(AB114)&gt;0,AB114,IF(AND(R114="profesional",SG_LEGAL_ON=1),GAR_LEGAL,0))</f>
        <v/>
      </c>
      <c r="CJ114" s="3">
        <f>SG_GAR*MIN(1,CI114/SG_GAR_FULL)+SG_AMPL*(AC114="sí")+SG_KMC*(AF114="sí")+SG_REV*(N(AE114)&gt;0)+SG_DEV*MIN(1,N(AG114)/SG_DEV_FULL)+SG_HIST*(W114="sí")</f>
        <v/>
      </c>
      <c r="CK114" s="3">
        <f>IFERROR(VLOOKUP(L114,CARR_PEN_TBL,2,0),0)</f>
        <v/>
      </c>
      <c r="CL114" s="3">
        <f>W_FIAB*BW114+W_PRECIO*BX114+W_KMEDAD*CB114+W_ANUNCIO*CC114+W_USO*CH114+W_SEGURIDAD*CJ114+W_ETIQUETA*CD114-CK114</f>
        <v/>
      </c>
      <c r="CM114" s="4">
        <f>IF(N(I114)&gt;0,I114,IFERROR(ROUND(_xlfn.NUMBERVALUE(LEFT(G114,FIND(" ",G114&amp;" ")-1),".")*1000,0),99999))</f>
        <v/>
      </c>
      <c r="CN114" s="3">
        <f>IF(R114="profesional",0,IF(O114&lt;CUOTA_VALOR_MAX,IF(BA114&gt;ITP_TRAMO_ALTO,SUMIFS(CF_CUOTA,CF_MAS,ITP_TRAMO_ALTO,CF_CCMIN,"&lt;="&amp;CM114,CF_CCMAX,"&gt;="&amp;CM114),IF(BA114&gt;ITP_TRAMO_BAJO,SUMIFS(CF_CUOTA,CF_MAS,ITP_TRAMO_BAJO,CF_CCMIN,"&lt;="&amp;CM114,CF_CCMAX,"&gt;="&amp;CM114),O114*ITP_TIPO)),O114*ITP_TIPO))</f>
        <v/>
      </c>
      <c r="CO114" s="4">
        <f>IF(R114="profesional",N(AK114),0)</f>
        <v/>
      </c>
      <c r="CP114" s="3">
        <f>IF(AND(R114="profesional",ISNUMBER(AK114),AL114="sí"),0,TASA_DGT)</f>
        <v/>
      </c>
      <c r="CQ114" s="3">
        <f>INFORME_DGT</f>
        <v/>
      </c>
      <c r="CR114" s="4">
        <f>O114+CO114+CN114+CP114+CQ114</f>
        <v/>
      </c>
      <c r="CS114" s="4">
        <f>CR114+N(CF114)</f>
        <v/>
      </c>
      <c r="CT114" s="3">
        <f>IF(CR114&lt;=TOTAL_MAX,"sí",IF(CR114&lt;=TOTAL_MAX+MARGEN_NEG,"negociar","no"))</f>
        <v/>
      </c>
      <c r="CU114" s="4">
        <f>IF(CT114&lt;&gt;"no",COUNTIFS($CT$2:$CT$545,"&lt;&gt;no",$CL$2:$CL$545,"&gt;"&amp;CL114)+COUNTIFS($CT$2:CT114,"&lt;&gt;no",$CL$2:CL114,CL114),"")</f>
        <v/>
      </c>
    </row>
    <row r="115">
      <c r="A115" s="2" t="inlineStr">
        <is>
          <t>cochesnet:71571620</t>
        </is>
      </c>
      <c r="B115" s="2" t="inlineStr">
        <is>
          <t>cochesnet</t>
        </is>
      </c>
      <c r="C115" s="2" t="inlineStr">
        <is>
          <t>https://www.coches.net/dacia-logan-laureate-14-4p-gasolina-2007-en-valencia-71571620-covo.aspx</t>
        </is>
      </c>
      <c r="D115" s="2" t="inlineStr">
        <is>
          <t>DACIA Logan Laureate 1.4</t>
        </is>
      </c>
      <c r="E115" s="2" t="inlineStr">
        <is>
          <t>Dacia</t>
        </is>
      </c>
      <c r="F115" s="2" t="inlineStr">
        <is>
          <t>Dacia Logan</t>
        </is>
      </c>
      <c r="G115" s="2" t="inlineStr">
        <is>
          <t>1.4</t>
        </is>
      </c>
      <c r="H115" s="2" t="inlineStr">
        <is>
          <t>Laureate 1.4</t>
        </is>
      </c>
      <c r="I115" s="2" t="n"/>
      <c r="J115" s="2" t="n"/>
      <c r="K115" s="2" t="inlineStr">
        <is>
          <t>gasolina</t>
        </is>
      </c>
      <c r="L115" s="2" t="inlineStr">
        <is>
          <t>berlina</t>
        </is>
      </c>
      <c r="M115" s="2" t="n">
        <v>2008</v>
      </c>
      <c r="N115" s="2" t="n">
        <v>128293</v>
      </c>
      <c r="O115" s="2" t="n">
        <v>3490</v>
      </c>
      <c r="P115" s="2" t="inlineStr">
        <is>
          <t>manual</t>
        </is>
      </c>
      <c r="Q115" s="2" t="inlineStr">
        <is>
          <t>no</t>
        </is>
      </c>
      <c r="R115" s="2" t="inlineStr">
        <is>
          <t>profesional</t>
        </is>
      </c>
      <c r="S115" s="2" t="inlineStr">
        <is>
          <t>AUTOSCOL Torrent</t>
        </is>
      </c>
      <c r="T115" s="2" t="inlineStr">
        <is>
          <t>2026-09-22T15:40:22Z</t>
        </is>
      </c>
      <c r="U115" s="2" t="n">
        <v>18</v>
      </c>
      <c r="V115" s="2" t="n"/>
      <c r="W115" s="2" t="n"/>
      <c r="X115" s="2" t="n"/>
      <c r="Y115" s="2" t="n"/>
      <c r="Z115" s="2" t="inlineStr">
        <is>
          <t>sí</t>
        </is>
      </c>
      <c r="AA115" s="2" t="n"/>
      <c r="AB115" s="2" t="n">
        <v>12</v>
      </c>
      <c r="AC115" s="2" t="n"/>
      <c r="AD115" s="2" t="n"/>
      <c r="AE115" s="2" t="n"/>
      <c r="AF115" s="2" t="n"/>
      <c r="AG115" s="2" t="n"/>
      <c r="AH115" s="2" t="n">
        <v>3490</v>
      </c>
      <c r="AI115" s="2" t="n"/>
      <c r="AJ115" s="2" t="n"/>
      <c r="AK115" s="2" t="n">
        <v>180</v>
      </c>
      <c r="AL115" s="2" t="inlineStr">
        <is>
          <t>sí</t>
        </is>
      </c>
      <c r="AM115" s="2" t="n">
        <v>8.800000000000001</v>
      </c>
      <c r="AN115" s="2" t="n"/>
      <c r="AO115" s="2" t="inlineStr">
        <is>
          <t>2008</t>
        </is>
      </c>
      <c r="AP115" s="2" t="n">
        <v>2008</v>
      </c>
      <c r="AQ115" s="2" t="n"/>
      <c r="AR115" s="2" t="inlineStr">
        <is>
          <t>C</t>
        </is>
      </c>
      <c r="AS115" s="2" t="inlineStr">
        <is>
          <t>anuncio</t>
        </is>
      </c>
      <c r="AT115" s="2" t="n"/>
      <c r="AU115" s="2" t="n"/>
      <c r="AV115" s="2" t="n"/>
      <c r="AW115" s="2" t="n"/>
      <c r="AX115" s="2" t="inlineStr">
        <is>
          <t>vendedor profesional: sin ITP (operación con IVA/REBU, confirmar en factura); carrocería berlina: -4 puntos</t>
        </is>
      </c>
      <c r="AY115"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AZ115" s="2" t="inlineStr">
        <is>
          <t>https://www.coches.net/dacia-logan-laureate-14-4p-gasolina-2007-en-valencia-71571620-covo.aspx (window.__INITIAL_PROPS__.ad) /home/user/Alopecia/buscador-coches/raw/cochesnet/419db24ec45a6b74.json</t>
        </is>
      </c>
      <c r="BA115" s="3">
        <f>MAX(ANIO_ACTUAL-M115,0)</f>
        <v/>
      </c>
      <c r="BB115" s="4">
        <f>N115/MAX(BA115,0.5)</f>
        <v/>
      </c>
      <c r="BC115" s="4">
        <f>F115</f>
        <v/>
      </c>
      <c r="BD115" s="3">
        <f>BC115&amp;"|"&amp;INT(M115/SEG_ANIO)*SEG_ANIO</f>
        <v/>
      </c>
      <c r="BE115" s="3">
        <f>BD115&amp;"|"&amp;INT(N115/SEG_KM)*SEG_KM</f>
        <v/>
      </c>
      <c r="BF115" s="4">
        <f>COUNTIF($BC$2:$BC$545,BC115)</f>
        <v/>
      </c>
      <c r="BG115" s="4">
        <f>COUNTIF($BD$2:$BD$545,BD115)</f>
        <v/>
      </c>
      <c r="BH115" s="4">
        <f>COUNTIF($BE$2:$BE$545,BE115)</f>
        <v/>
      </c>
      <c r="BI115" s="3">
        <f t="array" ref="BI115">IF(N(AU115)&gt;=MIN_N,AT115,IF(BH115&gt;=MIN_N,MEDIAN(IF($BE$2:$BE$545=BE115,$O$2:$O$545)),IF(BG115&gt;=MIN_N,MEDIAN(IF($BD$2:$BD$545=BD115,$O$2:$O$545)),MEDIAN(IF($BC$2:$BC$545=BC115,$O$2:$O$545)))))</f>
        <v/>
      </c>
      <c r="BJ115" s="3">
        <f>IF(N(AU115)&gt;=MIN_N,"mercado "&amp;AV115,IF(BH115&gt;=MIN_N,"modelo+año+km",IF(BG115&gt;=MIN_N,"modelo+año","modelo")))</f>
        <v/>
      </c>
      <c r="BK115" s="4">
        <f>(BI115-O115)/BI115</f>
        <v/>
      </c>
      <c r="BL115" s="3">
        <f>IF(COUNTIFS(FR_FUEL,K115,FR_YEAR,AP115)&gt;0,1,0)</f>
        <v/>
      </c>
      <c r="BM115" s="3">
        <f>IF(COUNTIFS(FR_FUEL,K115,FR_YEAR,AP115-1)&gt;0,1,0)</f>
        <v/>
      </c>
      <c r="BN115" s="4">
        <f>IF(N(AQ115)&gt;0,AP115*100+AQ115,IF(AND(BL115=1,BM115=1),(AP115-1)*100+1,AP115*100+1))</f>
        <v/>
      </c>
      <c r="BO115" s="3">
        <f>IF(OR(K115="hibrido",K115="glp",K115="gnc",K115="phev"),"ECO",IF(K115="electrico","CERO",IF(K115="gasolina",IF(BN115&gt;=GAS_C_YM,"C",IF(BN115&gt;=GAS_B_YM,"B","A")),IF(K115="diesel",IF(BN115&gt;=DIE_C_YM,"C",IF(BN115&gt;=DIE_B_YM,"B","A")),""))))</f>
        <v/>
      </c>
      <c r="BP115" s="2" t="inlineStr">
        <is>
          <t>C</t>
        </is>
      </c>
      <c r="BQ115" s="4">
        <f>IF(AS115="regla",IF(AND(N(AQ115)=0,BL115=1),"sí","no"),"no")</f>
        <v/>
      </c>
      <c r="BR115" s="3">
        <f>IFERROR(VLOOKUP(F115,MOD_TBL,11,0),IFERROR(VLOOKUP(E115,OCU_TBL,2,0),NEUTRO))</f>
        <v/>
      </c>
      <c r="BS115" s="3">
        <f>SUMIFS(MOT_AJUSTE,MOT_MOTOR,G115,MOT_MARCA,E115,MOT_DESDE,"&lt;="&amp;M115,MOT_HASTA,"&gt;="&amp;M115)+SUMIFS(MOT_AJUSTE,MOT_MOTOR,G115,MOT_MARCA,"(todas)",MOT_DESDE,"&lt;="&amp;M115,MOT_HASTA,"&gt;="&amp;M115)</f>
        <v/>
      </c>
      <c r="BT115" s="3">
        <f>SUMIFS(COMB_AJUSTE,COMB_COMB,K115)</f>
        <v/>
      </c>
      <c r="BU115" s="3">
        <f>COUNTIFS(MOT_MOTOR,G115,MOT_MARCA,E115,MOT_DESDE,"&lt;="&amp;M115,MOT_HASTA,"&gt;="&amp;M115)+COUNTIFS(MOT_MOTOR,G115,MOT_MARCA,"(todas)",MOT_DESDE,"&lt;="&amp;M115,MOT_HASTA,"&gt;="&amp;M115)</f>
        <v/>
      </c>
      <c r="BV115" s="3">
        <f>IF(AND(K115="diesel",BU115=0),MIN(BR115,NEUTRO),BR115)</f>
        <v/>
      </c>
      <c r="BW115" s="4">
        <f>MAX(0,MIN(100,BV115+BS115+BT115))</f>
        <v/>
      </c>
      <c r="BX115" s="3">
        <f>MAX(0,MIN(100,50+BK115*PRECIO_PEND))</f>
        <v/>
      </c>
      <c r="BY115" s="3">
        <f>MAX(0,100*(1-N115/KM_MAX))</f>
        <v/>
      </c>
      <c r="BZ115" s="3">
        <f>IF(BB115&lt;KMA_SOSP,IF(AA115="sí",100,KMA_PEN),IF(BB115&lt;=KMA_IDEAL_MAX,100,MAX(0,100*(KMA_CERO-BB115)/(KMA_CERO-KMA_IDEAL_MAX))))</f>
        <v/>
      </c>
      <c r="CA115" s="3">
        <f>MAX(0,MIN(100,100*(M115-ANIO_MIN)/(ANIO_ACTUAL-ANIO_MIN)))</f>
        <v/>
      </c>
      <c r="CB115" s="3">
        <f>W_KMT*BY115+W_KMA*BZ115+W_EDAD*CA115</f>
        <v/>
      </c>
      <c r="CC115" s="3">
        <f>P_ITV*(V115="sí")+P_LIBRO*(W115="sí")+P_CORREA*(X115="sí")+P_PROP*(Y115=1)+P_GAR*(Z115="sí")+P_FOTOS*MIN(1,N(U115)/FOTOS_OBJ)</f>
        <v/>
      </c>
      <c r="CD115" s="3">
        <f>MAX(0,MIN(100,IFERROR(VLOOKUP(BP115,ETQ_TBL,2,0),0)-IF(BQ115="sí",ETQ_PEN_DUD,IF(AS115="regla",ETQ_PEN_REGLA,0))))</f>
        <v/>
      </c>
      <c r="CE115" s="3">
        <f>NEUTRO</f>
        <v/>
      </c>
      <c r="CF115" s="3">
        <f>IFERROR(VLOOKUP(L115,SEGURO_TBL,3,0),"")</f>
        <v/>
      </c>
      <c r="CG115" s="3">
        <f>IF(CF115="",NEUTRO,MAX(0,MIN(100,100*(SEG_REF_MAX-CF115)/(SEG_REF_MAX-SEG_REF_MIN))))</f>
        <v/>
      </c>
      <c r="CH115" s="3">
        <f>W_CONS*CE115+W_SEG*CG115</f>
        <v/>
      </c>
      <c r="CI115" s="3">
        <f>IF(N(AB115)&gt;0,AB115,IF(AND(R115="profesional",SG_LEGAL_ON=1),GAR_LEGAL,0))</f>
        <v/>
      </c>
      <c r="CJ115" s="3">
        <f>SG_GAR*MIN(1,CI115/SG_GAR_FULL)+SG_AMPL*(AC115="sí")+SG_KMC*(AF115="sí")+SG_REV*(N(AE115)&gt;0)+SG_DEV*MIN(1,N(AG115)/SG_DEV_FULL)+SG_HIST*(W115="sí")</f>
        <v/>
      </c>
      <c r="CK115" s="3">
        <f>IFERROR(VLOOKUP(L115,CARR_PEN_TBL,2,0),0)</f>
        <v/>
      </c>
      <c r="CL115" s="3">
        <f>W_FIAB*BW115+W_PRECIO*BX115+W_KMEDAD*CB115+W_ANUNCIO*CC115+W_USO*CH115+W_SEGURIDAD*CJ115+W_ETIQUETA*CD115-CK115</f>
        <v/>
      </c>
      <c r="CM115" s="4">
        <f>IF(N(I115)&gt;0,I115,IFERROR(ROUND(_xlfn.NUMBERVALUE(LEFT(G115,FIND(" ",G115&amp;" ")-1),".")*1000,0),99999))</f>
        <v/>
      </c>
      <c r="CN115" s="3">
        <f>IF(R115="profesional",0,IF(O115&lt;CUOTA_VALOR_MAX,IF(BA115&gt;ITP_TRAMO_ALTO,SUMIFS(CF_CUOTA,CF_MAS,ITP_TRAMO_ALTO,CF_CCMIN,"&lt;="&amp;CM115,CF_CCMAX,"&gt;="&amp;CM115),IF(BA115&gt;ITP_TRAMO_BAJO,SUMIFS(CF_CUOTA,CF_MAS,ITP_TRAMO_BAJO,CF_CCMIN,"&lt;="&amp;CM115,CF_CCMAX,"&gt;="&amp;CM115),O115*ITP_TIPO)),O115*ITP_TIPO))</f>
        <v/>
      </c>
      <c r="CO115" s="4">
        <f>IF(R115="profesional",N(AK115),0)</f>
        <v/>
      </c>
      <c r="CP115" s="3">
        <f>IF(AND(R115="profesional",ISNUMBER(AK115),AL115="sí"),0,TASA_DGT)</f>
        <v/>
      </c>
      <c r="CQ115" s="3">
        <f>INFORME_DGT</f>
        <v/>
      </c>
      <c r="CR115" s="4">
        <f>O115+CO115+CN115+CP115+CQ115</f>
        <v/>
      </c>
      <c r="CS115" s="4">
        <f>CR115+N(CF115)</f>
        <v/>
      </c>
      <c r="CT115" s="3">
        <f>IF(CR115&lt;=TOTAL_MAX,"sí",IF(CR115&lt;=TOTAL_MAX+MARGEN_NEG,"negociar","no"))</f>
        <v/>
      </c>
      <c r="CU115" s="4">
        <f>IF(CT115&lt;&gt;"no",COUNTIFS($CT$2:$CT$545,"&lt;&gt;no",$CL$2:$CL$545,"&gt;"&amp;CL115)+COUNTIFS($CT$2:CT115,"&lt;&gt;no",$CL$2:CL115,CL115),"")</f>
        <v/>
      </c>
    </row>
    <row r="116">
      <c r="A116" s="2" t="inlineStr">
        <is>
          <t>cochesnet:71833160</t>
        </is>
      </c>
      <c r="B116" s="2" t="inlineStr">
        <is>
          <t>cochesnet</t>
        </is>
      </c>
      <c r="C116" s="2" t="inlineStr">
        <is>
          <t>https://www.coches.net/peugeot-207-confort-14-75-5p-gasolina-2009-en-valencia-71833160-covo.aspx</t>
        </is>
      </c>
      <c r="D116" s="2" t="inlineStr">
        <is>
          <t>PEUGEOT 207 Confort 1.4 75</t>
        </is>
      </c>
      <c r="E116" s="2" t="inlineStr">
        <is>
          <t>Peugeot</t>
        </is>
      </c>
      <c r="F116" s="2" t="inlineStr">
        <is>
          <t>Peugeot 207</t>
        </is>
      </c>
      <c r="G116" s="2" t="inlineStr">
        <is>
          <t>1.4</t>
        </is>
      </c>
      <c r="H116" s="2" t="inlineStr">
        <is>
          <t>Confort 1.4 75</t>
        </is>
      </c>
      <c r="I116" s="2" t="n"/>
      <c r="J116" s="2" t="n"/>
      <c r="K116" s="2" t="inlineStr">
        <is>
          <t>gasolina</t>
        </is>
      </c>
      <c r="L116" s="2" t="inlineStr">
        <is>
          <t>utilitario</t>
        </is>
      </c>
      <c r="M116" s="2" t="n">
        <v>2009</v>
      </c>
      <c r="N116" s="2" t="n">
        <v>95000</v>
      </c>
      <c r="O116" s="2" t="n">
        <v>3990</v>
      </c>
      <c r="P116" s="2" t="inlineStr">
        <is>
          <t>manual</t>
        </is>
      </c>
      <c r="Q116" s="2" t="inlineStr">
        <is>
          <t>no</t>
        </is>
      </c>
      <c r="R116" s="2" t="inlineStr">
        <is>
          <t>profesional</t>
        </is>
      </c>
      <c r="S116" s="2" t="inlineStr">
        <is>
          <t>Prime Cars Alzira Alzira</t>
        </is>
      </c>
      <c r="T116" s="2" t="inlineStr">
        <is>
          <t>2026-10-26T12:09:55Z</t>
        </is>
      </c>
      <c r="U116" s="2" t="n">
        <v>10</v>
      </c>
      <c r="V116" s="2" t="inlineStr">
        <is>
          <t>sí</t>
        </is>
      </c>
      <c r="W116" s="2" t="n"/>
      <c r="X116" s="2" t="inlineStr">
        <is>
          <t>sí</t>
        </is>
      </c>
      <c r="Y116" s="2" t="n"/>
      <c r="Z116" s="2" t="inlineStr">
        <is>
          <t>no</t>
        </is>
      </c>
      <c r="AA116" s="2" t="n"/>
      <c r="AB116" s="2" t="n"/>
      <c r="AC116" s="2" t="n"/>
      <c r="AD116" s="2" t="n"/>
      <c r="AE116" s="2" t="n"/>
      <c r="AF116" s="2" t="n"/>
      <c r="AG116" s="2" t="n"/>
      <c r="AH116" s="2" t="n">
        <v>3990</v>
      </c>
      <c r="AI116" s="2" t="n"/>
      <c r="AJ116" s="2" t="n"/>
      <c r="AK116" s="2" t="n"/>
      <c r="AL116" s="2" t="n"/>
      <c r="AM116" s="2" t="n">
        <v>35.7</v>
      </c>
      <c r="AN116" s="2" t="n"/>
      <c r="AO116" s="2" t="inlineStr">
        <is>
          <t>2009</t>
        </is>
      </c>
      <c r="AP116" s="2" t="n">
        <v>2009</v>
      </c>
      <c r="AQ116" s="2" t="n"/>
      <c r="AR116" s="2" t="inlineStr">
        <is>
          <t>C</t>
        </is>
      </c>
      <c r="AS116" s="2" t="inlineStr">
        <is>
          <t>anuncio</t>
        </is>
      </c>
      <c r="AT116" s="2" t="n">
        <v>4750</v>
      </c>
      <c r="AU116" s="2" t="n">
        <v>13</v>
      </c>
      <c r="AV116" s="2" t="inlineStr">
        <is>
          <t>modelo+año+km</t>
        </is>
      </c>
      <c r="AW116" s="2" t="n"/>
      <c r="AX116" s="2" t="inlineStr">
        <is>
          <t>vendedor profesional: sin ITP (operación con IVA/REBU, confirmar en factura); gastos de gestión del vendedor no indicados: se suma la tasa DGT; preguntar el precio final; fiabilidad del modelo PENDIENTE de fuente (puntuación neutra)</t>
        </is>
      </c>
      <c r="AY116"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AZ116" s="2" t="inlineStr">
        <is>
          <t>https://www.coches.net/peugeot-207-confort-14-75-5p-gasolina-2009-en-valencia-71833160-covo.aspx (window.__INITIAL_PROPS__.ad) /home/user/Alopecia/buscador-coches/raw/cochesnet/0b54a76ea589cdf3.json</t>
        </is>
      </c>
      <c r="BA116" s="3">
        <f>MAX(ANIO_ACTUAL-M116,0)</f>
        <v/>
      </c>
      <c r="BB116" s="4">
        <f>N116/MAX(BA116,0.5)</f>
        <v/>
      </c>
      <c r="BC116" s="4">
        <f>F116</f>
        <v/>
      </c>
      <c r="BD116" s="3">
        <f>BC116&amp;"|"&amp;INT(M116/SEG_ANIO)*SEG_ANIO</f>
        <v/>
      </c>
      <c r="BE116" s="3">
        <f>BD116&amp;"|"&amp;INT(N116/SEG_KM)*SEG_KM</f>
        <v/>
      </c>
      <c r="BF116" s="4">
        <f>COUNTIF($BC$2:$BC$545,BC116)</f>
        <v/>
      </c>
      <c r="BG116" s="4">
        <f>COUNTIF($BD$2:$BD$545,BD116)</f>
        <v/>
      </c>
      <c r="BH116" s="4">
        <f>COUNTIF($BE$2:$BE$545,BE116)</f>
        <v/>
      </c>
      <c r="BI116" s="3">
        <f t="array" ref="BI116">IF(N(AU116)&gt;=MIN_N,AT116,IF(BH116&gt;=MIN_N,MEDIAN(IF($BE$2:$BE$545=BE116,$O$2:$O$545)),IF(BG116&gt;=MIN_N,MEDIAN(IF($BD$2:$BD$545=BD116,$O$2:$O$545)),MEDIAN(IF($BC$2:$BC$545=BC116,$O$2:$O$545)))))</f>
        <v/>
      </c>
      <c r="BJ116" s="3">
        <f>IF(N(AU116)&gt;=MIN_N,"mercado "&amp;AV116,IF(BH116&gt;=MIN_N,"modelo+año+km",IF(BG116&gt;=MIN_N,"modelo+año","modelo")))</f>
        <v/>
      </c>
      <c r="BK116" s="4">
        <f>(BI116-O116)/BI116</f>
        <v/>
      </c>
      <c r="BL116" s="3">
        <f>IF(COUNTIFS(FR_FUEL,K116,FR_YEAR,AP116)&gt;0,1,0)</f>
        <v/>
      </c>
      <c r="BM116" s="3">
        <f>IF(COUNTIFS(FR_FUEL,K116,FR_YEAR,AP116-1)&gt;0,1,0)</f>
        <v/>
      </c>
      <c r="BN116" s="4">
        <f>IF(N(AQ116)&gt;0,AP116*100+AQ116,IF(AND(BL116=1,BM116=1),(AP116-1)*100+1,AP116*100+1))</f>
        <v/>
      </c>
      <c r="BO116" s="3">
        <f>IF(OR(K116="hibrido",K116="glp",K116="gnc",K116="phev"),"ECO",IF(K116="electrico","CERO",IF(K116="gasolina",IF(BN116&gt;=GAS_C_YM,"C",IF(BN116&gt;=GAS_B_YM,"B","A")),IF(K116="diesel",IF(BN116&gt;=DIE_C_YM,"C",IF(BN116&gt;=DIE_B_YM,"B","A")),""))))</f>
        <v/>
      </c>
      <c r="BP116" s="2" t="inlineStr">
        <is>
          <t>C</t>
        </is>
      </c>
      <c r="BQ116" s="4">
        <f>IF(AS116="regla",IF(AND(N(AQ116)=0,BL116=1),"sí","no"),"no")</f>
        <v/>
      </c>
      <c r="BR116" s="3">
        <f>IFERROR(VLOOKUP(F116,MOD_TBL,11,0),IFERROR(VLOOKUP(E116,OCU_TBL,2,0),NEUTRO))</f>
        <v/>
      </c>
      <c r="BS116" s="3">
        <f>SUMIFS(MOT_AJUSTE,MOT_MOTOR,G116,MOT_MARCA,E116,MOT_DESDE,"&lt;="&amp;M116,MOT_HASTA,"&gt;="&amp;M116)+SUMIFS(MOT_AJUSTE,MOT_MOTOR,G116,MOT_MARCA,"(todas)",MOT_DESDE,"&lt;="&amp;M116,MOT_HASTA,"&gt;="&amp;M116)</f>
        <v/>
      </c>
      <c r="BT116" s="3">
        <f>SUMIFS(COMB_AJUSTE,COMB_COMB,K116)</f>
        <v/>
      </c>
      <c r="BU116" s="3">
        <f>COUNTIFS(MOT_MOTOR,G116,MOT_MARCA,E116,MOT_DESDE,"&lt;="&amp;M116,MOT_HASTA,"&gt;="&amp;M116)+COUNTIFS(MOT_MOTOR,G116,MOT_MARCA,"(todas)",MOT_DESDE,"&lt;="&amp;M116,MOT_HASTA,"&gt;="&amp;M116)</f>
        <v/>
      </c>
      <c r="BV116" s="3">
        <f>IF(AND(K116="diesel",BU116=0),MIN(BR116,NEUTRO),BR116)</f>
        <v/>
      </c>
      <c r="BW116" s="4">
        <f>MAX(0,MIN(100,BV116+BS116+BT116))</f>
        <v/>
      </c>
      <c r="BX116" s="3">
        <f>MAX(0,MIN(100,50+BK116*PRECIO_PEND))</f>
        <v/>
      </c>
      <c r="BY116" s="3">
        <f>MAX(0,100*(1-N116/KM_MAX))</f>
        <v/>
      </c>
      <c r="BZ116" s="3">
        <f>IF(BB116&lt;KMA_SOSP,IF(AA116="sí",100,KMA_PEN),IF(BB116&lt;=KMA_IDEAL_MAX,100,MAX(0,100*(KMA_CERO-BB116)/(KMA_CERO-KMA_IDEAL_MAX))))</f>
        <v/>
      </c>
      <c r="CA116" s="3">
        <f>MAX(0,MIN(100,100*(M116-ANIO_MIN)/(ANIO_ACTUAL-ANIO_MIN)))</f>
        <v/>
      </c>
      <c r="CB116" s="3">
        <f>W_KMT*BY116+W_KMA*BZ116+W_EDAD*CA116</f>
        <v/>
      </c>
      <c r="CC116" s="3">
        <f>P_ITV*(V116="sí")+P_LIBRO*(W116="sí")+P_CORREA*(X116="sí")+P_PROP*(Y116=1)+P_GAR*(Z116="sí")+P_FOTOS*MIN(1,N(U116)/FOTOS_OBJ)</f>
        <v/>
      </c>
      <c r="CD116" s="3">
        <f>MAX(0,MIN(100,IFERROR(VLOOKUP(BP116,ETQ_TBL,2,0),0)-IF(BQ116="sí",ETQ_PEN_DUD,IF(AS116="regla",ETQ_PEN_REGLA,0))))</f>
        <v/>
      </c>
      <c r="CE116" s="3">
        <f>NEUTRO</f>
        <v/>
      </c>
      <c r="CF116" s="3">
        <f>IFERROR(VLOOKUP(L116,SEGURO_TBL,3,0),"")</f>
        <v/>
      </c>
      <c r="CG116" s="3">
        <f>IF(CF116="",NEUTRO,MAX(0,MIN(100,100*(SEG_REF_MAX-CF116)/(SEG_REF_MAX-SEG_REF_MIN))))</f>
        <v/>
      </c>
      <c r="CH116" s="3">
        <f>W_CONS*CE116+W_SEG*CG116</f>
        <v/>
      </c>
      <c r="CI116" s="3">
        <f>IF(N(AB116)&gt;0,AB116,IF(AND(R116="profesional",SG_LEGAL_ON=1),GAR_LEGAL,0))</f>
        <v/>
      </c>
      <c r="CJ116" s="3">
        <f>SG_GAR*MIN(1,CI116/SG_GAR_FULL)+SG_AMPL*(AC116="sí")+SG_KMC*(AF116="sí")+SG_REV*(N(AE116)&gt;0)+SG_DEV*MIN(1,N(AG116)/SG_DEV_FULL)+SG_HIST*(W116="sí")</f>
        <v/>
      </c>
      <c r="CK116" s="3">
        <f>IFERROR(VLOOKUP(L116,CARR_PEN_TBL,2,0),0)</f>
        <v/>
      </c>
      <c r="CL116" s="3">
        <f>W_FIAB*BW116+W_PRECIO*BX116+W_KMEDAD*CB116+W_ANUNCIO*CC116+W_USO*CH116+W_SEGURIDAD*CJ116+W_ETIQUETA*CD116-CK116</f>
        <v/>
      </c>
      <c r="CM116" s="4">
        <f>IF(N(I116)&gt;0,I116,IFERROR(ROUND(_xlfn.NUMBERVALUE(LEFT(G116,FIND(" ",G116&amp;" ")-1),".")*1000,0),99999))</f>
        <v/>
      </c>
      <c r="CN116" s="3">
        <f>IF(R116="profesional",0,IF(O116&lt;CUOTA_VALOR_MAX,IF(BA116&gt;ITP_TRAMO_ALTO,SUMIFS(CF_CUOTA,CF_MAS,ITP_TRAMO_ALTO,CF_CCMIN,"&lt;="&amp;CM116,CF_CCMAX,"&gt;="&amp;CM116),IF(BA116&gt;ITP_TRAMO_BAJO,SUMIFS(CF_CUOTA,CF_MAS,ITP_TRAMO_BAJO,CF_CCMIN,"&lt;="&amp;CM116,CF_CCMAX,"&gt;="&amp;CM116),O116*ITP_TIPO)),O116*ITP_TIPO))</f>
        <v/>
      </c>
      <c r="CO116" s="4">
        <f>IF(R116="profesional",N(AK116),0)</f>
        <v/>
      </c>
      <c r="CP116" s="3">
        <f>IF(AND(R116="profesional",ISNUMBER(AK116),AL116="sí"),0,TASA_DGT)</f>
        <v/>
      </c>
      <c r="CQ116" s="3">
        <f>INFORME_DGT</f>
        <v/>
      </c>
      <c r="CR116" s="4">
        <f>O116+CO116+CN116+CP116+CQ116</f>
        <v/>
      </c>
      <c r="CS116" s="4">
        <f>CR116+N(CF116)</f>
        <v/>
      </c>
      <c r="CT116" s="3">
        <f>IF(CR116&lt;=TOTAL_MAX,"sí",IF(CR116&lt;=TOTAL_MAX+MARGEN_NEG,"negociar","no"))</f>
        <v/>
      </c>
      <c r="CU116" s="4">
        <f>IF(CT116&lt;&gt;"no",COUNTIFS($CT$2:$CT$545,"&lt;&gt;no",$CL$2:$CL$545,"&gt;"&amp;CL116)+COUNTIFS($CT$2:CT116,"&lt;&gt;no",$CL$2:CL116,CL116),"")</f>
        <v/>
      </c>
    </row>
    <row r="117">
      <c r="A117" s="2" t="inlineStr">
        <is>
          <t>cochesnet:71712964</t>
        </is>
      </c>
      <c r="B117" s="2" t="inlineStr">
        <is>
          <t>cochesnet</t>
        </is>
      </c>
      <c r="C117" s="2" t="inlineStr">
        <is>
          <t>https://www.coches.net/peugeot-207-gasolina-2009-en-valencia-71712964-covo.aspx</t>
        </is>
      </c>
      <c r="D117" s="2" t="inlineStr">
        <is>
          <t>PEUGEOT 207</t>
        </is>
      </c>
      <c r="E117" s="2" t="inlineStr">
        <is>
          <t>Peugeot</t>
        </is>
      </c>
      <c r="F117" s="2" t="inlineStr">
        <is>
          <t>Peugeot 207</t>
        </is>
      </c>
      <c r="G117" s="2" t="n"/>
      <c r="H117" s="2" t="n"/>
      <c r="I117" s="2" t="n"/>
      <c r="J117" s="2" t="n"/>
      <c r="K117" s="2" t="inlineStr">
        <is>
          <t>gasolina</t>
        </is>
      </c>
      <c r="L117" s="2" t="inlineStr">
        <is>
          <t>utilitario</t>
        </is>
      </c>
      <c r="M117" s="2" t="n">
        <v>2009</v>
      </c>
      <c r="N117" s="2" t="n">
        <v>133000</v>
      </c>
      <c r="O117" s="2" t="n">
        <v>3900</v>
      </c>
      <c r="P117" s="2" t="inlineStr">
        <is>
          <t>manual</t>
        </is>
      </c>
      <c r="Q117" s="2" t="inlineStr">
        <is>
          <t>no</t>
        </is>
      </c>
      <c r="R117" s="2" t="inlineStr">
        <is>
          <t>particular</t>
        </is>
      </c>
      <c r="S117" s="2" t="n"/>
      <c r="T117" s="2" t="inlineStr">
        <is>
          <t>2026-10-09T12:31:01Z</t>
        </is>
      </c>
      <c r="U117" s="2" t="n">
        <v>6</v>
      </c>
      <c r="V117" s="2" t="inlineStr">
        <is>
          <t>sí</t>
        </is>
      </c>
      <c r="W117" s="2" t="n"/>
      <c r="X117" s="2" t="n"/>
      <c r="Y117" s="2" t="n"/>
      <c r="Z117" s="2" t="inlineStr">
        <is>
          <t>no</t>
        </is>
      </c>
      <c r="AA117" s="2" t="n"/>
      <c r="AB117" s="2" t="n"/>
      <c r="AC117" s="2" t="n"/>
      <c r="AD117" s="2" t="n"/>
      <c r="AE117" s="2" t="n"/>
      <c r="AF117" s="2" t="n"/>
      <c r="AG117" s="2" t="n"/>
      <c r="AH117" s="2" t="n">
        <v>3900</v>
      </c>
      <c r="AI117" s="2" t="n"/>
      <c r="AJ117" s="2" t="n"/>
      <c r="AK117" s="2" t="n"/>
      <c r="AL117" s="2" t="n"/>
      <c r="AM117" s="2" t="n"/>
      <c r="AN117" s="2" t="n"/>
      <c r="AO117" s="2" t="inlineStr">
        <is>
          <t>2009</t>
        </is>
      </c>
      <c r="AP117" s="2" t="n">
        <v>2009</v>
      </c>
      <c r="AQ117" s="2" t="n"/>
      <c r="AR117" s="2" t="n"/>
      <c r="AS117" s="2" t="inlineStr">
        <is>
          <t>regla</t>
        </is>
      </c>
      <c r="AT117" s="2" t="n">
        <v>3550</v>
      </c>
      <c r="AU117" s="2" t="n">
        <v>30</v>
      </c>
      <c r="AV117" s="2" t="inlineStr">
        <is>
          <t>modelo+año+km</t>
        </is>
      </c>
      <c r="AW117" s="2" t="n"/>
      <c r="AX117"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117" s="2" t="inlineStr">
        <is>
          <t xml:space="preserve">Peugeot 207 cabrio 1.6i 133.000km 
itv recién pasada 
Aire acondicionando funcionando
2 llaves 
Etiqueta C
</t>
        </is>
      </c>
      <c r="AZ117" s="2" t="inlineStr">
        <is>
          <t>https://www.coches.net/peugeot-207-gasolina-2009-en-valencia-71712964-covo.aspx (window.__INITIAL_PROPS__.ad) /home/user/Alopecia/buscador-coches/raw/cochesnet/3e63472acf74901b.json</t>
        </is>
      </c>
      <c r="BA117" s="3">
        <f>MAX(ANIO_ACTUAL-M117,0)</f>
        <v/>
      </c>
      <c r="BB117" s="4">
        <f>N117/MAX(BA117,0.5)</f>
        <v/>
      </c>
      <c r="BC117" s="4">
        <f>F117</f>
        <v/>
      </c>
      <c r="BD117" s="3">
        <f>BC117&amp;"|"&amp;INT(M117/SEG_ANIO)*SEG_ANIO</f>
        <v/>
      </c>
      <c r="BE117" s="3">
        <f>BD117&amp;"|"&amp;INT(N117/SEG_KM)*SEG_KM</f>
        <v/>
      </c>
      <c r="BF117" s="4">
        <f>COUNTIF($BC$2:$BC$545,BC117)</f>
        <v/>
      </c>
      <c r="BG117" s="4">
        <f>COUNTIF($BD$2:$BD$545,BD117)</f>
        <v/>
      </c>
      <c r="BH117" s="4">
        <f>COUNTIF($BE$2:$BE$545,BE117)</f>
        <v/>
      </c>
      <c r="BI117" s="3">
        <f t="array" ref="BI117">IF(N(AU117)&gt;=MIN_N,AT117,IF(BH117&gt;=MIN_N,MEDIAN(IF($BE$2:$BE$545=BE117,$O$2:$O$545)),IF(BG117&gt;=MIN_N,MEDIAN(IF($BD$2:$BD$545=BD117,$O$2:$O$545)),MEDIAN(IF($BC$2:$BC$545=BC117,$O$2:$O$545)))))</f>
        <v/>
      </c>
      <c r="BJ117" s="3">
        <f>IF(N(AU117)&gt;=MIN_N,"mercado "&amp;AV117,IF(BH117&gt;=MIN_N,"modelo+año+km",IF(BG117&gt;=MIN_N,"modelo+año","modelo")))</f>
        <v/>
      </c>
      <c r="BK117" s="4">
        <f>(BI117-O117)/BI117</f>
        <v/>
      </c>
      <c r="BL117" s="3">
        <f>IF(COUNTIFS(FR_FUEL,K117,FR_YEAR,AP117)&gt;0,1,0)</f>
        <v/>
      </c>
      <c r="BM117" s="3">
        <f>IF(COUNTIFS(FR_FUEL,K117,FR_YEAR,AP117-1)&gt;0,1,0)</f>
        <v/>
      </c>
      <c r="BN117" s="4">
        <f>IF(N(AQ117)&gt;0,AP117*100+AQ117,IF(AND(BL117=1,BM117=1),(AP117-1)*100+1,AP117*100+1))</f>
        <v/>
      </c>
      <c r="BO117" s="3">
        <f>IF(OR(K117="hibrido",K117="glp",K117="gnc",K117="phev"),"ECO",IF(K117="electrico","CERO",IF(K117="gasolina",IF(BN117&gt;=GAS_C_YM,"C",IF(BN117&gt;=GAS_B_YM,"B","A")),IF(K117="diesel",IF(BN117&gt;=DIE_C_YM,"C",IF(BN117&gt;=DIE_B_YM,"B","A")),""))))</f>
        <v/>
      </c>
      <c r="BP117" s="4">
        <f>BO117</f>
        <v/>
      </c>
      <c r="BQ117" s="4">
        <f>IF(AS117="regla",IF(AND(N(AQ117)=0,BL117=1),"sí","no"),"no")</f>
        <v/>
      </c>
      <c r="BR117" s="3">
        <f>IFERROR(VLOOKUP(F117,MOD_TBL,11,0),IFERROR(VLOOKUP(E117,OCU_TBL,2,0),NEUTRO))</f>
        <v/>
      </c>
      <c r="BS117" s="3">
        <f>SUMIFS(MOT_AJUSTE,MOT_MOTOR,G117,MOT_MARCA,E117,MOT_DESDE,"&lt;="&amp;M117,MOT_HASTA,"&gt;="&amp;M117)+SUMIFS(MOT_AJUSTE,MOT_MOTOR,G117,MOT_MARCA,"(todas)",MOT_DESDE,"&lt;="&amp;M117,MOT_HASTA,"&gt;="&amp;M117)</f>
        <v/>
      </c>
      <c r="BT117" s="3">
        <f>SUMIFS(COMB_AJUSTE,COMB_COMB,K117)</f>
        <v/>
      </c>
      <c r="BU117" s="3">
        <f>COUNTIFS(MOT_MOTOR,G117,MOT_MARCA,E117,MOT_DESDE,"&lt;="&amp;M117,MOT_HASTA,"&gt;="&amp;M117)+COUNTIFS(MOT_MOTOR,G117,MOT_MARCA,"(todas)",MOT_DESDE,"&lt;="&amp;M117,MOT_HASTA,"&gt;="&amp;M117)</f>
        <v/>
      </c>
      <c r="BV117" s="3">
        <f>IF(AND(K117="diesel",BU117=0),MIN(BR117,NEUTRO),BR117)</f>
        <v/>
      </c>
      <c r="BW117" s="4">
        <f>MAX(0,MIN(100,BV117+BS117+BT117))</f>
        <v/>
      </c>
      <c r="BX117" s="3">
        <f>MAX(0,MIN(100,50+BK117*PRECIO_PEND))</f>
        <v/>
      </c>
      <c r="BY117" s="3">
        <f>MAX(0,100*(1-N117/KM_MAX))</f>
        <v/>
      </c>
      <c r="BZ117" s="3">
        <f>IF(BB117&lt;KMA_SOSP,IF(AA117="sí",100,KMA_PEN),IF(BB117&lt;=KMA_IDEAL_MAX,100,MAX(0,100*(KMA_CERO-BB117)/(KMA_CERO-KMA_IDEAL_MAX))))</f>
        <v/>
      </c>
      <c r="CA117" s="3">
        <f>MAX(0,MIN(100,100*(M117-ANIO_MIN)/(ANIO_ACTUAL-ANIO_MIN)))</f>
        <v/>
      </c>
      <c r="CB117" s="3">
        <f>W_KMT*BY117+W_KMA*BZ117+W_EDAD*CA117</f>
        <v/>
      </c>
      <c r="CC117" s="3">
        <f>P_ITV*(V117="sí")+P_LIBRO*(W117="sí")+P_CORREA*(X117="sí")+P_PROP*(Y117=1)+P_GAR*(Z117="sí")+P_FOTOS*MIN(1,N(U117)/FOTOS_OBJ)</f>
        <v/>
      </c>
      <c r="CD117" s="3">
        <f>MAX(0,MIN(100,IFERROR(VLOOKUP(BP117,ETQ_TBL,2,0),0)-IF(BQ117="sí",ETQ_PEN_DUD,IF(AS117="regla",ETQ_PEN_REGLA,0))))</f>
        <v/>
      </c>
      <c r="CE117" s="3">
        <f>NEUTRO</f>
        <v/>
      </c>
      <c r="CF117" s="3">
        <f>IFERROR(VLOOKUP(L117,SEGURO_TBL,3,0),"")</f>
        <v/>
      </c>
      <c r="CG117" s="3">
        <f>IF(CF117="",NEUTRO,MAX(0,MIN(100,100*(SEG_REF_MAX-CF117)/(SEG_REF_MAX-SEG_REF_MIN))))</f>
        <v/>
      </c>
      <c r="CH117" s="3">
        <f>W_CONS*CE117+W_SEG*CG117</f>
        <v/>
      </c>
      <c r="CI117" s="3">
        <f>IF(N(AB117)&gt;0,AB117,IF(AND(R117="profesional",SG_LEGAL_ON=1),GAR_LEGAL,0))</f>
        <v/>
      </c>
      <c r="CJ117" s="3">
        <f>SG_GAR*MIN(1,CI117/SG_GAR_FULL)+SG_AMPL*(AC117="sí")+SG_KMC*(AF117="sí")+SG_REV*(N(AE117)&gt;0)+SG_DEV*MIN(1,N(AG117)/SG_DEV_FULL)+SG_HIST*(W117="sí")</f>
        <v/>
      </c>
      <c r="CK117" s="3">
        <f>IFERROR(VLOOKUP(L117,CARR_PEN_TBL,2,0),0)</f>
        <v/>
      </c>
      <c r="CL117" s="3">
        <f>W_FIAB*BW117+W_PRECIO*BX117+W_KMEDAD*CB117+W_ANUNCIO*CC117+W_USO*CH117+W_SEGURIDAD*CJ117+W_ETIQUETA*CD117-CK117</f>
        <v/>
      </c>
      <c r="CM117" s="4">
        <f>IF(N(I117)&gt;0,I117,IFERROR(ROUND(_xlfn.NUMBERVALUE(LEFT(G117,FIND(" ",G117&amp;" ")-1),".")*1000,0),99999))</f>
        <v/>
      </c>
      <c r="CN117" s="3">
        <f>IF(R117="profesional",0,IF(O117&lt;CUOTA_VALOR_MAX,IF(BA117&gt;ITP_TRAMO_ALTO,SUMIFS(CF_CUOTA,CF_MAS,ITP_TRAMO_ALTO,CF_CCMIN,"&lt;="&amp;CM117,CF_CCMAX,"&gt;="&amp;CM117),IF(BA117&gt;ITP_TRAMO_BAJO,SUMIFS(CF_CUOTA,CF_MAS,ITP_TRAMO_BAJO,CF_CCMIN,"&lt;="&amp;CM117,CF_CCMAX,"&gt;="&amp;CM117),O117*ITP_TIPO)),O117*ITP_TIPO))</f>
        <v/>
      </c>
      <c r="CO117" s="4">
        <f>IF(R117="profesional",N(AK117),0)</f>
        <v/>
      </c>
      <c r="CP117" s="3">
        <f>IF(AND(R117="profesional",ISNUMBER(AK117),AL117="sí"),0,TASA_DGT)</f>
        <v/>
      </c>
      <c r="CQ117" s="3">
        <f>INFORME_DGT</f>
        <v/>
      </c>
      <c r="CR117" s="4">
        <f>O117+CO117+CN117+CP117+CQ117</f>
        <v/>
      </c>
      <c r="CS117" s="4">
        <f>CR117+N(CF117)</f>
        <v/>
      </c>
      <c r="CT117" s="3">
        <f>IF(CR117&lt;=TOTAL_MAX,"sí",IF(CR117&lt;=TOTAL_MAX+MARGEN_NEG,"negociar","no"))</f>
        <v/>
      </c>
      <c r="CU117" s="4">
        <f>IF(CT117&lt;&gt;"no",COUNTIFS($CT$2:$CT$545,"&lt;&gt;no",$CL$2:$CL$545,"&gt;"&amp;CL117)+COUNTIFS($CT$2:CT117,"&lt;&gt;no",$CL$2:CL117,CL117),"")</f>
        <v/>
      </c>
    </row>
    <row r="118">
      <c r="A118" s="2" t="inlineStr">
        <is>
          <t>cochesnet:71674977</t>
        </is>
      </c>
      <c r="B118" s="2" t="inlineStr">
        <is>
          <t>cochesnet</t>
        </is>
      </c>
      <c r="C118" s="2" t="inlineStr">
        <is>
          <t>https://www.coches.net/peugeot-207-active-14i-75-5p-gasolina-2012-en-valencia-71674977-covo.aspx</t>
        </is>
      </c>
      <c r="D118" s="2" t="inlineStr">
        <is>
          <t>PEUGEOT 207 ACTIVE 1.4i 75</t>
        </is>
      </c>
      <c r="E118" s="2" t="inlineStr">
        <is>
          <t>Peugeot</t>
        </is>
      </c>
      <c r="F118" s="2" t="inlineStr">
        <is>
          <t>Peugeot 207</t>
        </is>
      </c>
      <c r="G118" s="2" t="inlineStr">
        <is>
          <t>1.4</t>
        </is>
      </c>
      <c r="H118" s="2" t="inlineStr">
        <is>
          <t>ACTIVE 1.4i 75</t>
        </is>
      </c>
      <c r="I118" s="2" t="n"/>
      <c r="J118" s="2" t="n"/>
      <c r="K118" s="2" t="inlineStr">
        <is>
          <t>gasolina</t>
        </is>
      </c>
      <c r="L118" s="2" t="inlineStr">
        <is>
          <t>utilitario</t>
        </is>
      </c>
      <c r="M118" s="2" t="n">
        <v>2012</v>
      </c>
      <c r="N118" s="2" t="n">
        <v>139000</v>
      </c>
      <c r="O118" s="2" t="n">
        <v>4500</v>
      </c>
      <c r="P118" s="2" t="inlineStr">
        <is>
          <t>manual</t>
        </is>
      </c>
      <c r="Q118" s="2" t="inlineStr">
        <is>
          <t>no</t>
        </is>
      </c>
      <c r="R118" s="2" t="inlineStr">
        <is>
          <t>particular</t>
        </is>
      </c>
      <c r="S118" s="2" t="inlineStr">
        <is>
          <t>Valencia</t>
        </is>
      </c>
      <c r="T118" s="2" t="inlineStr">
        <is>
          <t>2026-10-05T12:20:38Z</t>
        </is>
      </c>
      <c r="U118" s="2" t="n">
        <v>12</v>
      </c>
      <c r="V118" s="2" t="inlineStr">
        <is>
          <t>sí</t>
        </is>
      </c>
      <c r="W118" s="2" t="n"/>
      <c r="X118" s="2" t="n"/>
      <c r="Y118" s="2" t="n"/>
      <c r="Z118" s="2" t="inlineStr">
        <is>
          <t>no</t>
        </is>
      </c>
      <c r="AA118" s="2" t="n"/>
      <c r="AB118" s="2" t="n"/>
      <c r="AC118" s="2" t="n"/>
      <c r="AD118" s="2" t="n"/>
      <c r="AE118" s="2" t="n"/>
      <c r="AF118" s="2" t="n"/>
      <c r="AG118" s="2" t="n"/>
      <c r="AH118" s="2" t="n">
        <v>4500</v>
      </c>
      <c r="AI118" s="2" t="n"/>
      <c r="AJ118" s="2" t="n"/>
      <c r="AK118" s="2" t="n"/>
      <c r="AL118" s="2" t="n"/>
      <c r="AM118" s="2" t="n">
        <v>0.1</v>
      </c>
      <c r="AN118" s="2" t="n"/>
      <c r="AO118" s="2" t="inlineStr">
        <is>
          <t>2012</t>
        </is>
      </c>
      <c r="AP118" s="2" t="n">
        <v>2012</v>
      </c>
      <c r="AQ118" s="2" t="n"/>
      <c r="AR118" s="2" t="inlineStr">
        <is>
          <t>C</t>
        </is>
      </c>
      <c r="AS118" s="2" t="inlineStr">
        <is>
          <t>anuncio</t>
        </is>
      </c>
      <c r="AT118" s="2" t="n">
        <v>4490</v>
      </c>
      <c r="AU118" s="2" t="n">
        <v>15</v>
      </c>
      <c r="AV118" s="2" t="inlineStr">
        <is>
          <t>modelo+año+km</t>
        </is>
      </c>
      <c r="AW118" s="2" t="n"/>
      <c r="AX118" s="2" t="inlineStr">
        <is>
          <t>cuota fija ITP: &gt;12 años, hasta 1.500 cc; fiabilidad del modelo PENDIENTE de fuente (puntuación neutra)</t>
        </is>
      </c>
      <c r="AY118" s="2" t="inlineStr">
        <is>
          <t>Peugeot 207 en muy buen estado, cuidado y listo para seguir disfrutando.
El coche funciona perfectamente, tanto de motor como de cambio y demás elementos, y tiene la ITV en vigor. Se han realizado sus mantenimientos correspondientes y dispongo de copias de los mantenimientos/facturas, para que el comprador pueda consultar su historial.
Se entrega con 2 llaves.
Cuenta con el equipamiento indicado en el anuncio, incluyendo Bluetooth y los diferentes elementos de confort y equipamiento de esta versión. Un coche práctico, cómodo y económico para el día a día, ideal tanto para ciudad como para carretera.
Se puede ver y probar sin compromiso. Venta seria y transparente; el coche se puede revisar con tranquilidad antes de la compra.
ITV en vigor · 2 llaves · Mantenimientos documentados · Bluetooth · Funciona perfectamente.</t>
        </is>
      </c>
      <c r="AZ118" s="2" t="inlineStr">
        <is>
          <t>https://www.coches.net/peugeot-207-active-14i-75-5p-gasolina-2012-en-valencia-71674977-covo.aspx (window.__INITIAL_PROPS__.ad) /home/user/Alopecia/buscador-coches/raw/cochesnet/d1245cedf0895d79.json</t>
        </is>
      </c>
      <c r="BA118" s="3">
        <f>MAX(ANIO_ACTUAL-M118,0)</f>
        <v/>
      </c>
      <c r="BB118" s="4">
        <f>N118/MAX(BA118,0.5)</f>
        <v/>
      </c>
      <c r="BC118" s="4">
        <f>F118</f>
        <v/>
      </c>
      <c r="BD118" s="3">
        <f>BC118&amp;"|"&amp;INT(M118/SEG_ANIO)*SEG_ANIO</f>
        <v/>
      </c>
      <c r="BE118" s="3">
        <f>BD118&amp;"|"&amp;INT(N118/SEG_KM)*SEG_KM</f>
        <v/>
      </c>
      <c r="BF118" s="4">
        <f>COUNTIF($BC$2:$BC$545,BC118)</f>
        <v/>
      </c>
      <c r="BG118" s="4">
        <f>COUNTIF($BD$2:$BD$545,BD118)</f>
        <v/>
      </c>
      <c r="BH118" s="4">
        <f>COUNTIF($BE$2:$BE$545,BE118)</f>
        <v/>
      </c>
      <c r="BI118" s="3">
        <f t="array" ref="BI118">IF(N(AU118)&gt;=MIN_N,AT118,IF(BH118&gt;=MIN_N,MEDIAN(IF($BE$2:$BE$545=BE118,$O$2:$O$545)),IF(BG118&gt;=MIN_N,MEDIAN(IF($BD$2:$BD$545=BD118,$O$2:$O$545)),MEDIAN(IF($BC$2:$BC$545=BC118,$O$2:$O$545)))))</f>
        <v/>
      </c>
      <c r="BJ118" s="3">
        <f>IF(N(AU118)&gt;=MIN_N,"mercado "&amp;AV118,IF(BH118&gt;=MIN_N,"modelo+año+km",IF(BG118&gt;=MIN_N,"modelo+año","modelo")))</f>
        <v/>
      </c>
      <c r="BK118" s="4">
        <f>(BI118-O118)/BI118</f>
        <v/>
      </c>
      <c r="BL118" s="3">
        <f>IF(COUNTIFS(FR_FUEL,K118,FR_YEAR,AP118)&gt;0,1,0)</f>
        <v/>
      </c>
      <c r="BM118" s="3">
        <f>IF(COUNTIFS(FR_FUEL,K118,FR_YEAR,AP118-1)&gt;0,1,0)</f>
        <v/>
      </c>
      <c r="BN118" s="4">
        <f>IF(N(AQ118)&gt;0,AP118*100+AQ118,IF(AND(BL118=1,BM118=1),(AP118-1)*100+1,AP118*100+1))</f>
        <v/>
      </c>
      <c r="BO118" s="3">
        <f>IF(OR(K118="hibrido",K118="glp",K118="gnc",K118="phev"),"ECO",IF(K118="electrico","CERO",IF(K118="gasolina",IF(BN118&gt;=GAS_C_YM,"C",IF(BN118&gt;=GAS_B_YM,"B","A")),IF(K118="diesel",IF(BN118&gt;=DIE_C_YM,"C",IF(BN118&gt;=DIE_B_YM,"B","A")),""))))</f>
        <v/>
      </c>
      <c r="BP118" s="2" t="inlineStr">
        <is>
          <t>C</t>
        </is>
      </c>
      <c r="BQ118" s="4">
        <f>IF(AS118="regla",IF(AND(N(AQ118)=0,BL118=1),"sí","no"),"no")</f>
        <v/>
      </c>
      <c r="BR118" s="3">
        <f>IFERROR(VLOOKUP(F118,MOD_TBL,11,0),IFERROR(VLOOKUP(E118,OCU_TBL,2,0),NEUTRO))</f>
        <v/>
      </c>
      <c r="BS118" s="3">
        <f>SUMIFS(MOT_AJUSTE,MOT_MOTOR,G118,MOT_MARCA,E118,MOT_DESDE,"&lt;="&amp;M118,MOT_HASTA,"&gt;="&amp;M118)+SUMIFS(MOT_AJUSTE,MOT_MOTOR,G118,MOT_MARCA,"(todas)",MOT_DESDE,"&lt;="&amp;M118,MOT_HASTA,"&gt;="&amp;M118)</f>
        <v/>
      </c>
      <c r="BT118" s="3">
        <f>SUMIFS(COMB_AJUSTE,COMB_COMB,K118)</f>
        <v/>
      </c>
      <c r="BU118" s="3">
        <f>COUNTIFS(MOT_MOTOR,G118,MOT_MARCA,E118,MOT_DESDE,"&lt;="&amp;M118,MOT_HASTA,"&gt;="&amp;M118)+COUNTIFS(MOT_MOTOR,G118,MOT_MARCA,"(todas)",MOT_DESDE,"&lt;="&amp;M118,MOT_HASTA,"&gt;="&amp;M118)</f>
        <v/>
      </c>
      <c r="BV118" s="3">
        <f>IF(AND(K118="diesel",BU118=0),MIN(BR118,NEUTRO),BR118)</f>
        <v/>
      </c>
      <c r="BW118" s="4">
        <f>MAX(0,MIN(100,BV118+BS118+BT118))</f>
        <v/>
      </c>
      <c r="BX118" s="3">
        <f>MAX(0,MIN(100,50+BK118*PRECIO_PEND))</f>
        <v/>
      </c>
      <c r="BY118" s="3">
        <f>MAX(0,100*(1-N118/KM_MAX))</f>
        <v/>
      </c>
      <c r="BZ118" s="3">
        <f>IF(BB118&lt;KMA_SOSP,IF(AA118="sí",100,KMA_PEN),IF(BB118&lt;=KMA_IDEAL_MAX,100,MAX(0,100*(KMA_CERO-BB118)/(KMA_CERO-KMA_IDEAL_MAX))))</f>
        <v/>
      </c>
      <c r="CA118" s="3">
        <f>MAX(0,MIN(100,100*(M118-ANIO_MIN)/(ANIO_ACTUAL-ANIO_MIN)))</f>
        <v/>
      </c>
      <c r="CB118" s="3">
        <f>W_KMT*BY118+W_KMA*BZ118+W_EDAD*CA118</f>
        <v/>
      </c>
      <c r="CC118" s="3">
        <f>P_ITV*(V118="sí")+P_LIBRO*(W118="sí")+P_CORREA*(X118="sí")+P_PROP*(Y118=1)+P_GAR*(Z118="sí")+P_FOTOS*MIN(1,N(U118)/FOTOS_OBJ)</f>
        <v/>
      </c>
      <c r="CD118" s="3">
        <f>MAX(0,MIN(100,IFERROR(VLOOKUP(BP118,ETQ_TBL,2,0),0)-IF(BQ118="sí",ETQ_PEN_DUD,IF(AS118="regla",ETQ_PEN_REGLA,0))))</f>
        <v/>
      </c>
      <c r="CE118" s="3">
        <f>NEUTRO</f>
        <v/>
      </c>
      <c r="CF118" s="3">
        <f>IFERROR(VLOOKUP(L118,SEGURO_TBL,3,0),"")</f>
        <v/>
      </c>
      <c r="CG118" s="3">
        <f>IF(CF118="",NEUTRO,MAX(0,MIN(100,100*(SEG_REF_MAX-CF118)/(SEG_REF_MAX-SEG_REF_MIN))))</f>
        <v/>
      </c>
      <c r="CH118" s="3">
        <f>W_CONS*CE118+W_SEG*CG118</f>
        <v/>
      </c>
      <c r="CI118" s="3">
        <f>IF(N(AB118)&gt;0,AB118,IF(AND(R118="profesional",SG_LEGAL_ON=1),GAR_LEGAL,0))</f>
        <v/>
      </c>
      <c r="CJ118" s="3">
        <f>SG_GAR*MIN(1,CI118/SG_GAR_FULL)+SG_AMPL*(AC118="sí")+SG_KMC*(AF118="sí")+SG_REV*(N(AE118)&gt;0)+SG_DEV*MIN(1,N(AG118)/SG_DEV_FULL)+SG_HIST*(W118="sí")</f>
        <v/>
      </c>
      <c r="CK118" s="3">
        <f>IFERROR(VLOOKUP(L118,CARR_PEN_TBL,2,0),0)</f>
        <v/>
      </c>
      <c r="CL118" s="3">
        <f>W_FIAB*BW118+W_PRECIO*BX118+W_KMEDAD*CB118+W_ANUNCIO*CC118+W_USO*CH118+W_SEGURIDAD*CJ118+W_ETIQUETA*CD118-CK118</f>
        <v/>
      </c>
      <c r="CM118" s="4">
        <f>IF(N(I118)&gt;0,I118,IFERROR(ROUND(_xlfn.NUMBERVALUE(LEFT(G118,FIND(" ",G118&amp;" ")-1),".")*1000,0),99999))</f>
        <v/>
      </c>
      <c r="CN118" s="3">
        <f>IF(R118="profesional",0,IF(O118&lt;CUOTA_VALOR_MAX,IF(BA118&gt;ITP_TRAMO_ALTO,SUMIFS(CF_CUOTA,CF_MAS,ITP_TRAMO_ALTO,CF_CCMIN,"&lt;="&amp;CM118,CF_CCMAX,"&gt;="&amp;CM118),IF(BA118&gt;ITP_TRAMO_BAJO,SUMIFS(CF_CUOTA,CF_MAS,ITP_TRAMO_BAJO,CF_CCMIN,"&lt;="&amp;CM118,CF_CCMAX,"&gt;="&amp;CM118),O118*ITP_TIPO)),O118*ITP_TIPO))</f>
        <v/>
      </c>
      <c r="CO118" s="4">
        <f>IF(R118="profesional",N(AK118),0)</f>
        <v/>
      </c>
      <c r="CP118" s="3">
        <f>IF(AND(R118="profesional",ISNUMBER(AK118),AL118="sí"),0,TASA_DGT)</f>
        <v/>
      </c>
      <c r="CQ118" s="3">
        <f>INFORME_DGT</f>
        <v/>
      </c>
      <c r="CR118" s="4">
        <f>O118+CO118+CN118+CP118+CQ118</f>
        <v/>
      </c>
      <c r="CS118" s="4">
        <f>CR118+N(CF118)</f>
        <v/>
      </c>
      <c r="CT118" s="3">
        <f>IF(CR118&lt;=TOTAL_MAX,"sí",IF(CR118&lt;=TOTAL_MAX+MARGEN_NEG,"negociar","no"))</f>
        <v/>
      </c>
      <c r="CU118" s="4">
        <f>IF(CT118&lt;&gt;"no",COUNTIFS($CT$2:$CT$545,"&lt;&gt;no",$CL$2:$CL$545,"&gt;"&amp;CL118)+COUNTIFS($CT$2:CT118,"&lt;&gt;no",$CL$2:CL118,CL118),"")</f>
        <v/>
      </c>
    </row>
    <row r="119">
      <c r="A119" s="2" t="inlineStr">
        <is>
          <t>cochesnet:71608687</t>
        </is>
      </c>
      <c r="B119" s="2" t="inlineStr">
        <is>
          <t>cochesnet</t>
        </is>
      </c>
      <c r="C119" s="2" t="inlineStr">
        <is>
          <t>https://www.coches.net/peugeot-207-sport-14-vti-16v-95-3p-gasolina-2009-en-valencia-71608687-covo.aspx</t>
        </is>
      </c>
      <c r="D119" s="2" t="inlineStr">
        <is>
          <t>PEUGEOT 207 Sport 1.4 VTi 16v 95</t>
        </is>
      </c>
      <c r="E119" s="2" t="inlineStr">
        <is>
          <t>Peugeot</t>
        </is>
      </c>
      <c r="F119" s="2" t="inlineStr">
        <is>
          <t>Peugeot 207</t>
        </is>
      </c>
      <c r="G119" s="2" t="inlineStr">
        <is>
          <t>1.4 VTi</t>
        </is>
      </c>
      <c r="H119" s="2" t="inlineStr">
        <is>
          <t>Sport 1.4 VTi 16v 95</t>
        </is>
      </c>
      <c r="I119" s="2" t="n"/>
      <c r="J119" s="2" t="n"/>
      <c r="K119" s="2" t="inlineStr">
        <is>
          <t>gasolina</t>
        </is>
      </c>
      <c r="L119" s="2" t="inlineStr">
        <is>
          <t>utilitario</t>
        </is>
      </c>
      <c r="M119" s="2" t="n">
        <v>2009</v>
      </c>
      <c r="N119" s="2" t="n">
        <v>156000</v>
      </c>
      <c r="O119" s="2" t="n">
        <v>4100</v>
      </c>
      <c r="P119" s="2" t="inlineStr">
        <is>
          <t>manual</t>
        </is>
      </c>
      <c r="Q119" s="2" t="inlineStr">
        <is>
          <t>no</t>
        </is>
      </c>
      <c r="R119" s="2" t="inlineStr">
        <is>
          <t>particular</t>
        </is>
      </c>
      <c r="S119" s="2" t="inlineStr">
        <is>
          <t>Gandia</t>
        </is>
      </c>
      <c r="T119" s="2" t="inlineStr">
        <is>
          <t>2026-09-27T15:52:05Z</t>
        </is>
      </c>
      <c r="U119" s="2" t="n">
        <v>8</v>
      </c>
      <c r="V119" s="2" t="n"/>
      <c r="W119" s="2" t="n"/>
      <c r="X119" s="2" t="n"/>
      <c r="Y119" s="2" t="n"/>
      <c r="Z119" s="2" t="inlineStr">
        <is>
          <t>no</t>
        </is>
      </c>
      <c r="AA119" s="2" t="n"/>
      <c r="AB119" s="2" t="n"/>
      <c r="AC119" s="2" t="n"/>
      <c r="AD119" s="2" t="n"/>
      <c r="AE119" s="2" t="n"/>
      <c r="AF119" s="2" t="n"/>
      <c r="AG119" s="2" t="n"/>
      <c r="AH119" s="2" t="n">
        <v>4100</v>
      </c>
      <c r="AI119" s="2" t="n"/>
      <c r="AJ119" s="2" t="n"/>
      <c r="AK119" s="2" t="n"/>
      <c r="AL119" s="2" t="n"/>
      <c r="AM119" s="2" t="n">
        <v>58.4</v>
      </c>
      <c r="AN119" s="2" t="n"/>
      <c r="AO119" s="2" t="inlineStr">
        <is>
          <t>12/2009</t>
        </is>
      </c>
      <c r="AP119" s="2" t="n">
        <v>2009</v>
      </c>
      <c r="AQ119" s="2" t="n">
        <v>12</v>
      </c>
      <c r="AR119" s="2" t="inlineStr">
        <is>
          <t>C</t>
        </is>
      </c>
      <c r="AS119" s="2" t="inlineStr">
        <is>
          <t>anuncio</t>
        </is>
      </c>
      <c r="AT119" s="2" t="n">
        <v>3600</v>
      </c>
      <c r="AU119" s="2" t="n">
        <v>21</v>
      </c>
      <c r="AV119" s="2" t="inlineStr">
        <is>
          <t>modelo+año+km</t>
        </is>
      </c>
      <c r="AW119" s="2" t="n"/>
      <c r="AX119" s="2" t="inlineStr">
        <is>
          <t>cuota fija ITP: &gt;12 años, hasta 1.500 cc; fiabilidad del modelo PENDIENTE de fuente (puntuación neutra)</t>
        </is>
      </c>
      <c r="AY119" s="2" t="inlineStr">
        <is>
          <t>Peugeot 207 versión Restyling (facelift 2009) con acabado Sport. Coche ideal como primer vehículo o para desplazamientos diarios.
* Año: 2009 (Restyling)
* Kilómetros: 156.000 km
* Motor: 1.4 VTi 95 CV (Gasolina - Motor con cadena de distribución, sin gastos de cambio de correa)
* Cambio: Manual de 5 velocidades
* Carrocería: 3 puertas
* Etiqueta DGT: C
Puntos clave y equipamiento destacado
(Acabado Sport):
* Estética exterior mejorada: Frontal con rejilla cromada y paragolpes deportivo post-restyling, faros antiniebla integrados y llantas de aleación.
* Interior y confort: Asientos deportivos con mayor sujeción lateral, aire acondicionado / climatizador, ordenador de a bordo y elevalunas eléctricos.
* Mantenimiento: Al día de mecánica, ITV en regla hasta enero del 2027.
Coche ágil y cómodo de aparcar. Acepto prueba mecánica sin compromiso.
Ubicación: Playa de Gandía
Precio: 4.100 €</t>
        </is>
      </c>
      <c r="AZ119" s="2" t="inlineStr">
        <is>
          <t>https://www.coches.net/peugeot-207-sport-14-vti-16v-95-3p-gasolina-2009-en-valencia-71608687-covo.aspx (window.__INITIAL_PROPS__.ad) /home/user/Alopecia/buscador-coches/raw/cochesnet/845605bd212f67b6.json</t>
        </is>
      </c>
      <c r="BA119" s="3">
        <f>MAX(ANIO_ACTUAL-M119,0)</f>
        <v/>
      </c>
      <c r="BB119" s="4">
        <f>N119/MAX(BA119,0.5)</f>
        <v/>
      </c>
      <c r="BC119" s="4">
        <f>F119</f>
        <v/>
      </c>
      <c r="BD119" s="3">
        <f>BC119&amp;"|"&amp;INT(M119/SEG_ANIO)*SEG_ANIO</f>
        <v/>
      </c>
      <c r="BE119" s="3">
        <f>BD119&amp;"|"&amp;INT(N119/SEG_KM)*SEG_KM</f>
        <v/>
      </c>
      <c r="BF119" s="4">
        <f>COUNTIF($BC$2:$BC$545,BC119)</f>
        <v/>
      </c>
      <c r="BG119" s="4">
        <f>COUNTIF($BD$2:$BD$545,BD119)</f>
        <v/>
      </c>
      <c r="BH119" s="4">
        <f>COUNTIF($BE$2:$BE$545,BE119)</f>
        <v/>
      </c>
      <c r="BI119" s="3">
        <f t="array" ref="BI119">IF(N(AU119)&gt;=MIN_N,AT119,IF(BH119&gt;=MIN_N,MEDIAN(IF($BE$2:$BE$545=BE119,$O$2:$O$545)),IF(BG119&gt;=MIN_N,MEDIAN(IF($BD$2:$BD$545=BD119,$O$2:$O$545)),MEDIAN(IF($BC$2:$BC$545=BC119,$O$2:$O$545)))))</f>
        <v/>
      </c>
      <c r="BJ119" s="3">
        <f>IF(N(AU119)&gt;=MIN_N,"mercado "&amp;AV119,IF(BH119&gt;=MIN_N,"modelo+año+km",IF(BG119&gt;=MIN_N,"modelo+año","modelo")))</f>
        <v/>
      </c>
      <c r="BK119" s="4">
        <f>(BI119-O119)/BI119</f>
        <v/>
      </c>
      <c r="BL119" s="3">
        <f>IF(COUNTIFS(FR_FUEL,K119,FR_YEAR,AP119)&gt;0,1,0)</f>
        <v/>
      </c>
      <c r="BM119" s="3">
        <f>IF(COUNTIFS(FR_FUEL,K119,FR_YEAR,AP119-1)&gt;0,1,0)</f>
        <v/>
      </c>
      <c r="BN119" s="4">
        <f>IF(N(AQ119)&gt;0,AP119*100+AQ119,IF(AND(BL119=1,BM119=1),(AP119-1)*100+1,AP119*100+1))</f>
        <v/>
      </c>
      <c r="BO119" s="3">
        <f>IF(OR(K119="hibrido",K119="glp",K119="gnc",K119="phev"),"ECO",IF(K119="electrico","CERO",IF(K119="gasolina",IF(BN119&gt;=GAS_C_YM,"C",IF(BN119&gt;=GAS_B_YM,"B","A")),IF(K119="diesel",IF(BN119&gt;=DIE_C_YM,"C",IF(BN119&gt;=DIE_B_YM,"B","A")),""))))</f>
        <v/>
      </c>
      <c r="BP119" s="2" t="inlineStr">
        <is>
          <t>C</t>
        </is>
      </c>
      <c r="BQ119" s="4">
        <f>IF(AS119="regla",IF(AND(N(AQ119)=0,BL119=1),"sí","no"),"no")</f>
        <v/>
      </c>
      <c r="BR119" s="3">
        <f>IFERROR(VLOOKUP(F119,MOD_TBL,11,0),IFERROR(VLOOKUP(E119,OCU_TBL,2,0),NEUTRO))</f>
        <v/>
      </c>
      <c r="BS119" s="3">
        <f>SUMIFS(MOT_AJUSTE,MOT_MOTOR,G119,MOT_MARCA,E119,MOT_DESDE,"&lt;="&amp;M119,MOT_HASTA,"&gt;="&amp;M119)+SUMIFS(MOT_AJUSTE,MOT_MOTOR,G119,MOT_MARCA,"(todas)",MOT_DESDE,"&lt;="&amp;M119,MOT_HASTA,"&gt;="&amp;M119)</f>
        <v/>
      </c>
      <c r="BT119" s="3">
        <f>SUMIFS(COMB_AJUSTE,COMB_COMB,K119)</f>
        <v/>
      </c>
      <c r="BU119" s="3">
        <f>COUNTIFS(MOT_MOTOR,G119,MOT_MARCA,E119,MOT_DESDE,"&lt;="&amp;M119,MOT_HASTA,"&gt;="&amp;M119)+COUNTIFS(MOT_MOTOR,G119,MOT_MARCA,"(todas)",MOT_DESDE,"&lt;="&amp;M119,MOT_HASTA,"&gt;="&amp;M119)</f>
        <v/>
      </c>
      <c r="BV119" s="3">
        <f>IF(AND(K119="diesel",BU119=0),MIN(BR119,NEUTRO),BR119)</f>
        <v/>
      </c>
      <c r="BW119" s="4">
        <f>MAX(0,MIN(100,BV119+BS119+BT119))</f>
        <v/>
      </c>
      <c r="BX119" s="3">
        <f>MAX(0,MIN(100,50+BK119*PRECIO_PEND))</f>
        <v/>
      </c>
      <c r="BY119" s="3">
        <f>MAX(0,100*(1-N119/KM_MAX))</f>
        <v/>
      </c>
      <c r="BZ119" s="3">
        <f>IF(BB119&lt;KMA_SOSP,IF(AA119="sí",100,KMA_PEN),IF(BB119&lt;=KMA_IDEAL_MAX,100,MAX(0,100*(KMA_CERO-BB119)/(KMA_CERO-KMA_IDEAL_MAX))))</f>
        <v/>
      </c>
      <c r="CA119" s="3">
        <f>MAX(0,MIN(100,100*(M119-ANIO_MIN)/(ANIO_ACTUAL-ANIO_MIN)))</f>
        <v/>
      </c>
      <c r="CB119" s="3">
        <f>W_KMT*BY119+W_KMA*BZ119+W_EDAD*CA119</f>
        <v/>
      </c>
      <c r="CC119" s="3">
        <f>P_ITV*(V119="sí")+P_LIBRO*(W119="sí")+P_CORREA*(X119="sí")+P_PROP*(Y119=1)+P_GAR*(Z119="sí")+P_FOTOS*MIN(1,N(U119)/FOTOS_OBJ)</f>
        <v/>
      </c>
      <c r="CD119" s="3">
        <f>MAX(0,MIN(100,IFERROR(VLOOKUP(BP119,ETQ_TBL,2,0),0)-IF(BQ119="sí",ETQ_PEN_DUD,IF(AS119="regla",ETQ_PEN_REGLA,0))))</f>
        <v/>
      </c>
      <c r="CE119" s="3">
        <f>NEUTRO</f>
        <v/>
      </c>
      <c r="CF119" s="3">
        <f>IFERROR(VLOOKUP(L119,SEGURO_TBL,3,0),"")</f>
        <v/>
      </c>
      <c r="CG119" s="3">
        <f>IF(CF119="",NEUTRO,MAX(0,MIN(100,100*(SEG_REF_MAX-CF119)/(SEG_REF_MAX-SEG_REF_MIN))))</f>
        <v/>
      </c>
      <c r="CH119" s="3">
        <f>W_CONS*CE119+W_SEG*CG119</f>
        <v/>
      </c>
      <c r="CI119" s="3">
        <f>IF(N(AB119)&gt;0,AB119,IF(AND(R119="profesional",SG_LEGAL_ON=1),GAR_LEGAL,0))</f>
        <v/>
      </c>
      <c r="CJ119" s="3">
        <f>SG_GAR*MIN(1,CI119/SG_GAR_FULL)+SG_AMPL*(AC119="sí")+SG_KMC*(AF119="sí")+SG_REV*(N(AE119)&gt;0)+SG_DEV*MIN(1,N(AG119)/SG_DEV_FULL)+SG_HIST*(W119="sí")</f>
        <v/>
      </c>
      <c r="CK119" s="3">
        <f>IFERROR(VLOOKUP(L119,CARR_PEN_TBL,2,0),0)</f>
        <v/>
      </c>
      <c r="CL119" s="3">
        <f>W_FIAB*BW119+W_PRECIO*BX119+W_KMEDAD*CB119+W_ANUNCIO*CC119+W_USO*CH119+W_SEGURIDAD*CJ119+W_ETIQUETA*CD119-CK119</f>
        <v/>
      </c>
      <c r="CM119" s="4">
        <f>IF(N(I119)&gt;0,I119,IFERROR(ROUND(_xlfn.NUMBERVALUE(LEFT(G119,FIND(" ",G119&amp;" ")-1),".")*1000,0),99999))</f>
        <v/>
      </c>
      <c r="CN119" s="3">
        <f>IF(R119="profesional",0,IF(O119&lt;CUOTA_VALOR_MAX,IF(BA119&gt;ITP_TRAMO_ALTO,SUMIFS(CF_CUOTA,CF_MAS,ITP_TRAMO_ALTO,CF_CCMIN,"&lt;="&amp;CM119,CF_CCMAX,"&gt;="&amp;CM119),IF(BA119&gt;ITP_TRAMO_BAJO,SUMIFS(CF_CUOTA,CF_MAS,ITP_TRAMO_BAJO,CF_CCMIN,"&lt;="&amp;CM119,CF_CCMAX,"&gt;="&amp;CM119),O119*ITP_TIPO)),O119*ITP_TIPO))</f>
        <v/>
      </c>
      <c r="CO119" s="4">
        <f>IF(R119="profesional",N(AK119),0)</f>
        <v/>
      </c>
      <c r="CP119" s="3">
        <f>IF(AND(R119="profesional",ISNUMBER(AK119),AL119="sí"),0,TASA_DGT)</f>
        <v/>
      </c>
      <c r="CQ119" s="3">
        <f>INFORME_DGT</f>
        <v/>
      </c>
      <c r="CR119" s="4">
        <f>O119+CO119+CN119+CP119+CQ119</f>
        <v/>
      </c>
      <c r="CS119" s="4">
        <f>CR119+N(CF119)</f>
        <v/>
      </c>
      <c r="CT119" s="3">
        <f>IF(CR119&lt;=TOTAL_MAX,"sí",IF(CR119&lt;=TOTAL_MAX+MARGEN_NEG,"negociar","no"))</f>
        <v/>
      </c>
      <c r="CU119" s="4">
        <f>IF(CT119&lt;&gt;"no",COUNTIFS($CT$2:$CT$545,"&lt;&gt;no",$CL$2:$CL$545,"&gt;"&amp;CL119)+COUNTIFS($CT$2:CT119,"&lt;&gt;no",$CL$2:CL119,CL119),"")</f>
        <v/>
      </c>
    </row>
    <row r="120">
      <c r="A120" s="2" t="inlineStr">
        <is>
          <t>cochesnet:71607247</t>
        </is>
      </c>
      <c r="B120" s="2" t="inlineStr">
        <is>
          <t>cochesnet</t>
        </is>
      </c>
      <c r="C120" s="2" t="inlineStr">
        <is>
          <t>https://www.coches.net/peugeot-207-diesel-2008-en-valencia-71607247-covo.aspx</t>
        </is>
      </c>
      <c r="D120" s="2" t="inlineStr">
        <is>
          <t>PEUGEOT 207</t>
        </is>
      </c>
      <c r="E120" s="2" t="inlineStr">
        <is>
          <t>Peugeot</t>
        </is>
      </c>
      <c r="F120" s="2" t="inlineStr">
        <is>
          <t>Peugeot 207</t>
        </is>
      </c>
      <c r="G120" s="2" t="n"/>
      <c r="H120" s="2" t="n"/>
      <c r="I120" s="2" t="n"/>
      <c r="J120" s="2" t="n"/>
      <c r="K120" s="2" t="inlineStr">
        <is>
          <t>diesel</t>
        </is>
      </c>
      <c r="L120" s="2" t="inlineStr">
        <is>
          <t>utilitario</t>
        </is>
      </c>
      <c r="M120" s="2" t="n">
        <v>2008</v>
      </c>
      <c r="N120" s="2" t="n">
        <v>157000</v>
      </c>
      <c r="O120" s="2" t="n">
        <v>3500</v>
      </c>
      <c r="P120" s="2" t="inlineStr">
        <is>
          <t>manual</t>
        </is>
      </c>
      <c r="Q120" s="2" t="inlineStr">
        <is>
          <t>no</t>
        </is>
      </c>
      <c r="R120" s="2" t="inlineStr">
        <is>
          <t>particular</t>
        </is>
      </c>
      <c r="S120" s="2" t="n"/>
      <c r="T120" s="2" t="inlineStr">
        <is>
          <t>2026-09-27T07:50:52Z</t>
        </is>
      </c>
      <c r="U120" s="2" t="n">
        <v>6</v>
      </c>
      <c r="V120" s="2" t="inlineStr">
        <is>
          <t>sí</t>
        </is>
      </c>
      <c r="W120" s="2" t="n"/>
      <c r="X120" s="2" t="n"/>
      <c r="Y120" s="2" t="n"/>
      <c r="Z120" s="2" t="inlineStr">
        <is>
          <t>no</t>
        </is>
      </c>
      <c r="AA120" s="2" t="n"/>
      <c r="AB120" s="2" t="n"/>
      <c r="AC120" s="2" t="n"/>
      <c r="AD120" s="2" t="n"/>
      <c r="AE120" s="2" t="n"/>
      <c r="AF120" s="2" t="n"/>
      <c r="AG120" s="2" t="n"/>
      <c r="AH120" s="2" t="n">
        <v>3500</v>
      </c>
      <c r="AI120" s="2" t="n"/>
      <c r="AJ120" s="2" t="n"/>
      <c r="AK120" s="2" t="n"/>
      <c r="AL120" s="2" t="n"/>
      <c r="AM120" s="2" t="n"/>
      <c r="AN120" s="2" t="n"/>
      <c r="AO120" s="2" t="inlineStr">
        <is>
          <t>2008</t>
        </is>
      </c>
      <c r="AP120" s="2" t="n">
        <v>2008</v>
      </c>
      <c r="AQ120" s="2" t="n"/>
      <c r="AR120" s="2" t="n"/>
      <c r="AS120" s="2" t="inlineStr">
        <is>
          <t>regla</t>
        </is>
      </c>
      <c r="AT120" s="2" t="n">
        <v>3600</v>
      </c>
      <c r="AU120" s="2" t="n">
        <v>21</v>
      </c>
      <c r="AV120" s="2" t="inlineStr">
        <is>
          <t>modelo+año+km</t>
        </is>
      </c>
      <c r="AW120" s="2" t="n"/>
      <c r="AX12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20" s="2" t="inlineStr">
        <is>
          <t>Itv pasada en septiembre 2026</t>
        </is>
      </c>
      <c r="AZ120" s="2" t="inlineStr">
        <is>
          <t>https://www.coches.net/peugeot-207-diesel-2008-en-valencia-71607247-covo.aspx (window.__INITIAL_PROPS__.ad) /home/user/Alopecia/buscador-coches/raw/cochesnet/f07e482661de594f.json</t>
        </is>
      </c>
      <c r="BA120" s="3">
        <f>MAX(ANIO_ACTUAL-M120,0)</f>
        <v/>
      </c>
      <c r="BB120" s="4">
        <f>N120/MAX(BA120,0.5)</f>
        <v/>
      </c>
      <c r="BC120" s="4">
        <f>F120</f>
        <v/>
      </c>
      <c r="BD120" s="3">
        <f>BC120&amp;"|"&amp;INT(M120/SEG_ANIO)*SEG_ANIO</f>
        <v/>
      </c>
      <c r="BE120" s="3">
        <f>BD120&amp;"|"&amp;INT(N120/SEG_KM)*SEG_KM</f>
        <v/>
      </c>
      <c r="BF120" s="4">
        <f>COUNTIF($BC$2:$BC$545,BC120)</f>
        <v/>
      </c>
      <c r="BG120" s="4">
        <f>COUNTIF($BD$2:$BD$545,BD120)</f>
        <v/>
      </c>
      <c r="BH120" s="4">
        <f>COUNTIF($BE$2:$BE$545,BE120)</f>
        <v/>
      </c>
      <c r="BI120" s="3">
        <f t="array" ref="BI120">IF(N(AU120)&gt;=MIN_N,AT120,IF(BH120&gt;=MIN_N,MEDIAN(IF($BE$2:$BE$545=BE120,$O$2:$O$545)),IF(BG120&gt;=MIN_N,MEDIAN(IF($BD$2:$BD$545=BD120,$O$2:$O$545)),MEDIAN(IF($BC$2:$BC$545=BC120,$O$2:$O$545)))))</f>
        <v/>
      </c>
      <c r="BJ120" s="3">
        <f>IF(N(AU120)&gt;=MIN_N,"mercado "&amp;AV120,IF(BH120&gt;=MIN_N,"modelo+año+km",IF(BG120&gt;=MIN_N,"modelo+año","modelo")))</f>
        <v/>
      </c>
      <c r="BK120" s="4">
        <f>(BI120-O120)/BI120</f>
        <v/>
      </c>
      <c r="BL120" s="3">
        <f>IF(COUNTIFS(FR_FUEL,K120,FR_YEAR,AP120)&gt;0,1,0)</f>
        <v/>
      </c>
      <c r="BM120" s="3">
        <f>IF(COUNTIFS(FR_FUEL,K120,FR_YEAR,AP120-1)&gt;0,1,0)</f>
        <v/>
      </c>
      <c r="BN120" s="4">
        <f>IF(N(AQ120)&gt;0,AP120*100+AQ120,IF(AND(BL120=1,BM120=1),(AP120-1)*100+1,AP120*100+1))</f>
        <v/>
      </c>
      <c r="BO120" s="3">
        <f>IF(OR(K120="hibrido",K120="glp",K120="gnc",K120="phev"),"ECO",IF(K120="electrico","CERO",IF(K120="gasolina",IF(BN120&gt;=GAS_C_YM,"C",IF(BN120&gt;=GAS_B_YM,"B","A")),IF(K120="diesel",IF(BN120&gt;=DIE_C_YM,"C",IF(BN120&gt;=DIE_B_YM,"B","A")),""))))</f>
        <v/>
      </c>
      <c r="BP120" s="4">
        <f>BO120</f>
        <v/>
      </c>
      <c r="BQ120" s="4">
        <f>IF(AS120="regla",IF(AND(N(AQ120)=0,BL120=1),"sí","no"),"no")</f>
        <v/>
      </c>
      <c r="BR120" s="3">
        <f>IFERROR(VLOOKUP(F120,MOD_TBL,11,0),IFERROR(VLOOKUP(E120,OCU_TBL,2,0),NEUTRO))</f>
        <v/>
      </c>
      <c r="BS120" s="3">
        <f>SUMIFS(MOT_AJUSTE,MOT_MOTOR,G120,MOT_MARCA,E120,MOT_DESDE,"&lt;="&amp;M120,MOT_HASTA,"&gt;="&amp;M120)+SUMIFS(MOT_AJUSTE,MOT_MOTOR,G120,MOT_MARCA,"(todas)",MOT_DESDE,"&lt;="&amp;M120,MOT_HASTA,"&gt;="&amp;M120)</f>
        <v/>
      </c>
      <c r="BT120" s="3">
        <f>SUMIFS(COMB_AJUSTE,COMB_COMB,K120)</f>
        <v/>
      </c>
      <c r="BU120" s="3">
        <f>COUNTIFS(MOT_MOTOR,G120,MOT_MARCA,E120,MOT_DESDE,"&lt;="&amp;M120,MOT_HASTA,"&gt;="&amp;M120)+COUNTIFS(MOT_MOTOR,G120,MOT_MARCA,"(todas)",MOT_DESDE,"&lt;="&amp;M120,MOT_HASTA,"&gt;="&amp;M120)</f>
        <v/>
      </c>
      <c r="BV120" s="3">
        <f>IF(AND(K120="diesel",BU120=0),MIN(BR120,NEUTRO),BR120)</f>
        <v/>
      </c>
      <c r="BW120" s="4">
        <f>MAX(0,MIN(100,BV120+BS120+BT120))</f>
        <v/>
      </c>
      <c r="BX120" s="3">
        <f>MAX(0,MIN(100,50+BK120*PRECIO_PEND))</f>
        <v/>
      </c>
      <c r="BY120" s="3">
        <f>MAX(0,100*(1-N120/KM_MAX))</f>
        <v/>
      </c>
      <c r="BZ120" s="3">
        <f>IF(BB120&lt;KMA_SOSP,IF(AA120="sí",100,KMA_PEN),IF(BB120&lt;=KMA_IDEAL_MAX,100,MAX(0,100*(KMA_CERO-BB120)/(KMA_CERO-KMA_IDEAL_MAX))))</f>
        <v/>
      </c>
      <c r="CA120" s="3">
        <f>MAX(0,MIN(100,100*(M120-ANIO_MIN)/(ANIO_ACTUAL-ANIO_MIN)))</f>
        <v/>
      </c>
      <c r="CB120" s="3">
        <f>W_KMT*BY120+W_KMA*BZ120+W_EDAD*CA120</f>
        <v/>
      </c>
      <c r="CC120" s="3">
        <f>P_ITV*(V120="sí")+P_LIBRO*(W120="sí")+P_CORREA*(X120="sí")+P_PROP*(Y120=1)+P_GAR*(Z120="sí")+P_FOTOS*MIN(1,N(U120)/FOTOS_OBJ)</f>
        <v/>
      </c>
      <c r="CD120" s="3">
        <f>MAX(0,MIN(100,IFERROR(VLOOKUP(BP120,ETQ_TBL,2,0),0)-IF(BQ120="sí",ETQ_PEN_DUD,IF(AS120="regla",ETQ_PEN_REGLA,0))))</f>
        <v/>
      </c>
      <c r="CE120" s="3">
        <f>NEUTRO</f>
        <v/>
      </c>
      <c r="CF120" s="3">
        <f>IFERROR(VLOOKUP(L120,SEGURO_TBL,3,0),"")</f>
        <v/>
      </c>
      <c r="CG120" s="3">
        <f>IF(CF120="",NEUTRO,MAX(0,MIN(100,100*(SEG_REF_MAX-CF120)/(SEG_REF_MAX-SEG_REF_MIN))))</f>
        <v/>
      </c>
      <c r="CH120" s="3">
        <f>W_CONS*CE120+W_SEG*CG120</f>
        <v/>
      </c>
      <c r="CI120" s="3">
        <f>IF(N(AB120)&gt;0,AB120,IF(AND(R120="profesional",SG_LEGAL_ON=1),GAR_LEGAL,0))</f>
        <v/>
      </c>
      <c r="CJ120" s="3">
        <f>SG_GAR*MIN(1,CI120/SG_GAR_FULL)+SG_AMPL*(AC120="sí")+SG_KMC*(AF120="sí")+SG_REV*(N(AE120)&gt;0)+SG_DEV*MIN(1,N(AG120)/SG_DEV_FULL)+SG_HIST*(W120="sí")</f>
        <v/>
      </c>
      <c r="CK120" s="3">
        <f>IFERROR(VLOOKUP(L120,CARR_PEN_TBL,2,0),0)</f>
        <v/>
      </c>
      <c r="CL120" s="3">
        <f>W_FIAB*BW120+W_PRECIO*BX120+W_KMEDAD*CB120+W_ANUNCIO*CC120+W_USO*CH120+W_SEGURIDAD*CJ120+W_ETIQUETA*CD120-CK120</f>
        <v/>
      </c>
      <c r="CM120" s="4">
        <f>IF(N(I120)&gt;0,I120,IFERROR(ROUND(_xlfn.NUMBERVALUE(LEFT(G120,FIND(" ",G120&amp;" ")-1),".")*1000,0),99999))</f>
        <v/>
      </c>
      <c r="CN120" s="3">
        <f>IF(R120="profesional",0,IF(O120&lt;CUOTA_VALOR_MAX,IF(BA120&gt;ITP_TRAMO_ALTO,SUMIFS(CF_CUOTA,CF_MAS,ITP_TRAMO_ALTO,CF_CCMIN,"&lt;="&amp;CM120,CF_CCMAX,"&gt;="&amp;CM120),IF(BA120&gt;ITP_TRAMO_BAJO,SUMIFS(CF_CUOTA,CF_MAS,ITP_TRAMO_BAJO,CF_CCMIN,"&lt;="&amp;CM120,CF_CCMAX,"&gt;="&amp;CM120),O120*ITP_TIPO)),O120*ITP_TIPO))</f>
        <v/>
      </c>
      <c r="CO120" s="4">
        <f>IF(R120="profesional",N(AK120),0)</f>
        <v/>
      </c>
      <c r="CP120" s="3">
        <f>IF(AND(R120="profesional",ISNUMBER(AK120),AL120="sí"),0,TASA_DGT)</f>
        <v/>
      </c>
      <c r="CQ120" s="3">
        <f>INFORME_DGT</f>
        <v/>
      </c>
      <c r="CR120" s="4">
        <f>O120+CO120+CN120+CP120+CQ120</f>
        <v/>
      </c>
      <c r="CS120" s="4">
        <f>CR120+N(CF120)</f>
        <v/>
      </c>
      <c r="CT120" s="3">
        <f>IF(CR120&lt;=TOTAL_MAX,"sí",IF(CR120&lt;=TOTAL_MAX+MARGEN_NEG,"negociar","no"))</f>
        <v/>
      </c>
      <c r="CU120" s="4">
        <f>IF(CT120&lt;&gt;"no",COUNTIFS($CT$2:$CT$545,"&lt;&gt;no",$CL$2:$CL$545,"&gt;"&amp;CL120)+COUNTIFS($CT$2:CT120,"&lt;&gt;no",$CL$2:CL120,CL120),"")</f>
        <v/>
      </c>
    </row>
    <row r="121">
      <c r="A121" s="2" t="inlineStr">
        <is>
          <t>cochesnet:71600206</t>
        </is>
      </c>
      <c r="B121" s="2" t="inlineStr">
        <is>
          <t>cochesnet</t>
        </is>
      </c>
      <c r="C121" s="2" t="inlineStr">
        <is>
          <t>https://www.coches.net/peugeot-207-14-75-urban-5p-gasolina-2008-en-valencia-71600206-covo.aspx</t>
        </is>
      </c>
      <c r="D121" s="2" t="inlineStr">
        <is>
          <t>PEUGEOT 207 1.4 75 Urban</t>
        </is>
      </c>
      <c r="E121" s="2" t="inlineStr">
        <is>
          <t>Peugeot</t>
        </is>
      </c>
      <c r="F121" s="2" t="inlineStr">
        <is>
          <t>Peugeot 207</t>
        </is>
      </c>
      <c r="G121" s="2" t="inlineStr">
        <is>
          <t>1.4</t>
        </is>
      </c>
      <c r="H121" s="2" t="inlineStr">
        <is>
          <t>1.4 75 Urban</t>
        </is>
      </c>
      <c r="I121" s="2" t="n"/>
      <c r="J121" s="2" t="n"/>
      <c r="K121" s="2" t="inlineStr">
        <is>
          <t>gasolina</t>
        </is>
      </c>
      <c r="L121" s="2" t="inlineStr">
        <is>
          <t>utilitario</t>
        </is>
      </c>
      <c r="M121" s="2" t="n">
        <v>2008</v>
      </c>
      <c r="N121" s="2" t="n">
        <v>95000</v>
      </c>
      <c r="O121" s="2" t="n">
        <v>4400</v>
      </c>
      <c r="P121" s="2" t="inlineStr">
        <is>
          <t>manual</t>
        </is>
      </c>
      <c r="Q121" s="2" t="inlineStr">
        <is>
          <t>no</t>
        </is>
      </c>
      <c r="R121" s="2" t="inlineStr">
        <is>
          <t>particular</t>
        </is>
      </c>
      <c r="S121" s="2" t="inlineStr">
        <is>
          <t>Alzira</t>
        </is>
      </c>
      <c r="T121" s="2" t="inlineStr">
        <is>
          <t>2026-09-25T18:49:00Z</t>
        </is>
      </c>
      <c r="U121" s="2" t="n">
        <v>8</v>
      </c>
      <c r="V121" s="2" t="n"/>
      <c r="W121" s="2" t="n"/>
      <c r="X121" s="2" t="n"/>
      <c r="Y121" s="2" t="n"/>
      <c r="Z121" s="2" t="inlineStr">
        <is>
          <t>no</t>
        </is>
      </c>
      <c r="AA121" s="2" t="n"/>
      <c r="AB121" s="2" t="n"/>
      <c r="AC121" s="2" t="n"/>
      <c r="AD121" s="2" t="n"/>
      <c r="AE121" s="2" t="n"/>
      <c r="AF121" s="2" t="n"/>
      <c r="AG121" s="2" t="n"/>
      <c r="AH121" s="2" t="n">
        <v>4400</v>
      </c>
      <c r="AI121" s="2" t="n"/>
      <c r="AJ121" s="2" t="n"/>
      <c r="AK121" s="2" t="n"/>
      <c r="AL121" s="2" t="n"/>
      <c r="AM121" s="2" t="n">
        <v>35.7</v>
      </c>
      <c r="AN121" s="2" t="n"/>
      <c r="AO121" s="2" t="inlineStr">
        <is>
          <t>2008</t>
        </is>
      </c>
      <c r="AP121" s="2" t="n">
        <v>2008</v>
      </c>
      <c r="AQ121" s="2" t="n"/>
      <c r="AR121" s="2" t="n"/>
      <c r="AS121" s="2" t="inlineStr">
        <is>
          <t>regla</t>
        </is>
      </c>
      <c r="AT121" s="2" t="n">
        <v>4750</v>
      </c>
      <c r="AU121" s="2" t="n">
        <v>13</v>
      </c>
      <c r="AV121" s="2" t="inlineStr">
        <is>
          <t>modelo+año+km</t>
        </is>
      </c>
      <c r="AW121" s="2" t="inlineStr">
        <is>
          <t>cochesnet:71401447 (https://www.coches.net/peugeot-207-confort-14-75-5p-gasolina-2008-en-valencia-71401447-covo.aspx)</t>
        </is>
      </c>
      <c r="AX121" s="2" t="inlineStr">
        <is>
          <t>cuota fija ITP: &gt;12 años, hasta 1.500 cc; fiabilidad del modelo PENDIENTE de fuente (puntuación neutra)</t>
        </is>
      </c>
      <c r="AY121" s="2" t="inlineStr">
        <is>
          <t>Si buscas un coche práctico y asequible para el día a día, este Peugeot 207 es una opción a considerar. Se trata de un berlina de cinco puertas y cinco plazas, perfecta para la ciudad y los desplazamientos cotidianos.
El motor de 1.4 litros con 75 CV ofrece un consumo contenido, ideal si quieres mantener los gastos de combustible bajo control. Su cambio manual te da la flexibilidad que buscas en la conducción, y la carrocería gris plata es discreta y práctica.
Con casi una década de antigüedad, este vehículo ha demostrado la fiabilidad característica de la marca Peugeot. Es un coche que funciona, con una mecánica probada y accesible en mantenimiento y reparaciones.
Está ubicado en la zona de zipCode, lo que facilita su inspección antes de tomar una decisión. Te invito a que lo veas en persona para que compruebes su estado actual y resuelvas cualquier duda que tengas sobre su funcionamiento o historial.
Si tienes preguntas específicas sobre aspectos que no aparezcan en la ficha técnica, no dudes en contactarme a través del chat. Estoy disponible para conversar sobre el vehículo y ayudarte en el proceso.
Contacta hoy mismo y descubre si este 207 es lo que necesitas.</t>
        </is>
      </c>
      <c r="AZ121" s="2" t="inlineStr">
        <is>
          <t>https://www.coches.net/peugeot-207-14-75-urban-5p-gasolina-2008-en-valencia-71600206-covo.aspx (window.__INITIAL_PROPS__.ad) /home/user/Alopecia/buscador-coches/raw/cochesnet/0289eb9bee6511f0.json</t>
        </is>
      </c>
      <c r="BA121" s="3">
        <f>MAX(ANIO_ACTUAL-M121,0)</f>
        <v/>
      </c>
      <c r="BB121" s="4">
        <f>N121/MAX(BA121,0.5)</f>
        <v/>
      </c>
      <c r="BC121" s="4">
        <f>F121</f>
        <v/>
      </c>
      <c r="BD121" s="3">
        <f>BC121&amp;"|"&amp;INT(M121/SEG_ANIO)*SEG_ANIO</f>
        <v/>
      </c>
      <c r="BE121" s="3">
        <f>BD121&amp;"|"&amp;INT(N121/SEG_KM)*SEG_KM</f>
        <v/>
      </c>
      <c r="BF121" s="4">
        <f>COUNTIF($BC$2:$BC$545,BC121)</f>
        <v/>
      </c>
      <c r="BG121" s="4">
        <f>COUNTIF($BD$2:$BD$545,BD121)</f>
        <v/>
      </c>
      <c r="BH121" s="4">
        <f>COUNTIF($BE$2:$BE$545,BE121)</f>
        <v/>
      </c>
      <c r="BI121" s="3">
        <f t="array" ref="BI121">IF(N(AU121)&gt;=MIN_N,AT121,IF(BH121&gt;=MIN_N,MEDIAN(IF($BE$2:$BE$545=BE121,$O$2:$O$545)),IF(BG121&gt;=MIN_N,MEDIAN(IF($BD$2:$BD$545=BD121,$O$2:$O$545)),MEDIAN(IF($BC$2:$BC$545=BC121,$O$2:$O$545)))))</f>
        <v/>
      </c>
      <c r="BJ121" s="3">
        <f>IF(N(AU121)&gt;=MIN_N,"mercado "&amp;AV121,IF(BH121&gt;=MIN_N,"modelo+año+km",IF(BG121&gt;=MIN_N,"modelo+año","modelo")))</f>
        <v/>
      </c>
      <c r="BK121" s="4">
        <f>(BI121-O121)/BI121</f>
        <v/>
      </c>
      <c r="BL121" s="3">
        <f>IF(COUNTIFS(FR_FUEL,K121,FR_YEAR,AP121)&gt;0,1,0)</f>
        <v/>
      </c>
      <c r="BM121" s="3">
        <f>IF(COUNTIFS(FR_FUEL,K121,FR_YEAR,AP121-1)&gt;0,1,0)</f>
        <v/>
      </c>
      <c r="BN121" s="4">
        <f>IF(N(AQ121)&gt;0,AP121*100+AQ121,IF(AND(BL121=1,BM121=1),(AP121-1)*100+1,AP121*100+1))</f>
        <v/>
      </c>
      <c r="BO121" s="3">
        <f>IF(OR(K121="hibrido",K121="glp",K121="gnc",K121="phev"),"ECO",IF(K121="electrico","CERO",IF(K121="gasolina",IF(BN121&gt;=GAS_C_YM,"C",IF(BN121&gt;=GAS_B_YM,"B","A")),IF(K121="diesel",IF(BN121&gt;=DIE_C_YM,"C",IF(BN121&gt;=DIE_B_YM,"B","A")),""))))</f>
        <v/>
      </c>
      <c r="BP121" s="4">
        <f>BO121</f>
        <v/>
      </c>
      <c r="BQ121" s="4">
        <f>IF(AS121="regla",IF(AND(N(AQ121)=0,BL121=1),"sí","no"),"no")</f>
        <v/>
      </c>
      <c r="BR121" s="3">
        <f>IFERROR(VLOOKUP(F121,MOD_TBL,11,0),IFERROR(VLOOKUP(E121,OCU_TBL,2,0),NEUTRO))</f>
        <v/>
      </c>
      <c r="BS121" s="3">
        <f>SUMIFS(MOT_AJUSTE,MOT_MOTOR,G121,MOT_MARCA,E121,MOT_DESDE,"&lt;="&amp;M121,MOT_HASTA,"&gt;="&amp;M121)+SUMIFS(MOT_AJUSTE,MOT_MOTOR,G121,MOT_MARCA,"(todas)",MOT_DESDE,"&lt;="&amp;M121,MOT_HASTA,"&gt;="&amp;M121)</f>
        <v/>
      </c>
      <c r="BT121" s="3">
        <f>SUMIFS(COMB_AJUSTE,COMB_COMB,K121)</f>
        <v/>
      </c>
      <c r="BU121" s="3">
        <f>COUNTIFS(MOT_MOTOR,G121,MOT_MARCA,E121,MOT_DESDE,"&lt;="&amp;M121,MOT_HASTA,"&gt;="&amp;M121)+COUNTIFS(MOT_MOTOR,G121,MOT_MARCA,"(todas)",MOT_DESDE,"&lt;="&amp;M121,MOT_HASTA,"&gt;="&amp;M121)</f>
        <v/>
      </c>
      <c r="BV121" s="3">
        <f>IF(AND(K121="diesel",BU121=0),MIN(BR121,NEUTRO),BR121)</f>
        <v/>
      </c>
      <c r="BW121" s="4">
        <f>MAX(0,MIN(100,BV121+BS121+BT121))</f>
        <v/>
      </c>
      <c r="BX121" s="3">
        <f>MAX(0,MIN(100,50+BK121*PRECIO_PEND))</f>
        <v/>
      </c>
      <c r="BY121" s="3">
        <f>MAX(0,100*(1-N121/KM_MAX))</f>
        <v/>
      </c>
      <c r="BZ121" s="3">
        <f>IF(BB121&lt;KMA_SOSP,IF(AA121="sí",100,KMA_PEN),IF(BB121&lt;=KMA_IDEAL_MAX,100,MAX(0,100*(KMA_CERO-BB121)/(KMA_CERO-KMA_IDEAL_MAX))))</f>
        <v/>
      </c>
      <c r="CA121" s="3">
        <f>MAX(0,MIN(100,100*(M121-ANIO_MIN)/(ANIO_ACTUAL-ANIO_MIN)))</f>
        <v/>
      </c>
      <c r="CB121" s="3">
        <f>W_KMT*BY121+W_KMA*BZ121+W_EDAD*CA121</f>
        <v/>
      </c>
      <c r="CC121" s="3">
        <f>P_ITV*(V121="sí")+P_LIBRO*(W121="sí")+P_CORREA*(X121="sí")+P_PROP*(Y121=1)+P_GAR*(Z121="sí")+P_FOTOS*MIN(1,N(U121)/FOTOS_OBJ)</f>
        <v/>
      </c>
      <c r="CD121" s="3">
        <f>MAX(0,MIN(100,IFERROR(VLOOKUP(BP121,ETQ_TBL,2,0),0)-IF(BQ121="sí",ETQ_PEN_DUD,IF(AS121="regla",ETQ_PEN_REGLA,0))))</f>
        <v/>
      </c>
      <c r="CE121" s="3">
        <f>NEUTRO</f>
        <v/>
      </c>
      <c r="CF121" s="3">
        <f>IFERROR(VLOOKUP(L121,SEGURO_TBL,3,0),"")</f>
        <v/>
      </c>
      <c r="CG121" s="3">
        <f>IF(CF121="",NEUTRO,MAX(0,MIN(100,100*(SEG_REF_MAX-CF121)/(SEG_REF_MAX-SEG_REF_MIN))))</f>
        <v/>
      </c>
      <c r="CH121" s="3">
        <f>W_CONS*CE121+W_SEG*CG121</f>
        <v/>
      </c>
      <c r="CI121" s="3">
        <f>IF(N(AB121)&gt;0,AB121,IF(AND(R121="profesional",SG_LEGAL_ON=1),GAR_LEGAL,0))</f>
        <v/>
      </c>
      <c r="CJ121" s="3">
        <f>SG_GAR*MIN(1,CI121/SG_GAR_FULL)+SG_AMPL*(AC121="sí")+SG_KMC*(AF121="sí")+SG_REV*(N(AE121)&gt;0)+SG_DEV*MIN(1,N(AG121)/SG_DEV_FULL)+SG_HIST*(W121="sí")</f>
        <v/>
      </c>
      <c r="CK121" s="3">
        <f>IFERROR(VLOOKUP(L121,CARR_PEN_TBL,2,0),0)</f>
        <v/>
      </c>
      <c r="CL121" s="3">
        <f>W_FIAB*BW121+W_PRECIO*BX121+W_KMEDAD*CB121+W_ANUNCIO*CC121+W_USO*CH121+W_SEGURIDAD*CJ121+W_ETIQUETA*CD121-CK121</f>
        <v/>
      </c>
      <c r="CM121" s="4">
        <f>IF(N(I121)&gt;0,I121,IFERROR(ROUND(_xlfn.NUMBERVALUE(LEFT(G121,FIND(" ",G121&amp;" ")-1),".")*1000,0),99999))</f>
        <v/>
      </c>
      <c r="CN121" s="3">
        <f>IF(R121="profesional",0,IF(O121&lt;CUOTA_VALOR_MAX,IF(BA121&gt;ITP_TRAMO_ALTO,SUMIFS(CF_CUOTA,CF_MAS,ITP_TRAMO_ALTO,CF_CCMIN,"&lt;="&amp;CM121,CF_CCMAX,"&gt;="&amp;CM121),IF(BA121&gt;ITP_TRAMO_BAJO,SUMIFS(CF_CUOTA,CF_MAS,ITP_TRAMO_BAJO,CF_CCMIN,"&lt;="&amp;CM121,CF_CCMAX,"&gt;="&amp;CM121),O121*ITP_TIPO)),O121*ITP_TIPO))</f>
        <v/>
      </c>
      <c r="CO121" s="4">
        <f>IF(R121="profesional",N(AK121),0)</f>
        <v/>
      </c>
      <c r="CP121" s="3">
        <f>IF(AND(R121="profesional",ISNUMBER(AK121),AL121="sí"),0,TASA_DGT)</f>
        <v/>
      </c>
      <c r="CQ121" s="3">
        <f>INFORME_DGT</f>
        <v/>
      </c>
      <c r="CR121" s="4">
        <f>O121+CO121+CN121+CP121+CQ121</f>
        <v/>
      </c>
      <c r="CS121" s="4">
        <f>CR121+N(CF121)</f>
        <v/>
      </c>
      <c r="CT121" s="3">
        <f>IF(CR121&lt;=TOTAL_MAX,"sí",IF(CR121&lt;=TOTAL_MAX+MARGEN_NEG,"negociar","no"))</f>
        <v/>
      </c>
      <c r="CU121" s="4">
        <f>IF(CT121&lt;&gt;"no",COUNTIFS($CT$2:$CT$545,"&lt;&gt;no",$CL$2:$CL$545,"&gt;"&amp;CL121)+COUNTIFS($CT$2:CT121,"&lt;&gt;no",$CL$2:CL121,CL121),"")</f>
        <v/>
      </c>
    </row>
    <row r="122">
      <c r="A122" s="2" t="inlineStr">
        <is>
          <t>cochesnet:71658308</t>
        </is>
      </c>
      <c r="B122" s="2" t="inlineStr">
        <is>
          <t>cochesnet</t>
        </is>
      </c>
      <c r="C122" s="2" t="inlineStr">
        <is>
          <t>https://www.coches.net/peugeot-207-gasolina-2010-en-valencia-71658308-covo.aspx</t>
        </is>
      </c>
      <c r="D122" s="2" t="inlineStr">
        <is>
          <t>PEUGEOT 207</t>
        </is>
      </c>
      <c r="E122" s="2" t="inlineStr">
        <is>
          <t>Peugeot</t>
        </is>
      </c>
      <c r="F122" s="2" t="inlineStr">
        <is>
          <t>Peugeot 207</t>
        </is>
      </c>
      <c r="G122" s="2" t="n"/>
      <c r="H122" s="2" t="n"/>
      <c r="I122" s="2" t="n"/>
      <c r="J122" s="2" t="n"/>
      <c r="K122" s="2" t="inlineStr">
        <is>
          <t>gasolina</t>
        </is>
      </c>
      <c r="L122" s="2" t="inlineStr">
        <is>
          <t>utilitario</t>
        </is>
      </c>
      <c r="M122" s="2" t="n">
        <v>2010</v>
      </c>
      <c r="N122" s="2" t="n">
        <v>145000</v>
      </c>
      <c r="O122" s="2" t="n">
        <v>3500</v>
      </c>
      <c r="P122" s="2" t="inlineStr">
        <is>
          <t>manual</t>
        </is>
      </c>
      <c r="Q122" s="2" t="inlineStr">
        <is>
          <t>no</t>
        </is>
      </c>
      <c r="R122" s="2" t="inlineStr">
        <is>
          <t>particular</t>
        </is>
      </c>
      <c r="S122" s="2" t="inlineStr">
        <is>
          <t>Torrent</t>
        </is>
      </c>
      <c r="T122" s="2" t="inlineStr">
        <is>
          <t>2026-10-02T14:11:17Z</t>
        </is>
      </c>
      <c r="U122" s="2" t="n"/>
      <c r="V122" s="2" t="n"/>
      <c r="W122" s="2" t="n"/>
      <c r="X122" s="2" t="n"/>
      <c r="Y122" s="2" t="n"/>
      <c r="Z122" s="2" t="inlineStr">
        <is>
          <t>no</t>
        </is>
      </c>
      <c r="AA122" s="2" t="n"/>
      <c r="AB122" s="2" t="n"/>
      <c r="AC122" s="2" t="n"/>
      <c r="AD122" s="2" t="n"/>
      <c r="AE122" s="2" t="n"/>
      <c r="AF122" s="2" t="n"/>
      <c r="AG122" s="2" t="n"/>
      <c r="AH122" s="2" t="n">
        <v>3500</v>
      </c>
      <c r="AI122" s="2" t="n"/>
      <c r="AJ122" s="2" t="n"/>
      <c r="AK122" s="2" t="n"/>
      <c r="AL122" s="2" t="n"/>
      <c r="AM122" s="2" t="n">
        <v>8.800000000000001</v>
      </c>
      <c r="AN122" s="2" t="n"/>
      <c r="AO122" s="2" t="inlineStr">
        <is>
          <t>2010</t>
        </is>
      </c>
      <c r="AP122" s="2" t="n">
        <v>2010</v>
      </c>
      <c r="AQ122" s="2" t="n"/>
      <c r="AR122" s="2" t="n"/>
      <c r="AS122" s="2" t="inlineStr">
        <is>
          <t>regla</t>
        </is>
      </c>
      <c r="AT122" s="2" t="n">
        <v>4490</v>
      </c>
      <c r="AU122" s="2" t="n">
        <v>15</v>
      </c>
      <c r="AV122" s="2" t="inlineStr">
        <is>
          <t>modelo+año+km</t>
        </is>
      </c>
      <c r="AW122" s="2" t="n"/>
      <c r="AX122" s="2" t="inlineStr">
        <is>
          <t>cilindrada desconocida: se aplica el tramo de cuota fija más alto; cuota fija ITP: &gt;12 años, más de 2.000 cc; fiabilidad del modelo PENDIENTE de fuente (puntuación neutra)</t>
        </is>
      </c>
      <c r="AY122" s="2" t="inlineStr">
        <is>
          <t xml:space="preserve">usado en buen estado </t>
        </is>
      </c>
      <c r="AZ122" s="2" t="inlineStr">
        <is>
          <t>https://www.coches.net/peugeot-207-gasolina-2010-en-valencia-71658308-covo.aspx (window.__INITIAL_PROPS__.ad) /home/user/Alopecia/buscador-coches/raw/cochesnet/bdf4b3130f8a7ee9.json</t>
        </is>
      </c>
      <c r="BA122" s="3">
        <f>MAX(ANIO_ACTUAL-M122,0)</f>
        <v/>
      </c>
      <c r="BB122" s="4">
        <f>N122/MAX(BA122,0.5)</f>
        <v/>
      </c>
      <c r="BC122" s="4">
        <f>F122</f>
        <v/>
      </c>
      <c r="BD122" s="3">
        <f>BC122&amp;"|"&amp;INT(M122/SEG_ANIO)*SEG_ANIO</f>
        <v/>
      </c>
      <c r="BE122" s="3">
        <f>BD122&amp;"|"&amp;INT(N122/SEG_KM)*SEG_KM</f>
        <v/>
      </c>
      <c r="BF122" s="4">
        <f>COUNTIF($BC$2:$BC$545,BC122)</f>
        <v/>
      </c>
      <c r="BG122" s="4">
        <f>COUNTIF($BD$2:$BD$545,BD122)</f>
        <v/>
      </c>
      <c r="BH122" s="4">
        <f>COUNTIF($BE$2:$BE$545,BE122)</f>
        <v/>
      </c>
      <c r="BI122" s="3">
        <f t="array" ref="BI122">IF(N(AU122)&gt;=MIN_N,AT122,IF(BH122&gt;=MIN_N,MEDIAN(IF($BE$2:$BE$545=BE122,$O$2:$O$545)),IF(BG122&gt;=MIN_N,MEDIAN(IF($BD$2:$BD$545=BD122,$O$2:$O$545)),MEDIAN(IF($BC$2:$BC$545=BC122,$O$2:$O$545)))))</f>
        <v/>
      </c>
      <c r="BJ122" s="3">
        <f>IF(N(AU122)&gt;=MIN_N,"mercado "&amp;AV122,IF(BH122&gt;=MIN_N,"modelo+año+km",IF(BG122&gt;=MIN_N,"modelo+año","modelo")))</f>
        <v/>
      </c>
      <c r="BK122" s="4">
        <f>(BI122-O122)/BI122</f>
        <v/>
      </c>
      <c r="BL122" s="3">
        <f>IF(COUNTIFS(FR_FUEL,K122,FR_YEAR,AP122)&gt;0,1,0)</f>
        <v/>
      </c>
      <c r="BM122" s="3">
        <f>IF(COUNTIFS(FR_FUEL,K122,FR_YEAR,AP122-1)&gt;0,1,0)</f>
        <v/>
      </c>
      <c r="BN122" s="4">
        <f>IF(N(AQ122)&gt;0,AP122*100+AQ122,IF(AND(BL122=1,BM122=1),(AP122-1)*100+1,AP122*100+1))</f>
        <v/>
      </c>
      <c r="BO122" s="3">
        <f>IF(OR(K122="hibrido",K122="glp",K122="gnc",K122="phev"),"ECO",IF(K122="electrico","CERO",IF(K122="gasolina",IF(BN122&gt;=GAS_C_YM,"C",IF(BN122&gt;=GAS_B_YM,"B","A")),IF(K122="diesel",IF(BN122&gt;=DIE_C_YM,"C",IF(BN122&gt;=DIE_B_YM,"B","A")),""))))</f>
        <v/>
      </c>
      <c r="BP122" s="4">
        <f>BO122</f>
        <v/>
      </c>
      <c r="BQ122" s="4">
        <f>IF(AS122="regla",IF(AND(N(AQ122)=0,BL122=1),"sí","no"),"no")</f>
        <v/>
      </c>
      <c r="BR122" s="3">
        <f>IFERROR(VLOOKUP(F122,MOD_TBL,11,0),IFERROR(VLOOKUP(E122,OCU_TBL,2,0),NEUTRO))</f>
        <v/>
      </c>
      <c r="BS122" s="3">
        <f>SUMIFS(MOT_AJUSTE,MOT_MOTOR,G122,MOT_MARCA,E122,MOT_DESDE,"&lt;="&amp;M122,MOT_HASTA,"&gt;="&amp;M122)+SUMIFS(MOT_AJUSTE,MOT_MOTOR,G122,MOT_MARCA,"(todas)",MOT_DESDE,"&lt;="&amp;M122,MOT_HASTA,"&gt;="&amp;M122)</f>
        <v/>
      </c>
      <c r="BT122" s="3">
        <f>SUMIFS(COMB_AJUSTE,COMB_COMB,K122)</f>
        <v/>
      </c>
      <c r="BU122" s="3">
        <f>COUNTIFS(MOT_MOTOR,G122,MOT_MARCA,E122,MOT_DESDE,"&lt;="&amp;M122,MOT_HASTA,"&gt;="&amp;M122)+COUNTIFS(MOT_MOTOR,G122,MOT_MARCA,"(todas)",MOT_DESDE,"&lt;="&amp;M122,MOT_HASTA,"&gt;="&amp;M122)</f>
        <v/>
      </c>
      <c r="BV122" s="3">
        <f>IF(AND(K122="diesel",BU122=0),MIN(BR122,NEUTRO),BR122)</f>
        <v/>
      </c>
      <c r="BW122" s="4">
        <f>MAX(0,MIN(100,BV122+BS122+BT122))</f>
        <v/>
      </c>
      <c r="BX122" s="3">
        <f>MAX(0,MIN(100,50+BK122*PRECIO_PEND))</f>
        <v/>
      </c>
      <c r="BY122" s="3">
        <f>MAX(0,100*(1-N122/KM_MAX))</f>
        <v/>
      </c>
      <c r="BZ122" s="3">
        <f>IF(BB122&lt;KMA_SOSP,IF(AA122="sí",100,KMA_PEN),IF(BB122&lt;=KMA_IDEAL_MAX,100,MAX(0,100*(KMA_CERO-BB122)/(KMA_CERO-KMA_IDEAL_MAX))))</f>
        <v/>
      </c>
      <c r="CA122" s="3">
        <f>MAX(0,MIN(100,100*(M122-ANIO_MIN)/(ANIO_ACTUAL-ANIO_MIN)))</f>
        <v/>
      </c>
      <c r="CB122" s="3">
        <f>W_KMT*BY122+W_KMA*BZ122+W_EDAD*CA122</f>
        <v/>
      </c>
      <c r="CC122" s="3">
        <f>P_ITV*(V122="sí")+P_LIBRO*(W122="sí")+P_CORREA*(X122="sí")+P_PROP*(Y122=1)+P_GAR*(Z122="sí")+P_FOTOS*MIN(1,N(U122)/FOTOS_OBJ)</f>
        <v/>
      </c>
      <c r="CD122" s="3">
        <f>MAX(0,MIN(100,IFERROR(VLOOKUP(BP122,ETQ_TBL,2,0),0)-IF(BQ122="sí",ETQ_PEN_DUD,IF(AS122="regla",ETQ_PEN_REGLA,0))))</f>
        <v/>
      </c>
      <c r="CE122" s="3">
        <f>NEUTRO</f>
        <v/>
      </c>
      <c r="CF122" s="3">
        <f>IFERROR(VLOOKUP(L122,SEGURO_TBL,3,0),"")</f>
        <v/>
      </c>
      <c r="CG122" s="3">
        <f>IF(CF122="",NEUTRO,MAX(0,MIN(100,100*(SEG_REF_MAX-CF122)/(SEG_REF_MAX-SEG_REF_MIN))))</f>
        <v/>
      </c>
      <c r="CH122" s="3">
        <f>W_CONS*CE122+W_SEG*CG122</f>
        <v/>
      </c>
      <c r="CI122" s="3">
        <f>IF(N(AB122)&gt;0,AB122,IF(AND(R122="profesional",SG_LEGAL_ON=1),GAR_LEGAL,0))</f>
        <v/>
      </c>
      <c r="CJ122" s="3">
        <f>SG_GAR*MIN(1,CI122/SG_GAR_FULL)+SG_AMPL*(AC122="sí")+SG_KMC*(AF122="sí")+SG_REV*(N(AE122)&gt;0)+SG_DEV*MIN(1,N(AG122)/SG_DEV_FULL)+SG_HIST*(W122="sí")</f>
        <v/>
      </c>
      <c r="CK122" s="3">
        <f>IFERROR(VLOOKUP(L122,CARR_PEN_TBL,2,0),0)</f>
        <v/>
      </c>
      <c r="CL122" s="3">
        <f>W_FIAB*BW122+W_PRECIO*BX122+W_KMEDAD*CB122+W_ANUNCIO*CC122+W_USO*CH122+W_SEGURIDAD*CJ122+W_ETIQUETA*CD122-CK122</f>
        <v/>
      </c>
      <c r="CM122" s="4">
        <f>IF(N(I122)&gt;0,I122,IFERROR(ROUND(_xlfn.NUMBERVALUE(LEFT(G122,FIND(" ",G122&amp;" ")-1),".")*1000,0),99999))</f>
        <v/>
      </c>
      <c r="CN122" s="3">
        <f>IF(R122="profesional",0,IF(O122&lt;CUOTA_VALOR_MAX,IF(BA122&gt;ITP_TRAMO_ALTO,SUMIFS(CF_CUOTA,CF_MAS,ITP_TRAMO_ALTO,CF_CCMIN,"&lt;="&amp;CM122,CF_CCMAX,"&gt;="&amp;CM122),IF(BA122&gt;ITP_TRAMO_BAJO,SUMIFS(CF_CUOTA,CF_MAS,ITP_TRAMO_BAJO,CF_CCMIN,"&lt;="&amp;CM122,CF_CCMAX,"&gt;="&amp;CM122),O122*ITP_TIPO)),O122*ITP_TIPO))</f>
        <v/>
      </c>
      <c r="CO122" s="4">
        <f>IF(R122="profesional",N(AK122),0)</f>
        <v/>
      </c>
      <c r="CP122" s="3">
        <f>IF(AND(R122="profesional",ISNUMBER(AK122),AL122="sí"),0,TASA_DGT)</f>
        <v/>
      </c>
      <c r="CQ122" s="3">
        <f>INFORME_DGT</f>
        <v/>
      </c>
      <c r="CR122" s="4">
        <f>O122+CO122+CN122+CP122+CQ122</f>
        <v/>
      </c>
      <c r="CS122" s="4">
        <f>CR122+N(CF122)</f>
        <v/>
      </c>
      <c r="CT122" s="3">
        <f>IF(CR122&lt;=TOTAL_MAX,"sí",IF(CR122&lt;=TOTAL_MAX+MARGEN_NEG,"negociar","no"))</f>
        <v/>
      </c>
      <c r="CU122" s="4">
        <f>IF(CT122&lt;&gt;"no",COUNTIFS($CT$2:$CT$545,"&lt;&gt;no",$CL$2:$CL$545,"&gt;"&amp;CL122)+COUNTIFS($CT$2:CT122,"&lt;&gt;no",$CL$2:CL122,CL122),"")</f>
        <v/>
      </c>
    </row>
    <row r="123">
      <c r="A123" s="2" t="inlineStr">
        <is>
          <t>cochesnet:71372914</t>
        </is>
      </c>
      <c r="B123" s="2" t="inlineStr">
        <is>
          <t>cochesnet</t>
        </is>
      </c>
      <c r="C123" s="2" t="inlineStr">
        <is>
          <t>https://www.coches.net/peugeot-207-confort-14-75-5p-gasolina-2008-en-valencia-71372914-covo.aspx</t>
        </is>
      </c>
      <c r="D123" s="2" t="inlineStr">
        <is>
          <t>PEUGEOT 207 Confort 1.4 75</t>
        </is>
      </c>
      <c r="E123" s="2" t="inlineStr">
        <is>
          <t>Peugeot</t>
        </is>
      </c>
      <c r="F123" s="2" t="inlineStr">
        <is>
          <t>Peugeot 207</t>
        </is>
      </c>
      <c r="G123" s="2" t="inlineStr">
        <is>
          <t>1.4</t>
        </is>
      </c>
      <c r="H123" s="2" t="inlineStr">
        <is>
          <t>Confort 1.4 75</t>
        </is>
      </c>
      <c r="I123" s="2" t="n"/>
      <c r="J123" s="2" t="n"/>
      <c r="K123" s="2" t="inlineStr">
        <is>
          <t>gasolina</t>
        </is>
      </c>
      <c r="L123" s="2" t="inlineStr">
        <is>
          <t>utilitario</t>
        </is>
      </c>
      <c r="M123" s="2" t="n">
        <v>2008</v>
      </c>
      <c r="N123" s="2" t="n">
        <v>132000</v>
      </c>
      <c r="O123" s="2" t="n">
        <v>3700</v>
      </c>
      <c r="P123" s="2" t="inlineStr">
        <is>
          <t>manual</t>
        </is>
      </c>
      <c r="Q123" s="2" t="inlineStr">
        <is>
          <t>no</t>
        </is>
      </c>
      <c r="R123" s="2" t="inlineStr">
        <is>
          <t>particular</t>
        </is>
      </c>
      <c r="S123" s="2" t="inlineStr">
        <is>
          <t>Xàtiva</t>
        </is>
      </c>
      <c r="T123" s="2" t="inlineStr">
        <is>
          <t>2026-08-27T07:18:37Z</t>
        </is>
      </c>
      <c r="U123" s="2" t="n">
        <v>10</v>
      </c>
      <c r="V123" s="2" t="n"/>
      <c r="W123" s="2" t="n"/>
      <c r="X123" s="2" t="n"/>
      <c r="Y123" s="2" t="n"/>
      <c r="Z123" s="2" t="inlineStr">
        <is>
          <t>no</t>
        </is>
      </c>
      <c r="AA123" s="2" t="n"/>
      <c r="AB123" s="2" t="n"/>
      <c r="AC123" s="2" t="n"/>
      <c r="AD123" s="2" t="n"/>
      <c r="AE123" s="2" t="n"/>
      <c r="AF123" s="2" t="n"/>
      <c r="AG123" s="2" t="n"/>
      <c r="AH123" s="2" t="n">
        <v>3700</v>
      </c>
      <c r="AI123" s="2" t="n"/>
      <c r="AJ123" s="2" t="n"/>
      <c r="AK123" s="2" t="n"/>
      <c r="AL123" s="2" t="n"/>
      <c r="AM123" s="2" t="n">
        <v>55.4</v>
      </c>
      <c r="AN123" s="2" t="n"/>
      <c r="AO123" s="2" t="inlineStr">
        <is>
          <t>2008</t>
        </is>
      </c>
      <c r="AP123" s="2" t="n">
        <v>2008</v>
      </c>
      <c r="AQ123" s="2" t="n"/>
      <c r="AR123" s="2" t="inlineStr">
        <is>
          <t>C</t>
        </is>
      </c>
      <c r="AS123" s="2" t="inlineStr">
        <is>
          <t>anuncio</t>
        </is>
      </c>
      <c r="AT123" s="2" t="n">
        <v>3550</v>
      </c>
      <c r="AU123" s="2" t="n">
        <v>30</v>
      </c>
      <c r="AV123" s="2" t="inlineStr">
        <is>
          <t>modelo+año+km</t>
        </is>
      </c>
      <c r="AW123" s="2" t="inlineStr">
        <is>
          <t>cochesnet:71381924 (https://www.coches.net/peugeot-207-gasolina-2008-en-valencia-71381924-covo.aspx)</t>
        </is>
      </c>
      <c r="AX123" s="2" t="inlineStr">
        <is>
          <t>cuota fija ITP: &gt;12 años, hasta 1.500 cc; fiabilidad del modelo PENDIENTE de fuente (puntuación neutra)</t>
        </is>
      </c>
      <c r="AY123" s="2" t="inlineStr"/>
      <c r="AZ123" s="2" t="inlineStr">
        <is>
          <t>https://www.coches.net/peugeot-207-confort-14-75-5p-gasolina-2008-en-valencia-71372914-covo.aspx (window.__INITIAL_PROPS__.ad) /home/user/Alopecia/buscador-coches/raw/cochesnet/52526cc9bdb938c1.json</t>
        </is>
      </c>
      <c r="BA123" s="3">
        <f>MAX(ANIO_ACTUAL-M123,0)</f>
        <v/>
      </c>
      <c r="BB123" s="4">
        <f>N123/MAX(BA123,0.5)</f>
        <v/>
      </c>
      <c r="BC123" s="4">
        <f>F123</f>
        <v/>
      </c>
      <c r="BD123" s="3">
        <f>BC123&amp;"|"&amp;INT(M123/SEG_ANIO)*SEG_ANIO</f>
        <v/>
      </c>
      <c r="BE123" s="3">
        <f>BD123&amp;"|"&amp;INT(N123/SEG_KM)*SEG_KM</f>
        <v/>
      </c>
      <c r="BF123" s="4">
        <f>COUNTIF($BC$2:$BC$545,BC123)</f>
        <v/>
      </c>
      <c r="BG123" s="4">
        <f>COUNTIF($BD$2:$BD$545,BD123)</f>
        <v/>
      </c>
      <c r="BH123" s="4">
        <f>COUNTIF($BE$2:$BE$545,BE123)</f>
        <v/>
      </c>
      <c r="BI123" s="3">
        <f t="array" ref="BI123">IF(N(AU123)&gt;=MIN_N,AT123,IF(BH123&gt;=MIN_N,MEDIAN(IF($BE$2:$BE$545=BE123,$O$2:$O$545)),IF(BG123&gt;=MIN_N,MEDIAN(IF($BD$2:$BD$545=BD123,$O$2:$O$545)),MEDIAN(IF($BC$2:$BC$545=BC123,$O$2:$O$545)))))</f>
        <v/>
      </c>
      <c r="BJ123" s="3">
        <f>IF(N(AU123)&gt;=MIN_N,"mercado "&amp;AV123,IF(BH123&gt;=MIN_N,"modelo+año+km",IF(BG123&gt;=MIN_N,"modelo+año","modelo")))</f>
        <v/>
      </c>
      <c r="BK123" s="4">
        <f>(BI123-O123)/BI123</f>
        <v/>
      </c>
      <c r="BL123" s="3">
        <f>IF(COUNTIFS(FR_FUEL,K123,FR_YEAR,AP123)&gt;0,1,0)</f>
        <v/>
      </c>
      <c r="BM123" s="3">
        <f>IF(COUNTIFS(FR_FUEL,K123,FR_YEAR,AP123-1)&gt;0,1,0)</f>
        <v/>
      </c>
      <c r="BN123" s="4">
        <f>IF(N(AQ123)&gt;0,AP123*100+AQ123,IF(AND(BL123=1,BM123=1),(AP123-1)*100+1,AP123*100+1))</f>
        <v/>
      </c>
      <c r="BO123" s="3">
        <f>IF(OR(K123="hibrido",K123="glp",K123="gnc",K123="phev"),"ECO",IF(K123="electrico","CERO",IF(K123="gasolina",IF(BN123&gt;=GAS_C_YM,"C",IF(BN123&gt;=GAS_B_YM,"B","A")),IF(K123="diesel",IF(BN123&gt;=DIE_C_YM,"C",IF(BN123&gt;=DIE_B_YM,"B","A")),""))))</f>
        <v/>
      </c>
      <c r="BP123" s="2" t="inlineStr">
        <is>
          <t>C</t>
        </is>
      </c>
      <c r="BQ123" s="4">
        <f>IF(AS123="regla",IF(AND(N(AQ123)=0,BL123=1),"sí","no"),"no")</f>
        <v/>
      </c>
      <c r="BR123" s="3">
        <f>IFERROR(VLOOKUP(F123,MOD_TBL,11,0),IFERROR(VLOOKUP(E123,OCU_TBL,2,0),NEUTRO))</f>
        <v/>
      </c>
      <c r="BS123" s="3">
        <f>SUMIFS(MOT_AJUSTE,MOT_MOTOR,G123,MOT_MARCA,E123,MOT_DESDE,"&lt;="&amp;M123,MOT_HASTA,"&gt;="&amp;M123)+SUMIFS(MOT_AJUSTE,MOT_MOTOR,G123,MOT_MARCA,"(todas)",MOT_DESDE,"&lt;="&amp;M123,MOT_HASTA,"&gt;="&amp;M123)</f>
        <v/>
      </c>
      <c r="BT123" s="3">
        <f>SUMIFS(COMB_AJUSTE,COMB_COMB,K123)</f>
        <v/>
      </c>
      <c r="BU123" s="3">
        <f>COUNTIFS(MOT_MOTOR,G123,MOT_MARCA,E123,MOT_DESDE,"&lt;="&amp;M123,MOT_HASTA,"&gt;="&amp;M123)+COUNTIFS(MOT_MOTOR,G123,MOT_MARCA,"(todas)",MOT_DESDE,"&lt;="&amp;M123,MOT_HASTA,"&gt;="&amp;M123)</f>
        <v/>
      </c>
      <c r="BV123" s="3">
        <f>IF(AND(K123="diesel",BU123=0),MIN(BR123,NEUTRO),BR123)</f>
        <v/>
      </c>
      <c r="BW123" s="4">
        <f>MAX(0,MIN(100,BV123+BS123+BT123))</f>
        <v/>
      </c>
      <c r="BX123" s="3">
        <f>MAX(0,MIN(100,50+BK123*PRECIO_PEND))</f>
        <v/>
      </c>
      <c r="BY123" s="3">
        <f>MAX(0,100*(1-N123/KM_MAX))</f>
        <v/>
      </c>
      <c r="BZ123" s="3">
        <f>IF(BB123&lt;KMA_SOSP,IF(AA123="sí",100,KMA_PEN),IF(BB123&lt;=KMA_IDEAL_MAX,100,MAX(0,100*(KMA_CERO-BB123)/(KMA_CERO-KMA_IDEAL_MAX))))</f>
        <v/>
      </c>
      <c r="CA123" s="3">
        <f>MAX(0,MIN(100,100*(M123-ANIO_MIN)/(ANIO_ACTUAL-ANIO_MIN)))</f>
        <v/>
      </c>
      <c r="CB123" s="3">
        <f>W_KMT*BY123+W_KMA*BZ123+W_EDAD*CA123</f>
        <v/>
      </c>
      <c r="CC123" s="3">
        <f>P_ITV*(V123="sí")+P_LIBRO*(W123="sí")+P_CORREA*(X123="sí")+P_PROP*(Y123=1)+P_GAR*(Z123="sí")+P_FOTOS*MIN(1,N(U123)/FOTOS_OBJ)</f>
        <v/>
      </c>
      <c r="CD123" s="3">
        <f>MAX(0,MIN(100,IFERROR(VLOOKUP(BP123,ETQ_TBL,2,0),0)-IF(BQ123="sí",ETQ_PEN_DUD,IF(AS123="regla",ETQ_PEN_REGLA,0))))</f>
        <v/>
      </c>
      <c r="CE123" s="3">
        <f>NEUTRO</f>
        <v/>
      </c>
      <c r="CF123" s="3">
        <f>IFERROR(VLOOKUP(L123,SEGURO_TBL,3,0),"")</f>
        <v/>
      </c>
      <c r="CG123" s="3">
        <f>IF(CF123="",NEUTRO,MAX(0,MIN(100,100*(SEG_REF_MAX-CF123)/(SEG_REF_MAX-SEG_REF_MIN))))</f>
        <v/>
      </c>
      <c r="CH123" s="3">
        <f>W_CONS*CE123+W_SEG*CG123</f>
        <v/>
      </c>
      <c r="CI123" s="3">
        <f>IF(N(AB123)&gt;0,AB123,IF(AND(R123="profesional",SG_LEGAL_ON=1),GAR_LEGAL,0))</f>
        <v/>
      </c>
      <c r="CJ123" s="3">
        <f>SG_GAR*MIN(1,CI123/SG_GAR_FULL)+SG_AMPL*(AC123="sí")+SG_KMC*(AF123="sí")+SG_REV*(N(AE123)&gt;0)+SG_DEV*MIN(1,N(AG123)/SG_DEV_FULL)+SG_HIST*(W123="sí")</f>
        <v/>
      </c>
      <c r="CK123" s="3">
        <f>IFERROR(VLOOKUP(L123,CARR_PEN_TBL,2,0),0)</f>
        <v/>
      </c>
      <c r="CL123" s="3">
        <f>W_FIAB*BW123+W_PRECIO*BX123+W_KMEDAD*CB123+W_ANUNCIO*CC123+W_USO*CH123+W_SEGURIDAD*CJ123+W_ETIQUETA*CD123-CK123</f>
        <v/>
      </c>
      <c r="CM123" s="4">
        <f>IF(N(I123)&gt;0,I123,IFERROR(ROUND(_xlfn.NUMBERVALUE(LEFT(G123,FIND(" ",G123&amp;" ")-1),".")*1000,0),99999))</f>
        <v/>
      </c>
      <c r="CN123" s="3">
        <f>IF(R123="profesional",0,IF(O123&lt;CUOTA_VALOR_MAX,IF(BA123&gt;ITP_TRAMO_ALTO,SUMIFS(CF_CUOTA,CF_MAS,ITP_TRAMO_ALTO,CF_CCMIN,"&lt;="&amp;CM123,CF_CCMAX,"&gt;="&amp;CM123),IF(BA123&gt;ITP_TRAMO_BAJO,SUMIFS(CF_CUOTA,CF_MAS,ITP_TRAMO_BAJO,CF_CCMIN,"&lt;="&amp;CM123,CF_CCMAX,"&gt;="&amp;CM123),O123*ITP_TIPO)),O123*ITP_TIPO))</f>
        <v/>
      </c>
      <c r="CO123" s="4">
        <f>IF(R123="profesional",N(AK123),0)</f>
        <v/>
      </c>
      <c r="CP123" s="3">
        <f>IF(AND(R123="profesional",ISNUMBER(AK123),AL123="sí"),0,TASA_DGT)</f>
        <v/>
      </c>
      <c r="CQ123" s="3">
        <f>INFORME_DGT</f>
        <v/>
      </c>
      <c r="CR123" s="4">
        <f>O123+CO123+CN123+CP123+CQ123</f>
        <v/>
      </c>
      <c r="CS123" s="4">
        <f>CR123+N(CF123)</f>
        <v/>
      </c>
      <c r="CT123" s="3">
        <f>IF(CR123&lt;=TOTAL_MAX,"sí",IF(CR123&lt;=TOTAL_MAX+MARGEN_NEG,"negociar","no"))</f>
        <v/>
      </c>
      <c r="CU123" s="4">
        <f>IF(CT123&lt;&gt;"no",COUNTIFS($CT$2:$CT$545,"&lt;&gt;no",$CL$2:$CL$545,"&gt;"&amp;CL123)+COUNTIFS($CT$2:CT123,"&lt;&gt;no",$CL$2:CL123,CL123),"")</f>
        <v/>
      </c>
    </row>
    <row r="124">
      <c r="A124" s="2" t="inlineStr">
        <is>
          <t>cochesnet:71237986</t>
        </is>
      </c>
      <c r="B124" s="2" t="inlineStr">
        <is>
          <t>cochesnet</t>
        </is>
      </c>
      <c r="C124" s="2" t="inlineStr">
        <is>
          <t>https://www.coches.net/peugeot-207-16thp-16v-gt-3p-gasolina-2008-en-valencia-71237986-covo.aspx</t>
        </is>
      </c>
      <c r="D124" s="2" t="inlineStr">
        <is>
          <t>PEUGEOT 207 1.6THP 16v GT</t>
        </is>
      </c>
      <c r="E124" s="2" t="inlineStr">
        <is>
          <t>Peugeot</t>
        </is>
      </c>
      <c r="F124" s="2" t="inlineStr">
        <is>
          <t>Peugeot 207</t>
        </is>
      </c>
      <c r="G124" s="2" t="inlineStr">
        <is>
          <t>1.6</t>
        </is>
      </c>
      <c r="H124" s="2" t="inlineStr">
        <is>
          <t>1.6THP 16v GT</t>
        </is>
      </c>
      <c r="I124" s="2" t="n"/>
      <c r="J124" s="2" t="n"/>
      <c r="K124" s="2" t="inlineStr">
        <is>
          <t>gasolina</t>
        </is>
      </c>
      <c r="L124" s="2" t="inlineStr">
        <is>
          <t>utilitario</t>
        </is>
      </c>
      <c r="M124" s="2" t="n">
        <v>2008</v>
      </c>
      <c r="N124" s="2" t="n">
        <v>195000</v>
      </c>
      <c r="O124" s="2" t="n">
        <v>3900</v>
      </c>
      <c r="P124" s="2" t="inlineStr">
        <is>
          <t>manual</t>
        </is>
      </c>
      <c r="Q124" s="2" t="inlineStr">
        <is>
          <t>no</t>
        </is>
      </c>
      <c r="R124" s="2" t="inlineStr">
        <is>
          <t>particular</t>
        </is>
      </c>
      <c r="S124" s="2" t="inlineStr">
        <is>
          <t>Valencia</t>
        </is>
      </c>
      <c r="T124" s="2" t="inlineStr">
        <is>
          <t>2026-08-05T21:54:08Z</t>
        </is>
      </c>
      <c r="U124" s="2" t="n">
        <v>10</v>
      </c>
      <c r="V124" s="2" t="inlineStr">
        <is>
          <t>sí</t>
        </is>
      </c>
      <c r="W124" s="2" t="n"/>
      <c r="X124" s="2" t="n"/>
      <c r="Y124" s="2" t="n"/>
      <c r="Z124" s="2" t="inlineStr">
        <is>
          <t>no</t>
        </is>
      </c>
      <c r="AA124" s="2" t="n"/>
      <c r="AB124" s="2" t="n"/>
      <c r="AC124" s="2" t="n"/>
      <c r="AD124" s="2" t="n"/>
      <c r="AE124" s="2" t="n"/>
      <c r="AF124" s="2" t="n"/>
      <c r="AG124" s="2" t="n"/>
      <c r="AH124" s="2" t="n">
        <v>3900</v>
      </c>
      <c r="AI124" s="2" t="n"/>
      <c r="AJ124" s="2" t="n"/>
      <c r="AK124" s="2" t="n"/>
      <c r="AL124" s="2" t="n"/>
      <c r="AM124" s="2" t="n">
        <v>0.1</v>
      </c>
      <c r="AN124" s="2" t="n"/>
      <c r="AO124" s="2" t="inlineStr">
        <is>
          <t>2008</t>
        </is>
      </c>
      <c r="AP124" s="2" t="n">
        <v>2008</v>
      </c>
      <c r="AQ124" s="2" t="n"/>
      <c r="AR124" s="2" t="inlineStr">
        <is>
          <t>C</t>
        </is>
      </c>
      <c r="AS124" s="2" t="inlineStr">
        <is>
          <t>anuncio</t>
        </is>
      </c>
      <c r="AT124" s="2" t="n">
        <v>3600</v>
      </c>
      <c r="AU124" s="2" t="n">
        <v>21</v>
      </c>
      <c r="AV124" s="2" t="inlineStr">
        <is>
          <t>modelo+año+km</t>
        </is>
      </c>
      <c r="AW124" s="2" t="n"/>
      <c r="AX124" s="2" t="inlineStr">
        <is>
          <t>cuota fija ITP: &gt;12 años, 1.501-2.000 cc; fiabilidad del modelo PENDIENTE de fuente (puntuación neutra)</t>
        </is>
      </c>
      <c r="AY124" s="2" t="inlineStr">
        <is>
          <t>PEUGEOT 207 3P GT 1.6 TH DE 2008. GASOLINA, COLOR NEGRO, 3 PUERTAS, VERSION DEPORTIVA. ASIENTOS DE CUERO Y TECHO SOLAR. GASOLINA 195.000KM Y 175CV. 
CUALQUIER INFORMACIÓN ADICIONAL ESCRIBIR CHAT. ITV EN VIGOR</t>
        </is>
      </c>
      <c r="AZ124" s="2" t="inlineStr">
        <is>
          <t>https://www.coches.net/peugeot-207-16thp-16v-gt-3p-gasolina-2008-en-valencia-71237986-covo.aspx (window.__INITIAL_PROPS__.ad) /home/user/Alopecia/buscador-coches/raw/cochesnet/186fe741347008e9.json</t>
        </is>
      </c>
      <c r="BA124" s="3">
        <f>MAX(ANIO_ACTUAL-M124,0)</f>
        <v/>
      </c>
      <c r="BB124" s="4">
        <f>N124/MAX(BA124,0.5)</f>
        <v/>
      </c>
      <c r="BC124" s="4">
        <f>F124</f>
        <v/>
      </c>
      <c r="BD124" s="3">
        <f>BC124&amp;"|"&amp;INT(M124/SEG_ANIO)*SEG_ANIO</f>
        <v/>
      </c>
      <c r="BE124" s="3">
        <f>BD124&amp;"|"&amp;INT(N124/SEG_KM)*SEG_KM</f>
        <v/>
      </c>
      <c r="BF124" s="4">
        <f>COUNTIF($BC$2:$BC$545,BC124)</f>
        <v/>
      </c>
      <c r="BG124" s="4">
        <f>COUNTIF($BD$2:$BD$545,BD124)</f>
        <v/>
      </c>
      <c r="BH124" s="4">
        <f>COUNTIF($BE$2:$BE$545,BE124)</f>
        <v/>
      </c>
      <c r="BI124" s="3">
        <f t="array" ref="BI124">IF(N(AU124)&gt;=MIN_N,AT124,IF(BH124&gt;=MIN_N,MEDIAN(IF($BE$2:$BE$545=BE124,$O$2:$O$545)),IF(BG124&gt;=MIN_N,MEDIAN(IF($BD$2:$BD$545=BD124,$O$2:$O$545)),MEDIAN(IF($BC$2:$BC$545=BC124,$O$2:$O$545)))))</f>
        <v/>
      </c>
      <c r="BJ124" s="3">
        <f>IF(N(AU124)&gt;=MIN_N,"mercado "&amp;AV124,IF(BH124&gt;=MIN_N,"modelo+año+km",IF(BG124&gt;=MIN_N,"modelo+año","modelo")))</f>
        <v/>
      </c>
      <c r="BK124" s="4">
        <f>(BI124-O124)/BI124</f>
        <v/>
      </c>
      <c r="BL124" s="3">
        <f>IF(COUNTIFS(FR_FUEL,K124,FR_YEAR,AP124)&gt;0,1,0)</f>
        <v/>
      </c>
      <c r="BM124" s="3">
        <f>IF(COUNTIFS(FR_FUEL,K124,FR_YEAR,AP124-1)&gt;0,1,0)</f>
        <v/>
      </c>
      <c r="BN124" s="4">
        <f>IF(N(AQ124)&gt;0,AP124*100+AQ124,IF(AND(BL124=1,BM124=1),(AP124-1)*100+1,AP124*100+1))</f>
        <v/>
      </c>
      <c r="BO124" s="3">
        <f>IF(OR(K124="hibrido",K124="glp",K124="gnc",K124="phev"),"ECO",IF(K124="electrico","CERO",IF(K124="gasolina",IF(BN124&gt;=GAS_C_YM,"C",IF(BN124&gt;=GAS_B_YM,"B","A")),IF(K124="diesel",IF(BN124&gt;=DIE_C_YM,"C",IF(BN124&gt;=DIE_B_YM,"B","A")),""))))</f>
        <v/>
      </c>
      <c r="BP124" s="2" t="inlineStr">
        <is>
          <t>C</t>
        </is>
      </c>
      <c r="BQ124" s="4">
        <f>IF(AS124="regla",IF(AND(N(AQ124)=0,BL124=1),"sí","no"),"no")</f>
        <v/>
      </c>
      <c r="BR124" s="3">
        <f>IFERROR(VLOOKUP(F124,MOD_TBL,11,0),IFERROR(VLOOKUP(E124,OCU_TBL,2,0),NEUTRO))</f>
        <v/>
      </c>
      <c r="BS124" s="3">
        <f>SUMIFS(MOT_AJUSTE,MOT_MOTOR,G124,MOT_MARCA,E124,MOT_DESDE,"&lt;="&amp;M124,MOT_HASTA,"&gt;="&amp;M124)+SUMIFS(MOT_AJUSTE,MOT_MOTOR,G124,MOT_MARCA,"(todas)",MOT_DESDE,"&lt;="&amp;M124,MOT_HASTA,"&gt;="&amp;M124)</f>
        <v/>
      </c>
      <c r="BT124" s="3">
        <f>SUMIFS(COMB_AJUSTE,COMB_COMB,K124)</f>
        <v/>
      </c>
      <c r="BU124" s="3">
        <f>COUNTIFS(MOT_MOTOR,G124,MOT_MARCA,E124,MOT_DESDE,"&lt;="&amp;M124,MOT_HASTA,"&gt;="&amp;M124)+COUNTIFS(MOT_MOTOR,G124,MOT_MARCA,"(todas)",MOT_DESDE,"&lt;="&amp;M124,MOT_HASTA,"&gt;="&amp;M124)</f>
        <v/>
      </c>
      <c r="BV124" s="3">
        <f>IF(AND(K124="diesel",BU124=0),MIN(BR124,NEUTRO),BR124)</f>
        <v/>
      </c>
      <c r="BW124" s="4">
        <f>MAX(0,MIN(100,BV124+BS124+BT124))</f>
        <v/>
      </c>
      <c r="BX124" s="3">
        <f>MAX(0,MIN(100,50+BK124*PRECIO_PEND))</f>
        <v/>
      </c>
      <c r="BY124" s="3">
        <f>MAX(0,100*(1-N124/KM_MAX))</f>
        <v/>
      </c>
      <c r="BZ124" s="3">
        <f>IF(BB124&lt;KMA_SOSP,IF(AA124="sí",100,KMA_PEN),IF(BB124&lt;=KMA_IDEAL_MAX,100,MAX(0,100*(KMA_CERO-BB124)/(KMA_CERO-KMA_IDEAL_MAX))))</f>
        <v/>
      </c>
      <c r="CA124" s="3">
        <f>MAX(0,MIN(100,100*(M124-ANIO_MIN)/(ANIO_ACTUAL-ANIO_MIN)))</f>
        <v/>
      </c>
      <c r="CB124" s="3">
        <f>W_KMT*BY124+W_KMA*BZ124+W_EDAD*CA124</f>
        <v/>
      </c>
      <c r="CC124" s="3">
        <f>P_ITV*(V124="sí")+P_LIBRO*(W124="sí")+P_CORREA*(X124="sí")+P_PROP*(Y124=1)+P_GAR*(Z124="sí")+P_FOTOS*MIN(1,N(U124)/FOTOS_OBJ)</f>
        <v/>
      </c>
      <c r="CD124" s="3">
        <f>MAX(0,MIN(100,IFERROR(VLOOKUP(BP124,ETQ_TBL,2,0),0)-IF(BQ124="sí",ETQ_PEN_DUD,IF(AS124="regla",ETQ_PEN_REGLA,0))))</f>
        <v/>
      </c>
      <c r="CE124" s="3">
        <f>NEUTRO</f>
        <v/>
      </c>
      <c r="CF124" s="3">
        <f>IFERROR(VLOOKUP(L124,SEGURO_TBL,3,0),"")</f>
        <v/>
      </c>
      <c r="CG124" s="3">
        <f>IF(CF124="",NEUTRO,MAX(0,MIN(100,100*(SEG_REF_MAX-CF124)/(SEG_REF_MAX-SEG_REF_MIN))))</f>
        <v/>
      </c>
      <c r="CH124" s="3">
        <f>W_CONS*CE124+W_SEG*CG124</f>
        <v/>
      </c>
      <c r="CI124" s="3">
        <f>IF(N(AB124)&gt;0,AB124,IF(AND(R124="profesional",SG_LEGAL_ON=1),GAR_LEGAL,0))</f>
        <v/>
      </c>
      <c r="CJ124" s="3">
        <f>SG_GAR*MIN(1,CI124/SG_GAR_FULL)+SG_AMPL*(AC124="sí")+SG_KMC*(AF124="sí")+SG_REV*(N(AE124)&gt;0)+SG_DEV*MIN(1,N(AG124)/SG_DEV_FULL)+SG_HIST*(W124="sí")</f>
        <v/>
      </c>
      <c r="CK124" s="3">
        <f>IFERROR(VLOOKUP(L124,CARR_PEN_TBL,2,0),0)</f>
        <v/>
      </c>
      <c r="CL124" s="3">
        <f>W_FIAB*BW124+W_PRECIO*BX124+W_KMEDAD*CB124+W_ANUNCIO*CC124+W_USO*CH124+W_SEGURIDAD*CJ124+W_ETIQUETA*CD124-CK124</f>
        <v/>
      </c>
      <c r="CM124" s="4">
        <f>IF(N(I124)&gt;0,I124,IFERROR(ROUND(_xlfn.NUMBERVALUE(LEFT(G124,FIND(" ",G124&amp;" ")-1),".")*1000,0),99999))</f>
        <v/>
      </c>
      <c r="CN124" s="3">
        <f>IF(R124="profesional",0,IF(O124&lt;CUOTA_VALOR_MAX,IF(BA124&gt;ITP_TRAMO_ALTO,SUMIFS(CF_CUOTA,CF_MAS,ITP_TRAMO_ALTO,CF_CCMIN,"&lt;="&amp;CM124,CF_CCMAX,"&gt;="&amp;CM124),IF(BA124&gt;ITP_TRAMO_BAJO,SUMIFS(CF_CUOTA,CF_MAS,ITP_TRAMO_BAJO,CF_CCMIN,"&lt;="&amp;CM124,CF_CCMAX,"&gt;="&amp;CM124),O124*ITP_TIPO)),O124*ITP_TIPO))</f>
        <v/>
      </c>
      <c r="CO124" s="4">
        <f>IF(R124="profesional",N(AK124),0)</f>
        <v/>
      </c>
      <c r="CP124" s="3">
        <f>IF(AND(R124="profesional",ISNUMBER(AK124),AL124="sí"),0,TASA_DGT)</f>
        <v/>
      </c>
      <c r="CQ124" s="3">
        <f>INFORME_DGT</f>
        <v/>
      </c>
      <c r="CR124" s="4">
        <f>O124+CO124+CN124+CP124+CQ124</f>
        <v/>
      </c>
      <c r="CS124" s="4">
        <f>CR124+N(CF124)</f>
        <v/>
      </c>
      <c r="CT124" s="3">
        <f>IF(CR124&lt;=TOTAL_MAX,"sí",IF(CR124&lt;=TOTAL_MAX+MARGEN_NEG,"negociar","no"))</f>
        <v/>
      </c>
      <c r="CU124" s="4">
        <f>IF(CT124&lt;&gt;"no",COUNTIFS($CT$2:$CT$545,"&lt;&gt;no",$CL$2:$CL$545,"&gt;"&amp;CL124)+COUNTIFS($CT$2:CT124,"&lt;&gt;no",$CL$2:CL124,CL124),"")</f>
        <v/>
      </c>
    </row>
    <row r="125">
      <c r="A125" s="2" t="inlineStr">
        <is>
          <t>cochesnet:70477899</t>
        </is>
      </c>
      <c r="B125" s="2" t="inlineStr">
        <is>
          <t>cochesnet</t>
        </is>
      </c>
      <c r="C125" s="2" t="inlineStr">
        <is>
          <t>https://www.coches.net/peugeot-207-diesel-2010-en-valencia-70477899-covo.aspx</t>
        </is>
      </c>
      <c r="D125" s="2" t="inlineStr">
        <is>
          <t>PEUGEOT 207</t>
        </is>
      </c>
      <c r="E125" s="2" t="inlineStr">
        <is>
          <t>Peugeot</t>
        </is>
      </c>
      <c r="F125" s="2" t="inlineStr">
        <is>
          <t>Peugeot 207</t>
        </is>
      </c>
      <c r="G125" s="2" t="n"/>
      <c r="H125" s="2" t="n"/>
      <c r="I125" s="2" t="n"/>
      <c r="J125" s="2" t="n"/>
      <c r="K125" s="2" t="inlineStr">
        <is>
          <t>diesel</t>
        </is>
      </c>
      <c r="L125" s="2" t="inlineStr">
        <is>
          <t>utilitario</t>
        </is>
      </c>
      <c r="M125" s="2" t="n">
        <v>2010</v>
      </c>
      <c r="N125" s="2" t="n">
        <v>214956</v>
      </c>
      <c r="O125" s="2" t="n">
        <v>3800</v>
      </c>
      <c r="P125" s="2" t="inlineStr">
        <is>
          <t>manual</t>
        </is>
      </c>
      <c r="Q125" s="2" t="inlineStr">
        <is>
          <t>no</t>
        </is>
      </c>
      <c r="R125" s="2" t="inlineStr">
        <is>
          <t>particular</t>
        </is>
      </c>
      <c r="S125" s="2" t="n"/>
      <c r="T125" s="2" t="inlineStr">
        <is>
          <t>2026-04-23T14:19:40Z</t>
        </is>
      </c>
      <c r="U125" s="2" t="n">
        <v>7</v>
      </c>
      <c r="V125" s="2" t="inlineStr">
        <is>
          <t>sí</t>
        </is>
      </c>
      <c r="W125" s="2" t="n"/>
      <c r="X125" s="2" t="inlineStr">
        <is>
          <t>sí</t>
        </is>
      </c>
      <c r="Y125" s="2" t="n"/>
      <c r="Z125" s="2" t="inlineStr">
        <is>
          <t>no</t>
        </is>
      </c>
      <c r="AA125" s="2" t="n"/>
      <c r="AB125" s="2" t="n"/>
      <c r="AC125" s="2" t="n"/>
      <c r="AD125" s="2" t="n"/>
      <c r="AE125" s="2" t="n"/>
      <c r="AF125" s="2" t="n"/>
      <c r="AG125" s="2" t="n"/>
      <c r="AH125" s="2" t="n">
        <v>3800</v>
      </c>
      <c r="AI125" s="2" t="n"/>
      <c r="AJ125" s="2" t="n"/>
      <c r="AK125" s="2" t="n"/>
      <c r="AL125" s="2" t="n"/>
      <c r="AM125" s="2" t="n"/>
      <c r="AN125" s="2" t="n"/>
      <c r="AO125" s="2" t="inlineStr">
        <is>
          <t>2010</t>
        </is>
      </c>
      <c r="AP125" s="2" t="n">
        <v>2010</v>
      </c>
      <c r="AQ125" s="2" t="n"/>
      <c r="AR125" s="2" t="n"/>
      <c r="AS125" s="2" t="inlineStr">
        <is>
          <t>regla</t>
        </is>
      </c>
      <c r="AT125" s="2" t="n">
        <v>3350</v>
      </c>
      <c r="AU125" s="2" t="n">
        <v>6</v>
      </c>
      <c r="AV125" s="2" t="inlineStr">
        <is>
          <t>modelo+año+km</t>
        </is>
      </c>
      <c r="AW125" s="2" t="n"/>
      <c r="AX12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25" s="2" t="inlineStr">
        <is>
          <t>Vendo o cambio por motivo de espacio 
Kits de correa de distribucion cambiada.
Itv en vigor.
Pantalla.
Cámara trasera. 
Negociable, por favor no marear.</t>
        </is>
      </c>
      <c r="AZ125" s="2" t="inlineStr">
        <is>
          <t>https://www.coches.net/peugeot-207-diesel-2010-en-valencia-70477899-covo.aspx (window.__INITIAL_PROPS__.ad) /home/user/Alopecia/buscador-coches/raw/cochesnet/62814f1ebfc9a5f5.json</t>
        </is>
      </c>
      <c r="BA125" s="3">
        <f>MAX(ANIO_ACTUAL-M125,0)</f>
        <v/>
      </c>
      <c r="BB125" s="4">
        <f>N125/MAX(BA125,0.5)</f>
        <v/>
      </c>
      <c r="BC125" s="4">
        <f>F125</f>
        <v/>
      </c>
      <c r="BD125" s="3">
        <f>BC125&amp;"|"&amp;INT(M125/SEG_ANIO)*SEG_ANIO</f>
        <v/>
      </c>
      <c r="BE125" s="3">
        <f>BD125&amp;"|"&amp;INT(N125/SEG_KM)*SEG_KM</f>
        <v/>
      </c>
      <c r="BF125" s="4">
        <f>COUNTIF($BC$2:$BC$545,BC125)</f>
        <v/>
      </c>
      <c r="BG125" s="4">
        <f>COUNTIF($BD$2:$BD$545,BD125)</f>
        <v/>
      </c>
      <c r="BH125" s="4">
        <f>COUNTIF($BE$2:$BE$545,BE125)</f>
        <v/>
      </c>
      <c r="BI125" s="3">
        <f t="array" ref="BI125">IF(N(AU125)&gt;=MIN_N,AT125,IF(BH125&gt;=MIN_N,MEDIAN(IF($BE$2:$BE$545=BE125,$O$2:$O$545)),IF(BG125&gt;=MIN_N,MEDIAN(IF($BD$2:$BD$545=BD125,$O$2:$O$545)),MEDIAN(IF($BC$2:$BC$545=BC125,$O$2:$O$545)))))</f>
        <v/>
      </c>
      <c r="BJ125" s="3">
        <f>IF(N(AU125)&gt;=MIN_N,"mercado "&amp;AV125,IF(BH125&gt;=MIN_N,"modelo+año+km",IF(BG125&gt;=MIN_N,"modelo+año","modelo")))</f>
        <v/>
      </c>
      <c r="BK125" s="4">
        <f>(BI125-O125)/BI125</f>
        <v/>
      </c>
      <c r="BL125" s="3">
        <f>IF(COUNTIFS(FR_FUEL,K125,FR_YEAR,AP125)&gt;0,1,0)</f>
        <v/>
      </c>
      <c r="BM125" s="3">
        <f>IF(COUNTIFS(FR_FUEL,K125,FR_YEAR,AP125-1)&gt;0,1,0)</f>
        <v/>
      </c>
      <c r="BN125" s="4">
        <f>IF(N(AQ125)&gt;0,AP125*100+AQ125,IF(AND(BL125=1,BM125=1),(AP125-1)*100+1,AP125*100+1))</f>
        <v/>
      </c>
      <c r="BO125" s="3">
        <f>IF(OR(K125="hibrido",K125="glp",K125="gnc",K125="phev"),"ECO",IF(K125="electrico","CERO",IF(K125="gasolina",IF(BN125&gt;=GAS_C_YM,"C",IF(BN125&gt;=GAS_B_YM,"B","A")),IF(K125="diesel",IF(BN125&gt;=DIE_C_YM,"C",IF(BN125&gt;=DIE_B_YM,"B","A")),""))))</f>
        <v/>
      </c>
      <c r="BP125" s="4">
        <f>BO125</f>
        <v/>
      </c>
      <c r="BQ125" s="4">
        <f>IF(AS125="regla",IF(AND(N(AQ125)=0,BL125=1),"sí","no"),"no")</f>
        <v/>
      </c>
      <c r="BR125" s="3">
        <f>IFERROR(VLOOKUP(F125,MOD_TBL,11,0),IFERROR(VLOOKUP(E125,OCU_TBL,2,0),NEUTRO))</f>
        <v/>
      </c>
      <c r="BS125" s="3">
        <f>SUMIFS(MOT_AJUSTE,MOT_MOTOR,G125,MOT_MARCA,E125,MOT_DESDE,"&lt;="&amp;M125,MOT_HASTA,"&gt;="&amp;M125)+SUMIFS(MOT_AJUSTE,MOT_MOTOR,G125,MOT_MARCA,"(todas)",MOT_DESDE,"&lt;="&amp;M125,MOT_HASTA,"&gt;="&amp;M125)</f>
        <v/>
      </c>
      <c r="BT125" s="3">
        <f>SUMIFS(COMB_AJUSTE,COMB_COMB,K125)</f>
        <v/>
      </c>
      <c r="BU125" s="3">
        <f>COUNTIFS(MOT_MOTOR,G125,MOT_MARCA,E125,MOT_DESDE,"&lt;="&amp;M125,MOT_HASTA,"&gt;="&amp;M125)+COUNTIFS(MOT_MOTOR,G125,MOT_MARCA,"(todas)",MOT_DESDE,"&lt;="&amp;M125,MOT_HASTA,"&gt;="&amp;M125)</f>
        <v/>
      </c>
      <c r="BV125" s="3">
        <f>IF(AND(K125="diesel",BU125=0),MIN(BR125,NEUTRO),BR125)</f>
        <v/>
      </c>
      <c r="BW125" s="4">
        <f>MAX(0,MIN(100,BV125+BS125+BT125))</f>
        <v/>
      </c>
      <c r="BX125" s="3">
        <f>MAX(0,MIN(100,50+BK125*PRECIO_PEND))</f>
        <v/>
      </c>
      <c r="BY125" s="3">
        <f>MAX(0,100*(1-N125/KM_MAX))</f>
        <v/>
      </c>
      <c r="BZ125" s="3">
        <f>IF(BB125&lt;KMA_SOSP,IF(AA125="sí",100,KMA_PEN),IF(BB125&lt;=KMA_IDEAL_MAX,100,MAX(0,100*(KMA_CERO-BB125)/(KMA_CERO-KMA_IDEAL_MAX))))</f>
        <v/>
      </c>
      <c r="CA125" s="3">
        <f>MAX(0,MIN(100,100*(M125-ANIO_MIN)/(ANIO_ACTUAL-ANIO_MIN)))</f>
        <v/>
      </c>
      <c r="CB125" s="3">
        <f>W_KMT*BY125+W_KMA*BZ125+W_EDAD*CA125</f>
        <v/>
      </c>
      <c r="CC125" s="3">
        <f>P_ITV*(V125="sí")+P_LIBRO*(W125="sí")+P_CORREA*(X125="sí")+P_PROP*(Y125=1)+P_GAR*(Z125="sí")+P_FOTOS*MIN(1,N(U125)/FOTOS_OBJ)</f>
        <v/>
      </c>
      <c r="CD125" s="3">
        <f>MAX(0,MIN(100,IFERROR(VLOOKUP(BP125,ETQ_TBL,2,0),0)-IF(BQ125="sí",ETQ_PEN_DUD,IF(AS125="regla",ETQ_PEN_REGLA,0))))</f>
        <v/>
      </c>
      <c r="CE125" s="3">
        <f>NEUTRO</f>
        <v/>
      </c>
      <c r="CF125" s="3">
        <f>IFERROR(VLOOKUP(L125,SEGURO_TBL,3,0),"")</f>
        <v/>
      </c>
      <c r="CG125" s="3">
        <f>IF(CF125="",NEUTRO,MAX(0,MIN(100,100*(SEG_REF_MAX-CF125)/(SEG_REF_MAX-SEG_REF_MIN))))</f>
        <v/>
      </c>
      <c r="CH125" s="3">
        <f>W_CONS*CE125+W_SEG*CG125</f>
        <v/>
      </c>
      <c r="CI125" s="3">
        <f>IF(N(AB125)&gt;0,AB125,IF(AND(R125="profesional",SG_LEGAL_ON=1),GAR_LEGAL,0))</f>
        <v/>
      </c>
      <c r="CJ125" s="3">
        <f>SG_GAR*MIN(1,CI125/SG_GAR_FULL)+SG_AMPL*(AC125="sí")+SG_KMC*(AF125="sí")+SG_REV*(N(AE125)&gt;0)+SG_DEV*MIN(1,N(AG125)/SG_DEV_FULL)+SG_HIST*(W125="sí")</f>
        <v/>
      </c>
      <c r="CK125" s="3">
        <f>IFERROR(VLOOKUP(L125,CARR_PEN_TBL,2,0),0)</f>
        <v/>
      </c>
      <c r="CL125" s="3">
        <f>W_FIAB*BW125+W_PRECIO*BX125+W_KMEDAD*CB125+W_ANUNCIO*CC125+W_USO*CH125+W_SEGURIDAD*CJ125+W_ETIQUETA*CD125-CK125</f>
        <v/>
      </c>
      <c r="CM125" s="4">
        <f>IF(N(I125)&gt;0,I125,IFERROR(ROUND(_xlfn.NUMBERVALUE(LEFT(G125,FIND(" ",G125&amp;" ")-1),".")*1000,0),99999))</f>
        <v/>
      </c>
      <c r="CN125" s="3">
        <f>IF(R125="profesional",0,IF(O125&lt;CUOTA_VALOR_MAX,IF(BA125&gt;ITP_TRAMO_ALTO,SUMIFS(CF_CUOTA,CF_MAS,ITP_TRAMO_ALTO,CF_CCMIN,"&lt;="&amp;CM125,CF_CCMAX,"&gt;="&amp;CM125),IF(BA125&gt;ITP_TRAMO_BAJO,SUMIFS(CF_CUOTA,CF_MAS,ITP_TRAMO_BAJO,CF_CCMIN,"&lt;="&amp;CM125,CF_CCMAX,"&gt;="&amp;CM125),O125*ITP_TIPO)),O125*ITP_TIPO))</f>
        <v/>
      </c>
      <c r="CO125" s="4">
        <f>IF(R125="profesional",N(AK125),0)</f>
        <v/>
      </c>
      <c r="CP125" s="3">
        <f>IF(AND(R125="profesional",ISNUMBER(AK125),AL125="sí"),0,TASA_DGT)</f>
        <v/>
      </c>
      <c r="CQ125" s="3">
        <f>INFORME_DGT</f>
        <v/>
      </c>
      <c r="CR125" s="4">
        <f>O125+CO125+CN125+CP125+CQ125</f>
        <v/>
      </c>
      <c r="CS125" s="4">
        <f>CR125+N(CF125)</f>
        <v/>
      </c>
      <c r="CT125" s="3">
        <f>IF(CR125&lt;=TOTAL_MAX,"sí",IF(CR125&lt;=TOTAL_MAX+MARGEN_NEG,"negociar","no"))</f>
        <v/>
      </c>
      <c r="CU125" s="4">
        <f>IF(CT125&lt;&gt;"no",COUNTIFS($CT$2:$CT$545,"&lt;&gt;no",$CL$2:$CL$545,"&gt;"&amp;CL125)+COUNTIFS($CT$2:CT125,"&lt;&gt;no",$CL$2:CL125,CL125),"")</f>
        <v/>
      </c>
    </row>
    <row r="126">
      <c r="A126" s="2" t="inlineStr">
        <is>
          <t>cochesnet:62317708</t>
        </is>
      </c>
      <c r="B126" s="2" t="inlineStr">
        <is>
          <t>cochesnet</t>
        </is>
      </c>
      <c r="C126" s="2" t="inlineStr">
        <is>
          <t>https://www.coches.net/peugeot-207-gasolina-2008-en-valencia-62317708-covo.aspx</t>
        </is>
      </c>
      <c r="D126" s="2" t="inlineStr">
        <is>
          <t>PEUGEOT 207</t>
        </is>
      </c>
      <c r="E126" s="2" t="inlineStr">
        <is>
          <t>Peugeot</t>
        </is>
      </c>
      <c r="F126" s="2" t="inlineStr">
        <is>
          <t>Peugeot 207</t>
        </is>
      </c>
      <c r="G126" s="2" t="n"/>
      <c r="H126" s="2" t="n"/>
      <c r="I126" s="2" t="n"/>
      <c r="J126" s="2" t="n"/>
      <c r="K126" s="2" t="inlineStr">
        <is>
          <t>gasolina</t>
        </is>
      </c>
      <c r="L126" s="2" t="inlineStr">
        <is>
          <t>utilitario</t>
        </is>
      </c>
      <c r="M126" s="2" t="n">
        <v>2008</v>
      </c>
      <c r="N126" s="2" t="n">
        <v>180000</v>
      </c>
      <c r="O126" s="2" t="n">
        <v>3000</v>
      </c>
      <c r="P126" s="2" t="inlineStr">
        <is>
          <t>manual</t>
        </is>
      </c>
      <c r="Q126" s="2" t="inlineStr">
        <is>
          <t>no</t>
        </is>
      </c>
      <c r="R126" s="2" t="inlineStr">
        <is>
          <t>particular</t>
        </is>
      </c>
      <c r="S126" s="2" t="n"/>
      <c r="T126" s="2" t="inlineStr">
        <is>
          <t>2025-12-30T10:29:01Z</t>
        </is>
      </c>
      <c r="U126" s="2" t="n">
        <v>9</v>
      </c>
      <c r="V126" s="2" t="n"/>
      <c r="W126" s="2" t="n"/>
      <c r="X126" s="2" t="n"/>
      <c r="Y126" s="2" t="n"/>
      <c r="Z126" s="2" t="inlineStr">
        <is>
          <t>no</t>
        </is>
      </c>
      <c r="AA126" s="2" t="n"/>
      <c r="AB126" s="2" t="n"/>
      <c r="AC126" s="2" t="n"/>
      <c r="AD126" s="2" t="n"/>
      <c r="AE126" s="2" t="n"/>
      <c r="AF126" s="2" t="n"/>
      <c r="AG126" s="2" t="n"/>
      <c r="AH126" s="2" t="n">
        <v>3000</v>
      </c>
      <c r="AI126" s="2" t="n"/>
      <c r="AJ126" s="2" t="n"/>
      <c r="AK126" s="2" t="n"/>
      <c r="AL126" s="2" t="n"/>
      <c r="AM126" s="2" t="n"/>
      <c r="AN126" s="2" t="n"/>
      <c r="AO126" s="2" t="inlineStr">
        <is>
          <t>2008</t>
        </is>
      </c>
      <c r="AP126" s="2" t="n">
        <v>2008</v>
      </c>
      <c r="AQ126" s="2" t="n"/>
      <c r="AR126" s="2" t="n"/>
      <c r="AS126" s="2" t="inlineStr">
        <is>
          <t>regla</t>
        </is>
      </c>
      <c r="AT126" s="2" t="n">
        <v>3600</v>
      </c>
      <c r="AU126" s="2" t="n">
        <v>21</v>
      </c>
      <c r="AV126" s="2" t="inlineStr">
        <is>
          <t>modelo+año+km</t>
        </is>
      </c>
      <c r="AW126" s="2" t="n"/>
      <c r="AX12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126" s="2" t="inlineStr">
        <is>
          <t>Saludos,
Lo compré hace 2 años y no ha dado ningún problema, lo quiero vender porque me voy a comprar otro y no lo voy a usar.
Se puede llevar a un taller para tranquilidad del cliente.
• Ruedas dynaxer recién cambiadas.
• Todo en regla.
• Va de maravilla y es súper entretenido.
• Si va a ser tu primer coche es muy buena opción, pequeño, versatil y a muy buen precio.</t>
        </is>
      </c>
      <c r="AZ126" s="2" t="inlineStr">
        <is>
          <t>https://www.coches.net/peugeot-207-gasolina-2008-en-valencia-62317708-covo.aspx (window.__INITIAL_PROPS__.ad) /home/user/Alopecia/buscador-coches/raw/cochesnet/06184d609faebc5b.json</t>
        </is>
      </c>
      <c r="BA126" s="3">
        <f>MAX(ANIO_ACTUAL-M126,0)</f>
        <v/>
      </c>
      <c r="BB126" s="4">
        <f>N126/MAX(BA126,0.5)</f>
        <v/>
      </c>
      <c r="BC126" s="4">
        <f>F126</f>
        <v/>
      </c>
      <c r="BD126" s="3">
        <f>BC126&amp;"|"&amp;INT(M126/SEG_ANIO)*SEG_ANIO</f>
        <v/>
      </c>
      <c r="BE126" s="3">
        <f>BD126&amp;"|"&amp;INT(N126/SEG_KM)*SEG_KM</f>
        <v/>
      </c>
      <c r="BF126" s="4">
        <f>COUNTIF($BC$2:$BC$545,BC126)</f>
        <v/>
      </c>
      <c r="BG126" s="4">
        <f>COUNTIF($BD$2:$BD$545,BD126)</f>
        <v/>
      </c>
      <c r="BH126" s="4">
        <f>COUNTIF($BE$2:$BE$545,BE126)</f>
        <v/>
      </c>
      <c r="BI126" s="3">
        <f t="array" ref="BI126">IF(N(AU126)&gt;=MIN_N,AT126,IF(BH126&gt;=MIN_N,MEDIAN(IF($BE$2:$BE$545=BE126,$O$2:$O$545)),IF(BG126&gt;=MIN_N,MEDIAN(IF($BD$2:$BD$545=BD126,$O$2:$O$545)),MEDIAN(IF($BC$2:$BC$545=BC126,$O$2:$O$545)))))</f>
        <v/>
      </c>
      <c r="BJ126" s="3">
        <f>IF(N(AU126)&gt;=MIN_N,"mercado "&amp;AV126,IF(BH126&gt;=MIN_N,"modelo+año+km",IF(BG126&gt;=MIN_N,"modelo+año","modelo")))</f>
        <v/>
      </c>
      <c r="BK126" s="4">
        <f>(BI126-O126)/BI126</f>
        <v/>
      </c>
      <c r="BL126" s="3">
        <f>IF(COUNTIFS(FR_FUEL,K126,FR_YEAR,AP126)&gt;0,1,0)</f>
        <v/>
      </c>
      <c r="BM126" s="3">
        <f>IF(COUNTIFS(FR_FUEL,K126,FR_YEAR,AP126-1)&gt;0,1,0)</f>
        <v/>
      </c>
      <c r="BN126" s="4">
        <f>IF(N(AQ126)&gt;0,AP126*100+AQ126,IF(AND(BL126=1,BM126=1),(AP126-1)*100+1,AP126*100+1))</f>
        <v/>
      </c>
      <c r="BO126" s="3">
        <f>IF(OR(K126="hibrido",K126="glp",K126="gnc",K126="phev"),"ECO",IF(K126="electrico","CERO",IF(K126="gasolina",IF(BN126&gt;=GAS_C_YM,"C",IF(BN126&gt;=GAS_B_YM,"B","A")),IF(K126="diesel",IF(BN126&gt;=DIE_C_YM,"C",IF(BN126&gt;=DIE_B_YM,"B","A")),""))))</f>
        <v/>
      </c>
      <c r="BP126" s="4">
        <f>BO126</f>
        <v/>
      </c>
      <c r="BQ126" s="4">
        <f>IF(AS126="regla",IF(AND(N(AQ126)=0,BL126=1),"sí","no"),"no")</f>
        <v/>
      </c>
      <c r="BR126" s="3">
        <f>IFERROR(VLOOKUP(F126,MOD_TBL,11,0),IFERROR(VLOOKUP(E126,OCU_TBL,2,0),NEUTRO))</f>
        <v/>
      </c>
      <c r="BS126" s="3">
        <f>SUMIFS(MOT_AJUSTE,MOT_MOTOR,G126,MOT_MARCA,E126,MOT_DESDE,"&lt;="&amp;M126,MOT_HASTA,"&gt;="&amp;M126)+SUMIFS(MOT_AJUSTE,MOT_MOTOR,G126,MOT_MARCA,"(todas)",MOT_DESDE,"&lt;="&amp;M126,MOT_HASTA,"&gt;="&amp;M126)</f>
        <v/>
      </c>
      <c r="BT126" s="3">
        <f>SUMIFS(COMB_AJUSTE,COMB_COMB,K126)</f>
        <v/>
      </c>
      <c r="BU126" s="3">
        <f>COUNTIFS(MOT_MOTOR,G126,MOT_MARCA,E126,MOT_DESDE,"&lt;="&amp;M126,MOT_HASTA,"&gt;="&amp;M126)+COUNTIFS(MOT_MOTOR,G126,MOT_MARCA,"(todas)",MOT_DESDE,"&lt;="&amp;M126,MOT_HASTA,"&gt;="&amp;M126)</f>
        <v/>
      </c>
      <c r="BV126" s="3">
        <f>IF(AND(K126="diesel",BU126=0),MIN(BR126,NEUTRO),BR126)</f>
        <v/>
      </c>
      <c r="BW126" s="4">
        <f>MAX(0,MIN(100,BV126+BS126+BT126))</f>
        <v/>
      </c>
      <c r="BX126" s="3">
        <f>MAX(0,MIN(100,50+BK126*PRECIO_PEND))</f>
        <v/>
      </c>
      <c r="BY126" s="3">
        <f>MAX(0,100*(1-N126/KM_MAX))</f>
        <v/>
      </c>
      <c r="BZ126" s="3">
        <f>IF(BB126&lt;KMA_SOSP,IF(AA126="sí",100,KMA_PEN),IF(BB126&lt;=KMA_IDEAL_MAX,100,MAX(0,100*(KMA_CERO-BB126)/(KMA_CERO-KMA_IDEAL_MAX))))</f>
        <v/>
      </c>
      <c r="CA126" s="3">
        <f>MAX(0,MIN(100,100*(M126-ANIO_MIN)/(ANIO_ACTUAL-ANIO_MIN)))</f>
        <v/>
      </c>
      <c r="CB126" s="3">
        <f>W_KMT*BY126+W_KMA*BZ126+W_EDAD*CA126</f>
        <v/>
      </c>
      <c r="CC126" s="3">
        <f>P_ITV*(V126="sí")+P_LIBRO*(W126="sí")+P_CORREA*(X126="sí")+P_PROP*(Y126=1)+P_GAR*(Z126="sí")+P_FOTOS*MIN(1,N(U126)/FOTOS_OBJ)</f>
        <v/>
      </c>
      <c r="CD126" s="3">
        <f>MAX(0,MIN(100,IFERROR(VLOOKUP(BP126,ETQ_TBL,2,0),0)-IF(BQ126="sí",ETQ_PEN_DUD,IF(AS126="regla",ETQ_PEN_REGLA,0))))</f>
        <v/>
      </c>
      <c r="CE126" s="3">
        <f>NEUTRO</f>
        <v/>
      </c>
      <c r="CF126" s="3">
        <f>IFERROR(VLOOKUP(L126,SEGURO_TBL,3,0),"")</f>
        <v/>
      </c>
      <c r="CG126" s="3">
        <f>IF(CF126="",NEUTRO,MAX(0,MIN(100,100*(SEG_REF_MAX-CF126)/(SEG_REF_MAX-SEG_REF_MIN))))</f>
        <v/>
      </c>
      <c r="CH126" s="3">
        <f>W_CONS*CE126+W_SEG*CG126</f>
        <v/>
      </c>
      <c r="CI126" s="3">
        <f>IF(N(AB126)&gt;0,AB126,IF(AND(R126="profesional",SG_LEGAL_ON=1),GAR_LEGAL,0))</f>
        <v/>
      </c>
      <c r="CJ126" s="3">
        <f>SG_GAR*MIN(1,CI126/SG_GAR_FULL)+SG_AMPL*(AC126="sí")+SG_KMC*(AF126="sí")+SG_REV*(N(AE126)&gt;0)+SG_DEV*MIN(1,N(AG126)/SG_DEV_FULL)+SG_HIST*(W126="sí")</f>
        <v/>
      </c>
      <c r="CK126" s="3">
        <f>IFERROR(VLOOKUP(L126,CARR_PEN_TBL,2,0),0)</f>
        <v/>
      </c>
      <c r="CL126" s="3">
        <f>W_FIAB*BW126+W_PRECIO*BX126+W_KMEDAD*CB126+W_ANUNCIO*CC126+W_USO*CH126+W_SEGURIDAD*CJ126+W_ETIQUETA*CD126-CK126</f>
        <v/>
      </c>
      <c r="CM126" s="4">
        <f>IF(N(I126)&gt;0,I126,IFERROR(ROUND(_xlfn.NUMBERVALUE(LEFT(G126,FIND(" ",G126&amp;" ")-1),".")*1000,0),99999))</f>
        <v/>
      </c>
      <c r="CN126" s="3">
        <f>IF(R126="profesional",0,IF(O126&lt;CUOTA_VALOR_MAX,IF(BA126&gt;ITP_TRAMO_ALTO,SUMIFS(CF_CUOTA,CF_MAS,ITP_TRAMO_ALTO,CF_CCMIN,"&lt;="&amp;CM126,CF_CCMAX,"&gt;="&amp;CM126),IF(BA126&gt;ITP_TRAMO_BAJO,SUMIFS(CF_CUOTA,CF_MAS,ITP_TRAMO_BAJO,CF_CCMIN,"&lt;="&amp;CM126,CF_CCMAX,"&gt;="&amp;CM126),O126*ITP_TIPO)),O126*ITP_TIPO))</f>
        <v/>
      </c>
      <c r="CO126" s="4">
        <f>IF(R126="profesional",N(AK126),0)</f>
        <v/>
      </c>
      <c r="CP126" s="3">
        <f>IF(AND(R126="profesional",ISNUMBER(AK126),AL126="sí"),0,TASA_DGT)</f>
        <v/>
      </c>
      <c r="CQ126" s="3">
        <f>INFORME_DGT</f>
        <v/>
      </c>
      <c r="CR126" s="4">
        <f>O126+CO126+CN126+CP126+CQ126</f>
        <v/>
      </c>
      <c r="CS126" s="4">
        <f>CR126+N(CF126)</f>
        <v/>
      </c>
      <c r="CT126" s="3">
        <f>IF(CR126&lt;=TOTAL_MAX,"sí",IF(CR126&lt;=TOTAL_MAX+MARGEN_NEG,"negociar","no"))</f>
        <v/>
      </c>
      <c r="CU126" s="4">
        <f>IF(CT126&lt;&gt;"no",COUNTIFS($CT$2:$CT$545,"&lt;&gt;no",$CL$2:$CL$545,"&gt;"&amp;CL126)+COUNTIFS($CT$2:CT126,"&lt;&gt;no",$CL$2:CL126,CL126),"")</f>
        <v/>
      </c>
    </row>
    <row r="127">
      <c r="A127" s="2" t="inlineStr">
        <is>
          <t>cochesnet:71521071</t>
        </is>
      </c>
      <c r="B127" s="2" t="inlineStr">
        <is>
          <t>cochesnet</t>
        </is>
      </c>
      <c r="C127" s="2" t="inlineStr">
        <is>
          <t>https://www.coches.net/peugeot-208-5p-active-14-hdi-68-5p-diesel-2014-en-valencia-71521071-covo.aspx</t>
        </is>
      </c>
      <c r="D127" s="2" t="inlineStr">
        <is>
          <t>PEUGEOT 208 ACTIVE 1.4 HDi 68</t>
        </is>
      </c>
      <c r="E127" s="2" t="inlineStr">
        <is>
          <t>Peugeot</t>
        </is>
      </c>
      <c r="F127" s="2" t="inlineStr">
        <is>
          <t>Peugeot 208</t>
        </is>
      </c>
      <c r="G127" s="2" t="inlineStr">
        <is>
          <t>1.4 HDi</t>
        </is>
      </c>
      <c r="H127" s="2" t="inlineStr">
        <is>
          <t>5P ACTIVE 1.4 HDi 68</t>
        </is>
      </c>
      <c r="I127" s="2" t="n"/>
      <c r="J127" s="2" t="n"/>
      <c r="K127" s="2" t="inlineStr">
        <is>
          <t>diesel</t>
        </is>
      </c>
      <c r="L127" s="2" t="inlineStr">
        <is>
          <t>utilitario</t>
        </is>
      </c>
      <c r="M127" s="2" t="n">
        <v>2014</v>
      </c>
      <c r="N127" s="2" t="n">
        <v>220000</v>
      </c>
      <c r="O127" s="2" t="n">
        <v>4599</v>
      </c>
      <c r="P127" s="2" t="inlineStr">
        <is>
          <t>manual</t>
        </is>
      </c>
      <c r="Q127" s="2" t="inlineStr">
        <is>
          <t>no</t>
        </is>
      </c>
      <c r="R127" s="2" t="inlineStr">
        <is>
          <t>profesional</t>
        </is>
      </c>
      <c r="S127" s="2" t="inlineStr">
        <is>
          <t>Cars Premium Albal Albal</t>
        </is>
      </c>
      <c r="T127" s="2" t="inlineStr">
        <is>
          <t>2026-09-15T18:35:51Z</t>
        </is>
      </c>
      <c r="U127" s="2" t="n">
        <v>12</v>
      </c>
      <c r="V127" s="2" t="n"/>
      <c r="W127" s="2" t="n"/>
      <c r="X127" s="2" t="n"/>
      <c r="Y127" s="2" t="n"/>
      <c r="Z127" s="2" t="inlineStr">
        <is>
          <t>sí</t>
        </is>
      </c>
      <c r="AA127" s="2" t="n"/>
      <c r="AB127" s="2" t="n">
        <v>12</v>
      </c>
      <c r="AC127" s="2" t="n"/>
      <c r="AD127" s="2" t="n"/>
      <c r="AE127" s="2" t="n"/>
      <c r="AF127" s="2" t="n"/>
      <c r="AG127" s="2" t="n"/>
      <c r="AH127" s="2" t="n">
        <v>4599</v>
      </c>
      <c r="AI127" s="2" t="n">
        <v>4599</v>
      </c>
      <c r="AJ127" s="2" t="n"/>
      <c r="AK127" s="2" t="n"/>
      <c r="AL127" s="2" t="n"/>
      <c r="AM127" s="2" t="n">
        <v>8.699999999999999</v>
      </c>
      <c r="AN127" s="2" t="n"/>
      <c r="AO127" s="2" t="inlineStr">
        <is>
          <t>2014</t>
        </is>
      </c>
      <c r="AP127" s="2" t="n">
        <v>2014</v>
      </c>
      <c r="AQ127" s="2" t="n"/>
      <c r="AR127" s="2" t="inlineStr">
        <is>
          <t>B</t>
        </is>
      </c>
      <c r="AS127" s="2" t="inlineStr">
        <is>
          <t>anuncio</t>
        </is>
      </c>
      <c r="AT127" s="2" t="n">
        <v>6200</v>
      </c>
      <c r="AU127" s="2" t="n">
        <v>39</v>
      </c>
      <c r="AV127" s="2" t="inlineStr">
        <is>
          <t>modelo+año</t>
        </is>
      </c>
      <c r="AW127" s="2" t="n"/>
      <c r="AX127" s="2" t="inlineStr">
        <is>
          <t>vendedor profesional: sin ITP (operación con IVA/REBU, confirmar en factura); gastos de gestión del vendedor no indicados: se suma la tasa DGT; preguntar el precio final; diésel: motor sin fuente de fiabilidad (fiabilidad limitada a neutra)</t>
        </is>
      </c>
      <c r="AY127" s="2" t="inlineStr">
        <is>
          <t>MARCA: Peugeot
MODELO: 208
AÑO: 2014
KM: 220.000
MOTOR: 1.4Hdi 68cv
PEGATINA MEDIO AMBIENTAL: Tipo B
GARANTIA: 12 Meses
ITV: Se entrega en vigor
TIPS: Vehiculo utilitario con un motor fiable y de consumos ridiculos entorno a los 4.5l/100km
EQUIPAMIENTO: Aire acondicionado, RCD, elevalunas electricas, cierre centralizado con llave, airbag etc.
UBICACION: Av padre Carlos Ferris 87, ALBAL, VALENCIA
Para mas info contacten</t>
        </is>
      </c>
      <c r="AZ127" s="2" t="inlineStr">
        <is>
          <t>https://www.coches.net/peugeot-208-5p-active-14-hdi-68-5p-diesel-2014-en-valencia-71521071-covo.aspx (window.__INITIAL_PROPS__.ad) /home/user/Alopecia/buscador-coches/raw/cochesnet/56c97e1381d73b00.json</t>
        </is>
      </c>
      <c r="BA127" s="3">
        <f>MAX(ANIO_ACTUAL-M127,0)</f>
        <v/>
      </c>
      <c r="BB127" s="4">
        <f>N127/MAX(BA127,0.5)</f>
        <v/>
      </c>
      <c r="BC127" s="4">
        <f>F127</f>
        <v/>
      </c>
      <c r="BD127" s="3">
        <f>BC127&amp;"|"&amp;INT(M127/SEG_ANIO)*SEG_ANIO</f>
        <v/>
      </c>
      <c r="BE127" s="3">
        <f>BD127&amp;"|"&amp;INT(N127/SEG_KM)*SEG_KM</f>
        <v/>
      </c>
      <c r="BF127" s="4">
        <f>COUNTIF($BC$2:$BC$545,BC127)</f>
        <v/>
      </c>
      <c r="BG127" s="4">
        <f>COUNTIF($BD$2:$BD$545,BD127)</f>
        <v/>
      </c>
      <c r="BH127" s="4">
        <f>COUNTIF($BE$2:$BE$545,BE127)</f>
        <v/>
      </c>
      <c r="BI127" s="3">
        <f t="array" ref="BI127">IF(N(AU127)&gt;=MIN_N,AT127,IF(BH127&gt;=MIN_N,MEDIAN(IF($BE$2:$BE$545=BE127,$O$2:$O$545)),IF(BG127&gt;=MIN_N,MEDIAN(IF($BD$2:$BD$545=BD127,$O$2:$O$545)),MEDIAN(IF($BC$2:$BC$545=BC127,$O$2:$O$545)))))</f>
        <v/>
      </c>
      <c r="BJ127" s="3">
        <f>IF(N(AU127)&gt;=MIN_N,"mercado "&amp;AV127,IF(BH127&gt;=MIN_N,"modelo+año+km",IF(BG127&gt;=MIN_N,"modelo+año","modelo")))</f>
        <v/>
      </c>
      <c r="BK127" s="4">
        <f>(BI127-O127)/BI127</f>
        <v/>
      </c>
      <c r="BL127" s="3">
        <f>IF(COUNTIFS(FR_FUEL,K127,FR_YEAR,AP127)&gt;0,1,0)</f>
        <v/>
      </c>
      <c r="BM127" s="3">
        <f>IF(COUNTIFS(FR_FUEL,K127,FR_YEAR,AP127-1)&gt;0,1,0)</f>
        <v/>
      </c>
      <c r="BN127" s="4">
        <f>IF(N(AQ127)&gt;0,AP127*100+AQ127,IF(AND(BL127=1,BM127=1),(AP127-1)*100+1,AP127*100+1))</f>
        <v/>
      </c>
      <c r="BO127" s="3">
        <f>IF(OR(K127="hibrido",K127="glp",K127="gnc",K127="phev"),"ECO",IF(K127="electrico","CERO",IF(K127="gasolina",IF(BN127&gt;=GAS_C_YM,"C",IF(BN127&gt;=GAS_B_YM,"B","A")),IF(K127="diesel",IF(BN127&gt;=DIE_C_YM,"C",IF(BN127&gt;=DIE_B_YM,"B","A")),""))))</f>
        <v/>
      </c>
      <c r="BP127" s="2" t="inlineStr">
        <is>
          <t>B</t>
        </is>
      </c>
      <c r="BQ127" s="4">
        <f>IF(AS127="regla",IF(AND(N(AQ127)=0,BL127=1),"sí","no"),"no")</f>
        <v/>
      </c>
      <c r="BR127" s="3">
        <f>IFERROR(VLOOKUP(F127,MOD_TBL,11,0),IFERROR(VLOOKUP(E127,OCU_TBL,2,0),NEUTRO))</f>
        <v/>
      </c>
      <c r="BS127" s="3">
        <f>SUMIFS(MOT_AJUSTE,MOT_MOTOR,G127,MOT_MARCA,E127,MOT_DESDE,"&lt;="&amp;M127,MOT_HASTA,"&gt;="&amp;M127)+SUMIFS(MOT_AJUSTE,MOT_MOTOR,G127,MOT_MARCA,"(todas)",MOT_DESDE,"&lt;="&amp;M127,MOT_HASTA,"&gt;="&amp;M127)</f>
        <v/>
      </c>
      <c r="BT127" s="3">
        <f>SUMIFS(COMB_AJUSTE,COMB_COMB,K127)</f>
        <v/>
      </c>
      <c r="BU127" s="3">
        <f>COUNTIFS(MOT_MOTOR,G127,MOT_MARCA,E127,MOT_DESDE,"&lt;="&amp;M127,MOT_HASTA,"&gt;="&amp;M127)+COUNTIFS(MOT_MOTOR,G127,MOT_MARCA,"(todas)",MOT_DESDE,"&lt;="&amp;M127,MOT_HASTA,"&gt;="&amp;M127)</f>
        <v/>
      </c>
      <c r="BV127" s="3">
        <f>IF(AND(K127="diesel",BU127=0),MIN(BR127,NEUTRO),BR127)</f>
        <v/>
      </c>
      <c r="BW127" s="4">
        <f>MAX(0,MIN(100,BV127+BS127+BT127))</f>
        <v/>
      </c>
      <c r="BX127" s="3">
        <f>MAX(0,MIN(100,50+BK127*PRECIO_PEND))</f>
        <v/>
      </c>
      <c r="BY127" s="3">
        <f>MAX(0,100*(1-N127/KM_MAX))</f>
        <v/>
      </c>
      <c r="BZ127" s="3">
        <f>IF(BB127&lt;KMA_SOSP,IF(AA127="sí",100,KMA_PEN),IF(BB127&lt;=KMA_IDEAL_MAX,100,MAX(0,100*(KMA_CERO-BB127)/(KMA_CERO-KMA_IDEAL_MAX))))</f>
        <v/>
      </c>
      <c r="CA127" s="3">
        <f>MAX(0,MIN(100,100*(M127-ANIO_MIN)/(ANIO_ACTUAL-ANIO_MIN)))</f>
        <v/>
      </c>
      <c r="CB127" s="3">
        <f>W_KMT*BY127+W_KMA*BZ127+W_EDAD*CA127</f>
        <v/>
      </c>
      <c r="CC127" s="3">
        <f>P_ITV*(V127="sí")+P_LIBRO*(W127="sí")+P_CORREA*(X127="sí")+P_PROP*(Y127=1)+P_GAR*(Z127="sí")+P_FOTOS*MIN(1,N(U127)/FOTOS_OBJ)</f>
        <v/>
      </c>
      <c r="CD127" s="3">
        <f>MAX(0,MIN(100,IFERROR(VLOOKUP(BP127,ETQ_TBL,2,0),0)-IF(BQ127="sí",ETQ_PEN_DUD,IF(AS127="regla",ETQ_PEN_REGLA,0))))</f>
        <v/>
      </c>
      <c r="CE127" s="3">
        <f>NEUTRO</f>
        <v/>
      </c>
      <c r="CF127" s="3">
        <f>IFERROR(VLOOKUP(L127,SEGURO_TBL,3,0),"")</f>
        <v/>
      </c>
      <c r="CG127" s="3">
        <f>IF(CF127="",NEUTRO,MAX(0,MIN(100,100*(SEG_REF_MAX-CF127)/(SEG_REF_MAX-SEG_REF_MIN))))</f>
        <v/>
      </c>
      <c r="CH127" s="3">
        <f>W_CONS*CE127+W_SEG*CG127</f>
        <v/>
      </c>
      <c r="CI127" s="3">
        <f>IF(N(AB127)&gt;0,AB127,IF(AND(R127="profesional",SG_LEGAL_ON=1),GAR_LEGAL,0))</f>
        <v/>
      </c>
      <c r="CJ127" s="3">
        <f>SG_GAR*MIN(1,CI127/SG_GAR_FULL)+SG_AMPL*(AC127="sí")+SG_KMC*(AF127="sí")+SG_REV*(N(AE127)&gt;0)+SG_DEV*MIN(1,N(AG127)/SG_DEV_FULL)+SG_HIST*(W127="sí")</f>
        <v/>
      </c>
      <c r="CK127" s="3">
        <f>IFERROR(VLOOKUP(L127,CARR_PEN_TBL,2,0),0)</f>
        <v/>
      </c>
      <c r="CL127" s="3">
        <f>W_FIAB*BW127+W_PRECIO*BX127+W_KMEDAD*CB127+W_ANUNCIO*CC127+W_USO*CH127+W_SEGURIDAD*CJ127+W_ETIQUETA*CD127-CK127</f>
        <v/>
      </c>
      <c r="CM127" s="4">
        <f>IF(N(I127)&gt;0,I127,IFERROR(ROUND(_xlfn.NUMBERVALUE(LEFT(G127,FIND(" ",G127&amp;" ")-1),".")*1000,0),99999))</f>
        <v/>
      </c>
      <c r="CN127" s="3">
        <f>IF(R127="profesional",0,IF(O127&lt;CUOTA_VALOR_MAX,IF(BA127&gt;ITP_TRAMO_ALTO,SUMIFS(CF_CUOTA,CF_MAS,ITP_TRAMO_ALTO,CF_CCMIN,"&lt;="&amp;CM127,CF_CCMAX,"&gt;="&amp;CM127),IF(BA127&gt;ITP_TRAMO_BAJO,SUMIFS(CF_CUOTA,CF_MAS,ITP_TRAMO_BAJO,CF_CCMIN,"&lt;="&amp;CM127,CF_CCMAX,"&gt;="&amp;CM127),O127*ITP_TIPO)),O127*ITP_TIPO))</f>
        <v/>
      </c>
      <c r="CO127" s="4">
        <f>IF(R127="profesional",N(AK127),0)</f>
        <v/>
      </c>
      <c r="CP127" s="3">
        <f>IF(AND(R127="profesional",ISNUMBER(AK127),AL127="sí"),0,TASA_DGT)</f>
        <v/>
      </c>
      <c r="CQ127" s="3">
        <f>INFORME_DGT</f>
        <v/>
      </c>
      <c r="CR127" s="4">
        <f>O127+CO127+CN127+CP127+CQ127</f>
        <v/>
      </c>
      <c r="CS127" s="4">
        <f>CR127+N(CF127)</f>
        <v/>
      </c>
      <c r="CT127" s="3">
        <f>IF(CR127&lt;=TOTAL_MAX,"sí",IF(CR127&lt;=TOTAL_MAX+MARGEN_NEG,"negociar","no"))</f>
        <v/>
      </c>
      <c r="CU127" s="4">
        <f>IF(CT127&lt;&gt;"no",COUNTIFS($CT$2:$CT$545,"&lt;&gt;no",$CL$2:$CL$545,"&gt;"&amp;CL127)+COUNTIFS($CT$2:CT127,"&lt;&gt;no",$CL$2:CL127,CL127),"")</f>
        <v/>
      </c>
    </row>
    <row r="128">
      <c r="A128" s="2" t="inlineStr">
        <is>
          <t>cochesnet:71855583</t>
        </is>
      </c>
      <c r="B128" s="2" t="inlineStr">
        <is>
          <t>cochesnet</t>
        </is>
      </c>
      <c r="C128" s="2" t="inlineStr">
        <is>
          <t>https://www.coches.net/peugeot-208-5p-active-10l-puretech-68-5p-gasolina-2014-en-valencia-71855583-covo.aspx</t>
        </is>
      </c>
      <c r="D128" s="2" t="inlineStr">
        <is>
          <t>PEUGEOT 208 ACTIVE 1.0L PureTech 68</t>
        </is>
      </c>
      <c r="E128" s="2" t="inlineStr">
        <is>
          <t>Peugeot</t>
        </is>
      </c>
      <c r="F128" s="2" t="inlineStr">
        <is>
          <t>Peugeot 208</t>
        </is>
      </c>
      <c r="G128" s="2" t="inlineStr">
        <is>
          <t>1.0 PureTech</t>
        </is>
      </c>
      <c r="H128" s="2" t="inlineStr">
        <is>
          <t>5P ACTIVE 1.0L PureTech 68</t>
        </is>
      </c>
      <c r="I128" s="2" t="n"/>
      <c r="J128" s="2" t="n"/>
      <c r="K128" s="2" t="inlineStr">
        <is>
          <t>gasolina</t>
        </is>
      </c>
      <c r="L128" s="2" t="inlineStr">
        <is>
          <t>utilitario</t>
        </is>
      </c>
      <c r="M128" s="2" t="n">
        <v>2014</v>
      </c>
      <c r="N128" s="2" t="n">
        <v>145000</v>
      </c>
      <c r="O128" s="2" t="n">
        <v>4500</v>
      </c>
      <c r="P128" s="2" t="inlineStr">
        <is>
          <t>manual</t>
        </is>
      </c>
      <c r="Q128" s="2" t="inlineStr">
        <is>
          <t>no</t>
        </is>
      </c>
      <c r="R128" s="2" t="inlineStr">
        <is>
          <t>particular</t>
        </is>
      </c>
      <c r="S128" s="2" t="n"/>
      <c r="T128" s="2" t="inlineStr">
        <is>
          <t>2026-10-28T15:04:13Z</t>
        </is>
      </c>
      <c r="U128" s="2" t="n">
        <v>1</v>
      </c>
      <c r="V128" s="2" t="inlineStr">
        <is>
          <t>sí</t>
        </is>
      </c>
      <c r="W128" s="2" t="n"/>
      <c r="X128" s="2" t="inlineStr">
        <is>
          <t>sí</t>
        </is>
      </c>
      <c r="Y128" s="2" t="n"/>
      <c r="Z128" s="2" t="inlineStr">
        <is>
          <t>no</t>
        </is>
      </c>
      <c r="AA128" s="2" t="n"/>
      <c r="AB128" s="2" t="n"/>
      <c r="AC128" s="2" t="n"/>
      <c r="AD128" s="2" t="n"/>
      <c r="AE128" s="2" t="n"/>
      <c r="AF128" s="2" t="n"/>
      <c r="AG128" s="2" t="n"/>
      <c r="AH128" s="2" t="n">
        <v>4500</v>
      </c>
      <c r="AI128" s="2" t="n"/>
      <c r="AJ128" s="2" t="n"/>
      <c r="AK128" s="2" t="n"/>
      <c r="AL128" s="2" t="n"/>
      <c r="AM128" s="2" t="n"/>
      <c r="AN128" s="2" t="n"/>
      <c r="AO128" s="2" t="inlineStr">
        <is>
          <t>2014</t>
        </is>
      </c>
      <c r="AP128" s="2" t="n">
        <v>2014</v>
      </c>
      <c r="AQ128" s="2" t="n"/>
      <c r="AR128" s="2" t="n"/>
      <c r="AS128" s="2" t="inlineStr">
        <is>
          <t>regla</t>
        </is>
      </c>
      <c r="AT128" s="2" t="n">
        <v>5990</v>
      </c>
      <c r="AU128" s="2" t="n">
        <v>17</v>
      </c>
      <c r="AV128" s="2" t="inlineStr">
        <is>
          <t>modelo+año+km</t>
        </is>
      </c>
      <c r="AW128" s="2" t="n"/>
      <c r="AX128" s="2" t="inlineStr">
        <is>
          <t>cuota fija ITP: &gt;5 y &lt;=12 años, hasta 1.500 cc; distancia no verificable (el anuncio solo indica la provincia): confirmar que está a &lt;= 70 km</t>
        </is>
      </c>
      <c r="AY128" s="2" t="inlineStr">
        <is>
          <t>ITV pasada,cambiada la correa y kit de distribución con factura en taller de Peugeot.</t>
        </is>
      </c>
      <c r="AZ128" s="2" t="inlineStr">
        <is>
          <t>https://www.coches.net/peugeot-208-5p-active-10l-puretech-68-5p-gasolina-2014-en-valencia-71855583-covo.aspx (window.__INITIAL_PROPS__.ad) /home/user/Alopecia/buscador-coches/raw/cochesnet/b565a01e8230e094.json</t>
        </is>
      </c>
      <c r="BA128" s="3">
        <f>MAX(ANIO_ACTUAL-M128,0)</f>
        <v/>
      </c>
      <c r="BB128" s="4">
        <f>N128/MAX(BA128,0.5)</f>
        <v/>
      </c>
      <c r="BC128" s="4">
        <f>F128</f>
        <v/>
      </c>
      <c r="BD128" s="3">
        <f>BC128&amp;"|"&amp;INT(M128/SEG_ANIO)*SEG_ANIO</f>
        <v/>
      </c>
      <c r="BE128" s="3">
        <f>BD128&amp;"|"&amp;INT(N128/SEG_KM)*SEG_KM</f>
        <v/>
      </c>
      <c r="BF128" s="4">
        <f>COUNTIF($BC$2:$BC$545,BC128)</f>
        <v/>
      </c>
      <c r="BG128" s="4">
        <f>COUNTIF($BD$2:$BD$545,BD128)</f>
        <v/>
      </c>
      <c r="BH128" s="4">
        <f>COUNTIF($BE$2:$BE$545,BE128)</f>
        <v/>
      </c>
      <c r="BI128" s="3">
        <f t="array" ref="BI128">IF(N(AU128)&gt;=MIN_N,AT128,IF(BH128&gt;=MIN_N,MEDIAN(IF($BE$2:$BE$545=BE128,$O$2:$O$545)),IF(BG128&gt;=MIN_N,MEDIAN(IF($BD$2:$BD$545=BD128,$O$2:$O$545)),MEDIAN(IF($BC$2:$BC$545=BC128,$O$2:$O$545)))))</f>
        <v/>
      </c>
      <c r="BJ128" s="3">
        <f>IF(N(AU128)&gt;=MIN_N,"mercado "&amp;AV128,IF(BH128&gt;=MIN_N,"modelo+año+km",IF(BG128&gt;=MIN_N,"modelo+año","modelo")))</f>
        <v/>
      </c>
      <c r="BK128" s="4">
        <f>(BI128-O128)/BI128</f>
        <v/>
      </c>
      <c r="BL128" s="3">
        <f>IF(COUNTIFS(FR_FUEL,K128,FR_YEAR,AP128)&gt;0,1,0)</f>
        <v/>
      </c>
      <c r="BM128" s="3">
        <f>IF(COUNTIFS(FR_FUEL,K128,FR_YEAR,AP128-1)&gt;0,1,0)</f>
        <v/>
      </c>
      <c r="BN128" s="4">
        <f>IF(N(AQ128)&gt;0,AP128*100+AQ128,IF(AND(BL128=1,BM128=1),(AP128-1)*100+1,AP128*100+1))</f>
        <v/>
      </c>
      <c r="BO128" s="3">
        <f>IF(OR(K128="hibrido",K128="glp",K128="gnc",K128="phev"),"ECO",IF(K128="electrico","CERO",IF(K128="gasolina",IF(BN128&gt;=GAS_C_YM,"C",IF(BN128&gt;=GAS_B_YM,"B","A")),IF(K128="diesel",IF(BN128&gt;=DIE_C_YM,"C",IF(BN128&gt;=DIE_B_YM,"B","A")),""))))</f>
        <v/>
      </c>
      <c r="BP128" s="4">
        <f>BO128</f>
        <v/>
      </c>
      <c r="BQ128" s="4">
        <f>IF(AS128="regla",IF(AND(N(AQ128)=0,BL128=1),"sí","no"),"no")</f>
        <v/>
      </c>
      <c r="BR128" s="3">
        <f>IFERROR(VLOOKUP(F128,MOD_TBL,11,0),IFERROR(VLOOKUP(E128,OCU_TBL,2,0),NEUTRO))</f>
        <v/>
      </c>
      <c r="BS128" s="3">
        <f>SUMIFS(MOT_AJUSTE,MOT_MOTOR,G128,MOT_MARCA,E128,MOT_DESDE,"&lt;="&amp;M128,MOT_HASTA,"&gt;="&amp;M128)+SUMIFS(MOT_AJUSTE,MOT_MOTOR,G128,MOT_MARCA,"(todas)",MOT_DESDE,"&lt;="&amp;M128,MOT_HASTA,"&gt;="&amp;M128)</f>
        <v/>
      </c>
      <c r="BT128" s="3">
        <f>SUMIFS(COMB_AJUSTE,COMB_COMB,K128)</f>
        <v/>
      </c>
      <c r="BU128" s="3">
        <f>COUNTIFS(MOT_MOTOR,G128,MOT_MARCA,E128,MOT_DESDE,"&lt;="&amp;M128,MOT_HASTA,"&gt;="&amp;M128)+COUNTIFS(MOT_MOTOR,G128,MOT_MARCA,"(todas)",MOT_DESDE,"&lt;="&amp;M128,MOT_HASTA,"&gt;="&amp;M128)</f>
        <v/>
      </c>
      <c r="BV128" s="3">
        <f>IF(AND(K128="diesel",BU128=0),MIN(BR128,NEUTRO),BR128)</f>
        <v/>
      </c>
      <c r="BW128" s="4">
        <f>MAX(0,MIN(100,BV128+BS128+BT128))</f>
        <v/>
      </c>
      <c r="BX128" s="3">
        <f>MAX(0,MIN(100,50+BK128*PRECIO_PEND))</f>
        <v/>
      </c>
      <c r="BY128" s="3">
        <f>MAX(0,100*(1-N128/KM_MAX))</f>
        <v/>
      </c>
      <c r="BZ128" s="3">
        <f>IF(BB128&lt;KMA_SOSP,IF(AA128="sí",100,KMA_PEN),IF(BB128&lt;=KMA_IDEAL_MAX,100,MAX(0,100*(KMA_CERO-BB128)/(KMA_CERO-KMA_IDEAL_MAX))))</f>
        <v/>
      </c>
      <c r="CA128" s="3">
        <f>MAX(0,MIN(100,100*(M128-ANIO_MIN)/(ANIO_ACTUAL-ANIO_MIN)))</f>
        <v/>
      </c>
      <c r="CB128" s="3">
        <f>W_KMT*BY128+W_KMA*BZ128+W_EDAD*CA128</f>
        <v/>
      </c>
      <c r="CC128" s="3">
        <f>P_ITV*(V128="sí")+P_LIBRO*(W128="sí")+P_CORREA*(X128="sí")+P_PROP*(Y128=1)+P_GAR*(Z128="sí")+P_FOTOS*MIN(1,N(U128)/FOTOS_OBJ)</f>
        <v/>
      </c>
      <c r="CD128" s="3">
        <f>MAX(0,MIN(100,IFERROR(VLOOKUP(BP128,ETQ_TBL,2,0),0)-IF(BQ128="sí",ETQ_PEN_DUD,IF(AS128="regla",ETQ_PEN_REGLA,0))))</f>
        <v/>
      </c>
      <c r="CE128" s="3">
        <f>NEUTRO</f>
        <v/>
      </c>
      <c r="CF128" s="3">
        <f>IFERROR(VLOOKUP(L128,SEGURO_TBL,3,0),"")</f>
        <v/>
      </c>
      <c r="CG128" s="3">
        <f>IF(CF128="",NEUTRO,MAX(0,MIN(100,100*(SEG_REF_MAX-CF128)/(SEG_REF_MAX-SEG_REF_MIN))))</f>
        <v/>
      </c>
      <c r="CH128" s="3">
        <f>W_CONS*CE128+W_SEG*CG128</f>
        <v/>
      </c>
      <c r="CI128" s="3">
        <f>IF(N(AB128)&gt;0,AB128,IF(AND(R128="profesional",SG_LEGAL_ON=1),GAR_LEGAL,0))</f>
        <v/>
      </c>
      <c r="CJ128" s="3">
        <f>SG_GAR*MIN(1,CI128/SG_GAR_FULL)+SG_AMPL*(AC128="sí")+SG_KMC*(AF128="sí")+SG_REV*(N(AE128)&gt;0)+SG_DEV*MIN(1,N(AG128)/SG_DEV_FULL)+SG_HIST*(W128="sí")</f>
        <v/>
      </c>
      <c r="CK128" s="3">
        <f>IFERROR(VLOOKUP(L128,CARR_PEN_TBL,2,0),0)</f>
        <v/>
      </c>
      <c r="CL128" s="3">
        <f>W_FIAB*BW128+W_PRECIO*BX128+W_KMEDAD*CB128+W_ANUNCIO*CC128+W_USO*CH128+W_SEGURIDAD*CJ128+W_ETIQUETA*CD128-CK128</f>
        <v/>
      </c>
      <c r="CM128" s="4">
        <f>IF(N(I128)&gt;0,I128,IFERROR(ROUND(_xlfn.NUMBERVALUE(LEFT(G128,FIND(" ",G128&amp;" ")-1),".")*1000,0),99999))</f>
        <v/>
      </c>
      <c r="CN128" s="3">
        <f>IF(R128="profesional",0,IF(O128&lt;CUOTA_VALOR_MAX,IF(BA128&gt;ITP_TRAMO_ALTO,SUMIFS(CF_CUOTA,CF_MAS,ITP_TRAMO_ALTO,CF_CCMIN,"&lt;="&amp;CM128,CF_CCMAX,"&gt;="&amp;CM128),IF(BA128&gt;ITP_TRAMO_BAJO,SUMIFS(CF_CUOTA,CF_MAS,ITP_TRAMO_BAJO,CF_CCMIN,"&lt;="&amp;CM128,CF_CCMAX,"&gt;="&amp;CM128),O128*ITP_TIPO)),O128*ITP_TIPO))</f>
        <v/>
      </c>
      <c r="CO128" s="4">
        <f>IF(R128="profesional",N(AK128),0)</f>
        <v/>
      </c>
      <c r="CP128" s="3">
        <f>IF(AND(R128="profesional",ISNUMBER(AK128),AL128="sí"),0,TASA_DGT)</f>
        <v/>
      </c>
      <c r="CQ128" s="3">
        <f>INFORME_DGT</f>
        <v/>
      </c>
      <c r="CR128" s="4">
        <f>O128+CO128+CN128+CP128+CQ128</f>
        <v/>
      </c>
      <c r="CS128" s="4">
        <f>CR128+N(CF128)</f>
        <v/>
      </c>
      <c r="CT128" s="3">
        <f>IF(CR128&lt;=TOTAL_MAX,"sí",IF(CR128&lt;=TOTAL_MAX+MARGEN_NEG,"negociar","no"))</f>
        <v/>
      </c>
      <c r="CU128" s="4">
        <f>IF(CT128&lt;&gt;"no",COUNTIFS($CT$2:$CT$545,"&lt;&gt;no",$CL$2:$CL$545,"&gt;"&amp;CL128)+COUNTIFS($CT$2:CT128,"&lt;&gt;no",$CL$2:CL128,CL128),"")</f>
        <v/>
      </c>
    </row>
    <row r="129">
      <c r="A129" s="2" t="inlineStr">
        <is>
          <t>cochesnet:71665574</t>
        </is>
      </c>
      <c r="B129" s="2" t="inlineStr">
        <is>
          <t>cochesnet</t>
        </is>
      </c>
      <c r="C129" s="2" t="inlineStr">
        <is>
          <t>https://www.coches.net/peugeot-208-5p-allure-12-vti-82-5p-gasolina-2014-en-valencia-71665574-covo.aspx</t>
        </is>
      </c>
      <c r="D129" s="2" t="inlineStr">
        <is>
          <t>PEUGEOT 208 ALLURE 1.2 VTi 82</t>
        </is>
      </c>
      <c r="E129" s="2" t="inlineStr">
        <is>
          <t>Peugeot</t>
        </is>
      </c>
      <c r="F129" s="2" t="inlineStr">
        <is>
          <t>Peugeot 208</t>
        </is>
      </c>
      <c r="G129" s="2" t="inlineStr">
        <is>
          <t>1.2 VTi</t>
        </is>
      </c>
      <c r="H129" s="2" t="inlineStr">
        <is>
          <t>5P ALLURE 1.2 VTi 82</t>
        </is>
      </c>
      <c r="I129" s="2" t="n"/>
      <c r="J129" s="2" t="n"/>
      <c r="K129" s="2" t="inlineStr">
        <is>
          <t>gasolina</t>
        </is>
      </c>
      <c r="L129" s="2" t="inlineStr">
        <is>
          <t>utilitario</t>
        </is>
      </c>
      <c r="M129" s="2" t="n">
        <v>2014</v>
      </c>
      <c r="N129" s="2" t="n">
        <v>167000</v>
      </c>
      <c r="O129" s="2" t="n">
        <v>4500</v>
      </c>
      <c r="P129" s="2" t="inlineStr">
        <is>
          <t>manual</t>
        </is>
      </c>
      <c r="Q129" s="2" t="inlineStr">
        <is>
          <t>no</t>
        </is>
      </c>
      <c r="R129" s="2" t="inlineStr">
        <is>
          <t>particular</t>
        </is>
      </c>
      <c r="S129" s="2" t="inlineStr">
        <is>
          <t>Mislata</t>
        </is>
      </c>
      <c r="T129" s="2" t="inlineStr">
        <is>
          <t>2026-10-03T17:07:26Z</t>
        </is>
      </c>
      <c r="U129" s="2" t="n">
        <v>9</v>
      </c>
      <c r="V129" s="2" t="inlineStr">
        <is>
          <t>sí</t>
        </is>
      </c>
      <c r="W129" s="2" t="n"/>
      <c r="X129" s="2" t="n"/>
      <c r="Y129" s="2" t="n">
        <v>1</v>
      </c>
      <c r="Z129" s="2" t="inlineStr">
        <is>
          <t>no</t>
        </is>
      </c>
      <c r="AA129" s="2" t="n"/>
      <c r="AB129" s="2" t="n"/>
      <c r="AC129" s="2" t="n"/>
      <c r="AD129" s="2" t="n"/>
      <c r="AE129" s="2" t="n"/>
      <c r="AF129" s="2" t="n"/>
      <c r="AG129" s="2" t="n"/>
      <c r="AH129" s="2" t="n">
        <v>4500</v>
      </c>
      <c r="AI129" s="2" t="n"/>
      <c r="AJ129" s="2" t="n"/>
      <c r="AK129" s="2" t="n"/>
      <c r="AL129" s="2" t="n"/>
      <c r="AM129" s="2" t="n">
        <v>3</v>
      </c>
      <c r="AN129" s="2" t="n"/>
      <c r="AO129" s="2" t="inlineStr">
        <is>
          <t>06/2014</t>
        </is>
      </c>
      <c r="AP129" s="2" t="n">
        <v>2014</v>
      </c>
      <c r="AQ129" s="2" t="n">
        <v>6</v>
      </c>
      <c r="AR129" s="2" t="n"/>
      <c r="AS129" s="2" t="inlineStr">
        <is>
          <t>regla</t>
        </is>
      </c>
      <c r="AT129" s="2" t="n">
        <v>4700</v>
      </c>
      <c r="AU129" s="2" t="n">
        <v>6</v>
      </c>
      <c r="AV129" s="2" t="inlineStr">
        <is>
          <t>modelo+año+km</t>
        </is>
      </c>
      <c r="AW129" s="2" t="n"/>
      <c r="AX129" s="2" t="inlineStr">
        <is>
          <t>cuota fija ITP: &gt;5 y &lt;=12 años, hasta 1.500 cc</t>
        </is>
      </c>
      <c r="AY129" s="2" t="inlineStr">
        <is>
          <t>ITV pasada, único dueño, coche en perfecto estado con todas las revisiones al día.</t>
        </is>
      </c>
      <c r="AZ129" s="2" t="inlineStr">
        <is>
          <t>https://www.coches.net/peugeot-208-5p-allure-12-vti-82-5p-gasolina-2014-en-valencia-71665574-covo.aspx (window.__INITIAL_PROPS__.ad) /home/user/Alopecia/buscador-coches/raw/cochesnet/663ac3e4bc2cb6b5.json</t>
        </is>
      </c>
      <c r="BA129" s="3">
        <f>MAX(ANIO_ACTUAL-M129,0)</f>
        <v/>
      </c>
      <c r="BB129" s="4">
        <f>N129/MAX(BA129,0.5)</f>
        <v/>
      </c>
      <c r="BC129" s="4">
        <f>F129</f>
        <v/>
      </c>
      <c r="BD129" s="3">
        <f>BC129&amp;"|"&amp;INT(M129/SEG_ANIO)*SEG_ANIO</f>
        <v/>
      </c>
      <c r="BE129" s="3">
        <f>BD129&amp;"|"&amp;INT(N129/SEG_KM)*SEG_KM</f>
        <v/>
      </c>
      <c r="BF129" s="4">
        <f>COUNTIF($BC$2:$BC$545,BC129)</f>
        <v/>
      </c>
      <c r="BG129" s="4">
        <f>COUNTIF($BD$2:$BD$545,BD129)</f>
        <v/>
      </c>
      <c r="BH129" s="4">
        <f>COUNTIF($BE$2:$BE$545,BE129)</f>
        <v/>
      </c>
      <c r="BI129" s="3">
        <f t="array" ref="BI129">IF(N(AU129)&gt;=MIN_N,AT129,IF(BH129&gt;=MIN_N,MEDIAN(IF($BE$2:$BE$545=BE129,$O$2:$O$545)),IF(BG129&gt;=MIN_N,MEDIAN(IF($BD$2:$BD$545=BD129,$O$2:$O$545)),MEDIAN(IF($BC$2:$BC$545=BC129,$O$2:$O$545)))))</f>
        <v/>
      </c>
      <c r="BJ129" s="3">
        <f>IF(N(AU129)&gt;=MIN_N,"mercado "&amp;AV129,IF(BH129&gt;=MIN_N,"modelo+año+km",IF(BG129&gt;=MIN_N,"modelo+año","modelo")))</f>
        <v/>
      </c>
      <c r="BK129" s="4">
        <f>(BI129-O129)/BI129</f>
        <v/>
      </c>
      <c r="BL129" s="3">
        <f>IF(COUNTIFS(FR_FUEL,K129,FR_YEAR,AP129)&gt;0,1,0)</f>
        <v/>
      </c>
      <c r="BM129" s="3">
        <f>IF(COUNTIFS(FR_FUEL,K129,FR_YEAR,AP129-1)&gt;0,1,0)</f>
        <v/>
      </c>
      <c r="BN129" s="4">
        <f>IF(N(AQ129)&gt;0,AP129*100+AQ129,IF(AND(BL129=1,BM129=1),(AP129-1)*100+1,AP129*100+1))</f>
        <v/>
      </c>
      <c r="BO129" s="3">
        <f>IF(OR(K129="hibrido",K129="glp",K129="gnc",K129="phev"),"ECO",IF(K129="electrico","CERO",IF(K129="gasolina",IF(BN129&gt;=GAS_C_YM,"C",IF(BN129&gt;=GAS_B_YM,"B","A")),IF(K129="diesel",IF(BN129&gt;=DIE_C_YM,"C",IF(BN129&gt;=DIE_B_YM,"B","A")),""))))</f>
        <v/>
      </c>
      <c r="BP129" s="4">
        <f>BO129</f>
        <v/>
      </c>
      <c r="BQ129" s="4">
        <f>IF(AS129="regla",IF(AND(N(AQ129)=0,BL129=1),"sí","no"),"no")</f>
        <v/>
      </c>
      <c r="BR129" s="3">
        <f>IFERROR(VLOOKUP(F129,MOD_TBL,11,0),IFERROR(VLOOKUP(E129,OCU_TBL,2,0),NEUTRO))</f>
        <v/>
      </c>
      <c r="BS129" s="3">
        <f>SUMIFS(MOT_AJUSTE,MOT_MOTOR,G129,MOT_MARCA,E129,MOT_DESDE,"&lt;="&amp;M129,MOT_HASTA,"&gt;="&amp;M129)+SUMIFS(MOT_AJUSTE,MOT_MOTOR,G129,MOT_MARCA,"(todas)",MOT_DESDE,"&lt;="&amp;M129,MOT_HASTA,"&gt;="&amp;M129)</f>
        <v/>
      </c>
      <c r="BT129" s="3">
        <f>SUMIFS(COMB_AJUSTE,COMB_COMB,K129)</f>
        <v/>
      </c>
      <c r="BU129" s="3">
        <f>COUNTIFS(MOT_MOTOR,G129,MOT_MARCA,E129,MOT_DESDE,"&lt;="&amp;M129,MOT_HASTA,"&gt;="&amp;M129)+COUNTIFS(MOT_MOTOR,G129,MOT_MARCA,"(todas)",MOT_DESDE,"&lt;="&amp;M129,MOT_HASTA,"&gt;="&amp;M129)</f>
        <v/>
      </c>
      <c r="BV129" s="3">
        <f>IF(AND(K129="diesel",BU129=0),MIN(BR129,NEUTRO),BR129)</f>
        <v/>
      </c>
      <c r="BW129" s="4">
        <f>MAX(0,MIN(100,BV129+BS129+BT129))</f>
        <v/>
      </c>
      <c r="BX129" s="3">
        <f>MAX(0,MIN(100,50+BK129*PRECIO_PEND))</f>
        <v/>
      </c>
      <c r="BY129" s="3">
        <f>MAX(0,100*(1-N129/KM_MAX))</f>
        <v/>
      </c>
      <c r="BZ129" s="3">
        <f>IF(BB129&lt;KMA_SOSP,IF(AA129="sí",100,KMA_PEN),IF(BB129&lt;=KMA_IDEAL_MAX,100,MAX(0,100*(KMA_CERO-BB129)/(KMA_CERO-KMA_IDEAL_MAX))))</f>
        <v/>
      </c>
      <c r="CA129" s="3">
        <f>MAX(0,MIN(100,100*(M129-ANIO_MIN)/(ANIO_ACTUAL-ANIO_MIN)))</f>
        <v/>
      </c>
      <c r="CB129" s="3">
        <f>W_KMT*BY129+W_KMA*BZ129+W_EDAD*CA129</f>
        <v/>
      </c>
      <c r="CC129" s="3">
        <f>P_ITV*(V129="sí")+P_LIBRO*(W129="sí")+P_CORREA*(X129="sí")+P_PROP*(Y129=1)+P_GAR*(Z129="sí")+P_FOTOS*MIN(1,N(U129)/FOTOS_OBJ)</f>
        <v/>
      </c>
      <c r="CD129" s="3">
        <f>MAX(0,MIN(100,IFERROR(VLOOKUP(BP129,ETQ_TBL,2,0),0)-IF(BQ129="sí",ETQ_PEN_DUD,IF(AS129="regla",ETQ_PEN_REGLA,0))))</f>
        <v/>
      </c>
      <c r="CE129" s="3">
        <f>NEUTRO</f>
        <v/>
      </c>
      <c r="CF129" s="3">
        <f>IFERROR(VLOOKUP(L129,SEGURO_TBL,3,0),"")</f>
        <v/>
      </c>
      <c r="CG129" s="3">
        <f>IF(CF129="",NEUTRO,MAX(0,MIN(100,100*(SEG_REF_MAX-CF129)/(SEG_REF_MAX-SEG_REF_MIN))))</f>
        <v/>
      </c>
      <c r="CH129" s="3">
        <f>W_CONS*CE129+W_SEG*CG129</f>
        <v/>
      </c>
      <c r="CI129" s="3">
        <f>IF(N(AB129)&gt;0,AB129,IF(AND(R129="profesional",SG_LEGAL_ON=1),GAR_LEGAL,0))</f>
        <v/>
      </c>
      <c r="CJ129" s="3">
        <f>SG_GAR*MIN(1,CI129/SG_GAR_FULL)+SG_AMPL*(AC129="sí")+SG_KMC*(AF129="sí")+SG_REV*(N(AE129)&gt;0)+SG_DEV*MIN(1,N(AG129)/SG_DEV_FULL)+SG_HIST*(W129="sí")</f>
        <v/>
      </c>
      <c r="CK129" s="3">
        <f>IFERROR(VLOOKUP(L129,CARR_PEN_TBL,2,0),0)</f>
        <v/>
      </c>
      <c r="CL129" s="3">
        <f>W_FIAB*BW129+W_PRECIO*BX129+W_KMEDAD*CB129+W_ANUNCIO*CC129+W_USO*CH129+W_SEGURIDAD*CJ129+W_ETIQUETA*CD129-CK129</f>
        <v/>
      </c>
      <c r="CM129" s="4">
        <f>IF(N(I129)&gt;0,I129,IFERROR(ROUND(_xlfn.NUMBERVALUE(LEFT(G129,FIND(" ",G129&amp;" ")-1),".")*1000,0),99999))</f>
        <v/>
      </c>
      <c r="CN129" s="3">
        <f>IF(R129="profesional",0,IF(O129&lt;CUOTA_VALOR_MAX,IF(BA129&gt;ITP_TRAMO_ALTO,SUMIFS(CF_CUOTA,CF_MAS,ITP_TRAMO_ALTO,CF_CCMIN,"&lt;="&amp;CM129,CF_CCMAX,"&gt;="&amp;CM129),IF(BA129&gt;ITP_TRAMO_BAJO,SUMIFS(CF_CUOTA,CF_MAS,ITP_TRAMO_BAJO,CF_CCMIN,"&lt;="&amp;CM129,CF_CCMAX,"&gt;="&amp;CM129),O129*ITP_TIPO)),O129*ITP_TIPO))</f>
        <v/>
      </c>
      <c r="CO129" s="4">
        <f>IF(R129="profesional",N(AK129),0)</f>
        <v/>
      </c>
      <c r="CP129" s="3">
        <f>IF(AND(R129="profesional",ISNUMBER(AK129),AL129="sí"),0,TASA_DGT)</f>
        <v/>
      </c>
      <c r="CQ129" s="3">
        <f>INFORME_DGT</f>
        <v/>
      </c>
      <c r="CR129" s="4">
        <f>O129+CO129+CN129+CP129+CQ129</f>
        <v/>
      </c>
      <c r="CS129" s="4">
        <f>CR129+N(CF129)</f>
        <v/>
      </c>
      <c r="CT129" s="3">
        <f>IF(CR129&lt;=TOTAL_MAX,"sí",IF(CR129&lt;=TOTAL_MAX+MARGEN_NEG,"negociar","no"))</f>
        <v/>
      </c>
      <c r="CU129" s="4">
        <f>IF(CT129&lt;&gt;"no",COUNTIFS($CT$2:$CT$545,"&lt;&gt;no",$CL$2:$CL$545,"&gt;"&amp;CL129)+COUNTIFS($CT$2:CT129,"&lt;&gt;no",$CL$2:CL129,CL129),"")</f>
        <v/>
      </c>
    </row>
    <row r="130">
      <c r="A130" s="2" t="inlineStr">
        <is>
          <t>cochesnet:71427032</t>
        </is>
      </c>
      <c r="B130" s="2" t="inlineStr">
        <is>
          <t>cochesnet</t>
        </is>
      </c>
      <c r="C130" s="2" t="inlineStr">
        <is>
          <t>https://www.coches.net/peugeot-208-gasolina-2012-en-valencia-71427032-covo.aspx</t>
        </is>
      </c>
      <c r="D130" s="2" t="inlineStr">
        <is>
          <t>PEUGEOT 208</t>
        </is>
      </c>
      <c r="E130" s="2" t="inlineStr">
        <is>
          <t>Peugeot</t>
        </is>
      </c>
      <c r="F130" s="2" t="inlineStr">
        <is>
          <t>Peugeot 208</t>
        </is>
      </c>
      <c r="G130" s="2" t="n"/>
      <c r="H130" s="2" t="n"/>
      <c r="I130" s="2" t="n"/>
      <c r="J130" s="2" t="n"/>
      <c r="K130" s="2" t="inlineStr">
        <is>
          <t>gasolina</t>
        </is>
      </c>
      <c r="L130" s="2" t="inlineStr">
        <is>
          <t>utilitario</t>
        </is>
      </c>
      <c r="M130" s="2" t="n">
        <v>2012</v>
      </c>
      <c r="N130" s="2" t="n">
        <v>215000</v>
      </c>
      <c r="O130" s="2" t="n">
        <v>4500</v>
      </c>
      <c r="P130" s="2" t="inlineStr">
        <is>
          <t>manual</t>
        </is>
      </c>
      <c r="Q130" s="2" t="inlineStr">
        <is>
          <t>no</t>
        </is>
      </c>
      <c r="R130" s="2" t="inlineStr">
        <is>
          <t>particular</t>
        </is>
      </c>
      <c r="S130" s="2" t="n"/>
      <c r="T130" s="2" t="inlineStr">
        <is>
          <t>2026-09-02T15:17:55Z</t>
        </is>
      </c>
      <c r="U130" s="2" t="n">
        <v>9</v>
      </c>
      <c r="V130" s="2" t="inlineStr">
        <is>
          <t>sí</t>
        </is>
      </c>
      <c r="W130" s="2" t="n"/>
      <c r="X130" s="2" t="n"/>
      <c r="Y130" s="2" t="n"/>
      <c r="Z130" s="2" t="inlineStr">
        <is>
          <t>no</t>
        </is>
      </c>
      <c r="AA130" s="2" t="n"/>
      <c r="AB130" s="2" t="n"/>
      <c r="AC130" s="2" t="n"/>
      <c r="AD130" s="2" t="n"/>
      <c r="AE130" s="2" t="n"/>
      <c r="AF130" s="2" t="n"/>
      <c r="AG130" s="2" t="n"/>
      <c r="AH130" s="2" t="n">
        <v>4500</v>
      </c>
      <c r="AI130" s="2" t="n"/>
      <c r="AJ130" s="2" t="n"/>
      <c r="AK130" s="2" t="n"/>
      <c r="AL130" s="2" t="n"/>
      <c r="AM130" s="2" t="n"/>
      <c r="AN130" s="2" t="n"/>
      <c r="AO130" s="2" t="inlineStr">
        <is>
          <t>2012</t>
        </is>
      </c>
      <c r="AP130" s="2" t="n">
        <v>2012</v>
      </c>
      <c r="AQ130" s="2" t="n"/>
      <c r="AR130" s="2" t="n"/>
      <c r="AS130" s="2" t="inlineStr">
        <is>
          <t>regla</t>
        </is>
      </c>
      <c r="AT130" s="2" t="n">
        <v>5490</v>
      </c>
      <c r="AU130" s="2" t="n">
        <v>9</v>
      </c>
      <c r="AV130" s="2" t="inlineStr">
        <is>
          <t>modelo+año</t>
        </is>
      </c>
      <c r="AW130" s="2" t="n"/>
      <c r="AX130" s="2" t="inlineStr">
        <is>
          <t>cilindrada desconocida: se aplica el tramo de cuota fija más alto; cuota fija ITP: &gt;12 años, más de 2.000 cc; distancia no verificable (el anuncio solo indica la provincia): confirmar que está a &lt;= 70 km</t>
        </is>
      </c>
      <c r="AY130" s="2" t="inlineStr">
        <is>
          <t xml:space="preserve">Se vende peugeot 208 del año 2012 lo entrego con seguro hasta diciembre si quieren lo doy de regalo
Tiene la distribución recien hecha 
Cambio de aceite recien hecho
Filtros de aceites y de aire hecho 
Pastilla de frenos recien hechas
Itv hasta enero 2027 pasa la itv sin problemas
Aire acondicionado perfecto
Ruedas michelin las 4 estan casi nuevas con su rueda de repuesto
Un coche fiable ahorrador de gasolina y muy practico al manejar 
La pintura esta bien cuidada al igual que el interior estan en perfecto estado
</t>
        </is>
      </c>
      <c r="AZ130" s="2" t="inlineStr">
        <is>
          <t>https://www.coches.net/peugeot-208-gasolina-2012-en-valencia-71427032-covo.aspx (window.__INITIAL_PROPS__.ad) /home/user/Alopecia/buscador-coches/raw/cochesnet/7422982074c41c19.json</t>
        </is>
      </c>
      <c r="BA130" s="3">
        <f>MAX(ANIO_ACTUAL-M130,0)</f>
        <v/>
      </c>
      <c r="BB130" s="4">
        <f>N130/MAX(BA130,0.5)</f>
        <v/>
      </c>
      <c r="BC130" s="4">
        <f>F130</f>
        <v/>
      </c>
      <c r="BD130" s="3">
        <f>BC130&amp;"|"&amp;INT(M130/SEG_ANIO)*SEG_ANIO</f>
        <v/>
      </c>
      <c r="BE130" s="3">
        <f>BD130&amp;"|"&amp;INT(N130/SEG_KM)*SEG_KM</f>
        <v/>
      </c>
      <c r="BF130" s="4">
        <f>COUNTIF($BC$2:$BC$545,BC130)</f>
        <v/>
      </c>
      <c r="BG130" s="4">
        <f>COUNTIF($BD$2:$BD$545,BD130)</f>
        <v/>
      </c>
      <c r="BH130" s="4">
        <f>COUNTIF($BE$2:$BE$545,BE130)</f>
        <v/>
      </c>
      <c r="BI130" s="3">
        <f t="array" ref="BI130">IF(N(AU130)&gt;=MIN_N,AT130,IF(BH130&gt;=MIN_N,MEDIAN(IF($BE$2:$BE$545=BE130,$O$2:$O$545)),IF(BG130&gt;=MIN_N,MEDIAN(IF($BD$2:$BD$545=BD130,$O$2:$O$545)),MEDIAN(IF($BC$2:$BC$545=BC130,$O$2:$O$545)))))</f>
        <v/>
      </c>
      <c r="BJ130" s="3">
        <f>IF(N(AU130)&gt;=MIN_N,"mercado "&amp;AV130,IF(BH130&gt;=MIN_N,"modelo+año+km",IF(BG130&gt;=MIN_N,"modelo+año","modelo")))</f>
        <v/>
      </c>
      <c r="BK130" s="4">
        <f>(BI130-O130)/BI130</f>
        <v/>
      </c>
      <c r="BL130" s="3">
        <f>IF(COUNTIFS(FR_FUEL,K130,FR_YEAR,AP130)&gt;0,1,0)</f>
        <v/>
      </c>
      <c r="BM130" s="3">
        <f>IF(COUNTIFS(FR_FUEL,K130,FR_YEAR,AP130-1)&gt;0,1,0)</f>
        <v/>
      </c>
      <c r="BN130" s="4">
        <f>IF(N(AQ130)&gt;0,AP130*100+AQ130,IF(AND(BL130=1,BM130=1),(AP130-1)*100+1,AP130*100+1))</f>
        <v/>
      </c>
      <c r="BO130" s="3">
        <f>IF(OR(K130="hibrido",K130="glp",K130="gnc",K130="phev"),"ECO",IF(K130="electrico","CERO",IF(K130="gasolina",IF(BN130&gt;=GAS_C_YM,"C",IF(BN130&gt;=GAS_B_YM,"B","A")),IF(K130="diesel",IF(BN130&gt;=DIE_C_YM,"C",IF(BN130&gt;=DIE_B_YM,"B","A")),""))))</f>
        <v/>
      </c>
      <c r="BP130" s="4">
        <f>BO130</f>
        <v/>
      </c>
      <c r="BQ130" s="4">
        <f>IF(AS130="regla",IF(AND(N(AQ130)=0,BL130=1),"sí","no"),"no")</f>
        <v/>
      </c>
      <c r="BR130" s="3">
        <f>IFERROR(VLOOKUP(F130,MOD_TBL,11,0),IFERROR(VLOOKUP(E130,OCU_TBL,2,0),NEUTRO))</f>
        <v/>
      </c>
      <c r="BS130" s="3">
        <f>SUMIFS(MOT_AJUSTE,MOT_MOTOR,G130,MOT_MARCA,E130,MOT_DESDE,"&lt;="&amp;M130,MOT_HASTA,"&gt;="&amp;M130)+SUMIFS(MOT_AJUSTE,MOT_MOTOR,G130,MOT_MARCA,"(todas)",MOT_DESDE,"&lt;="&amp;M130,MOT_HASTA,"&gt;="&amp;M130)</f>
        <v/>
      </c>
      <c r="BT130" s="3">
        <f>SUMIFS(COMB_AJUSTE,COMB_COMB,K130)</f>
        <v/>
      </c>
      <c r="BU130" s="3">
        <f>COUNTIFS(MOT_MOTOR,G130,MOT_MARCA,E130,MOT_DESDE,"&lt;="&amp;M130,MOT_HASTA,"&gt;="&amp;M130)+COUNTIFS(MOT_MOTOR,G130,MOT_MARCA,"(todas)",MOT_DESDE,"&lt;="&amp;M130,MOT_HASTA,"&gt;="&amp;M130)</f>
        <v/>
      </c>
      <c r="BV130" s="3">
        <f>IF(AND(K130="diesel",BU130=0),MIN(BR130,NEUTRO),BR130)</f>
        <v/>
      </c>
      <c r="BW130" s="4">
        <f>MAX(0,MIN(100,BV130+BS130+BT130))</f>
        <v/>
      </c>
      <c r="BX130" s="3">
        <f>MAX(0,MIN(100,50+BK130*PRECIO_PEND))</f>
        <v/>
      </c>
      <c r="BY130" s="3">
        <f>MAX(0,100*(1-N130/KM_MAX))</f>
        <v/>
      </c>
      <c r="BZ130" s="3">
        <f>IF(BB130&lt;KMA_SOSP,IF(AA130="sí",100,KMA_PEN),IF(BB130&lt;=KMA_IDEAL_MAX,100,MAX(0,100*(KMA_CERO-BB130)/(KMA_CERO-KMA_IDEAL_MAX))))</f>
        <v/>
      </c>
      <c r="CA130" s="3">
        <f>MAX(0,MIN(100,100*(M130-ANIO_MIN)/(ANIO_ACTUAL-ANIO_MIN)))</f>
        <v/>
      </c>
      <c r="CB130" s="3">
        <f>W_KMT*BY130+W_KMA*BZ130+W_EDAD*CA130</f>
        <v/>
      </c>
      <c r="CC130" s="3">
        <f>P_ITV*(V130="sí")+P_LIBRO*(W130="sí")+P_CORREA*(X130="sí")+P_PROP*(Y130=1)+P_GAR*(Z130="sí")+P_FOTOS*MIN(1,N(U130)/FOTOS_OBJ)</f>
        <v/>
      </c>
      <c r="CD130" s="3">
        <f>MAX(0,MIN(100,IFERROR(VLOOKUP(BP130,ETQ_TBL,2,0),0)-IF(BQ130="sí",ETQ_PEN_DUD,IF(AS130="regla",ETQ_PEN_REGLA,0))))</f>
        <v/>
      </c>
      <c r="CE130" s="3">
        <f>NEUTRO</f>
        <v/>
      </c>
      <c r="CF130" s="3">
        <f>IFERROR(VLOOKUP(L130,SEGURO_TBL,3,0),"")</f>
        <v/>
      </c>
      <c r="CG130" s="3">
        <f>IF(CF130="",NEUTRO,MAX(0,MIN(100,100*(SEG_REF_MAX-CF130)/(SEG_REF_MAX-SEG_REF_MIN))))</f>
        <v/>
      </c>
      <c r="CH130" s="3">
        <f>W_CONS*CE130+W_SEG*CG130</f>
        <v/>
      </c>
      <c r="CI130" s="3">
        <f>IF(N(AB130)&gt;0,AB130,IF(AND(R130="profesional",SG_LEGAL_ON=1),GAR_LEGAL,0))</f>
        <v/>
      </c>
      <c r="CJ130" s="3">
        <f>SG_GAR*MIN(1,CI130/SG_GAR_FULL)+SG_AMPL*(AC130="sí")+SG_KMC*(AF130="sí")+SG_REV*(N(AE130)&gt;0)+SG_DEV*MIN(1,N(AG130)/SG_DEV_FULL)+SG_HIST*(W130="sí")</f>
        <v/>
      </c>
      <c r="CK130" s="3">
        <f>IFERROR(VLOOKUP(L130,CARR_PEN_TBL,2,0),0)</f>
        <v/>
      </c>
      <c r="CL130" s="3">
        <f>W_FIAB*BW130+W_PRECIO*BX130+W_KMEDAD*CB130+W_ANUNCIO*CC130+W_USO*CH130+W_SEGURIDAD*CJ130+W_ETIQUETA*CD130-CK130</f>
        <v/>
      </c>
      <c r="CM130" s="4">
        <f>IF(N(I130)&gt;0,I130,IFERROR(ROUND(_xlfn.NUMBERVALUE(LEFT(G130,FIND(" ",G130&amp;" ")-1),".")*1000,0),99999))</f>
        <v/>
      </c>
      <c r="CN130" s="3">
        <f>IF(R130="profesional",0,IF(O130&lt;CUOTA_VALOR_MAX,IF(BA130&gt;ITP_TRAMO_ALTO,SUMIFS(CF_CUOTA,CF_MAS,ITP_TRAMO_ALTO,CF_CCMIN,"&lt;="&amp;CM130,CF_CCMAX,"&gt;="&amp;CM130),IF(BA130&gt;ITP_TRAMO_BAJO,SUMIFS(CF_CUOTA,CF_MAS,ITP_TRAMO_BAJO,CF_CCMIN,"&lt;="&amp;CM130,CF_CCMAX,"&gt;="&amp;CM130),O130*ITP_TIPO)),O130*ITP_TIPO))</f>
        <v/>
      </c>
      <c r="CO130" s="4">
        <f>IF(R130="profesional",N(AK130),0)</f>
        <v/>
      </c>
      <c r="CP130" s="3">
        <f>IF(AND(R130="profesional",ISNUMBER(AK130),AL130="sí"),0,TASA_DGT)</f>
        <v/>
      </c>
      <c r="CQ130" s="3">
        <f>INFORME_DGT</f>
        <v/>
      </c>
      <c r="CR130" s="4">
        <f>O130+CO130+CN130+CP130+CQ130</f>
        <v/>
      </c>
      <c r="CS130" s="4">
        <f>CR130+N(CF130)</f>
        <v/>
      </c>
      <c r="CT130" s="3">
        <f>IF(CR130&lt;=TOTAL_MAX,"sí",IF(CR130&lt;=TOTAL_MAX+MARGEN_NEG,"negociar","no"))</f>
        <v/>
      </c>
      <c r="CU130" s="4">
        <f>IF(CT130&lt;&gt;"no",COUNTIFS($CT$2:$CT$545,"&lt;&gt;no",$CL$2:$CL$545,"&gt;"&amp;CL130)+COUNTIFS($CT$2:CT130,"&lt;&gt;no",$CL$2:CL130,CL130),"")</f>
        <v/>
      </c>
    </row>
    <row r="131">
      <c r="A131" s="2" t="inlineStr">
        <is>
          <t>cochesnet:71721031</t>
        </is>
      </c>
      <c r="B131" s="2" t="inlineStr">
        <is>
          <t>cochesnet</t>
        </is>
      </c>
      <c r="C131" s="2" t="inlineStr">
        <is>
          <t>https://www.coches.net/peugeot-308-premium-16-vti-120-5p-gasolina-2008-en-valencia-71721031-covo.aspx</t>
        </is>
      </c>
      <c r="D131" s="2" t="inlineStr">
        <is>
          <t>PEUGEOT 308 Premium 1.6 VTi 120</t>
        </is>
      </c>
      <c r="E131" s="2" t="inlineStr">
        <is>
          <t>Peugeot</t>
        </is>
      </c>
      <c r="F131" s="2" t="inlineStr">
        <is>
          <t>Peugeot 308</t>
        </is>
      </c>
      <c r="G131" s="2" t="inlineStr">
        <is>
          <t>1.6 VTi</t>
        </is>
      </c>
      <c r="H131" s="2" t="inlineStr">
        <is>
          <t>Premium 1.6 VTi 120</t>
        </is>
      </c>
      <c r="I131" s="2" t="n"/>
      <c r="J131" s="2" t="n"/>
      <c r="K131" s="2" t="inlineStr">
        <is>
          <t>gasolina</t>
        </is>
      </c>
      <c r="L131" s="2" t="inlineStr">
        <is>
          <t>compacto</t>
        </is>
      </c>
      <c r="M131" s="2" t="n">
        <v>2008</v>
      </c>
      <c r="N131" s="2" t="n">
        <v>190000</v>
      </c>
      <c r="O131" s="2" t="n">
        <v>4000</v>
      </c>
      <c r="P131" s="2" t="inlineStr">
        <is>
          <t>manual</t>
        </is>
      </c>
      <c r="Q131" s="2" t="inlineStr">
        <is>
          <t>no</t>
        </is>
      </c>
      <c r="R131" s="2" t="inlineStr">
        <is>
          <t>particular</t>
        </is>
      </c>
      <c r="S131" s="2" t="inlineStr">
        <is>
          <t>Moncada</t>
        </is>
      </c>
      <c r="T131" s="2" t="inlineStr">
        <is>
          <t>2026-10-11T01:07:33Z</t>
        </is>
      </c>
      <c r="U131" s="2" t="n">
        <v>17</v>
      </c>
      <c r="V131" s="2" t="inlineStr">
        <is>
          <t>sí</t>
        </is>
      </c>
      <c r="W131" s="2" t="n"/>
      <c r="X131" s="2" t="n"/>
      <c r="Y131" s="2" t="n">
        <v>2</v>
      </c>
      <c r="Z131" s="2" t="inlineStr">
        <is>
          <t>no</t>
        </is>
      </c>
      <c r="AA131" s="2" t="n"/>
      <c r="AB131" s="2" t="n"/>
      <c r="AC131" s="2" t="n"/>
      <c r="AD131" s="2" t="n"/>
      <c r="AE131" s="2" t="n"/>
      <c r="AF131" s="2" t="n"/>
      <c r="AG131" s="2" t="n"/>
      <c r="AH131" s="2" t="n">
        <v>4000</v>
      </c>
      <c r="AI131" s="2" t="n"/>
      <c r="AJ131" s="2" t="n"/>
      <c r="AK131" s="2" t="n"/>
      <c r="AL131" s="2" t="n"/>
      <c r="AM131" s="2" t="n">
        <v>8.699999999999999</v>
      </c>
      <c r="AN131" s="2" t="n"/>
      <c r="AO131" s="2" t="inlineStr">
        <is>
          <t>2008</t>
        </is>
      </c>
      <c r="AP131" s="2" t="n">
        <v>2008</v>
      </c>
      <c r="AQ131" s="2" t="n"/>
      <c r="AR131" s="2" t="inlineStr">
        <is>
          <t>C</t>
        </is>
      </c>
      <c r="AS131" s="2" t="inlineStr">
        <is>
          <t>anuncio</t>
        </is>
      </c>
      <c r="AT131" s="2" t="n">
        <v>4000</v>
      </c>
      <c r="AU131" s="2" t="n">
        <v>5</v>
      </c>
      <c r="AV131" s="2" t="inlineStr">
        <is>
          <t>modelo+año+km</t>
        </is>
      </c>
      <c r="AW131" s="2" t="n"/>
      <c r="AX131" s="2" t="inlineStr">
        <is>
          <t>cuota fija ITP: &gt;12 años, 1.501-2.000 cc</t>
        </is>
      </c>
      <c r="AY131" s="2" t="inlineStr">
        <is>
          <t>Se vende Peugeot 308 Premium 1.6 Vti del año 2008 con 190.000 km.
Interior muy cuidado y exterior solo con algunos roces del uso cotidiano.
ITV recién pasada y mantenimientos al día.
Solamente 2 propietarios.
Equipamiento:
Climatizador automático bizona.
Control y limitador de velocidad (Control de crucero).
Sensor de luces y sensor de lluvia automáticos.
Volante multifunción.
Radio CD/MP3 con mandos en el volante y entrada auxiliar.
Elevalunas eléctricos en las 4 puertas y retrovisores eléctricos.
Asientos ISOFIX.
Techo solar.</t>
        </is>
      </c>
      <c r="AZ131" s="2" t="inlineStr">
        <is>
          <t>https://www.coches.net/peugeot-308-premium-16-vti-120-5p-gasolina-2008-en-valencia-71721031-covo.aspx (window.__INITIAL_PROPS__.ad) /home/user/Alopecia/buscador-coches/raw/cochesnet/bdd6eb5cdb8f6a3b.json</t>
        </is>
      </c>
      <c r="BA131" s="3">
        <f>MAX(ANIO_ACTUAL-M131,0)</f>
        <v/>
      </c>
      <c r="BB131" s="4">
        <f>N131/MAX(BA131,0.5)</f>
        <v/>
      </c>
      <c r="BC131" s="4">
        <f>F131</f>
        <v/>
      </c>
      <c r="BD131" s="3">
        <f>BC131&amp;"|"&amp;INT(M131/SEG_ANIO)*SEG_ANIO</f>
        <v/>
      </c>
      <c r="BE131" s="3">
        <f>BD131&amp;"|"&amp;INT(N131/SEG_KM)*SEG_KM</f>
        <v/>
      </c>
      <c r="BF131" s="4">
        <f>COUNTIF($BC$2:$BC$545,BC131)</f>
        <v/>
      </c>
      <c r="BG131" s="4">
        <f>COUNTIF($BD$2:$BD$545,BD131)</f>
        <v/>
      </c>
      <c r="BH131" s="4">
        <f>COUNTIF($BE$2:$BE$545,BE131)</f>
        <v/>
      </c>
      <c r="BI131" s="3">
        <f t="array" ref="BI131">IF(N(AU131)&gt;=MIN_N,AT131,IF(BH131&gt;=MIN_N,MEDIAN(IF($BE$2:$BE$545=BE131,$O$2:$O$545)),IF(BG131&gt;=MIN_N,MEDIAN(IF($BD$2:$BD$545=BD131,$O$2:$O$545)),MEDIAN(IF($BC$2:$BC$545=BC131,$O$2:$O$545)))))</f>
        <v/>
      </c>
      <c r="BJ131" s="3">
        <f>IF(N(AU131)&gt;=MIN_N,"mercado "&amp;AV131,IF(BH131&gt;=MIN_N,"modelo+año+km",IF(BG131&gt;=MIN_N,"modelo+año","modelo")))</f>
        <v/>
      </c>
      <c r="BK131" s="4">
        <f>(BI131-O131)/BI131</f>
        <v/>
      </c>
      <c r="BL131" s="3">
        <f>IF(COUNTIFS(FR_FUEL,K131,FR_YEAR,AP131)&gt;0,1,0)</f>
        <v/>
      </c>
      <c r="BM131" s="3">
        <f>IF(COUNTIFS(FR_FUEL,K131,FR_YEAR,AP131-1)&gt;0,1,0)</f>
        <v/>
      </c>
      <c r="BN131" s="4">
        <f>IF(N(AQ131)&gt;0,AP131*100+AQ131,IF(AND(BL131=1,BM131=1),(AP131-1)*100+1,AP131*100+1))</f>
        <v/>
      </c>
      <c r="BO131" s="3">
        <f>IF(OR(K131="hibrido",K131="glp",K131="gnc",K131="phev"),"ECO",IF(K131="electrico","CERO",IF(K131="gasolina",IF(BN131&gt;=GAS_C_YM,"C",IF(BN131&gt;=GAS_B_YM,"B","A")),IF(K131="diesel",IF(BN131&gt;=DIE_C_YM,"C",IF(BN131&gt;=DIE_B_YM,"B","A")),""))))</f>
        <v/>
      </c>
      <c r="BP131" s="2" t="inlineStr">
        <is>
          <t>C</t>
        </is>
      </c>
      <c r="BQ131" s="4">
        <f>IF(AS131="regla",IF(AND(N(AQ131)=0,BL131=1),"sí","no"),"no")</f>
        <v/>
      </c>
      <c r="BR131" s="3">
        <f>IFERROR(VLOOKUP(F131,MOD_TBL,11,0),IFERROR(VLOOKUP(E131,OCU_TBL,2,0),NEUTRO))</f>
        <v/>
      </c>
      <c r="BS131" s="3">
        <f>SUMIFS(MOT_AJUSTE,MOT_MOTOR,G131,MOT_MARCA,E131,MOT_DESDE,"&lt;="&amp;M131,MOT_HASTA,"&gt;="&amp;M131)+SUMIFS(MOT_AJUSTE,MOT_MOTOR,G131,MOT_MARCA,"(todas)",MOT_DESDE,"&lt;="&amp;M131,MOT_HASTA,"&gt;="&amp;M131)</f>
        <v/>
      </c>
      <c r="BT131" s="3">
        <f>SUMIFS(COMB_AJUSTE,COMB_COMB,K131)</f>
        <v/>
      </c>
      <c r="BU131" s="3">
        <f>COUNTIFS(MOT_MOTOR,G131,MOT_MARCA,E131,MOT_DESDE,"&lt;="&amp;M131,MOT_HASTA,"&gt;="&amp;M131)+COUNTIFS(MOT_MOTOR,G131,MOT_MARCA,"(todas)",MOT_DESDE,"&lt;="&amp;M131,MOT_HASTA,"&gt;="&amp;M131)</f>
        <v/>
      </c>
      <c r="BV131" s="3">
        <f>IF(AND(K131="diesel",BU131=0),MIN(BR131,NEUTRO),BR131)</f>
        <v/>
      </c>
      <c r="BW131" s="4">
        <f>MAX(0,MIN(100,BV131+BS131+BT131))</f>
        <v/>
      </c>
      <c r="BX131" s="3">
        <f>MAX(0,MIN(100,50+BK131*PRECIO_PEND))</f>
        <v/>
      </c>
      <c r="BY131" s="3">
        <f>MAX(0,100*(1-N131/KM_MAX))</f>
        <v/>
      </c>
      <c r="BZ131" s="3">
        <f>IF(BB131&lt;KMA_SOSP,IF(AA131="sí",100,KMA_PEN),IF(BB131&lt;=KMA_IDEAL_MAX,100,MAX(0,100*(KMA_CERO-BB131)/(KMA_CERO-KMA_IDEAL_MAX))))</f>
        <v/>
      </c>
      <c r="CA131" s="3">
        <f>MAX(0,MIN(100,100*(M131-ANIO_MIN)/(ANIO_ACTUAL-ANIO_MIN)))</f>
        <v/>
      </c>
      <c r="CB131" s="3">
        <f>W_KMT*BY131+W_KMA*BZ131+W_EDAD*CA131</f>
        <v/>
      </c>
      <c r="CC131" s="3">
        <f>P_ITV*(V131="sí")+P_LIBRO*(W131="sí")+P_CORREA*(X131="sí")+P_PROP*(Y131=1)+P_GAR*(Z131="sí")+P_FOTOS*MIN(1,N(U131)/FOTOS_OBJ)</f>
        <v/>
      </c>
      <c r="CD131" s="3">
        <f>MAX(0,MIN(100,IFERROR(VLOOKUP(BP131,ETQ_TBL,2,0),0)-IF(BQ131="sí",ETQ_PEN_DUD,IF(AS131="regla",ETQ_PEN_REGLA,0))))</f>
        <v/>
      </c>
      <c r="CE131" s="3">
        <f>NEUTRO</f>
        <v/>
      </c>
      <c r="CF131" s="3">
        <f>IFERROR(VLOOKUP(L131,SEGURO_TBL,3,0),"")</f>
        <v/>
      </c>
      <c r="CG131" s="3">
        <f>IF(CF131="",NEUTRO,MAX(0,MIN(100,100*(SEG_REF_MAX-CF131)/(SEG_REF_MAX-SEG_REF_MIN))))</f>
        <v/>
      </c>
      <c r="CH131" s="3">
        <f>W_CONS*CE131+W_SEG*CG131</f>
        <v/>
      </c>
      <c r="CI131" s="3">
        <f>IF(N(AB131)&gt;0,AB131,IF(AND(R131="profesional",SG_LEGAL_ON=1),GAR_LEGAL,0))</f>
        <v/>
      </c>
      <c r="CJ131" s="3">
        <f>SG_GAR*MIN(1,CI131/SG_GAR_FULL)+SG_AMPL*(AC131="sí")+SG_KMC*(AF131="sí")+SG_REV*(N(AE131)&gt;0)+SG_DEV*MIN(1,N(AG131)/SG_DEV_FULL)+SG_HIST*(W131="sí")</f>
        <v/>
      </c>
      <c r="CK131" s="3">
        <f>IFERROR(VLOOKUP(L131,CARR_PEN_TBL,2,0),0)</f>
        <v/>
      </c>
      <c r="CL131" s="3">
        <f>W_FIAB*BW131+W_PRECIO*BX131+W_KMEDAD*CB131+W_ANUNCIO*CC131+W_USO*CH131+W_SEGURIDAD*CJ131+W_ETIQUETA*CD131-CK131</f>
        <v/>
      </c>
      <c r="CM131" s="4">
        <f>IF(N(I131)&gt;0,I131,IFERROR(ROUND(_xlfn.NUMBERVALUE(LEFT(G131,FIND(" ",G131&amp;" ")-1),".")*1000,0),99999))</f>
        <v/>
      </c>
      <c r="CN131" s="3">
        <f>IF(R131="profesional",0,IF(O131&lt;CUOTA_VALOR_MAX,IF(BA131&gt;ITP_TRAMO_ALTO,SUMIFS(CF_CUOTA,CF_MAS,ITP_TRAMO_ALTO,CF_CCMIN,"&lt;="&amp;CM131,CF_CCMAX,"&gt;="&amp;CM131),IF(BA131&gt;ITP_TRAMO_BAJO,SUMIFS(CF_CUOTA,CF_MAS,ITP_TRAMO_BAJO,CF_CCMIN,"&lt;="&amp;CM131,CF_CCMAX,"&gt;="&amp;CM131),O131*ITP_TIPO)),O131*ITP_TIPO))</f>
        <v/>
      </c>
      <c r="CO131" s="4">
        <f>IF(R131="profesional",N(AK131),0)</f>
        <v/>
      </c>
      <c r="CP131" s="3">
        <f>IF(AND(R131="profesional",ISNUMBER(AK131),AL131="sí"),0,TASA_DGT)</f>
        <v/>
      </c>
      <c r="CQ131" s="3">
        <f>INFORME_DGT</f>
        <v/>
      </c>
      <c r="CR131" s="4">
        <f>O131+CO131+CN131+CP131+CQ131</f>
        <v/>
      </c>
      <c r="CS131" s="4">
        <f>CR131+N(CF131)</f>
        <v/>
      </c>
      <c r="CT131" s="3">
        <f>IF(CR131&lt;=TOTAL_MAX,"sí",IF(CR131&lt;=TOTAL_MAX+MARGEN_NEG,"negociar","no"))</f>
        <v/>
      </c>
      <c r="CU131" s="4">
        <f>IF(CT131&lt;&gt;"no",COUNTIFS($CT$2:$CT$545,"&lt;&gt;no",$CL$2:$CL$545,"&gt;"&amp;CL131)+COUNTIFS($CT$2:CT131,"&lt;&gt;no",$CL$2:CL131,CL131),"")</f>
        <v/>
      </c>
    </row>
    <row r="132">
      <c r="A132" s="2" t="inlineStr">
        <is>
          <t>cochesnet:71702102</t>
        </is>
      </c>
      <c r="B132" s="2" t="inlineStr">
        <is>
          <t>cochesnet</t>
        </is>
      </c>
      <c r="C132" s="2" t="inlineStr">
        <is>
          <t>https://www.coches.net/peugeot-308-sport-16-vti-120-5p-gasolina-2009-en-valencia-71702102-covo.aspx</t>
        </is>
      </c>
      <c r="D132" s="2" t="inlineStr">
        <is>
          <t>PEUGEOT 308 Sport 1.6 VTi 120</t>
        </is>
      </c>
      <c r="E132" s="2" t="inlineStr">
        <is>
          <t>Peugeot</t>
        </is>
      </c>
      <c r="F132" s="2" t="inlineStr">
        <is>
          <t>Peugeot 308</t>
        </is>
      </c>
      <c r="G132" s="2" t="inlineStr">
        <is>
          <t>1.6 VTi</t>
        </is>
      </c>
      <c r="H132" s="2" t="inlineStr">
        <is>
          <t>Sport 1.6 VTi 120</t>
        </is>
      </c>
      <c r="I132" s="2" t="n"/>
      <c r="J132" s="2" t="n"/>
      <c r="K132" s="2" t="inlineStr">
        <is>
          <t>gasolina</t>
        </is>
      </c>
      <c r="L132" s="2" t="inlineStr">
        <is>
          <t>compacto</t>
        </is>
      </c>
      <c r="M132" s="2" t="n">
        <v>2009</v>
      </c>
      <c r="N132" s="2" t="n">
        <v>200000</v>
      </c>
      <c r="O132" s="2" t="n">
        <v>3000</v>
      </c>
      <c r="P132" s="2" t="inlineStr">
        <is>
          <t>manual</t>
        </is>
      </c>
      <c r="Q132" s="2" t="inlineStr">
        <is>
          <t>no</t>
        </is>
      </c>
      <c r="R132" s="2" t="inlineStr">
        <is>
          <t>particular</t>
        </is>
      </c>
      <c r="S132" s="2" t="inlineStr">
        <is>
          <t>Gandia</t>
        </is>
      </c>
      <c r="T132" s="2" t="inlineStr">
        <is>
          <t>2026-10-08T12:26:18Z</t>
        </is>
      </c>
      <c r="U132" s="2" t="n">
        <v>8</v>
      </c>
      <c r="V132" s="2" t="inlineStr">
        <is>
          <t>sí</t>
        </is>
      </c>
      <c r="W132" s="2" t="n"/>
      <c r="X132" s="2" t="n"/>
      <c r="Y132" s="2" t="n"/>
      <c r="Z132" s="2" t="inlineStr">
        <is>
          <t>no</t>
        </is>
      </c>
      <c r="AA132" s="2" t="n"/>
      <c r="AB132" s="2" t="n"/>
      <c r="AC132" s="2" t="n"/>
      <c r="AD132" s="2" t="n"/>
      <c r="AE132" s="2" t="n"/>
      <c r="AF132" s="2" t="n"/>
      <c r="AG132" s="2" t="n"/>
      <c r="AH132" s="2" t="n">
        <v>3000</v>
      </c>
      <c r="AI132" s="2" t="n"/>
      <c r="AJ132" s="2" t="n"/>
      <c r="AK132" s="2" t="n"/>
      <c r="AL132" s="2" t="n"/>
      <c r="AM132" s="2" t="n">
        <v>58.4</v>
      </c>
      <c r="AN132" s="2" t="n"/>
      <c r="AO132" s="2" t="inlineStr">
        <is>
          <t>05/2009</t>
        </is>
      </c>
      <c r="AP132" s="2" t="n">
        <v>2009</v>
      </c>
      <c r="AQ132" s="2" t="n">
        <v>5</v>
      </c>
      <c r="AR132" s="2" t="inlineStr">
        <is>
          <t>C</t>
        </is>
      </c>
      <c r="AS132" s="2" t="inlineStr">
        <is>
          <t>anuncio</t>
        </is>
      </c>
      <c r="AT132" s="2" t="n">
        <v>3100</v>
      </c>
      <c r="AU132" s="2" t="n">
        <v>9</v>
      </c>
      <c r="AV132" s="2" t="inlineStr">
        <is>
          <t>modelo+año+km</t>
        </is>
      </c>
      <c r="AW132" s="2" t="n"/>
      <c r="AX132" s="2" t="inlineStr">
        <is>
          <t>cuota fija ITP: &gt;12 años, 1.501-2.000 cc</t>
        </is>
      </c>
      <c r="AY132" s="2" t="inlineStr">
        <is>
          <t xml:space="preserve">ITV HASTA FEBRERO 2027, con todas las revisiones al día.
Motivo de viaje. </t>
        </is>
      </c>
      <c r="AZ132" s="2" t="inlineStr">
        <is>
          <t>https://www.coches.net/peugeot-308-sport-16-vti-120-5p-gasolina-2009-en-valencia-71702102-covo.aspx (window.__INITIAL_PROPS__.ad) /home/user/Alopecia/buscador-coches/raw/cochesnet/dbed3fe3c0bd593d.json</t>
        </is>
      </c>
      <c r="BA132" s="3">
        <f>MAX(ANIO_ACTUAL-M132,0)</f>
        <v/>
      </c>
      <c r="BB132" s="4">
        <f>N132/MAX(BA132,0.5)</f>
        <v/>
      </c>
      <c r="BC132" s="4">
        <f>F132</f>
        <v/>
      </c>
      <c r="BD132" s="3">
        <f>BC132&amp;"|"&amp;INT(M132/SEG_ANIO)*SEG_ANIO</f>
        <v/>
      </c>
      <c r="BE132" s="3">
        <f>BD132&amp;"|"&amp;INT(N132/SEG_KM)*SEG_KM</f>
        <v/>
      </c>
      <c r="BF132" s="4">
        <f>COUNTIF($BC$2:$BC$545,BC132)</f>
        <v/>
      </c>
      <c r="BG132" s="4">
        <f>COUNTIF($BD$2:$BD$545,BD132)</f>
        <v/>
      </c>
      <c r="BH132" s="4">
        <f>COUNTIF($BE$2:$BE$545,BE132)</f>
        <v/>
      </c>
      <c r="BI132" s="3">
        <f t="array" ref="BI132">IF(N(AU132)&gt;=MIN_N,AT132,IF(BH132&gt;=MIN_N,MEDIAN(IF($BE$2:$BE$545=BE132,$O$2:$O$545)),IF(BG132&gt;=MIN_N,MEDIAN(IF($BD$2:$BD$545=BD132,$O$2:$O$545)),MEDIAN(IF($BC$2:$BC$545=BC132,$O$2:$O$545)))))</f>
        <v/>
      </c>
      <c r="BJ132" s="3">
        <f>IF(N(AU132)&gt;=MIN_N,"mercado "&amp;AV132,IF(BH132&gt;=MIN_N,"modelo+año+km",IF(BG132&gt;=MIN_N,"modelo+año","modelo")))</f>
        <v/>
      </c>
      <c r="BK132" s="4">
        <f>(BI132-O132)/BI132</f>
        <v/>
      </c>
      <c r="BL132" s="3">
        <f>IF(COUNTIFS(FR_FUEL,K132,FR_YEAR,AP132)&gt;0,1,0)</f>
        <v/>
      </c>
      <c r="BM132" s="3">
        <f>IF(COUNTIFS(FR_FUEL,K132,FR_YEAR,AP132-1)&gt;0,1,0)</f>
        <v/>
      </c>
      <c r="BN132" s="4">
        <f>IF(N(AQ132)&gt;0,AP132*100+AQ132,IF(AND(BL132=1,BM132=1),(AP132-1)*100+1,AP132*100+1))</f>
        <v/>
      </c>
      <c r="BO132" s="3">
        <f>IF(OR(K132="hibrido",K132="glp",K132="gnc",K132="phev"),"ECO",IF(K132="electrico","CERO",IF(K132="gasolina",IF(BN132&gt;=GAS_C_YM,"C",IF(BN132&gt;=GAS_B_YM,"B","A")),IF(K132="diesel",IF(BN132&gt;=DIE_C_YM,"C",IF(BN132&gt;=DIE_B_YM,"B","A")),""))))</f>
        <v/>
      </c>
      <c r="BP132" s="2" t="inlineStr">
        <is>
          <t>C</t>
        </is>
      </c>
      <c r="BQ132" s="4">
        <f>IF(AS132="regla",IF(AND(N(AQ132)=0,BL132=1),"sí","no"),"no")</f>
        <v/>
      </c>
      <c r="BR132" s="3">
        <f>IFERROR(VLOOKUP(F132,MOD_TBL,11,0),IFERROR(VLOOKUP(E132,OCU_TBL,2,0),NEUTRO))</f>
        <v/>
      </c>
      <c r="BS132" s="3">
        <f>SUMIFS(MOT_AJUSTE,MOT_MOTOR,G132,MOT_MARCA,E132,MOT_DESDE,"&lt;="&amp;M132,MOT_HASTA,"&gt;="&amp;M132)+SUMIFS(MOT_AJUSTE,MOT_MOTOR,G132,MOT_MARCA,"(todas)",MOT_DESDE,"&lt;="&amp;M132,MOT_HASTA,"&gt;="&amp;M132)</f>
        <v/>
      </c>
      <c r="BT132" s="3">
        <f>SUMIFS(COMB_AJUSTE,COMB_COMB,K132)</f>
        <v/>
      </c>
      <c r="BU132" s="3">
        <f>COUNTIFS(MOT_MOTOR,G132,MOT_MARCA,E132,MOT_DESDE,"&lt;="&amp;M132,MOT_HASTA,"&gt;="&amp;M132)+COUNTIFS(MOT_MOTOR,G132,MOT_MARCA,"(todas)",MOT_DESDE,"&lt;="&amp;M132,MOT_HASTA,"&gt;="&amp;M132)</f>
        <v/>
      </c>
      <c r="BV132" s="3">
        <f>IF(AND(K132="diesel",BU132=0),MIN(BR132,NEUTRO),BR132)</f>
        <v/>
      </c>
      <c r="BW132" s="4">
        <f>MAX(0,MIN(100,BV132+BS132+BT132))</f>
        <v/>
      </c>
      <c r="BX132" s="3">
        <f>MAX(0,MIN(100,50+BK132*PRECIO_PEND))</f>
        <v/>
      </c>
      <c r="BY132" s="3">
        <f>MAX(0,100*(1-N132/KM_MAX))</f>
        <v/>
      </c>
      <c r="BZ132" s="3">
        <f>IF(BB132&lt;KMA_SOSP,IF(AA132="sí",100,KMA_PEN),IF(BB132&lt;=KMA_IDEAL_MAX,100,MAX(0,100*(KMA_CERO-BB132)/(KMA_CERO-KMA_IDEAL_MAX))))</f>
        <v/>
      </c>
      <c r="CA132" s="3">
        <f>MAX(0,MIN(100,100*(M132-ANIO_MIN)/(ANIO_ACTUAL-ANIO_MIN)))</f>
        <v/>
      </c>
      <c r="CB132" s="3">
        <f>W_KMT*BY132+W_KMA*BZ132+W_EDAD*CA132</f>
        <v/>
      </c>
      <c r="CC132" s="3">
        <f>P_ITV*(V132="sí")+P_LIBRO*(W132="sí")+P_CORREA*(X132="sí")+P_PROP*(Y132=1)+P_GAR*(Z132="sí")+P_FOTOS*MIN(1,N(U132)/FOTOS_OBJ)</f>
        <v/>
      </c>
      <c r="CD132" s="3">
        <f>MAX(0,MIN(100,IFERROR(VLOOKUP(BP132,ETQ_TBL,2,0),0)-IF(BQ132="sí",ETQ_PEN_DUD,IF(AS132="regla",ETQ_PEN_REGLA,0))))</f>
        <v/>
      </c>
      <c r="CE132" s="3">
        <f>NEUTRO</f>
        <v/>
      </c>
      <c r="CF132" s="3">
        <f>IFERROR(VLOOKUP(L132,SEGURO_TBL,3,0),"")</f>
        <v/>
      </c>
      <c r="CG132" s="3">
        <f>IF(CF132="",NEUTRO,MAX(0,MIN(100,100*(SEG_REF_MAX-CF132)/(SEG_REF_MAX-SEG_REF_MIN))))</f>
        <v/>
      </c>
      <c r="CH132" s="3">
        <f>W_CONS*CE132+W_SEG*CG132</f>
        <v/>
      </c>
      <c r="CI132" s="3">
        <f>IF(N(AB132)&gt;0,AB132,IF(AND(R132="profesional",SG_LEGAL_ON=1),GAR_LEGAL,0))</f>
        <v/>
      </c>
      <c r="CJ132" s="3">
        <f>SG_GAR*MIN(1,CI132/SG_GAR_FULL)+SG_AMPL*(AC132="sí")+SG_KMC*(AF132="sí")+SG_REV*(N(AE132)&gt;0)+SG_DEV*MIN(1,N(AG132)/SG_DEV_FULL)+SG_HIST*(W132="sí")</f>
        <v/>
      </c>
      <c r="CK132" s="3">
        <f>IFERROR(VLOOKUP(L132,CARR_PEN_TBL,2,0),0)</f>
        <v/>
      </c>
      <c r="CL132" s="3">
        <f>W_FIAB*BW132+W_PRECIO*BX132+W_KMEDAD*CB132+W_ANUNCIO*CC132+W_USO*CH132+W_SEGURIDAD*CJ132+W_ETIQUETA*CD132-CK132</f>
        <v/>
      </c>
      <c r="CM132" s="4">
        <f>IF(N(I132)&gt;0,I132,IFERROR(ROUND(_xlfn.NUMBERVALUE(LEFT(G132,FIND(" ",G132&amp;" ")-1),".")*1000,0),99999))</f>
        <v/>
      </c>
      <c r="CN132" s="3">
        <f>IF(R132="profesional",0,IF(O132&lt;CUOTA_VALOR_MAX,IF(BA132&gt;ITP_TRAMO_ALTO,SUMIFS(CF_CUOTA,CF_MAS,ITP_TRAMO_ALTO,CF_CCMIN,"&lt;="&amp;CM132,CF_CCMAX,"&gt;="&amp;CM132),IF(BA132&gt;ITP_TRAMO_BAJO,SUMIFS(CF_CUOTA,CF_MAS,ITP_TRAMO_BAJO,CF_CCMIN,"&lt;="&amp;CM132,CF_CCMAX,"&gt;="&amp;CM132),O132*ITP_TIPO)),O132*ITP_TIPO))</f>
        <v/>
      </c>
      <c r="CO132" s="4">
        <f>IF(R132="profesional",N(AK132),0)</f>
        <v/>
      </c>
      <c r="CP132" s="3">
        <f>IF(AND(R132="profesional",ISNUMBER(AK132),AL132="sí"),0,TASA_DGT)</f>
        <v/>
      </c>
      <c r="CQ132" s="3">
        <f>INFORME_DGT</f>
        <v/>
      </c>
      <c r="CR132" s="4">
        <f>O132+CO132+CN132+CP132+CQ132</f>
        <v/>
      </c>
      <c r="CS132" s="4">
        <f>CR132+N(CF132)</f>
        <v/>
      </c>
      <c r="CT132" s="3">
        <f>IF(CR132&lt;=TOTAL_MAX,"sí",IF(CR132&lt;=TOTAL_MAX+MARGEN_NEG,"negociar","no"))</f>
        <v/>
      </c>
      <c r="CU132" s="4">
        <f>IF(CT132&lt;&gt;"no",COUNTIFS($CT$2:$CT$545,"&lt;&gt;no",$CL$2:$CL$545,"&gt;"&amp;CL132)+COUNTIFS($CT$2:CT132,"&lt;&gt;no",$CL$2:CL132,CL132),"")</f>
        <v/>
      </c>
    </row>
    <row r="133">
      <c r="A133" s="2" t="inlineStr">
        <is>
          <t>cochesnet:70283612</t>
        </is>
      </c>
      <c r="B133" s="2" t="inlineStr">
        <is>
          <t>cochesnet</t>
        </is>
      </c>
      <c r="C133" s="2" t="inlineStr">
        <is>
          <t>https://www.coches.net/peugeot-308-diesel-2009-en-valencia-70283612-covo.aspx</t>
        </is>
      </c>
      <c r="D133" s="2" t="inlineStr">
        <is>
          <t>PEUGEOT 308</t>
        </is>
      </c>
      <c r="E133" s="2" t="inlineStr">
        <is>
          <t>Peugeot</t>
        </is>
      </c>
      <c r="F133" s="2" t="inlineStr">
        <is>
          <t>Peugeot 308</t>
        </is>
      </c>
      <c r="G133" s="2" t="n"/>
      <c r="H133" s="2" t="n"/>
      <c r="I133" s="2" t="n"/>
      <c r="J133" s="2" t="n"/>
      <c r="K133" s="2" t="inlineStr">
        <is>
          <t>diesel</t>
        </is>
      </c>
      <c r="L133" s="2" t="inlineStr">
        <is>
          <t>compacto</t>
        </is>
      </c>
      <c r="M133" s="2" t="n">
        <v>2009</v>
      </c>
      <c r="N133" s="2" t="n">
        <v>198000</v>
      </c>
      <c r="O133" s="2" t="n">
        <v>3000</v>
      </c>
      <c r="P133" s="2" t="n"/>
      <c r="Q133" s="2" t="n"/>
      <c r="R133" s="2" t="inlineStr">
        <is>
          <t>particular</t>
        </is>
      </c>
      <c r="S133" s="2" t="n"/>
      <c r="T133" s="2" t="inlineStr">
        <is>
          <t>2026-03-26T16:05:12Z</t>
        </is>
      </c>
      <c r="U133" s="2" t="n">
        <v>6</v>
      </c>
      <c r="V133" s="2" t="n"/>
      <c r="W133" s="2" t="n"/>
      <c r="X133" s="2" t="n"/>
      <c r="Y133" s="2" t="n"/>
      <c r="Z133" s="2" t="inlineStr">
        <is>
          <t>no</t>
        </is>
      </c>
      <c r="AA133" s="2" t="n"/>
      <c r="AB133" s="2" t="n"/>
      <c r="AC133" s="2" t="n"/>
      <c r="AD133" s="2" t="n"/>
      <c r="AE133" s="2" t="n"/>
      <c r="AF133" s="2" t="n"/>
      <c r="AG133" s="2" t="n"/>
      <c r="AH133" s="2" t="n">
        <v>3000</v>
      </c>
      <c r="AI133" s="2" t="n"/>
      <c r="AJ133" s="2" t="n"/>
      <c r="AK133" s="2" t="n"/>
      <c r="AL133" s="2" t="n"/>
      <c r="AM133" s="2" t="n"/>
      <c r="AN133" s="2" t="n"/>
      <c r="AO133" s="2" t="inlineStr">
        <is>
          <t>2009</t>
        </is>
      </c>
      <c r="AP133" s="2" t="n">
        <v>2009</v>
      </c>
      <c r="AQ133" s="2" t="n"/>
      <c r="AR133" s="2" t="n"/>
      <c r="AS133" s="2" t="inlineStr">
        <is>
          <t>regla</t>
        </is>
      </c>
      <c r="AT133" s="2" t="n">
        <v>4000</v>
      </c>
      <c r="AU133" s="2" t="n">
        <v>5</v>
      </c>
      <c r="AV133" s="2" t="inlineStr">
        <is>
          <t>modelo+año+km</t>
        </is>
      </c>
      <c r="AW133" s="2" t="n"/>
      <c r="AX133"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33" s="2" t="inlineStr"/>
      <c r="AZ133" s="2" t="inlineStr">
        <is>
          <t>https://www.coches.net/peugeot/308/segunda-mano/valencia/?pg=6 /home/user/Alopecia/buscador-coches/raw/cochesnet/5a4db14a8c59680d.json</t>
        </is>
      </c>
      <c r="BA133" s="3">
        <f>MAX(ANIO_ACTUAL-M133,0)</f>
        <v/>
      </c>
      <c r="BB133" s="4">
        <f>N133/MAX(BA133,0.5)</f>
        <v/>
      </c>
      <c r="BC133" s="4">
        <f>F133</f>
        <v/>
      </c>
      <c r="BD133" s="3">
        <f>BC133&amp;"|"&amp;INT(M133/SEG_ANIO)*SEG_ANIO</f>
        <v/>
      </c>
      <c r="BE133" s="3">
        <f>BD133&amp;"|"&amp;INT(N133/SEG_KM)*SEG_KM</f>
        <v/>
      </c>
      <c r="BF133" s="4">
        <f>COUNTIF($BC$2:$BC$545,BC133)</f>
        <v/>
      </c>
      <c r="BG133" s="4">
        <f>COUNTIF($BD$2:$BD$545,BD133)</f>
        <v/>
      </c>
      <c r="BH133" s="4">
        <f>COUNTIF($BE$2:$BE$545,BE133)</f>
        <v/>
      </c>
      <c r="BI133" s="3">
        <f t="array" ref="BI133">IF(N(AU133)&gt;=MIN_N,AT133,IF(BH133&gt;=MIN_N,MEDIAN(IF($BE$2:$BE$545=BE133,$O$2:$O$545)),IF(BG133&gt;=MIN_N,MEDIAN(IF($BD$2:$BD$545=BD133,$O$2:$O$545)),MEDIAN(IF($BC$2:$BC$545=BC133,$O$2:$O$545)))))</f>
        <v/>
      </c>
      <c r="BJ133" s="3">
        <f>IF(N(AU133)&gt;=MIN_N,"mercado "&amp;AV133,IF(BH133&gt;=MIN_N,"modelo+año+km",IF(BG133&gt;=MIN_N,"modelo+año","modelo")))</f>
        <v/>
      </c>
      <c r="BK133" s="4">
        <f>(BI133-O133)/BI133</f>
        <v/>
      </c>
      <c r="BL133" s="3">
        <f>IF(COUNTIFS(FR_FUEL,K133,FR_YEAR,AP133)&gt;0,1,0)</f>
        <v/>
      </c>
      <c r="BM133" s="3">
        <f>IF(COUNTIFS(FR_FUEL,K133,FR_YEAR,AP133-1)&gt;0,1,0)</f>
        <v/>
      </c>
      <c r="BN133" s="4">
        <f>IF(N(AQ133)&gt;0,AP133*100+AQ133,IF(AND(BL133=1,BM133=1),(AP133-1)*100+1,AP133*100+1))</f>
        <v/>
      </c>
      <c r="BO133" s="3">
        <f>IF(OR(K133="hibrido",K133="glp",K133="gnc",K133="phev"),"ECO",IF(K133="electrico","CERO",IF(K133="gasolina",IF(BN133&gt;=GAS_C_YM,"C",IF(BN133&gt;=GAS_B_YM,"B","A")),IF(K133="diesel",IF(BN133&gt;=DIE_C_YM,"C",IF(BN133&gt;=DIE_B_YM,"B","A")),""))))</f>
        <v/>
      </c>
      <c r="BP133" s="4">
        <f>BO133</f>
        <v/>
      </c>
      <c r="BQ133" s="4">
        <f>IF(AS133="regla",IF(AND(N(AQ133)=0,BL133=1),"sí","no"),"no")</f>
        <v/>
      </c>
      <c r="BR133" s="3">
        <f>IFERROR(VLOOKUP(F133,MOD_TBL,11,0),IFERROR(VLOOKUP(E133,OCU_TBL,2,0),NEUTRO))</f>
        <v/>
      </c>
      <c r="BS133" s="3">
        <f>SUMIFS(MOT_AJUSTE,MOT_MOTOR,G133,MOT_MARCA,E133,MOT_DESDE,"&lt;="&amp;M133,MOT_HASTA,"&gt;="&amp;M133)+SUMIFS(MOT_AJUSTE,MOT_MOTOR,G133,MOT_MARCA,"(todas)",MOT_DESDE,"&lt;="&amp;M133,MOT_HASTA,"&gt;="&amp;M133)</f>
        <v/>
      </c>
      <c r="BT133" s="3">
        <f>SUMIFS(COMB_AJUSTE,COMB_COMB,K133)</f>
        <v/>
      </c>
      <c r="BU133" s="3">
        <f>COUNTIFS(MOT_MOTOR,G133,MOT_MARCA,E133,MOT_DESDE,"&lt;="&amp;M133,MOT_HASTA,"&gt;="&amp;M133)+COUNTIFS(MOT_MOTOR,G133,MOT_MARCA,"(todas)",MOT_DESDE,"&lt;="&amp;M133,MOT_HASTA,"&gt;="&amp;M133)</f>
        <v/>
      </c>
      <c r="BV133" s="3">
        <f>IF(AND(K133="diesel",BU133=0),MIN(BR133,NEUTRO),BR133)</f>
        <v/>
      </c>
      <c r="BW133" s="4">
        <f>MAX(0,MIN(100,BV133+BS133+BT133))</f>
        <v/>
      </c>
      <c r="BX133" s="3">
        <f>MAX(0,MIN(100,50+BK133*PRECIO_PEND))</f>
        <v/>
      </c>
      <c r="BY133" s="3">
        <f>MAX(0,100*(1-N133/KM_MAX))</f>
        <v/>
      </c>
      <c r="BZ133" s="3">
        <f>IF(BB133&lt;KMA_SOSP,IF(AA133="sí",100,KMA_PEN),IF(BB133&lt;=KMA_IDEAL_MAX,100,MAX(0,100*(KMA_CERO-BB133)/(KMA_CERO-KMA_IDEAL_MAX))))</f>
        <v/>
      </c>
      <c r="CA133" s="3">
        <f>MAX(0,MIN(100,100*(M133-ANIO_MIN)/(ANIO_ACTUAL-ANIO_MIN)))</f>
        <v/>
      </c>
      <c r="CB133" s="3">
        <f>W_KMT*BY133+W_KMA*BZ133+W_EDAD*CA133</f>
        <v/>
      </c>
      <c r="CC133" s="3">
        <f>P_ITV*(V133="sí")+P_LIBRO*(W133="sí")+P_CORREA*(X133="sí")+P_PROP*(Y133=1)+P_GAR*(Z133="sí")+P_FOTOS*MIN(1,N(U133)/FOTOS_OBJ)</f>
        <v/>
      </c>
      <c r="CD133" s="3">
        <f>MAX(0,MIN(100,IFERROR(VLOOKUP(BP133,ETQ_TBL,2,0),0)-IF(BQ133="sí",ETQ_PEN_DUD,IF(AS133="regla",ETQ_PEN_REGLA,0))))</f>
        <v/>
      </c>
      <c r="CE133" s="3">
        <f>NEUTRO</f>
        <v/>
      </c>
      <c r="CF133" s="3">
        <f>IFERROR(VLOOKUP(L133,SEGURO_TBL,3,0),"")</f>
        <v/>
      </c>
      <c r="CG133" s="3">
        <f>IF(CF133="",NEUTRO,MAX(0,MIN(100,100*(SEG_REF_MAX-CF133)/(SEG_REF_MAX-SEG_REF_MIN))))</f>
        <v/>
      </c>
      <c r="CH133" s="3">
        <f>W_CONS*CE133+W_SEG*CG133</f>
        <v/>
      </c>
      <c r="CI133" s="3">
        <f>IF(N(AB133)&gt;0,AB133,IF(AND(R133="profesional",SG_LEGAL_ON=1),GAR_LEGAL,0))</f>
        <v/>
      </c>
      <c r="CJ133" s="3">
        <f>SG_GAR*MIN(1,CI133/SG_GAR_FULL)+SG_AMPL*(AC133="sí")+SG_KMC*(AF133="sí")+SG_REV*(N(AE133)&gt;0)+SG_DEV*MIN(1,N(AG133)/SG_DEV_FULL)+SG_HIST*(W133="sí")</f>
        <v/>
      </c>
      <c r="CK133" s="3">
        <f>IFERROR(VLOOKUP(L133,CARR_PEN_TBL,2,0),0)</f>
        <v/>
      </c>
      <c r="CL133" s="3">
        <f>W_FIAB*BW133+W_PRECIO*BX133+W_KMEDAD*CB133+W_ANUNCIO*CC133+W_USO*CH133+W_SEGURIDAD*CJ133+W_ETIQUETA*CD133-CK133</f>
        <v/>
      </c>
      <c r="CM133" s="4">
        <f>IF(N(I133)&gt;0,I133,IFERROR(ROUND(_xlfn.NUMBERVALUE(LEFT(G133,FIND(" ",G133&amp;" ")-1),".")*1000,0),99999))</f>
        <v/>
      </c>
      <c r="CN133" s="3">
        <f>IF(R133="profesional",0,IF(O133&lt;CUOTA_VALOR_MAX,IF(BA133&gt;ITP_TRAMO_ALTO,SUMIFS(CF_CUOTA,CF_MAS,ITP_TRAMO_ALTO,CF_CCMIN,"&lt;="&amp;CM133,CF_CCMAX,"&gt;="&amp;CM133),IF(BA133&gt;ITP_TRAMO_BAJO,SUMIFS(CF_CUOTA,CF_MAS,ITP_TRAMO_BAJO,CF_CCMIN,"&lt;="&amp;CM133,CF_CCMAX,"&gt;="&amp;CM133),O133*ITP_TIPO)),O133*ITP_TIPO))</f>
        <v/>
      </c>
      <c r="CO133" s="4">
        <f>IF(R133="profesional",N(AK133),0)</f>
        <v/>
      </c>
      <c r="CP133" s="3">
        <f>IF(AND(R133="profesional",ISNUMBER(AK133),AL133="sí"),0,TASA_DGT)</f>
        <v/>
      </c>
      <c r="CQ133" s="3">
        <f>INFORME_DGT</f>
        <v/>
      </c>
      <c r="CR133" s="4">
        <f>O133+CO133+CN133+CP133+CQ133</f>
        <v/>
      </c>
      <c r="CS133" s="4">
        <f>CR133+N(CF133)</f>
        <v/>
      </c>
      <c r="CT133" s="3">
        <f>IF(CR133&lt;=TOTAL_MAX,"sí",IF(CR133&lt;=TOTAL_MAX+MARGEN_NEG,"negociar","no"))</f>
        <v/>
      </c>
      <c r="CU133" s="4">
        <f>IF(CT133&lt;&gt;"no",COUNTIFS($CT$2:$CT$545,"&lt;&gt;no",$CL$2:$CL$545,"&gt;"&amp;CL133)+COUNTIFS($CT$2:CT133,"&lt;&gt;no",$CL$2:CL133,CL133),"")</f>
        <v/>
      </c>
    </row>
    <row r="134">
      <c r="A134" s="2" t="inlineStr">
        <is>
          <t>cochesnet:71506230</t>
        </is>
      </c>
      <c r="B134" s="2" t="inlineStr">
        <is>
          <t>cochesnet</t>
        </is>
      </c>
      <c r="C134" s="2" t="inlineStr">
        <is>
          <t>https://www.coches.net/citroen-c3-puretech-82cv-collection-5p-gasolina-2015-en-valencia-71506230-covo.aspx</t>
        </is>
      </c>
      <c r="D134" s="2" t="inlineStr">
        <is>
          <t>CITROEN C3 Puretech Collection</t>
        </is>
      </c>
      <c r="E134" s="2" t="inlineStr">
        <is>
          <t>Citroën</t>
        </is>
      </c>
      <c r="F134" s="2" t="inlineStr">
        <is>
          <t>Citroën C3</t>
        </is>
      </c>
      <c r="G134" s="2" t="inlineStr">
        <is>
          <t>? PureTech</t>
        </is>
      </c>
      <c r="H134" s="2" t="inlineStr">
        <is>
          <t>Puretech 82cv Collection</t>
        </is>
      </c>
      <c r="I134" s="2" t="n"/>
      <c r="J134" s="2" t="n">
        <v>82</v>
      </c>
      <c r="K134" s="2" t="inlineStr">
        <is>
          <t>gasolina</t>
        </is>
      </c>
      <c r="L134" s="2" t="inlineStr">
        <is>
          <t>utilitario</t>
        </is>
      </c>
      <c r="M134" s="2" t="n">
        <v>2015</v>
      </c>
      <c r="N134" s="2" t="n">
        <v>98000</v>
      </c>
      <c r="O134" s="2" t="n">
        <v>3900</v>
      </c>
      <c r="P134" s="2" t="inlineStr">
        <is>
          <t>manual</t>
        </is>
      </c>
      <c r="Q134" s="2" t="inlineStr">
        <is>
          <t>no</t>
        </is>
      </c>
      <c r="R134" s="2" t="inlineStr">
        <is>
          <t>particular</t>
        </is>
      </c>
      <c r="S134" s="2" t="inlineStr">
        <is>
          <t>Rafelbuñol / Rafelbunyol</t>
        </is>
      </c>
      <c r="T134" s="2" t="inlineStr">
        <is>
          <t>2026-09-14T09:42:50Z</t>
        </is>
      </c>
      <c r="U134" s="2" t="n">
        <v>4</v>
      </c>
      <c r="V134" s="2" t="n"/>
      <c r="W134" s="2" t="n"/>
      <c r="X134" s="2" t="n"/>
      <c r="Y134" s="2" t="n"/>
      <c r="Z134" s="2" t="inlineStr">
        <is>
          <t>no</t>
        </is>
      </c>
      <c r="AA134" s="2" t="n"/>
      <c r="AB134" s="2" t="n"/>
      <c r="AC134" s="2" t="n"/>
      <c r="AD134" s="2" t="n"/>
      <c r="AE134" s="2" t="n"/>
      <c r="AF134" s="2" t="n"/>
      <c r="AG134" s="2" t="n"/>
      <c r="AH134" s="2" t="n">
        <v>3900</v>
      </c>
      <c r="AI134" s="2" t="n"/>
      <c r="AJ134" s="2" t="n"/>
      <c r="AK134" s="2" t="n"/>
      <c r="AL134" s="2" t="n"/>
      <c r="AM134" s="2" t="n"/>
      <c r="AN134" s="2" t="n"/>
      <c r="AO134" s="2" t="inlineStr">
        <is>
          <t>2015</t>
        </is>
      </c>
      <c r="AP134" s="2" t="n">
        <v>2015</v>
      </c>
      <c r="AQ134" s="2" t="n"/>
      <c r="AR134" s="2" t="n"/>
      <c r="AS134" s="2" t="inlineStr">
        <is>
          <t>regla</t>
        </is>
      </c>
      <c r="AT134" s="2" t="n">
        <v>5500</v>
      </c>
      <c r="AU134" s="2" t="n">
        <v>17</v>
      </c>
      <c r="AV134" s="2" t="inlineStr">
        <is>
          <t>modelo+año</t>
        </is>
      </c>
      <c r="AW134" s="2" t="n"/>
      <c r="AX134" s="2" t="inlineStr">
        <is>
          <t>cilindrada desconocida: se aplica el tramo de cuota fija más alto; cuota fija ITP: &gt;5 y &lt;=12 años, más de 2.000 cc; distancia no verificable (el anuncio solo indica la provincia): confirmar que está a &lt;= 70 km</t>
        </is>
      </c>
      <c r="AY134" s="2" t="inlineStr">
        <is>
          <t>Vendo mi Citroën C3 PureTech 82 CV Collection porque he cambiado a un SUV familiar y ya no lo necesitamos.
Es un coche muy cómodo y práctico tanto para el día a día como para hacer viajes. Tiene motor 1.2 PureTech de 82 CV, cambio manual y 5 puertas/5 plazas. Tiene un consumo bastante ajustado y es fácil de conducir, especialmente en ciudad.
El coche está en buen estado general, tanto por dentro como por fuera. La carrocería es blanca y el interior está bien cuidado.
Como pequeño detalle, el cristal de la puerta derecha sube un poco más despacio que los demás, aunque funciona perfectamente tanto para subir como para bajar.
Hay que recargar el aire acondicionado. La recarga suele durar unos 2/3 años y cuesta unos 60 euros.
Si quieres más información, fotos o tienes cualquier duda, escríbeme sin problema. También podemos quedar para verlo y probarlo.
FFI: Le acabo de quitar el seguro para pasarlo al coche nuevo.
También le toca pasar la ITV pronto.
Se puede ver sin compromiso.</t>
        </is>
      </c>
      <c r="AZ134" s="2" t="inlineStr">
        <is>
          <t>https://www.coches.net/citroen-c3-puretech-82cv-collection-5p-gasolina-2015-en-valencia-71506230-covo.aspx (window.__INITIAL_PROPS__.ad) /home/user/Alopecia/buscador-coches/raw/cochesnet/35b16581acf35805.json</t>
        </is>
      </c>
      <c r="BA134" s="3">
        <f>MAX(ANIO_ACTUAL-M134,0)</f>
        <v/>
      </c>
      <c r="BB134" s="4">
        <f>N134/MAX(BA134,0.5)</f>
        <v/>
      </c>
      <c r="BC134" s="4">
        <f>F134</f>
        <v/>
      </c>
      <c r="BD134" s="3">
        <f>BC134&amp;"|"&amp;INT(M134/SEG_ANIO)*SEG_ANIO</f>
        <v/>
      </c>
      <c r="BE134" s="3">
        <f>BD134&amp;"|"&amp;INT(N134/SEG_KM)*SEG_KM</f>
        <v/>
      </c>
      <c r="BF134" s="4">
        <f>COUNTIF($BC$2:$BC$545,BC134)</f>
        <v/>
      </c>
      <c r="BG134" s="4">
        <f>COUNTIF($BD$2:$BD$545,BD134)</f>
        <v/>
      </c>
      <c r="BH134" s="4">
        <f>COUNTIF($BE$2:$BE$545,BE134)</f>
        <v/>
      </c>
      <c r="BI134" s="3">
        <f t="array" ref="BI134">IF(N(AU134)&gt;=MIN_N,AT134,IF(BH134&gt;=MIN_N,MEDIAN(IF($BE$2:$BE$545=BE134,$O$2:$O$545)),IF(BG134&gt;=MIN_N,MEDIAN(IF($BD$2:$BD$545=BD134,$O$2:$O$545)),MEDIAN(IF($BC$2:$BC$545=BC134,$O$2:$O$545)))))</f>
        <v/>
      </c>
      <c r="BJ134" s="3">
        <f>IF(N(AU134)&gt;=MIN_N,"mercado "&amp;AV134,IF(BH134&gt;=MIN_N,"modelo+año+km",IF(BG134&gt;=MIN_N,"modelo+año","modelo")))</f>
        <v/>
      </c>
      <c r="BK134" s="4">
        <f>(BI134-O134)/BI134</f>
        <v/>
      </c>
      <c r="BL134" s="3">
        <f>IF(COUNTIFS(FR_FUEL,K134,FR_YEAR,AP134)&gt;0,1,0)</f>
        <v/>
      </c>
      <c r="BM134" s="3">
        <f>IF(COUNTIFS(FR_FUEL,K134,FR_YEAR,AP134-1)&gt;0,1,0)</f>
        <v/>
      </c>
      <c r="BN134" s="4">
        <f>IF(N(AQ134)&gt;0,AP134*100+AQ134,IF(AND(BL134=1,BM134=1),(AP134-1)*100+1,AP134*100+1))</f>
        <v/>
      </c>
      <c r="BO134" s="3">
        <f>IF(OR(K134="hibrido",K134="glp",K134="gnc",K134="phev"),"ECO",IF(K134="electrico","CERO",IF(K134="gasolina",IF(BN134&gt;=GAS_C_YM,"C",IF(BN134&gt;=GAS_B_YM,"B","A")),IF(K134="diesel",IF(BN134&gt;=DIE_C_YM,"C",IF(BN134&gt;=DIE_B_YM,"B","A")),""))))</f>
        <v/>
      </c>
      <c r="BP134" s="4">
        <f>BO134</f>
        <v/>
      </c>
      <c r="BQ134" s="4">
        <f>IF(AS134="regla",IF(AND(N(AQ134)=0,BL134=1),"sí","no"),"no")</f>
        <v/>
      </c>
      <c r="BR134" s="3">
        <f>IFERROR(VLOOKUP(F134,MOD_TBL,11,0),IFERROR(VLOOKUP(E134,OCU_TBL,2,0),NEUTRO))</f>
        <v/>
      </c>
      <c r="BS134" s="3">
        <f>SUMIFS(MOT_AJUSTE,MOT_MOTOR,G134,MOT_MARCA,E134,MOT_DESDE,"&lt;="&amp;M134,MOT_HASTA,"&gt;="&amp;M134)+SUMIFS(MOT_AJUSTE,MOT_MOTOR,G134,MOT_MARCA,"(todas)",MOT_DESDE,"&lt;="&amp;M134,MOT_HASTA,"&gt;="&amp;M134)</f>
        <v/>
      </c>
      <c r="BT134" s="3">
        <f>SUMIFS(COMB_AJUSTE,COMB_COMB,K134)</f>
        <v/>
      </c>
      <c r="BU134" s="3">
        <f>COUNTIFS(MOT_MOTOR,G134,MOT_MARCA,E134,MOT_DESDE,"&lt;="&amp;M134,MOT_HASTA,"&gt;="&amp;M134)+COUNTIFS(MOT_MOTOR,G134,MOT_MARCA,"(todas)",MOT_DESDE,"&lt;="&amp;M134,MOT_HASTA,"&gt;="&amp;M134)</f>
        <v/>
      </c>
      <c r="BV134" s="3">
        <f>IF(AND(K134="diesel",BU134=0),MIN(BR134,NEUTRO),BR134)</f>
        <v/>
      </c>
      <c r="BW134" s="4">
        <f>MAX(0,MIN(100,BV134+BS134+BT134))</f>
        <v/>
      </c>
      <c r="BX134" s="3">
        <f>MAX(0,MIN(100,50+BK134*PRECIO_PEND))</f>
        <v/>
      </c>
      <c r="BY134" s="3">
        <f>MAX(0,100*(1-N134/KM_MAX))</f>
        <v/>
      </c>
      <c r="BZ134" s="3">
        <f>IF(BB134&lt;KMA_SOSP,IF(AA134="sí",100,KMA_PEN),IF(BB134&lt;=KMA_IDEAL_MAX,100,MAX(0,100*(KMA_CERO-BB134)/(KMA_CERO-KMA_IDEAL_MAX))))</f>
        <v/>
      </c>
      <c r="CA134" s="3">
        <f>MAX(0,MIN(100,100*(M134-ANIO_MIN)/(ANIO_ACTUAL-ANIO_MIN)))</f>
        <v/>
      </c>
      <c r="CB134" s="3">
        <f>W_KMT*BY134+W_KMA*BZ134+W_EDAD*CA134</f>
        <v/>
      </c>
      <c r="CC134" s="3">
        <f>P_ITV*(V134="sí")+P_LIBRO*(W134="sí")+P_CORREA*(X134="sí")+P_PROP*(Y134=1)+P_GAR*(Z134="sí")+P_FOTOS*MIN(1,N(U134)/FOTOS_OBJ)</f>
        <v/>
      </c>
      <c r="CD134" s="3">
        <f>MAX(0,MIN(100,IFERROR(VLOOKUP(BP134,ETQ_TBL,2,0),0)-IF(BQ134="sí",ETQ_PEN_DUD,IF(AS134="regla",ETQ_PEN_REGLA,0))))</f>
        <v/>
      </c>
      <c r="CE134" s="3">
        <f>NEUTRO</f>
        <v/>
      </c>
      <c r="CF134" s="3">
        <f>IFERROR(VLOOKUP(L134,SEGURO_TBL,3,0),"")</f>
        <v/>
      </c>
      <c r="CG134" s="3">
        <f>IF(CF134="",NEUTRO,MAX(0,MIN(100,100*(SEG_REF_MAX-CF134)/(SEG_REF_MAX-SEG_REF_MIN))))</f>
        <v/>
      </c>
      <c r="CH134" s="3">
        <f>W_CONS*CE134+W_SEG*CG134</f>
        <v/>
      </c>
      <c r="CI134" s="3">
        <f>IF(N(AB134)&gt;0,AB134,IF(AND(R134="profesional",SG_LEGAL_ON=1),GAR_LEGAL,0))</f>
        <v/>
      </c>
      <c r="CJ134" s="3">
        <f>SG_GAR*MIN(1,CI134/SG_GAR_FULL)+SG_AMPL*(AC134="sí")+SG_KMC*(AF134="sí")+SG_REV*(N(AE134)&gt;0)+SG_DEV*MIN(1,N(AG134)/SG_DEV_FULL)+SG_HIST*(W134="sí")</f>
        <v/>
      </c>
      <c r="CK134" s="3">
        <f>IFERROR(VLOOKUP(L134,CARR_PEN_TBL,2,0),0)</f>
        <v/>
      </c>
      <c r="CL134" s="3">
        <f>W_FIAB*BW134+W_PRECIO*BX134+W_KMEDAD*CB134+W_ANUNCIO*CC134+W_USO*CH134+W_SEGURIDAD*CJ134+W_ETIQUETA*CD134-CK134</f>
        <v/>
      </c>
      <c r="CM134" s="4">
        <f>IF(N(I134)&gt;0,I134,IFERROR(ROUND(_xlfn.NUMBERVALUE(LEFT(G134,FIND(" ",G134&amp;" ")-1),".")*1000,0),99999))</f>
        <v/>
      </c>
      <c r="CN134" s="3">
        <f>IF(R134="profesional",0,IF(O134&lt;CUOTA_VALOR_MAX,IF(BA134&gt;ITP_TRAMO_ALTO,SUMIFS(CF_CUOTA,CF_MAS,ITP_TRAMO_ALTO,CF_CCMIN,"&lt;="&amp;CM134,CF_CCMAX,"&gt;="&amp;CM134),IF(BA134&gt;ITP_TRAMO_BAJO,SUMIFS(CF_CUOTA,CF_MAS,ITP_TRAMO_BAJO,CF_CCMIN,"&lt;="&amp;CM134,CF_CCMAX,"&gt;="&amp;CM134),O134*ITP_TIPO)),O134*ITP_TIPO))</f>
        <v/>
      </c>
      <c r="CO134" s="4">
        <f>IF(R134="profesional",N(AK134),0)</f>
        <v/>
      </c>
      <c r="CP134" s="3">
        <f>IF(AND(R134="profesional",ISNUMBER(AK134),AL134="sí"),0,TASA_DGT)</f>
        <v/>
      </c>
      <c r="CQ134" s="3">
        <f>INFORME_DGT</f>
        <v/>
      </c>
      <c r="CR134" s="4">
        <f>O134+CO134+CN134+CP134+CQ134</f>
        <v/>
      </c>
      <c r="CS134" s="4">
        <f>CR134+N(CF134)</f>
        <v/>
      </c>
      <c r="CT134" s="3">
        <f>IF(CR134&lt;=TOTAL_MAX,"sí",IF(CR134&lt;=TOTAL_MAX+MARGEN_NEG,"negociar","no"))</f>
        <v/>
      </c>
      <c r="CU134" s="4">
        <f>IF(CT134&lt;&gt;"no",COUNTIFS($CT$2:$CT$545,"&lt;&gt;no",$CL$2:$CL$545,"&gt;"&amp;CL134)+COUNTIFS($CT$2:CT134,"&lt;&gt;no",$CL$2:CL134,CL134),"")</f>
        <v/>
      </c>
    </row>
    <row r="135">
      <c r="A135" s="2" t="inlineStr">
        <is>
          <t>cochesnet:71537593</t>
        </is>
      </c>
      <c r="B135" s="2" t="inlineStr">
        <is>
          <t>cochesnet</t>
        </is>
      </c>
      <c r="C135" s="2" t="inlineStr">
        <is>
          <t>https://www.coches.net/citroen-c3-diesel-2008-en-valencia-71537593-covo.aspx</t>
        </is>
      </c>
      <c r="D135" s="2" t="inlineStr">
        <is>
          <t>CITROEN C3</t>
        </is>
      </c>
      <c r="E135" s="2" t="inlineStr">
        <is>
          <t>Citroën</t>
        </is>
      </c>
      <c r="F135" s="2" t="inlineStr">
        <is>
          <t>Citroën C3</t>
        </is>
      </c>
      <c r="G135" s="2" t="n"/>
      <c r="H135" s="2" t="n"/>
      <c r="I135" s="2" t="n"/>
      <c r="J135" s="2" t="n"/>
      <c r="K135" s="2" t="inlineStr">
        <is>
          <t>diesel</t>
        </is>
      </c>
      <c r="L135" s="2" t="inlineStr">
        <is>
          <t>utilitario</t>
        </is>
      </c>
      <c r="M135" s="2" t="n">
        <v>2008</v>
      </c>
      <c r="N135" s="2" t="n">
        <v>204200</v>
      </c>
      <c r="O135" s="2" t="n">
        <v>2200</v>
      </c>
      <c r="P135" s="2" t="inlineStr">
        <is>
          <t>manual</t>
        </is>
      </c>
      <c r="Q135" s="2" t="inlineStr">
        <is>
          <t>no</t>
        </is>
      </c>
      <c r="R135" s="2" t="inlineStr">
        <is>
          <t>particular</t>
        </is>
      </c>
      <c r="S135" s="2" t="n"/>
      <c r="T135" s="2" t="inlineStr">
        <is>
          <t>2026-09-17T13:50:30Z</t>
        </is>
      </c>
      <c r="U135" s="2" t="n">
        <v>7</v>
      </c>
      <c r="V135" s="2" t="inlineStr">
        <is>
          <t>sí</t>
        </is>
      </c>
      <c r="W135" s="2" t="n"/>
      <c r="X135" s="2" t="n"/>
      <c r="Y135" s="2" t="n"/>
      <c r="Z135" s="2" t="inlineStr">
        <is>
          <t>no</t>
        </is>
      </c>
      <c r="AA135" s="2" t="n"/>
      <c r="AB135" s="2" t="n"/>
      <c r="AC135" s="2" t="n"/>
      <c r="AD135" s="2" t="n"/>
      <c r="AE135" s="2" t="n"/>
      <c r="AF135" s="2" t="n"/>
      <c r="AG135" s="2" t="n"/>
      <c r="AH135" s="2" t="n">
        <v>2200</v>
      </c>
      <c r="AI135" s="2" t="n"/>
      <c r="AJ135" s="2" t="n"/>
      <c r="AK135" s="2" t="n"/>
      <c r="AL135" s="2" t="n"/>
      <c r="AM135" s="2" t="n"/>
      <c r="AN135" s="2" t="n"/>
      <c r="AO135" s="2" t="inlineStr">
        <is>
          <t>2008</t>
        </is>
      </c>
      <c r="AP135" s="2" t="n">
        <v>2008</v>
      </c>
      <c r="AQ135" s="2" t="n"/>
      <c r="AR135" s="2" t="n"/>
      <c r="AS135" s="2" t="inlineStr">
        <is>
          <t>regla</t>
        </is>
      </c>
      <c r="AT135" s="2" t="n">
        <v>2550</v>
      </c>
      <c r="AU135" s="2" t="n">
        <v>4</v>
      </c>
      <c r="AV135" s="2" t="inlineStr">
        <is>
          <t>modelo+año+km</t>
        </is>
      </c>
      <c r="AW135" s="2" t="n"/>
      <c r="AX13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35" s="2" t="inlineStr">
        <is>
          <t xml:space="preserve">AIre acondicionado, Airbags, ABS,Itv pasada. </t>
        </is>
      </c>
      <c r="AZ135" s="2" t="inlineStr">
        <is>
          <t>https://www.coches.net/citroen-c3-diesel-2008-en-valencia-71537593-covo.aspx (window.__INITIAL_PROPS__.ad) /home/user/Alopecia/buscador-coches/raw/cochesnet/b21b7ae55056e972.json</t>
        </is>
      </c>
      <c r="BA135" s="3">
        <f>MAX(ANIO_ACTUAL-M135,0)</f>
        <v/>
      </c>
      <c r="BB135" s="4">
        <f>N135/MAX(BA135,0.5)</f>
        <v/>
      </c>
      <c r="BC135" s="4">
        <f>F135</f>
        <v/>
      </c>
      <c r="BD135" s="3">
        <f>BC135&amp;"|"&amp;INT(M135/SEG_ANIO)*SEG_ANIO</f>
        <v/>
      </c>
      <c r="BE135" s="3">
        <f>BD135&amp;"|"&amp;INT(N135/SEG_KM)*SEG_KM</f>
        <v/>
      </c>
      <c r="BF135" s="4">
        <f>COUNTIF($BC$2:$BC$545,BC135)</f>
        <v/>
      </c>
      <c r="BG135" s="4">
        <f>COUNTIF($BD$2:$BD$545,BD135)</f>
        <v/>
      </c>
      <c r="BH135" s="4">
        <f>COUNTIF($BE$2:$BE$545,BE135)</f>
        <v/>
      </c>
      <c r="BI135" s="3">
        <f t="array" ref="BI135">IF(N(AU135)&gt;=MIN_N,AT135,IF(BH135&gt;=MIN_N,MEDIAN(IF($BE$2:$BE$545=BE135,$O$2:$O$545)),IF(BG135&gt;=MIN_N,MEDIAN(IF($BD$2:$BD$545=BD135,$O$2:$O$545)),MEDIAN(IF($BC$2:$BC$545=BC135,$O$2:$O$545)))))</f>
        <v/>
      </c>
      <c r="BJ135" s="3">
        <f>IF(N(AU135)&gt;=MIN_N,"mercado "&amp;AV135,IF(BH135&gt;=MIN_N,"modelo+año+km",IF(BG135&gt;=MIN_N,"modelo+año","modelo")))</f>
        <v/>
      </c>
      <c r="BK135" s="4">
        <f>(BI135-O135)/BI135</f>
        <v/>
      </c>
      <c r="BL135" s="3">
        <f>IF(COUNTIFS(FR_FUEL,K135,FR_YEAR,AP135)&gt;0,1,0)</f>
        <v/>
      </c>
      <c r="BM135" s="3">
        <f>IF(COUNTIFS(FR_FUEL,K135,FR_YEAR,AP135-1)&gt;0,1,0)</f>
        <v/>
      </c>
      <c r="BN135" s="4">
        <f>IF(N(AQ135)&gt;0,AP135*100+AQ135,IF(AND(BL135=1,BM135=1),(AP135-1)*100+1,AP135*100+1))</f>
        <v/>
      </c>
      <c r="BO135" s="3">
        <f>IF(OR(K135="hibrido",K135="glp",K135="gnc",K135="phev"),"ECO",IF(K135="electrico","CERO",IF(K135="gasolina",IF(BN135&gt;=GAS_C_YM,"C",IF(BN135&gt;=GAS_B_YM,"B","A")),IF(K135="diesel",IF(BN135&gt;=DIE_C_YM,"C",IF(BN135&gt;=DIE_B_YM,"B","A")),""))))</f>
        <v/>
      </c>
      <c r="BP135" s="4">
        <f>BO135</f>
        <v/>
      </c>
      <c r="BQ135" s="4">
        <f>IF(AS135="regla",IF(AND(N(AQ135)=0,BL135=1),"sí","no"),"no")</f>
        <v/>
      </c>
      <c r="BR135" s="3">
        <f>IFERROR(VLOOKUP(F135,MOD_TBL,11,0),IFERROR(VLOOKUP(E135,OCU_TBL,2,0),NEUTRO))</f>
        <v/>
      </c>
      <c r="BS135" s="3">
        <f>SUMIFS(MOT_AJUSTE,MOT_MOTOR,G135,MOT_MARCA,E135,MOT_DESDE,"&lt;="&amp;M135,MOT_HASTA,"&gt;="&amp;M135)+SUMIFS(MOT_AJUSTE,MOT_MOTOR,G135,MOT_MARCA,"(todas)",MOT_DESDE,"&lt;="&amp;M135,MOT_HASTA,"&gt;="&amp;M135)</f>
        <v/>
      </c>
      <c r="BT135" s="3">
        <f>SUMIFS(COMB_AJUSTE,COMB_COMB,K135)</f>
        <v/>
      </c>
      <c r="BU135" s="3">
        <f>COUNTIFS(MOT_MOTOR,G135,MOT_MARCA,E135,MOT_DESDE,"&lt;="&amp;M135,MOT_HASTA,"&gt;="&amp;M135)+COUNTIFS(MOT_MOTOR,G135,MOT_MARCA,"(todas)",MOT_DESDE,"&lt;="&amp;M135,MOT_HASTA,"&gt;="&amp;M135)</f>
        <v/>
      </c>
      <c r="BV135" s="3">
        <f>IF(AND(K135="diesel",BU135=0),MIN(BR135,NEUTRO),BR135)</f>
        <v/>
      </c>
      <c r="BW135" s="4">
        <f>MAX(0,MIN(100,BV135+BS135+BT135))</f>
        <v/>
      </c>
      <c r="BX135" s="3">
        <f>MAX(0,MIN(100,50+BK135*PRECIO_PEND))</f>
        <v/>
      </c>
      <c r="BY135" s="3">
        <f>MAX(0,100*(1-N135/KM_MAX))</f>
        <v/>
      </c>
      <c r="BZ135" s="3">
        <f>IF(BB135&lt;KMA_SOSP,IF(AA135="sí",100,KMA_PEN),IF(BB135&lt;=KMA_IDEAL_MAX,100,MAX(0,100*(KMA_CERO-BB135)/(KMA_CERO-KMA_IDEAL_MAX))))</f>
        <v/>
      </c>
      <c r="CA135" s="3">
        <f>MAX(0,MIN(100,100*(M135-ANIO_MIN)/(ANIO_ACTUAL-ANIO_MIN)))</f>
        <v/>
      </c>
      <c r="CB135" s="3">
        <f>W_KMT*BY135+W_KMA*BZ135+W_EDAD*CA135</f>
        <v/>
      </c>
      <c r="CC135" s="3">
        <f>P_ITV*(V135="sí")+P_LIBRO*(W135="sí")+P_CORREA*(X135="sí")+P_PROP*(Y135=1)+P_GAR*(Z135="sí")+P_FOTOS*MIN(1,N(U135)/FOTOS_OBJ)</f>
        <v/>
      </c>
      <c r="CD135" s="3">
        <f>MAX(0,MIN(100,IFERROR(VLOOKUP(BP135,ETQ_TBL,2,0),0)-IF(BQ135="sí",ETQ_PEN_DUD,IF(AS135="regla",ETQ_PEN_REGLA,0))))</f>
        <v/>
      </c>
      <c r="CE135" s="3">
        <f>NEUTRO</f>
        <v/>
      </c>
      <c r="CF135" s="3">
        <f>IFERROR(VLOOKUP(L135,SEGURO_TBL,3,0),"")</f>
        <v/>
      </c>
      <c r="CG135" s="3">
        <f>IF(CF135="",NEUTRO,MAX(0,MIN(100,100*(SEG_REF_MAX-CF135)/(SEG_REF_MAX-SEG_REF_MIN))))</f>
        <v/>
      </c>
      <c r="CH135" s="3">
        <f>W_CONS*CE135+W_SEG*CG135</f>
        <v/>
      </c>
      <c r="CI135" s="3">
        <f>IF(N(AB135)&gt;0,AB135,IF(AND(R135="profesional",SG_LEGAL_ON=1),GAR_LEGAL,0))</f>
        <v/>
      </c>
      <c r="CJ135" s="3">
        <f>SG_GAR*MIN(1,CI135/SG_GAR_FULL)+SG_AMPL*(AC135="sí")+SG_KMC*(AF135="sí")+SG_REV*(N(AE135)&gt;0)+SG_DEV*MIN(1,N(AG135)/SG_DEV_FULL)+SG_HIST*(W135="sí")</f>
        <v/>
      </c>
      <c r="CK135" s="3">
        <f>IFERROR(VLOOKUP(L135,CARR_PEN_TBL,2,0),0)</f>
        <v/>
      </c>
      <c r="CL135" s="3">
        <f>W_FIAB*BW135+W_PRECIO*BX135+W_KMEDAD*CB135+W_ANUNCIO*CC135+W_USO*CH135+W_SEGURIDAD*CJ135+W_ETIQUETA*CD135-CK135</f>
        <v/>
      </c>
      <c r="CM135" s="4">
        <f>IF(N(I135)&gt;0,I135,IFERROR(ROUND(_xlfn.NUMBERVALUE(LEFT(G135,FIND(" ",G135&amp;" ")-1),".")*1000,0),99999))</f>
        <v/>
      </c>
      <c r="CN135" s="3">
        <f>IF(R135="profesional",0,IF(O135&lt;CUOTA_VALOR_MAX,IF(BA135&gt;ITP_TRAMO_ALTO,SUMIFS(CF_CUOTA,CF_MAS,ITP_TRAMO_ALTO,CF_CCMIN,"&lt;="&amp;CM135,CF_CCMAX,"&gt;="&amp;CM135),IF(BA135&gt;ITP_TRAMO_BAJO,SUMIFS(CF_CUOTA,CF_MAS,ITP_TRAMO_BAJO,CF_CCMIN,"&lt;="&amp;CM135,CF_CCMAX,"&gt;="&amp;CM135),O135*ITP_TIPO)),O135*ITP_TIPO))</f>
        <v/>
      </c>
      <c r="CO135" s="4">
        <f>IF(R135="profesional",N(AK135),0)</f>
        <v/>
      </c>
      <c r="CP135" s="3">
        <f>IF(AND(R135="profesional",ISNUMBER(AK135),AL135="sí"),0,TASA_DGT)</f>
        <v/>
      </c>
      <c r="CQ135" s="3">
        <f>INFORME_DGT</f>
        <v/>
      </c>
      <c r="CR135" s="4">
        <f>O135+CO135+CN135+CP135+CQ135</f>
        <v/>
      </c>
      <c r="CS135" s="4">
        <f>CR135+N(CF135)</f>
        <v/>
      </c>
      <c r="CT135" s="3">
        <f>IF(CR135&lt;=TOTAL_MAX,"sí",IF(CR135&lt;=TOTAL_MAX+MARGEN_NEG,"negociar","no"))</f>
        <v/>
      </c>
      <c r="CU135" s="4">
        <f>IF(CT135&lt;&gt;"no",COUNTIFS($CT$2:$CT$545,"&lt;&gt;no",$CL$2:$CL$545,"&gt;"&amp;CL135)+COUNTIFS($CT$2:CT135,"&lt;&gt;no",$CL$2:CL135,CL135),"")</f>
        <v/>
      </c>
    </row>
    <row r="136">
      <c r="A136" s="2" t="inlineStr">
        <is>
          <t>cochesnet:71580818</t>
        </is>
      </c>
      <c r="B136" s="2" t="inlineStr">
        <is>
          <t>cochesnet</t>
        </is>
      </c>
      <c r="C136" s="2" t="inlineStr">
        <is>
          <t>https://www.coches.net/citroen-c4-14-16v-lx-5p-gasolina-2005-en-valencia-71580818-covo.aspx</t>
        </is>
      </c>
      <c r="D136" s="2" t="inlineStr">
        <is>
          <t>CITROEN C4 1.4 16v LX</t>
        </is>
      </c>
      <c r="E136" s="2" t="inlineStr">
        <is>
          <t>Citroën</t>
        </is>
      </c>
      <c r="F136" s="2" t="inlineStr">
        <is>
          <t>Citroën C4</t>
        </is>
      </c>
      <c r="G136" s="2" t="inlineStr">
        <is>
          <t>1.4</t>
        </is>
      </c>
      <c r="H136" s="2" t="inlineStr">
        <is>
          <t>1.4 16v LX</t>
        </is>
      </c>
      <c r="I136" s="2" t="n"/>
      <c r="J136" s="2" t="n"/>
      <c r="K136" s="2" t="inlineStr">
        <is>
          <t>gasolina</t>
        </is>
      </c>
      <c r="L136" s="2" t="inlineStr">
        <is>
          <t>compacto</t>
        </is>
      </c>
      <c r="M136" s="2" t="n">
        <v>2008</v>
      </c>
      <c r="N136" s="2" t="n">
        <v>148000</v>
      </c>
      <c r="O136" s="2" t="n">
        <v>4390</v>
      </c>
      <c r="P136" s="2" t="inlineStr">
        <is>
          <t>manual</t>
        </is>
      </c>
      <c r="Q136" s="2" t="inlineStr">
        <is>
          <t>no</t>
        </is>
      </c>
      <c r="R136" s="2" t="inlineStr">
        <is>
          <t>profesional</t>
        </is>
      </c>
      <c r="S136" s="2" t="inlineStr">
        <is>
          <t>Only Cars Valencia Aldaia</t>
        </is>
      </c>
      <c r="T136" s="2" t="inlineStr">
        <is>
          <t>2026-09-23T13:56:52Z</t>
        </is>
      </c>
      <c r="U136" s="2" t="n">
        <v>11</v>
      </c>
      <c r="V136" s="2" t="n"/>
      <c r="W136" s="2" t="n"/>
      <c r="X136" s="2" t="n"/>
      <c r="Y136" s="2" t="n">
        <v>1</v>
      </c>
      <c r="Z136" s="2" t="inlineStr">
        <is>
          <t>sí</t>
        </is>
      </c>
      <c r="AA136" s="2" t="n"/>
      <c r="AB136" s="2" t="n">
        <v>12</v>
      </c>
      <c r="AC136" s="2" t="n"/>
      <c r="AD136" s="2" t="n"/>
      <c r="AE136" s="2" t="n"/>
      <c r="AF136" s="2" t="n"/>
      <c r="AG136" s="2" t="n"/>
      <c r="AH136" s="2" t="n">
        <v>4390</v>
      </c>
      <c r="AI136" s="2" t="n"/>
      <c r="AJ136" s="2" t="n"/>
      <c r="AK136" s="2" t="n"/>
      <c r="AL136" s="2" t="n"/>
      <c r="AM136" s="2" t="n">
        <v>7.5</v>
      </c>
      <c r="AN136" s="2" t="n"/>
      <c r="AO136" s="2" t="inlineStr">
        <is>
          <t>2008</t>
        </is>
      </c>
      <c r="AP136" s="2" t="n">
        <v>2008</v>
      </c>
      <c r="AQ136" s="2" t="n"/>
      <c r="AR136" s="2" t="inlineStr">
        <is>
          <t>C</t>
        </is>
      </c>
      <c r="AS136" s="2" t="inlineStr">
        <is>
          <t>anuncio</t>
        </is>
      </c>
      <c r="AT136" s="2" t="n">
        <v>3797</v>
      </c>
      <c r="AU136" s="2" t="n">
        <v>9</v>
      </c>
      <c r="AV136" s="2" t="inlineStr">
        <is>
          <t>modelo+año+km</t>
        </is>
      </c>
      <c r="AW136" s="2" t="n"/>
      <c r="AX136" s="2" t="inlineStr">
        <is>
          <t>vendedor profesional: sin ITP (operación con IVA/REBU, confirmar en factura); gastos de gestión del vendedor no indicados: se suma la tasa DGT; preguntar el precio final; fiabilidad del modelo PENDIENTE de fuente (puntuación neutra)</t>
        </is>
      </c>
      <c r="AY136" s="2" t="inlineStr">
        <is>
          <t>Citroen C4 1.4 LX año 2008 con 148.000Kms 88CV.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136" s="2" t="inlineStr">
        <is>
          <t>https://www.coches.net/citroen-c4-14-16v-lx-5p-gasolina-2005-en-valencia-71580818-covo.aspx (window.__INITIAL_PROPS__.ad) /home/user/Alopecia/buscador-coches/raw/cochesnet/50707d9d0aa0d3c2.json</t>
        </is>
      </c>
      <c r="BA136" s="3">
        <f>MAX(ANIO_ACTUAL-M136,0)</f>
        <v/>
      </c>
      <c r="BB136" s="4">
        <f>N136/MAX(BA136,0.5)</f>
        <v/>
      </c>
      <c r="BC136" s="4">
        <f>F136</f>
        <v/>
      </c>
      <c r="BD136" s="3">
        <f>BC136&amp;"|"&amp;INT(M136/SEG_ANIO)*SEG_ANIO</f>
        <v/>
      </c>
      <c r="BE136" s="3">
        <f>BD136&amp;"|"&amp;INT(N136/SEG_KM)*SEG_KM</f>
        <v/>
      </c>
      <c r="BF136" s="4">
        <f>COUNTIF($BC$2:$BC$545,BC136)</f>
        <v/>
      </c>
      <c r="BG136" s="4">
        <f>COUNTIF($BD$2:$BD$545,BD136)</f>
        <v/>
      </c>
      <c r="BH136" s="4">
        <f>COUNTIF($BE$2:$BE$545,BE136)</f>
        <v/>
      </c>
      <c r="BI136" s="3">
        <f t="array" ref="BI136">IF(N(AU136)&gt;=MIN_N,AT136,IF(BH136&gt;=MIN_N,MEDIAN(IF($BE$2:$BE$545=BE136,$O$2:$O$545)),IF(BG136&gt;=MIN_N,MEDIAN(IF($BD$2:$BD$545=BD136,$O$2:$O$545)),MEDIAN(IF($BC$2:$BC$545=BC136,$O$2:$O$545)))))</f>
        <v/>
      </c>
      <c r="BJ136" s="3">
        <f>IF(N(AU136)&gt;=MIN_N,"mercado "&amp;AV136,IF(BH136&gt;=MIN_N,"modelo+año+km",IF(BG136&gt;=MIN_N,"modelo+año","modelo")))</f>
        <v/>
      </c>
      <c r="BK136" s="4">
        <f>(BI136-O136)/BI136</f>
        <v/>
      </c>
      <c r="BL136" s="3">
        <f>IF(COUNTIFS(FR_FUEL,K136,FR_YEAR,AP136)&gt;0,1,0)</f>
        <v/>
      </c>
      <c r="BM136" s="3">
        <f>IF(COUNTIFS(FR_FUEL,K136,FR_YEAR,AP136-1)&gt;0,1,0)</f>
        <v/>
      </c>
      <c r="BN136" s="4">
        <f>IF(N(AQ136)&gt;0,AP136*100+AQ136,IF(AND(BL136=1,BM136=1),(AP136-1)*100+1,AP136*100+1))</f>
        <v/>
      </c>
      <c r="BO136" s="3">
        <f>IF(OR(K136="hibrido",K136="glp",K136="gnc",K136="phev"),"ECO",IF(K136="electrico","CERO",IF(K136="gasolina",IF(BN136&gt;=GAS_C_YM,"C",IF(BN136&gt;=GAS_B_YM,"B","A")),IF(K136="diesel",IF(BN136&gt;=DIE_C_YM,"C",IF(BN136&gt;=DIE_B_YM,"B","A")),""))))</f>
        <v/>
      </c>
      <c r="BP136" s="2" t="inlineStr">
        <is>
          <t>C</t>
        </is>
      </c>
      <c r="BQ136" s="4">
        <f>IF(AS136="regla",IF(AND(N(AQ136)=0,BL136=1),"sí","no"),"no")</f>
        <v/>
      </c>
      <c r="BR136" s="3">
        <f>IFERROR(VLOOKUP(F136,MOD_TBL,11,0),IFERROR(VLOOKUP(E136,OCU_TBL,2,0),NEUTRO))</f>
        <v/>
      </c>
      <c r="BS136" s="3">
        <f>SUMIFS(MOT_AJUSTE,MOT_MOTOR,G136,MOT_MARCA,E136,MOT_DESDE,"&lt;="&amp;M136,MOT_HASTA,"&gt;="&amp;M136)+SUMIFS(MOT_AJUSTE,MOT_MOTOR,G136,MOT_MARCA,"(todas)",MOT_DESDE,"&lt;="&amp;M136,MOT_HASTA,"&gt;="&amp;M136)</f>
        <v/>
      </c>
      <c r="BT136" s="3">
        <f>SUMIFS(COMB_AJUSTE,COMB_COMB,K136)</f>
        <v/>
      </c>
      <c r="BU136" s="3">
        <f>COUNTIFS(MOT_MOTOR,G136,MOT_MARCA,E136,MOT_DESDE,"&lt;="&amp;M136,MOT_HASTA,"&gt;="&amp;M136)+COUNTIFS(MOT_MOTOR,G136,MOT_MARCA,"(todas)",MOT_DESDE,"&lt;="&amp;M136,MOT_HASTA,"&gt;="&amp;M136)</f>
        <v/>
      </c>
      <c r="BV136" s="3">
        <f>IF(AND(K136="diesel",BU136=0),MIN(BR136,NEUTRO),BR136)</f>
        <v/>
      </c>
      <c r="BW136" s="4">
        <f>MAX(0,MIN(100,BV136+BS136+BT136))</f>
        <v/>
      </c>
      <c r="BX136" s="3">
        <f>MAX(0,MIN(100,50+BK136*PRECIO_PEND))</f>
        <v/>
      </c>
      <c r="BY136" s="3">
        <f>MAX(0,100*(1-N136/KM_MAX))</f>
        <v/>
      </c>
      <c r="BZ136" s="3">
        <f>IF(BB136&lt;KMA_SOSP,IF(AA136="sí",100,KMA_PEN),IF(BB136&lt;=KMA_IDEAL_MAX,100,MAX(0,100*(KMA_CERO-BB136)/(KMA_CERO-KMA_IDEAL_MAX))))</f>
        <v/>
      </c>
      <c r="CA136" s="3">
        <f>MAX(0,MIN(100,100*(M136-ANIO_MIN)/(ANIO_ACTUAL-ANIO_MIN)))</f>
        <v/>
      </c>
      <c r="CB136" s="3">
        <f>W_KMT*BY136+W_KMA*BZ136+W_EDAD*CA136</f>
        <v/>
      </c>
      <c r="CC136" s="3">
        <f>P_ITV*(V136="sí")+P_LIBRO*(W136="sí")+P_CORREA*(X136="sí")+P_PROP*(Y136=1)+P_GAR*(Z136="sí")+P_FOTOS*MIN(1,N(U136)/FOTOS_OBJ)</f>
        <v/>
      </c>
      <c r="CD136" s="3">
        <f>MAX(0,MIN(100,IFERROR(VLOOKUP(BP136,ETQ_TBL,2,0),0)-IF(BQ136="sí",ETQ_PEN_DUD,IF(AS136="regla",ETQ_PEN_REGLA,0))))</f>
        <v/>
      </c>
      <c r="CE136" s="3">
        <f>NEUTRO</f>
        <v/>
      </c>
      <c r="CF136" s="3">
        <f>IFERROR(VLOOKUP(L136,SEGURO_TBL,3,0),"")</f>
        <v/>
      </c>
      <c r="CG136" s="3">
        <f>IF(CF136="",NEUTRO,MAX(0,MIN(100,100*(SEG_REF_MAX-CF136)/(SEG_REF_MAX-SEG_REF_MIN))))</f>
        <v/>
      </c>
      <c r="CH136" s="3">
        <f>W_CONS*CE136+W_SEG*CG136</f>
        <v/>
      </c>
      <c r="CI136" s="3">
        <f>IF(N(AB136)&gt;0,AB136,IF(AND(R136="profesional",SG_LEGAL_ON=1),GAR_LEGAL,0))</f>
        <v/>
      </c>
      <c r="CJ136" s="3">
        <f>SG_GAR*MIN(1,CI136/SG_GAR_FULL)+SG_AMPL*(AC136="sí")+SG_KMC*(AF136="sí")+SG_REV*(N(AE136)&gt;0)+SG_DEV*MIN(1,N(AG136)/SG_DEV_FULL)+SG_HIST*(W136="sí")</f>
        <v/>
      </c>
      <c r="CK136" s="3">
        <f>IFERROR(VLOOKUP(L136,CARR_PEN_TBL,2,0),0)</f>
        <v/>
      </c>
      <c r="CL136" s="3">
        <f>W_FIAB*BW136+W_PRECIO*BX136+W_KMEDAD*CB136+W_ANUNCIO*CC136+W_USO*CH136+W_SEGURIDAD*CJ136+W_ETIQUETA*CD136-CK136</f>
        <v/>
      </c>
      <c r="CM136" s="4">
        <f>IF(N(I136)&gt;0,I136,IFERROR(ROUND(_xlfn.NUMBERVALUE(LEFT(G136,FIND(" ",G136&amp;" ")-1),".")*1000,0),99999))</f>
        <v/>
      </c>
      <c r="CN136" s="3">
        <f>IF(R136="profesional",0,IF(O136&lt;CUOTA_VALOR_MAX,IF(BA136&gt;ITP_TRAMO_ALTO,SUMIFS(CF_CUOTA,CF_MAS,ITP_TRAMO_ALTO,CF_CCMIN,"&lt;="&amp;CM136,CF_CCMAX,"&gt;="&amp;CM136),IF(BA136&gt;ITP_TRAMO_BAJO,SUMIFS(CF_CUOTA,CF_MAS,ITP_TRAMO_BAJO,CF_CCMIN,"&lt;="&amp;CM136,CF_CCMAX,"&gt;="&amp;CM136),O136*ITP_TIPO)),O136*ITP_TIPO))</f>
        <v/>
      </c>
      <c r="CO136" s="4">
        <f>IF(R136="profesional",N(AK136),0)</f>
        <v/>
      </c>
      <c r="CP136" s="3">
        <f>IF(AND(R136="profesional",ISNUMBER(AK136),AL136="sí"),0,TASA_DGT)</f>
        <v/>
      </c>
      <c r="CQ136" s="3">
        <f>INFORME_DGT</f>
        <v/>
      </c>
      <c r="CR136" s="4">
        <f>O136+CO136+CN136+CP136+CQ136</f>
        <v/>
      </c>
      <c r="CS136" s="4">
        <f>CR136+N(CF136)</f>
        <v/>
      </c>
      <c r="CT136" s="3">
        <f>IF(CR136&lt;=TOTAL_MAX,"sí",IF(CR136&lt;=TOTAL_MAX+MARGEN_NEG,"negociar","no"))</f>
        <v/>
      </c>
      <c r="CU136" s="4">
        <f>IF(CT136&lt;&gt;"no",COUNTIFS($CT$2:$CT$545,"&lt;&gt;no",$CL$2:$CL$545,"&gt;"&amp;CL136)+COUNTIFS($CT$2:CT136,"&lt;&gt;no",$CL$2:CL136,CL136),"")</f>
        <v/>
      </c>
    </row>
    <row r="137">
      <c r="A137" s="2" t="inlineStr">
        <is>
          <t>cochesnet:71398379</t>
        </is>
      </c>
      <c r="B137" s="2" t="inlineStr">
        <is>
          <t>cochesnet</t>
        </is>
      </c>
      <c r="C137" s="2" t="inlineStr">
        <is>
          <t>https://www.coches.net/citroen-c4-diesel-2009-en-valencia-71398379-covo.aspx</t>
        </is>
      </c>
      <c r="D137" s="2" t="inlineStr">
        <is>
          <t>CITROEN C4</t>
        </is>
      </c>
      <c r="E137" s="2" t="inlineStr">
        <is>
          <t>Citroën</t>
        </is>
      </c>
      <c r="F137" s="2" t="inlineStr">
        <is>
          <t>Citroën C4</t>
        </is>
      </c>
      <c r="G137" s="2" t="n"/>
      <c r="H137" s="2" t="n"/>
      <c r="I137" s="2" t="n"/>
      <c r="J137" s="2" t="n"/>
      <c r="K137" s="2" t="inlineStr">
        <is>
          <t>diesel</t>
        </is>
      </c>
      <c r="L137" s="2" t="inlineStr">
        <is>
          <t>compacto</t>
        </is>
      </c>
      <c r="M137" s="2" t="n">
        <v>2009</v>
      </c>
      <c r="N137" s="2" t="n">
        <v>180000</v>
      </c>
      <c r="O137" s="2" t="n">
        <v>3500</v>
      </c>
      <c r="P137" s="2" t="inlineStr">
        <is>
          <t>manual</t>
        </is>
      </c>
      <c r="Q137" s="2" t="inlineStr">
        <is>
          <t>no</t>
        </is>
      </c>
      <c r="R137" s="2" t="inlineStr">
        <is>
          <t>particular</t>
        </is>
      </c>
      <c r="S137" s="2" t="n"/>
      <c r="T137" s="2" t="inlineStr">
        <is>
          <t>2026-08-31T08:12:51Z</t>
        </is>
      </c>
      <c r="U137" s="2" t="n">
        <v>9</v>
      </c>
      <c r="V137" s="2" t="inlineStr">
        <is>
          <t>sí</t>
        </is>
      </c>
      <c r="W137" s="2" t="n"/>
      <c r="X137" s="2" t="inlineStr">
        <is>
          <t>sí</t>
        </is>
      </c>
      <c r="Y137" s="2" t="n"/>
      <c r="Z137" s="2" t="inlineStr">
        <is>
          <t>no</t>
        </is>
      </c>
      <c r="AA137" s="2" t="n"/>
      <c r="AB137" s="2" t="n"/>
      <c r="AC137" s="2" t="n"/>
      <c r="AD137" s="2" t="n"/>
      <c r="AE137" s="2" t="n"/>
      <c r="AF137" s="2" t="n"/>
      <c r="AG137" s="2" t="n"/>
      <c r="AH137" s="2" t="n">
        <v>3500</v>
      </c>
      <c r="AI137" s="2" t="n"/>
      <c r="AJ137" s="2" t="n"/>
      <c r="AK137" s="2" t="n"/>
      <c r="AL137" s="2" t="n"/>
      <c r="AM137" s="2" t="n"/>
      <c r="AN137" s="2" t="n"/>
      <c r="AO137" s="2" t="inlineStr">
        <is>
          <t>2009</t>
        </is>
      </c>
      <c r="AP137" s="2" t="n">
        <v>2009</v>
      </c>
      <c r="AQ137" s="2" t="n"/>
      <c r="AR137" s="2" t="n"/>
      <c r="AS137" s="2" t="inlineStr">
        <is>
          <t>regla</t>
        </is>
      </c>
      <c r="AT137" s="2" t="n">
        <v>3500</v>
      </c>
      <c r="AU137" s="2" t="n">
        <v>11</v>
      </c>
      <c r="AV137" s="2" t="inlineStr">
        <is>
          <t>modelo+año+km</t>
        </is>
      </c>
      <c r="AW137" s="2" t="n"/>
      <c r="AX137"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37" s="2" t="inlineStr">
        <is>
          <t xml:space="preserve">Se vende Citroen c 4  1.6 HDI 110 5 puertas año 2009 con 170.000 kilómetros con correa distribución cambiada a 120.000 kilómetros itv hasta abril 2027 aceites y filtros recién cambiados discos frenos cambiados 4 ruedas nuevas discos pastillas embrague cambiado hace 2 años precio 3500 e
Quieres venir haberlo?
</t>
        </is>
      </c>
      <c r="AZ137" s="2" t="inlineStr">
        <is>
          <t>https://www.coches.net/citroen-c4-diesel-2009-en-valencia-71398379-covo.aspx (window.__INITIAL_PROPS__.ad) /home/user/Alopecia/buscador-coches/raw/cochesnet/712813cffaade278.json</t>
        </is>
      </c>
      <c r="BA137" s="3">
        <f>MAX(ANIO_ACTUAL-M137,0)</f>
        <v/>
      </c>
      <c r="BB137" s="4">
        <f>N137/MAX(BA137,0.5)</f>
        <v/>
      </c>
      <c r="BC137" s="4">
        <f>F137</f>
        <v/>
      </c>
      <c r="BD137" s="3">
        <f>BC137&amp;"|"&amp;INT(M137/SEG_ANIO)*SEG_ANIO</f>
        <v/>
      </c>
      <c r="BE137" s="3">
        <f>BD137&amp;"|"&amp;INT(N137/SEG_KM)*SEG_KM</f>
        <v/>
      </c>
      <c r="BF137" s="4">
        <f>COUNTIF($BC$2:$BC$545,BC137)</f>
        <v/>
      </c>
      <c r="BG137" s="4">
        <f>COUNTIF($BD$2:$BD$545,BD137)</f>
        <v/>
      </c>
      <c r="BH137" s="4">
        <f>COUNTIF($BE$2:$BE$545,BE137)</f>
        <v/>
      </c>
      <c r="BI137" s="3">
        <f t="array" ref="BI137">IF(N(AU137)&gt;=MIN_N,AT137,IF(BH137&gt;=MIN_N,MEDIAN(IF($BE$2:$BE$545=BE137,$O$2:$O$545)),IF(BG137&gt;=MIN_N,MEDIAN(IF($BD$2:$BD$545=BD137,$O$2:$O$545)),MEDIAN(IF($BC$2:$BC$545=BC137,$O$2:$O$545)))))</f>
        <v/>
      </c>
      <c r="BJ137" s="3">
        <f>IF(N(AU137)&gt;=MIN_N,"mercado "&amp;AV137,IF(BH137&gt;=MIN_N,"modelo+año+km",IF(BG137&gt;=MIN_N,"modelo+año","modelo")))</f>
        <v/>
      </c>
      <c r="BK137" s="4">
        <f>(BI137-O137)/BI137</f>
        <v/>
      </c>
      <c r="BL137" s="3">
        <f>IF(COUNTIFS(FR_FUEL,K137,FR_YEAR,AP137)&gt;0,1,0)</f>
        <v/>
      </c>
      <c r="BM137" s="3">
        <f>IF(COUNTIFS(FR_FUEL,K137,FR_YEAR,AP137-1)&gt;0,1,0)</f>
        <v/>
      </c>
      <c r="BN137" s="4">
        <f>IF(N(AQ137)&gt;0,AP137*100+AQ137,IF(AND(BL137=1,BM137=1),(AP137-1)*100+1,AP137*100+1))</f>
        <v/>
      </c>
      <c r="BO137" s="3">
        <f>IF(OR(K137="hibrido",K137="glp",K137="gnc",K137="phev"),"ECO",IF(K137="electrico","CERO",IF(K137="gasolina",IF(BN137&gt;=GAS_C_YM,"C",IF(BN137&gt;=GAS_B_YM,"B","A")),IF(K137="diesel",IF(BN137&gt;=DIE_C_YM,"C",IF(BN137&gt;=DIE_B_YM,"B","A")),""))))</f>
        <v/>
      </c>
      <c r="BP137" s="4">
        <f>BO137</f>
        <v/>
      </c>
      <c r="BQ137" s="4">
        <f>IF(AS137="regla",IF(AND(N(AQ137)=0,BL137=1),"sí","no"),"no")</f>
        <v/>
      </c>
      <c r="BR137" s="3">
        <f>IFERROR(VLOOKUP(F137,MOD_TBL,11,0),IFERROR(VLOOKUP(E137,OCU_TBL,2,0),NEUTRO))</f>
        <v/>
      </c>
      <c r="BS137" s="3">
        <f>SUMIFS(MOT_AJUSTE,MOT_MOTOR,G137,MOT_MARCA,E137,MOT_DESDE,"&lt;="&amp;M137,MOT_HASTA,"&gt;="&amp;M137)+SUMIFS(MOT_AJUSTE,MOT_MOTOR,G137,MOT_MARCA,"(todas)",MOT_DESDE,"&lt;="&amp;M137,MOT_HASTA,"&gt;="&amp;M137)</f>
        <v/>
      </c>
      <c r="BT137" s="3">
        <f>SUMIFS(COMB_AJUSTE,COMB_COMB,K137)</f>
        <v/>
      </c>
      <c r="BU137" s="3">
        <f>COUNTIFS(MOT_MOTOR,G137,MOT_MARCA,E137,MOT_DESDE,"&lt;="&amp;M137,MOT_HASTA,"&gt;="&amp;M137)+COUNTIFS(MOT_MOTOR,G137,MOT_MARCA,"(todas)",MOT_DESDE,"&lt;="&amp;M137,MOT_HASTA,"&gt;="&amp;M137)</f>
        <v/>
      </c>
      <c r="BV137" s="3">
        <f>IF(AND(K137="diesel",BU137=0),MIN(BR137,NEUTRO),BR137)</f>
        <v/>
      </c>
      <c r="BW137" s="4">
        <f>MAX(0,MIN(100,BV137+BS137+BT137))</f>
        <v/>
      </c>
      <c r="BX137" s="3">
        <f>MAX(0,MIN(100,50+BK137*PRECIO_PEND))</f>
        <v/>
      </c>
      <c r="BY137" s="3">
        <f>MAX(0,100*(1-N137/KM_MAX))</f>
        <v/>
      </c>
      <c r="BZ137" s="3">
        <f>IF(BB137&lt;KMA_SOSP,IF(AA137="sí",100,KMA_PEN),IF(BB137&lt;=KMA_IDEAL_MAX,100,MAX(0,100*(KMA_CERO-BB137)/(KMA_CERO-KMA_IDEAL_MAX))))</f>
        <v/>
      </c>
      <c r="CA137" s="3">
        <f>MAX(0,MIN(100,100*(M137-ANIO_MIN)/(ANIO_ACTUAL-ANIO_MIN)))</f>
        <v/>
      </c>
      <c r="CB137" s="3">
        <f>W_KMT*BY137+W_KMA*BZ137+W_EDAD*CA137</f>
        <v/>
      </c>
      <c r="CC137" s="3">
        <f>P_ITV*(V137="sí")+P_LIBRO*(W137="sí")+P_CORREA*(X137="sí")+P_PROP*(Y137=1)+P_GAR*(Z137="sí")+P_FOTOS*MIN(1,N(U137)/FOTOS_OBJ)</f>
        <v/>
      </c>
      <c r="CD137" s="3">
        <f>MAX(0,MIN(100,IFERROR(VLOOKUP(BP137,ETQ_TBL,2,0),0)-IF(BQ137="sí",ETQ_PEN_DUD,IF(AS137="regla",ETQ_PEN_REGLA,0))))</f>
        <v/>
      </c>
      <c r="CE137" s="3">
        <f>NEUTRO</f>
        <v/>
      </c>
      <c r="CF137" s="3">
        <f>IFERROR(VLOOKUP(L137,SEGURO_TBL,3,0),"")</f>
        <v/>
      </c>
      <c r="CG137" s="3">
        <f>IF(CF137="",NEUTRO,MAX(0,MIN(100,100*(SEG_REF_MAX-CF137)/(SEG_REF_MAX-SEG_REF_MIN))))</f>
        <v/>
      </c>
      <c r="CH137" s="3">
        <f>W_CONS*CE137+W_SEG*CG137</f>
        <v/>
      </c>
      <c r="CI137" s="3">
        <f>IF(N(AB137)&gt;0,AB137,IF(AND(R137="profesional",SG_LEGAL_ON=1),GAR_LEGAL,0))</f>
        <v/>
      </c>
      <c r="CJ137" s="3">
        <f>SG_GAR*MIN(1,CI137/SG_GAR_FULL)+SG_AMPL*(AC137="sí")+SG_KMC*(AF137="sí")+SG_REV*(N(AE137)&gt;0)+SG_DEV*MIN(1,N(AG137)/SG_DEV_FULL)+SG_HIST*(W137="sí")</f>
        <v/>
      </c>
      <c r="CK137" s="3">
        <f>IFERROR(VLOOKUP(L137,CARR_PEN_TBL,2,0),0)</f>
        <v/>
      </c>
      <c r="CL137" s="3">
        <f>W_FIAB*BW137+W_PRECIO*BX137+W_KMEDAD*CB137+W_ANUNCIO*CC137+W_USO*CH137+W_SEGURIDAD*CJ137+W_ETIQUETA*CD137-CK137</f>
        <v/>
      </c>
      <c r="CM137" s="4">
        <f>IF(N(I137)&gt;0,I137,IFERROR(ROUND(_xlfn.NUMBERVALUE(LEFT(G137,FIND(" ",G137&amp;" ")-1),".")*1000,0),99999))</f>
        <v/>
      </c>
      <c r="CN137" s="3">
        <f>IF(R137="profesional",0,IF(O137&lt;CUOTA_VALOR_MAX,IF(BA137&gt;ITP_TRAMO_ALTO,SUMIFS(CF_CUOTA,CF_MAS,ITP_TRAMO_ALTO,CF_CCMIN,"&lt;="&amp;CM137,CF_CCMAX,"&gt;="&amp;CM137),IF(BA137&gt;ITP_TRAMO_BAJO,SUMIFS(CF_CUOTA,CF_MAS,ITP_TRAMO_BAJO,CF_CCMIN,"&lt;="&amp;CM137,CF_CCMAX,"&gt;="&amp;CM137),O137*ITP_TIPO)),O137*ITP_TIPO))</f>
        <v/>
      </c>
      <c r="CO137" s="4">
        <f>IF(R137="profesional",N(AK137),0)</f>
        <v/>
      </c>
      <c r="CP137" s="3">
        <f>IF(AND(R137="profesional",ISNUMBER(AK137),AL137="sí"),0,TASA_DGT)</f>
        <v/>
      </c>
      <c r="CQ137" s="3">
        <f>INFORME_DGT</f>
        <v/>
      </c>
      <c r="CR137" s="4">
        <f>O137+CO137+CN137+CP137+CQ137</f>
        <v/>
      </c>
      <c r="CS137" s="4">
        <f>CR137+N(CF137)</f>
        <v/>
      </c>
      <c r="CT137" s="3">
        <f>IF(CR137&lt;=TOTAL_MAX,"sí",IF(CR137&lt;=TOTAL_MAX+MARGEN_NEG,"negociar","no"))</f>
        <v/>
      </c>
      <c r="CU137" s="4">
        <f>IF(CT137&lt;&gt;"no",COUNTIFS($CT$2:$CT$545,"&lt;&gt;no",$CL$2:$CL$545,"&gt;"&amp;CL137)+COUNTIFS($CT$2:CT137,"&lt;&gt;no",$CL$2:CL137,CL137),"")</f>
        <v/>
      </c>
    </row>
    <row r="138">
      <c r="A138" s="2" t="inlineStr">
        <is>
          <t>cochesnet:71230561</t>
        </is>
      </c>
      <c r="B138" s="2" t="inlineStr">
        <is>
          <t>cochesnet</t>
        </is>
      </c>
      <c r="C138" s="2" t="inlineStr">
        <is>
          <t>https://www.coches.net/citroen-c4-diesel-2009-en-valencia-71230561-covo.aspx</t>
        </is>
      </c>
      <c r="D138" s="2" t="inlineStr">
        <is>
          <t>CITROEN C4</t>
        </is>
      </c>
      <c r="E138" s="2" t="inlineStr">
        <is>
          <t>Citroën</t>
        </is>
      </c>
      <c r="F138" s="2" t="inlineStr">
        <is>
          <t>Citroën C4</t>
        </is>
      </c>
      <c r="G138" s="2" t="n"/>
      <c r="H138" s="2" t="n"/>
      <c r="I138" s="2" t="n"/>
      <c r="J138" s="2" t="n"/>
      <c r="K138" s="2" t="inlineStr">
        <is>
          <t>diesel</t>
        </is>
      </c>
      <c r="L138" s="2" t="inlineStr">
        <is>
          <t>compacto</t>
        </is>
      </c>
      <c r="M138" s="2" t="n">
        <v>2009</v>
      </c>
      <c r="N138" s="2" t="n">
        <v>220000</v>
      </c>
      <c r="O138" s="2" t="n">
        <v>3500</v>
      </c>
      <c r="P138" s="2" t="inlineStr">
        <is>
          <t>manual</t>
        </is>
      </c>
      <c r="Q138" s="2" t="inlineStr">
        <is>
          <t>no</t>
        </is>
      </c>
      <c r="R138" s="2" t="inlineStr">
        <is>
          <t>particular</t>
        </is>
      </c>
      <c r="S138" s="2" t="n"/>
      <c r="T138" s="2" t="inlineStr">
        <is>
          <t>2026-08-04T18:17:42Z</t>
        </is>
      </c>
      <c r="U138" s="2" t="n">
        <v>7</v>
      </c>
      <c r="V138" s="2" t="n"/>
      <c r="W138" s="2" t="n"/>
      <c r="X138" s="2" t="n"/>
      <c r="Y138" s="2" t="n"/>
      <c r="Z138" s="2" t="inlineStr">
        <is>
          <t>no</t>
        </is>
      </c>
      <c r="AA138" s="2" t="n"/>
      <c r="AB138" s="2" t="n"/>
      <c r="AC138" s="2" t="n"/>
      <c r="AD138" s="2" t="n"/>
      <c r="AE138" s="2" t="n"/>
      <c r="AF138" s="2" t="n"/>
      <c r="AG138" s="2" t="n"/>
      <c r="AH138" s="2" t="n">
        <v>3500</v>
      </c>
      <c r="AI138" s="2" t="n"/>
      <c r="AJ138" s="2" t="n"/>
      <c r="AK138" s="2" t="n"/>
      <c r="AL138" s="2" t="n"/>
      <c r="AM138" s="2" t="n"/>
      <c r="AN138" s="2" t="n"/>
      <c r="AO138" s="2" t="inlineStr">
        <is>
          <t>2009</t>
        </is>
      </c>
      <c r="AP138" s="2" t="n">
        <v>2009</v>
      </c>
      <c r="AQ138" s="2" t="n"/>
      <c r="AR138" s="2" t="n"/>
      <c r="AS138" s="2" t="inlineStr">
        <is>
          <t>regla</t>
        </is>
      </c>
      <c r="AT138" s="2" t="n">
        <v>3600</v>
      </c>
      <c r="AU138" s="2" t="n">
        <v>9</v>
      </c>
      <c r="AV138" s="2" t="inlineStr">
        <is>
          <t>modelo+año+km</t>
        </is>
      </c>
      <c r="AW138" s="2" t="n"/>
      <c r="AX138"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38" s="2" t="inlineStr">
        <is>
          <t xml:space="preserve">Mayor informacion  ubicado en meliana  negociable </t>
        </is>
      </c>
      <c r="AZ138" s="2" t="inlineStr">
        <is>
          <t>https://www.coches.net/citroen-c4-diesel-2009-en-valencia-71230561-covo.aspx (window.__INITIAL_PROPS__.ad) /home/user/Alopecia/buscador-coches/raw/cochesnet/bfdd5ef9a3a9f4b2.json</t>
        </is>
      </c>
      <c r="BA138" s="3">
        <f>MAX(ANIO_ACTUAL-M138,0)</f>
        <v/>
      </c>
      <c r="BB138" s="4">
        <f>N138/MAX(BA138,0.5)</f>
        <v/>
      </c>
      <c r="BC138" s="4">
        <f>F138</f>
        <v/>
      </c>
      <c r="BD138" s="3">
        <f>BC138&amp;"|"&amp;INT(M138/SEG_ANIO)*SEG_ANIO</f>
        <v/>
      </c>
      <c r="BE138" s="3">
        <f>BD138&amp;"|"&amp;INT(N138/SEG_KM)*SEG_KM</f>
        <v/>
      </c>
      <c r="BF138" s="4">
        <f>COUNTIF($BC$2:$BC$545,BC138)</f>
        <v/>
      </c>
      <c r="BG138" s="4">
        <f>COUNTIF($BD$2:$BD$545,BD138)</f>
        <v/>
      </c>
      <c r="BH138" s="4">
        <f>COUNTIF($BE$2:$BE$545,BE138)</f>
        <v/>
      </c>
      <c r="BI138" s="3">
        <f t="array" ref="BI138">IF(N(AU138)&gt;=MIN_N,AT138,IF(BH138&gt;=MIN_N,MEDIAN(IF($BE$2:$BE$545=BE138,$O$2:$O$545)),IF(BG138&gt;=MIN_N,MEDIAN(IF($BD$2:$BD$545=BD138,$O$2:$O$545)),MEDIAN(IF($BC$2:$BC$545=BC138,$O$2:$O$545)))))</f>
        <v/>
      </c>
      <c r="BJ138" s="3">
        <f>IF(N(AU138)&gt;=MIN_N,"mercado "&amp;AV138,IF(BH138&gt;=MIN_N,"modelo+año+km",IF(BG138&gt;=MIN_N,"modelo+año","modelo")))</f>
        <v/>
      </c>
      <c r="BK138" s="4">
        <f>(BI138-O138)/BI138</f>
        <v/>
      </c>
      <c r="BL138" s="3">
        <f>IF(COUNTIFS(FR_FUEL,K138,FR_YEAR,AP138)&gt;0,1,0)</f>
        <v/>
      </c>
      <c r="BM138" s="3">
        <f>IF(COUNTIFS(FR_FUEL,K138,FR_YEAR,AP138-1)&gt;0,1,0)</f>
        <v/>
      </c>
      <c r="BN138" s="4">
        <f>IF(N(AQ138)&gt;0,AP138*100+AQ138,IF(AND(BL138=1,BM138=1),(AP138-1)*100+1,AP138*100+1))</f>
        <v/>
      </c>
      <c r="BO138" s="3">
        <f>IF(OR(K138="hibrido",K138="glp",K138="gnc",K138="phev"),"ECO",IF(K138="electrico","CERO",IF(K138="gasolina",IF(BN138&gt;=GAS_C_YM,"C",IF(BN138&gt;=GAS_B_YM,"B","A")),IF(K138="diesel",IF(BN138&gt;=DIE_C_YM,"C",IF(BN138&gt;=DIE_B_YM,"B","A")),""))))</f>
        <v/>
      </c>
      <c r="BP138" s="4">
        <f>BO138</f>
        <v/>
      </c>
      <c r="BQ138" s="4">
        <f>IF(AS138="regla",IF(AND(N(AQ138)=0,BL138=1),"sí","no"),"no")</f>
        <v/>
      </c>
      <c r="BR138" s="3">
        <f>IFERROR(VLOOKUP(F138,MOD_TBL,11,0),IFERROR(VLOOKUP(E138,OCU_TBL,2,0),NEUTRO))</f>
        <v/>
      </c>
      <c r="BS138" s="3">
        <f>SUMIFS(MOT_AJUSTE,MOT_MOTOR,G138,MOT_MARCA,E138,MOT_DESDE,"&lt;="&amp;M138,MOT_HASTA,"&gt;="&amp;M138)+SUMIFS(MOT_AJUSTE,MOT_MOTOR,G138,MOT_MARCA,"(todas)",MOT_DESDE,"&lt;="&amp;M138,MOT_HASTA,"&gt;="&amp;M138)</f>
        <v/>
      </c>
      <c r="BT138" s="3">
        <f>SUMIFS(COMB_AJUSTE,COMB_COMB,K138)</f>
        <v/>
      </c>
      <c r="BU138" s="3">
        <f>COUNTIFS(MOT_MOTOR,G138,MOT_MARCA,E138,MOT_DESDE,"&lt;="&amp;M138,MOT_HASTA,"&gt;="&amp;M138)+COUNTIFS(MOT_MOTOR,G138,MOT_MARCA,"(todas)",MOT_DESDE,"&lt;="&amp;M138,MOT_HASTA,"&gt;="&amp;M138)</f>
        <v/>
      </c>
      <c r="BV138" s="3">
        <f>IF(AND(K138="diesel",BU138=0),MIN(BR138,NEUTRO),BR138)</f>
        <v/>
      </c>
      <c r="BW138" s="4">
        <f>MAX(0,MIN(100,BV138+BS138+BT138))</f>
        <v/>
      </c>
      <c r="BX138" s="3">
        <f>MAX(0,MIN(100,50+BK138*PRECIO_PEND))</f>
        <v/>
      </c>
      <c r="BY138" s="3">
        <f>MAX(0,100*(1-N138/KM_MAX))</f>
        <v/>
      </c>
      <c r="BZ138" s="3">
        <f>IF(BB138&lt;KMA_SOSP,IF(AA138="sí",100,KMA_PEN),IF(BB138&lt;=KMA_IDEAL_MAX,100,MAX(0,100*(KMA_CERO-BB138)/(KMA_CERO-KMA_IDEAL_MAX))))</f>
        <v/>
      </c>
      <c r="CA138" s="3">
        <f>MAX(0,MIN(100,100*(M138-ANIO_MIN)/(ANIO_ACTUAL-ANIO_MIN)))</f>
        <v/>
      </c>
      <c r="CB138" s="3">
        <f>W_KMT*BY138+W_KMA*BZ138+W_EDAD*CA138</f>
        <v/>
      </c>
      <c r="CC138" s="3">
        <f>P_ITV*(V138="sí")+P_LIBRO*(W138="sí")+P_CORREA*(X138="sí")+P_PROP*(Y138=1)+P_GAR*(Z138="sí")+P_FOTOS*MIN(1,N(U138)/FOTOS_OBJ)</f>
        <v/>
      </c>
      <c r="CD138" s="3">
        <f>MAX(0,MIN(100,IFERROR(VLOOKUP(BP138,ETQ_TBL,2,0),0)-IF(BQ138="sí",ETQ_PEN_DUD,IF(AS138="regla",ETQ_PEN_REGLA,0))))</f>
        <v/>
      </c>
      <c r="CE138" s="3">
        <f>NEUTRO</f>
        <v/>
      </c>
      <c r="CF138" s="3">
        <f>IFERROR(VLOOKUP(L138,SEGURO_TBL,3,0),"")</f>
        <v/>
      </c>
      <c r="CG138" s="3">
        <f>IF(CF138="",NEUTRO,MAX(0,MIN(100,100*(SEG_REF_MAX-CF138)/(SEG_REF_MAX-SEG_REF_MIN))))</f>
        <v/>
      </c>
      <c r="CH138" s="3">
        <f>W_CONS*CE138+W_SEG*CG138</f>
        <v/>
      </c>
      <c r="CI138" s="3">
        <f>IF(N(AB138)&gt;0,AB138,IF(AND(R138="profesional",SG_LEGAL_ON=1),GAR_LEGAL,0))</f>
        <v/>
      </c>
      <c r="CJ138" s="3">
        <f>SG_GAR*MIN(1,CI138/SG_GAR_FULL)+SG_AMPL*(AC138="sí")+SG_KMC*(AF138="sí")+SG_REV*(N(AE138)&gt;0)+SG_DEV*MIN(1,N(AG138)/SG_DEV_FULL)+SG_HIST*(W138="sí")</f>
        <v/>
      </c>
      <c r="CK138" s="3">
        <f>IFERROR(VLOOKUP(L138,CARR_PEN_TBL,2,0),0)</f>
        <v/>
      </c>
      <c r="CL138" s="3">
        <f>W_FIAB*BW138+W_PRECIO*BX138+W_KMEDAD*CB138+W_ANUNCIO*CC138+W_USO*CH138+W_SEGURIDAD*CJ138+W_ETIQUETA*CD138-CK138</f>
        <v/>
      </c>
      <c r="CM138" s="4">
        <f>IF(N(I138)&gt;0,I138,IFERROR(ROUND(_xlfn.NUMBERVALUE(LEFT(G138,FIND(" ",G138&amp;" ")-1),".")*1000,0),99999))</f>
        <v/>
      </c>
      <c r="CN138" s="3">
        <f>IF(R138="profesional",0,IF(O138&lt;CUOTA_VALOR_MAX,IF(BA138&gt;ITP_TRAMO_ALTO,SUMIFS(CF_CUOTA,CF_MAS,ITP_TRAMO_ALTO,CF_CCMIN,"&lt;="&amp;CM138,CF_CCMAX,"&gt;="&amp;CM138),IF(BA138&gt;ITP_TRAMO_BAJO,SUMIFS(CF_CUOTA,CF_MAS,ITP_TRAMO_BAJO,CF_CCMIN,"&lt;="&amp;CM138,CF_CCMAX,"&gt;="&amp;CM138),O138*ITP_TIPO)),O138*ITP_TIPO))</f>
        <v/>
      </c>
      <c r="CO138" s="4">
        <f>IF(R138="profesional",N(AK138),0)</f>
        <v/>
      </c>
      <c r="CP138" s="3">
        <f>IF(AND(R138="profesional",ISNUMBER(AK138),AL138="sí"),0,TASA_DGT)</f>
        <v/>
      </c>
      <c r="CQ138" s="3">
        <f>INFORME_DGT</f>
        <v/>
      </c>
      <c r="CR138" s="4">
        <f>O138+CO138+CN138+CP138+CQ138</f>
        <v/>
      </c>
      <c r="CS138" s="4">
        <f>CR138+N(CF138)</f>
        <v/>
      </c>
      <c r="CT138" s="3">
        <f>IF(CR138&lt;=TOTAL_MAX,"sí",IF(CR138&lt;=TOTAL_MAX+MARGEN_NEG,"negociar","no"))</f>
        <v/>
      </c>
      <c r="CU138" s="4">
        <f>IF(CT138&lt;&gt;"no",COUNTIFS($CT$2:$CT$545,"&lt;&gt;no",$CL$2:$CL$545,"&gt;"&amp;CL138)+COUNTIFS($CT$2:CT138,"&lt;&gt;no",$CL$2:CL138,CL138),"")</f>
        <v/>
      </c>
    </row>
    <row r="139">
      <c r="A139" s="2" t="inlineStr">
        <is>
          <t>cochesnet:71672111</t>
        </is>
      </c>
      <c r="B139" s="2" t="inlineStr">
        <is>
          <t>cochesnet</t>
        </is>
      </c>
      <c r="C139" s="2" t="inlineStr">
        <is>
          <t>https://www.coches.net/ford-ka-gasolina-2015-en-valencia-71672111-covo.aspx</t>
        </is>
      </c>
      <c r="D139" s="2" t="inlineStr">
        <is>
          <t>FORD KA</t>
        </is>
      </c>
      <c r="E139" s="2" t="inlineStr">
        <is>
          <t>Ford</t>
        </is>
      </c>
      <c r="F139" s="2" t="inlineStr">
        <is>
          <t>Ford Ka</t>
        </is>
      </c>
      <c r="G139" s="2" t="n"/>
      <c r="H139" s="2" t="n"/>
      <c r="I139" s="2" t="n"/>
      <c r="J139" s="2" t="n"/>
      <c r="K139" s="2" t="inlineStr">
        <is>
          <t>gasolina</t>
        </is>
      </c>
      <c r="L139" s="2" t="inlineStr">
        <is>
          <t>utilitario</t>
        </is>
      </c>
      <c r="M139" s="2" t="n">
        <v>2015</v>
      </c>
      <c r="N139" s="2" t="n">
        <v>134068</v>
      </c>
      <c r="O139" s="2" t="n">
        <v>4000</v>
      </c>
      <c r="P139" s="2" t="inlineStr">
        <is>
          <t>manual</t>
        </is>
      </c>
      <c r="Q139" s="2" t="inlineStr">
        <is>
          <t>no</t>
        </is>
      </c>
      <c r="R139" s="2" t="inlineStr">
        <is>
          <t>particular</t>
        </is>
      </c>
      <c r="S139" s="2" t="inlineStr">
        <is>
          <t>Gandia</t>
        </is>
      </c>
      <c r="T139" s="2" t="inlineStr">
        <is>
          <t>2026-10-05T02:39:53Z</t>
        </is>
      </c>
      <c r="U139" s="2" t="n">
        <v>9</v>
      </c>
      <c r="V139" s="2" t="inlineStr">
        <is>
          <t>sí</t>
        </is>
      </c>
      <c r="W139" s="2" t="n"/>
      <c r="X139" s="2" t="n"/>
      <c r="Y139" s="2" t="n"/>
      <c r="Z139" s="2" t="inlineStr">
        <is>
          <t>no</t>
        </is>
      </c>
      <c r="AA139" s="2" t="n"/>
      <c r="AB139" s="2" t="n"/>
      <c r="AC139" s="2" t="n"/>
      <c r="AD139" s="2" t="n"/>
      <c r="AE139" s="2" t="n"/>
      <c r="AF139" s="2" t="n"/>
      <c r="AG139" s="2" t="n"/>
      <c r="AH139" s="2" t="n">
        <v>4000</v>
      </c>
      <c r="AI139" s="2" t="n"/>
      <c r="AJ139" s="2" t="n"/>
      <c r="AK139" s="2" t="n"/>
      <c r="AL139" s="2" t="n"/>
      <c r="AM139" s="2" t="n">
        <v>58.4</v>
      </c>
      <c r="AN139" s="2" t="n"/>
      <c r="AO139" s="2" t="inlineStr">
        <is>
          <t>2015</t>
        </is>
      </c>
      <c r="AP139" s="2" t="n">
        <v>2015</v>
      </c>
      <c r="AQ139" s="2" t="n"/>
      <c r="AR139" s="2" t="n"/>
      <c r="AS139" s="2" t="inlineStr">
        <is>
          <t>regla</t>
        </is>
      </c>
      <c r="AT139" s="2" t="n">
        <v>4990</v>
      </c>
      <c r="AU139" s="2" t="n">
        <v>7</v>
      </c>
      <c r="AV139" s="2" t="inlineStr">
        <is>
          <t>modelo+año</t>
        </is>
      </c>
      <c r="AW139" s="2" t="n"/>
      <c r="AX139" s="2" t="inlineStr">
        <is>
          <t>cilindrada desconocida: se aplica el tramo de cuota fija más alto; cuota fija ITP: &gt;5 y &lt;=12 años, más de 2.000 cc; fiabilidad del modelo PENDIENTE de fuente (puntuación neutra)</t>
        </is>
      </c>
      <c r="AY139" s="2" t="inlineStr">
        <is>
          <t>Se vende Ford Ka,año 2015,bien cuidado,unica dueña y concesionario,color gris mate, 134068 km,manual,Ideal para usar en ciudades grandes con facilidad de aparcar rapido por el tamaño ,itv pasada hace pocos meses,tiene unos pequeños arañazos debido a alguien que golpeo el coche y se dio a la fuga pero de ahi esas bandas negras que disimulan bastante.Interesados llamen al .Cristina</t>
        </is>
      </c>
      <c r="AZ139" s="2" t="inlineStr">
        <is>
          <t>https://www.coches.net/ford-ka-gasolina-2015-en-valencia-71672111-covo.aspx (window.__INITIAL_PROPS__.ad) /home/user/Alopecia/buscador-coches/raw/cochesnet/922beef2835ef0df.json</t>
        </is>
      </c>
      <c r="BA139" s="3">
        <f>MAX(ANIO_ACTUAL-M139,0)</f>
        <v/>
      </c>
      <c r="BB139" s="4">
        <f>N139/MAX(BA139,0.5)</f>
        <v/>
      </c>
      <c r="BC139" s="4">
        <f>F139</f>
        <v/>
      </c>
      <c r="BD139" s="3">
        <f>BC139&amp;"|"&amp;INT(M139/SEG_ANIO)*SEG_ANIO</f>
        <v/>
      </c>
      <c r="BE139" s="3">
        <f>BD139&amp;"|"&amp;INT(N139/SEG_KM)*SEG_KM</f>
        <v/>
      </c>
      <c r="BF139" s="4">
        <f>COUNTIF($BC$2:$BC$545,BC139)</f>
        <v/>
      </c>
      <c r="BG139" s="4">
        <f>COUNTIF($BD$2:$BD$545,BD139)</f>
        <v/>
      </c>
      <c r="BH139" s="4">
        <f>COUNTIF($BE$2:$BE$545,BE139)</f>
        <v/>
      </c>
      <c r="BI139" s="3">
        <f t="array" ref="BI139">IF(N(AU139)&gt;=MIN_N,AT139,IF(BH139&gt;=MIN_N,MEDIAN(IF($BE$2:$BE$545=BE139,$O$2:$O$545)),IF(BG139&gt;=MIN_N,MEDIAN(IF($BD$2:$BD$545=BD139,$O$2:$O$545)),MEDIAN(IF($BC$2:$BC$545=BC139,$O$2:$O$545)))))</f>
        <v/>
      </c>
      <c r="BJ139" s="3">
        <f>IF(N(AU139)&gt;=MIN_N,"mercado "&amp;AV139,IF(BH139&gt;=MIN_N,"modelo+año+km",IF(BG139&gt;=MIN_N,"modelo+año","modelo")))</f>
        <v/>
      </c>
      <c r="BK139" s="4">
        <f>(BI139-O139)/BI139</f>
        <v/>
      </c>
      <c r="BL139" s="3">
        <f>IF(COUNTIFS(FR_FUEL,K139,FR_YEAR,AP139)&gt;0,1,0)</f>
        <v/>
      </c>
      <c r="BM139" s="3">
        <f>IF(COUNTIFS(FR_FUEL,K139,FR_YEAR,AP139-1)&gt;0,1,0)</f>
        <v/>
      </c>
      <c r="BN139" s="4">
        <f>IF(N(AQ139)&gt;0,AP139*100+AQ139,IF(AND(BL139=1,BM139=1),(AP139-1)*100+1,AP139*100+1))</f>
        <v/>
      </c>
      <c r="BO139" s="3">
        <f>IF(OR(K139="hibrido",K139="glp",K139="gnc",K139="phev"),"ECO",IF(K139="electrico","CERO",IF(K139="gasolina",IF(BN139&gt;=GAS_C_YM,"C",IF(BN139&gt;=GAS_B_YM,"B","A")),IF(K139="diesel",IF(BN139&gt;=DIE_C_YM,"C",IF(BN139&gt;=DIE_B_YM,"B","A")),""))))</f>
        <v/>
      </c>
      <c r="BP139" s="4">
        <f>BO139</f>
        <v/>
      </c>
      <c r="BQ139" s="4">
        <f>IF(AS139="regla",IF(AND(N(AQ139)=0,BL139=1),"sí","no"),"no")</f>
        <v/>
      </c>
      <c r="BR139" s="3">
        <f>IFERROR(VLOOKUP(F139,MOD_TBL,11,0),IFERROR(VLOOKUP(E139,OCU_TBL,2,0),NEUTRO))</f>
        <v/>
      </c>
      <c r="BS139" s="3">
        <f>SUMIFS(MOT_AJUSTE,MOT_MOTOR,G139,MOT_MARCA,E139,MOT_DESDE,"&lt;="&amp;M139,MOT_HASTA,"&gt;="&amp;M139)+SUMIFS(MOT_AJUSTE,MOT_MOTOR,G139,MOT_MARCA,"(todas)",MOT_DESDE,"&lt;="&amp;M139,MOT_HASTA,"&gt;="&amp;M139)</f>
        <v/>
      </c>
      <c r="BT139" s="3">
        <f>SUMIFS(COMB_AJUSTE,COMB_COMB,K139)</f>
        <v/>
      </c>
      <c r="BU139" s="3">
        <f>COUNTIFS(MOT_MOTOR,G139,MOT_MARCA,E139,MOT_DESDE,"&lt;="&amp;M139,MOT_HASTA,"&gt;="&amp;M139)+COUNTIFS(MOT_MOTOR,G139,MOT_MARCA,"(todas)",MOT_DESDE,"&lt;="&amp;M139,MOT_HASTA,"&gt;="&amp;M139)</f>
        <v/>
      </c>
      <c r="BV139" s="3">
        <f>IF(AND(K139="diesel",BU139=0),MIN(BR139,NEUTRO),BR139)</f>
        <v/>
      </c>
      <c r="BW139" s="4">
        <f>MAX(0,MIN(100,BV139+BS139+BT139))</f>
        <v/>
      </c>
      <c r="BX139" s="3">
        <f>MAX(0,MIN(100,50+BK139*PRECIO_PEND))</f>
        <v/>
      </c>
      <c r="BY139" s="3">
        <f>MAX(0,100*(1-N139/KM_MAX))</f>
        <v/>
      </c>
      <c r="BZ139" s="3">
        <f>IF(BB139&lt;KMA_SOSP,IF(AA139="sí",100,KMA_PEN),IF(BB139&lt;=KMA_IDEAL_MAX,100,MAX(0,100*(KMA_CERO-BB139)/(KMA_CERO-KMA_IDEAL_MAX))))</f>
        <v/>
      </c>
      <c r="CA139" s="3">
        <f>MAX(0,MIN(100,100*(M139-ANIO_MIN)/(ANIO_ACTUAL-ANIO_MIN)))</f>
        <v/>
      </c>
      <c r="CB139" s="3">
        <f>W_KMT*BY139+W_KMA*BZ139+W_EDAD*CA139</f>
        <v/>
      </c>
      <c r="CC139" s="3">
        <f>P_ITV*(V139="sí")+P_LIBRO*(W139="sí")+P_CORREA*(X139="sí")+P_PROP*(Y139=1)+P_GAR*(Z139="sí")+P_FOTOS*MIN(1,N(U139)/FOTOS_OBJ)</f>
        <v/>
      </c>
      <c r="CD139" s="3">
        <f>MAX(0,MIN(100,IFERROR(VLOOKUP(BP139,ETQ_TBL,2,0),0)-IF(BQ139="sí",ETQ_PEN_DUD,IF(AS139="regla",ETQ_PEN_REGLA,0))))</f>
        <v/>
      </c>
      <c r="CE139" s="3">
        <f>NEUTRO</f>
        <v/>
      </c>
      <c r="CF139" s="3">
        <f>IFERROR(VLOOKUP(L139,SEGURO_TBL,3,0),"")</f>
        <v/>
      </c>
      <c r="CG139" s="3">
        <f>IF(CF139="",NEUTRO,MAX(0,MIN(100,100*(SEG_REF_MAX-CF139)/(SEG_REF_MAX-SEG_REF_MIN))))</f>
        <v/>
      </c>
      <c r="CH139" s="3">
        <f>W_CONS*CE139+W_SEG*CG139</f>
        <v/>
      </c>
      <c r="CI139" s="3">
        <f>IF(N(AB139)&gt;0,AB139,IF(AND(R139="profesional",SG_LEGAL_ON=1),GAR_LEGAL,0))</f>
        <v/>
      </c>
      <c r="CJ139" s="3">
        <f>SG_GAR*MIN(1,CI139/SG_GAR_FULL)+SG_AMPL*(AC139="sí")+SG_KMC*(AF139="sí")+SG_REV*(N(AE139)&gt;0)+SG_DEV*MIN(1,N(AG139)/SG_DEV_FULL)+SG_HIST*(W139="sí")</f>
        <v/>
      </c>
      <c r="CK139" s="3">
        <f>IFERROR(VLOOKUP(L139,CARR_PEN_TBL,2,0),0)</f>
        <v/>
      </c>
      <c r="CL139" s="3">
        <f>W_FIAB*BW139+W_PRECIO*BX139+W_KMEDAD*CB139+W_ANUNCIO*CC139+W_USO*CH139+W_SEGURIDAD*CJ139+W_ETIQUETA*CD139-CK139</f>
        <v/>
      </c>
      <c r="CM139" s="4">
        <f>IF(N(I139)&gt;0,I139,IFERROR(ROUND(_xlfn.NUMBERVALUE(LEFT(G139,FIND(" ",G139&amp;" ")-1),".")*1000,0),99999))</f>
        <v/>
      </c>
      <c r="CN139" s="3">
        <f>IF(R139="profesional",0,IF(O139&lt;CUOTA_VALOR_MAX,IF(BA139&gt;ITP_TRAMO_ALTO,SUMIFS(CF_CUOTA,CF_MAS,ITP_TRAMO_ALTO,CF_CCMIN,"&lt;="&amp;CM139,CF_CCMAX,"&gt;="&amp;CM139),IF(BA139&gt;ITP_TRAMO_BAJO,SUMIFS(CF_CUOTA,CF_MAS,ITP_TRAMO_BAJO,CF_CCMIN,"&lt;="&amp;CM139,CF_CCMAX,"&gt;="&amp;CM139),O139*ITP_TIPO)),O139*ITP_TIPO))</f>
        <v/>
      </c>
      <c r="CO139" s="4">
        <f>IF(R139="profesional",N(AK139),0)</f>
        <v/>
      </c>
      <c r="CP139" s="3">
        <f>IF(AND(R139="profesional",ISNUMBER(AK139),AL139="sí"),0,TASA_DGT)</f>
        <v/>
      </c>
      <c r="CQ139" s="3">
        <f>INFORME_DGT</f>
        <v/>
      </c>
      <c r="CR139" s="4">
        <f>O139+CO139+CN139+CP139+CQ139</f>
        <v/>
      </c>
      <c r="CS139" s="4">
        <f>CR139+N(CF139)</f>
        <v/>
      </c>
      <c r="CT139" s="3">
        <f>IF(CR139&lt;=TOTAL_MAX,"sí",IF(CR139&lt;=TOTAL_MAX+MARGEN_NEG,"negociar","no"))</f>
        <v/>
      </c>
      <c r="CU139" s="4">
        <f>IF(CT139&lt;&gt;"no",COUNTIFS($CT$2:$CT$545,"&lt;&gt;no",$CL$2:$CL$545,"&gt;"&amp;CL139)+COUNTIFS($CT$2:CT139,"&lt;&gt;no",$CL$2:CL139,CL139),"")</f>
        <v/>
      </c>
    </row>
    <row r="140">
      <c r="A140" s="2" t="inlineStr">
        <is>
          <t>cochesnet:71569576</t>
        </is>
      </c>
      <c r="B140" s="2" t="inlineStr">
        <is>
          <t>cochesnet</t>
        </is>
      </c>
      <c r="C140" s="2" t="inlineStr">
        <is>
          <t>https://www.coches.net/ford-ka-12-trend-3p-gasolina-2010-en-valencia-71569576-covo.aspx</t>
        </is>
      </c>
      <c r="D140" s="2" t="inlineStr">
        <is>
          <t>FORD Ka 1.2 Trend</t>
        </is>
      </c>
      <c r="E140" s="2" t="inlineStr">
        <is>
          <t>Ford</t>
        </is>
      </c>
      <c r="F140" s="2" t="inlineStr">
        <is>
          <t>Ford Ka</t>
        </is>
      </c>
      <c r="G140" s="2" t="inlineStr">
        <is>
          <t>1.2</t>
        </is>
      </c>
      <c r="H140" s="2" t="inlineStr">
        <is>
          <t>1.2 Trend</t>
        </is>
      </c>
      <c r="I140" s="2" t="n"/>
      <c r="J140" s="2" t="n"/>
      <c r="K140" s="2" t="inlineStr">
        <is>
          <t>gasolina</t>
        </is>
      </c>
      <c r="L140" s="2" t="inlineStr">
        <is>
          <t>utilitario</t>
        </is>
      </c>
      <c r="M140" s="2" t="n">
        <v>2010</v>
      </c>
      <c r="N140" s="2" t="n">
        <v>157000</v>
      </c>
      <c r="O140" s="2" t="n">
        <v>3500</v>
      </c>
      <c r="P140" s="2" t="inlineStr">
        <is>
          <t>manual</t>
        </is>
      </c>
      <c r="Q140" s="2" t="inlineStr">
        <is>
          <t>no</t>
        </is>
      </c>
      <c r="R140" s="2" t="inlineStr">
        <is>
          <t>profesional</t>
        </is>
      </c>
      <c r="S140" s="2" t="inlineStr">
        <is>
          <t>Beniparrell</t>
        </is>
      </c>
      <c r="T140" s="2" t="inlineStr">
        <is>
          <t>2026-09-22T12:09:29Z</t>
        </is>
      </c>
      <c r="U140" s="2" t="n">
        <v>13</v>
      </c>
      <c r="V140" s="2" t="n"/>
      <c r="W140" s="2" t="n"/>
      <c r="X140" s="2" t="n"/>
      <c r="Y140" s="2" t="n"/>
      <c r="Z140" s="2" t="inlineStr">
        <is>
          <t>sí</t>
        </is>
      </c>
      <c r="AA140" s="2" t="n"/>
      <c r="AB140" s="2" t="n">
        <v>12</v>
      </c>
      <c r="AC140" s="2" t="n"/>
      <c r="AD140" s="2" t="n"/>
      <c r="AE140" s="2" t="n"/>
      <c r="AF140" s="2" t="n"/>
      <c r="AG140" s="2" t="n"/>
      <c r="AH140" s="2" t="n">
        <v>3500</v>
      </c>
      <c r="AI140" s="2" t="n"/>
      <c r="AJ140" s="2" t="n"/>
      <c r="AK140" s="2" t="n"/>
      <c r="AL140" s="2" t="n"/>
      <c r="AM140" s="2" t="n">
        <v>10.2</v>
      </c>
      <c r="AN140" s="2" t="n"/>
      <c r="AO140" s="2" t="inlineStr">
        <is>
          <t>2010</t>
        </is>
      </c>
      <c r="AP140" s="2" t="n">
        <v>2010</v>
      </c>
      <c r="AQ140" s="2" t="n"/>
      <c r="AR140" s="2" t="inlineStr">
        <is>
          <t>C</t>
        </is>
      </c>
      <c r="AS140" s="2" t="inlineStr">
        <is>
          <t>anuncio</t>
        </is>
      </c>
      <c r="AT140" s="2" t="n">
        <v>3000</v>
      </c>
      <c r="AU140" s="2" t="n">
        <v>9</v>
      </c>
      <c r="AV140" s="2" t="inlineStr">
        <is>
          <t>modelo+año</t>
        </is>
      </c>
      <c r="AW140" s="2" t="n"/>
      <c r="AX140" s="2" t="inlineStr">
        <is>
          <t>vendedor profesional: sin ITP (operación con IVA/REBU, confirmar en factura); gastos de gestión del vendedor no indicados: se suma la tasa DGT; preguntar el precio final; fiabilidad del modelo PENDIENTE de fuente (puntuación neutra)</t>
        </is>
      </c>
      <c r="AY140"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AZ140" s="2" t="inlineStr">
        <is>
          <t>https://www.coches.net/ford-ka-12-trend-3p-gasolina-2010-en-valencia-71569576-covo.aspx (window.__INITIAL_PROPS__.ad) /home/user/Alopecia/buscador-coches/raw/cochesnet/f615001a1b31829d.json</t>
        </is>
      </c>
      <c r="BA140" s="3">
        <f>MAX(ANIO_ACTUAL-M140,0)</f>
        <v/>
      </c>
      <c r="BB140" s="4">
        <f>N140/MAX(BA140,0.5)</f>
        <v/>
      </c>
      <c r="BC140" s="4">
        <f>F140</f>
        <v/>
      </c>
      <c r="BD140" s="3">
        <f>BC140&amp;"|"&amp;INT(M140/SEG_ANIO)*SEG_ANIO</f>
        <v/>
      </c>
      <c r="BE140" s="3">
        <f>BD140&amp;"|"&amp;INT(N140/SEG_KM)*SEG_KM</f>
        <v/>
      </c>
      <c r="BF140" s="4">
        <f>COUNTIF($BC$2:$BC$545,BC140)</f>
        <v/>
      </c>
      <c r="BG140" s="4">
        <f>COUNTIF($BD$2:$BD$545,BD140)</f>
        <v/>
      </c>
      <c r="BH140" s="4">
        <f>COUNTIF($BE$2:$BE$545,BE140)</f>
        <v/>
      </c>
      <c r="BI140" s="3">
        <f t="array" ref="BI140">IF(N(AU140)&gt;=MIN_N,AT140,IF(BH140&gt;=MIN_N,MEDIAN(IF($BE$2:$BE$545=BE140,$O$2:$O$545)),IF(BG140&gt;=MIN_N,MEDIAN(IF($BD$2:$BD$545=BD140,$O$2:$O$545)),MEDIAN(IF($BC$2:$BC$545=BC140,$O$2:$O$545)))))</f>
        <v/>
      </c>
      <c r="BJ140" s="3">
        <f>IF(N(AU140)&gt;=MIN_N,"mercado "&amp;AV140,IF(BH140&gt;=MIN_N,"modelo+año+km",IF(BG140&gt;=MIN_N,"modelo+año","modelo")))</f>
        <v/>
      </c>
      <c r="BK140" s="4">
        <f>(BI140-O140)/BI140</f>
        <v/>
      </c>
      <c r="BL140" s="3">
        <f>IF(COUNTIFS(FR_FUEL,K140,FR_YEAR,AP140)&gt;0,1,0)</f>
        <v/>
      </c>
      <c r="BM140" s="3">
        <f>IF(COUNTIFS(FR_FUEL,K140,FR_YEAR,AP140-1)&gt;0,1,0)</f>
        <v/>
      </c>
      <c r="BN140" s="4">
        <f>IF(N(AQ140)&gt;0,AP140*100+AQ140,IF(AND(BL140=1,BM140=1),(AP140-1)*100+1,AP140*100+1))</f>
        <v/>
      </c>
      <c r="BO140" s="3">
        <f>IF(OR(K140="hibrido",K140="glp",K140="gnc",K140="phev"),"ECO",IF(K140="electrico","CERO",IF(K140="gasolina",IF(BN140&gt;=GAS_C_YM,"C",IF(BN140&gt;=GAS_B_YM,"B","A")),IF(K140="diesel",IF(BN140&gt;=DIE_C_YM,"C",IF(BN140&gt;=DIE_B_YM,"B","A")),""))))</f>
        <v/>
      </c>
      <c r="BP140" s="2" t="inlineStr">
        <is>
          <t>C</t>
        </is>
      </c>
      <c r="BQ140" s="4">
        <f>IF(AS140="regla",IF(AND(N(AQ140)=0,BL140=1),"sí","no"),"no")</f>
        <v/>
      </c>
      <c r="BR140" s="3">
        <f>IFERROR(VLOOKUP(F140,MOD_TBL,11,0),IFERROR(VLOOKUP(E140,OCU_TBL,2,0),NEUTRO))</f>
        <v/>
      </c>
      <c r="BS140" s="3">
        <f>SUMIFS(MOT_AJUSTE,MOT_MOTOR,G140,MOT_MARCA,E140,MOT_DESDE,"&lt;="&amp;M140,MOT_HASTA,"&gt;="&amp;M140)+SUMIFS(MOT_AJUSTE,MOT_MOTOR,G140,MOT_MARCA,"(todas)",MOT_DESDE,"&lt;="&amp;M140,MOT_HASTA,"&gt;="&amp;M140)</f>
        <v/>
      </c>
      <c r="BT140" s="3">
        <f>SUMIFS(COMB_AJUSTE,COMB_COMB,K140)</f>
        <v/>
      </c>
      <c r="BU140" s="3">
        <f>COUNTIFS(MOT_MOTOR,G140,MOT_MARCA,E140,MOT_DESDE,"&lt;="&amp;M140,MOT_HASTA,"&gt;="&amp;M140)+COUNTIFS(MOT_MOTOR,G140,MOT_MARCA,"(todas)",MOT_DESDE,"&lt;="&amp;M140,MOT_HASTA,"&gt;="&amp;M140)</f>
        <v/>
      </c>
      <c r="BV140" s="3">
        <f>IF(AND(K140="diesel",BU140=0),MIN(BR140,NEUTRO),BR140)</f>
        <v/>
      </c>
      <c r="BW140" s="4">
        <f>MAX(0,MIN(100,BV140+BS140+BT140))</f>
        <v/>
      </c>
      <c r="BX140" s="3">
        <f>MAX(0,MIN(100,50+BK140*PRECIO_PEND))</f>
        <v/>
      </c>
      <c r="BY140" s="3">
        <f>MAX(0,100*(1-N140/KM_MAX))</f>
        <v/>
      </c>
      <c r="BZ140" s="3">
        <f>IF(BB140&lt;KMA_SOSP,IF(AA140="sí",100,KMA_PEN),IF(BB140&lt;=KMA_IDEAL_MAX,100,MAX(0,100*(KMA_CERO-BB140)/(KMA_CERO-KMA_IDEAL_MAX))))</f>
        <v/>
      </c>
      <c r="CA140" s="3">
        <f>MAX(0,MIN(100,100*(M140-ANIO_MIN)/(ANIO_ACTUAL-ANIO_MIN)))</f>
        <v/>
      </c>
      <c r="CB140" s="3">
        <f>W_KMT*BY140+W_KMA*BZ140+W_EDAD*CA140</f>
        <v/>
      </c>
      <c r="CC140" s="3">
        <f>P_ITV*(V140="sí")+P_LIBRO*(W140="sí")+P_CORREA*(X140="sí")+P_PROP*(Y140=1)+P_GAR*(Z140="sí")+P_FOTOS*MIN(1,N(U140)/FOTOS_OBJ)</f>
        <v/>
      </c>
      <c r="CD140" s="3">
        <f>MAX(0,MIN(100,IFERROR(VLOOKUP(BP140,ETQ_TBL,2,0),0)-IF(BQ140="sí",ETQ_PEN_DUD,IF(AS140="regla",ETQ_PEN_REGLA,0))))</f>
        <v/>
      </c>
      <c r="CE140" s="3">
        <f>NEUTRO</f>
        <v/>
      </c>
      <c r="CF140" s="3">
        <f>IFERROR(VLOOKUP(L140,SEGURO_TBL,3,0),"")</f>
        <v/>
      </c>
      <c r="CG140" s="3">
        <f>IF(CF140="",NEUTRO,MAX(0,MIN(100,100*(SEG_REF_MAX-CF140)/(SEG_REF_MAX-SEG_REF_MIN))))</f>
        <v/>
      </c>
      <c r="CH140" s="3">
        <f>W_CONS*CE140+W_SEG*CG140</f>
        <v/>
      </c>
      <c r="CI140" s="3">
        <f>IF(N(AB140)&gt;0,AB140,IF(AND(R140="profesional",SG_LEGAL_ON=1),GAR_LEGAL,0))</f>
        <v/>
      </c>
      <c r="CJ140" s="3">
        <f>SG_GAR*MIN(1,CI140/SG_GAR_FULL)+SG_AMPL*(AC140="sí")+SG_KMC*(AF140="sí")+SG_REV*(N(AE140)&gt;0)+SG_DEV*MIN(1,N(AG140)/SG_DEV_FULL)+SG_HIST*(W140="sí")</f>
        <v/>
      </c>
      <c r="CK140" s="3">
        <f>IFERROR(VLOOKUP(L140,CARR_PEN_TBL,2,0),0)</f>
        <v/>
      </c>
      <c r="CL140" s="3">
        <f>W_FIAB*BW140+W_PRECIO*BX140+W_KMEDAD*CB140+W_ANUNCIO*CC140+W_USO*CH140+W_SEGURIDAD*CJ140+W_ETIQUETA*CD140-CK140</f>
        <v/>
      </c>
      <c r="CM140" s="4">
        <f>IF(N(I140)&gt;0,I140,IFERROR(ROUND(_xlfn.NUMBERVALUE(LEFT(G140,FIND(" ",G140&amp;" ")-1),".")*1000,0),99999))</f>
        <v/>
      </c>
      <c r="CN140" s="3">
        <f>IF(R140="profesional",0,IF(O140&lt;CUOTA_VALOR_MAX,IF(BA140&gt;ITP_TRAMO_ALTO,SUMIFS(CF_CUOTA,CF_MAS,ITP_TRAMO_ALTO,CF_CCMIN,"&lt;="&amp;CM140,CF_CCMAX,"&gt;="&amp;CM140),IF(BA140&gt;ITP_TRAMO_BAJO,SUMIFS(CF_CUOTA,CF_MAS,ITP_TRAMO_BAJO,CF_CCMIN,"&lt;="&amp;CM140,CF_CCMAX,"&gt;="&amp;CM140),O140*ITP_TIPO)),O140*ITP_TIPO))</f>
        <v/>
      </c>
      <c r="CO140" s="4">
        <f>IF(R140="profesional",N(AK140),0)</f>
        <v/>
      </c>
      <c r="CP140" s="3">
        <f>IF(AND(R140="profesional",ISNUMBER(AK140),AL140="sí"),0,TASA_DGT)</f>
        <v/>
      </c>
      <c r="CQ140" s="3">
        <f>INFORME_DGT</f>
        <v/>
      </c>
      <c r="CR140" s="4">
        <f>O140+CO140+CN140+CP140+CQ140</f>
        <v/>
      </c>
      <c r="CS140" s="4">
        <f>CR140+N(CF140)</f>
        <v/>
      </c>
      <c r="CT140" s="3">
        <f>IF(CR140&lt;=TOTAL_MAX,"sí",IF(CR140&lt;=TOTAL_MAX+MARGEN_NEG,"negociar","no"))</f>
        <v/>
      </c>
      <c r="CU140" s="4">
        <f>IF(CT140&lt;&gt;"no",COUNTIFS($CT$2:$CT$545,"&lt;&gt;no",$CL$2:$CL$545,"&gt;"&amp;CL140)+COUNTIFS($CT$2:CT140,"&lt;&gt;no",$CL$2:CL140,CL140),"")</f>
        <v/>
      </c>
    </row>
    <row r="141">
      <c r="A141" s="2" t="inlineStr">
        <is>
          <t>cochesnet:70592187</t>
        </is>
      </c>
      <c r="B141" s="2" t="inlineStr">
        <is>
          <t>cochesnet</t>
        </is>
      </c>
      <c r="C141" s="2" t="inlineStr">
        <is>
          <t>https://www.coches.net/ford-fiesta-14-tdci-trend-5p-diesel-2011-en-valencia-70592187-covo.aspx</t>
        </is>
      </c>
      <c r="D141" s="2" t="inlineStr">
        <is>
          <t>FORD Fiesta 1.4 TDCi Trend</t>
        </is>
      </c>
      <c r="E141" s="2" t="inlineStr">
        <is>
          <t>Ford</t>
        </is>
      </c>
      <c r="F141" s="2" t="inlineStr">
        <is>
          <t>Ford Fiesta</t>
        </is>
      </c>
      <c r="G141" s="2" t="inlineStr">
        <is>
          <t>1.4 TDCi</t>
        </is>
      </c>
      <c r="H141" s="2" t="inlineStr">
        <is>
          <t>1.4 TDCi Trend</t>
        </is>
      </c>
      <c r="I141" s="2" t="n"/>
      <c r="J141" s="2" t="n"/>
      <c r="K141" s="2" t="inlineStr">
        <is>
          <t>diesel</t>
        </is>
      </c>
      <c r="L141" s="2" t="inlineStr">
        <is>
          <t>utilitario</t>
        </is>
      </c>
      <c r="M141" s="2" t="n">
        <v>2011</v>
      </c>
      <c r="N141" s="2" t="n">
        <v>199000</v>
      </c>
      <c r="O141" s="2" t="n">
        <v>4490</v>
      </c>
      <c r="P141" s="2" t="inlineStr">
        <is>
          <t>manual</t>
        </is>
      </c>
      <c r="Q141" s="2" t="inlineStr">
        <is>
          <t>no</t>
        </is>
      </c>
      <c r="R141" s="2" t="inlineStr">
        <is>
          <t>profesional</t>
        </is>
      </c>
      <c r="S141" s="2" t="inlineStr">
        <is>
          <t>V.O. Eliana San Antonio de Benagéber</t>
        </is>
      </c>
      <c r="T141" s="2" t="inlineStr">
        <is>
          <t>2026-08-05T20:05:58Z</t>
        </is>
      </c>
      <c r="U141" s="2" t="n">
        <v>18</v>
      </c>
      <c r="V141" s="2" t="n"/>
      <c r="W141" s="2" t="n"/>
      <c r="X141" s="2" t="n"/>
      <c r="Y141" s="2" t="n"/>
      <c r="Z141" s="2" t="inlineStr">
        <is>
          <t>sí</t>
        </is>
      </c>
      <c r="AA141" s="2" t="n"/>
      <c r="AB141" s="2" t="n">
        <v>12</v>
      </c>
      <c r="AC141" s="2" t="n"/>
      <c r="AD141" s="2" t="n"/>
      <c r="AE141" s="2" t="n"/>
      <c r="AF141" s="2" t="n"/>
      <c r="AG141" s="2" t="n"/>
      <c r="AH141" s="2" t="n">
        <v>4490</v>
      </c>
      <c r="AI141" s="2" t="n"/>
      <c r="AJ141" s="2" t="n"/>
      <c r="AK141" s="2" t="n"/>
      <c r="AL141" s="2" t="n"/>
      <c r="AM141" s="2" t="n">
        <v>19.1</v>
      </c>
      <c r="AN141" s="2" t="n"/>
      <c r="AO141" s="2" t="inlineStr">
        <is>
          <t>2011</t>
        </is>
      </c>
      <c r="AP141" s="2" t="n">
        <v>2011</v>
      </c>
      <c r="AQ141" s="2" t="n"/>
      <c r="AR141" s="2" t="inlineStr">
        <is>
          <t>B</t>
        </is>
      </c>
      <c r="AS141" s="2" t="inlineStr">
        <is>
          <t>anuncio</t>
        </is>
      </c>
      <c r="AT141" s="2" t="n">
        <v>4545</v>
      </c>
      <c r="AU141" s="2" t="n">
        <v>18</v>
      </c>
      <c r="AV141" s="2" t="inlineStr">
        <is>
          <t>modelo+año+km</t>
        </is>
      </c>
      <c r="AW141" s="2" t="n"/>
      <c r="AX141" s="2" t="inlineStr">
        <is>
          <t>vendedor profesional: sin ITP (operación con IVA/REBU, confirmar en factura); gastos de gestión del vendedor no indicados: se suma la tasa DGT; preguntar el precio final; diésel: motor sin fuente de fiabilidad (fiabilidad limitada a neutra)</t>
        </is>
      </c>
      <c r="AY141" s="2" t="inlineStr">
        <is>
          <t>Este Ford Fiesta 1.4 TDCi Trend es un vehículo compacto y eficiente, particularmente adecuado para uso urbano y desplazamientos diarios. Su motor diésel de 70 CV proporciona un consumo contenido —en torno a 4,1 l/100 km en ciclo mixto— lo que permite una autonomía de casi 1.000 kilómetros con el depósito lleno de 40 litros.
El habitáculo ofrece espacio suficiente para cinco ocupantes con comodidad en los desplazamientos cortos y medios. Los asientos delanteros cuentan con ajuste manual en altura, mientras que la banqueta trasera dispone de respaldo abatible asimétrico, facilitando la versatilidad de carga. El maletero de 295 litros se expande hasta 979 litros con los asientos plegados, una capacidad práctica para compras y pequeños viajes.
En cuanto a equipamiento de confort, este incluye dirección asistida eléctrica con endurecimiento progresivo, elevalunas eléctricos delanteros, cierre centralizado con mando a distancia de doble cierre y apertura remota del maletero. El sistema de ventilación incorpora filtro de pólen. El volante es ajustable en altura y profundidad, y los retrovisores exteriores son eléctricos, desempañables y cuentan con intermitente integrado.
La seguridad está garantizada con airbags frontales inteligentes y laterales delanteros, cinturones de seguridad con pretensores en los asientos delanteros, ABS, control electrónico de tracción y control de estabilidad. Dispone de preparación Isofix para sistemas de retención infantil.
Este modelo cuenta con et</t>
        </is>
      </c>
      <c r="AZ141" s="2" t="inlineStr">
        <is>
          <t>https://www.coches.net/ford-fiesta-14-tdci-trend-5p-diesel-2011-en-valencia-70592187-covo.aspx (window.__INITIAL_PROPS__.ad) /home/user/Alopecia/buscador-coches/raw/cochesnet/b52cc027b9556748.json</t>
        </is>
      </c>
      <c r="BA141" s="3">
        <f>MAX(ANIO_ACTUAL-M141,0)</f>
        <v/>
      </c>
      <c r="BB141" s="4">
        <f>N141/MAX(BA141,0.5)</f>
        <v/>
      </c>
      <c r="BC141" s="4">
        <f>F141</f>
        <v/>
      </c>
      <c r="BD141" s="3">
        <f>BC141&amp;"|"&amp;INT(M141/SEG_ANIO)*SEG_ANIO</f>
        <v/>
      </c>
      <c r="BE141" s="3">
        <f>BD141&amp;"|"&amp;INT(N141/SEG_KM)*SEG_KM</f>
        <v/>
      </c>
      <c r="BF141" s="4">
        <f>COUNTIF($BC$2:$BC$545,BC141)</f>
        <v/>
      </c>
      <c r="BG141" s="4">
        <f>COUNTIF($BD$2:$BD$545,BD141)</f>
        <v/>
      </c>
      <c r="BH141" s="4">
        <f>COUNTIF($BE$2:$BE$545,BE141)</f>
        <v/>
      </c>
      <c r="BI141" s="3">
        <f t="array" ref="BI141">IF(N(AU141)&gt;=MIN_N,AT141,IF(BH141&gt;=MIN_N,MEDIAN(IF($BE$2:$BE$545=BE141,$O$2:$O$545)),IF(BG141&gt;=MIN_N,MEDIAN(IF($BD$2:$BD$545=BD141,$O$2:$O$545)),MEDIAN(IF($BC$2:$BC$545=BC141,$O$2:$O$545)))))</f>
        <v/>
      </c>
      <c r="BJ141" s="3">
        <f>IF(N(AU141)&gt;=MIN_N,"mercado "&amp;AV141,IF(BH141&gt;=MIN_N,"modelo+año+km",IF(BG141&gt;=MIN_N,"modelo+año","modelo")))</f>
        <v/>
      </c>
      <c r="BK141" s="4">
        <f>(BI141-O141)/BI141</f>
        <v/>
      </c>
      <c r="BL141" s="3">
        <f>IF(COUNTIFS(FR_FUEL,K141,FR_YEAR,AP141)&gt;0,1,0)</f>
        <v/>
      </c>
      <c r="BM141" s="3">
        <f>IF(COUNTIFS(FR_FUEL,K141,FR_YEAR,AP141-1)&gt;0,1,0)</f>
        <v/>
      </c>
      <c r="BN141" s="4">
        <f>IF(N(AQ141)&gt;0,AP141*100+AQ141,IF(AND(BL141=1,BM141=1),(AP141-1)*100+1,AP141*100+1))</f>
        <v/>
      </c>
      <c r="BO141" s="3">
        <f>IF(OR(K141="hibrido",K141="glp",K141="gnc",K141="phev"),"ECO",IF(K141="electrico","CERO",IF(K141="gasolina",IF(BN141&gt;=GAS_C_YM,"C",IF(BN141&gt;=GAS_B_YM,"B","A")),IF(K141="diesel",IF(BN141&gt;=DIE_C_YM,"C",IF(BN141&gt;=DIE_B_YM,"B","A")),""))))</f>
        <v/>
      </c>
      <c r="BP141" s="2" t="inlineStr">
        <is>
          <t>B</t>
        </is>
      </c>
      <c r="BQ141" s="4">
        <f>IF(AS141="regla",IF(AND(N(AQ141)=0,BL141=1),"sí","no"),"no")</f>
        <v/>
      </c>
      <c r="BR141" s="3">
        <f>IFERROR(VLOOKUP(F141,MOD_TBL,11,0),IFERROR(VLOOKUP(E141,OCU_TBL,2,0),NEUTRO))</f>
        <v/>
      </c>
      <c r="BS141" s="3">
        <f>SUMIFS(MOT_AJUSTE,MOT_MOTOR,G141,MOT_MARCA,E141,MOT_DESDE,"&lt;="&amp;M141,MOT_HASTA,"&gt;="&amp;M141)+SUMIFS(MOT_AJUSTE,MOT_MOTOR,G141,MOT_MARCA,"(todas)",MOT_DESDE,"&lt;="&amp;M141,MOT_HASTA,"&gt;="&amp;M141)</f>
        <v/>
      </c>
      <c r="BT141" s="3">
        <f>SUMIFS(COMB_AJUSTE,COMB_COMB,K141)</f>
        <v/>
      </c>
      <c r="BU141" s="3">
        <f>COUNTIFS(MOT_MOTOR,G141,MOT_MARCA,E141,MOT_DESDE,"&lt;="&amp;M141,MOT_HASTA,"&gt;="&amp;M141)+COUNTIFS(MOT_MOTOR,G141,MOT_MARCA,"(todas)",MOT_DESDE,"&lt;="&amp;M141,MOT_HASTA,"&gt;="&amp;M141)</f>
        <v/>
      </c>
      <c r="BV141" s="3">
        <f>IF(AND(K141="diesel",BU141=0),MIN(BR141,NEUTRO),BR141)</f>
        <v/>
      </c>
      <c r="BW141" s="4">
        <f>MAX(0,MIN(100,BV141+BS141+BT141))</f>
        <v/>
      </c>
      <c r="BX141" s="3">
        <f>MAX(0,MIN(100,50+BK141*PRECIO_PEND))</f>
        <v/>
      </c>
      <c r="BY141" s="3">
        <f>MAX(0,100*(1-N141/KM_MAX))</f>
        <v/>
      </c>
      <c r="BZ141" s="3">
        <f>IF(BB141&lt;KMA_SOSP,IF(AA141="sí",100,KMA_PEN),IF(BB141&lt;=KMA_IDEAL_MAX,100,MAX(0,100*(KMA_CERO-BB141)/(KMA_CERO-KMA_IDEAL_MAX))))</f>
        <v/>
      </c>
      <c r="CA141" s="3">
        <f>MAX(0,MIN(100,100*(M141-ANIO_MIN)/(ANIO_ACTUAL-ANIO_MIN)))</f>
        <v/>
      </c>
      <c r="CB141" s="3">
        <f>W_KMT*BY141+W_KMA*BZ141+W_EDAD*CA141</f>
        <v/>
      </c>
      <c r="CC141" s="3">
        <f>P_ITV*(V141="sí")+P_LIBRO*(W141="sí")+P_CORREA*(X141="sí")+P_PROP*(Y141=1)+P_GAR*(Z141="sí")+P_FOTOS*MIN(1,N(U141)/FOTOS_OBJ)</f>
        <v/>
      </c>
      <c r="CD141" s="3">
        <f>MAX(0,MIN(100,IFERROR(VLOOKUP(BP141,ETQ_TBL,2,0),0)-IF(BQ141="sí",ETQ_PEN_DUD,IF(AS141="regla",ETQ_PEN_REGLA,0))))</f>
        <v/>
      </c>
      <c r="CE141" s="3">
        <f>NEUTRO</f>
        <v/>
      </c>
      <c r="CF141" s="3">
        <f>IFERROR(VLOOKUP(L141,SEGURO_TBL,3,0),"")</f>
        <v/>
      </c>
      <c r="CG141" s="3">
        <f>IF(CF141="",NEUTRO,MAX(0,MIN(100,100*(SEG_REF_MAX-CF141)/(SEG_REF_MAX-SEG_REF_MIN))))</f>
        <v/>
      </c>
      <c r="CH141" s="3">
        <f>W_CONS*CE141+W_SEG*CG141</f>
        <v/>
      </c>
      <c r="CI141" s="3">
        <f>IF(N(AB141)&gt;0,AB141,IF(AND(R141="profesional",SG_LEGAL_ON=1),GAR_LEGAL,0))</f>
        <v/>
      </c>
      <c r="CJ141" s="3">
        <f>SG_GAR*MIN(1,CI141/SG_GAR_FULL)+SG_AMPL*(AC141="sí")+SG_KMC*(AF141="sí")+SG_REV*(N(AE141)&gt;0)+SG_DEV*MIN(1,N(AG141)/SG_DEV_FULL)+SG_HIST*(W141="sí")</f>
        <v/>
      </c>
      <c r="CK141" s="3">
        <f>IFERROR(VLOOKUP(L141,CARR_PEN_TBL,2,0),0)</f>
        <v/>
      </c>
      <c r="CL141" s="3">
        <f>W_FIAB*BW141+W_PRECIO*BX141+W_KMEDAD*CB141+W_ANUNCIO*CC141+W_USO*CH141+W_SEGURIDAD*CJ141+W_ETIQUETA*CD141-CK141</f>
        <v/>
      </c>
      <c r="CM141" s="4">
        <f>IF(N(I141)&gt;0,I141,IFERROR(ROUND(_xlfn.NUMBERVALUE(LEFT(G141,FIND(" ",G141&amp;" ")-1),".")*1000,0),99999))</f>
        <v/>
      </c>
      <c r="CN141" s="3">
        <f>IF(R141="profesional",0,IF(O141&lt;CUOTA_VALOR_MAX,IF(BA141&gt;ITP_TRAMO_ALTO,SUMIFS(CF_CUOTA,CF_MAS,ITP_TRAMO_ALTO,CF_CCMIN,"&lt;="&amp;CM141,CF_CCMAX,"&gt;="&amp;CM141),IF(BA141&gt;ITP_TRAMO_BAJO,SUMIFS(CF_CUOTA,CF_MAS,ITP_TRAMO_BAJO,CF_CCMIN,"&lt;="&amp;CM141,CF_CCMAX,"&gt;="&amp;CM141),O141*ITP_TIPO)),O141*ITP_TIPO))</f>
        <v/>
      </c>
      <c r="CO141" s="4">
        <f>IF(R141="profesional",N(AK141),0)</f>
        <v/>
      </c>
      <c r="CP141" s="3">
        <f>IF(AND(R141="profesional",ISNUMBER(AK141),AL141="sí"),0,TASA_DGT)</f>
        <v/>
      </c>
      <c r="CQ141" s="3">
        <f>INFORME_DGT</f>
        <v/>
      </c>
      <c r="CR141" s="4">
        <f>O141+CO141+CN141+CP141+CQ141</f>
        <v/>
      </c>
      <c r="CS141" s="4">
        <f>CR141+N(CF141)</f>
        <v/>
      </c>
      <c r="CT141" s="3">
        <f>IF(CR141&lt;=TOTAL_MAX,"sí",IF(CR141&lt;=TOTAL_MAX+MARGEN_NEG,"negociar","no"))</f>
        <v/>
      </c>
      <c r="CU141" s="4">
        <f>IF(CT141&lt;&gt;"no",COUNTIFS($CT$2:$CT$545,"&lt;&gt;no",$CL$2:$CL$545,"&gt;"&amp;CL141)+COUNTIFS($CT$2:CT141,"&lt;&gt;no",$CL$2:CL141,CL141),"")</f>
        <v/>
      </c>
    </row>
    <row r="142">
      <c r="A142" s="2" t="inlineStr">
        <is>
          <t>cochesnet:71146219</t>
        </is>
      </c>
      <c r="B142" s="2" t="inlineStr">
        <is>
          <t>cochesnet</t>
        </is>
      </c>
      <c r="C142" s="2" t="inlineStr">
        <is>
          <t>https://www.coches.net/ford-fiesta-14-tdci-trend-5p-diesel-2011-en-valencia-71146219-covo.aspx</t>
        </is>
      </c>
      <c r="D142" s="2" t="inlineStr">
        <is>
          <t>FORD Fiesta 1.4 TDCi Trend</t>
        </is>
      </c>
      <c r="E142" s="2" t="inlineStr">
        <is>
          <t>Ford</t>
        </is>
      </c>
      <c r="F142" s="2" t="inlineStr">
        <is>
          <t>Ford Fiesta</t>
        </is>
      </c>
      <c r="G142" s="2" t="inlineStr">
        <is>
          <t>1.4 TDCi</t>
        </is>
      </c>
      <c r="H142" s="2" t="inlineStr">
        <is>
          <t>1.4 TDCi Trend</t>
        </is>
      </c>
      <c r="I142" s="2" t="n"/>
      <c r="J142" s="2" t="n"/>
      <c r="K142" s="2" t="inlineStr">
        <is>
          <t>diesel</t>
        </is>
      </c>
      <c r="L142" s="2" t="inlineStr">
        <is>
          <t>utilitario</t>
        </is>
      </c>
      <c r="M142" s="2" t="n">
        <v>2010</v>
      </c>
      <c r="N142" s="2" t="n">
        <v>196000</v>
      </c>
      <c r="O142" s="2" t="n">
        <v>4000</v>
      </c>
      <c r="P142" s="2" t="inlineStr">
        <is>
          <t>manual</t>
        </is>
      </c>
      <c r="Q142" s="2" t="inlineStr">
        <is>
          <t>no</t>
        </is>
      </c>
      <c r="R142" s="2" t="inlineStr">
        <is>
          <t>profesional</t>
        </is>
      </c>
      <c r="S142" s="2" t="inlineStr">
        <is>
          <t>Beniparrell</t>
        </is>
      </c>
      <c r="T142" s="2" t="inlineStr">
        <is>
          <t>2026-10-20T18:06:18Z</t>
        </is>
      </c>
      <c r="U142" s="2" t="n">
        <v>13</v>
      </c>
      <c r="V142" s="2" t="n"/>
      <c r="W142" s="2" t="n"/>
      <c r="X142" s="2" t="n"/>
      <c r="Y142" s="2" t="n"/>
      <c r="Z142" s="2" t="inlineStr">
        <is>
          <t>sí</t>
        </is>
      </c>
      <c r="AA142" s="2" t="n"/>
      <c r="AB142" s="2" t="n">
        <v>12</v>
      </c>
      <c r="AC142" s="2" t="n"/>
      <c r="AD142" s="2" t="n"/>
      <c r="AE142" s="2" t="n"/>
      <c r="AF142" s="2" t="n"/>
      <c r="AG142" s="2" t="n"/>
      <c r="AH142" s="2" t="n">
        <v>4000</v>
      </c>
      <c r="AI142" s="2" t="n"/>
      <c r="AJ142" s="2" t="n"/>
      <c r="AK142" s="2" t="n"/>
      <c r="AL142" s="2" t="n"/>
      <c r="AM142" s="2" t="n">
        <v>10.2</v>
      </c>
      <c r="AN142" s="2" t="n"/>
      <c r="AO142" s="2" t="inlineStr">
        <is>
          <t>2010</t>
        </is>
      </c>
      <c r="AP142" s="2" t="n">
        <v>2010</v>
      </c>
      <c r="AQ142" s="2" t="n"/>
      <c r="AR142" s="2" t="inlineStr">
        <is>
          <t>B</t>
        </is>
      </c>
      <c r="AS142" s="2" t="inlineStr">
        <is>
          <t>anuncio</t>
        </is>
      </c>
      <c r="AT142" s="2" t="n">
        <v>4545</v>
      </c>
      <c r="AU142" s="2" t="n">
        <v>18</v>
      </c>
      <c r="AV142" s="2" t="inlineStr">
        <is>
          <t>modelo+año+km</t>
        </is>
      </c>
      <c r="AW142" s="2" t="n"/>
      <c r="AX142" s="2" t="inlineStr">
        <is>
          <t>vendedor profesional: sin ITP (operación con IVA/REBU, confirmar en factura); gastos de gestión del vendedor no indicados: se suma la tasa DGT; preguntar el precio final; diésel: motor sin fuente de fiabilidad (fiabilidad limitada a neutra)</t>
        </is>
      </c>
      <c r="AY142" s="2" t="inlineStr">
        <is>
          <t>Este Ford Fiesta 1.4 TDCi Trend es un compacto versátil diseñado para quienes buscan eficiencia sin renunciar a la practicidad. Su motor diésel de 70 CV ofrece un consumo contenido —4,1 l/100 km en ciclo mixto— con una autonomía cercana a los 1.000 km, características que lo hacen económico en uso y especialmente adecuado para desplazamientos regulares.
El espacio interior está bien aprovechado: 295 litros de maletero con asientos montados se amplían a 979 litros al abatirlos, lo que permite transportar carga considerable sin perder la versatilidad de cinco plazas. El habitáculo ofrece comodidad suficiente para el día a día, con asientos delanteros ajustables manualmente, dirección asistida eléctrica y volante regulable en altura y profundidad.
En seguridad, este vehículo incluye airbags frontales y laterales delanteros, ABS, control de tracción y de estabilidad, además de cinturones con pretensores en las plazas delanteras. La preparación Isofix facilita la instalación de sistemas de retención infantil.
El equipamiento de serie contempla cierre centralizado con mando a distancia, elevalunas eléctricos delanteros, retrovisores exteriores eléctricos con intermitente integrado, limpiaparabrisas y sistema de ventilación con filtro de pólen. Cuenta con ordenador de viaje que muestra consumo medio y autonomía estimada.
La transmisión manual de cinco velocidades proporciona control directo, mientras que la tracción delantera mejora la estabilidad en curvas. Con etiqueta medioam</t>
        </is>
      </c>
      <c r="AZ142" s="2" t="inlineStr">
        <is>
          <t>https://www.coches.net/ford-fiesta-14-tdci-trend-5p-diesel-2011-en-valencia-71146219-covo.aspx (window.__INITIAL_PROPS__.ad) /home/user/Alopecia/buscador-coches/raw/cochesnet/c873a4c39ee94bcd.json</t>
        </is>
      </c>
      <c r="BA142" s="3">
        <f>MAX(ANIO_ACTUAL-M142,0)</f>
        <v/>
      </c>
      <c r="BB142" s="4">
        <f>N142/MAX(BA142,0.5)</f>
        <v/>
      </c>
      <c r="BC142" s="4">
        <f>F142</f>
        <v/>
      </c>
      <c r="BD142" s="3">
        <f>BC142&amp;"|"&amp;INT(M142/SEG_ANIO)*SEG_ANIO</f>
        <v/>
      </c>
      <c r="BE142" s="3">
        <f>BD142&amp;"|"&amp;INT(N142/SEG_KM)*SEG_KM</f>
        <v/>
      </c>
      <c r="BF142" s="4">
        <f>COUNTIF($BC$2:$BC$545,BC142)</f>
        <v/>
      </c>
      <c r="BG142" s="4">
        <f>COUNTIF($BD$2:$BD$545,BD142)</f>
        <v/>
      </c>
      <c r="BH142" s="4">
        <f>COUNTIF($BE$2:$BE$545,BE142)</f>
        <v/>
      </c>
      <c r="BI142" s="3">
        <f t="array" ref="BI142">IF(N(AU142)&gt;=MIN_N,AT142,IF(BH142&gt;=MIN_N,MEDIAN(IF($BE$2:$BE$545=BE142,$O$2:$O$545)),IF(BG142&gt;=MIN_N,MEDIAN(IF($BD$2:$BD$545=BD142,$O$2:$O$545)),MEDIAN(IF($BC$2:$BC$545=BC142,$O$2:$O$545)))))</f>
        <v/>
      </c>
      <c r="BJ142" s="3">
        <f>IF(N(AU142)&gt;=MIN_N,"mercado "&amp;AV142,IF(BH142&gt;=MIN_N,"modelo+año+km",IF(BG142&gt;=MIN_N,"modelo+año","modelo")))</f>
        <v/>
      </c>
      <c r="BK142" s="4">
        <f>(BI142-O142)/BI142</f>
        <v/>
      </c>
      <c r="BL142" s="3">
        <f>IF(COUNTIFS(FR_FUEL,K142,FR_YEAR,AP142)&gt;0,1,0)</f>
        <v/>
      </c>
      <c r="BM142" s="3">
        <f>IF(COUNTIFS(FR_FUEL,K142,FR_YEAR,AP142-1)&gt;0,1,0)</f>
        <v/>
      </c>
      <c r="BN142" s="4">
        <f>IF(N(AQ142)&gt;0,AP142*100+AQ142,IF(AND(BL142=1,BM142=1),(AP142-1)*100+1,AP142*100+1))</f>
        <v/>
      </c>
      <c r="BO142" s="3">
        <f>IF(OR(K142="hibrido",K142="glp",K142="gnc",K142="phev"),"ECO",IF(K142="electrico","CERO",IF(K142="gasolina",IF(BN142&gt;=GAS_C_YM,"C",IF(BN142&gt;=GAS_B_YM,"B","A")),IF(K142="diesel",IF(BN142&gt;=DIE_C_YM,"C",IF(BN142&gt;=DIE_B_YM,"B","A")),""))))</f>
        <v/>
      </c>
      <c r="BP142" s="2" t="inlineStr">
        <is>
          <t>B</t>
        </is>
      </c>
      <c r="BQ142" s="4">
        <f>IF(AS142="regla",IF(AND(N(AQ142)=0,BL142=1),"sí","no"),"no")</f>
        <v/>
      </c>
      <c r="BR142" s="3">
        <f>IFERROR(VLOOKUP(F142,MOD_TBL,11,0),IFERROR(VLOOKUP(E142,OCU_TBL,2,0),NEUTRO))</f>
        <v/>
      </c>
      <c r="BS142" s="3">
        <f>SUMIFS(MOT_AJUSTE,MOT_MOTOR,G142,MOT_MARCA,E142,MOT_DESDE,"&lt;="&amp;M142,MOT_HASTA,"&gt;="&amp;M142)+SUMIFS(MOT_AJUSTE,MOT_MOTOR,G142,MOT_MARCA,"(todas)",MOT_DESDE,"&lt;="&amp;M142,MOT_HASTA,"&gt;="&amp;M142)</f>
        <v/>
      </c>
      <c r="BT142" s="3">
        <f>SUMIFS(COMB_AJUSTE,COMB_COMB,K142)</f>
        <v/>
      </c>
      <c r="BU142" s="3">
        <f>COUNTIFS(MOT_MOTOR,G142,MOT_MARCA,E142,MOT_DESDE,"&lt;="&amp;M142,MOT_HASTA,"&gt;="&amp;M142)+COUNTIFS(MOT_MOTOR,G142,MOT_MARCA,"(todas)",MOT_DESDE,"&lt;="&amp;M142,MOT_HASTA,"&gt;="&amp;M142)</f>
        <v/>
      </c>
      <c r="BV142" s="3">
        <f>IF(AND(K142="diesel",BU142=0),MIN(BR142,NEUTRO),BR142)</f>
        <v/>
      </c>
      <c r="BW142" s="4">
        <f>MAX(0,MIN(100,BV142+BS142+BT142))</f>
        <v/>
      </c>
      <c r="BX142" s="3">
        <f>MAX(0,MIN(100,50+BK142*PRECIO_PEND))</f>
        <v/>
      </c>
      <c r="BY142" s="3">
        <f>MAX(0,100*(1-N142/KM_MAX))</f>
        <v/>
      </c>
      <c r="BZ142" s="3">
        <f>IF(BB142&lt;KMA_SOSP,IF(AA142="sí",100,KMA_PEN),IF(BB142&lt;=KMA_IDEAL_MAX,100,MAX(0,100*(KMA_CERO-BB142)/(KMA_CERO-KMA_IDEAL_MAX))))</f>
        <v/>
      </c>
      <c r="CA142" s="3">
        <f>MAX(0,MIN(100,100*(M142-ANIO_MIN)/(ANIO_ACTUAL-ANIO_MIN)))</f>
        <v/>
      </c>
      <c r="CB142" s="3">
        <f>W_KMT*BY142+W_KMA*BZ142+W_EDAD*CA142</f>
        <v/>
      </c>
      <c r="CC142" s="3">
        <f>P_ITV*(V142="sí")+P_LIBRO*(W142="sí")+P_CORREA*(X142="sí")+P_PROP*(Y142=1)+P_GAR*(Z142="sí")+P_FOTOS*MIN(1,N(U142)/FOTOS_OBJ)</f>
        <v/>
      </c>
      <c r="CD142" s="3">
        <f>MAX(0,MIN(100,IFERROR(VLOOKUP(BP142,ETQ_TBL,2,0),0)-IF(BQ142="sí",ETQ_PEN_DUD,IF(AS142="regla",ETQ_PEN_REGLA,0))))</f>
        <v/>
      </c>
      <c r="CE142" s="3">
        <f>NEUTRO</f>
        <v/>
      </c>
      <c r="CF142" s="3">
        <f>IFERROR(VLOOKUP(L142,SEGURO_TBL,3,0),"")</f>
        <v/>
      </c>
      <c r="CG142" s="3">
        <f>IF(CF142="",NEUTRO,MAX(0,MIN(100,100*(SEG_REF_MAX-CF142)/(SEG_REF_MAX-SEG_REF_MIN))))</f>
        <v/>
      </c>
      <c r="CH142" s="3">
        <f>W_CONS*CE142+W_SEG*CG142</f>
        <v/>
      </c>
      <c r="CI142" s="3">
        <f>IF(N(AB142)&gt;0,AB142,IF(AND(R142="profesional",SG_LEGAL_ON=1),GAR_LEGAL,0))</f>
        <v/>
      </c>
      <c r="CJ142" s="3">
        <f>SG_GAR*MIN(1,CI142/SG_GAR_FULL)+SG_AMPL*(AC142="sí")+SG_KMC*(AF142="sí")+SG_REV*(N(AE142)&gt;0)+SG_DEV*MIN(1,N(AG142)/SG_DEV_FULL)+SG_HIST*(W142="sí")</f>
        <v/>
      </c>
      <c r="CK142" s="3">
        <f>IFERROR(VLOOKUP(L142,CARR_PEN_TBL,2,0),0)</f>
        <v/>
      </c>
      <c r="CL142" s="3">
        <f>W_FIAB*BW142+W_PRECIO*BX142+W_KMEDAD*CB142+W_ANUNCIO*CC142+W_USO*CH142+W_SEGURIDAD*CJ142+W_ETIQUETA*CD142-CK142</f>
        <v/>
      </c>
      <c r="CM142" s="4">
        <f>IF(N(I142)&gt;0,I142,IFERROR(ROUND(_xlfn.NUMBERVALUE(LEFT(G142,FIND(" ",G142&amp;" ")-1),".")*1000,0),99999))</f>
        <v/>
      </c>
      <c r="CN142" s="3">
        <f>IF(R142="profesional",0,IF(O142&lt;CUOTA_VALOR_MAX,IF(BA142&gt;ITP_TRAMO_ALTO,SUMIFS(CF_CUOTA,CF_MAS,ITP_TRAMO_ALTO,CF_CCMIN,"&lt;="&amp;CM142,CF_CCMAX,"&gt;="&amp;CM142),IF(BA142&gt;ITP_TRAMO_BAJO,SUMIFS(CF_CUOTA,CF_MAS,ITP_TRAMO_BAJO,CF_CCMIN,"&lt;="&amp;CM142,CF_CCMAX,"&gt;="&amp;CM142),O142*ITP_TIPO)),O142*ITP_TIPO))</f>
        <v/>
      </c>
      <c r="CO142" s="4">
        <f>IF(R142="profesional",N(AK142),0)</f>
        <v/>
      </c>
      <c r="CP142" s="3">
        <f>IF(AND(R142="profesional",ISNUMBER(AK142),AL142="sí"),0,TASA_DGT)</f>
        <v/>
      </c>
      <c r="CQ142" s="3">
        <f>INFORME_DGT</f>
        <v/>
      </c>
      <c r="CR142" s="4">
        <f>O142+CO142+CN142+CP142+CQ142</f>
        <v/>
      </c>
      <c r="CS142" s="4">
        <f>CR142+N(CF142)</f>
        <v/>
      </c>
      <c r="CT142" s="3">
        <f>IF(CR142&lt;=TOTAL_MAX,"sí",IF(CR142&lt;=TOTAL_MAX+MARGEN_NEG,"negociar","no"))</f>
        <v/>
      </c>
      <c r="CU142" s="4">
        <f>IF(CT142&lt;&gt;"no",COUNTIFS($CT$2:$CT$545,"&lt;&gt;no",$CL$2:$CL$545,"&gt;"&amp;CL142)+COUNTIFS($CT$2:CT142,"&lt;&gt;no",$CL$2:CL142,CL142),"")</f>
        <v/>
      </c>
    </row>
    <row r="143">
      <c r="A143" s="2" t="inlineStr">
        <is>
          <t>cochesnet:71622303</t>
        </is>
      </c>
      <c r="B143" s="2" t="inlineStr">
        <is>
          <t>cochesnet</t>
        </is>
      </c>
      <c r="C143" s="2" t="inlineStr">
        <is>
          <t>https://www.coches.net/ford-fiesta-16-sport-3p-gasolina-2008-en-valencia-71622303-covo.aspx</t>
        </is>
      </c>
      <c r="D143" s="2" t="inlineStr">
        <is>
          <t>FORD Fiesta 1.6 Sport</t>
        </is>
      </c>
      <c r="E143" s="2" t="inlineStr">
        <is>
          <t>Ford</t>
        </is>
      </c>
      <c r="F143" s="2" t="inlineStr">
        <is>
          <t>Ford Fiesta</t>
        </is>
      </c>
      <c r="G143" s="2" t="inlineStr">
        <is>
          <t>1.6</t>
        </is>
      </c>
      <c r="H143" s="2" t="inlineStr">
        <is>
          <t>1.6 Sport</t>
        </is>
      </c>
      <c r="I143" s="2" t="n"/>
      <c r="J143" s="2" t="n"/>
      <c r="K143" s="2" t="inlineStr">
        <is>
          <t>gasolina</t>
        </is>
      </c>
      <c r="L143" s="2" t="inlineStr">
        <is>
          <t>utilitario</t>
        </is>
      </c>
      <c r="M143" s="2" t="n">
        <v>2008</v>
      </c>
      <c r="N143" s="2" t="n">
        <v>118000</v>
      </c>
      <c r="O143" s="2" t="n">
        <v>3800</v>
      </c>
      <c r="P143" s="2" t="inlineStr">
        <is>
          <t>manual</t>
        </is>
      </c>
      <c r="Q143" s="2" t="inlineStr">
        <is>
          <t>no</t>
        </is>
      </c>
      <c r="R143" s="2" t="inlineStr">
        <is>
          <t>particular</t>
        </is>
      </c>
      <c r="S143" s="2" t="inlineStr">
        <is>
          <t>Sot de Chera</t>
        </is>
      </c>
      <c r="T143" s="2" t="inlineStr">
        <is>
          <t>2026-09-30T21:36:59Z</t>
        </is>
      </c>
      <c r="U143" s="2" t="n">
        <v>20</v>
      </c>
      <c r="V143" s="2" t="inlineStr">
        <is>
          <t>sí</t>
        </is>
      </c>
      <c r="W143" s="2" t="n"/>
      <c r="X143" s="2" t="n"/>
      <c r="Y143" s="2" t="n"/>
      <c r="Z143" s="2" t="inlineStr">
        <is>
          <t>no</t>
        </is>
      </c>
      <c r="AA143" s="2" t="n"/>
      <c r="AB143" s="2" t="n"/>
      <c r="AC143" s="2" t="n"/>
      <c r="AD143" s="2" t="n"/>
      <c r="AE143" s="2" t="n"/>
      <c r="AF143" s="2" t="n"/>
      <c r="AG143" s="2" t="n"/>
      <c r="AH143" s="2" t="n">
        <v>3800</v>
      </c>
      <c r="AI143" s="2" t="n"/>
      <c r="AJ143" s="2" t="n"/>
      <c r="AK143" s="2" t="n"/>
      <c r="AL143" s="2" t="n"/>
      <c r="AM143" s="2" t="n">
        <v>48.4</v>
      </c>
      <c r="AN143" s="2" t="n"/>
      <c r="AO143" s="2" t="inlineStr">
        <is>
          <t>2008</t>
        </is>
      </c>
      <c r="AP143" s="2" t="n">
        <v>2008</v>
      </c>
      <c r="AQ143" s="2" t="n"/>
      <c r="AR143" s="2" t="inlineStr">
        <is>
          <t>C</t>
        </is>
      </c>
      <c r="AS143" s="2" t="inlineStr">
        <is>
          <t>anuncio</t>
        </is>
      </c>
      <c r="AT143" s="2" t="n">
        <v>4990</v>
      </c>
      <c r="AU143" s="2" t="n">
        <v>9</v>
      </c>
      <c r="AV143" s="2" t="inlineStr">
        <is>
          <t>modelo+año+km</t>
        </is>
      </c>
      <c r="AW143" s="2" t="n"/>
      <c r="AX143" s="2" t="inlineStr">
        <is>
          <t>cuota fija ITP: &gt;12 años, 1.501-2.000 cc</t>
        </is>
      </c>
      <c r="AY143" s="2" t="inlineStr">
        <is>
          <t>Ford Fiesta 1.6 S del 2008  impecable. 
Vehículo nacional con pocos kilómetros y muy bien mantenido. 
El coche tiene todas las revisiones hechas aceite, filtros, bujías pastillas etc..
Extras yo
- Pack S.
- Asientos sport SemiCuero.
- Aire acondicionado.
- Faros Bi-Xenon. 
- Luces Automáticas.
- Cierre centralizado.
- Aperturas reales en el capó. 
- Intermitentes led
- Retrovisores eléctricos
- Etiqueta medioambiental C (La tengo pero no la he pegado al parabrisas)
            Etc...
Al coche se le ha invertido bastante dinero.
4 NEUMÁTICOS NUEVOS.
4 Amortiguador.
ALTERNADOR. 
BATERÍA. 
SE LE HA RELLENADO EL GAS DEL AIRE ACONDICIONADO en el 29/07/26
ITV pasada 27/07/26 (Tiene un año de ITV).
Pastillas delanteras. 
Equilibrado. 
Bujías. Etc...
Es el paquete S original, Motor 1.6 gasolina de 120 Cv  Manual de 5 velocidades, es bastante Potente y muy ágil, aunque no lo parezca es bastante espacioso, todo funciona bien, no falla nada, el coche no tiene ni un poco de óxido, ninguna pérdida de aceite ni anticongelante, va perfecto suena muy fino, y la verdad que no gasta nada, consumos muy bajos, yo acepto cualquier tipo de prueba lo podemos llevar a donde quieras, se puede probar, el coche va como un tiro, no se le puede sacar pegas, siempre ha aparcado en garaje.
El coche está vinilado de la parte trasera, es un vinilo de color negro mate, pero ya se está empezando a quitar lo suyo sería quitarlo con una pistola de calor y el color por debajo se conserva perfectamente. 
L</t>
        </is>
      </c>
      <c r="AZ143" s="2" t="inlineStr">
        <is>
          <t>https://www.coches.net/ford-fiesta-16-sport-3p-gasolina-2008-en-valencia-71622303-covo.aspx (window.__INITIAL_PROPS__.ad) /home/user/Alopecia/buscador-coches/raw/cochesnet/870d770f633b784b.json</t>
        </is>
      </c>
      <c r="BA143" s="3">
        <f>MAX(ANIO_ACTUAL-M143,0)</f>
        <v/>
      </c>
      <c r="BB143" s="4">
        <f>N143/MAX(BA143,0.5)</f>
        <v/>
      </c>
      <c r="BC143" s="4">
        <f>F143</f>
        <v/>
      </c>
      <c r="BD143" s="3">
        <f>BC143&amp;"|"&amp;INT(M143/SEG_ANIO)*SEG_ANIO</f>
        <v/>
      </c>
      <c r="BE143" s="3">
        <f>BD143&amp;"|"&amp;INT(N143/SEG_KM)*SEG_KM</f>
        <v/>
      </c>
      <c r="BF143" s="4">
        <f>COUNTIF($BC$2:$BC$545,BC143)</f>
        <v/>
      </c>
      <c r="BG143" s="4">
        <f>COUNTIF($BD$2:$BD$545,BD143)</f>
        <v/>
      </c>
      <c r="BH143" s="4">
        <f>COUNTIF($BE$2:$BE$545,BE143)</f>
        <v/>
      </c>
      <c r="BI143" s="3">
        <f t="array" ref="BI143">IF(N(AU143)&gt;=MIN_N,AT143,IF(BH143&gt;=MIN_N,MEDIAN(IF($BE$2:$BE$545=BE143,$O$2:$O$545)),IF(BG143&gt;=MIN_N,MEDIAN(IF($BD$2:$BD$545=BD143,$O$2:$O$545)),MEDIAN(IF($BC$2:$BC$545=BC143,$O$2:$O$545)))))</f>
        <v/>
      </c>
      <c r="BJ143" s="3">
        <f>IF(N(AU143)&gt;=MIN_N,"mercado "&amp;AV143,IF(BH143&gt;=MIN_N,"modelo+año+km",IF(BG143&gt;=MIN_N,"modelo+año","modelo")))</f>
        <v/>
      </c>
      <c r="BK143" s="4">
        <f>(BI143-O143)/BI143</f>
        <v/>
      </c>
      <c r="BL143" s="3">
        <f>IF(COUNTIFS(FR_FUEL,K143,FR_YEAR,AP143)&gt;0,1,0)</f>
        <v/>
      </c>
      <c r="BM143" s="3">
        <f>IF(COUNTIFS(FR_FUEL,K143,FR_YEAR,AP143-1)&gt;0,1,0)</f>
        <v/>
      </c>
      <c r="BN143" s="4">
        <f>IF(N(AQ143)&gt;0,AP143*100+AQ143,IF(AND(BL143=1,BM143=1),(AP143-1)*100+1,AP143*100+1))</f>
        <v/>
      </c>
      <c r="BO143" s="3">
        <f>IF(OR(K143="hibrido",K143="glp",K143="gnc",K143="phev"),"ECO",IF(K143="electrico","CERO",IF(K143="gasolina",IF(BN143&gt;=GAS_C_YM,"C",IF(BN143&gt;=GAS_B_YM,"B","A")),IF(K143="diesel",IF(BN143&gt;=DIE_C_YM,"C",IF(BN143&gt;=DIE_B_YM,"B","A")),""))))</f>
        <v/>
      </c>
      <c r="BP143" s="2" t="inlineStr">
        <is>
          <t>C</t>
        </is>
      </c>
      <c r="BQ143" s="4">
        <f>IF(AS143="regla",IF(AND(N(AQ143)=0,BL143=1),"sí","no"),"no")</f>
        <v/>
      </c>
      <c r="BR143" s="3">
        <f>IFERROR(VLOOKUP(F143,MOD_TBL,11,0),IFERROR(VLOOKUP(E143,OCU_TBL,2,0),NEUTRO))</f>
        <v/>
      </c>
      <c r="BS143" s="3">
        <f>SUMIFS(MOT_AJUSTE,MOT_MOTOR,G143,MOT_MARCA,E143,MOT_DESDE,"&lt;="&amp;M143,MOT_HASTA,"&gt;="&amp;M143)+SUMIFS(MOT_AJUSTE,MOT_MOTOR,G143,MOT_MARCA,"(todas)",MOT_DESDE,"&lt;="&amp;M143,MOT_HASTA,"&gt;="&amp;M143)</f>
        <v/>
      </c>
      <c r="BT143" s="3">
        <f>SUMIFS(COMB_AJUSTE,COMB_COMB,K143)</f>
        <v/>
      </c>
      <c r="BU143" s="3">
        <f>COUNTIFS(MOT_MOTOR,G143,MOT_MARCA,E143,MOT_DESDE,"&lt;="&amp;M143,MOT_HASTA,"&gt;="&amp;M143)+COUNTIFS(MOT_MOTOR,G143,MOT_MARCA,"(todas)",MOT_DESDE,"&lt;="&amp;M143,MOT_HASTA,"&gt;="&amp;M143)</f>
        <v/>
      </c>
      <c r="BV143" s="3">
        <f>IF(AND(K143="diesel",BU143=0),MIN(BR143,NEUTRO),BR143)</f>
        <v/>
      </c>
      <c r="BW143" s="4">
        <f>MAX(0,MIN(100,BV143+BS143+BT143))</f>
        <v/>
      </c>
      <c r="BX143" s="3">
        <f>MAX(0,MIN(100,50+BK143*PRECIO_PEND))</f>
        <v/>
      </c>
      <c r="BY143" s="3">
        <f>MAX(0,100*(1-N143/KM_MAX))</f>
        <v/>
      </c>
      <c r="BZ143" s="3">
        <f>IF(BB143&lt;KMA_SOSP,IF(AA143="sí",100,KMA_PEN),IF(BB143&lt;=KMA_IDEAL_MAX,100,MAX(0,100*(KMA_CERO-BB143)/(KMA_CERO-KMA_IDEAL_MAX))))</f>
        <v/>
      </c>
      <c r="CA143" s="3">
        <f>MAX(0,MIN(100,100*(M143-ANIO_MIN)/(ANIO_ACTUAL-ANIO_MIN)))</f>
        <v/>
      </c>
      <c r="CB143" s="3">
        <f>W_KMT*BY143+W_KMA*BZ143+W_EDAD*CA143</f>
        <v/>
      </c>
      <c r="CC143" s="3">
        <f>P_ITV*(V143="sí")+P_LIBRO*(W143="sí")+P_CORREA*(X143="sí")+P_PROP*(Y143=1)+P_GAR*(Z143="sí")+P_FOTOS*MIN(1,N(U143)/FOTOS_OBJ)</f>
        <v/>
      </c>
      <c r="CD143" s="3">
        <f>MAX(0,MIN(100,IFERROR(VLOOKUP(BP143,ETQ_TBL,2,0),0)-IF(BQ143="sí",ETQ_PEN_DUD,IF(AS143="regla",ETQ_PEN_REGLA,0))))</f>
        <v/>
      </c>
      <c r="CE143" s="3">
        <f>NEUTRO</f>
        <v/>
      </c>
      <c r="CF143" s="3">
        <f>IFERROR(VLOOKUP(L143,SEGURO_TBL,3,0),"")</f>
        <v/>
      </c>
      <c r="CG143" s="3">
        <f>IF(CF143="",NEUTRO,MAX(0,MIN(100,100*(SEG_REF_MAX-CF143)/(SEG_REF_MAX-SEG_REF_MIN))))</f>
        <v/>
      </c>
      <c r="CH143" s="3">
        <f>W_CONS*CE143+W_SEG*CG143</f>
        <v/>
      </c>
      <c r="CI143" s="3">
        <f>IF(N(AB143)&gt;0,AB143,IF(AND(R143="profesional",SG_LEGAL_ON=1),GAR_LEGAL,0))</f>
        <v/>
      </c>
      <c r="CJ143" s="3">
        <f>SG_GAR*MIN(1,CI143/SG_GAR_FULL)+SG_AMPL*(AC143="sí")+SG_KMC*(AF143="sí")+SG_REV*(N(AE143)&gt;0)+SG_DEV*MIN(1,N(AG143)/SG_DEV_FULL)+SG_HIST*(W143="sí")</f>
        <v/>
      </c>
      <c r="CK143" s="3">
        <f>IFERROR(VLOOKUP(L143,CARR_PEN_TBL,2,0),0)</f>
        <v/>
      </c>
      <c r="CL143" s="3">
        <f>W_FIAB*BW143+W_PRECIO*BX143+W_KMEDAD*CB143+W_ANUNCIO*CC143+W_USO*CH143+W_SEGURIDAD*CJ143+W_ETIQUETA*CD143-CK143</f>
        <v/>
      </c>
      <c r="CM143" s="4">
        <f>IF(N(I143)&gt;0,I143,IFERROR(ROUND(_xlfn.NUMBERVALUE(LEFT(G143,FIND(" ",G143&amp;" ")-1),".")*1000,0),99999))</f>
        <v/>
      </c>
      <c r="CN143" s="3">
        <f>IF(R143="profesional",0,IF(O143&lt;CUOTA_VALOR_MAX,IF(BA143&gt;ITP_TRAMO_ALTO,SUMIFS(CF_CUOTA,CF_MAS,ITP_TRAMO_ALTO,CF_CCMIN,"&lt;="&amp;CM143,CF_CCMAX,"&gt;="&amp;CM143),IF(BA143&gt;ITP_TRAMO_BAJO,SUMIFS(CF_CUOTA,CF_MAS,ITP_TRAMO_BAJO,CF_CCMIN,"&lt;="&amp;CM143,CF_CCMAX,"&gt;="&amp;CM143),O143*ITP_TIPO)),O143*ITP_TIPO))</f>
        <v/>
      </c>
      <c r="CO143" s="4">
        <f>IF(R143="profesional",N(AK143),0)</f>
        <v/>
      </c>
      <c r="CP143" s="3">
        <f>IF(AND(R143="profesional",ISNUMBER(AK143),AL143="sí"),0,TASA_DGT)</f>
        <v/>
      </c>
      <c r="CQ143" s="3">
        <f>INFORME_DGT</f>
        <v/>
      </c>
      <c r="CR143" s="4">
        <f>O143+CO143+CN143+CP143+CQ143</f>
        <v/>
      </c>
      <c r="CS143" s="4">
        <f>CR143+N(CF143)</f>
        <v/>
      </c>
      <c r="CT143" s="3">
        <f>IF(CR143&lt;=TOTAL_MAX,"sí",IF(CR143&lt;=TOTAL_MAX+MARGEN_NEG,"negociar","no"))</f>
        <v/>
      </c>
      <c r="CU143" s="4">
        <f>IF(CT143&lt;&gt;"no",COUNTIFS($CT$2:$CT$545,"&lt;&gt;no",$CL$2:$CL$545,"&gt;"&amp;CL143)+COUNTIFS($CT$2:CT143,"&lt;&gt;no",$CL$2:CL143,CL143),"")</f>
        <v/>
      </c>
    </row>
    <row r="144">
      <c r="A144" s="2" t="inlineStr">
        <is>
          <t>cochesnet:71531586</t>
        </is>
      </c>
      <c r="B144" s="2" t="inlineStr">
        <is>
          <t>cochesnet</t>
        </is>
      </c>
      <c r="C144" s="2" t="inlineStr">
        <is>
          <t>https://www.coches.net/ford-fiesta-diesel-2010-en-valencia-71531586-covo.aspx</t>
        </is>
      </c>
      <c r="D144" s="2" t="inlineStr">
        <is>
          <t>FORD Fiesta</t>
        </is>
      </c>
      <c r="E144" s="2" t="inlineStr">
        <is>
          <t>Ford</t>
        </is>
      </c>
      <c r="F144" s="2" t="inlineStr">
        <is>
          <t>Ford Fiesta</t>
        </is>
      </c>
      <c r="G144" s="2" t="n"/>
      <c r="H144" s="2" t="n"/>
      <c r="I144" s="2" t="n"/>
      <c r="J144" s="2" t="n"/>
      <c r="K144" s="2" t="inlineStr">
        <is>
          <t>diesel</t>
        </is>
      </c>
      <c r="L144" s="2" t="inlineStr">
        <is>
          <t>utilitario</t>
        </is>
      </c>
      <c r="M144" s="2" t="n">
        <v>2010</v>
      </c>
      <c r="N144" s="2" t="n">
        <v>170000</v>
      </c>
      <c r="O144" s="2" t="n">
        <v>4300</v>
      </c>
      <c r="P144" s="2" t="inlineStr">
        <is>
          <t>manual</t>
        </is>
      </c>
      <c r="Q144" s="2" t="inlineStr">
        <is>
          <t>no</t>
        </is>
      </c>
      <c r="R144" s="2" t="inlineStr">
        <is>
          <t>particular</t>
        </is>
      </c>
      <c r="S144" s="2" t="n"/>
      <c r="T144" s="2" t="inlineStr">
        <is>
          <t>2026-09-16T17:51:16Z</t>
        </is>
      </c>
      <c r="U144" s="2" t="n">
        <v>5</v>
      </c>
      <c r="V144" s="2" t="n"/>
      <c r="W144" s="2" t="n"/>
      <c r="X144" s="2" t="n"/>
      <c r="Y144" s="2" t="n"/>
      <c r="Z144" s="2" t="inlineStr">
        <is>
          <t>no</t>
        </is>
      </c>
      <c r="AA144" s="2" t="n"/>
      <c r="AB144" s="2" t="n"/>
      <c r="AC144" s="2" t="n"/>
      <c r="AD144" s="2" t="n"/>
      <c r="AE144" s="2" t="n"/>
      <c r="AF144" s="2" t="n"/>
      <c r="AG144" s="2" t="n"/>
      <c r="AH144" s="2" t="n">
        <v>4300</v>
      </c>
      <c r="AI144" s="2" t="n"/>
      <c r="AJ144" s="2" t="n"/>
      <c r="AK144" s="2" t="n"/>
      <c r="AL144" s="2" t="n"/>
      <c r="AM144" s="2" t="n"/>
      <c r="AN144" s="2" t="n"/>
      <c r="AO144" s="2" t="inlineStr">
        <is>
          <t>2010</t>
        </is>
      </c>
      <c r="AP144" s="2" t="n">
        <v>2010</v>
      </c>
      <c r="AQ144" s="2" t="n"/>
      <c r="AR144" s="2" t="n"/>
      <c r="AS144" s="2" t="inlineStr">
        <is>
          <t>regla</t>
        </is>
      </c>
      <c r="AT144" s="2" t="n">
        <v>4545</v>
      </c>
      <c r="AU144" s="2" t="n">
        <v>18</v>
      </c>
      <c r="AV144" s="2" t="inlineStr">
        <is>
          <t>modelo+año+km</t>
        </is>
      </c>
      <c r="AW144" s="2" t="n"/>
      <c r="AX14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44" s="2" t="inlineStr">
        <is>
          <t xml:space="preserve">Coche en perfecto estado, listo para circular y usar dia a dia. Aceite y filtro recién cambiado hace una semana. Consume poco, ideal para trabajar y usar diariamente. Interior como nuevo y carroceria muy limpia para la edad que tiene. Pocos kilometros. </t>
        </is>
      </c>
      <c r="AZ144" s="2" t="inlineStr">
        <is>
          <t>https://www.coches.net/ford-fiesta-diesel-2010-en-valencia-71531586-covo.aspx (window.__INITIAL_PROPS__.ad) /home/user/Alopecia/buscador-coches/raw/cochesnet/fa9c6d9de6b87de1.json</t>
        </is>
      </c>
      <c r="BA144" s="3">
        <f>MAX(ANIO_ACTUAL-M144,0)</f>
        <v/>
      </c>
      <c r="BB144" s="4">
        <f>N144/MAX(BA144,0.5)</f>
        <v/>
      </c>
      <c r="BC144" s="4">
        <f>F144</f>
        <v/>
      </c>
      <c r="BD144" s="3">
        <f>BC144&amp;"|"&amp;INT(M144/SEG_ANIO)*SEG_ANIO</f>
        <v/>
      </c>
      <c r="BE144" s="3">
        <f>BD144&amp;"|"&amp;INT(N144/SEG_KM)*SEG_KM</f>
        <v/>
      </c>
      <c r="BF144" s="4">
        <f>COUNTIF($BC$2:$BC$545,BC144)</f>
        <v/>
      </c>
      <c r="BG144" s="4">
        <f>COUNTIF($BD$2:$BD$545,BD144)</f>
        <v/>
      </c>
      <c r="BH144" s="4">
        <f>COUNTIF($BE$2:$BE$545,BE144)</f>
        <v/>
      </c>
      <c r="BI144" s="3">
        <f t="array" ref="BI144">IF(N(AU144)&gt;=MIN_N,AT144,IF(BH144&gt;=MIN_N,MEDIAN(IF($BE$2:$BE$545=BE144,$O$2:$O$545)),IF(BG144&gt;=MIN_N,MEDIAN(IF($BD$2:$BD$545=BD144,$O$2:$O$545)),MEDIAN(IF($BC$2:$BC$545=BC144,$O$2:$O$545)))))</f>
        <v/>
      </c>
      <c r="BJ144" s="3">
        <f>IF(N(AU144)&gt;=MIN_N,"mercado "&amp;AV144,IF(BH144&gt;=MIN_N,"modelo+año+km",IF(BG144&gt;=MIN_N,"modelo+año","modelo")))</f>
        <v/>
      </c>
      <c r="BK144" s="4">
        <f>(BI144-O144)/BI144</f>
        <v/>
      </c>
      <c r="BL144" s="3">
        <f>IF(COUNTIFS(FR_FUEL,K144,FR_YEAR,AP144)&gt;0,1,0)</f>
        <v/>
      </c>
      <c r="BM144" s="3">
        <f>IF(COUNTIFS(FR_FUEL,K144,FR_YEAR,AP144-1)&gt;0,1,0)</f>
        <v/>
      </c>
      <c r="BN144" s="4">
        <f>IF(N(AQ144)&gt;0,AP144*100+AQ144,IF(AND(BL144=1,BM144=1),(AP144-1)*100+1,AP144*100+1))</f>
        <v/>
      </c>
      <c r="BO144" s="3">
        <f>IF(OR(K144="hibrido",K144="glp",K144="gnc",K144="phev"),"ECO",IF(K144="electrico","CERO",IF(K144="gasolina",IF(BN144&gt;=GAS_C_YM,"C",IF(BN144&gt;=GAS_B_YM,"B","A")),IF(K144="diesel",IF(BN144&gt;=DIE_C_YM,"C",IF(BN144&gt;=DIE_B_YM,"B","A")),""))))</f>
        <v/>
      </c>
      <c r="BP144" s="4">
        <f>BO144</f>
        <v/>
      </c>
      <c r="BQ144" s="4">
        <f>IF(AS144="regla",IF(AND(N(AQ144)=0,BL144=1),"sí","no"),"no")</f>
        <v/>
      </c>
      <c r="BR144" s="3">
        <f>IFERROR(VLOOKUP(F144,MOD_TBL,11,0),IFERROR(VLOOKUP(E144,OCU_TBL,2,0),NEUTRO))</f>
        <v/>
      </c>
      <c r="BS144" s="3">
        <f>SUMIFS(MOT_AJUSTE,MOT_MOTOR,G144,MOT_MARCA,E144,MOT_DESDE,"&lt;="&amp;M144,MOT_HASTA,"&gt;="&amp;M144)+SUMIFS(MOT_AJUSTE,MOT_MOTOR,G144,MOT_MARCA,"(todas)",MOT_DESDE,"&lt;="&amp;M144,MOT_HASTA,"&gt;="&amp;M144)</f>
        <v/>
      </c>
      <c r="BT144" s="3">
        <f>SUMIFS(COMB_AJUSTE,COMB_COMB,K144)</f>
        <v/>
      </c>
      <c r="BU144" s="3">
        <f>COUNTIFS(MOT_MOTOR,G144,MOT_MARCA,E144,MOT_DESDE,"&lt;="&amp;M144,MOT_HASTA,"&gt;="&amp;M144)+COUNTIFS(MOT_MOTOR,G144,MOT_MARCA,"(todas)",MOT_DESDE,"&lt;="&amp;M144,MOT_HASTA,"&gt;="&amp;M144)</f>
        <v/>
      </c>
      <c r="BV144" s="3">
        <f>IF(AND(K144="diesel",BU144=0),MIN(BR144,NEUTRO),BR144)</f>
        <v/>
      </c>
      <c r="BW144" s="4">
        <f>MAX(0,MIN(100,BV144+BS144+BT144))</f>
        <v/>
      </c>
      <c r="BX144" s="3">
        <f>MAX(0,MIN(100,50+BK144*PRECIO_PEND))</f>
        <v/>
      </c>
      <c r="BY144" s="3">
        <f>MAX(0,100*(1-N144/KM_MAX))</f>
        <v/>
      </c>
      <c r="BZ144" s="3">
        <f>IF(BB144&lt;KMA_SOSP,IF(AA144="sí",100,KMA_PEN),IF(BB144&lt;=KMA_IDEAL_MAX,100,MAX(0,100*(KMA_CERO-BB144)/(KMA_CERO-KMA_IDEAL_MAX))))</f>
        <v/>
      </c>
      <c r="CA144" s="3">
        <f>MAX(0,MIN(100,100*(M144-ANIO_MIN)/(ANIO_ACTUAL-ANIO_MIN)))</f>
        <v/>
      </c>
      <c r="CB144" s="3">
        <f>W_KMT*BY144+W_KMA*BZ144+W_EDAD*CA144</f>
        <v/>
      </c>
      <c r="CC144" s="3">
        <f>P_ITV*(V144="sí")+P_LIBRO*(W144="sí")+P_CORREA*(X144="sí")+P_PROP*(Y144=1)+P_GAR*(Z144="sí")+P_FOTOS*MIN(1,N(U144)/FOTOS_OBJ)</f>
        <v/>
      </c>
      <c r="CD144" s="3">
        <f>MAX(0,MIN(100,IFERROR(VLOOKUP(BP144,ETQ_TBL,2,0),0)-IF(BQ144="sí",ETQ_PEN_DUD,IF(AS144="regla",ETQ_PEN_REGLA,0))))</f>
        <v/>
      </c>
      <c r="CE144" s="3">
        <f>NEUTRO</f>
        <v/>
      </c>
      <c r="CF144" s="3">
        <f>IFERROR(VLOOKUP(L144,SEGURO_TBL,3,0),"")</f>
        <v/>
      </c>
      <c r="CG144" s="3">
        <f>IF(CF144="",NEUTRO,MAX(0,MIN(100,100*(SEG_REF_MAX-CF144)/(SEG_REF_MAX-SEG_REF_MIN))))</f>
        <v/>
      </c>
      <c r="CH144" s="3">
        <f>W_CONS*CE144+W_SEG*CG144</f>
        <v/>
      </c>
      <c r="CI144" s="3">
        <f>IF(N(AB144)&gt;0,AB144,IF(AND(R144="profesional",SG_LEGAL_ON=1),GAR_LEGAL,0))</f>
        <v/>
      </c>
      <c r="CJ144" s="3">
        <f>SG_GAR*MIN(1,CI144/SG_GAR_FULL)+SG_AMPL*(AC144="sí")+SG_KMC*(AF144="sí")+SG_REV*(N(AE144)&gt;0)+SG_DEV*MIN(1,N(AG144)/SG_DEV_FULL)+SG_HIST*(W144="sí")</f>
        <v/>
      </c>
      <c r="CK144" s="3">
        <f>IFERROR(VLOOKUP(L144,CARR_PEN_TBL,2,0),0)</f>
        <v/>
      </c>
      <c r="CL144" s="3">
        <f>W_FIAB*BW144+W_PRECIO*BX144+W_KMEDAD*CB144+W_ANUNCIO*CC144+W_USO*CH144+W_SEGURIDAD*CJ144+W_ETIQUETA*CD144-CK144</f>
        <v/>
      </c>
      <c r="CM144" s="4">
        <f>IF(N(I144)&gt;0,I144,IFERROR(ROUND(_xlfn.NUMBERVALUE(LEFT(G144,FIND(" ",G144&amp;" ")-1),".")*1000,0),99999))</f>
        <v/>
      </c>
      <c r="CN144" s="3">
        <f>IF(R144="profesional",0,IF(O144&lt;CUOTA_VALOR_MAX,IF(BA144&gt;ITP_TRAMO_ALTO,SUMIFS(CF_CUOTA,CF_MAS,ITP_TRAMO_ALTO,CF_CCMIN,"&lt;="&amp;CM144,CF_CCMAX,"&gt;="&amp;CM144),IF(BA144&gt;ITP_TRAMO_BAJO,SUMIFS(CF_CUOTA,CF_MAS,ITP_TRAMO_BAJO,CF_CCMIN,"&lt;="&amp;CM144,CF_CCMAX,"&gt;="&amp;CM144),O144*ITP_TIPO)),O144*ITP_TIPO))</f>
        <v/>
      </c>
      <c r="CO144" s="4">
        <f>IF(R144="profesional",N(AK144),0)</f>
        <v/>
      </c>
      <c r="CP144" s="3">
        <f>IF(AND(R144="profesional",ISNUMBER(AK144),AL144="sí"),0,TASA_DGT)</f>
        <v/>
      </c>
      <c r="CQ144" s="3">
        <f>INFORME_DGT</f>
        <v/>
      </c>
      <c r="CR144" s="4">
        <f>O144+CO144+CN144+CP144+CQ144</f>
        <v/>
      </c>
      <c r="CS144" s="4">
        <f>CR144+N(CF144)</f>
        <v/>
      </c>
      <c r="CT144" s="3">
        <f>IF(CR144&lt;=TOTAL_MAX,"sí",IF(CR144&lt;=TOTAL_MAX+MARGEN_NEG,"negociar","no"))</f>
        <v/>
      </c>
      <c r="CU144" s="4">
        <f>IF(CT144&lt;&gt;"no",COUNTIFS($CT$2:$CT$545,"&lt;&gt;no",$CL$2:$CL$545,"&gt;"&amp;CL144)+COUNTIFS($CT$2:CT144,"&lt;&gt;no",$CL$2:CL144,CL144),"")</f>
        <v/>
      </c>
    </row>
    <row r="145">
      <c r="A145" s="2" t="inlineStr">
        <is>
          <t>cochesnet:71662762</t>
        </is>
      </c>
      <c r="B145" s="2" t="inlineStr">
        <is>
          <t>cochesnet</t>
        </is>
      </c>
      <c r="C145" s="2" t="inlineStr">
        <is>
          <t>https://www.coches.net/ford-fiesta-15-tdci-75cv-trend-5p-5p-diesel-2011-en-valencia-71662762-covo.aspx</t>
        </is>
      </c>
      <c r="D145" s="2" t="inlineStr">
        <is>
          <t>FORD Fiesta 1.5 TDCi Trend</t>
        </is>
      </c>
      <c r="E145" s="2" t="inlineStr">
        <is>
          <t>Ford</t>
        </is>
      </c>
      <c r="F145" s="2" t="inlineStr">
        <is>
          <t>Ford Fiesta</t>
        </is>
      </c>
      <c r="G145" s="2" t="inlineStr">
        <is>
          <t>1.5 TDCi</t>
        </is>
      </c>
      <c r="H145" s="2" t="inlineStr">
        <is>
          <t>1.5 TDCi 75cv Trend 5p</t>
        </is>
      </c>
      <c r="I145" s="2" t="n"/>
      <c r="J145" s="2" t="n">
        <v>75</v>
      </c>
      <c r="K145" s="2" t="inlineStr">
        <is>
          <t>diesel</t>
        </is>
      </c>
      <c r="L145" s="2" t="inlineStr">
        <is>
          <t>utilitario</t>
        </is>
      </c>
      <c r="M145" s="2" t="n">
        <v>2011</v>
      </c>
      <c r="N145" s="2" t="n">
        <v>212000</v>
      </c>
      <c r="O145" s="2" t="n">
        <v>4500</v>
      </c>
      <c r="P145" s="2" t="inlineStr">
        <is>
          <t>manual</t>
        </is>
      </c>
      <c r="Q145" s="2" t="inlineStr">
        <is>
          <t>no</t>
        </is>
      </c>
      <c r="R145" s="2" t="inlineStr">
        <is>
          <t>particular</t>
        </is>
      </c>
      <c r="S145" s="2" t="inlineStr">
        <is>
          <t>Xàtiva</t>
        </is>
      </c>
      <c r="T145" s="2" t="inlineStr">
        <is>
          <t>2026-10-03T07:32:18Z</t>
        </is>
      </c>
      <c r="U145" s="2" t="n"/>
      <c r="V145" s="2" t="inlineStr">
        <is>
          <t>sí</t>
        </is>
      </c>
      <c r="W145" s="2" t="n"/>
      <c r="X145" s="2" t="n"/>
      <c r="Y145" s="2" t="n"/>
      <c r="Z145" s="2" t="inlineStr">
        <is>
          <t>no</t>
        </is>
      </c>
      <c r="AA145" s="2" t="n"/>
      <c r="AB145" s="2" t="n"/>
      <c r="AC145" s="2" t="n"/>
      <c r="AD145" s="2" t="n"/>
      <c r="AE145" s="2" t="n"/>
      <c r="AF145" s="2" t="n"/>
      <c r="AG145" s="2" t="n"/>
      <c r="AH145" s="2" t="n">
        <v>4500</v>
      </c>
      <c r="AI145" s="2" t="n"/>
      <c r="AJ145" s="2" t="n"/>
      <c r="AK145" s="2" t="n"/>
      <c r="AL145" s="2" t="n"/>
      <c r="AM145" s="2" t="n">
        <v>55.4</v>
      </c>
      <c r="AN145" s="2" t="n"/>
      <c r="AO145" s="2" t="inlineStr">
        <is>
          <t>2011</t>
        </is>
      </c>
      <c r="AP145" s="2" t="n">
        <v>2011</v>
      </c>
      <c r="AQ145" s="2" t="n"/>
      <c r="AR145" s="2" t="inlineStr">
        <is>
          <t>B</t>
        </is>
      </c>
      <c r="AS145" s="2" t="inlineStr">
        <is>
          <t>anuncio</t>
        </is>
      </c>
      <c r="AT145" s="2" t="n">
        <v>3500</v>
      </c>
      <c r="AU145" s="2" t="n">
        <v>13</v>
      </c>
      <c r="AV145" s="2" t="inlineStr">
        <is>
          <t>modelo+año+km</t>
        </is>
      </c>
      <c r="AW145" s="2" t="n"/>
      <c r="AX145" s="2" t="inlineStr">
        <is>
          <t>cuota fija ITP: &gt;12 años, hasta 1.500 cc; diésel: motor sin fuente de fiabilidad (fiabilidad limitada a neutra)</t>
        </is>
      </c>
      <c r="AY145" s="2" t="inlineStr">
        <is>
          <t>Vendo ford fiesta del 2011. Coche muy bien cuidado, revisión recién hecha con cambio de aceite y ruedas cambiadas. Itv en vigor. Con un consumo muy bajo</t>
        </is>
      </c>
      <c r="AZ145" s="2" t="inlineStr">
        <is>
          <t>https://www.coches.net/ford-fiesta-15-tdci-75cv-trend-5p-5p-diesel-2011-en-valencia-71662762-covo.aspx (window.__INITIAL_PROPS__.ad) /home/user/Alopecia/buscador-coches/raw/cochesnet/959794a6f3e68f1b.json</t>
        </is>
      </c>
      <c r="BA145" s="3">
        <f>MAX(ANIO_ACTUAL-M145,0)</f>
        <v/>
      </c>
      <c r="BB145" s="4">
        <f>N145/MAX(BA145,0.5)</f>
        <v/>
      </c>
      <c r="BC145" s="4">
        <f>F145</f>
        <v/>
      </c>
      <c r="BD145" s="3">
        <f>BC145&amp;"|"&amp;INT(M145/SEG_ANIO)*SEG_ANIO</f>
        <v/>
      </c>
      <c r="BE145" s="3">
        <f>BD145&amp;"|"&amp;INT(N145/SEG_KM)*SEG_KM</f>
        <v/>
      </c>
      <c r="BF145" s="4">
        <f>COUNTIF($BC$2:$BC$545,BC145)</f>
        <v/>
      </c>
      <c r="BG145" s="4">
        <f>COUNTIF($BD$2:$BD$545,BD145)</f>
        <v/>
      </c>
      <c r="BH145" s="4">
        <f>COUNTIF($BE$2:$BE$545,BE145)</f>
        <v/>
      </c>
      <c r="BI145" s="3">
        <f t="array" ref="BI145">IF(N(AU145)&gt;=MIN_N,AT145,IF(BH145&gt;=MIN_N,MEDIAN(IF($BE$2:$BE$545=BE145,$O$2:$O$545)),IF(BG145&gt;=MIN_N,MEDIAN(IF($BD$2:$BD$545=BD145,$O$2:$O$545)),MEDIAN(IF($BC$2:$BC$545=BC145,$O$2:$O$545)))))</f>
        <v/>
      </c>
      <c r="BJ145" s="3">
        <f>IF(N(AU145)&gt;=MIN_N,"mercado "&amp;AV145,IF(BH145&gt;=MIN_N,"modelo+año+km",IF(BG145&gt;=MIN_N,"modelo+año","modelo")))</f>
        <v/>
      </c>
      <c r="BK145" s="4">
        <f>(BI145-O145)/BI145</f>
        <v/>
      </c>
      <c r="BL145" s="3">
        <f>IF(COUNTIFS(FR_FUEL,K145,FR_YEAR,AP145)&gt;0,1,0)</f>
        <v/>
      </c>
      <c r="BM145" s="3">
        <f>IF(COUNTIFS(FR_FUEL,K145,FR_YEAR,AP145-1)&gt;0,1,0)</f>
        <v/>
      </c>
      <c r="BN145" s="4">
        <f>IF(N(AQ145)&gt;0,AP145*100+AQ145,IF(AND(BL145=1,BM145=1),(AP145-1)*100+1,AP145*100+1))</f>
        <v/>
      </c>
      <c r="BO145" s="3">
        <f>IF(OR(K145="hibrido",K145="glp",K145="gnc",K145="phev"),"ECO",IF(K145="electrico","CERO",IF(K145="gasolina",IF(BN145&gt;=GAS_C_YM,"C",IF(BN145&gt;=GAS_B_YM,"B","A")),IF(K145="diesel",IF(BN145&gt;=DIE_C_YM,"C",IF(BN145&gt;=DIE_B_YM,"B","A")),""))))</f>
        <v/>
      </c>
      <c r="BP145" s="2" t="inlineStr">
        <is>
          <t>B</t>
        </is>
      </c>
      <c r="BQ145" s="4">
        <f>IF(AS145="regla",IF(AND(N(AQ145)=0,BL145=1),"sí","no"),"no")</f>
        <v/>
      </c>
      <c r="BR145" s="3">
        <f>IFERROR(VLOOKUP(F145,MOD_TBL,11,0),IFERROR(VLOOKUP(E145,OCU_TBL,2,0),NEUTRO))</f>
        <v/>
      </c>
      <c r="BS145" s="3">
        <f>SUMIFS(MOT_AJUSTE,MOT_MOTOR,G145,MOT_MARCA,E145,MOT_DESDE,"&lt;="&amp;M145,MOT_HASTA,"&gt;="&amp;M145)+SUMIFS(MOT_AJUSTE,MOT_MOTOR,G145,MOT_MARCA,"(todas)",MOT_DESDE,"&lt;="&amp;M145,MOT_HASTA,"&gt;="&amp;M145)</f>
        <v/>
      </c>
      <c r="BT145" s="3">
        <f>SUMIFS(COMB_AJUSTE,COMB_COMB,K145)</f>
        <v/>
      </c>
      <c r="BU145" s="3">
        <f>COUNTIFS(MOT_MOTOR,G145,MOT_MARCA,E145,MOT_DESDE,"&lt;="&amp;M145,MOT_HASTA,"&gt;="&amp;M145)+COUNTIFS(MOT_MOTOR,G145,MOT_MARCA,"(todas)",MOT_DESDE,"&lt;="&amp;M145,MOT_HASTA,"&gt;="&amp;M145)</f>
        <v/>
      </c>
      <c r="BV145" s="3">
        <f>IF(AND(K145="diesel",BU145=0),MIN(BR145,NEUTRO),BR145)</f>
        <v/>
      </c>
      <c r="BW145" s="4">
        <f>MAX(0,MIN(100,BV145+BS145+BT145))</f>
        <v/>
      </c>
      <c r="BX145" s="3">
        <f>MAX(0,MIN(100,50+BK145*PRECIO_PEND))</f>
        <v/>
      </c>
      <c r="BY145" s="3">
        <f>MAX(0,100*(1-N145/KM_MAX))</f>
        <v/>
      </c>
      <c r="BZ145" s="3">
        <f>IF(BB145&lt;KMA_SOSP,IF(AA145="sí",100,KMA_PEN),IF(BB145&lt;=KMA_IDEAL_MAX,100,MAX(0,100*(KMA_CERO-BB145)/(KMA_CERO-KMA_IDEAL_MAX))))</f>
        <v/>
      </c>
      <c r="CA145" s="3">
        <f>MAX(0,MIN(100,100*(M145-ANIO_MIN)/(ANIO_ACTUAL-ANIO_MIN)))</f>
        <v/>
      </c>
      <c r="CB145" s="3">
        <f>W_KMT*BY145+W_KMA*BZ145+W_EDAD*CA145</f>
        <v/>
      </c>
      <c r="CC145" s="3">
        <f>P_ITV*(V145="sí")+P_LIBRO*(W145="sí")+P_CORREA*(X145="sí")+P_PROP*(Y145=1)+P_GAR*(Z145="sí")+P_FOTOS*MIN(1,N(U145)/FOTOS_OBJ)</f>
        <v/>
      </c>
      <c r="CD145" s="3">
        <f>MAX(0,MIN(100,IFERROR(VLOOKUP(BP145,ETQ_TBL,2,0),0)-IF(BQ145="sí",ETQ_PEN_DUD,IF(AS145="regla",ETQ_PEN_REGLA,0))))</f>
        <v/>
      </c>
      <c r="CE145" s="3">
        <f>NEUTRO</f>
        <v/>
      </c>
      <c r="CF145" s="3">
        <f>IFERROR(VLOOKUP(L145,SEGURO_TBL,3,0),"")</f>
        <v/>
      </c>
      <c r="CG145" s="3">
        <f>IF(CF145="",NEUTRO,MAX(0,MIN(100,100*(SEG_REF_MAX-CF145)/(SEG_REF_MAX-SEG_REF_MIN))))</f>
        <v/>
      </c>
      <c r="CH145" s="3">
        <f>W_CONS*CE145+W_SEG*CG145</f>
        <v/>
      </c>
      <c r="CI145" s="3">
        <f>IF(N(AB145)&gt;0,AB145,IF(AND(R145="profesional",SG_LEGAL_ON=1),GAR_LEGAL,0))</f>
        <v/>
      </c>
      <c r="CJ145" s="3">
        <f>SG_GAR*MIN(1,CI145/SG_GAR_FULL)+SG_AMPL*(AC145="sí")+SG_KMC*(AF145="sí")+SG_REV*(N(AE145)&gt;0)+SG_DEV*MIN(1,N(AG145)/SG_DEV_FULL)+SG_HIST*(W145="sí")</f>
        <v/>
      </c>
      <c r="CK145" s="3">
        <f>IFERROR(VLOOKUP(L145,CARR_PEN_TBL,2,0),0)</f>
        <v/>
      </c>
      <c r="CL145" s="3">
        <f>W_FIAB*BW145+W_PRECIO*BX145+W_KMEDAD*CB145+W_ANUNCIO*CC145+W_USO*CH145+W_SEGURIDAD*CJ145+W_ETIQUETA*CD145-CK145</f>
        <v/>
      </c>
      <c r="CM145" s="4">
        <f>IF(N(I145)&gt;0,I145,IFERROR(ROUND(_xlfn.NUMBERVALUE(LEFT(G145,FIND(" ",G145&amp;" ")-1),".")*1000,0),99999))</f>
        <v/>
      </c>
      <c r="CN145" s="3">
        <f>IF(R145="profesional",0,IF(O145&lt;CUOTA_VALOR_MAX,IF(BA145&gt;ITP_TRAMO_ALTO,SUMIFS(CF_CUOTA,CF_MAS,ITP_TRAMO_ALTO,CF_CCMIN,"&lt;="&amp;CM145,CF_CCMAX,"&gt;="&amp;CM145),IF(BA145&gt;ITP_TRAMO_BAJO,SUMIFS(CF_CUOTA,CF_MAS,ITP_TRAMO_BAJO,CF_CCMIN,"&lt;="&amp;CM145,CF_CCMAX,"&gt;="&amp;CM145),O145*ITP_TIPO)),O145*ITP_TIPO))</f>
        <v/>
      </c>
      <c r="CO145" s="4">
        <f>IF(R145="profesional",N(AK145),0)</f>
        <v/>
      </c>
      <c r="CP145" s="3">
        <f>IF(AND(R145="profesional",ISNUMBER(AK145),AL145="sí"),0,TASA_DGT)</f>
        <v/>
      </c>
      <c r="CQ145" s="3">
        <f>INFORME_DGT</f>
        <v/>
      </c>
      <c r="CR145" s="4">
        <f>O145+CO145+CN145+CP145+CQ145</f>
        <v/>
      </c>
      <c r="CS145" s="4">
        <f>CR145+N(CF145)</f>
        <v/>
      </c>
      <c r="CT145" s="3">
        <f>IF(CR145&lt;=TOTAL_MAX,"sí",IF(CR145&lt;=TOTAL_MAX+MARGEN_NEG,"negociar","no"))</f>
        <v/>
      </c>
      <c r="CU145" s="4">
        <f>IF(CT145&lt;&gt;"no",COUNTIFS($CT$2:$CT$545,"&lt;&gt;no",$CL$2:$CL$545,"&gt;"&amp;CL145)+COUNTIFS($CT$2:CT145,"&lt;&gt;no",$CL$2:CL145,CL145),"")</f>
        <v/>
      </c>
    </row>
    <row r="146">
      <c r="A146" s="2" t="inlineStr">
        <is>
          <t>cochesnet:71497287</t>
        </is>
      </c>
      <c r="B146" s="2" t="inlineStr">
        <is>
          <t>cochesnet</t>
        </is>
      </c>
      <c r="C146" s="2" t="inlineStr">
        <is>
          <t>https://www.coches.net/ford-fiesta-diesel-2010-en-valencia-71497287-covo.aspx</t>
        </is>
      </c>
      <c r="D146" s="2" t="inlineStr">
        <is>
          <t>FORD Fiesta</t>
        </is>
      </c>
      <c r="E146" s="2" t="inlineStr">
        <is>
          <t>Ford</t>
        </is>
      </c>
      <c r="F146" s="2" t="inlineStr">
        <is>
          <t>Ford Fiesta</t>
        </is>
      </c>
      <c r="G146" s="2" t="n"/>
      <c r="H146" s="2" t="n"/>
      <c r="I146" s="2" t="n"/>
      <c r="J146" s="2" t="n"/>
      <c r="K146" s="2" t="inlineStr">
        <is>
          <t>diesel</t>
        </is>
      </c>
      <c r="L146" s="2" t="inlineStr">
        <is>
          <t>utilitario</t>
        </is>
      </c>
      <c r="M146" s="2" t="n">
        <v>2010</v>
      </c>
      <c r="N146" s="2" t="n">
        <v>201000</v>
      </c>
      <c r="O146" s="2" t="n">
        <v>2900</v>
      </c>
      <c r="P146" s="2" t="inlineStr">
        <is>
          <t>manual</t>
        </is>
      </c>
      <c r="Q146" s="2" t="inlineStr">
        <is>
          <t>no</t>
        </is>
      </c>
      <c r="R146" s="2" t="inlineStr">
        <is>
          <t>particular</t>
        </is>
      </c>
      <c r="S146" s="2" t="inlineStr">
        <is>
          <t>Beniflá</t>
        </is>
      </c>
      <c r="T146" s="2" t="inlineStr">
        <is>
          <t>2026-09-12T04:53:23Z</t>
        </is>
      </c>
      <c r="U146" s="2" t="n">
        <v>8</v>
      </c>
      <c r="V146" s="2" t="inlineStr">
        <is>
          <t>sí</t>
        </is>
      </c>
      <c r="W146" s="2" t="n"/>
      <c r="X146" s="2" t="n"/>
      <c r="Y146" s="2" t="n"/>
      <c r="Z146" s="2" t="inlineStr">
        <is>
          <t>no</t>
        </is>
      </c>
      <c r="AA146" s="2" t="n"/>
      <c r="AB146" s="2" t="n"/>
      <c r="AC146" s="2" t="n"/>
      <c r="AD146" s="2" t="n"/>
      <c r="AE146" s="2" t="n"/>
      <c r="AF146" s="2" t="n"/>
      <c r="AG146" s="2" t="n"/>
      <c r="AH146" s="2" t="n">
        <v>2900</v>
      </c>
      <c r="AI146" s="2" t="n"/>
      <c r="AJ146" s="2" t="n"/>
      <c r="AK146" s="2" t="n"/>
      <c r="AL146" s="2" t="n"/>
      <c r="AM146" s="2" t="n">
        <v>62.6</v>
      </c>
      <c r="AN146" s="2" t="n"/>
      <c r="AO146" s="2" t="inlineStr">
        <is>
          <t>2010</t>
        </is>
      </c>
      <c r="AP146" s="2" t="n">
        <v>2010</v>
      </c>
      <c r="AQ146" s="2" t="n"/>
      <c r="AR146" s="2" t="n"/>
      <c r="AS146" s="2" t="inlineStr">
        <is>
          <t>regla</t>
        </is>
      </c>
      <c r="AT146" s="2" t="n">
        <v>3500</v>
      </c>
      <c r="AU146" s="2" t="n">
        <v>13</v>
      </c>
      <c r="AV146" s="2" t="inlineStr">
        <is>
          <t>modelo+año+km</t>
        </is>
      </c>
      <c r="AW146" s="2" t="inlineStr">
        <is>
          <t>wallapop:1304021957 (https://es.wallapop.com/item/ford-fiesta-2010-1304021957)</t>
        </is>
      </c>
      <c r="AX146" s="2" t="inlineStr">
        <is>
          <t>cilindrada desconocida: se aplica el tramo de cuota fija más alto; cuota fija ITP: &gt;12 años, más de 2.000 cc; diésel: motor sin fuente de fiabilidad (fiabilidad limitada a neutra)</t>
        </is>
      </c>
      <c r="AY146" s="2" t="inlineStr">
        <is>
          <t>Tiene ITV hasta noviembre, funciona perfecto. Sus únicos problemas son de chapa y pintura como se observa en la foto y la botonera de la radio.</t>
        </is>
      </c>
      <c r="AZ146" s="2" t="inlineStr">
        <is>
          <t>https://www.coches.net/ford-fiesta-diesel-2010-en-valencia-71497287-covo.aspx (window.__INITIAL_PROPS__.ad) /home/user/Alopecia/buscador-coches/raw/cochesnet/e9d73573d20c5f46.json</t>
        </is>
      </c>
      <c r="BA146" s="3">
        <f>MAX(ANIO_ACTUAL-M146,0)</f>
        <v/>
      </c>
      <c r="BB146" s="4">
        <f>N146/MAX(BA146,0.5)</f>
        <v/>
      </c>
      <c r="BC146" s="4">
        <f>F146</f>
        <v/>
      </c>
      <c r="BD146" s="3">
        <f>BC146&amp;"|"&amp;INT(M146/SEG_ANIO)*SEG_ANIO</f>
        <v/>
      </c>
      <c r="BE146" s="3">
        <f>BD146&amp;"|"&amp;INT(N146/SEG_KM)*SEG_KM</f>
        <v/>
      </c>
      <c r="BF146" s="4">
        <f>COUNTIF($BC$2:$BC$545,BC146)</f>
        <v/>
      </c>
      <c r="BG146" s="4">
        <f>COUNTIF($BD$2:$BD$545,BD146)</f>
        <v/>
      </c>
      <c r="BH146" s="4">
        <f>COUNTIF($BE$2:$BE$545,BE146)</f>
        <v/>
      </c>
      <c r="BI146" s="3">
        <f t="array" ref="BI146">IF(N(AU146)&gt;=MIN_N,AT146,IF(BH146&gt;=MIN_N,MEDIAN(IF($BE$2:$BE$545=BE146,$O$2:$O$545)),IF(BG146&gt;=MIN_N,MEDIAN(IF($BD$2:$BD$545=BD146,$O$2:$O$545)),MEDIAN(IF($BC$2:$BC$545=BC146,$O$2:$O$545)))))</f>
        <v/>
      </c>
      <c r="BJ146" s="3">
        <f>IF(N(AU146)&gt;=MIN_N,"mercado "&amp;AV146,IF(BH146&gt;=MIN_N,"modelo+año+km",IF(BG146&gt;=MIN_N,"modelo+año","modelo")))</f>
        <v/>
      </c>
      <c r="BK146" s="4">
        <f>(BI146-O146)/BI146</f>
        <v/>
      </c>
      <c r="BL146" s="3">
        <f>IF(COUNTIFS(FR_FUEL,K146,FR_YEAR,AP146)&gt;0,1,0)</f>
        <v/>
      </c>
      <c r="BM146" s="3">
        <f>IF(COUNTIFS(FR_FUEL,K146,FR_YEAR,AP146-1)&gt;0,1,0)</f>
        <v/>
      </c>
      <c r="BN146" s="4">
        <f>IF(N(AQ146)&gt;0,AP146*100+AQ146,IF(AND(BL146=1,BM146=1),(AP146-1)*100+1,AP146*100+1))</f>
        <v/>
      </c>
      <c r="BO146" s="3">
        <f>IF(OR(K146="hibrido",K146="glp",K146="gnc",K146="phev"),"ECO",IF(K146="electrico","CERO",IF(K146="gasolina",IF(BN146&gt;=GAS_C_YM,"C",IF(BN146&gt;=GAS_B_YM,"B","A")),IF(K146="diesel",IF(BN146&gt;=DIE_C_YM,"C",IF(BN146&gt;=DIE_B_YM,"B","A")),""))))</f>
        <v/>
      </c>
      <c r="BP146" s="4">
        <f>BO146</f>
        <v/>
      </c>
      <c r="BQ146" s="4">
        <f>IF(AS146="regla",IF(AND(N(AQ146)=0,BL146=1),"sí","no"),"no")</f>
        <v/>
      </c>
      <c r="BR146" s="3">
        <f>IFERROR(VLOOKUP(F146,MOD_TBL,11,0),IFERROR(VLOOKUP(E146,OCU_TBL,2,0),NEUTRO))</f>
        <v/>
      </c>
      <c r="BS146" s="3">
        <f>SUMIFS(MOT_AJUSTE,MOT_MOTOR,G146,MOT_MARCA,E146,MOT_DESDE,"&lt;="&amp;M146,MOT_HASTA,"&gt;="&amp;M146)+SUMIFS(MOT_AJUSTE,MOT_MOTOR,G146,MOT_MARCA,"(todas)",MOT_DESDE,"&lt;="&amp;M146,MOT_HASTA,"&gt;="&amp;M146)</f>
        <v/>
      </c>
      <c r="BT146" s="3">
        <f>SUMIFS(COMB_AJUSTE,COMB_COMB,K146)</f>
        <v/>
      </c>
      <c r="BU146" s="3">
        <f>COUNTIFS(MOT_MOTOR,G146,MOT_MARCA,E146,MOT_DESDE,"&lt;="&amp;M146,MOT_HASTA,"&gt;="&amp;M146)+COUNTIFS(MOT_MOTOR,G146,MOT_MARCA,"(todas)",MOT_DESDE,"&lt;="&amp;M146,MOT_HASTA,"&gt;="&amp;M146)</f>
        <v/>
      </c>
      <c r="BV146" s="3">
        <f>IF(AND(K146="diesel",BU146=0),MIN(BR146,NEUTRO),BR146)</f>
        <v/>
      </c>
      <c r="BW146" s="4">
        <f>MAX(0,MIN(100,BV146+BS146+BT146))</f>
        <v/>
      </c>
      <c r="BX146" s="3">
        <f>MAX(0,MIN(100,50+BK146*PRECIO_PEND))</f>
        <v/>
      </c>
      <c r="BY146" s="3">
        <f>MAX(0,100*(1-N146/KM_MAX))</f>
        <v/>
      </c>
      <c r="BZ146" s="3">
        <f>IF(BB146&lt;KMA_SOSP,IF(AA146="sí",100,KMA_PEN),IF(BB146&lt;=KMA_IDEAL_MAX,100,MAX(0,100*(KMA_CERO-BB146)/(KMA_CERO-KMA_IDEAL_MAX))))</f>
        <v/>
      </c>
      <c r="CA146" s="3">
        <f>MAX(0,MIN(100,100*(M146-ANIO_MIN)/(ANIO_ACTUAL-ANIO_MIN)))</f>
        <v/>
      </c>
      <c r="CB146" s="3">
        <f>W_KMT*BY146+W_KMA*BZ146+W_EDAD*CA146</f>
        <v/>
      </c>
      <c r="CC146" s="3">
        <f>P_ITV*(V146="sí")+P_LIBRO*(W146="sí")+P_CORREA*(X146="sí")+P_PROP*(Y146=1)+P_GAR*(Z146="sí")+P_FOTOS*MIN(1,N(U146)/FOTOS_OBJ)</f>
        <v/>
      </c>
      <c r="CD146" s="3">
        <f>MAX(0,MIN(100,IFERROR(VLOOKUP(BP146,ETQ_TBL,2,0),0)-IF(BQ146="sí",ETQ_PEN_DUD,IF(AS146="regla",ETQ_PEN_REGLA,0))))</f>
        <v/>
      </c>
      <c r="CE146" s="3">
        <f>NEUTRO</f>
        <v/>
      </c>
      <c r="CF146" s="3">
        <f>IFERROR(VLOOKUP(L146,SEGURO_TBL,3,0),"")</f>
        <v/>
      </c>
      <c r="CG146" s="3">
        <f>IF(CF146="",NEUTRO,MAX(0,MIN(100,100*(SEG_REF_MAX-CF146)/(SEG_REF_MAX-SEG_REF_MIN))))</f>
        <v/>
      </c>
      <c r="CH146" s="3">
        <f>W_CONS*CE146+W_SEG*CG146</f>
        <v/>
      </c>
      <c r="CI146" s="3">
        <f>IF(N(AB146)&gt;0,AB146,IF(AND(R146="profesional",SG_LEGAL_ON=1),GAR_LEGAL,0))</f>
        <v/>
      </c>
      <c r="CJ146" s="3">
        <f>SG_GAR*MIN(1,CI146/SG_GAR_FULL)+SG_AMPL*(AC146="sí")+SG_KMC*(AF146="sí")+SG_REV*(N(AE146)&gt;0)+SG_DEV*MIN(1,N(AG146)/SG_DEV_FULL)+SG_HIST*(W146="sí")</f>
        <v/>
      </c>
      <c r="CK146" s="3">
        <f>IFERROR(VLOOKUP(L146,CARR_PEN_TBL,2,0),0)</f>
        <v/>
      </c>
      <c r="CL146" s="3">
        <f>W_FIAB*BW146+W_PRECIO*BX146+W_KMEDAD*CB146+W_ANUNCIO*CC146+W_USO*CH146+W_SEGURIDAD*CJ146+W_ETIQUETA*CD146-CK146</f>
        <v/>
      </c>
      <c r="CM146" s="4">
        <f>IF(N(I146)&gt;0,I146,IFERROR(ROUND(_xlfn.NUMBERVALUE(LEFT(G146,FIND(" ",G146&amp;" ")-1),".")*1000,0),99999))</f>
        <v/>
      </c>
      <c r="CN146" s="3">
        <f>IF(R146="profesional",0,IF(O146&lt;CUOTA_VALOR_MAX,IF(BA146&gt;ITP_TRAMO_ALTO,SUMIFS(CF_CUOTA,CF_MAS,ITP_TRAMO_ALTO,CF_CCMIN,"&lt;="&amp;CM146,CF_CCMAX,"&gt;="&amp;CM146),IF(BA146&gt;ITP_TRAMO_BAJO,SUMIFS(CF_CUOTA,CF_MAS,ITP_TRAMO_BAJO,CF_CCMIN,"&lt;="&amp;CM146,CF_CCMAX,"&gt;="&amp;CM146),O146*ITP_TIPO)),O146*ITP_TIPO))</f>
        <v/>
      </c>
      <c r="CO146" s="4">
        <f>IF(R146="profesional",N(AK146),0)</f>
        <v/>
      </c>
      <c r="CP146" s="3">
        <f>IF(AND(R146="profesional",ISNUMBER(AK146),AL146="sí"),0,TASA_DGT)</f>
        <v/>
      </c>
      <c r="CQ146" s="3">
        <f>INFORME_DGT</f>
        <v/>
      </c>
      <c r="CR146" s="4">
        <f>O146+CO146+CN146+CP146+CQ146</f>
        <v/>
      </c>
      <c r="CS146" s="4">
        <f>CR146+N(CF146)</f>
        <v/>
      </c>
      <c r="CT146" s="3">
        <f>IF(CR146&lt;=TOTAL_MAX,"sí",IF(CR146&lt;=TOTAL_MAX+MARGEN_NEG,"negociar","no"))</f>
        <v/>
      </c>
      <c r="CU146" s="4">
        <f>IF(CT146&lt;&gt;"no",COUNTIFS($CT$2:$CT$545,"&lt;&gt;no",$CL$2:$CL$545,"&gt;"&amp;CL146)+COUNTIFS($CT$2:CT146,"&lt;&gt;no",$CL$2:CL146,CL146),"")</f>
        <v/>
      </c>
    </row>
    <row r="147">
      <c r="A147" s="2" t="inlineStr">
        <is>
          <t>cochesnet:71399583</t>
        </is>
      </c>
      <c r="B147" s="2" t="inlineStr">
        <is>
          <t>cochesnet</t>
        </is>
      </c>
      <c r="C147" s="2" t="inlineStr">
        <is>
          <t>https://www.coches.net/ford-fiesta-diesel-2011-en-valencia-71399583-covo.aspx</t>
        </is>
      </c>
      <c r="D147" s="2" t="inlineStr">
        <is>
          <t>FORD Fiesta</t>
        </is>
      </c>
      <c r="E147" s="2" t="inlineStr">
        <is>
          <t>Ford</t>
        </is>
      </c>
      <c r="F147" s="2" t="inlineStr">
        <is>
          <t>Ford Fiesta</t>
        </is>
      </c>
      <c r="G147" s="2" t="n"/>
      <c r="H147" s="2" t="n"/>
      <c r="I147" s="2" t="n"/>
      <c r="J147" s="2" t="n"/>
      <c r="K147" s="2" t="inlineStr">
        <is>
          <t>diesel</t>
        </is>
      </c>
      <c r="L147" s="2" t="inlineStr">
        <is>
          <t>utilitario</t>
        </is>
      </c>
      <c r="M147" s="2" t="n">
        <v>2011</v>
      </c>
      <c r="N147" s="2" t="n">
        <v>212000</v>
      </c>
      <c r="O147" s="2" t="n">
        <v>4200</v>
      </c>
      <c r="P147" s="2" t="inlineStr">
        <is>
          <t>manual</t>
        </is>
      </c>
      <c r="Q147" s="2" t="inlineStr">
        <is>
          <t>no</t>
        </is>
      </c>
      <c r="R147" s="2" t="inlineStr">
        <is>
          <t>particular</t>
        </is>
      </c>
      <c r="S147" s="2" t="n"/>
      <c r="T147" s="2" t="inlineStr">
        <is>
          <t>2026-08-31T09:41:42Z</t>
        </is>
      </c>
      <c r="U147" s="2" t="n">
        <v>4</v>
      </c>
      <c r="V147" s="2" t="inlineStr">
        <is>
          <t>sí</t>
        </is>
      </c>
      <c r="W147" s="2" t="inlineStr">
        <is>
          <t>sí</t>
        </is>
      </c>
      <c r="X147" s="2" t="n"/>
      <c r="Y147" s="2" t="n"/>
      <c r="Z147" s="2" t="inlineStr">
        <is>
          <t>no</t>
        </is>
      </c>
      <c r="AA147" s="2" t="n"/>
      <c r="AB147" s="2" t="n"/>
      <c r="AC147" s="2" t="n"/>
      <c r="AD147" s="2" t="n"/>
      <c r="AE147" s="2" t="n"/>
      <c r="AF147" s="2" t="n"/>
      <c r="AG147" s="2" t="n"/>
      <c r="AH147" s="2" t="n">
        <v>4200</v>
      </c>
      <c r="AI147" s="2" t="n"/>
      <c r="AJ147" s="2" t="n"/>
      <c r="AK147" s="2" t="n"/>
      <c r="AL147" s="2" t="n"/>
      <c r="AM147" s="2" t="n"/>
      <c r="AN147" s="2" t="n"/>
      <c r="AO147" s="2" t="inlineStr">
        <is>
          <t>2011</t>
        </is>
      </c>
      <c r="AP147" s="2" t="n">
        <v>2011</v>
      </c>
      <c r="AQ147" s="2" t="n"/>
      <c r="AR147" s="2" t="n"/>
      <c r="AS147" s="2" t="inlineStr">
        <is>
          <t>regla</t>
        </is>
      </c>
      <c r="AT147" s="2" t="n">
        <v>3500</v>
      </c>
      <c r="AU147" s="2" t="n">
        <v>13</v>
      </c>
      <c r="AV147" s="2" t="inlineStr">
        <is>
          <t>modelo+año+km</t>
        </is>
      </c>
      <c r="AW147" s="2" t="n"/>
      <c r="AX147"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47" s="2" t="inlineStr">
        <is>
          <t>Buscas un coche fiable, ágil y que no te arruine en la gasolinera? 
Vendo Ford Fiesta del año 2011 en un estado impecable para sus años. Mimado al detalle, durmiendo en garaje y con todo el mantenimiento al día.
Es el coche ideal tanto para el día a día en ciudad (se aparca en cualquier sitio) como para conductores noveles o personas que busquen un utilitario duro, económico de mantener y con etiqueta ambiental para circular sin problemas.
- Motor 70 CV: Muy duro, mecánicamente súper fiable y con un consumo ridículo (ronda los 4-5 L/100 km).
 - Mantenimiento al día: Aceite, filtros y revisiones al dia. Ruedas terminadas de cambiar. ITV en vigor. 
 - Equipamiento práctico: Aire acondicionado (enfría perfecto), dirección asistida, elevalunas eléctricos, cierre centralizado y radio CD/MP3 con entrada auxiliar.</t>
        </is>
      </c>
      <c r="AZ147" s="2" t="inlineStr">
        <is>
          <t>https://www.coches.net/ford-fiesta-diesel-2011-en-valencia-71399583-covo.aspx (window.__INITIAL_PROPS__.ad) /home/user/Alopecia/buscador-coches/raw/cochesnet/54ac8203a591f873.json</t>
        </is>
      </c>
      <c r="BA147" s="3">
        <f>MAX(ANIO_ACTUAL-M147,0)</f>
        <v/>
      </c>
      <c r="BB147" s="4">
        <f>N147/MAX(BA147,0.5)</f>
        <v/>
      </c>
      <c r="BC147" s="4">
        <f>F147</f>
        <v/>
      </c>
      <c r="BD147" s="3">
        <f>BC147&amp;"|"&amp;INT(M147/SEG_ANIO)*SEG_ANIO</f>
        <v/>
      </c>
      <c r="BE147" s="3">
        <f>BD147&amp;"|"&amp;INT(N147/SEG_KM)*SEG_KM</f>
        <v/>
      </c>
      <c r="BF147" s="4">
        <f>COUNTIF($BC$2:$BC$545,BC147)</f>
        <v/>
      </c>
      <c r="BG147" s="4">
        <f>COUNTIF($BD$2:$BD$545,BD147)</f>
        <v/>
      </c>
      <c r="BH147" s="4">
        <f>COUNTIF($BE$2:$BE$545,BE147)</f>
        <v/>
      </c>
      <c r="BI147" s="3">
        <f t="array" ref="BI147">IF(N(AU147)&gt;=MIN_N,AT147,IF(BH147&gt;=MIN_N,MEDIAN(IF($BE$2:$BE$545=BE147,$O$2:$O$545)),IF(BG147&gt;=MIN_N,MEDIAN(IF($BD$2:$BD$545=BD147,$O$2:$O$545)),MEDIAN(IF($BC$2:$BC$545=BC147,$O$2:$O$545)))))</f>
        <v/>
      </c>
      <c r="BJ147" s="3">
        <f>IF(N(AU147)&gt;=MIN_N,"mercado "&amp;AV147,IF(BH147&gt;=MIN_N,"modelo+año+km",IF(BG147&gt;=MIN_N,"modelo+año","modelo")))</f>
        <v/>
      </c>
      <c r="BK147" s="4">
        <f>(BI147-O147)/BI147</f>
        <v/>
      </c>
      <c r="BL147" s="3">
        <f>IF(COUNTIFS(FR_FUEL,K147,FR_YEAR,AP147)&gt;0,1,0)</f>
        <v/>
      </c>
      <c r="BM147" s="3">
        <f>IF(COUNTIFS(FR_FUEL,K147,FR_YEAR,AP147-1)&gt;0,1,0)</f>
        <v/>
      </c>
      <c r="BN147" s="4">
        <f>IF(N(AQ147)&gt;0,AP147*100+AQ147,IF(AND(BL147=1,BM147=1),(AP147-1)*100+1,AP147*100+1))</f>
        <v/>
      </c>
      <c r="BO147" s="3">
        <f>IF(OR(K147="hibrido",K147="glp",K147="gnc",K147="phev"),"ECO",IF(K147="electrico","CERO",IF(K147="gasolina",IF(BN147&gt;=GAS_C_YM,"C",IF(BN147&gt;=GAS_B_YM,"B","A")),IF(K147="diesel",IF(BN147&gt;=DIE_C_YM,"C",IF(BN147&gt;=DIE_B_YM,"B","A")),""))))</f>
        <v/>
      </c>
      <c r="BP147" s="4">
        <f>BO147</f>
        <v/>
      </c>
      <c r="BQ147" s="4">
        <f>IF(AS147="regla",IF(AND(N(AQ147)=0,BL147=1),"sí","no"),"no")</f>
        <v/>
      </c>
      <c r="BR147" s="3">
        <f>IFERROR(VLOOKUP(F147,MOD_TBL,11,0),IFERROR(VLOOKUP(E147,OCU_TBL,2,0),NEUTRO))</f>
        <v/>
      </c>
      <c r="BS147" s="3">
        <f>SUMIFS(MOT_AJUSTE,MOT_MOTOR,G147,MOT_MARCA,E147,MOT_DESDE,"&lt;="&amp;M147,MOT_HASTA,"&gt;="&amp;M147)+SUMIFS(MOT_AJUSTE,MOT_MOTOR,G147,MOT_MARCA,"(todas)",MOT_DESDE,"&lt;="&amp;M147,MOT_HASTA,"&gt;="&amp;M147)</f>
        <v/>
      </c>
      <c r="BT147" s="3">
        <f>SUMIFS(COMB_AJUSTE,COMB_COMB,K147)</f>
        <v/>
      </c>
      <c r="BU147" s="3">
        <f>COUNTIFS(MOT_MOTOR,G147,MOT_MARCA,E147,MOT_DESDE,"&lt;="&amp;M147,MOT_HASTA,"&gt;="&amp;M147)+COUNTIFS(MOT_MOTOR,G147,MOT_MARCA,"(todas)",MOT_DESDE,"&lt;="&amp;M147,MOT_HASTA,"&gt;="&amp;M147)</f>
        <v/>
      </c>
      <c r="BV147" s="3">
        <f>IF(AND(K147="diesel",BU147=0),MIN(BR147,NEUTRO),BR147)</f>
        <v/>
      </c>
      <c r="BW147" s="4">
        <f>MAX(0,MIN(100,BV147+BS147+BT147))</f>
        <v/>
      </c>
      <c r="BX147" s="3">
        <f>MAX(0,MIN(100,50+BK147*PRECIO_PEND))</f>
        <v/>
      </c>
      <c r="BY147" s="3">
        <f>MAX(0,100*(1-N147/KM_MAX))</f>
        <v/>
      </c>
      <c r="BZ147" s="3">
        <f>IF(BB147&lt;KMA_SOSP,IF(AA147="sí",100,KMA_PEN),IF(BB147&lt;=KMA_IDEAL_MAX,100,MAX(0,100*(KMA_CERO-BB147)/(KMA_CERO-KMA_IDEAL_MAX))))</f>
        <v/>
      </c>
      <c r="CA147" s="3">
        <f>MAX(0,MIN(100,100*(M147-ANIO_MIN)/(ANIO_ACTUAL-ANIO_MIN)))</f>
        <v/>
      </c>
      <c r="CB147" s="3">
        <f>W_KMT*BY147+W_KMA*BZ147+W_EDAD*CA147</f>
        <v/>
      </c>
      <c r="CC147" s="3">
        <f>P_ITV*(V147="sí")+P_LIBRO*(W147="sí")+P_CORREA*(X147="sí")+P_PROP*(Y147=1)+P_GAR*(Z147="sí")+P_FOTOS*MIN(1,N(U147)/FOTOS_OBJ)</f>
        <v/>
      </c>
      <c r="CD147" s="3">
        <f>MAX(0,MIN(100,IFERROR(VLOOKUP(BP147,ETQ_TBL,2,0),0)-IF(BQ147="sí",ETQ_PEN_DUD,IF(AS147="regla",ETQ_PEN_REGLA,0))))</f>
        <v/>
      </c>
      <c r="CE147" s="3">
        <f>NEUTRO</f>
        <v/>
      </c>
      <c r="CF147" s="3">
        <f>IFERROR(VLOOKUP(L147,SEGURO_TBL,3,0),"")</f>
        <v/>
      </c>
      <c r="CG147" s="3">
        <f>IF(CF147="",NEUTRO,MAX(0,MIN(100,100*(SEG_REF_MAX-CF147)/(SEG_REF_MAX-SEG_REF_MIN))))</f>
        <v/>
      </c>
      <c r="CH147" s="3">
        <f>W_CONS*CE147+W_SEG*CG147</f>
        <v/>
      </c>
      <c r="CI147" s="3">
        <f>IF(N(AB147)&gt;0,AB147,IF(AND(R147="profesional",SG_LEGAL_ON=1),GAR_LEGAL,0))</f>
        <v/>
      </c>
      <c r="CJ147" s="3">
        <f>SG_GAR*MIN(1,CI147/SG_GAR_FULL)+SG_AMPL*(AC147="sí")+SG_KMC*(AF147="sí")+SG_REV*(N(AE147)&gt;0)+SG_DEV*MIN(1,N(AG147)/SG_DEV_FULL)+SG_HIST*(W147="sí")</f>
        <v/>
      </c>
      <c r="CK147" s="3">
        <f>IFERROR(VLOOKUP(L147,CARR_PEN_TBL,2,0),0)</f>
        <v/>
      </c>
      <c r="CL147" s="3">
        <f>W_FIAB*BW147+W_PRECIO*BX147+W_KMEDAD*CB147+W_ANUNCIO*CC147+W_USO*CH147+W_SEGURIDAD*CJ147+W_ETIQUETA*CD147-CK147</f>
        <v/>
      </c>
      <c r="CM147" s="4">
        <f>IF(N(I147)&gt;0,I147,IFERROR(ROUND(_xlfn.NUMBERVALUE(LEFT(G147,FIND(" ",G147&amp;" ")-1),".")*1000,0),99999))</f>
        <v/>
      </c>
      <c r="CN147" s="3">
        <f>IF(R147="profesional",0,IF(O147&lt;CUOTA_VALOR_MAX,IF(BA147&gt;ITP_TRAMO_ALTO,SUMIFS(CF_CUOTA,CF_MAS,ITP_TRAMO_ALTO,CF_CCMIN,"&lt;="&amp;CM147,CF_CCMAX,"&gt;="&amp;CM147),IF(BA147&gt;ITP_TRAMO_BAJO,SUMIFS(CF_CUOTA,CF_MAS,ITP_TRAMO_BAJO,CF_CCMIN,"&lt;="&amp;CM147,CF_CCMAX,"&gt;="&amp;CM147),O147*ITP_TIPO)),O147*ITP_TIPO))</f>
        <v/>
      </c>
      <c r="CO147" s="4">
        <f>IF(R147="profesional",N(AK147),0)</f>
        <v/>
      </c>
      <c r="CP147" s="3">
        <f>IF(AND(R147="profesional",ISNUMBER(AK147),AL147="sí"),0,TASA_DGT)</f>
        <v/>
      </c>
      <c r="CQ147" s="3">
        <f>INFORME_DGT</f>
        <v/>
      </c>
      <c r="CR147" s="4">
        <f>O147+CO147+CN147+CP147+CQ147</f>
        <v/>
      </c>
      <c r="CS147" s="4">
        <f>CR147+N(CF147)</f>
        <v/>
      </c>
      <c r="CT147" s="3">
        <f>IF(CR147&lt;=TOTAL_MAX,"sí",IF(CR147&lt;=TOTAL_MAX+MARGEN_NEG,"negociar","no"))</f>
        <v/>
      </c>
      <c r="CU147" s="4">
        <f>IF(CT147&lt;&gt;"no",COUNTIFS($CT$2:$CT$545,"&lt;&gt;no",$CL$2:$CL$545,"&gt;"&amp;CL147)+COUNTIFS($CT$2:CT147,"&lt;&gt;no",$CL$2:CL147,CL147),"")</f>
        <v/>
      </c>
    </row>
    <row r="148">
      <c r="A148" s="2" t="inlineStr">
        <is>
          <t>cochesnet:71261001</t>
        </is>
      </c>
      <c r="B148" s="2" t="inlineStr">
        <is>
          <t>cochesnet</t>
        </is>
      </c>
      <c r="C148" s="2" t="inlineStr">
        <is>
          <t>https://www.coches.net/ford-fiesta-diesel-2008-en-valencia-71261001-covo.aspx</t>
        </is>
      </c>
      <c r="D148" s="2" t="inlineStr">
        <is>
          <t>FORD Fiesta</t>
        </is>
      </c>
      <c r="E148" s="2" t="inlineStr">
        <is>
          <t>Ford</t>
        </is>
      </c>
      <c r="F148" s="2" t="inlineStr">
        <is>
          <t>Ford Fiesta</t>
        </is>
      </c>
      <c r="G148" s="2" t="n"/>
      <c r="H148" s="2" t="n"/>
      <c r="I148" s="2" t="n"/>
      <c r="J148" s="2" t="n"/>
      <c r="K148" s="2" t="inlineStr">
        <is>
          <t>diesel</t>
        </is>
      </c>
      <c r="L148" s="2" t="inlineStr">
        <is>
          <t>utilitario</t>
        </is>
      </c>
      <c r="M148" s="2" t="n">
        <v>2008</v>
      </c>
      <c r="N148" s="2" t="n">
        <v>200000</v>
      </c>
      <c r="O148" s="2" t="n">
        <v>4000</v>
      </c>
      <c r="P148" s="2" t="inlineStr">
        <is>
          <t>manual</t>
        </is>
      </c>
      <c r="Q148" s="2" t="inlineStr">
        <is>
          <t>no</t>
        </is>
      </c>
      <c r="R148" s="2" t="inlineStr">
        <is>
          <t>particular</t>
        </is>
      </c>
      <c r="S148" s="2" t="n"/>
      <c r="T148" s="2" t="inlineStr">
        <is>
          <t>2026-08-09T19:12:41Z</t>
        </is>
      </c>
      <c r="U148" s="2" t="n">
        <v>6</v>
      </c>
      <c r="V148" s="2" t="n"/>
      <c r="W148" s="2" t="n"/>
      <c r="X148" s="2" t="inlineStr">
        <is>
          <t>sí</t>
        </is>
      </c>
      <c r="Y148" s="2" t="n"/>
      <c r="Z148" s="2" t="inlineStr">
        <is>
          <t>no</t>
        </is>
      </c>
      <c r="AA148" s="2" t="n"/>
      <c r="AB148" s="2" t="n"/>
      <c r="AC148" s="2" t="n"/>
      <c r="AD148" s="2" t="n"/>
      <c r="AE148" s="2" t="n"/>
      <c r="AF148" s="2" t="n"/>
      <c r="AG148" s="2" t="n"/>
      <c r="AH148" s="2" t="n">
        <v>4000</v>
      </c>
      <c r="AI148" s="2" t="n"/>
      <c r="AJ148" s="2" t="n"/>
      <c r="AK148" s="2" t="n"/>
      <c r="AL148" s="2" t="n"/>
      <c r="AM148" s="2" t="n"/>
      <c r="AN148" s="2" t="n"/>
      <c r="AO148" s="2" t="inlineStr">
        <is>
          <t>2008</t>
        </is>
      </c>
      <c r="AP148" s="2" t="n">
        <v>2008</v>
      </c>
      <c r="AQ148" s="2" t="n"/>
      <c r="AR148" s="2" t="n"/>
      <c r="AS148" s="2" t="inlineStr">
        <is>
          <t>regla</t>
        </is>
      </c>
      <c r="AT148" s="2" t="n">
        <v>3250</v>
      </c>
      <c r="AU148" s="2" t="n">
        <v>12</v>
      </c>
      <c r="AV148" s="2" t="inlineStr">
        <is>
          <t>modelo+año+km</t>
        </is>
      </c>
      <c r="AW148" s="2" t="n"/>
      <c r="AX148"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48" s="2" t="inlineStr">
        <is>
          <t>Se vende ford fiesta tdci 1.6 y 90 cv. Coche bien mantenido tiene las llantas nuevas espejos cambiados nuevos por uso faros nuevos cambiados por desgaste  sinnaccidentes distribucion hecha en julio limpio por dentru muy cuidado se negocia  whatapp</t>
        </is>
      </c>
      <c r="AZ148" s="2" t="inlineStr">
        <is>
          <t>https://www.coches.net/ford-fiesta-diesel-2008-en-valencia-71261001-covo.aspx (window.__INITIAL_PROPS__.ad) /home/user/Alopecia/buscador-coches/raw/cochesnet/b449a538b03904d6.json</t>
        </is>
      </c>
      <c r="BA148" s="3">
        <f>MAX(ANIO_ACTUAL-M148,0)</f>
        <v/>
      </c>
      <c r="BB148" s="4">
        <f>N148/MAX(BA148,0.5)</f>
        <v/>
      </c>
      <c r="BC148" s="4">
        <f>F148</f>
        <v/>
      </c>
      <c r="BD148" s="3">
        <f>BC148&amp;"|"&amp;INT(M148/SEG_ANIO)*SEG_ANIO</f>
        <v/>
      </c>
      <c r="BE148" s="3">
        <f>BD148&amp;"|"&amp;INT(N148/SEG_KM)*SEG_KM</f>
        <v/>
      </c>
      <c r="BF148" s="4">
        <f>COUNTIF($BC$2:$BC$545,BC148)</f>
        <v/>
      </c>
      <c r="BG148" s="4">
        <f>COUNTIF($BD$2:$BD$545,BD148)</f>
        <v/>
      </c>
      <c r="BH148" s="4">
        <f>COUNTIF($BE$2:$BE$545,BE148)</f>
        <v/>
      </c>
      <c r="BI148" s="3">
        <f t="array" ref="BI148">IF(N(AU148)&gt;=MIN_N,AT148,IF(BH148&gt;=MIN_N,MEDIAN(IF($BE$2:$BE$545=BE148,$O$2:$O$545)),IF(BG148&gt;=MIN_N,MEDIAN(IF($BD$2:$BD$545=BD148,$O$2:$O$545)),MEDIAN(IF($BC$2:$BC$545=BC148,$O$2:$O$545)))))</f>
        <v/>
      </c>
      <c r="BJ148" s="3">
        <f>IF(N(AU148)&gt;=MIN_N,"mercado "&amp;AV148,IF(BH148&gt;=MIN_N,"modelo+año+km",IF(BG148&gt;=MIN_N,"modelo+año","modelo")))</f>
        <v/>
      </c>
      <c r="BK148" s="4">
        <f>(BI148-O148)/BI148</f>
        <v/>
      </c>
      <c r="BL148" s="3">
        <f>IF(COUNTIFS(FR_FUEL,K148,FR_YEAR,AP148)&gt;0,1,0)</f>
        <v/>
      </c>
      <c r="BM148" s="3">
        <f>IF(COUNTIFS(FR_FUEL,K148,FR_YEAR,AP148-1)&gt;0,1,0)</f>
        <v/>
      </c>
      <c r="BN148" s="4">
        <f>IF(N(AQ148)&gt;0,AP148*100+AQ148,IF(AND(BL148=1,BM148=1),(AP148-1)*100+1,AP148*100+1))</f>
        <v/>
      </c>
      <c r="BO148" s="3">
        <f>IF(OR(K148="hibrido",K148="glp",K148="gnc",K148="phev"),"ECO",IF(K148="electrico","CERO",IF(K148="gasolina",IF(BN148&gt;=GAS_C_YM,"C",IF(BN148&gt;=GAS_B_YM,"B","A")),IF(K148="diesel",IF(BN148&gt;=DIE_C_YM,"C",IF(BN148&gt;=DIE_B_YM,"B","A")),""))))</f>
        <v/>
      </c>
      <c r="BP148" s="4">
        <f>BO148</f>
        <v/>
      </c>
      <c r="BQ148" s="4">
        <f>IF(AS148="regla",IF(AND(N(AQ148)=0,BL148=1),"sí","no"),"no")</f>
        <v/>
      </c>
      <c r="BR148" s="3">
        <f>IFERROR(VLOOKUP(F148,MOD_TBL,11,0),IFERROR(VLOOKUP(E148,OCU_TBL,2,0),NEUTRO))</f>
        <v/>
      </c>
      <c r="BS148" s="3">
        <f>SUMIFS(MOT_AJUSTE,MOT_MOTOR,G148,MOT_MARCA,E148,MOT_DESDE,"&lt;="&amp;M148,MOT_HASTA,"&gt;="&amp;M148)+SUMIFS(MOT_AJUSTE,MOT_MOTOR,G148,MOT_MARCA,"(todas)",MOT_DESDE,"&lt;="&amp;M148,MOT_HASTA,"&gt;="&amp;M148)</f>
        <v/>
      </c>
      <c r="BT148" s="3">
        <f>SUMIFS(COMB_AJUSTE,COMB_COMB,K148)</f>
        <v/>
      </c>
      <c r="BU148" s="3">
        <f>COUNTIFS(MOT_MOTOR,G148,MOT_MARCA,E148,MOT_DESDE,"&lt;="&amp;M148,MOT_HASTA,"&gt;="&amp;M148)+COUNTIFS(MOT_MOTOR,G148,MOT_MARCA,"(todas)",MOT_DESDE,"&lt;="&amp;M148,MOT_HASTA,"&gt;="&amp;M148)</f>
        <v/>
      </c>
      <c r="BV148" s="3">
        <f>IF(AND(K148="diesel",BU148=0),MIN(BR148,NEUTRO),BR148)</f>
        <v/>
      </c>
      <c r="BW148" s="4">
        <f>MAX(0,MIN(100,BV148+BS148+BT148))</f>
        <v/>
      </c>
      <c r="BX148" s="3">
        <f>MAX(0,MIN(100,50+BK148*PRECIO_PEND))</f>
        <v/>
      </c>
      <c r="BY148" s="3">
        <f>MAX(0,100*(1-N148/KM_MAX))</f>
        <v/>
      </c>
      <c r="BZ148" s="3">
        <f>IF(BB148&lt;KMA_SOSP,IF(AA148="sí",100,KMA_PEN),IF(BB148&lt;=KMA_IDEAL_MAX,100,MAX(0,100*(KMA_CERO-BB148)/(KMA_CERO-KMA_IDEAL_MAX))))</f>
        <v/>
      </c>
      <c r="CA148" s="3">
        <f>MAX(0,MIN(100,100*(M148-ANIO_MIN)/(ANIO_ACTUAL-ANIO_MIN)))</f>
        <v/>
      </c>
      <c r="CB148" s="3">
        <f>W_KMT*BY148+W_KMA*BZ148+W_EDAD*CA148</f>
        <v/>
      </c>
      <c r="CC148" s="3">
        <f>P_ITV*(V148="sí")+P_LIBRO*(W148="sí")+P_CORREA*(X148="sí")+P_PROP*(Y148=1)+P_GAR*(Z148="sí")+P_FOTOS*MIN(1,N(U148)/FOTOS_OBJ)</f>
        <v/>
      </c>
      <c r="CD148" s="3">
        <f>MAX(0,MIN(100,IFERROR(VLOOKUP(BP148,ETQ_TBL,2,0),0)-IF(BQ148="sí",ETQ_PEN_DUD,IF(AS148="regla",ETQ_PEN_REGLA,0))))</f>
        <v/>
      </c>
      <c r="CE148" s="3">
        <f>NEUTRO</f>
        <v/>
      </c>
      <c r="CF148" s="3">
        <f>IFERROR(VLOOKUP(L148,SEGURO_TBL,3,0),"")</f>
        <v/>
      </c>
      <c r="CG148" s="3">
        <f>IF(CF148="",NEUTRO,MAX(0,MIN(100,100*(SEG_REF_MAX-CF148)/(SEG_REF_MAX-SEG_REF_MIN))))</f>
        <v/>
      </c>
      <c r="CH148" s="3">
        <f>W_CONS*CE148+W_SEG*CG148</f>
        <v/>
      </c>
      <c r="CI148" s="3">
        <f>IF(N(AB148)&gt;0,AB148,IF(AND(R148="profesional",SG_LEGAL_ON=1),GAR_LEGAL,0))</f>
        <v/>
      </c>
      <c r="CJ148" s="3">
        <f>SG_GAR*MIN(1,CI148/SG_GAR_FULL)+SG_AMPL*(AC148="sí")+SG_KMC*(AF148="sí")+SG_REV*(N(AE148)&gt;0)+SG_DEV*MIN(1,N(AG148)/SG_DEV_FULL)+SG_HIST*(W148="sí")</f>
        <v/>
      </c>
      <c r="CK148" s="3">
        <f>IFERROR(VLOOKUP(L148,CARR_PEN_TBL,2,0),0)</f>
        <v/>
      </c>
      <c r="CL148" s="3">
        <f>W_FIAB*BW148+W_PRECIO*BX148+W_KMEDAD*CB148+W_ANUNCIO*CC148+W_USO*CH148+W_SEGURIDAD*CJ148+W_ETIQUETA*CD148-CK148</f>
        <v/>
      </c>
      <c r="CM148" s="4">
        <f>IF(N(I148)&gt;0,I148,IFERROR(ROUND(_xlfn.NUMBERVALUE(LEFT(G148,FIND(" ",G148&amp;" ")-1),".")*1000,0),99999))</f>
        <v/>
      </c>
      <c r="CN148" s="3">
        <f>IF(R148="profesional",0,IF(O148&lt;CUOTA_VALOR_MAX,IF(BA148&gt;ITP_TRAMO_ALTO,SUMIFS(CF_CUOTA,CF_MAS,ITP_TRAMO_ALTO,CF_CCMIN,"&lt;="&amp;CM148,CF_CCMAX,"&gt;="&amp;CM148),IF(BA148&gt;ITP_TRAMO_BAJO,SUMIFS(CF_CUOTA,CF_MAS,ITP_TRAMO_BAJO,CF_CCMIN,"&lt;="&amp;CM148,CF_CCMAX,"&gt;="&amp;CM148),O148*ITP_TIPO)),O148*ITP_TIPO))</f>
        <v/>
      </c>
      <c r="CO148" s="4">
        <f>IF(R148="profesional",N(AK148),0)</f>
        <v/>
      </c>
      <c r="CP148" s="3">
        <f>IF(AND(R148="profesional",ISNUMBER(AK148),AL148="sí"),0,TASA_DGT)</f>
        <v/>
      </c>
      <c r="CQ148" s="3">
        <f>INFORME_DGT</f>
        <v/>
      </c>
      <c r="CR148" s="4">
        <f>O148+CO148+CN148+CP148+CQ148</f>
        <v/>
      </c>
      <c r="CS148" s="4">
        <f>CR148+N(CF148)</f>
        <v/>
      </c>
      <c r="CT148" s="3">
        <f>IF(CR148&lt;=TOTAL_MAX,"sí",IF(CR148&lt;=TOTAL_MAX+MARGEN_NEG,"negociar","no"))</f>
        <v/>
      </c>
      <c r="CU148" s="4">
        <f>IF(CT148&lt;&gt;"no",COUNTIFS($CT$2:$CT$545,"&lt;&gt;no",$CL$2:$CL$545,"&gt;"&amp;CL148)+COUNTIFS($CT$2:CT148,"&lt;&gt;no",$CL$2:CL148,CL148),"")</f>
        <v/>
      </c>
    </row>
    <row r="149">
      <c r="A149" s="2" t="inlineStr">
        <is>
          <t>cochesnet:71260438</t>
        </is>
      </c>
      <c r="B149" s="2" t="inlineStr">
        <is>
          <t>cochesnet</t>
        </is>
      </c>
      <c r="C149" s="2" t="inlineStr">
        <is>
          <t>https://www.coches.net/ford-fiesta-14-tdci-trend-5p-diesel-2010-en-valencia-71260438-covo.aspx</t>
        </is>
      </c>
      <c r="D149" s="2" t="inlineStr">
        <is>
          <t>FORD Fiesta 1.4 TDCi Trend</t>
        </is>
      </c>
      <c r="E149" s="2" t="inlineStr">
        <is>
          <t>Ford</t>
        </is>
      </c>
      <c r="F149" s="2" t="inlineStr">
        <is>
          <t>Ford Fiesta</t>
        </is>
      </c>
      <c r="G149" s="2" t="inlineStr">
        <is>
          <t>1.4 TDCi</t>
        </is>
      </c>
      <c r="H149" s="2" t="inlineStr">
        <is>
          <t>1.4 TDCi Trend</t>
        </is>
      </c>
      <c r="I149" s="2" t="n"/>
      <c r="J149" s="2" t="n"/>
      <c r="K149" s="2" t="inlineStr">
        <is>
          <t>diesel</t>
        </is>
      </c>
      <c r="L149" s="2" t="inlineStr">
        <is>
          <t>utilitario</t>
        </is>
      </c>
      <c r="M149" s="2" t="n">
        <v>2010</v>
      </c>
      <c r="N149" s="2" t="n">
        <v>201000</v>
      </c>
      <c r="O149" s="2" t="n">
        <v>3100</v>
      </c>
      <c r="P149" s="2" t="inlineStr">
        <is>
          <t>manual</t>
        </is>
      </c>
      <c r="Q149" s="2" t="inlineStr">
        <is>
          <t>no</t>
        </is>
      </c>
      <c r="R149" s="2" t="inlineStr">
        <is>
          <t>particular</t>
        </is>
      </c>
      <c r="S149" s="2" t="inlineStr">
        <is>
          <t>Beniflá</t>
        </is>
      </c>
      <c r="T149" s="2" t="inlineStr">
        <is>
          <t>2026-08-09T19:54:30Z</t>
        </is>
      </c>
      <c r="U149" s="2" t="n">
        <v>9</v>
      </c>
      <c r="V149" s="2" t="inlineStr">
        <is>
          <t>sí</t>
        </is>
      </c>
      <c r="W149" s="2" t="n"/>
      <c r="X149" s="2" t="n"/>
      <c r="Y149" s="2" t="n"/>
      <c r="Z149" s="2" t="inlineStr">
        <is>
          <t>no</t>
        </is>
      </c>
      <c r="AA149" s="2" t="n"/>
      <c r="AB149" s="2" t="n"/>
      <c r="AC149" s="2" t="n"/>
      <c r="AD149" s="2" t="n"/>
      <c r="AE149" s="2" t="n"/>
      <c r="AF149" s="2" t="n"/>
      <c r="AG149" s="2" t="n"/>
      <c r="AH149" s="2" t="n">
        <v>3100</v>
      </c>
      <c r="AI149" s="2" t="n"/>
      <c r="AJ149" s="2" t="n"/>
      <c r="AK149" s="2" t="n"/>
      <c r="AL149" s="2" t="n"/>
      <c r="AM149" s="2" t="n">
        <v>62.6</v>
      </c>
      <c r="AN149" s="2" t="n"/>
      <c r="AO149" s="2" t="inlineStr">
        <is>
          <t>2010</t>
        </is>
      </c>
      <c r="AP149" s="2" t="n">
        <v>2010</v>
      </c>
      <c r="AQ149" s="2" t="n"/>
      <c r="AR149" s="2" t="n"/>
      <c r="AS149" s="2" t="inlineStr">
        <is>
          <t>regla</t>
        </is>
      </c>
      <c r="AT149" s="2" t="n">
        <v>3500</v>
      </c>
      <c r="AU149" s="2" t="n">
        <v>13</v>
      </c>
      <c r="AV149" s="2" t="inlineStr">
        <is>
          <t>modelo+año+km</t>
        </is>
      </c>
      <c r="AW149" s="2" t="n"/>
      <c r="AX149" s="2" t="inlineStr">
        <is>
          <t>cuota fija ITP: &gt;12 años, hasta 1.500 cc; diésel: motor sin fuente de fiabilidad (fiabilidad limitada a neutra)</t>
        </is>
      </c>
      <c r="AY149" s="2" t="inlineStr">
        <is>
          <t xml:space="preserve">Desperfectos de chapa, ITV en vigor a pasar nuevamente en noviembre </t>
        </is>
      </c>
      <c r="AZ149" s="2" t="inlineStr">
        <is>
          <t>https://www.coches.net/ford-fiesta-14-tdci-trend-5p-diesel-2010-en-valencia-71260438-covo.aspx (window.__INITIAL_PROPS__.ad) /home/user/Alopecia/buscador-coches/raw/cochesnet/77f4e5eae20c29ca.json</t>
        </is>
      </c>
      <c r="BA149" s="3">
        <f>MAX(ANIO_ACTUAL-M149,0)</f>
        <v/>
      </c>
      <c r="BB149" s="4">
        <f>N149/MAX(BA149,0.5)</f>
        <v/>
      </c>
      <c r="BC149" s="4">
        <f>F149</f>
        <v/>
      </c>
      <c r="BD149" s="3">
        <f>BC149&amp;"|"&amp;INT(M149/SEG_ANIO)*SEG_ANIO</f>
        <v/>
      </c>
      <c r="BE149" s="3">
        <f>BD149&amp;"|"&amp;INT(N149/SEG_KM)*SEG_KM</f>
        <v/>
      </c>
      <c r="BF149" s="4">
        <f>COUNTIF($BC$2:$BC$545,BC149)</f>
        <v/>
      </c>
      <c r="BG149" s="4">
        <f>COUNTIF($BD$2:$BD$545,BD149)</f>
        <v/>
      </c>
      <c r="BH149" s="4">
        <f>COUNTIF($BE$2:$BE$545,BE149)</f>
        <v/>
      </c>
      <c r="BI149" s="3">
        <f t="array" ref="BI149">IF(N(AU149)&gt;=MIN_N,AT149,IF(BH149&gt;=MIN_N,MEDIAN(IF($BE$2:$BE$545=BE149,$O$2:$O$545)),IF(BG149&gt;=MIN_N,MEDIAN(IF($BD$2:$BD$545=BD149,$O$2:$O$545)),MEDIAN(IF($BC$2:$BC$545=BC149,$O$2:$O$545)))))</f>
        <v/>
      </c>
      <c r="BJ149" s="3">
        <f>IF(N(AU149)&gt;=MIN_N,"mercado "&amp;AV149,IF(BH149&gt;=MIN_N,"modelo+año+km",IF(BG149&gt;=MIN_N,"modelo+año","modelo")))</f>
        <v/>
      </c>
      <c r="BK149" s="4">
        <f>(BI149-O149)/BI149</f>
        <v/>
      </c>
      <c r="BL149" s="3">
        <f>IF(COUNTIFS(FR_FUEL,K149,FR_YEAR,AP149)&gt;0,1,0)</f>
        <v/>
      </c>
      <c r="BM149" s="3">
        <f>IF(COUNTIFS(FR_FUEL,K149,FR_YEAR,AP149-1)&gt;0,1,0)</f>
        <v/>
      </c>
      <c r="BN149" s="4">
        <f>IF(N(AQ149)&gt;0,AP149*100+AQ149,IF(AND(BL149=1,BM149=1),(AP149-1)*100+1,AP149*100+1))</f>
        <v/>
      </c>
      <c r="BO149" s="3">
        <f>IF(OR(K149="hibrido",K149="glp",K149="gnc",K149="phev"),"ECO",IF(K149="electrico","CERO",IF(K149="gasolina",IF(BN149&gt;=GAS_C_YM,"C",IF(BN149&gt;=GAS_B_YM,"B","A")),IF(K149="diesel",IF(BN149&gt;=DIE_C_YM,"C",IF(BN149&gt;=DIE_B_YM,"B","A")),""))))</f>
        <v/>
      </c>
      <c r="BP149" s="4">
        <f>BO149</f>
        <v/>
      </c>
      <c r="BQ149" s="4">
        <f>IF(AS149="regla",IF(AND(N(AQ149)=0,BL149=1),"sí","no"),"no")</f>
        <v/>
      </c>
      <c r="BR149" s="3">
        <f>IFERROR(VLOOKUP(F149,MOD_TBL,11,0),IFERROR(VLOOKUP(E149,OCU_TBL,2,0),NEUTRO))</f>
        <v/>
      </c>
      <c r="BS149" s="3">
        <f>SUMIFS(MOT_AJUSTE,MOT_MOTOR,G149,MOT_MARCA,E149,MOT_DESDE,"&lt;="&amp;M149,MOT_HASTA,"&gt;="&amp;M149)+SUMIFS(MOT_AJUSTE,MOT_MOTOR,G149,MOT_MARCA,"(todas)",MOT_DESDE,"&lt;="&amp;M149,MOT_HASTA,"&gt;="&amp;M149)</f>
        <v/>
      </c>
      <c r="BT149" s="3">
        <f>SUMIFS(COMB_AJUSTE,COMB_COMB,K149)</f>
        <v/>
      </c>
      <c r="BU149" s="3">
        <f>COUNTIFS(MOT_MOTOR,G149,MOT_MARCA,E149,MOT_DESDE,"&lt;="&amp;M149,MOT_HASTA,"&gt;="&amp;M149)+COUNTIFS(MOT_MOTOR,G149,MOT_MARCA,"(todas)",MOT_DESDE,"&lt;="&amp;M149,MOT_HASTA,"&gt;="&amp;M149)</f>
        <v/>
      </c>
      <c r="BV149" s="3">
        <f>IF(AND(K149="diesel",BU149=0),MIN(BR149,NEUTRO),BR149)</f>
        <v/>
      </c>
      <c r="BW149" s="4">
        <f>MAX(0,MIN(100,BV149+BS149+BT149))</f>
        <v/>
      </c>
      <c r="BX149" s="3">
        <f>MAX(0,MIN(100,50+BK149*PRECIO_PEND))</f>
        <v/>
      </c>
      <c r="BY149" s="3">
        <f>MAX(0,100*(1-N149/KM_MAX))</f>
        <v/>
      </c>
      <c r="BZ149" s="3">
        <f>IF(BB149&lt;KMA_SOSP,IF(AA149="sí",100,KMA_PEN),IF(BB149&lt;=KMA_IDEAL_MAX,100,MAX(0,100*(KMA_CERO-BB149)/(KMA_CERO-KMA_IDEAL_MAX))))</f>
        <v/>
      </c>
      <c r="CA149" s="3">
        <f>MAX(0,MIN(100,100*(M149-ANIO_MIN)/(ANIO_ACTUAL-ANIO_MIN)))</f>
        <v/>
      </c>
      <c r="CB149" s="3">
        <f>W_KMT*BY149+W_KMA*BZ149+W_EDAD*CA149</f>
        <v/>
      </c>
      <c r="CC149" s="3">
        <f>P_ITV*(V149="sí")+P_LIBRO*(W149="sí")+P_CORREA*(X149="sí")+P_PROP*(Y149=1)+P_GAR*(Z149="sí")+P_FOTOS*MIN(1,N(U149)/FOTOS_OBJ)</f>
        <v/>
      </c>
      <c r="CD149" s="3">
        <f>MAX(0,MIN(100,IFERROR(VLOOKUP(BP149,ETQ_TBL,2,0),0)-IF(BQ149="sí",ETQ_PEN_DUD,IF(AS149="regla",ETQ_PEN_REGLA,0))))</f>
        <v/>
      </c>
      <c r="CE149" s="3">
        <f>NEUTRO</f>
        <v/>
      </c>
      <c r="CF149" s="3">
        <f>IFERROR(VLOOKUP(L149,SEGURO_TBL,3,0),"")</f>
        <v/>
      </c>
      <c r="CG149" s="3">
        <f>IF(CF149="",NEUTRO,MAX(0,MIN(100,100*(SEG_REF_MAX-CF149)/(SEG_REF_MAX-SEG_REF_MIN))))</f>
        <v/>
      </c>
      <c r="CH149" s="3">
        <f>W_CONS*CE149+W_SEG*CG149</f>
        <v/>
      </c>
      <c r="CI149" s="3">
        <f>IF(N(AB149)&gt;0,AB149,IF(AND(R149="profesional",SG_LEGAL_ON=1),GAR_LEGAL,0))</f>
        <v/>
      </c>
      <c r="CJ149" s="3">
        <f>SG_GAR*MIN(1,CI149/SG_GAR_FULL)+SG_AMPL*(AC149="sí")+SG_KMC*(AF149="sí")+SG_REV*(N(AE149)&gt;0)+SG_DEV*MIN(1,N(AG149)/SG_DEV_FULL)+SG_HIST*(W149="sí")</f>
        <v/>
      </c>
      <c r="CK149" s="3">
        <f>IFERROR(VLOOKUP(L149,CARR_PEN_TBL,2,0),0)</f>
        <v/>
      </c>
      <c r="CL149" s="3">
        <f>W_FIAB*BW149+W_PRECIO*BX149+W_KMEDAD*CB149+W_ANUNCIO*CC149+W_USO*CH149+W_SEGURIDAD*CJ149+W_ETIQUETA*CD149-CK149</f>
        <v/>
      </c>
      <c r="CM149" s="4">
        <f>IF(N(I149)&gt;0,I149,IFERROR(ROUND(_xlfn.NUMBERVALUE(LEFT(G149,FIND(" ",G149&amp;" ")-1),".")*1000,0),99999))</f>
        <v/>
      </c>
      <c r="CN149" s="3">
        <f>IF(R149="profesional",0,IF(O149&lt;CUOTA_VALOR_MAX,IF(BA149&gt;ITP_TRAMO_ALTO,SUMIFS(CF_CUOTA,CF_MAS,ITP_TRAMO_ALTO,CF_CCMIN,"&lt;="&amp;CM149,CF_CCMAX,"&gt;="&amp;CM149),IF(BA149&gt;ITP_TRAMO_BAJO,SUMIFS(CF_CUOTA,CF_MAS,ITP_TRAMO_BAJO,CF_CCMIN,"&lt;="&amp;CM149,CF_CCMAX,"&gt;="&amp;CM149),O149*ITP_TIPO)),O149*ITP_TIPO))</f>
        <v/>
      </c>
      <c r="CO149" s="4">
        <f>IF(R149="profesional",N(AK149),0)</f>
        <v/>
      </c>
      <c r="CP149" s="3">
        <f>IF(AND(R149="profesional",ISNUMBER(AK149),AL149="sí"),0,TASA_DGT)</f>
        <v/>
      </c>
      <c r="CQ149" s="3">
        <f>INFORME_DGT</f>
        <v/>
      </c>
      <c r="CR149" s="4">
        <f>O149+CO149+CN149+CP149+CQ149</f>
        <v/>
      </c>
      <c r="CS149" s="4">
        <f>CR149+N(CF149)</f>
        <v/>
      </c>
      <c r="CT149" s="3">
        <f>IF(CR149&lt;=TOTAL_MAX,"sí",IF(CR149&lt;=TOTAL_MAX+MARGEN_NEG,"negociar","no"))</f>
        <v/>
      </c>
      <c r="CU149" s="4">
        <f>IF(CT149&lt;&gt;"no",COUNTIFS($CT$2:$CT$545,"&lt;&gt;no",$CL$2:$CL$545,"&gt;"&amp;CL149)+COUNTIFS($CT$2:CT149,"&lt;&gt;no",$CL$2:CL149,CL149),"")</f>
        <v/>
      </c>
    </row>
    <row r="150">
      <c r="A150" s="2" t="inlineStr">
        <is>
          <t>cochesnet:71816544</t>
        </is>
      </c>
      <c r="B150" s="2" t="inlineStr">
        <is>
          <t>cochesnet</t>
        </is>
      </c>
      <c r="C150" s="2" t="inlineStr">
        <is>
          <t>https://www.coches.net/fiat-punto-12-active-e5-5p-gasolina-2009-en-valencia-71816544-covo.aspx</t>
        </is>
      </c>
      <c r="D150" s="2" t="inlineStr">
        <is>
          <t>FIAT Punto 1.2 Active E5</t>
        </is>
      </c>
      <c r="E150" s="2" t="inlineStr">
        <is>
          <t>Fiat</t>
        </is>
      </c>
      <c r="F150" s="2" t="inlineStr">
        <is>
          <t>Fiat Punto</t>
        </is>
      </c>
      <c r="G150" s="2" t="inlineStr">
        <is>
          <t>1.2</t>
        </is>
      </c>
      <c r="H150" s="2" t="inlineStr">
        <is>
          <t>1.2 Active E5</t>
        </is>
      </c>
      <c r="I150" s="2" t="n"/>
      <c r="J150" s="2" t="n"/>
      <c r="K150" s="2" t="inlineStr">
        <is>
          <t>gasolina</t>
        </is>
      </c>
      <c r="L150" s="2" t="inlineStr">
        <is>
          <t>utilitario</t>
        </is>
      </c>
      <c r="M150" s="2" t="n">
        <v>2010</v>
      </c>
      <c r="N150" s="2" t="n">
        <v>150000</v>
      </c>
      <c r="O150" s="2" t="n">
        <v>3850</v>
      </c>
      <c r="P150" s="2" t="inlineStr">
        <is>
          <t>manual</t>
        </is>
      </c>
      <c r="Q150" s="2" t="inlineStr">
        <is>
          <t>no</t>
        </is>
      </c>
      <c r="R150" s="2" t="inlineStr">
        <is>
          <t>profesional</t>
        </is>
      </c>
      <c r="S150" s="2" t="inlineStr">
        <is>
          <t>AUTOMOVILES CASTILLO PEPE Manises</t>
        </is>
      </c>
      <c r="T150" s="2" t="inlineStr">
        <is>
          <t>2026-10-23T12:44:12Z</t>
        </is>
      </c>
      <c r="U150" s="2" t="n">
        <v>15</v>
      </c>
      <c r="V150" s="2" t="inlineStr">
        <is>
          <t>sí</t>
        </is>
      </c>
      <c r="W150" s="2" t="n"/>
      <c r="X150" s="2" t="inlineStr">
        <is>
          <t>sí</t>
        </is>
      </c>
      <c r="Y150" s="2" t="n"/>
      <c r="Z150" s="2" t="inlineStr">
        <is>
          <t>sí</t>
        </is>
      </c>
      <c r="AA150" s="2" t="n"/>
      <c r="AB150" s="2" t="n">
        <v>12</v>
      </c>
      <c r="AC150" s="2" t="n"/>
      <c r="AD150" s="2" t="n"/>
      <c r="AE150" s="2" t="n"/>
      <c r="AF150" s="2" t="inlineStr">
        <is>
          <t>sí</t>
        </is>
      </c>
      <c r="AG150" s="2" t="n"/>
      <c r="AH150" s="2" t="n">
        <v>3850</v>
      </c>
      <c r="AI150" s="2" t="n">
        <v>3850</v>
      </c>
      <c r="AJ150" s="2" t="n"/>
      <c r="AK150" s="2" t="n"/>
      <c r="AL150" s="2" t="n"/>
      <c r="AM150" s="2" t="n">
        <v>8.1</v>
      </c>
      <c r="AN150" s="2" t="n"/>
      <c r="AO150" s="2" t="inlineStr">
        <is>
          <t>2010</t>
        </is>
      </c>
      <c r="AP150" s="2" t="n">
        <v>2010</v>
      </c>
      <c r="AQ150" s="2" t="n"/>
      <c r="AR150" s="2" t="inlineStr">
        <is>
          <t>C</t>
        </is>
      </c>
      <c r="AS150" s="2" t="inlineStr">
        <is>
          <t>anuncio</t>
        </is>
      </c>
      <c r="AT150" s="2" t="n">
        <v>3400</v>
      </c>
      <c r="AU150" s="2" t="n">
        <v>12</v>
      </c>
      <c r="AV150" s="2" t="inlineStr">
        <is>
          <t>modelo+año</t>
        </is>
      </c>
      <c r="AW150" s="2" t="n"/>
      <c r="AX150" s="2" t="inlineStr">
        <is>
          <t>vendedor profesional: sin ITP (operación con IVA/REBU, confirmar en factura); gastos de gestión del vendedor no indicados: se suma la tasa DGT; preguntar el precio final; fiabilidad del modelo PENDIENTE de fuente (puntuación neutra)</t>
        </is>
      </c>
      <c r="AY150"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Z150" s="2" t="inlineStr">
        <is>
          <t>https://www.coches.net/fiat-punto-12-active-e5-5p-gasolina-2009-en-valencia-71816544-covo.aspx (window.__INITIAL_PROPS__.ad) /home/user/Alopecia/buscador-coches/raw/cochesnet/b1d6094a69e8be9b.json</t>
        </is>
      </c>
      <c r="BA150" s="3">
        <f>MAX(ANIO_ACTUAL-M150,0)</f>
        <v/>
      </c>
      <c r="BB150" s="4">
        <f>N150/MAX(BA150,0.5)</f>
        <v/>
      </c>
      <c r="BC150" s="4">
        <f>F150</f>
        <v/>
      </c>
      <c r="BD150" s="3">
        <f>BC150&amp;"|"&amp;INT(M150/SEG_ANIO)*SEG_ANIO</f>
        <v/>
      </c>
      <c r="BE150" s="3">
        <f>BD150&amp;"|"&amp;INT(N150/SEG_KM)*SEG_KM</f>
        <v/>
      </c>
      <c r="BF150" s="4">
        <f>COUNTIF($BC$2:$BC$545,BC150)</f>
        <v/>
      </c>
      <c r="BG150" s="4">
        <f>COUNTIF($BD$2:$BD$545,BD150)</f>
        <v/>
      </c>
      <c r="BH150" s="4">
        <f>COUNTIF($BE$2:$BE$545,BE150)</f>
        <v/>
      </c>
      <c r="BI150" s="3">
        <f t="array" ref="BI150">IF(N(AU150)&gt;=MIN_N,AT150,IF(BH150&gt;=MIN_N,MEDIAN(IF($BE$2:$BE$545=BE150,$O$2:$O$545)),IF(BG150&gt;=MIN_N,MEDIAN(IF($BD$2:$BD$545=BD150,$O$2:$O$545)),MEDIAN(IF($BC$2:$BC$545=BC150,$O$2:$O$545)))))</f>
        <v/>
      </c>
      <c r="BJ150" s="3">
        <f>IF(N(AU150)&gt;=MIN_N,"mercado "&amp;AV150,IF(BH150&gt;=MIN_N,"modelo+año+km",IF(BG150&gt;=MIN_N,"modelo+año","modelo")))</f>
        <v/>
      </c>
      <c r="BK150" s="4">
        <f>(BI150-O150)/BI150</f>
        <v/>
      </c>
      <c r="BL150" s="3">
        <f>IF(COUNTIFS(FR_FUEL,K150,FR_YEAR,AP150)&gt;0,1,0)</f>
        <v/>
      </c>
      <c r="BM150" s="3">
        <f>IF(COUNTIFS(FR_FUEL,K150,FR_YEAR,AP150-1)&gt;0,1,0)</f>
        <v/>
      </c>
      <c r="BN150" s="4">
        <f>IF(N(AQ150)&gt;0,AP150*100+AQ150,IF(AND(BL150=1,BM150=1),(AP150-1)*100+1,AP150*100+1))</f>
        <v/>
      </c>
      <c r="BO150" s="3">
        <f>IF(OR(K150="hibrido",K150="glp",K150="gnc",K150="phev"),"ECO",IF(K150="electrico","CERO",IF(K150="gasolina",IF(BN150&gt;=GAS_C_YM,"C",IF(BN150&gt;=GAS_B_YM,"B","A")),IF(K150="diesel",IF(BN150&gt;=DIE_C_YM,"C",IF(BN150&gt;=DIE_B_YM,"B","A")),""))))</f>
        <v/>
      </c>
      <c r="BP150" s="2" t="inlineStr">
        <is>
          <t>C</t>
        </is>
      </c>
      <c r="BQ150" s="4">
        <f>IF(AS150="regla",IF(AND(N(AQ150)=0,BL150=1),"sí","no"),"no")</f>
        <v/>
      </c>
      <c r="BR150" s="3">
        <f>IFERROR(VLOOKUP(F150,MOD_TBL,11,0),IFERROR(VLOOKUP(E150,OCU_TBL,2,0),NEUTRO))</f>
        <v/>
      </c>
      <c r="BS150" s="3">
        <f>SUMIFS(MOT_AJUSTE,MOT_MOTOR,G150,MOT_MARCA,E150,MOT_DESDE,"&lt;="&amp;M150,MOT_HASTA,"&gt;="&amp;M150)+SUMIFS(MOT_AJUSTE,MOT_MOTOR,G150,MOT_MARCA,"(todas)",MOT_DESDE,"&lt;="&amp;M150,MOT_HASTA,"&gt;="&amp;M150)</f>
        <v/>
      </c>
      <c r="BT150" s="3">
        <f>SUMIFS(COMB_AJUSTE,COMB_COMB,K150)</f>
        <v/>
      </c>
      <c r="BU150" s="3">
        <f>COUNTIFS(MOT_MOTOR,G150,MOT_MARCA,E150,MOT_DESDE,"&lt;="&amp;M150,MOT_HASTA,"&gt;="&amp;M150)+COUNTIFS(MOT_MOTOR,G150,MOT_MARCA,"(todas)",MOT_DESDE,"&lt;="&amp;M150,MOT_HASTA,"&gt;="&amp;M150)</f>
        <v/>
      </c>
      <c r="BV150" s="3">
        <f>IF(AND(K150="diesel",BU150=0),MIN(BR150,NEUTRO),BR150)</f>
        <v/>
      </c>
      <c r="BW150" s="4">
        <f>MAX(0,MIN(100,BV150+BS150+BT150))</f>
        <v/>
      </c>
      <c r="BX150" s="3">
        <f>MAX(0,MIN(100,50+BK150*PRECIO_PEND))</f>
        <v/>
      </c>
      <c r="BY150" s="3">
        <f>MAX(0,100*(1-N150/KM_MAX))</f>
        <v/>
      </c>
      <c r="BZ150" s="3">
        <f>IF(BB150&lt;KMA_SOSP,IF(AA150="sí",100,KMA_PEN),IF(BB150&lt;=KMA_IDEAL_MAX,100,MAX(0,100*(KMA_CERO-BB150)/(KMA_CERO-KMA_IDEAL_MAX))))</f>
        <v/>
      </c>
      <c r="CA150" s="3">
        <f>MAX(0,MIN(100,100*(M150-ANIO_MIN)/(ANIO_ACTUAL-ANIO_MIN)))</f>
        <v/>
      </c>
      <c r="CB150" s="3">
        <f>W_KMT*BY150+W_KMA*BZ150+W_EDAD*CA150</f>
        <v/>
      </c>
      <c r="CC150" s="3">
        <f>P_ITV*(V150="sí")+P_LIBRO*(W150="sí")+P_CORREA*(X150="sí")+P_PROP*(Y150=1)+P_GAR*(Z150="sí")+P_FOTOS*MIN(1,N(U150)/FOTOS_OBJ)</f>
        <v/>
      </c>
      <c r="CD150" s="3">
        <f>MAX(0,MIN(100,IFERROR(VLOOKUP(BP150,ETQ_TBL,2,0),0)-IF(BQ150="sí",ETQ_PEN_DUD,IF(AS150="regla",ETQ_PEN_REGLA,0))))</f>
        <v/>
      </c>
      <c r="CE150" s="3">
        <f>NEUTRO</f>
        <v/>
      </c>
      <c r="CF150" s="3">
        <f>IFERROR(VLOOKUP(L150,SEGURO_TBL,3,0),"")</f>
        <v/>
      </c>
      <c r="CG150" s="3">
        <f>IF(CF150="",NEUTRO,MAX(0,MIN(100,100*(SEG_REF_MAX-CF150)/(SEG_REF_MAX-SEG_REF_MIN))))</f>
        <v/>
      </c>
      <c r="CH150" s="3">
        <f>W_CONS*CE150+W_SEG*CG150</f>
        <v/>
      </c>
      <c r="CI150" s="3">
        <f>IF(N(AB150)&gt;0,AB150,IF(AND(R150="profesional",SG_LEGAL_ON=1),GAR_LEGAL,0))</f>
        <v/>
      </c>
      <c r="CJ150" s="3">
        <f>SG_GAR*MIN(1,CI150/SG_GAR_FULL)+SG_AMPL*(AC150="sí")+SG_KMC*(AF150="sí")+SG_REV*(N(AE150)&gt;0)+SG_DEV*MIN(1,N(AG150)/SG_DEV_FULL)+SG_HIST*(W150="sí")</f>
        <v/>
      </c>
      <c r="CK150" s="3">
        <f>IFERROR(VLOOKUP(L150,CARR_PEN_TBL,2,0),0)</f>
        <v/>
      </c>
      <c r="CL150" s="3">
        <f>W_FIAB*BW150+W_PRECIO*BX150+W_KMEDAD*CB150+W_ANUNCIO*CC150+W_USO*CH150+W_SEGURIDAD*CJ150+W_ETIQUETA*CD150-CK150</f>
        <v/>
      </c>
      <c r="CM150" s="4">
        <f>IF(N(I150)&gt;0,I150,IFERROR(ROUND(_xlfn.NUMBERVALUE(LEFT(G150,FIND(" ",G150&amp;" ")-1),".")*1000,0),99999))</f>
        <v/>
      </c>
      <c r="CN150" s="3">
        <f>IF(R150="profesional",0,IF(O150&lt;CUOTA_VALOR_MAX,IF(BA150&gt;ITP_TRAMO_ALTO,SUMIFS(CF_CUOTA,CF_MAS,ITP_TRAMO_ALTO,CF_CCMIN,"&lt;="&amp;CM150,CF_CCMAX,"&gt;="&amp;CM150),IF(BA150&gt;ITP_TRAMO_BAJO,SUMIFS(CF_CUOTA,CF_MAS,ITP_TRAMO_BAJO,CF_CCMIN,"&lt;="&amp;CM150,CF_CCMAX,"&gt;="&amp;CM150),O150*ITP_TIPO)),O150*ITP_TIPO))</f>
        <v/>
      </c>
      <c r="CO150" s="4">
        <f>IF(R150="profesional",N(AK150),0)</f>
        <v/>
      </c>
      <c r="CP150" s="3">
        <f>IF(AND(R150="profesional",ISNUMBER(AK150),AL150="sí"),0,TASA_DGT)</f>
        <v/>
      </c>
      <c r="CQ150" s="3">
        <f>INFORME_DGT</f>
        <v/>
      </c>
      <c r="CR150" s="4">
        <f>O150+CO150+CN150+CP150+CQ150</f>
        <v/>
      </c>
      <c r="CS150" s="4">
        <f>CR150+N(CF150)</f>
        <v/>
      </c>
      <c r="CT150" s="3">
        <f>IF(CR150&lt;=TOTAL_MAX,"sí",IF(CR150&lt;=TOTAL_MAX+MARGEN_NEG,"negociar","no"))</f>
        <v/>
      </c>
      <c r="CU150" s="4">
        <f>IF(CT150&lt;&gt;"no",COUNTIFS($CT$2:$CT$545,"&lt;&gt;no",$CL$2:$CL$545,"&gt;"&amp;CL150)+COUNTIFS($CT$2:CT150,"&lt;&gt;no",$CL$2:CL150,CL150),"")</f>
        <v/>
      </c>
    </row>
    <row r="151">
      <c r="A151" s="2" t="inlineStr">
        <is>
          <t>cochesnet:71785002</t>
        </is>
      </c>
      <c r="B151" s="2" t="inlineStr">
        <is>
          <t>cochesnet</t>
        </is>
      </c>
      <c r="C151" s="2" t="inlineStr">
        <is>
          <t>https://www.coches.net/suzuki-swift-13-gl-3p-3p-gasolina-2009-en-valencia-71785002-covo.aspx</t>
        </is>
      </c>
      <c r="D151" s="2" t="inlineStr">
        <is>
          <t>SUZUKI Swift 1.3 GL</t>
        </is>
      </c>
      <c r="E151" s="2" t="inlineStr">
        <is>
          <t>Suzuki</t>
        </is>
      </c>
      <c r="F151" s="2" t="inlineStr">
        <is>
          <t>Suzuki Swift</t>
        </is>
      </c>
      <c r="G151" s="2" t="inlineStr">
        <is>
          <t>1.3</t>
        </is>
      </c>
      <c r="H151" s="2" t="inlineStr">
        <is>
          <t>1.3 GL 3p</t>
        </is>
      </c>
      <c r="I151" s="2" t="n"/>
      <c r="J151" s="2" t="n"/>
      <c r="K151" s="2" t="inlineStr">
        <is>
          <t>gasolina</t>
        </is>
      </c>
      <c r="L151" s="2" t="inlineStr">
        <is>
          <t>utilitario</t>
        </is>
      </c>
      <c r="M151" s="2" t="n">
        <v>2009</v>
      </c>
      <c r="N151" s="2" t="n">
        <v>84000</v>
      </c>
      <c r="O151" s="2" t="n">
        <v>4500</v>
      </c>
      <c r="P151" s="2" t="inlineStr">
        <is>
          <t>manual</t>
        </is>
      </c>
      <c r="Q151" s="2" t="inlineStr">
        <is>
          <t>no</t>
        </is>
      </c>
      <c r="R151" s="2" t="inlineStr">
        <is>
          <t>particular</t>
        </is>
      </c>
      <c r="S151" s="2" t="inlineStr">
        <is>
          <t>Paterna</t>
        </is>
      </c>
      <c r="T151" s="2" t="inlineStr">
        <is>
          <t>2026-10-19T19:52:40Z</t>
        </is>
      </c>
      <c r="U151" s="2" t="n">
        <v>22</v>
      </c>
      <c r="V151" s="2" t="n"/>
      <c r="W151" s="2" t="n"/>
      <c r="X151" s="2" t="n"/>
      <c r="Y151" s="2" t="n"/>
      <c r="Z151" s="2" t="inlineStr">
        <is>
          <t>no</t>
        </is>
      </c>
      <c r="AA151" s="2" t="n"/>
      <c r="AB151" s="2" t="n"/>
      <c r="AC151" s="2" t="n"/>
      <c r="AD151" s="2" t="n"/>
      <c r="AE151" s="2" t="n"/>
      <c r="AF151" s="2" t="n"/>
      <c r="AG151" s="2" t="n"/>
      <c r="AH151" s="2" t="n">
        <v>4500</v>
      </c>
      <c r="AI151" s="2" t="n"/>
      <c r="AJ151" s="2" t="n"/>
      <c r="AK151" s="2" t="n"/>
      <c r="AL151" s="2" t="n"/>
      <c r="AM151" s="2" t="n">
        <v>6.8</v>
      </c>
      <c r="AN151" s="2" t="n"/>
      <c r="AO151" s="2" t="inlineStr">
        <is>
          <t>06/2009</t>
        </is>
      </c>
      <c r="AP151" s="2" t="n">
        <v>2009</v>
      </c>
      <c r="AQ151" s="2" t="n">
        <v>6</v>
      </c>
      <c r="AR151" s="2" t="n"/>
      <c r="AS151" s="2" t="inlineStr">
        <is>
          <t>regla</t>
        </is>
      </c>
      <c r="AT151" s="2" t="n">
        <v>4000</v>
      </c>
      <c r="AU151" s="2" t="n">
        <v>4</v>
      </c>
      <c r="AV151" s="2" t="inlineStr">
        <is>
          <t>modelo+año</t>
        </is>
      </c>
      <c r="AW151" s="2" t="n"/>
      <c r="AX151" s="2" t="inlineStr">
        <is>
          <t>cuota fija ITP: &gt;12 años, hasta 1.500 cc</t>
        </is>
      </c>
      <c r="AY151" s="2" t="inlineStr">
        <is>
          <t xml:space="preserve">- Modelo: Suzuki Swift MZ 2009
- Menos de 84.000 KM 
- Carrocería: turismo 3 puertas
- Motor: M13A
- Cilindrada: 1.328 cm³
- Combustible: gasolina
- Potencia: 67 kW, aproximadamente 91–92 CV
- Cambio: manual
- Tracción: delantera
- Plazas: 4
- Longitud: 3,76 m
- Anchura: 1,69 m
- Altura: 1,50 m
- Batalla: 2,38 m
- Vías: 1,47 / 1,48 m
- Peso máximo autorizado: 1.485 kg
- Neumáticos homologados: 185/60 R15 84H
- Motor M13A, que corresponde al 1.3 VVT gasolina de esta generación. 
- Aire acondicionado y calefacción. 
- Radio
Defectos:
* Pequeños desgastes de carrocería en la parte trasera y en las puertas (es algo estético) 
* Cambio necesario de neumáticos (300-400 euros)
* Solo 1 llave y manual 
* La ITV la vuelve a pasar en Diciembre 
EL PRECIO YA ESTA REBAJADO TENIENDO ESTO EN CUENTA.
Destacar que tan solo tiene 84.000 km. 
</t>
        </is>
      </c>
      <c r="AZ151" s="2" t="inlineStr">
        <is>
          <t>https://www.coches.net/suzuki-swift-13-gl-3p-3p-gasolina-2009-en-valencia-71785002-covo.aspx (window.__INITIAL_PROPS__.ad) /home/user/Alopecia/buscador-coches/raw/cochesnet/59bedcd1b45cb8f3.json</t>
        </is>
      </c>
      <c r="BA151" s="3">
        <f>MAX(ANIO_ACTUAL-M151,0)</f>
        <v/>
      </c>
      <c r="BB151" s="4">
        <f>N151/MAX(BA151,0.5)</f>
        <v/>
      </c>
      <c r="BC151" s="4">
        <f>F151</f>
        <v/>
      </c>
      <c r="BD151" s="3">
        <f>BC151&amp;"|"&amp;INT(M151/SEG_ANIO)*SEG_ANIO</f>
        <v/>
      </c>
      <c r="BE151" s="3">
        <f>BD151&amp;"|"&amp;INT(N151/SEG_KM)*SEG_KM</f>
        <v/>
      </c>
      <c r="BF151" s="4">
        <f>COUNTIF($BC$2:$BC$545,BC151)</f>
        <v/>
      </c>
      <c r="BG151" s="4">
        <f>COUNTIF($BD$2:$BD$545,BD151)</f>
        <v/>
      </c>
      <c r="BH151" s="4">
        <f>COUNTIF($BE$2:$BE$545,BE151)</f>
        <v/>
      </c>
      <c r="BI151" s="3">
        <f t="array" ref="BI151">IF(N(AU151)&gt;=MIN_N,AT151,IF(BH151&gt;=MIN_N,MEDIAN(IF($BE$2:$BE$545=BE151,$O$2:$O$545)),IF(BG151&gt;=MIN_N,MEDIAN(IF($BD$2:$BD$545=BD151,$O$2:$O$545)),MEDIAN(IF($BC$2:$BC$545=BC151,$O$2:$O$545)))))</f>
        <v/>
      </c>
      <c r="BJ151" s="3">
        <f>IF(N(AU151)&gt;=MIN_N,"mercado "&amp;AV151,IF(BH151&gt;=MIN_N,"modelo+año+km",IF(BG151&gt;=MIN_N,"modelo+año","modelo")))</f>
        <v/>
      </c>
      <c r="BK151" s="4">
        <f>(BI151-O151)/BI151</f>
        <v/>
      </c>
      <c r="BL151" s="3">
        <f>IF(COUNTIFS(FR_FUEL,K151,FR_YEAR,AP151)&gt;0,1,0)</f>
        <v/>
      </c>
      <c r="BM151" s="3">
        <f>IF(COUNTIFS(FR_FUEL,K151,FR_YEAR,AP151-1)&gt;0,1,0)</f>
        <v/>
      </c>
      <c r="BN151" s="4">
        <f>IF(N(AQ151)&gt;0,AP151*100+AQ151,IF(AND(BL151=1,BM151=1),(AP151-1)*100+1,AP151*100+1))</f>
        <v/>
      </c>
      <c r="BO151" s="3">
        <f>IF(OR(K151="hibrido",K151="glp",K151="gnc",K151="phev"),"ECO",IF(K151="electrico","CERO",IF(K151="gasolina",IF(BN151&gt;=GAS_C_YM,"C",IF(BN151&gt;=GAS_B_YM,"B","A")),IF(K151="diesel",IF(BN151&gt;=DIE_C_YM,"C",IF(BN151&gt;=DIE_B_YM,"B","A")),""))))</f>
        <v/>
      </c>
      <c r="BP151" s="4">
        <f>BO151</f>
        <v/>
      </c>
      <c r="BQ151" s="4">
        <f>IF(AS151="regla",IF(AND(N(AQ151)=0,BL151=1),"sí","no"),"no")</f>
        <v/>
      </c>
      <c r="BR151" s="3">
        <f>IFERROR(VLOOKUP(F151,MOD_TBL,11,0),IFERROR(VLOOKUP(E151,OCU_TBL,2,0),NEUTRO))</f>
        <v/>
      </c>
      <c r="BS151" s="3">
        <f>SUMIFS(MOT_AJUSTE,MOT_MOTOR,G151,MOT_MARCA,E151,MOT_DESDE,"&lt;="&amp;M151,MOT_HASTA,"&gt;="&amp;M151)+SUMIFS(MOT_AJUSTE,MOT_MOTOR,G151,MOT_MARCA,"(todas)",MOT_DESDE,"&lt;="&amp;M151,MOT_HASTA,"&gt;="&amp;M151)</f>
        <v/>
      </c>
      <c r="BT151" s="3">
        <f>SUMIFS(COMB_AJUSTE,COMB_COMB,K151)</f>
        <v/>
      </c>
      <c r="BU151" s="3">
        <f>COUNTIFS(MOT_MOTOR,G151,MOT_MARCA,E151,MOT_DESDE,"&lt;="&amp;M151,MOT_HASTA,"&gt;="&amp;M151)+COUNTIFS(MOT_MOTOR,G151,MOT_MARCA,"(todas)",MOT_DESDE,"&lt;="&amp;M151,MOT_HASTA,"&gt;="&amp;M151)</f>
        <v/>
      </c>
      <c r="BV151" s="3">
        <f>IF(AND(K151="diesel",BU151=0),MIN(BR151,NEUTRO),BR151)</f>
        <v/>
      </c>
      <c r="BW151" s="4">
        <f>MAX(0,MIN(100,BV151+BS151+BT151))</f>
        <v/>
      </c>
      <c r="BX151" s="3">
        <f>MAX(0,MIN(100,50+BK151*PRECIO_PEND))</f>
        <v/>
      </c>
      <c r="BY151" s="3">
        <f>MAX(0,100*(1-N151/KM_MAX))</f>
        <v/>
      </c>
      <c r="BZ151" s="3">
        <f>IF(BB151&lt;KMA_SOSP,IF(AA151="sí",100,KMA_PEN),IF(BB151&lt;=KMA_IDEAL_MAX,100,MAX(0,100*(KMA_CERO-BB151)/(KMA_CERO-KMA_IDEAL_MAX))))</f>
        <v/>
      </c>
      <c r="CA151" s="3">
        <f>MAX(0,MIN(100,100*(M151-ANIO_MIN)/(ANIO_ACTUAL-ANIO_MIN)))</f>
        <v/>
      </c>
      <c r="CB151" s="3">
        <f>W_KMT*BY151+W_KMA*BZ151+W_EDAD*CA151</f>
        <v/>
      </c>
      <c r="CC151" s="3">
        <f>P_ITV*(V151="sí")+P_LIBRO*(W151="sí")+P_CORREA*(X151="sí")+P_PROP*(Y151=1)+P_GAR*(Z151="sí")+P_FOTOS*MIN(1,N(U151)/FOTOS_OBJ)</f>
        <v/>
      </c>
      <c r="CD151" s="3">
        <f>MAX(0,MIN(100,IFERROR(VLOOKUP(BP151,ETQ_TBL,2,0),0)-IF(BQ151="sí",ETQ_PEN_DUD,IF(AS151="regla",ETQ_PEN_REGLA,0))))</f>
        <v/>
      </c>
      <c r="CE151" s="3">
        <f>NEUTRO</f>
        <v/>
      </c>
      <c r="CF151" s="3">
        <f>IFERROR(VLOOKUP(L151,SEGURO_TBL,3,0),"")</f>
        <v/>
      </c>
      <c r="CG151" s="3">
        <f>IF(CF151="",NEUTRO,MAX(0,MIN(100,100*(SEG_REF_MAX-CF151)/(SEG_REF_MAX-SEG_REF_MIN))))</f>
        <v/>
      </c>
      <c r="CH151" s="3">
        <f>W_CONS*CE151+W_SEG*CG151</f>
        <v/>
      </c>
      <c r="CI151" s="3">
        <f>IF(N(AB151)&gt;0,AB151,IF(AND(R151="profesional",SG_LEGAL_ON=1),GAR_LEGAL,0))</f>
        <v/>
      </c>
      <c r="CJ151" s="3">
        <f>SG_GAR*MIN(1,CI151/SG_GAR_FULL)+SG_AMPL*(AC151="sí")+SG_KMC*(AF151="sí")+SG_REV*(N(AE151)&gt;0)+SG_DEV*MIN(1,N(AG151)/SG_DEV_FULL)+SG_HIST*(W151="sí")</f>
        <v/>
      </c>
      <c r="CK151" s="3">
        <f>IFERROR(VLOOKUP(L151,CARR_PEN_TBL,2,0),0)</f>
        <v/>
      </c>
      <c r="CL151" s="3">
        <f>W_FIAB*BW151+W_PRECIO*BX151+W_KMEDAD*CB151+W_ANUNCIO*CC151+W_USO*CH151+W_SEGURIDAD*CJ151+W_ETIQUETA*CD151-CK151</f>
        <v/>
      </c>
      <c r="CM151" s="4">
        <f>IF(N(I151)&gt;0,I151,IFERROR(ROUND(_xlfn.NUMBERVALUE(LEFT(G151,FIND(" ",G151&amp;" ")-1),".")*1000,0),99999))</f>
        <v/>
      </c>
      <c r="CN151" s="3">
        <f>IF(R151="profesional",0,IF(O151&lt;CUOTA_VALOR_MAX,IF(BA151&gt;ITP_TRAMO_ALTO,SUMIFS(CF_CUOTA,CF_MAS,ITP_TRAMO_ALTO,CF_CCMIN,"&lt;="&amp;CM151,CF_CCMAX,"&gt;="&amp;CM151),IF(BA151&gt;ITP_TRAMO_BAJO,SUMIFS(CF_CUOTA,CF_MAS,ITP_TRAMO_BAJO,CF_CCMIN,"&lt;="&amp;CM151,CF_CCMAX,"&gt;="&amp;CM151),O151*ITP_TIPO)),O151*ITP_TIPO))</f>
        <v/>
      </c>
      <c r="CO151" s="4">
        <f>IF(R151="profesional",N(AK151),0)</f>
        <v/>
      </c>
      <c r="CP151" s="3">
        <f>IF(AND(R151="profesional",ISNUMBER(AK151),AL151="sí"),0,TASA_DGT)</f>
        <v/>
      </c>
      <c r="CQ151" s="3">
        <f>INFORME_DGT</f>
        <v/>
      </c>
      <c r="CR151" s="4">
        <f>O151+CO151+CN151+CP151+CQ151</f>
        <v/>
      </c>
      <c r="CS151" s="4">
        <f>CR151+N(CF151)</f>
        <v/>
      </c>
      <c r="CT151" s="3">
        <f>IF(CR151&lt;=TOTAL_MAX,"sí",IF(CR151&lt;=TOTAL_MAX+MARGEN_NEG,"negociar","no"))</f>
        <v/>
      </c>
      <c r="CU151" s="4">
        <f>IF(CT151&lt;&gt;"no",COUNTIFS($CT$2:$CT$545,"&lt;&gt;no",$CL$2:$CL$545,"&gt;"&amp;CL151)+COUNTIFS($CT$2:CT151,"&lt;&gt;no",$CL$2:CL151,CL151),"")</f>
        <v/>
      </c>
    </row>
    <row r="152">
      <c r="A152" s="2" t="inlineStr">
        <is>
          <t>cochesnet:71388781</t>
        </is>
      </c>
      <c r="B152" s="2" t="inlineStr">
        <is>
          <t>cochesnet</t>
        </is>
      </c>
      <c r="C152" s="2" t="inlineStr">
        <is>
          <t>https://www.coches.net/suzuki-alto-10-gl-5p-gasolina-2009-en-valencia-71388781-covo.aspx</t>
        </is>
      </c>
      <c r="D152" s="2" t="inlineStr">
        <is>
          <t>SUZUKI Alto 1.0 GL</t>
        </is>
      </c>
      <c r="E152" s="2" t="inlineStr">
        <is>
          <t>Suzuki</t>
        </is>
      </c>
      <c r="F152" s="2" t="inlineStr">
        <is>
          <t>Suzuki Alto</t>
        </is>
      </c>
      <c r="G152" s="2" t="inlineStr">
        <is>
          <t>1.0</t>
        </is>
      </c>
      <c r="H152" s="2" t="inlineStr">
        <is>
          <t>1.0 GL</t>
        </is>
      </c>
      <c r="I152" s="2" t="n"/>
      <c r="J152" s="2" t="n"/>
      <c r="K152" s="2" t="inlineStr">
        <is>
          <t>gasolina</t>
        </is>
      </c>
      <c r="L152" s="2" t="inlineStr">
        <is>
          <t>utilitario</t>
        </is>
      </c>
      <c r="M152" s="2" t="n">
        <v>2009</v>
      </c>
      <c r="N152" s="2" t="n">
        <v>200000</v>
      </c>
      <c r="O152" s="2" t="n">
        <v>1500</v>
      </c>
      <c r="P152" s="2" t="inlineStr">
        <is>
          <t>manual</t>
        </is>
      </c>
      <c r="Q152" s="2" t="inlineStr">
        <is>
          <t>no</t>
        </is>
      </c>
      <c r="R152" s="2" t="inlineStr">
        <is>
          <t>particular</t>
        </is>
      </c>
      <c r="S152" s="2" t="inlineStr">
        <is>
          <t>Vilamarxant</t>
        </is>
      </c>
      <c r="T152" s="2" t="inlineStr">
        <is>
          <t>2026-08-29T00:18:08Z</t>
        </is>
      </c>
      <c r="U152" s="2" t="n">
        <v>6</v>
      </c>
      <c r="V152" s="2" t="n"/>
      <c r="W152" s="2" t="n"/>
      <c r="X152" s="2" t="n"/>
      <c r="Y152" s="2" t="n"/>
      <c r="Z152" s="2" t="inlineStr">
        <is>
          <t>no</t>
        </is>
      </c>
      <c r="AA152" s="2" t="n"/>
      <c r="AB152" s="2" t="n"/>
      <c r="AC152" s="2" t="n"/>
      <c r="AD152" s="2" t="n"/>
      <c r="AE152" s="2" t="n"/>
      <c r="AF152" s="2" t="n"/>
      <c r="AG152" s="2" t="n"/>
      <c r="AH152" s="2" t="n">
        <v>1500</v>
      </c>
      <c r="AI152" s="2" t="n"/>
      <c r="AJ152" s="2" t="n"/>
      <c r="AK152" s="2" t="n"/>
      <c r="AL152" s="2" t="n"/>
      <c r="AM152" s="2" t="n">
        <v>23.9</v>
      </c>
      <c r="AN152" s="2" t="n"/>
      <c r="AO152" s="2" t="inlineStr">
        <is>
          <t>06/2009</t>
        </is>
      </c>
      <c r="AP152" s="2" t="n">
        <v>2009</v>
      </c>
      <c r="AQ152" s="2" t="n">
        <v>6</v>
      </c>
      <c r="AR152" s="2" t="n"/>
      <c r="AS152" s="2" t="inlineStr">
        <is>
          <t>regla</t>
        </is>
      </c>
      <c r="AT152" s="2" t="n"/>
      <c r="AU152" s="2" t="n"/>
      <c r="AV152" s="2" t="n"/>
      <c r="AW152" s="2" t="n"/>
      <c r="AX152" s="2" t="inlineStr">
        <is>
          <t>cuota fija ITP: &gt;12 años, hasta 1.500 cc; mediana con solo 2 anuncio(s)</t>
        </is>
      </c>
      <c r="AY152" s="2" t="inlineStr">
        <is>
          <t>Coche ideal para iniciarte en la conducción y romper mano. Se ha cambiado hace poco (1 año) el kit de embrague así como reparaciones en carrocería y ópticos. Recién pasada la ITV.
Si buscas un coche práctico, económico y fiable para el día a día, este Suzuki Alto es tu solución. Un vehículo compacto y versátil que ha demostrado su resistencia con los años, ideal para moverse por la ciudad sin complicaciones ni gastos excesivos.</t>
        </is>
      </c>
      <c r="AZ152" s="2" t="inlineStr">
        <is>
          <t>https://www.coches.net/suzuki-alto-10-gl-5p-gasolina-2009-en-valencia-71388781-covo.aspx (window.__INITIAL_PROPS__.ad) /home/user/Alopecia/buscador-coches/raw/cochesnet/7bf7134245a9d587.json</t>
        </is>
      </c>
      <c r="BA152" s="3">
        <f>MAX(ANIO_ACTUAL-M152,0)</f>
        <v/>
      </c>
      <c r="BB152" s="4">
        <f>N152/MAX(BA152,0.5)</f>
        <v/>
      </c>
      <c r="BC152" s="4">
        <f>F152</f>
        <v/>
      </c>
      <c r="BD152" s="3">
        <f>BC152&amp;"|"&amp;INT(M152/SEG_ANIO)*SEG_ANIO</f>
        <v/>
      </c>
      <c r="BE152" s="3">
        <f>BD152&amp;"|"&amp;INT(N152/SEG_KM)*SEG_KM</f>
        <v/>
      </c>
      <c r="BF152" s="4">
        <f>COUNTIF($BC$2:$BC$545,BC152)</f>
        <v/>
      </c>
      <c r="BG152" s="4">
        <f>COUNTIF($BD$2:$BD$545,BD152)</f>
        <v/>
      </c>
      <c r="BH152" s="4">
        <f>COUNTIF($BE$2:$BE$545,BE152)</f>
        <v/>
      </c>
      <c r="BI152" s="3">
        <f t="array" ref="BI152">IF(N(AU152)&gt;=MIN_N,AT152,IF(BH152&gt;=MIN_N,MEDIAN(IF($BE$2:$BE$545=BE152,$O$2:$O$545)),IF(BG152&gt;=MIN_N,MEDIAN(IF($BD$2:$BD$545=BD152,$O$2:$O$545)),MEDIAN(IF($BC$2:$BC$545=BC152,$O$2:$O$545)))))</f>
        <v/>
      </c>
      <c r="BJ152" s="3">
        <f>IF(N(AU152)&gt;=MIN_N,"mercado "&amp;AV152,IF(BH152&gt;=MIN_N,"modelo+año+km",IF(BG152&gt;=MIN_N,"modelo+año","modelo")))</f>
        <v/>
      </c>
      <c r="BK152" s="4">
        <f>(BI152-O152)/BI152</f>
        <v/>
      </c>
      <c r="BL152" s="3">
        <f>IF(COUNTIFS(FR_FUEL,K152,FR_YEAR,AP152)&gt;0,1,0)</f>
        <v/>
      </c>
      <c r="BM152" s="3">
        <f>IF(COUNTIFS(FR_FUEL,K152,FR_YEAR,AP152-1)&gt;0,1,0)</f>
        <v/>
      </c>
      <c r="BN152" s="4">
        <f>IF(N(AQ152)&gt;0,AP152*100+AQ152,IF(AND(BL152=1,BM152=1),(AP152-1)*100+1,AP152*100+1))</f>
        <v/>
      </c>
      <c r="BO152" s="3">
        <f>IF(OR(K152="hibrido",K152="glp",K152="gnc",K152="phev"),"ECO",IF(K152="electrico","CERO",IF(K152="gasolina",IF(BN152&gt;=GAS_C_YM,"C",IF(BN152&gt;=GAS_B_YM,"B","A")),IF(K152="diesel",IF(BN152&gt;=DIE_C_YM,"C",IF(BN152&gt;=DIE_B_YM,"B","A")),""))))</f>
        <v/>
      </c>
      <c r="BP152" s="4">
        <f>BO152</f>
        <v/>
      </c>
      <c r="BQ152" s="4">
        <f>IF(AS152="regla",IF(AND(N(AQ152)=0,BL152=1),"sí","no"),"no")</f>
        <v/>
      </c>
      <c r="BR152" s="3">
        <f>IFERROR(VLOOKUP(F152,MOD_TBL,11,0),IFERROR(VLOOKUP(E152,OCU_TBL,2,0),NEUTRO))</f>
        <v/>
      </c>
      <c r="BS152" s="3">
        <f>SUMIFS(MOT_AJUSTE,MOT_MOTOR,G152,MOT_MARCA,E152,MOT_DESDE,"&lt;="&amp;M152,MOT_HASTA,"&gt;="&amp;M152)+SUMIFS(MOT_AJUSTE,MOT_MOTOR,G152,MOT_MARCA,"(todas)",MOT_DESDE,"&lt;="&amp;M152,MOT_HASTA,"&gt;="&amp;M152)</f>
        <v/>
      </c>
      <c r="BT152" s="3">
        <f>SUMIFS(COMB_AJUSTE,COMB_COMB,K152)</f>
        <v/>
      </c>
      <c r="BU152" s="3">
        <f>COUNTIFS(MOT_MOTOR,G152,MOT_MARCA,E152,MOT_DESDE,"&lt;="&amp;M152,MOT_HASTA,"&gt;="&amp;M152)+COUNTIFS(MOT_MOTOR,G152,MOT_MARCA,"(todas)",MOT_DESDE,"&lt;="&amp;M152,MOT_HASTA,"&gt;="&amp;M152)</f>
        <v/>
      </c>
      <c r="BV152" s="3">
        <f>IF(AND(K152="diesel",BU152=0),MIN(BR152,NEUTRO),BR152)</f>
        <v/>
      </c>
      <c r="BW152" s="4">
        <f>MAX(0,MIN(100,BV152+BS152+BT152))</f>
        <v/>
      </c>
      <c r="BX152" s="3">
        <f>MAX(0,MIN(100,50+BK152*PRECIO_PEND))</f>
        <v/>
      </c>
      <c r="BY152" s="3">
        <f>MAX(0,100*(1-N152/KM_MAX))</f>
        <v/>
      </c>
      <c r="BZ152" s="3">
        <f>IF(BB152&lt;KMA_SOSP,IF(AA152="sí",100,KMA_PEN),IF(BB152&lt;=KMA_IDEAL_MAX,100,MAX(0,100*(KMA_CERO-BB152)/(KMA_CERO-KMA_IDEAL_MAX))))</f>
        <v/>
      </c>
      <c r="CA152" s="3">
        <f>MAX(0,MIN(100,100*(M152-ANIO_MIN)/(ANIO_ACTUAL-ANIO_MIN)))</f>
        <v/>
      </c>
      <c r="CB152" s="3">
        <f>W_KMT*BY152+W_KMA*BZ152+W_EDAD*CA152</f>
        <v/>
      </c>
      <c r="CC152" s="3">
        <f>P_ITV*(V152="sí")+P_LIBRO*(W152="sí")+P_CORREA*(X152="sí")+P_PROP*(Y152=1)+P_GAR*(Z152="sí")+P_FOTOS*MIN(1,N(U152)/FOTOS_OBJ)</f>
        <v/>
      </c>
      <c r="CD152" s="3">
        <f>MAX(0,MIN(100,IFERROR(VLOOKUP(BP152,ETQ_TBL,2,0),0)-IF(BQ152="sí",ETQ_PEN_DUD,IF(AS152="regla",ETQ_PEN_REGLA,0))))</f>
        <v/>
      </c>
      <c r="CE152" s="3">
        <f>NEUTRO</f>
        <v/>
      </c>
      <c r="CF152" s="3">
        <f>IFERROR(VLOOKUP(L152,SEGURO_TBL,3,0),"")</f>
        <v/>
      </c>
      <c r="CG152" s="3">
        <f>IF(CF152="",NEUTRO,MAX(0,MIN(100,100*(SEG_REF_MAX-CF152)/(SEG_REF_MAX-SEG_REF_MIN))))</f>
        <v/>
      </c>
      <c r="CH152" s="3">
        <f>W_CONS*CE152+W_SEG*CG152</f>
        <v/>
      </c>
      <c r="CI152" s="3">
        <f>IF(N(AB152)&gt;0,AB152,IF(AND(R152="profesional",SG_LEGAL_ON=1),GAR_LEGAL,0))</f>
        <v/>
      </c>
      <c r="CJ152" s="3">
        <f>SG_GAR*MIN(1,CI152/SG_GAR_FULL)+SG_AMPL*(AC152="sí")+SG_KMC*(AF152="sí")+SG_REV*(N(AE152)&gt;0)+SG_DEV*MIN(1,N(AG152)/SG_DEV_FULL)+SG_HIST*(W152="sí")</f>
        <v/>
      </c>
      <c r="CK152" s="3">
        <f>IFERROR(VLOOKUP(L152,CARR_PEN_TBL,2,0),0)</f>
        <v/>
      </c>
      <c r="CL152" s="3">
        <f>W_FIAB*BW152+W_PRECIO*BX152+W_KMEDAD*CB152+W_ANUNCIO*CC152+W_USO*CH152+W_SEGURIDAD*CJ152+W_ETIQUETA*CD152-CK152</f>
        <v/>
      </c>
      <c r="CM152" s="4">
        <f>IF(N(I152)&gt;0,I152,IFERROR(ROUND(_xlfn.NUMBERVALUE(LEFT(G152,FIND(" ",G152&amp;" ")-1),".")*1000,0),99999))</f>
        <v/>
      </c>
      <c r="CN152" s="3">
        <f>IF(R152="profesional",0,IF(O152&lt;CUOTA_VALOR_MAX,IF(BA152&gt;ITP_TRAMO_ALTO,SUMIFS(CF_CUOTA,CF_MAS,ITP_TRAMO_ALTO,CF_CCMIN,"&lt;="&amp;CM152,CF_CCMAX,"&gt;="&amp;CM152),IF(BA152&gt;ITP_TRAMO_BAJO,SUMIFS(CF_CUOTA,CF_MAS,ITP_TRAMO_BAJO,CF_CCMIN,"&lt;="&amp;CM152,CF_CCMAX,"&gt;="&amp;CM152),O152*ITP_TIPO)),O152*ITP_TIPO))</f>
        <v/>
      </c>
      <c r="CO152" s="4">
        <f>IF(R152="profesional",N(AK152),0)</f>
        <v/>
      </c>
      <c r="CP152" s="3">
        <f>IF(AND(R152="profesional",ISNUMBER(AK152),AL152="sí"),0,TASA_DGT)</f>
        <v/>
      </c>
      <c r="CQ152" s="3">
        <f>INFORME_DGT</f>
        <v/>
      </c>
      <c r="CR152" s="4">
        <f>O152+CO152+CN152+CP152+CQ152</f>
        <v/>
      </c>
      <c r="CS152" s="4">
        <f>CR152+N(CF152)</f>
        <v/>
      </c>
      <c r="CT152" s="3">
        <f>IF(CR152&lt;=TOTAL_MAX,"sí",IF(CR152&lt;=TOTAL_MAX+MARGEN_NEG,"negociar","no"))</f>
        <v/>
      </c>
      <c r="CU152" s="4">
        <f>IF(CT152&lt;&gt;"no",COUNTIFS($CT$2:$CT$545,"&lt;&gt;no",$CL$2:$CL$545,"&gt;"&amp;CL152)+COUNTIFS($CT$2:CT152,"&lt;&gt;no",$CL$2:CL152,CL152),"")</f>
        <v/>
      </c>
    </row>
    <row r="153">
      <c r="A153" s="2" t="inlineStr">
        <is>
          <t>cochesnet:71873466</t>
        </is>
      </c>
      <c r="B153" s="2" t="inlineStr">
        <is>
          <t>cochesnet</t>
        </is>
      </c>
      <c r="C153" s="2" t="inlineStr">
        <is>
          <t>https://www.coches.net/chevrolet-aveo-13-75-cv-lt-4p-diesel-2013-en-valencia-71873466-covo.aspx</t>
        </is>
      </c>
      <c r="D153" s="2" t="inlineStr">
        <is>
          <t>CHEVROLET Aveo 1.3 75 CV LT</t>
        </is>
      </c>
      <c r="E153" s="2" t="inlineStr">
        <is>
          <t>Chevrolet</t>
        </is>
      </c>
      <c r="F153" s="2" t="inlineStr">
        <is>
          <t>Chevrolet Aveo</t>
        </is>
      </c>
      <c r="G153" s="2" t="inlineStr">
        <is>
          <t>1.3</t>
        </is>
      </c>
      <c r="H153" s="2" t="inlineStr">
        <is>
          <t>1.3 75 CV LT</t>
        </is>
      </c>
      <c r="I153" s="2" t="n"/>
      <c r="J153" s="2" t="n">
        <v>75</v>
      </c>
      <c r="K153" s="2" t="inlineStr">
        <is>
          <t>diesel</t>
        </is>
      </c>
      <c r="L153" s="2" t="inlineStr">
        <is>
          <t>utilitario</t>
        </is>
      </c>
      <c r="M153" s="2" t="n">
        <v>2013</v>
      </c>
      <c r="N153" s="2" t="n">
        <v>209471</v>
      </c>
      <c r="O153" s="2" t="n">
        <v>3500</v>
      </c>
      <c r="P153" s="2" t="inlineStr">
        <is>
          <t>manual</t>
        </is>
      </c>
      <c r="Q153" s="2" t="inlineStr">
        <is>
          <t>no</t>
        </is>
      </c>
      <c r="R153" s="2" t="inlineStr">
        <is>
          <t>particular</t>
        </is>
      </c>
      <c r="S153" s="2" t="n"/>
      <c r="T153" s="2" t="inlineStr">
        <is>
          <t>2026-10-30T14:39:38Z</t>
        </is>
      </c>
      <c r="U153" s="2" t="n">
        <v>4</v>
      </c>
      <c r="V153" s="2" t="inlineStr">
        <is>
          <t>sí</t>
        </is>
      </c>
      <c r="W153" s="2" t="n"/>
      <c r="X153" s="2" t="n"/>
      <c r="Y153" s="2" t="n"/>
      <c r="Z153" s="2" t="inlineStr">
        <is>
          <t>no</t>
        </is>
      </c>
      <c r="AA153" s="2" t="n"/>
      <c r="AB153" s="2" t="n"/>
      <c r="AC153" s="2" t="n"/>
      <c r="AD153" s="2" t="n"/>
      <c r="AE153" s="2" t="n"/>
      <c r="AF153" s="2" t="n"/>
      <c r="AG153" s="2" t="n"/>
      <c r="AH153" s="2" t="n">
        <v>3500</v>
      </c>
      <c r="AI153" s="2" t="n"/>
      <c r="AJ153" s="2" t="n"/>
      <c r="AK153" s="2" t="n"/>
      <c r="AL153" s="2" t="n"/>
      <c r="AM153" s="2" t="n"/>
      <c r="AN153" s="2" t="n"/>
      <c r="AO153" s="2" t="inlineStr">
        <is>
          <t>2013</t>
        </is>
      </c>
      <c r="AP153" s="2" t="n">
        <v>2013</v>
      </c>
      <c r="AQ153" s="2" t="n"/>
      <c r="AR153" s="2" t="n"/>
      <c r="AS153" s="2" t="inlineStr">
        <is>
          <t>regla</t>
        </is>
      </c>
      <c r="AT153" s="2" t="n"/>
      <c r="AU153" s="2" t="n"/>
      <c r="AV153" s="2" t="n"/>
      <c r="AW153" s="2" t="n"/>
      <c r="AX153" s="2" t="inlineStr">
        <is>
          <t>antigüedad en el límite del tramo: depende de la fecha exacta de matriculación; cuota fija ITP: &gt;12 años, hasta 1.500 cc; diésel: motor sin fuente de fiabilidad (fiabilidad limitada a neutra); distancia no verificable (el anuncio solo indica la provincia): confirmar que está a &lt;= 70 km; fiabilidad del modelo PENDIENTE de fuente (puntuación neutra)</t>
        </is>
      </c>
      <c r="AY153" s="2" t="inlineStr">
        <is>
          <t>Chevrolet Aveo berlina 1.3 VCDi diésel de 75 CV, cambio manual, 4 puertas, color gris metalizado.
· 209.471 km
· Ruedas nuevas, recién cambiadas
· Distribución por cadena recién hecha
· Inyectores hechos
· ITV en vigor hasta octubre de 2027
· Bluetooth, aire acondicionado, mandos en el volante y cierre centralizado
Motor sencillo y de bajo consumo, ideal para el día a día y para quien hace muchos kilómetros.
Venta de particular: lo gestionamos en JEROM Motor por encargo de su propietario. Transferencia a cargo del comprador; te ayudamos con el papeleo.
Se puede ver y probar en Aldaia (Valencia). Escríbeme por aquí y te contesto.</t>
        </is>
      </c>
      <c r="AZ153" s="2" t="inlineStr">
        <is>
          <t>https://www.coches.net/chevrolet-aveo-13-75-cv-lt-4p-diesel-2013-en-valencia-71873466-covo.aspx (window.__INITIAL_PROPS__.ad) /home/user/Alopecia/buscador-coches/raw/cochesnet/35469adc3a427bb4.json</t>
        </is>
      </c>
      <c r="BA153" s="3">
        <f>MAX(ANIO_ACTUAL-M153,0)</f>
        <v/>
      </c>
      <c r="BB153" s="4">
        <f>N153/MAX(BA153,0.5)</f>
        <v/>
      </c>
      <c r="BC153" s="4">
        <f>F153</f>
        <v/>
      </c>
      <c r="BD153" s="3">
        <f>BC153&amp;"|"&amp;INT(M153/SEG_ANIO)*SEG_ANIO</f>
        <v/>
      </c>
      <c r="BE153" s="3">
        <f>BD153&amp;"|"&amp;INT(N153/SEG_KM)*SEG_KM</f>
        <v/>
      </c>
      <c r="BF153" s="4">
        <f>COUNTIF($BC$2:$BC$545,BC153)</f>
        <v/>
      </c>
      <c r="BG153" s="4">
        <f>COUNTIF($BD$2:$BD$545,BD153)</f>
        <v/>
      </c>
      <c r="BH153" s="4">
        <f>COUNTIF($BE$2:$BE$545,BE153)</f>
        <v/>
      </c>
      <c r="BI153" s="3">
        <f t="array" ref="BI153">IF(N(AU153)&gt;=MIN_N,AT153,IF(BH153&gt;=MIN_N,MEDIAN(IF($BE$2:$BE$545=BE153,$O$2:$O$545)),IF(BG153&gt;=MIN_N,MEDIAN(IF($BD$2:$BD$545=BD153,$O$2:$O$545)),MEDIAN(IF($BC$2:$BC$545=BC153,$O$2:$O$545)))))</f>
        <v/>
      </c>
      <c r="BJ153" s="3">
        <f>IF(N(AU153)&gt;=MIN_N,"mercado "&amp;AV153,IF(BH153&gt;=MIN_N,"modelo+año+km",IF(BG153&gt;=MIN_N,"modelo+año","modelo")))</f>
        <v/>
      </c>
      <c r="BK153" s="4">
        <f>(BI153-O153)/BI153</f>
        <v/>
      </c>
      <c r="BL153" s="3">
        <f>IF(COUNTIFS(FR_FUEL,K153,FR_YEAR,AP153)&gt;0,1,0)</f>
        <v/>
      </c>
      <c r="BM153" s="3">
        <f>IF(COUNTIFS(FR_FUEL,K153,FR_YEAR,AP153-1)&gt;0,1,0)</f>
        <v/>
      </c>
      <c r="BN153" s="4">
        <f>IF(N(AQ153)&gt;0,AP153*100+AQ153,IF(AND(BL153=1,BM153=1),(AP153-1)*100+1,AP153*100+1))</f>
        <v/>
      </c>
      <c r="BO153" s="3">
        <f>IF(OR(K153="hibrido",K153="glp",K153="gnc",K153="phev"),"ECO",IF(K153="electrico","CERO",IF(K153="gasolina",IF(BN153&gt;=GAS_C_YM,"C",IF(BN153&gt;=GAS_B_YM,"B","A")),IF(K153="diesel",IF(BN153&gt;=DIE_C_YM,"C",IF(BN153&gt;=DIE_B_YM,"B","A")),""))))</f>
        <v/>
      </c>
      <c r="BP153" s="4">
        <f>BO153</f>
        <v/>
      </c>
      <c r="BQ153" s="4">
        <f>IF(AS153="regla",IF(AND(N(AQ153)=0,BL153=1),"sí","no"),"no")</f>
        <v/>
      </c>
      <c r="BR153" s="3">
        <f>IFERROR(VLOOKUP(F153,MOD_TBL,11,0),IFERROR(VLOOKUP(E153,OCU_TBL,2,0),NEUTRO))</f>
        <v/>
      </c>
      <c r="BS153" s="3">
        <f>SUMIFS(MOT_AJUSTE,MOT_MOTOR,G153,MOT_MARCA,E153,MOT_DESDE,"&lt;="&amp;M153,MOT_HASTA,"&gt;="&amp;M153)+SUMIFS(MOT_AJUSTE,MOT_MOTOR,G153,MOT_MARCA,"(todas)",MOT_DESDE,"&lt;="&amp;M153,MOT_HASTA,"&gt;="&amp;M153)</f>
        <v/>
      </c>
      <c r="BT153" s="3">
        <f>SUMIFS(COMB_AJUSTE,COMB_COMB,K153)</f>
        <v/>
      </c>
      <c r="BU153" s="3">
        <f>COUNTIFS(MOT_MOTOR,G153,MOT_MARCA,E153,MOT_DESDE,"&lt;="&amp;M153,MOT_HASTA,"&gt;="&amp;M153)+COUNTIFS(MOT_MOTOR,G153,MOT_MARCA,"(todas)",MOT_DESDE,"&lt;="&amp;M153,MOT_HASTA,"&gt;="&amp;M153)</f>
        <v/>
      </c>
      <c r="BV153" s="3">
        <f>IF(AND(K153="diesel",BU153=0),MIN(BR153,NEUTRO),BR153)</f>
        <v/>
      </c>
      <c r="BW153" s="4">
        <f>MAX(0,MIN(100,BV153+BS153+BT153))</f>
        <v/>
      </c>
      <c r="BX153" s="3">
        <f>MAX(0,MIN(100,50+BK153*PRECIO_PEND))</f>
        <v/>
      </c>
      <c r="BY153" s="3">
        <f>MAX(0,100*(1-N153/KM_MAX))</f>
        <v/>
      </c>
      <c r="BZ153" s="3">
        <f>IF(BB153&lt;KMA_SOSP,IF(AA153="sí",100,KMA_PEN),IF(BB153&lt;=KMA_IDEAL_MAX,100,MAX(0,100*(KMA_CERO-BB153)/(KMA_CERO-KMA_IDEAL_MAX))))</f>
        <v/>
      </c>
      <c r="CA153" s="3">
        <f>MAX(0,MIN(100,100*(M153-ANIO_MIN)/(ANIO_ACTUAL-ANIO_MIN)))</f>
        <v/>
      </c>
      <c r="CB153" s="3">
        <f>W_KMT*BY153+W_KMA*BZ153+W_EDAD*CA153</f>
        <v/>
      </c>
      <c r="CC153" s="3">
        <f>P_ITV*(V153="sí")+P_LIBRO*(W153="sí")+P_CORREA*(X153="sí")+P_PROP*(Y153=1)+P_GAR*(Z153="sí")+P_FOTOS*MIN(1,N(U153)/FOTOS_OBJ)</f>
        <v/>
      </c>
      <c r="CD153" s="3">
        <f>MAX(0,MIN(100,IFERROR(VLOOKUP(BP153,ETQ_TBL,2,0),0)-IF(BQ153="sí",ETQ_PEN_DUD,IF(AS153="regla",ETQ_PEN_REGLA,0))))</f>
        <v/>
      </c>
      <c r="CE153" s="3">
        <f>NEUTRO</f>
        <v/>
      </c>
      <c r="CF153" s="3">
        <f>IFERROR(VLOOKUP(L153,SEGURO_TBL,3,0),"")</f>
        <v/>
      </c>
      <c r="CG153" s="3">
        <f>IF(CF153="",NEUTRO,MAX(0,MIN(100,100*(SEG_REF_MAX-CF153)/(SEG_REF_MAX-SEG_REF_MIN))))</f>
        <v/>
      </c>
      <c r="CH153" s="3">
        <f>W_CONS*CE153+W_SEG*CG153</f>
        <v/>
      </c>
      <c r="CI153" s="3">
        <f>IF(N(AB153)&gt;0,AB153,IF(AND(R153="profesional",SG_LEGAL_ON=1),GAR_LEGAL,0))</f>
        <v/>
      </c>
      <c r="CJ153" s="3">
        <f>SG_GAR*MIN(1,CI153/SG_GAR_FULL)+SG_AMPL*(AC153="sí")+SG_KMC*(AF153="sí")+SG_REV*(N(AE153)&gt;0)+SG_DEV*MIN(1,N(AG153)/SG_DEV_FULL)+SG_HIST*(W153="sí")</f>
        <v/>
      </c>
      <c r="CK153" s="3">
        <f>IFERROR(VLOOKUP(L153,CARR_PEN_TBL,2,0),0)</f>
        <v/>
      </c>
      <c r="CL153" s="3">
        <f>W_FIAB*BW153+W_PRECIO*BX153+W_KMEDAD*CB153+W_ANUNCIO*CC153+W_USO*CH153+W_SEGURIDAD*CJ153+W_ETIQUETA*CD153-CK153</f>
        <v/>
      </c>
      <c r="CM153" s="4">
        <f>IF(N(I153)&gt;0,I153,IFERROR(ROUND(_xlfn.NUMBERVALUE(LEFT(G153,FIND(" ",G153&amp;" ")-1),".")*1000,0),99999))</f>
        <v/>
      </c>
      <c r="CN153" s="3">
        <f>IF(R153="profesional",0,IF(O153&lt;CUOTA_VALOR_MAX,IF(BA153&gt;ITP_TRAMO_ALTO,SUMIFS(CF_CUOTA,CF_MAS,ITP_TRAMO_ALTO,CF_CCMIN,"&lt;="&amp;CM153,CF_CCMAX,"&gt;="&amp;CM153),IF(BA153&gt;ITP_TRAMO_BAJO,SUMIFS(CF_CUOTA,CF_MAS,ITP_TRAMO_BAJO,CF_CCMIN,"&lt;="&amp;CM153,CF_CCMAX,"&gt;="&amp;CM153),O153*ITP_TIPO)),O153*ITP_TIPO))</f>
        <v/>
      </c>
      <c r="CO153" s="4">
        <f>IF(R153="profesional",N(AK153),0)</f>
        <v/>
      </c>
      <c r="CP153" s="3">
        <f>IF(AND(R153="profesional",ISNUMBER(AK153),AL153="sí"),0,TASA_DGT)</f>
        <v/>
      </c>
      <c r="CQ153" s="3">
        <f>INFORME_DGT</f>
        <v/>
      </c>
      <c r="CR153" s="4">
        <f>O153+CO153+CN153+CP153+CQ153</f>
        <v/>
      </c>
      <c r="CS153" s="4">
        <f>CR153+N(CF153)</f>
        <v/>
      </c>
      <c r="CT153" s="3">
        <f>IF(CR153&lt;=TOTAL_MAX,"sí",IF(CR153&lt;=TOTAL_MAX+MARGEN_NEG,"negociar","no"))</f>
        <v/>
      </c>
      <c r="CU153" s="4">
        <f>IF(CT153&lt;&gt;"no",COUNTIFS($CT$2:$CT$545,"&lt;&gt;no",$CL$2:$CL$545,"&gt;"&amp;CL153)+COUNTIFS($CT$2:CT153,"&lt;&gt;no",$CL$2:CL153,CL153),"")</f>
        <v/>
      </c>
    </row>
    <row r="154">
      <c r="A154" s="2" t="inlineStr">
        <is>
          <t>cochesnet:71533850</t>
        </is>
      </c>
      <c r="B154" s="2" t="inlineStr">
        <is>
          <t>cochesnet</t>
        </is>
      </c>
      <c r="C154" s="2" t="inlineStr">
        <is>
          <t>https://www.coches.net/chevrolet-aveo-14-16v-ls-5p-gasolina-2010-en-valencia-71533850-covo.aspx</t>
        </is>
      </c>
      <c r="D154" s="2" t="inlineStr">
        <is>
          <t>CHEVROLET Aveo 1.4 16v LS</t>
        </is>
      </c>
      <c r="E154" s="2" t="inlineStr">
        <is>
          <t>Chevrolet</t>
        </is>
      </c>
      <c r="F154" s="2" t="inlineStr">
        <is>
          <t>Chevrolet Aveo</t>
        </is>
      </c>
      <c r="G154" s="2" t="inlineStr">
        <is>
          <t>1.4</t>
        </is>
      </c>
      <c r="H154" s="2" t="inlineStr">
        <is>
          <t>1.4 16v LS</t>
        </is>
      </c>
      <c r="I154" s="2" t="n"/>
      <c r="J154" s="2" t="n"/>
      <c r="K154" s="2" t="inlineStr">
        <is>
          <t>gasolina</t>
        </is>
      </c>
      <c r="L154" s="2" t="inlineStr">
        <is>
          <t>utilitario</t>
        </is>
      </c>
      <c r="M154" s="2" t="n">
        <v>2009</v>
      </c>
      <c r="N154" s="2" t="n">
        <v>110000</v>
      </c>
      <c r="O154" s="2" t="n">
        <v>4290</v>
      </c>
      <c r="P154" s="2" t="inlineStr">
        <is>
          <t>manual</t>
        </is>
      </c>
      <c r="Q154" s="2" t="inlineStr">
        <is>
          <t>no</t>
        </is>
      </c>
      <c r="R154" s="2" t="inlineStr">
        <is>
          <t>profesional</t>
        </is>
      </c>
      <c r="S154" s="2" t="inlineStr">
        <is>
          <t>Only Cars Valencia Aldaia</t>
        </is>
      </c>
      <c r="T154" s="2" t="inlineStr">
        <is>
          <t>2026-09-17T10:24:43Z</t>
        </is>
      </c>
      <c r="U154" s="2" t="n">
        <v>11</v>
      </c>
      <c r="V154" s="2" t="n"/>
      <c r="W154" s="2" t="n"/>
      <c r="X154" s="2" t="n"/>
      <c r="Y154" s="2" t="n"/>
      <c r="Z154" s="2" t="inlineStr">
        <is>
          <t>sí</t>
        </is>
      </c>
      <c r="AA154" s="2" t="n"/>
      <c r="AB154" s="2" t="n">
        <v>12</v>
      </c>
      <c r="AC154" s="2" t="n"/>
      <c r="AD154" s="2" t="n"/>
      <c r="AE154" s="2" t="n"/>
      <c r="AF154" s="2" t="n"/>
      <c r="AG154" s="2" t="n"/>
      <c r="AH154" s="2" t="n">
        <v>4290</v>
      </c>
      <c r="AI154" s="2" t="n"/>
      <c r="AJ154" s="2" t="n"/>
      <c r="AK154" s="2" t="n"/>
      <c r="AL154" s="2" t="n"/>
      <c r="AM154" s="2" t="n">
        <v>7.5</v>
      </c>
      <c r="AN154" s="2" t="n"/>
      <c r="AO154" s="2" t="inlineStr">
        <is>
          <t>2009</t>
        </is>
      </c>
      <c r="AP154" s="2" t="n">
        <v>2009</v>
      </c>
      <c r="AQ154" s="2" t="n"/>
      <c r="AR154" s="2" t="inlineStr">
        <is>
          <t>C</t>
        </is>
      </c>
      <c r="AS154" s="2" t="inlineStr">
        <is>
          <t>anuncio</t>
        </is>
      </c>
      <c r="AT154" s="2" t="n">
        <v>3990</v>
      </c>
      <c r="AU154" s="2" t="n">
        <v>4</v>
      </c>
      <c r="AV154" s="2" t="inlineStr">
        <is>
          <t>modelo+año+km</t>
        </is>
      </c>
      <c r="AW154" s="2" t="n"/>
      <c r="AX154" s="2" t="inlineStr">
        <is>
          <t>vendedor profesional: sin ITP (operación con IVA/REBU, confirmar en factura); gastos de gestión del vendedor no indicados: se suma la tasa DGT; preguntar el precio final; fiabilidad del modelo PENDIENTE de fuente (puntuación neutra)</t>
        </is>
      </c>
      <c r="AY154"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AZ154" s="2" t="inlineStr">
        <is>
          <t>https://www.coches.net/chevrolet-aveo-14-16v-ls-5p-gasolina-2010-en-valencia-71533850-covo.aspx (window.__INITIAL_PROPS__.ad) /home/user/Alopecia/buscador-coches/raw/cochesnet/f4665f6b14e63416.json</t>
        </is>
      </c>
      <c r="BA154" s="3">
        <f>MAX(ANIO_ACTUAL-M154,0)</f>
        <v/>
      </c>
      <c r="BB154" s="4">
        <f>N154/MAX(BA154,0.5)</f>
        <v/>
      </c>
      <c r="BC154" s="4">
        <f>F154</f>
        <v/>
      </c>
      <c r="BD154" s="3">
        <f>BC154&amp;"|"&amp;INT(M154/SEG_ANIO)*SEG_ANIO</f>
        <v/>
      </c>
      <c r="BE154" s="3">
        <f>BD154&amp;"|"&amp;INT(N154/SEG_KM)*SEG_KM</f>
        <v/>
      </c>
      <c r="BF154" s="4">
        <f>COUNTIF($BC$2:$BC$545,BC154)</f>
        <v/>
      </c>
      <c r="BG154" s="4">
        <f>COUNTIF($BD$2:$BD$545,BD154)</f>
        <v/>
      </c>
      <c r="BH154" s="4">
        <f>COUNTIF($BE$2:$BE$545,BE154)</f>
        <v/>
      </c>
      <c r="BI154" s="3">
        <f t="array" ref="BI154">IF(N(AU154)&gt;=MIN_N,AT154,IF(BH154&gt;=MIN_N,MEDIAN(IF($BE$2:$BE$545=BE154,$O$2:$O$545)),IF(BG154&gt;=MIN_N,MEDIAN(IF($BD$2:$BD$545=BD154,$O$2:$O$545)),MEDIAN(IF($BC$2:$BC$545=BC154,$O$2:$O$545)))))</f>
        <v/>
      </c>
      <c r="BJ154" s="3">
        <f>IF(N(AU154)&gt;=MIN_N,"mercado "&amp;AV154,IF(BH154&gt;=MIN_N,"modelo+año+km",IF(BG154&gt;=MIN_N,"modelo+año","modelo")))</f>
        <v/>
      </c>
      <c r="BK154" s="4">
        <f>(BI154-O154)/BI154</f>
        <v/>
      </c>
      <c r="BL154" s="3">
        <f>IF(COUNTIFS(FR_FUEL,K154,FR_YEAR,AP154)&gt;0,1,0)</f>
        <v/>
      </c>
      <c r="BM154" s="3">
        <f>IF(COUNTIFS(FR_FUEL,K154,FR_YEAR,AP154-1)&gt;0,1,0)</f>
        <v/>
      </c>
      <c r="BN154" s="4">
        <f>IF(N(AQ154)&gt;0,AP154*100+AQ154,IF(AND(BL154=1,BM154=1),(AP154-1)*100+1,AP154*100+1))</f>
        <v/>
      </c>
      <c r="BO154" s="3">
        <f>IF(OR(K154="hibrido",K154="glp",K154="gnc",K154="phev"),"ECO",IF(K154="electrico","CERO",IF(K154="gasolina",IF(BN154&gt;=GAS_C_YM,"C",IF(BN154&gt;=GAS_B_YM,"B","A")),IF(K154="diesel",IF(BN154&gt;=DIE_C_YM,"C",IF(BN154&gt;=DIE_B_YM,"B","A")),""))))</f>
        <v/>
      </c>
      <c r="BP154" s="2" t="inlineStr">
        <is>
          <t>C</t>
        </is>
      </c>
      <c r="BQ154" s="4">
        <f>IF(AS154="regla",IF(AND(N(AQ154)=0,BL154=1),"sí","no"),"no")</f>
        <v/>
      </c>
      <c r="BR154" s="3">
        <f>IFERROR(VLOOKUP(F154,MOD_TBL,11,0),IFERROR(VLOOKUP(E154,OCU_TBL,2,0),NEUTRO))</f>
        <v/>
      </c>
      <c r="BS154" s="3">
        <f>SUMIFS(MOT_AJUSTE,MOT_MOTOR,G154,MOT_MARCA,E154,MOT_DESDE,"&lt;="&amp;M154,MOT_HASTA,"&gt;="&amp;M154)+SUMIFS(MOT_AJUSTE,MOT_MOTOR,G154,MOT_MARCA,"(todas)",MOT_DESDE,"&lt;="&amp;M154,MOT_HASTA,"&gt;="&amp;M154)</f>
        <v/>
      </c>
      <c r="BT154" s="3">
        <f>SUMIFS(COMB_AJUSTE,COMB_COMB,K154)</f>
        <v/>
      </c>
      <c r="BU154" s="3">
        <f>COUNTIFS(MOT_MOTOR,G154,MOT_MARCA,E154,MOT_DESDE,"&lt;="&amp;M154,MOT_HASTA,"&gt;="&amp;M154)+COUNTIFS(MOT_MOTOR,G154,MOT_MARCA,"(todas)",MOT_DESDE,"&lt;="&amp;M154,MOT_HASTA,"&gt;="&amp;M154)</f>
        <v/>
      </c>
      <c r="BV154" s="3">
        <f>IF(AND(K154="diesel",BU154=0),MIN(BR154,NEUTRO),BR154)</f>
        <v/>
      </c>
      <c r="BW154" s="4">
        <f>MAX(0,MIN(100,BV154+BS154+BT154))</f>
        <v/>
      </c>
      <c r="BX154" s="3">
        <f>MAX(0,MIN(100,50+BK154*PRECIO_PEND))</f>
        <v/>
      </c>
      <c r="BY154" s="3">
        <f>MAX(0,100*(1-N154/KM_MAX))</f>
        <v/>
      </c>
      <c r="BZ154" s="3">
        <f>IF(BB154&lt;KMA_SOSP,IF(AA154="sí",100,KMA_PEN),IF(BB154&lt;=KMA_IDEAL_MAX,100,MAX(0,100*(KMA_CERO-BB154)/(KMA_CERO-KMA_IDEAL_MAX))))</f>
        <v/>
      </c>
      <c r="CA154" s="3">
        <f>MAX(0,MIN(100,100*(M154-ANIO_MIN)/(ANIO_ACTUAL-ANIO_MIN)))</f>
        <v/>
      </c>
      <c r="CB154" s="3">
        <f>W_KMT*BY154+W_KMA*BZ154+W_EDAD*CA154</f>
        <v/>
      </c>
      <c r="CC154" s="3">
        <f>P_ITV*(V154="sí")+P_LIBRO*(W154="sí")+P_CORREA*(X154="sí")+P_PROP*(Y154=1)+P_GAR*(Z154="sí")+P_FOTOS*MIN(1,N(U154)/FOTOS_OBJ)</f>
        <v/>
      </c>
      <c r="CD154" s="3">
        <f>MAX(0,MIN(100,IFERROR(VLOOKUP(BP154,ETQ_TBL,2,0),0)-IF(BQ154="sí",ETQ_PEN_DUD,IF(AS154="regla",ETQ_PEN_REGLA,0))))</f>
        <v/>
      </c>
      <c r="CE154" s="3">
        <f>NEUTRO</f>
        <v/>
      </c>
      <c r="CF154" s="3">
        <f>IFERROR(VLOOKUP(L154,SEGURO_TBL,3,0),"")</f>
        <v/>
      </c>
      <c r="CG154" s="3">
        <f>IF(CF154="",NEUTRO,MAX(0,MIN(100,100*(SEG_REF_MAX-CF154)/(SEG_REF_MAX-SEG_REF_MIN))))</f>
        <v/>
      </c>
      <c r="CH154" s="3">
        <f>W_CONS*CE154+W_SEG*CG154</f>
        <v/>
      </c>
      <c r="CI154" s="3">
        <f>IF(N(AB154)&gt;0,AB154,IF(AND(R154="profesional",SG_LEGAL_ON=1),GAR_LEGAL,0))</f>
        <v/>
      </c>
      <c r="CJ154" s="3">
        <f>SG_GAR*MIN(1,CI154/SG_GAR_FULL)+SG_AMPL*(AC154="sí")+SG_KMC*(AF154="sí")+SG_REV*(N(AE154)&gt;0)+SG_DEV*MIN(1,N(AG154)/SG_DEV_FULL)+SG_HIST*(W154="sí")</f>
        <v/>
      </c>
      <c r="CK154" s="3">
        <f>IFERROR(VLOOKUP(L154,CARR_PEN_TBL,2,0),0)</f>
        <v/>
      </c>
      <c r="CL154" s="3">
        <f>W_FIAB*BW154+W_PRECIO*BX154+W_KMEDAD*CB154+W_ANUNCIO*CC154+W_USO*CH154+W_SEGURIDAD*CJ154+W_ETIQUETA*CD154-CK154</f>
        <v/>
      </c>
      <c r="CM154" s="4">
        <f>IF(N(I154)&gt;0,I154,IFERROR(ROUND(_xlfn.NUMBERVALUE(LEFT(G154,FIND(" ",G154&amp;" ")-1),".")*1000,0),99999))</f>
        <v/>
      </c>
      <c r="CN154" s="3">
        <f>IF(R154="profesional",0,IF(O154&lt;CUOTA_VALOR_MAX,IF(BA154&gt;ITP_TRAMO_ALTO,SUMIFS(CF_CUOTA,CF_MAS,ITP_TRAMO_ALTO,CF_CCMIN,"&lt;="&amp;CM154,CF_CCMAX,"&gt;="&amp;CM154),IF(BA154&gt;ITP_TRAMO_BAJO,SUMIFS(CF_CUOTA,CF_MAS,ITP_TRAMO_BAJO,CF_CCMIN,"&lt;="&amp;CM154,CF_CCMAX,"&gt;="&amp;CM154),O154*ITP_TIPO)),O154*ITP_TIPO))</f>
        <v/>
      </c>
      <c r="CO154" s="4">
        <f>IF(R154="profesional",N(AK154),0)</f>
        <v/>
      </c>
      <c r="CP154" s="3">
        <f>IF(AND(R154="profesional",ISNUMBER(AK154),AL154="sí"),0,TASA_DGT)</f>
        <v/>
      </c>
      <c r="CQ154" s="3">
        <f>INFORME_DGT</f>
        <v/>
      </c>
      <c r="CR154" s="4">
        <f>O154+CO154+CN154+CP154+CQ154</f>
        <v/>
      </c>
      <c r="CS154" s="4">
        <f>CR154+N(CF154)</f>
        <v/>
      </c>
      <c r="CT154" s="3">
        <f>IF(CR154&lt;=TOTAL_MAX,"sí",IF(CR154&lt;=TOTAL_MAX+MARGEN_NEG,"negociar","no"))</f>
        <v/>
      </c>
      <c r="CU154" s="4">
        <f>IF(CT154&lt;&gt;"no",COUNTIFS($CT$2:$CT$545,"&lt;&gt;no",$CL$2:$CL$545,"&gt;"&amp;CL154)+COUNTIFS($CT$2:CT154,"&lt;&gt;no",$CL$2:CL154,CL154),"")</f>
        <v/>
      </c>
    </row>
    <row r="155">
      <c r="A155" s="2" t="inlineStr">
        <is>
          <t>cochesnet:71769865</t>
        </is>
      </c>
      <c r="B155" s="2" t="inlineStr">
        <is>
          <t>cochesnet</t>
        </is>
      </c>
      <c r="C155" s="2" t="inlineStr">
        <is>
          <t>https://www.coches.net/chevrolet-aveo-12-16v-ls-3p-gasolina-2011-en-valencia-71769865-covo.aspx</t>
        </is>
      </c>
      <c r="D155" s="2" t="inlineStr">
        <is>
          <t>CHEVROLET Aveo 1.2 16v LS</t>
        </is>
      </c>
      <c r="E155" s="2" t="inlineStr">
        <is>
          <t>Chevrolet</t>
        </is>
      </c>
      <c r="F155" s="2" t="inlineStr">
        <is>
          <t>Chevrolet Aveo</t>
        </is>
      </c>
      <c r="G155" s="2" t="inlineStr">
        <is>
          <t>1.2</t>
        </is>
      </c>
      <c r="H155" s="2" t="inlineStr">
        <is>
          <t>1.2 16v LS</t>
        </is>
      </c>
      <c r="I155" s="2" t="n"/>
      <c r="J155" s="2" t="n"/>
      <c r="K155" s="2" t="inlineStr">
        <is>
          <t>gasolina</t>
        </is>
      </c>
      <c r="L155" s="2" t="inlineStr">
        <is>
          <t>utilitario</t>
        </is>
      </c>
      <c r="M155" s="2" t="n">
        <v>2011</v>
      </c>
      <c r="N155" s="2" t="n">
        <v>135127</v>
      </c>
      <c r="O155" s="2" t="n">
        <v>3900</v>
      </c>
      <c r="P155" s="2" t="inlineStr">
        <is>
          <t>manual</t>
        </is>
      </c>
      <c r="Q155" s="2" t="inlineStr">
        <is>
          <t>no</t>
        </is>
      </c>
      <c r="R155" s="2" t="inlineStr">
        <is>
          <t>particular</t>
        </is>
      </c>
      <c r="S155" s="2" t="inlineStr">
        <is>
          <t>Torrent</t>
        </is>
      </c>
      <c r="T155" s="2" t="inlineStr">
        <is>
          <t>2026-10-17T13:39:05Z</t>
        </is>
      </c>
      <c r="U155" s="2" t="n">
        <v>1</v>
      </c>
      <c r="V155" s="2" t="n"/>
      <c r="W155" s="2" t="n"/>
      <c r="X155" s="2" t="n"/>
      <c r="Y155" s="2" t="n"/>
      <c r="Z155" s="2" t="inlineStr">
        <is>
          <t>no</t>
        </is>
      </c>
      <c r="AA155" s="2" t="n"/>
      <c r="AB155" s="2" t="n"/>
      <c r="AC155" s="2" t="n"/>
      <c r="AD155" s="2" t="n"/>
      <c r="AE155" s="2" t="n"/>
      <c r="AF155" s="2" t="n"/>
      <c r="AG155" s="2" t="n"/>
      <c r="AH155" s="2" t="n">
        <v>3900</v>
      </c>
      <c r="AI155" s="2" t="n"/>
      <c r="AJ155" s="2" t="n"/>
      <c r="AK155" s="2" t="n"/>
      <c r="AL155" s="2" t="n"/>
      <c r="AM155" s="2" t="n">
        <v>8.800000000000001</v>
      </c>
      <c r="AN155" s="2" t="n"/>
      <c r="AO155" s="2" t="inlineStr">
        <is>
          <t>2011</t>
        </is>
      </c>
      <c r="AP155" s="2" t="n">
        <v>2011</v>
      </c>
      <c r="AQ155" s="2" t="n"/>
      <c r="AR155" s="2" t="inlineStr">
        <is>
          <t>C</t>
        </is>
      </c>
      <c r="AS155" s="2" t="inlineStr">
        <is>
          <t>anuncio</t>
        </is>
      </c>
      <c r="AT155" s="2" t="n">
        <v>2500</v>
      </c>
      <c r="AU155" s="2" t="n">
        <v>4</v>
      </c>
      <c r="AV155" s="2" t="inlineStr">
        <is>
          <t>modelo+año+km</t>
        </is>
      </c>
      <c r="AW155" s="2" t="n"/>
      <c r="AX155" s="2" t="inlineStr">
        <is>
          <t>cuota fija ITP: &gt;12 años, hasta 1.500 cc; fiabilidad del modelo PENDIENTE de fuente (puntuación neutra)</t>
        </is>
      </c>
      <c r="AY155" s="2" t="inlineStr">
        <is>
          <t>Vendo Chevrolet Aveo 1.2 gasolina del año 2011, con 135.127 km.
El coche funciona perfectamente y está en buen estado de funcionamiento. Recientemente se le han cambiado los discos y las pastillas de freno.
Acaba de pasar la ITV y la tiene en vigor hasta septiembre de 2027. Dispone de etiqueta medioambiental C.
Es un coche práctico para el día a día, ideal para ir a trabajar o moverse por ciudad.
Precio: 3.900€
Para más información, fotos o venir a verlo, contactar por mensaje.</t>
        </is>
      </c>
      <c r="AZ155" s="2" t="inlineStr">
        <is>
          <t>https://www.coches.net/chevrolet-aveo-12-16v-ls-3p-gasolina-2011-en-valencia-71769865-covo.aspx (window.__INITIAL_PROPS__.ad) /home/user/Alopecia/buscador-coches/raw/cochesnet/e867ec23345926cc.json</t>
        </is>
      </c>
      <c r="BA155" s="3">
        <f>MAX(ANIO_ACTUAL-M155,0)</f>
        <v/>
      </c>
      <c r="BB155" s="4">
        <f>N155/MAX(BA155,0.5)</f>
        <v/>
      </c>
      <c r="BC155" s="4">
        <f>F155</f>
        <v/>
      </c>
      <c r="BD155" s="3">
        <f>BC155&amp;"|"&amp;INT(M155/SEG_ANIO)*SEG_ANIO</f>
        <v/>
      </c>
      <c r="BE155" s="3">
        <f>BD155&amp;"|"&amp;INT(N155/SEG_KM)*SEG_KM</f>
        <v/>
      </c>
      <c r="BF155" s="4">
        <f>COUNTIF($BC$2:$BC$545,BC155)</f>
        <v/>
      </c>
      <c r="BG155" s="4">
        <f>COUNTIF($BD$2:$BD$545,BD155)</f>
        <v/>
      </c>
      <c r="BH155" s="4">
        <f>COUNTIF($BE$2:$BE$545,BE155)</f>
        <v/>
      </c>
      <c r="BI155" s="3">
        <f t="array" ref="BI155">IF(N(AU155)&gt;=MIN_N,AT155,IF(BH155&gt;=MIN_N,MEDIAN(IF($BE$2:$BE$545=BE155,$O$2:$O$545)),IF(BG155&gt;=MIN_N,MEDIAN(IF($BD$2:$BD$545=BD155,$O$2:$O$545)),MEDIAN(IF($BC$2:$BC$545=BC155,$O$2:$O$545)))))</f>
        <v/>
      </c>
      <c r="BJ155" s="3">
        <f>IF(N(AU155)&gt;=MIN_N,"mercado "&amp;AV155,IF(BH155&gt;=MIN_N,"modelo+año+km",IF(BG155&gt;=MIN_N,"modelo+año","modelo")))</f>
        <v/>
      </c>
      <c r="BK155" s="4">
        <f>(BI155-O155)/BI155</f>
        <v/>
      </c>
      <c r="BL155" s="3">
        <f>IF(COUNTIFS(FR_FUEL,K155,FR_YEAR,AP155)&gt;0,1,0)</f>
        <v/>
      </c>
      <c r="BM155" s="3">
        <f>IF(COUNTIFS(FR_FUEL,K155,FR_YEAR,AP155-1)&gt;0,1,0)</f>
        <v/>
      </c>
      <c r="BN155" s="4">
        <f>IF(N(AQ155)&gt;0,AP155*100+AQ155,IF(AND(BL155=1,BM155=1),(AP155-1)*100+1,AP155*100+1))</f>
        <v/>
      </c>
      <c r="BO155" s="3">
        <f>IF(OR(K155="hibrido",K155="glp",K155="gnc",K155="phev"),"ECO",IF(K155="electrico","CERO",IF(K155="gasolina",IF(BN155&gt;=GAS_C_YM,"C",IF(BN155&gt;=GAS_B_YM,"B","A")),IF(K155="diesel",IF(BN155&gt;=DIE_C_YM,"C",IF(BN155&gt;=DIE_B_YM,"B","A")),""))))</f>
        <v/>
      </c>
      <c r="BP155" s="2" t="inlineStr">
        <is>
          <t>C</t>
        </is>
      </c>
      <c r="BQ155" s="4">
        <f>IF(AS155="regla",IF(AND(N(AQ155)=0,BL155=1),"sí","no"),"no")</f>
        <v/>
      </c>
      <c r="BR155" s="3">
        <f>IFERROR(VLOOKUP(F155,MOD_TBL,11,0),IFERROR(VLOOKUP(E155,OCU_TBL,2,0),NEUTRO))</f>
        <v/>
      </c>
      <c r="BS155" s="3">
        <f>SUMIFS(MOT_AJUSTE,MOT_MOTOR,G155,MOT_MARCA,E155,MOT_DESDE,"&lt;="&amp;M155,MOT_HASTA,"&gt;="&amp;M155)+SUMIFS(MOT_AJUSTE,MOT_MOTOR,G155,MOT_MARCA,"(todas)",MOT_DESDE,"&lt;="&amp;M155,MOT_HASTA,"&gt;="&amp;M155)</f>
        <v/>
      </c>
      <c r="BT155" s="3">
        <f>SUMIFS(COMB_AJUSTE,COMB_COMB,K155)</f>
        <v/>
      </c>
      <c r="BU155" s="3">
        <f>COUNTIFS(MOT_MOTOR,G155,MOT_MARCA,E155,MOT_DESDE,"&lt;="&amp;M155,MOT_HASTA,"&gt;="&amp;M155)+COUNTIFS(MOT_MOTOR,G155,MOT_MARCA,"(todas)",MOT_DESDE,"&lt;="&amp;M155,MOT_HASTA,"&gt;="&amp;M155)</f>
        <v/>
      </c>
      <c r="BV155" s="3">
        <f>IF(AND(K155="diesel",BU155=0),MIN(BR155,NEUTRO),BR155)</f>
        <v/>
      </c>
      <c r="BW155" s="4">
        <f>MAX(0,MIN(100,BV155+BS155+BT155))</f>
        <v/>
      </c>
      <c r="BX155" s="3">
        <f>MAX(0,MIN(100,50+BK155*PRECIO_PEND))</f>
        <v/>
      </c>
      <c r="BY155" s="3">
        <f>MAX(0,100*(1-N155/KM_MAX))</f>
        <v/>
      </c>
      <c r="BZ155" s="3">
        <f>IF(BB155&lt;KMA_SOSP,IF(AA155="sí",100,KMA_PEN),IF(BB155&lt;=KMA_IDEAL_MAX,100,MAX(0,100*(KMA_CERO-BB155)/(KMA_CERO-KMA_IDEAL_MAX))))</f>
        <v/>
      </c>
      <c r="CA155" s="3">
        <f>MAX(0,MIN(100,100*(M155-ANIO_MIN)/(ANIO_ACTUAL-ANIO_MIN)))</f>
        <v/>
      </c>
      <c r="CB155" s="3">
        <f>W_KMT*BY155+W_KMA*BZ155+W_EDAD*CA155</f>
        <v/>
      </c>
      <c r="CC155" s="3">
        <f>P_ITV*(V155="sí")+P_LIBRO*(W155="sí")+P_CORREA*(X155="sí")+P_PROP*(Y155=1)+P_GAR*(Z155="sí")+P_FOTOS*MIN(1,N(U155)/FOTOS_OBJ)</f>
        <v/>
      </c>
      <c r="CD155" s="3">
        <f>MAX(0,MIN(100,IFERROR(VLOOKUP(BP155,ETQ_TBL,2,0),0)-IF(BQ155="sí",ETQ_PEN_DUD,IF(AS155="regla",ETQ_PEN_REGLA,0))))</f>
        <v/>
      </c>
      <c r="CE155" s="3">
        <f>NEUTRO</f>
        <v/>
      </c>
      <c r="CF155" s="3">
        <f>IFERROR(VLOOKUP(L155,SEGURO_TBL,3,0),"")</f>
        <v/>
      </c>
      <c r="CG155" s="3">
        <f>IF(CF155="",NEUTRO,MAX(0,MIN(100,100*(SEG_REF_MAX-CF155)/(SEG_REF_MAX-SEG_REF_MIN))))</f>
        <v/>
      </c>
      <c r="CH155" s="3">
        <f>W_CONS*CE155+W_SEG*CG155</f>
        <v/>
      </c>
      <c r="CI155" s="3">
        <f>IF(N(AB155)&gt;0,AB155,IF(AND(R155="profesional",SG_LEGAL_ON=1),GAR_LEGAL,0))</f>
        <v/>
      </c>
      <c r="CJ155" s="3">
        <f>SG_GAR*MIN(1,CI155/SG_GAR_FULL)+SG_AMPL*(AC155="sí")+SG_KMC*(AF155="sí")+SG_REV*(N(AE155)&gt;0)+SG_DEV*MIN(1,N(AG155)/SG_DEV_FULL)+SG_HIST*(W155="sí")</f>
        <v/>
      </c>
      <c r="CK155" s="3">
        <f>IFERROR(VLOOKUP(L155,CARR_PEN_TBL,2,0),0)</f>
        <v/>
      </c>
      <c r="CL155" s="3">
        <f>W_FIAB*BW155+W_PRECIO*BX155+W_KMEDAD*CB155+W_ANUNCIO*CC155+W_USO*CH155+W_SEGURIDAD*CJ155+W_ETIQUETA*CD155-CK155</f>
        <v/>
      </c>
      <c r="CM155" s="4">
        <f>IF(N(I155)&gt;0,I155,IFERROR(ROUND(_xlfn.NUMBERVALUE(LEFT(G155,FIND(" ",G155&amp;" ")-1),".")*1000,0),99999))</f>
        <v/>
      </c>
      <c r="CN155" s="3">
        <f>IF(R155="profesional",0,IF(O155&lt;CUOTA_VALOR_MAX,IF(BA155&gt;ITP_TRAMO_ALTO,SUMIFS(CF_CUOTA,CF_MAS,ITP_TRAMO_ALTO,CF_CCMIN,"&lt;="&amp;CM155,CF_CCMAX,"&gt;="&amp;CM155),IF(BA155&gt;ITP_TRAMO_BAJO,SUMIFS(CF_CUOTA,CF_MAS,ITP_TRAMO_BAJO,CF_CCMIN,"&lt;="&amp;CM155,CF_CCMAX,"&gt;="&amp;CM155),O155*ITP_TIPO)),O155*ITP_TIPO))</f>
        <v/>
      </c>
      <c r="CO155" s="4">
        <f>IF(R155="profesional",N(AK155),0)</f>
        <v/>
      </c>
      <c r="CP155" s="3">
        <f>IF(AND(R155="profesional",ISNUMBER(AK155),AL155="sí"),0,TASA_DGT)</f>
        <v/>
      </c>
      <c r="CQ155" s="3">
        <f>INFORME_DGT</f>
        <v/>
      </c>
      <c r="CR155" s="4">
        <f>O155+CO155+CN155+CP155+CQ155</f>
        <v/>
      </c>
      <c r="CS155" s="4">
        <f>CR155+N(CF155)</f>
        <v/>
      </c>
      <c r="CT155" s="3">
        <f>IF(CR155&lt;=TOTAL_MAX,"sí",IF(CR155&lt;=TOTAL_MAX+MARGEN_NEG,"negociar","no"))</f>
        <v/>
      </c>
      <c r="CU155" s="4">
        <f>IF(CT155&lt;&gt;"no",COUNTIFS($CT$2:$CT$545,"&lt;&gt;no",$CL$2:$CL$545,"&gt;"&amp;CL155)+COUNTIFS($CT$2:CT155,"&lt;&gt;no",$CL$2:CL155,CL155),"")</f>
        <v/>
      </c>
    </row>
    <row r="156">
      <c r="A156" s="2" t="inlineStr">
        <is>
          <t>cochesnet:71680921</t>
        </is>
      </c>
      <c r="B156" s="2" t="inlineStr">
        <is>
          <t>cochesnet</t>
        </is>
      </c>
      <c r="C156" s="2" t="inlineStr">
        <is>
          <t>https://www.coches.net/chevrolet-aveo-14-16v-ls-5p-gasolina-2010-en-valencia-71680921-covo.aspx</t>
        </is>
      </c>
      <c r="D156" s="2" t="inlineStr">
        <is>
          <t>CHEVROLET Aveo 1.4 16v LS</t>
        </is>
      </c>
      <c r="E156" s="2" t="inlineStr">
        <is>
          <t>Chevrolet</t>
        </is>
      </c>
      <c r="F156" s="2" t="inlineStr">
        <is>
          <t>Chevrolet Aveo</t>
        </is>
      </c>
      <c r="G156" s="2" t="inlineStr">
        <is>
          <t>1.4</t>
        </is>
      </c>
      <c r="H156" s="2" t="inlineStr">
        <is>
          <t>1.4 16v LS</t>
        </is>
      </c>
      <c r="I156" s="2" t="n"/>
      <c r="J156" s="2" t="n"/>
      <c r="K156" s="2" t="inlineStr">
        <is>
          <t>gasolina</t>
        </is>
      </c>
      <c r="L156" s="2" t="inlineStr">
        <is>
          <t>utilitario</t>
        </is>
      </c>
      <c r="M156" s="2" t="n">
        <v>2010</v>
      </c>
      <c r="N156" s="2" t="n">
        <v>194331</v>
      </c>
      <c r="O156" s="2" t="n">
        <v>3500</v>
      </c>
      <c r="P156" s="2" t="inlineStr">
        <is>
          <t>manual</t>
        </is>
      </c>
      <c r="Q156" s="2" t="inlineStr">
        <is>
          <t>no</t>
        </is>
      </c>
      <c r="R156" s="2" t="inlineStr">
        <is>
          <t>particular</t>
        </is>
      </c>
      <c r="S156" s="2" t="inlineStr">
        <is>
          <t>Sueca</t>
        </is>
      </c>
      <c r="T156" s="2" t="inlineStr">
        <is>
          <t>2026-10-05T22:44:28Z</t>
        </is>
      </c>
      <c r="U156" s="2" t="n">
        <v>7</v>
      </c>
      <c r="V156" s="2" t="n"/>
      <c r="W156" s="2" t="n"/>
      <c r="X156" s="2" t="n"/>
      <c r="Y156" s="2" t="n"/>
      <c r="Z156" s="2" t="inlineStr">
        <is>
          <t>no</t>
        </is>
      </c>
      <c r="AA156" s="2" t="n"/>
      <c r="AB156" s="2" t="n"/>
      <c r="AC156" s="2" t="n"/>
      <c r="AD156" s="2" t="n"/>
      <c r="AE156" s="2" t="n"/>
      <c r="AF156" s="2" t="n"/>
      <c r="AG156" s="2" t="n"/>
      <c r="AH156" s="2" t="n">
        <v>3500</v>
      </c>
      <c r="AI156" s="2" t="n"/>
      <c r="AJ156" s="2" t="n"/>
      <c r="AK156" s="2" t="n"/>
      <c r="AL156" s="2" t="n"/>
      <c r="AM156" s="2" t="n">
        <v>30.3</v>
      </c>
      <c r="AN156" s="2" t="n"/>
      <c r="AO156" s="2" t="inlineStr">
        <is>
          <t>2010</t>
        </is>
      </c>
      <c r="AP156" s="2" t="n">
        <v>2010</v>
      </c>
      <c r="AQ156" s="2" t="n"/>
      <c r="AR156" s="2" t="inlineStr">
        <is>
          <t>C</t>
        </is>
      </c>
      <c r="AS156" s="2" t="inlineStr">
        <is>
          <t>anuncio</t>
        </is>
      </c>
      <c r="AT156" s="2" t="n">
        <v>3950</v>
      </c>
      <c r="AU156" s="2" t="n">
        <v>12</v>
      </c>
      <c r="AV156" s="2" t="inlineStr">
        <is>
          <t>modelo+año</t>
        </is>
      </c>
      <c r="AW156" s="2" t="n"/>
      <c r="AX156" s="2" t="inlineStr">
        <is>
          <t>cuota fija ITP: &gt;12 años, hasta 1.500 cc; fiabilidad del modelo PENDIENTE de fuente (puntuación neutra)</t>
        </is>
      </c>
      <c r="AY156" s="2" t="inlineStr">
        <is>
          <t xml:space="preserve">Coche en buen estado vendo por no utilizar </t>
        </is>
      </c>
      <c r="AZ156" s="2" t="inlineStr">
        <is>
          <t>https://www.coches.net/chevrolet-aveo-14-16v-ls-5p-gasolina-2010-en-valencia-71680921-covo.aspx (window.__INITIAL_PROPS__.ad) /home/user/Alopecia/buscador-coches/raw/cochesnet/0178fd7de8e47e7a.json</t>
        </is>
      </c>
      <c r="BA156" s="3">
        <f>MAX(ANIO_ACTUAL-M156,0)</f>
        <v/>
      </c>
      <c r="BB156" s="4">
        <f>N156/MAX(BA156,0.5)</f>
        <v/>
      </c>
      <c r="BC156" s="4">
        <f>F156</f>
        <v/>
      </c>
      <c r="BD156" s="3">
        <f>BC156&amp;"|"&amp;INT(M156/SEG_ANIO)*SEG_ANIO</f>
        <v/>
      </c>
      <c r="BE156" s="3">
        <f>BD156&amp;"|"&amp;INT(N156/SEG_KM)*SEG_KM</f>
        <v/>
      </c>
      <c r="BF156" s="4">
        <f>COUNTIF($BC$2:$BC$545,BC156)</f>
        <v/>
      </c>
      <c r="BG156" s="4">
        <f>COUNTIF($BD$2:$BD$545,BD156)</f>
        <v/>
      </c>
      <c r="BH156" s="4">
        <f>COUNTIF($BE$2:$BE$545,BE156)</f>
        <v/>
      </c>
      <c r="BI156" s="3">
        <f t="array" ref="BI156">IF(N(AU156)&gt;=MIN_N,AT156,IF(BH156&gt;=MIN_N,MEDIAN(IF($BE$2:$BE$545=BE156,$O$2:$O$545)),IF(BG156&gt;=MIN_N,MEDIAN(IF($BD$2:$BD$545=BD156,$O$2:$O$545)),MEDIAN(IF($BC$2:$BC$545=BC156,$O$2:$O$545)))))</f>
        <v/>
      </c>
      <c r="BJ156" s="3">
        <f>IF(N(AU156)&gt;=MIN_N,"mercado "&amp;AV156,IF(BH156&gt;=MIN_N,"modelo+año+km",IF(BG156&gt;=MIN_N,"modelo+año","modelo")))</f>
        <v/>
      </c>
      <c r="BK156" s="4">
        <f>(BI156-O156)/BI156</f>
        <v/>
      </c>
      <c r="BL156" s="3">
        <f>IF(COUNTIFS(FR_FUEL,K156,FR_YEAR,AP156)&gt;0,1,0)</f>
        <v/>
      </c>
      <c r="BM156" s="3">
        <f>IF(COUNTIFS(FR_FUEL,K156,FR_YEAR,AP156-1)&gt;0,1,0)</f>
        <v/>
      </c>
      <c r="BN156" s="4">
        <f>IF(N(AQ156)&gt;0,AP156*100+AQ156,IF(AND(BL156=1,BM156=1),(AP156-1)*100+1,AP156*100+1))</f>
        <v/>
      </c>
      <c r="BO156" s="3">
        <f>IF(OR(K156="hibrido",K156="glp",K156="gnc",K156="phev"),"ECO",IF(K156="electrico","CERO",IF(K156="gasolina",IF(BN156&gt;=GAS_C_YM,"C",IF(BN156&gt;=GAS_B_YM,"B","A")),IF(K156="diesel",IF(BN156&gt;=DIE_C_YM,"C",IF(BN156&gt;=DIE_B_YM,"B","A")),""))))</f>
        <v/>
      </c>
      <c r="BP156" s="2" t="inlineStr">
        <is>
          <t>C</t>
        </is>
      </c>
      <c r="BQ156" s="4">
        <f>IF(AS156="regla",IF(AND(N(AQ156)=0,BL156=1),"sí","no"),"no")</f>
        <v/>
      </c>
      <c r="BR156" s="3">
        <f>IFERROR(VLOOKUP(F156,MOD_TBL,11,0),IFERROR(VLOOKUP(E156,OCU_TBL,2,0),NEUTRO))</f>
        <v/>
      </c>
      <c r="BS156" s="3">
        <f>SUMIFS(MOT_AJUSTE,MOT_MOTOR,G156,MOT_MARCA,E156,MOT_DESDE,"&lt;="&amp;M156,MOT_HASTA,"&gt;="&amp;M156)+SUMIFS(MOT_AJUSTE,MOT_MOTOR,G156,MOT_MARCA,"(todas)",MOT_DESDE,"&lt;="&amp;M156,MOT_HASTA,"&gt;="&amp;M156)</f>
        <v/>
      </c>
      <c r="BT156" s="3">
        <f>SUMIFS(COMB_AJUSTE,COMB_COMB,K156)</f>
        <v/>
      </c>
      <c r="BU156" s="3">
        <f>COUNTIFS(MOT_MOTOR,G156,MOT_MARCA,E156,MOT_DESDE,"&lt;="&amp;M156,MOT_HASTA,"&gt;="&amp;M156)+COUNTIFS(MOT_MOTOR,G156,MOT_MARCA,"(todas)",MOT_DESDE,"&lt;="&amp;M156,MOT_HASTA,"&gt;="&amp;M156)</f>
        <v/>
      </c>
      <c r="BV156" s="3">
        <f>IF(AND(K156="diesel",BU156=0),MIN(BR156,NEUTRO),BR156)</f>
        <v/>
      </c>
      <c r="BW156" s="4">
        <f>MAX(0,MIN(100,BV156+BS156+BT156))</f>
        <v/>
      </c>
      <c r="BX156" s="3">
        <f>MAX(0,MIN(100,50+BK156*PRECIO_PEND))</f>
        <v/>
      </c>
      <c r="BY156" s="3">
        <f>MAX(0,100*(1-N156/KM_MAX))</f>
        <v/>
      </c>
      <c r="BZ156" s="3">
        <f>IF(BB156&lt;KMA_SOSP,IF(AA156="sí",100,KMA_PEN),IF(BB156&lt;=KMA_IDEAL_MAX,100,MAX(0,100*(KMA_CERO-BB156)/(KMA_CERO-KMA_IDEAL_MAX))))</f>
        <v/>
      </c>
      <c r="CA156" s="3">
        <f>MAX(0,MIN(100,100*(M156-ANIO_MIN)/(ANIO_ACTUAL-ANIO_MIN)))</f>
        <v/>
      </c>
      <c r="CB156" s="3">
        <f>W_KMT*BY156+W_KMA*BZ156+W_EDAD*CA156</f>
        <v/>
      </c>
      <c r="CC156" s="3">
        <f>P_ITV*(V156="sí")+P_LIBRO*(W156="sí")+P_CORREA*(X156="sí")+P_PROP*(Y156=1)+P_GAR*(Z156="sí")+P_FOTOS*MIN(1,N(U156)/FOTOS_OBJ)</f>
        <v/>
      </c>
      <c r="CD156" s="3">
        <f>MAX(0,MIN(100,IFERROR(VLOOKUP(BP156,ETQ_TBL,2,0),0)-IF(BQ156="sí",ETQ_PEN_DUD,IF(AS156="regla",ETQ_PEN_REGLA,0))))</f>
        <v/>
      </c>
      <c r="CE156" s="3">
        <f>NEUTRO</f>
        <v/>
      </c>
      <c r="CF156" s="3">
        <f>IFERROR(VLOOKUP(L156,SEGURO_TBL,3,0),"")</f>
        <v/>
      </c>
      <c r="CG156" s="3">
        <f>IF(CF156="",NEUTRO,MAX(0,MIN(100,100*(SEG_REF_MAX-CF156)/(SEG_REF_MAX-SEG_REF_MIN))))</f>
        <v/>
      </c>
      <c r="CH156" s="3">
        <f>W_CONS*CE156+W_SEG*CG156</f>
        <v/>
      </c>
      <c r="CI156" s="3">
        <f>IF(N(AB156)&gt;0,AB156,IF(AND(R156="profesional",SG_LEGAL_ON=1),GAR_LEGAL,0))</f>
        <v/>
      </c>
      <c r="CJ156" s="3">
        <f>SG_GAR*MIN(1,CI156/SG_GAR_FULL)+SG_AMPL*(AC156="sí")+SG_KMC*(AF156="sí")+SG_REV*(N(AE156)&gt;0)+SG_DEV*MIN(1,N(AG156)/SG_DEV_FULL)+SG_HIST*(W156="sí")</f>
        <v/>
      </c>
      <c r="CK156" s="3">
        <f>IFERROR(VLOOKUP(L156,CARR_PEN_TBL,2,0),0)</f>
        <v/>
      </c>
      <c r="CL156" s="3">
        <f>W_FIAB*BW156+W_PRECIO*BX156+W_KMEDAD*CB156+W_ANUNCIO*CC156+W_USO*CH156+W_SEGURIDAD*CJ156+W_ETIQUETA*CD156-CK156</f>
        <v/>
      </c>
      <c r="CM156" s="4">
        <f>IF(N(I156)&gt;0,I156,IFERROR(ROUND(_xlfn.NUMBERVALUE(LEFT(G156,FIND(" ",G156&amp;" ")-1),".")*1000,0),99999))</f>
        <v/>
      </c>
      <c r="CN156" s="3">
        <f>IF(R156="profesional",0,IF(O156&lt;CUOTA_VALOR_MAX,IF(BA156&gt;ITP_TRAMO_ALTO,SUMIFS(CF_CUOTA,CF_MAS,ITP_TRAMO_ALTO,CF_CCMIN,"&lt;="&amp;CM156,CF_CCMAX,"&gt;="&amp;CM156),IF(BA156&gt;ITP_TRAMO_BAJO,SUMIFS(CF_CUOTA,CF_MAS,ITP_TRAMO_BAJO,CF_CCMIN,"&lt;="&amp;CM156,CF_CCMAX,"&gt;="&amp;CM156),O156*ITP_TIPO)),O156*ITP_TIPO))</f>
        <v/>
      </c>
      <c r="CO156" s="4">
        <f>IF(R156="profesional",N(AK156),0)</f>
        <v/>
      </c>
      <c r="CP156" s="3">
        <f>IF(AND(R156="profesional",ISNUMBER(AK156),AL156="sí"),0,TASA_DGT)</f>
        <v/>
      </c>
      <c r="CQ156" s="3">
        <f>INFORME_DGT</f>
        <v/>
      </c>
      <c r="CR156" s="4">
        <f>O156+CO156+CN156+CP156+CQ156</f>
        <v/>
      </c>
      <c r="CS156" s="4">
        <f>CR156+N(CF156)</f>
        <v/>
      </c>
      <c r="CT156" s="3">
        <f>IF(CR156&lt;=TOTAL_MAX,"sí",IF(CR156&lt;=TOTAL_MAX+MARGEN_NEG,"negociar","no"))</f>
        <v/>
      </c>
      <c r="CU156" s="4">
        <f>IF(CT156&lt;&gt;"no",COUNTIFS($CT$2:$CT$545,"&lt;&gt;no",$CL$2:$CL$545,"&gt;"&amp;CL156)+COUNTIFS($CT$2:CT156,"&lt;&gt;no",$CL$2:CL156,CL156),"")</f>
        <v/>
      </c>
    </row>
    <row r="157">
      <c r="A157" s="2" t="inlineStr">
        <is>
          <t>cochesnet:71549713</t>
        </is>
      </c>
      <c r="B157" s="2" t="inlineStr">
        <is>
          <t>cochesnet</t>
        </is>
      </c>
      <c r="C157" s="2" t="inlineStr">
        <is>
          <t>https://www.coches.net/chevrolet-aveo-14-16v-ls-5p-gasolina-2009-en-valencia-71549713-covo.aspx</t>
        </is>
      </c>
      <c r="D157" s="2" t="inlineStr">
        <is>
          <t>CHEVROLET Aveo 1.4 16v LS</t>
        </is>
      </c>
      <c r="E157" s="2" t="inlineStr">
        <is>
          <t>Chevrolet</t>
        </is>
      </c>
      <c r="F157" s="2" t="inlineStr">
        <is>
          <t>Chevrolet Aveo</t>
        </is>
      </c>
      <c r="G157" s="2" t="inlineStr">
        <is>
          <t>1.4</t>
        </is>
      </c>
      <c r="H157" s="2" t="inlineStr">
        <is>
          <t>1.4 16v LS</t>
        </is>
      </c>
      <c r="I157" s="2" t="n"/>
      <c r="J157" s="2" t="n"/>
      <c r="K157" s="2" t="inlineStr">
        <is>
          <t>gasolina</t>
        </is>
      </c>
      <c r="L157" s="2" t="inlineStr">
        <is>
          <t>utilitario</t>
        </is>
      </c>
      <c r="M157" s="2" t="n">
        <v>2009</v>
      </c>
      <c r="N157" s="2" t="n">
        <v>150000</v>
      </c>
      <c r="O157" s="2" t="n">
        <v>2499</v>
      </c>
      <c r="P157" s="2" t="inlineStr">
        <is>
          <t>manual</t>
        </is>
      </c>
      <c r="Q157" s="2" t="inlineStr">
        <is>
          <t>no</t>
        </is>
      </c>
      <c r="R157" s="2" t="inlineStr">
        <is>
          <t>particular</t>
        </is>
      </c>
      <c r="S157" s="2" t="inlineStr">
        <is>
          <t>Gandia</t>
        </is>
      </c>
      <c r="T157" s="2" t="inlineStr">
        <is>
          <t>2026-09-19T00:05:37Z</t>
        </is>
      </c>
      <c r="U157" s="2" t="n"/>
      <c r="V157" s="2" t="inlineStr">
        <is>
          <t>sí</t>
        </is>
      </c>
      <c r="W157" s="2" t="n"/>
      <c r="X157" s="2" t="n"/>
      <c r="Y157" s="2" t="n"/>
      <c r="Z157" s="2" t="inlineStr">
        <is>
          <t>no</t>
        </is>
      </c>
      <c r="AA157" s="2" t="n"/>
      <c r="AB157" s="2" t="n"/>
      <c r="AC157" s="2" t="n"/>
      <c r="AD157" s="2" t="n"/>
      <c r="AE157" s="2" t="n"/>
      <c r="AF157" s="2" t="n"/>
      <c r="AG157" s="2" t="n"/>
      <c r="AH157" s="2" t="n">
        <v>2499</v>
      </c>
      <c r="AI157" s="2" t="n"/>
      <c r="AJ157" s="2" t="n"/>
      <c r="AK157" s="2" t="n"/>
      <c r="AL157" s="2" t="n"/>
      <c r="AM157" s="2" t="n">
        <v>58.4</v>
      </c>
      <c r="AN157" s="2" t="n"/>
      <c r="AO157" s="2" t="inlineStr">
        <is>
          <t>2009</t>
        </is>
      </c>
      <c r="AP157" s="2" t="n">
        <v>2009</v>
      </c>
      <c r="AQ157" s="2" t="n"/>
      <c r="AR157" s="2" t="n"/>
      <c r="AS157" s="2" t="inlineStr">
        <is>
          <t>regla</t>
        </is>
      </c>
      <c r="AT157" s="2" t="n">
        <v>3650</v>
      </c>
      <c r="AU157" s="2" t="n">
        <v>10</v>
      </c>
      <c r="AV157" s="2" t="inlineStr">
        <is>
          <t>modelo+año</t>
        </is>
      </c>
      <c r="AW157" s="2" t="n"/>
      <c r="AX157" s="2" t="inlineStr">
        <is>
          <t>cuota fija ITP: &gt;12 años, hasta 1.500 cc; fiabilidad del modelo PENDIENTE de fuente (puntuación neutra)</t>
        </is>
      </c>
      <c r="AY157" s="2" t="inlineStr">
        <is>
          <t>Itv al día. Revisión aceite y filtros reciente. Nunca ningún accidente. No fumador. Vendo por haber comprado otro coche. Sólo falta recargar aire acondicionado.</t>
        </is>
      </c>
      <c r="AZ157" s="2" t="inlineStr">
        <is>
          <t>https://www.coches.net/chevrolet-aveo-14-16v-ls-5p-gasolina-2009-en-valencia-71549713-covo.aspx (window.__INITIAL_PROPS__.ad) /home/user/Alopecia/buscador-coches/raw/cochesnet/d3294e7522e7d5cf.json</t>
        </is>
      </c>
      <c r="BA157" s="3">
        <f>MAX(ANIO_ACTUAL-M157,0)</f>
        <v/>
      </c>
      <c r="BB157" s="4">
        <f>N157/MAX(BA157,0.5)</f>
        <v/>
      </c>
      <c r="BC157" s="4">
        <f>F157</f>
        <v/>
      </c>
      <c r="BD157" s="3">
        <f>BC157&amp;"|"&amp;INT(M157/SEG_ANIO)*SEG_ANIO</f>
        <v/>
      </c>
      <c r="BE157" s="3">
        <f>BD157&amp;"|"&amp;INT(N157/SEG_KM)*SEG_KM</f>
        <v/>
      </c>
      <c r="BF157" s="4">
        <f>COUNTIF($BC$2:$BC$545,BC157)</f>
        <v/>
      </c>
      <c r="BG157" s="4">
        <f>COUNTIF($BD$2:$BD$545,BD157)</f>
        <v/>
      </c>
      <c r="BH157" s="4">
        <f>COUNTIF($BE$2:$BE$545,BE157)</f>
        <v/>
      </c>
      <c r="BI157" s="3">
        <f t="array" ref="BI157">IF(N(AU157)&gt;=MIN_N,AT157,IF(BH157&gt;=MIN_N,MEDIAN(IF($BE$2:$BE$545=BE157,$O$2:$O$545)),IF(BG157&gt;=MIN_N,MEDIAN(IF($BD$2:$BD$545=BD157,$O$2:$O$545)),MEDIAN(IF($BC$2:$BC$545=BC157,$O$2:$O$545)))))</f>
        <v/>
      </c>
      <c r="BJ157" s="3">
        <f>IF(N(AU157)&gt;=MIN_N,"mercado "&amp;AV157,IF(BH157&gt;=MIN_N,"modelo+año+km",IF(BG157&gt;=MIN_N,"modelo+año","modelo")))</f>
        <v/>
      </c>
      <c r="BK157" s="4">
        <f>(BI157-O157)/BI157</f>
        <v/>
      </c>
      <c r="BL157" s="3">
        <f>IF(COUNTIFS(FR_FUEL,K157,FR_YEAR,AP157)&gt;0,1,0)</f>
        <v/>
      </c>
      <c r="BM157" s="3">
        <f>IF(COUNTIFS(FR_FUEL,K157,FR_YEAR,AP157-1)&gt;0,1,0)</f>
        <v/>
      </c>
      <c r="BN157" s="4">
        <f>IF(N(AQ157)&gt;0,AP157*100+AQ157,IF(AND(BL157=1,BM157=1),(AP157-1)*100+1,AP157*100+1))</f>
        <v/>
      </c>
      <c r="BO157" s="3">
        <f>IF(OR(K157="hibrido",K157="glp",K157="gnc",K157="phev"),"ECO",IF(K157="electrico","CERO",IF(K157="gasolina",IF(BN157&gt;=GAS_C_YM,"C",IF(BN157&gt;=GAS_B_YM,"B","A")),IF(K157="diesel",IF(BN157&gt;=DIE_C_YM,"C",IF(BN157&gt;=DIE_B_YM,"B","A")),""))))</f>
        <v/>
      </c>
      <c r="BP157" s="4">
        <f>BO157</f>
        <v/>
      </c>
      <c r="BQ157" s="4">
        <f>IF(AS157="regla",IF(AND(N(AQ157)=0,BL157=1),"sí","no"),"no")</f>
        <v/>
      </c>
      <c r="BR157" s="3">
        <f>IFERROR(VLOOKUP(F157,MOD_TBL,11,0),IFERROR(VLOOKUP(E157,OCU_TBL,2,0),NEUTRO))</f>
        <v/>
      </c>
      <c r="BS157" s="3">
        <f>SUMIFS(MOT_AJUSTE,MOT_MOTOR,G157,MOT_MARCA,E157,MOT_DESDE,"&lt;="&amp;M157,MOT_HASTA,"&gt;="&amp;M157)+SUMIFS(MOT_AJUSTE,MOT_MOTOR,G157,MOT_MARCA,"(todas)",MOT_DESDE,"&lt;="&amp;M157,MOT_HASTA,"&gt;="&amp;M157)</f>
        <v/>
      </c>
      <c r="BT157" s="3">
        <f>SUMIFS(COMB_AJUSTE,COMB_COMB,K157)</f>
        <v/>
      </c>
      <c r="BU157" s="3">
        <f>COUNTIFS(MOT_MOTOR,G157,MOT_MARCA,E157,MOT_DESDE,"&lt;="&amp;M157,MOT_HASTA,"&gt;="&amp;M157)+COUNTIFS(MOT_MOTOR,G157,MOT_MARCA,"(todas)",MOT_DESDE,"&lt;="&amp;M157,MOT_HASTA,"&gt;="&amp;M157)</f>
        <v/>
      </c>
      <c r="BV157" s="3">
        <f>IF(AND(K157="diesel",BU157=0),MIN(BR157,NEUTRO),BR157)</f>
        <v/>
      </c>
      <c r="BW157" s="4">
        <f>MAX(0,MIN(100,BV157+BS157+BT157))</f>
        <v/>
      </c>
      <c r="BX157" s="3">
        <f>MAX(0,MIN(100,50+BK157*PRECIO_PEND))</f>
        <v/>
      </c>
      <c r="BY157" s="3">
        <f>MAX(0,100*(1-N157/KM_MAX))</f>
        <v/>
      </c>
      <c r="BZ157" s="3">
        <f>IF(BB157&lt;KMA_SOSP,IF(AA157="sí",100,KMA_PEN),IF(BB157&lt;=KMA_IDEAL_MAX,100,MAX(0,100*(KMA_CERO-BB157)/(KMA_CERO-KMA_IDEAL_MAX))))</f>
        <v/>
      </c>
      <c r="CA157" s="3">
        <f>MAX(0,MIN(100,100*(M157-ANIO_MIN)/(ANIO_ACTUAL-ANIO_MIN)))</f>
        <v/>
      </c>
      <c r="CB157" s="3">
        <f>W_KMT*BY157+W_KMA*BZ157+W_EDAD*CA157</f>
        <v/>
      </c>
      <c r="CC157" s="3">
        <f>P_ITV*(V157="sí")+P_LIBRO*(W157="sí")+P_CORREA*(X157="sí")+P_PROP*(Y157=1)+P_GAR*(Z157="sí")+P_FOTOS*MIN(1,N(U157)/FOTOS_OBJ)</f>
        <v/>
      </c>
      <c r="CD157" s="3">
        <f>MAX(0,MIN(100,IFERROR(VLOOKUP(BP157,ETQ_TBL,2,0),0)-IF(BQ157="sí",ETQ_PEN_DUD,IF(AS157="regla",ETQ_PEN_REGLA,0))))</f>
        <v/>
      </c>
      <c r="CE157" s="3">
        <f>NEUTRO</f>
        <v/>
      </c>
      <c r="CF157" s="3">
        <f>IFERROR(VLOOKUP(L157,SEGURO_TBL,3,0),"")</f>
        <v/>
      </c>
      <c r="CG157" s="3">
        <f>IF(CF157="",NEUTRO,MAX(0,MIN(100,100*(SEG_REF_MAX-CF157)/(SEG_REF_MAX-SEG_REF_MIN))))</f>
        <v/>
      </c>
      <c r="CH157" s="3">
        <f>W_CONS*CE157+W_SEG*CG157</f>
        <v/>
      </c>
      <c r="CI157" s="3">
        <f>IF(N(AB157)&gt;0,AB157,IF(AND(R157="profesional",SG_LEGAL_ON=1),GAR_LEGAL,0))</f>
        <v/>
      </c>
      <c r="CJ157" s="3">
        <f>SG_GAR*MIN(1,CI157/SG_GAR_FULL)+SG_AMPL*(AC157="sí")+SG_KMC*(AF157="sí")+SG_REV*(N(AE157)&gt;0)+SG_DEV*MIN(1,N(AG157)/SG_DEV_FULL)+SG_HIST*(W157="sí")</f>
        <v/>
      </c>
      <c r="CK157" s="3">
        <f>IFERROR(VLOOKUP(L157,CARR_PEN_TBL,2,0),0)</f>
        <v/>
      </c>
      <c r="CL157" s="3">
        <f>W_FIAB*BW157+W_PRECIO*BX157+W_KMEDAD*CB157+W_ANUNCIO*CC157+W_USO*CH157+W_SEGURIDAD*CJ157+W_ETIQUETA*CD157-CK157</f>
        <v/>
      </c>
      <c r="CM157" s="4">
        <f>IF(N(I157)&gt;0,I157,IFERROR(ROUND(_xlfn.NUMBERVALUE(LEFT(G157,FIND(" ",G157&amp;" ")-1),".")*1000,0),99999))</f>
        <v/>
      </c>
      <c r="CN157" s="3">
        <f>IF(R157="profesional",0,IF(O157&lt;CUOTA_VALOR_MAX,IF(BA157&gt;ITP_TRAMO_ALTO,SUMIFS(CF_CUOTA,CF_MAS,ITP_TRAMO_ALTO,CF_CCMIN,"&lt;="&amp;CM157,CF_CCMAX,"&gt;="&amp;CM157),IF(BA157&gt;ITP_TRAMO_BAJO,SUMIFS(CF_CUOTA,CF_MAS,ITP_TRAMO_BAJO,CF_CCMIN,"&lt;="&amp;CM157,CF_CCMAX,"&gt;="&amp;CM157),O157*ITP_TIPO)),O157*ITP_TIPO))</f>
        <v/>
      </c>
      <c r="CO157" s="4">
        <f>IF(R157="profesional",N(AK157),0)</f>
        <v/>
      </c>
      <c r="CP157" s="3">
        <f>IF(AND(R157="profesional",ISNUMBER(AK157),AL157="sí"),0,TASA_DGT)</f>
        <v/>
      </c>
      <c r="CQ157" s="3">
        <f>INFORME_DGT</f>
        <v/>
      </c>
      <c r="CR157" s="4">
        <f>O157+CO157+CN157+CP157+CQ157</f>
        <v/>
      </c>
      <c r="CS157" s="4">
        <f>CR157+N(CF157)</f>
        <v/>
      </c>
      <c r="CT157" s="3">
        <f>IF(CR157&lt;=TOTAL_MAX,"sí",IF(CR157&lt;=TOTAL_MAX+MARGEN_NEG,"negociar","no"))</f>
        <v/>
      </c>
      <c r="CU157" s="4">
        <f>IF(CT157&lt;&gt;"no",COUNTIFS($CT$2:$CT$545,"&lt;&gt;no",$CL$2:$CL$545,"&gt;"&amp;CL157)+COUNTIFS($CT$2:CT157,"&lt;&gt;no",$CL$2:CL157,CL157),"")</f>
        <v/>
      </c>
    </row>
    <row r="158">
      <c r="A158" s="2" t="inlineStr">
        <is>
          <t>cochesnet:71678496</t>
        </is>
      </c>
      <c r="B158" s="2" t="inlineStr">
        <is>
          <t>cochesnet</t>
        </is>
      </c>
      <c r="C158" s="2" t="inlineStr">
        <is>
          <t>https://www.coches.net/chevrolet-cruze-16-ls-clima-4p-gasolina-2011-en-valencia-71678496-covo.aspx</t>
        </is>
      </c>
      <c r="D158" s="2" t="inlineStr">
        <is>
          <t>CHEVROLET Cruze 1.6 LS Clima</t>
        </is>
      </c>
      <c r="E158" s="2" t="inlineStr">
        <is>
          <t>Chevrolet</t>
        </is>
      </c>
      <c r="F158" s="2" t="inlineStr">
        <is>
          <t>Chevrolet Cruze</t>
        </is>
      </c>
      <c r="G158" s="2" t="inlineStr">
        <is>
          <t>1.6</t>
        </is>
      </c>
      <c r="H158" s="2" t="inlineStr">
        <is>
          <t>1.6 LS Clima</t>
        </is>
      </c>
      <c r="I158" s="2" t="n"/>
      <c r="J158" s="2" t="n"/>
      <c r="K158" s="2" t="inlineStr">
        <is>
          <t>gasolina</t>
        </is>
      </c>
      <c r="L158" s="2" t="inlineStr">
        <is>
          <t>compacto</t>
        </is>
      </c>
      <c r="M158" s="2" t="n">
        <v>2011</v>
      </c>
      <c r="N158" s="2" t="n">
        <v>205000</v>
      </c>
      <c r="O158" s="2" t="n">
        <v>3950</v>
      </c>
      <c r="P158" s="2" t="inlineStr">
        <is>
          <t>manual</t>
        </is>
      </c>
      <c r="Q158" s="2" t="inlineStr">
        <is>
          <t>no</t>
        </is>
      </c>
      <c r="R158" s="2" t="inlineStr">
        <is>
          <t>profesional</t>
        </is>
      </c>
      <c r="S158" s="2" t="inlineStr">
        <is>
          <t>NRGCARS La Pobla de Vallbona</t>
        </is>
      </c>
      <c r="T158" s="2" t="inlineStr">
        <is>
          <t>2026-10-05T18:04:21Z</t>
        </is>
      </c>
      <c r="U158" s="2" t="n">
        <v>13</v>
      </c>
      <c r="V158" s="2" t="inlineStr">
        <is>
          <t>sí</t>
        </is>
      </c>
      <c r="W158" s="2" t="n"/>
      <c r="X158" s="2" t="n"/>
      <c r="Y158" s="2" t="n"/>
      <c r="Z158" s="2" t="inlineStr">
        <is>
          <t>sí</t>
        </is>
      </c>
      <c r="AA158" s="2" t="n"/>
      <c r="AB158" s="2" t="n">
        <v>12</v>
      </c>
      <c r="AC158" s="2" t="n"/>
      <c r="AD158" s="2" t="n"/>
      <c r="AE158" s="2" t="n"/>
      <c r="AF158" s="2" t="n"/>
      <c r="AG158" s="2" t="n"/>
      <c r="AH158" s="2" t="n">
        <v>3950</v>
      </c>
      <c r="AI158" s="2" t="n">
        <v>3950</v>
      </c>
      <c r="AJ158" s="2" t="n"/>
      <c r="AK158" s="2" t="n"/>
      <c r="AL158" s="2" t="n"/>
      <c r="AM158" s="2" t="n">
        <v>20.8</v>
      </c>
      <c r="AN158" s="2" t="n"/>
      <c r="AO158" s="2" t="inlineStr">
        <is>
          <t>2011</t>
        </is>
      </c>
      <c r="AP158" s="2" t="n">
        <v>2011</v>
      </c>
      <c r="AQ158" s="2" t="n"/>
      <c r="AR158" s="2" t="n"/>
      <c r="AS158" s="2" t="inlineStr">
        <is>
          <t>regla</t>
        </is>
      </c>
      <c r="AT158" s="2" t="n">
        <v>3100</v>
      </c>
      <c r="AU158" s="2" t="n">
        <v>6</v>
      </c>
      <c r="AV158" s="2" t="inlineStr">
        <is>
          <t>modelo+año+km</t>
        </is>
      </c>
      <c r="AW158" s="2" t="n"/>
      <c r="AX158" s="2" t="inlineStr">
        <is>
          <t>vendedor profesional: sin ITP (operación con IVA/REBU, confirmar en factura); gastos de gestión del vendedor no indicados: se suma la tasa DGT; preguntar el precio final; fiabilidad del modelo PENDIENTE de fuente (puntuación neutra)</t>
        </is>
      </c>
      <c r="AY158" s="2" t="inlineStr">
        <is>
          <t xml:space="preserve">ITV EN VIGOR
RECIEN REVISADO
ACEPTO VEHÍCULO COMO PARTE DE PAGO 
EMBRAGUE RECIEN CAMBIADO </t>
        </is>
      </c>
      <c r="AZ158" s="2" t="inlineStr">
        <is>
          <t>https://www.coches.net/chevrolet-cruze-16-ls-clima-4p-gasolina-2011-en-valencia-71678496-covo.aspx (window.__INITIAL_PROPS__.ad) /home/user/Alopecia/buscador-coches/raw/cochesnet/84c294324eca9271.json</t>
        </is>
      </c>
      <c r="BA158" s="3">
        <f>MAX(ANIO_ACTUAL-M158,0)</f>
        <v/>
      </c>
      <c r="BB158" s="4">
        <f>N158/MAX(BA158,0.5)</f>
        <v/>
      </c>
      <c r="BC158" s="4">
        <f>F158</f>
        <v/>
      </c>
      <c r="BD158" s="3">
        <f>BC158&amp;"|"&amp;INT(M158/SEG_ANIO)*SEG_ANIO</f>
        <v/>
      </c>
      <c r="BE158" s="3">
        <f>BD158&amp;"|"&amp;INT(N158/SEG_KM)*SEG_KM</f>
        <v/>
      </c>
      <c r="BF158" s="4">
        <f>COUNTIF($BC$2:$BC$545,BC158)</f>
        <v/>
      </c>
      <c r="BG158" s="4">
        <f>COUNTIF($BD$2:$BD$545,BD158)</f>
        <v/>
      </c>
      <c r="BH158" s="4">
        <f>COUNTIF($BE$2:$BE$545,BE158)</f>
        <v/>
      </c>
      <c r="BI158" s="3">
        <f t="array" ref="BI158">IF(N(AU158)&gt;=MIN_N,AT158,IF(BH158&gt;=MIN_N,MEDIAN(IF($BE$2:$BE$545=BE158,$O$2:$O$545)),IF(BG158&gt;=MIN_N,MEDIAN(IF($BD$2:$BD$545=BD158,$O$2:$O$545)),MEDIAN(IF($BC$2:$BC$545=BC158,$O$2:$O$545)))))</f>
        <v/>
      </c>
      <c r="BJ158" s="3">
        <f>IF(N(AU158)&gt;=MIN_N,"mercado "&amp;AV158,IF(BH158&gt;=MIN_N,"modelo+año+km",IF(BG158&gt;=MIN_N,"modelo+año","modelo")))</f>
        <v/>
      </c>
      <c r="BK158" s="4">
        <f>(BI158-O158)/BI158</f>
        <v/>
      </c>
      <c r="BL158" s="3">
        <f>IF(COUNTIFS(FR_FUEL,K158,FR_YEAR,AP158)&gt;0,1,0)</f>
        <v/>
      </c>
      <c r="BM158" s="3">
        <f>IF(COUNTIFS(FR_FUEL,K158,FR_YEAR,AP158-1)&gt;0,1,0)</f>
        <v/>
      </c>
      <c r="BN158" s="4">
        <f>IF(N(AQ158)&gt;0,AP158*100+AQ158,IF(AND(BL158=1,BM158=1),(AP158-1)*100+1,AP158*100+1))</f>
        <v/>
      </c>
      <c r="BO158" s="3">
        <f>IF(OR(K158="hibrido",K158="glp",K158="gnc",K158="phev"),"ECO",IF(K158="electrico","CERO",IF(K158="gasolina",IF(BN158&gt;=GAS_C_YM,"C",IF(BN158&gt;=GAS_B_YM,"B","A")),IF(K158="diesel",IF(BN158&gt;=DIE_C_YM,"C",IF(BN158&gt;=DIE_B_YM,"B","A")),""))))</f>
        <v/>
      </c>
      <c r="BP158" s="4">
        <f>BO158</f>
        <v/>
      </c>
      <c r="BQ158" s="4">
        <f>IF(AS158="regla",IF(AND(N(AQ158)=0,BL158=1),"sí","no"),"no")</f>
        <v/>
      </c>
      <c r="BR158" s="3">
        <f>IFERROR(VLOOKUP(F158,MOD_TBL,11,0),IFERROR(VLOOKUP(E158,OCU_TBL,2,0),NEUTRO))</f>
        <v/>
      </c>
      <c r="BS158" s="3">
        <f>SUMIFS(MOT_AJUSTE,MOT_MOTOR,G158,MOT_MARCA,E158,MOT_DESDE,"&lt;="&amp;M158,MOT_HASTA,"&gt;="&amp;M158)+SUMIFS(MOT_AJUSTE,MOT_MOTOR,G158,MOT_MARCA,"(todas)",MOT_DESDE,"&lt;="&amp;M158,MOT_HASTA,"&gt;="&amp;M158)</f>
        <v/>
      </c>
      <c r="BT158" s="3">
        <f>SUMIFS(COMB_AJUSTE,COMB_COMB,K158)</f>
        <v/>
      </c>
      <c r="BU158" s="3">
        <f>COUNTIFS(MOT_MOTOR,G158,MOT_MARCA,E158,MOT_DESDE,"&lt;="&amp;M158,MOT_HASTA,"&gt;="&amp;M158)+COUNTIFS(MOT_MOTOR,G158,MOT_MARCA,"(todas)",MOT_DESDE,"&lt;="&amp;M158,MOT_HASTA,"&gt;="&amp;M158)</f>
        <v/>
      </c>
      <c r="BV158" s="3">
        <f>IF(AND(K158="diesel",BU158=0),MIN(BR158,NEUTRO),BR158)</f>
        <v/>
      </c>
      <c r="BW158" s="4">
        <f>MAX(0,MIN(100,BV158+BS158+BT158))</f>
        <v/>
      </c>
      <c r="BX158" s="3">
        <f>MAX(0,MIN(100,50+BK158*PRECIO_PEND))</f>
        <v/>
      </c>
      <c r="BY158" s="3">
        <f>MAX(0,100*(1-N158/KM_MAX))</f>
        <v/>
      </c>
      <c r="BZ158" s="3">
        <f>IF(BB158&lt;KMA_SOSP,IF(AA158="sí",100,KMA_PEN),IF(BB158&lt;=KMA_IDEAL_MAX,100,MAX(0,100*(KMA_CERO-BB158)/(KMA_CERO-KMA_IDEAL_MAX))))</f>
        <v/>
      </c>
      <c r="CA158" s="3">
        <f>MAX(0,MIN(100,100*(M158-ANIO_MIN)/(ANIO_ACTUAL-ANIO_MIN)))</f>
        <v/>
      </c>
      <c r="CB158" s="3">
        <f>W_KMT*BY158+W_KMA*BZ158+W_EDAD*CA158</f>
        <v/>
      </c>
      <c r="CC158" s="3">
        <f>P_ITV*(V158="sí")+P_LIBRO*(W158="sí")+P_CORREA*(X158="sí")+P_PROP*(Y158=1)+P_GAR*(Z158="sí")+P_FOTOS*MIN(1,N(U158)/FOTOS_OBJ)</f>
        <v/>
      </c>
      <c r="CD158" s="3">
        <f>MAX(0,MIN(100,IFERROR(VLOOKUP(BP158,ETQ_TBL,2,0),0)-IF(BQ158="sí",ETQ_PEN_DUD,IF(AS158="regla",ETQ_PEN_REGLA,0))))</f>
        <v/>
      </c>
      <c r="CE158" s="3">
        <f>NEUTRO</f>
        <v/>
      </c>
      <c r="CF158" s="3">
        <f>IFERROR(VLOOKUP(L158,SEGURO_TBL,3,0),"")</f>
        <v/>
      </c>
      <c r="CG158" s="3">
        <f>IF(CF158="",NEUTRO,MAX(0,MIN(100,100*(SEG_REF_MAX-CF158)/(SEG_REF_MAX-SEG_REF_MIN))))</f>
        <v/>
      </c>
      <c r="CH158" s="3">
        <f>W_CONS*CE158+W_SEG*CG158</f>
        <v/>
      </c>
      <c r="CI158" s="3">
        <f>IF(N(AB158)&gt;0,AB158,IF(AND(R158="profesional",SG_LEGAL_ON=1),GAR_LEGAL,0))</f>
        <v/>
      </c>
      <c r="CJ158" s="3">
        <f>SG_GAR*MIN(1,CI158/SG_GAR_FULL)+SG_AMPL*(AC158="sí")+SG_KMC*(AF158="sí")+SG_REV*(N(AE158)&gt;0)+SG_DEV*MIN(1,N(AG158)/SG_DEV_FULL)+SG_HIST*(W158="sí")</f>
        <v/>
      </c>
      <c r="CK158" s="3">
        <f>IFERROR(VLOOKUP(L158,CARR_PEN_TBL,2,0),0)</f>
        <v/>
      </c>
      <c r="CL158" s="3">
        <f>W_FIAB*BW158+W_PRECIO*BX158+W_KMEDAD*CB158+W_ANUNCIO*CC158+W_USO*CH158+W_SEGURIDAD*CJ158+W_ETIQUETA*CD158-CK158</f>
        <v/>
      </c>
      <c r="CM158" s="4">
        <f>IF(N(I158)&gt;0,I158,IFERROR(ROUND(_xlfn.NUMBERVALUE(LEFT(G158,FIND(" ",G158&amp;" ")-1),".")*1000,0),99999))</f>
        <v/>
      </c>
      <c r="CN158" s="3">
        <f>IF(R158="profesional",0,IF(O158&lt;CUOTA_VALOR_MAX,IF(BA158&gt;ITP_TRAMO_ALTO,SUMIFS(CF_CUOTA,CF_MAS,ITP_TRAMO_ALTO,CF_CCMIN,"&lt;="&amp;CM158,CF_CCMAX,"&gt;="&amp;CM158),IF(BA158&gt;ITP_TRAMO_BAJO,SUMIFS(CF_CUOTA,CF_MAS,ITP_TRAMO_BAJO,CF_CCMIN,"&lt;="&amp;CM158,CF_CCMAX,"&gt;="&amp;CM158),O158*ITP_TIPO)),O158*ITP_TIPO))</f>
        <v/>
      </c>
      <c r="CO158" s="4">
        <f>IF(R158="profesional",N(AK158),0)</f>
        <v/>
      </c>
      <c r="CP158" s="3">
        <f>IF(AND(R158="profesional",ISNUMBER(AK158),AL158="sí"),0,TASA_DGT)</f>
        <v/>
      </c>
      <c r="CQ158" s="3">
        <f>INFORME_DGT</f>
        <v/>
      </c>
      <c r="CR158" s="4">
        <f>O158+CO158+CN158+CP158+CQ158</f>
        <v/>
      </c>
      <c r="CS158" s="4">
        <f>CR158+N(CF158)</f>
        <v/>
      </c>
      <c r="CT158" s="3">
        <f>IF(CR158&lt;=TOTAL_MAX,"sí",IF(CR158&lt;=TOTAL_MAX+MARGEN_NEG,"negociar","no"))</f>
        <v/>
      </c>
      <c r="CU158" s="4">
        <f>IF(CT158&lt;&gt;"no",COUNTIFS($CT$2:$CT$545,"&lt;&gt;no",$CL$2:$CL$545,"&gt;"&amp;CL158)+COUNTIFS($CT$2:CT158,"&lt;&gt;no",$CL$2:CL158,CL158),"")</f>
        <v/>
      </c>
    </row>
    <row r="159">
      <c r="A159" s="2" t="inlineStr">
        <is>
          <t>cochesnet:71288999</t>
        </is>
      </c>
      <c r="B159" s="2" t="inlineStr">
        <is>
          <t>cochesnet</t>
        </is>
      </c>
      <c r="C159" s="2" t="inlineStr">
        <is>
          <t>https://www.coches.net/chevrolet-cruze-diesel-2011-en-valencia-71288999-covo.aspx</t>
        </is>
      </c>
      <c r="D159" s="2" t="inlineStr">
        <is>
          <t>CHEVROLET Cruze</t>
        </is>
      </c>
      <c r="E159" s="2" t="inlineStr">
        <is>
          <t>Chevrolet</t>
        </is>
      </c>
      <c r="F159" s="2" t="inlineStr">
        <is>
          <t>Chevrolet Cruze</t>
        </is>
      </c>
      <c r="G159" s="2" t="n"/>
      <c r="H159" s="2" t="n"/>
      <c r="I159" s="2" t="n"/>
      <c r="J159" s="2" t="n"/>
      <c r="K159" s="2" t="inlineStr">
        <is>
          <t>diesel</t>
        </is>
      </c>
      <c r="L159" s="2" t="inlineStr">
        <is>
          <t>compacto</t>
        </is>
      </c>
      <c r="M159" s="2" t="n">
        <v>2011</v>
      </c>
      <c r="N159" s="2" t="n">
        <v>198000</v>
      </c>
      <c r="O159" s="2" t="n">
        <v>3900</v>
      </c>
      <c r="P159" s="2" t="inlineStr">
        <is>
          <t>manual</t>
        </is>
      </c>
      <c r="Q159" s="2" t="inlineStr">
        <is>
          <t>no</t>
        </is>
      </c>
      <c r="R159" s="2" t="inlineStr">
        <is>
          <t>particular</t>
        </is>
      </c>
      <c r="S159" s="2" t="n"/>
      <c r="T159" s="2" t="inlineStr">
        <is>
          <t>2026-08-13T18:41:14Z</t>
        </is>
      </c>
      <c r="U159" s="2" t="n">
        <v>6</v>
      </c>
      <c r="V159" s="2" t="n"/>
      <c r="W159" s="2" t="n"/>
      <c r="X159" s="2" t="n"/>
      <c r="Y159" s="2" t="n"/>
      <c r="Z159" s="2" t="inlineStr">
        <is>
          <t>no</t>
        </is>
      </c>
      <c r="AA159" s="2" t="n"/>
      <c r="AB159" s="2" t="n"/>
      <c r="AC159" s="2" t="n"/>
      <c r="AD159" s="2" t="n"/>
      <c r="AE159" s="2" t="n"/>
      <c r="AF159" s="2" t="n"/>
      <c r="AG159" s="2" t="n"/>
      <c r="AH159" s="2" t="n">
        <v>3900</v>
      </c>
      <c r="AI159" s="2" t="n"/>
      <c r="AJ159" s="2" t="n"/>
      <c r="AK159" s="2" t="n"/>
      <c r="AL159" s="2" t="n"/>
      <c r="AM159" s="2" t="n"/>
      <c r="AN159" s="2" t="n"/>
      <c r="AO159" s="2" t="inlineStr">
        <is>
          <t>2011</t>
        </is>
      </c>
      <c r="AP159" s="2" t="n">
        <v>2011</v>
      </c>
      <c r="AQ159" s="2" t="n"/>
      <c r="AR159" s="2" t="n"/>
      <c r="AS159" s="2" t="inlineStr">
        <is>
          <t>regla</t>
        </is>
      </c>
      <c r="AT159" s="2" t="n">
        <v>4990</v>
      </c>
      <c r="AU159" s="2" t="n">
        <v>4</v>
      </c>
      <c r="AV159" s="2" t="inlineStr">
        <is>
          <t>modelo+año+km</t>
        </is>
      </c>
      <c r="AW159" s="2" t="n"/>
      <c r="AX15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59" s="2" t="inlineStr">
        <is>
          <t xml:space="preserve">Cambiado Embrague, Correa de distribución y ruedas Nuevas, Excelente estado a toda prueba </t>
        </is>
      </c>
      <c r="AZ159" s="2" t="inlineStr">
        <is>
          <t>https://www.coches.net/chevrolet-cruze-diesel-2011-en-valencia-71288999-covo.aspx (window.__INITIAL_PROPS__.ad) /home/user/Alopecia/buscador-coches/raw/cochesnet/dc7582604e5657c0.json</t>
        </is>
      </c>
      <c r="BA159" s="3">
        <f>MAX(ANIO_ACTUAL-M159,0)</f>
        <v/>
      </c>
      <c r="BB159" s="4">
        <f>N159/MAX(BA159,0.5)</f>
        <v/>
      </c>
      <c r="BC159" s="4">
        <f>F159</f>
        <v/>
      </c>
      <c r="BD159" s="3">
        <f>BC159&amp;"|"&amp;INT(M159/SEG_ANIO)*SEG_ANIO</f>
        <v/>
      </c>
      <c r="BE159" s="3">
        <f>BD159&amp;"|"&amp;INT(N159/SEG_KM)*SEG_KM</f>
        <v/>
      </c>
      <c r="BF159" s="4">
        <f>COUNTIF($BC$2:$BC$545,BC159)</f>
        <v/>
      </c>
      <c r="BG159" s="4">
        <f>COUNTIF($BD$2:$BD$545,BD159)</f>
        <v/>
      </c>
      <c r="BH159" s="4">
        <f>COUNTIF($BE$2:$BE$545,BE159)</f>
        <v/>
      </c>
      <c r="BI159" s="3">
        <f t="array" ref="BI159">IF(N(AU159)&gt;=MIN_N,AT159,IF(BH159&gt;=MIN_N,MEDIAN(IF($BE$2:$BE$545=BE159,$O$2:$O$545)),IF(BG159&gt;=MIN_N,MEDIAN(IF($BD$2:$BD$545=BD159,$O$2:$O$545)),MEDIAN(IF($BC$2:$BC$545=BC159,$O$2:$O$545)))))</f>
        <v/>
      </c>
      <c r="BJ159" s="3">
        <f>IF(N(AU159)&gt;=MIN_N,"mercado "&amp;AV159,IF(BH159&gt;=MIN_N,"modelo+año+km",IF(BG159&gt;=MIN_N,"modelo+año","modelo")))</f>
        <v/>
      </c>
      <c r="BK159" s="4">
        <f>(BI159-O159)/BI159</f>
        <v/>
      </c>
      <c r="BL159" s="3">
        <f>IF(COUNTIFS(FR_FUEL,K159,FR_YEAR,AP159)&gt;0,1,0)</f>
        <v/>
      </c>
      <c r="BM159" s="3">
        <f>IF(COUNTIFS(FR_FUEL,K159,FR_YEAR,AP159-1)&gt;0,1,0)</f>
        <v/>
      </c>
      <c r="BN159" s="4">
        <f>IF(N(AQ159)&gt;0,AP159*100+AQ159,IF(AND(BL159=1,BM159=1),(AP159-1)*100+1,AP159*100+1))</f>
        <v/>
      </c>
      <c r="BO159" s="3">
        <f>IF(OR(K159="hibrido",K159="glp",K159="gnc",K159="phev"),"ECO",IF(K159="electrico","CERO",IF(K159="gasolina",IF(BN159&gt;=GAS_C_YM,"C",IF(BN159&gt;=GAS_B_YM,"B","A")),IF(K159="diesel",IF(BN159&gt;=DIE_C_YM,"C",IF(BN159&gt;=DIE_B_YM,"B","A")),""))))</f>
        <v/>
      </c>
      <c r="BP159" s="4">
        <f>BO159</f>
        <v/>
      </c>
      <c r="BQ159" s="4">
        <f>IF(AS159="regla",IF(AND(N(AQ159)=0,BL159=1),"sí","no"),"no")</f>
        <v/>
      </c>
      <c r="BR159" s="3">
        <f>IFERROR(VLOOKUP(F159,MOD_TBL,11,0),IFERROR(VLOOKUP(E159,OCU_TBL,2,0),NEUTRO))</f>
        <v/>
      </c>
      <c r="BS159" s="3">
        <f>SUMIFS(MOT_AJUSTE,MOT_MOTOR,G159,MOT_MARCA,E159,MOT_DESDE,"&lt;="&amp;M159,MOT_HASTA,"&gt;="&amp;M159)+SUMIFS(MOT_AJUSTE,MOT_MOTOR,G159,MOT_MARCA,"(todas)",MOT_DESDE,"&lt;="&amp;M159,MOT_HASTA,"&gt;="&amp;M159)</f>
        <v/>
      </c>
      <c r="BT159" s="3">
        <f>SUMIFS(COMB_AJUSTE,COMB_COMB,K159)</f>
        <v/>
      </c>
      <c r="BU159" s="3">
        <f>COUNTIFS(MOT_MOTOR,G159,MOT_MARCA,E159,MOT_DESDE,"&lt;="&amp;M159,MOT_HASTA,"&gt;="&amp;M159)+COUNTIFS(MOT_MOTOR,G159,MOT_MARCA,"(todas)",MOT_DESDE,"&lt;="&amp;M159,MOT_HASTA,"&gt;="&amp;M159)</f>
        <v/>
      </c>
      <c r="BV159" s="3">
        <f>IF(AND(K159="diesel",BU159=0),MIN(BR159,NEUTRO),BR159)</f>
        <v/>
      </c>
      <c r="BW159" s="4">
        <f>MAX(0,MIN(100,BV159+BS159+BT159))</f>
        <v/>
      </c>
      <c r="BX159" s="3">
        <f>MAX(0,MIN(100,50+BK159*PRECIO_PEND))</f>
        <v/>
      </c>
      <c r="BY159" s="3">
        <f>MAX(0,100*(1-N159/KM_MAX))</f>
        <v/>
      </c>
      <c r="BZ159" s="3">
        <f>IF(BB159&lt;KMA_SOSP,IF(AA159="sí",100,KMA_PEN),IF(BB159&lt;=KMA_IDEAL_MAX,100,MAX(0,100*(KMA_CERO-BB159)/(KMA_CERO-KMA_IDEAL_MAX))))</f>
        <v/>
      </c>
      <c r="CA159" s="3">
        <f>MAX(0,MIN(100,100*(M159-ANIO_MIN)/(ANIO_ACTUAL-ANIO_MIN)))</f>
        <v/>
      </c>
      <c r="CB159" s="3">
        <f>W_KMT*BY159+W_KMA*BZ159+W_EDAD*CA159</f>
        <v/>
      </c>
      <c r="CC159" s="3">
        <f>P_ITV*(V159="sí")+P_LIBRO*(W159="sí")+P_CORREA*(X159="sí")+P_PROP*(Y159=1)+P_GAR*(Z159="sí")+P_FOTOS*MIN(1,N(U159)/FOTOS_OBJ)</f>
        <v/>
      </c>
      <c r="CD159" s="3">
        <f>MAX(0,MIN(100,IFERROR(VLOOKUP(BP159,ETQ_TBL,2,0),0)-IF(BQ159="sí",ETQ_PEN_DUD,IF(AS159="regla",ETQ_PEN_REGLA,0))))</f>
        <v/>
      </c>
      <c r="CE159" s="3">
        <f>NEUTRO</f>
        <v/>
      </c>
      <c r="CF159" s="3">
        <f>IFERROR(VLOOKUP(L159,SEGURO_TBL,3,0),"")</f>
        <v/>
      </c>
      <c r="CG159" s="3">
        <f>IF(CF159="",NEUTRO,MAX(0,MIN(100,100*(SEG_REF_MAX-CF159)/(SEG_REF_MAX-SEG_REF_MIN))))</f>
        <v/>
      </c>
      <c r="CH159" s="3">
        <f>W_CONS*CE159+W_SEG*CG159</f>
        <v/>
      </c>
      <c r="CI159" s="3">
        <f>IF(N(AB159)&gt;0,AB159,IF(AND(R159="profesional",SG_LEGAL_ON=1),GAR_LEGAL,0))</f>
        <v/>
      </c>
      <c r="CJ159" s="3">
        <f>SG_GAR*MIN(1,CI159/SG_GAR_FULL)+SG_AMPL*(AC159="sí")+SG_KMC*(AF159="sí")+SG_REV*(N(AE159)&gt;0)+SG_DEV*MIN(1,N(AG159)/SG_DEV_FULL)+SG_HIST*(W159="sí")</f>
        <v/>
      </c>
      <c r="CK159" s="3">
        <f>IFERROR(VLOOKUP(L159,CARR_PEN_TBL,2,0),0)</f>
        <v/>
      </c>
      <c r="CL159" s="3">
        <f>W_FIAB*BW159+W_PRECIO*BX159+W_KMEDAD*CB159+W_ANUNCIO*CC159+W_USO*CH159+W_SEGURIDAD*CJ159+W_ETIQUETA*CD159-CK159</f>
        <v/>
      </c>
      <c r="CM159" s="4">
        <f>IF(N(I159)&gt;0,I159,IFERROR(ROUND(_xlfn.NUMBERVALUE(LEFT(G159,FIND(" ",G159&amp;" ")-1),".")*1000,0),99999))</f>
        <v/>
      </c>
      <c r="CN159" s="3">
        <f>IF(R159="profesional",0,IF(O159&lt;CUOTA_VALOR_MAX,IF(BA159&gt;ITP_TRAMO_ALTO,SUMIFS(CF_CUOTA,CF_MAS,ITP_TRAMO_ALTO,CF_CCMIN,"&lt;="&amp;CM159,CF_CCMAX,"&gt;="&amp;CM159),IF(BA159&gt;ITP_TRAMO_BAJO,SUMIFS(CF_CUOTA,CF_MAS,ITP_TRAMO_BAJO,CF_CCMIN,"&lt;="&amp;CM159,CF_CCMAX,"&gt;="&amp;CM159),O159*ITP_TIPO)),O159*ITP_TIPO))</f>
        <v/>
      </c>
      <c r="CO159" s="4">
        <f>IF(R159="profesional",N(AK159),0)</f>
        <v/>
      </c>
      <c r="CP159" s="3">
        <f>IF(AND(R159="profesional",ISNUMBER(AK159),AL159="sí"),0,TASA_DGT)</f>
        <v/>
      </c>
      <c r="CQ159" s="3">
        <f>INFORME_DGT</f>
        <v/>
      </c>
      <c r="CR159" s="4">
        <f>O159+CO159+CN159+CP159+CQ159</f>
        <v/>
      </c>
      <c r="CS159" s="4">
        <f>CR159+N(CF159)</f>
        <v/>
      </c>
      <c r="CT159" s="3">
        <f>IF(CR159&lt;=TOTAL_MAX,"sí",IF(CR159&lt;=TOTAL_MAX+MARGEN_NEG,"negociar","no"))</f>
        <v/>
      </c>
      <c r="CU159" s="4">
        <f>IF(CT159&lt;&gt;"no",COUNTIFS($CT$2:$CT$545,"&lt;&gt;no",$CL$2:$CL$545,"&gt;"&amp;CL159)+COUNTIFS($CT$2:CT159,"&lt;&gt;no",$CL$2:CL159,CL159),"")</f>
        <v/>
      </c>
    </row>
    <row r="160">
      <c r="A160" s="2" t="inlineStr">
        <is>
          <t>wallapop:1318257442</t>
        </is>
      </c>
      <c r="B160" s="2" t="inlineStr">
        <is>
          <t>wallapop</t>
        </is>
      </c>
      <c r="C160" s="2" t="inlineStr">
        <is>
          <t>https://es.wallapop.com/item/mazda-2-2011-1318257442</t>
        </is>
      </c>
      <c r="D160" s="2" t="inlineStr">
        <is>
          <t>Mazda 2 2011</t>
        </is>
      </c>
      <c r="E160" s="2" t="inlineStr">
        <is>
          <t>Mazda</t>
        </is>
      </c>
      <c r="F160" s="2" t="inlineStr">
        <is>
          <t>Mazda 2</t>
        </is>
      </c>
      <c r="G160" s="2" t="inlineStr">
        <is>
          <t>1.6</t>
        </is>
      </c>
      <c r="H160" s="2" t="inlineStr">
        <is>
          <t>1.6 CRTD 95 Style 5p</t>
        </is>
      </c>
      <c r="I160" s="2" t="n"/>
      <c r="J160" s="2" t="n">
        <v>95</v>
      </c>
      <c r="K160" s="2" t="inlineStr">
        <is>
          <t>diesel</t>
        </is>
      </c>
      <c r="L160" s="2" t="inlineStr">
        <is>
          <t>utilitario</t>
        </is>
      </c>
      <c r="M160" s="2" t="n">
        <v>2011</v>
      </c>
      <c r="N160" s="2" t="n">
        <v>210000</v>
      </c>
      <c r="O160" s="2" t="n">
        <v>3850</v>
      </c>
      <c r="P160" s="2" t="inlineStr">
        <is>
          <t>manual</t>
        </is>
      </c>
      <c r="Q160" s="2" t="inlineStr">
        <is>
          <t>no</t>
        </is>
      </c>
      <c r="R160" s="2" t="inlineStr">
        <is>
          <t>particular</t>
        </is>
      </c>
      <c r="S160" s="2" t="inlineStr">
        <is>
          <t>Valencia (46023)</t>
        </is>
      </c>
      <c r="T160" s="2" t="inlineStr">
        <is>
          <t>2026-10-28T20:15:40</t>
        </is>
      </c>
      <c r="U160" s="2" t="n">
        <v>8</v>
      </c>
      <c r="V160" s="2" t="n"/>
      <c r="W160" s="2" t="n"/>
      <c r="X160" s="2" t="inlineStr">
        <is>
          <t>sí</t>
        </is>
      </c>
      <c r="Y160" s="2" t="n"/>
      <c r="Z160" s="2" t="n"/>
      <c r="AA160" s="2" t="n"/>
      <c r="AB160" s="2" t="n"/>
      <c r="AC160" s="2" t="n"/>
      <c r="AD160" s="2" t="n"/>
      <c r="AE160" s="2" t="n"/>
      <c r="AF160" s="2" t="n"/>
      <c r="AG160" s="2" t="n"/>
      <c r="AH160" s="2" t="n"/>
      <c r="AI160" s="2" t="n"/>
      <c r="AJ160" s="2" t="n"/>
      <c r="AK160" s="2" t="n"/>
      <c r="AL160" s="2" t="n"/>
      <c r="AM160" s="2" t="n">
        <v>2</v>
      </c>
      <c r="AN160" s="2" t="n"/>
      <c r="AO160" s="2" t="inlineStr">
        <is>
          <t>2011</t>
        </is>
      </c>
      <c r="AP160" s="2" t="n">
        <v>2011</v>
      </c>
      <c r="AQ160" s="2" t="n"/>
      <c r="AR160" s="2" t="n"/>
      <c r="AS160" s="2" t="inlineStr">
        <is>
          <t>regla</t>
        </is>
      </c>
      <c r="AT160" s="2" t="n">
        <v>5000</v>
      </c>
      <c r="AU160" s="2" t="n">
        <v>6</v>
      </c>
      <c r="AV160" s="2" t="inlineStr">
        <is>
          <t>modelo+año</t>
        </is>
      </c>
      <c r="AW160" s="2" t="n"/>
      <c r="AX160" s="2" t="inlineStr">
        <is>
          <t>cuota fija ITP: &gt;12 años, 1.501-2.000 cc; diésel: motor sin fuente de fiabilidad (fiabilidad limitada a neutra)</t>
        </is>
      </c>
      <c r="AY160" s="2" t="inlineStr">
        <is>
          <t>ITV vigente, kit de distribucion cambiado hace 50 mil kms</t>
        </is>
      </c>
      <c r="AZ160" s="2" t="inlineStr">
        <is>
          <t>https://es.wallapop.com/item/mazda-2-2011-1318257442 (__NEXT_DATA__ item) /home/user/Alopecia/buscador-coches/raw/wallapop/d29972536e1bf362.json</t>
        </is>
      </c>
      <c r="BA160" s="3">
        <f>MAX(ANIO_ACTUAL-M160,0)</f>
        <v/>
      </c>
      <c r="BB160" s="4">
        <f>N160/MAX(BA160,0.5)</f>
        <v/>
      </c>
      <c r="BC160" s="4">
        <f>F160</f>
        <v/>
      </c>
      <c r="BD160" s="3">
        <f>BC160&amp;"|"&amp;INT(M160/SEG_ANIO)*SEG_ANIO</f>
        <v/>
      </c>
      <c r="BE160" s="3">
        <f>BD160&amp;"|"&amp;INT(N160/SEG_KM)*SEG_KM</f>
        <v/>
      </c>
      <c r="BF160" s="4">
        <f>COUNTIF($BC$2:$BC$545,BC160)</f>
        <v/>
      </c>
      <c r="BG160" s="4">
        <f>COUNTIF($BD$2:$BD$545,BD160)</f>
        <v/>
      </c>
      <c r="BH160" s="4">
        <f>COUNTIF($BE$2:$BE$545,BE160)</f>
        <v/>
      </c>
      <c r="BI160" s="3">
        <f t="array" ref="BI160">IF(N(AU160)&gt;=MIN_N,AT160,IF(BH160&gt;=MIN_N,MEDIAN(IF($BE$2:$BE$545=BE160,$O$2:$O$545)),IF(BG160&gt;=MIN_N,MEDIAN(IF($BD$2:$BD$545=BD160,$O$2:$O$545)),MEDIAN(IF($BC$2:$BC$545=BC160,$O$2:$O$545)))))</f>
        <v/>
      </c>
      <c r="BJ160" s="3">
        <f>IF(N(AU160)&gt;=MIN_N,"mercado "&amp;AV160,IF(BH160&gt;=MIN_N,"modelo+año+km",IF(BG160&gt;=MIN_N,"modelo+año","modelo")))</f>
        <v/>
      </c>
      <c r="BK160" s="4">
        <f>(BI160-O160)/BI160</f>
        <v/>
      </c>
      <c r="BL160" s="3">
        <f>IF(COUNTIFS(FR_FUEL,K160,FR_YEAR,AP160)&gt;0,1,0)</f>
        <v/>
      </c>
      <c r="BM160" s="3">
        <f>IF(COUNTIFS(FR_FUEL,K160,FR_YEAR,AP160-1)&gt;0,1,0)</f>
        <v/>
      </c>
      <c r="BN160" s="4">
        <f>IF(N(AQ160)&gt;0,AP160*100+AQ160,IF(AND(BL160=1,BM160=1),(AP160-1)*100+1,AP160*100+1))</f>
        <v/>
      </c>
      <c r="BO160" s="3">
        <f>IF(OR(K160="hibrido",K160="glp",K160="gnc",K160="phev"),"ECO",IF(K160="electrico","CERO",IF(K160="gasolina",IF(BN160&gt;=GAS_C_YM,"C",IF(BN160&gt;=GAS_B_YM,"B","A")),IF(K160="diesel",IF(BN160&gt;=DIE_C_YM,"C",IF(BN160&gt;=DIE_B_YM,"B","A")),""))))</f>
        <v/>
      </c>
      <c r="BP160" s="4">
        <f>BO160</f>
        <v/>
      </c>
      <c r="BQ160" s="4">
        <f>IF(AS160="regla",IF(AND(N(AQ160)=0,BL160=1),"sí","no"),"no")</f>
        <v/>
      </c>
      <c r="BR160" s="3">
        <f>IFERROR(VLOOKUP(F160,MOD_TBL,11,0),IFERROR(VLOOKUP(E160,OCU_TBL,2,0),NEUTRO))</f>
        <v/>
      </c>
      <c r="BS160" s="3">
        <f>SUMIFS(MOT_AJUSTE,MOT_MOTOR,G160,MOT_MARCA,E160,MOT_DESDE,"&lt;="&amp;M160,MOT_HASTA,"&gt;="&amp;M160)+SUMIFS(MOT_AJUSTE,MOT_MOTOR,G160,MOT_MARCA,"(todas)",MOT_DESDE,"&lt;="&amp;M160,MOT_HASTA,"&gt;="&amp;M160)</f>
        <v/>
      </c>
      <c r="BT160" s="3">
        <f>SUMIFS(COMB_AJUSTE,COMB_COMB,K160)</f>
        <v/>
      </c>
      <c r="BU160" s="3">
        <f>COUNTIFS(MOT_MOTOR,G160,MOT_MARCA,E160,MOT_DESDE,"&lt;="&amp;M160,MOT_HASTA,"&gt;="&amp;M160)+COUNTIFS(MOT_MOTOR,G160,MOT_MARCA,"(todas)",MOT_DESDE,"&lt;="&amp;M160,MOT_HASTA,"&gt;="&amp;M160)</f>
        <v/>
      </c>
      <c r="BV160" s="3">
        <f>IF(AND(K160="diesel",BU160=0),MIN(BR160,NEUTRO),BR160)</f>
        <v/>
      </c>
      <c r="BW160" s="4">
        <f>MAX(0,MIN(100,BV160+BS160+BT160))</f>
        <v/>
      </c>
      <c r="BX160" s="3">
        <f>MAX(0,MIN(100,50+BK160*PRECIO_PEND))</f>
        <v/>
      </c>
      <c r="BY160" s="3">
        <f>MAX(0,100*(1-N160/KM_MAX))</f>
        <v/>
      </c>
      <c r="BZ160" s="3">
        <f>IF(BB160&lt;KMA_SOSP,IF(AA160="sí",100,KMA_PEN),IF(BB160&lt;=KMA_IDEAL_MAX,100,MAX(0,100*(KMA_CERO-BB160)/(KMA_CERO-KMA_IDEAL_MAX))))</f>
        <v/>
      </c>
      <c r="CA160" s="3">
        <f>MAX(0,MIN(100,100*(M160-ANIO_MIN)/(ANIO_ACTUAL-ANIO_MIN)))</f>
        <v/>
      </c>
      <c r="CB160" s="3">
        <f>W_KMT*BY160+W_KMA*BZ160+W_EDAD*CA160</f>
        <v/>
      </c>
      <c r="CC160" s="3">
        <f>P_ITV*(V160="sí")+P_LIBRO*(W160="sí")+P_CORREA*(X160="sí")+P_PROP*(Y160=1)+P_GAR*(Z160="sí")+P_FOTOS*MIN(1,N(U160)/FOTOS_OBJ)</f>
        <v/>
      </c>
      <c r="CD160" s="3">
        <f>MAX(0,MIN(100,IFERROR(VLOOKUP(BP160,ETQ_TBL,2,0),0)-IF(BQ160="sí",ETQ_PEN_DUD,IF(AS160="regla",ETQ_PEN_REGLA,0))))</f>
        <v/>
      </c>
      <c r="CE160" s="3">
        <f>NEUTRO</f>
        <v/>
      </c>
      <c r="CF160" s="3">
        <f>IFERROR(VLOOKUP(L160,SEGURO_TBL,3,0),"")</f>
        <v/>
      </c>
      <c r="CG160" s="3">
        <f>IF(CF160="",NEUTRO,MAX(0,MIN(100,100*(SEG_REF_MAX-CF160)/(SEG_REF_MAX-SEG_REF_MIN))))</f>
        <v/>
      </c>
      <c r="CH160" s="3">
        <f>W_CONS*CE160+W_SEG*CG160</f>
        <v/>
      </c>
      <c r="CI160" s="3">
        <f>IF(N(AB160)&gt;0,AB160,IF(AND(R160="profesional",SG_LEGAL_ON=1),GAR_LEGAL,0))</f>
        <v/>
      </c>
      <c r="CJ160" s="3">
        <f>SG_GAR*MIN(1,CI160/SG_GAR_FULL)+SG_AMPL*(AC160="sí")+SG_KMC*(AF160="sí")+SG_REV*(N(AE160)&gt;0)+SG_DEV*MIN(1,N(AG160)/SG_DEV_FULL)+SG_HIST*(W160="sí")</f>
        <v/>
      </c>
      <c r="CK160" s="3">
        <f>IFERROR(VLOOKUP(L160,CARR_PEN_TBL,2,0),0)</f>
        <v/>
      </c>
      <c r="CL160" s="3">
        <f>W_FIAB*BW160+W_PRECIO*BX160+W_KMEDAD*CB160+W_ANUNCIO*CC160+W_USO*CH160+W_SEGURIDAD*CJ160+W_ETIQUETA*CD160-CK160</f>
        <v/>
      </c>
      <c r="CM160" s="4">
        <f>IF(N(I160)&gt;0,I160,IFERROR(ROUND(_xlfn.NUMBERVALUE(LEFT(G160,FIND(" ",G160&amp;" ")-1),".")*1000,0),99999))</f>
        <v/>
      </c>
      <c r="CN160" s="3">
        <f>IF(R160="profesional",0,IF(O160&lt;CUOTA_VALOR_MAX,IF(BA160&gt;ITP_TRAMO_ALTO,SUMIFS(CF_CUOTA,CF_MAS,ITP_TRAMO_ALTO,CF_CCMIN,"&lt;="&amp;CM160,CF_CCMAX,"&gt;="&amp;CM160),IF(BA160&gt;ITP_TRAMO_BAJO,SUMIFS(CF_CUOTA,CF_MAS,ITP_TRAMO_BAJO,CF_CCMIN,"&lt;="&amp;CM160,CF_CCMAX,"&gt;="&amp;CM160),O160*ITP_TIPO)),O160*ITP_TIPO))</f>
        <v/>
      </c>
      <c r="CO160" s="4">
        <f>IF(R160="profesional",N(AK160),0)</f>
        <v/>
      </c>
      <c r="CP160" s="3">
        <f>IF(AND(R160="profesional",ISNUMBER(AK160),AL160="sí"),0,TASA_DGT)</f>
        <v/>
      </c>
      <c r="CQ160" s="3">
        <f>INFORME_DGT</f>
        <v/>
      </c>
      <c r="CR160" s="4">
        <f>O160+CO160+CN160+CP160+CQ160</f>
        <v/>
      </c>
      <c r="CS160" s="4">
        <f>CR160+N(CF160)</f>
        <v/>
      </c>
      <c r="CT160" s="3">
        <f>IF(CR160&lt;=TOTAL_MAX,"sí",IF(CR160&lt;=TOTAL_MAX+MARGEN_NEG,"negociar","no"))</f>
        <v/>
      </c>
      <c r="CU160" s="4">
        <f>IF(CT160&lt;&gt;"no",COUNTIFS($CT$2:$CT$545,"&lt;&gt;no",$CL$2:$CL$545,"&gt;"&amp;CL160)+COUNTIFS($CT$2:CT160,"&lt;&gt;no",$CL$2:CL160,CL160),"")</f>
        <v/>
      </c>
    </row>
    <row r="161">
      <c r="A161" s="2" t="inlineStr">
        <is>
          <t>ocasionplus:b1himqaq</t>
        </is>
      </c>
      <c r="B161" s="2" t="inlineStr">
        <is>
          <t>ocasionplus</t>
        </is>
      </c>
      <c r="C161" s="2" t="inlineStr">
        <is>
          <t>https://www.ocasionplus.com/coches-segunda-mano/lancia-ypsilon-14-8v-platino-con-126555km-2007-b1himqaq</t>
        </is>
      </c>
      <c r="D161" s="2" t="inlineStr">
        <is>
          <t>Lancia Ypsilon 1.4 8v Platino (77 CV)</t>
        </is>
      </c>
      <c r="E161" s="2" t="inlineStr">
        <is>
          <t>Lancia</t>
        </is>
      </c>
      <c r="F161" s="2" t="inlineStr">
        <is>
          <t>Lancia Ypsilon</t>
        </is>
      </c>
      <c r="G161" s="2" t="inlineStr">
        <is>
          <t>1.4</t>
        </is>
      </c>
      <c r="H161" s="2" t="inlineStr">
        <is>
          <t>Lancia Ypsilon 1.4 8v Platino (77 CV)</t>
        </is>
      </c>
      <c r="I161" s="2" t="n">
        <v>1368</v>
      </c>
      <c r="J161" s="2" t="n">
        <v>77</v>
      </c>
      <c r="K161" s="2" t="inlineStr">
        <is>
          <t>gasolina</t>
        </is>
      </c>
      <c r="L161" s="2" t="inlineStr">
        <is>
          <t>compacto</t>
        </is>
      </c>
      <c r="M161" s="2" t="n">
        <v>2007</v>
      </c>
      <c r="N161" s="2" t="n">
        <v>126555</v>
      </c>
      <c r="O161" s="2" t="n">
        <v>4490</v>
      </c>
      <c r="P161" s="2" t="inlineStr">
        <is>
          <t>manual</t>
        </is>
      </c>
      <c r="Q161" s="2" t="inlineStr">
        <is>
          <t>no</t>
        </is>
      </c>
      <c r="R161" s="2" t="inlineStr">
        <is>
          <t>profesional</t>
        </is>
      </c>
      <c r="S161" s="2" t="inlineStr">
        <is>
          <t>Valencia - Paterna (Paterna, 46980)</t>
        </is>
      </c>
      <c r="T161" s="2" t="inlineStr">
        <is>
          <t>2026-10-26T00:00:00.000Z</t>
        </is>
      </c>
      <c r="U161" s="2" t="n">
        <v>32</v>
      </c>
      <c r="V161" s="2" t="inlineStr">
        <is>
          <t>sí</t>
        </is>
      </c>
      <c r="W161" s="2" t="inlineStr">
        <is>
          <t>sí</t>
        </is>
      </c>
      <c r="X161" s="2" t="n"/>
      <c r="Y161" s="2" t="n">
        <v>0</v>
      </c>
      <c r="Z161" s="2" t="inlineStr">
        <is>
          <t>sí</t>
        </is>
      </c>
      <c r="AA161" s="2" t="n"/>
      <c r="AB161" s="2" t="n">
        <v>12</v>
      </c>
      <c r="AC161" s="2" t="inlineStr">
        <is>
          <t>sí</t>
        </is>
      </c>
      <c r="AD161" s="2" t="n">
        <v>500</v>
      </c>
      <c r="AE161" s="2" t="n">
        <v>200</v>
      </c>
      <c r="AF161" s="2" t="inlineStr">
        <is>
          <t>sí</t>
        </is>
      </c>
      <c r="AG161" s="2" t="n"/>
      <c r="AH161" s="2" t="n">
        <v>4490</v>
      </c>
      <c r="AI161" s="2" t="n">
        <v>4490</v>
      </c>
      <c r="AJ161" s="2" t="inlineStr">
        <is>
          <t>no</t>
        </is>
      </c>
      <c r="AK161" s="2" t="n">
        <v>350</v>
      </c>
      <c r="AL161" s="2" t="inlineStr">
        <is>
          <t>sí</t>
        </is>
      </c>
      <c r="AM161" s="2" t="n">
        <v>5.9</v>
      </c>
      <c r="AN161" s="2" t="inlineStr">
        <is>
          <t>8775FTG</t>
        </is>
      </c>
      <c r="AO161" s="2" t="inlineStr">
        <is>
          <t>2007-07-26</t>
        </is>
      </c>
      <c r="AP161" s="2" t="n">
        <v>2007</v>
      </c>
      <c r="AQ161" s="2" t="n">
        <v>7</v>
      </c>
      <c r="AR161" s="2" t="inlineStr">
        <is>
          <t>C</t>
        </is>
      </c>
      <c r="AS161" s="2" t="inlineStr">
        <is>
          <t>DGT</t>
        </is>
      </c>
      <c r="AT161" s="2" t="n"/>
      <c r="AU161" s="2" t="n"/>
      <c r="AV161" s="2" t="n"/>
      <c r="AW161" s="2" t="n"/>
      <c r="AX161" s="2" t="inlineStr">
        <is>
          <t>vendedor profesional: sin ITP (operación con IVA/REBU, confirmar en factura); fiabilidad del modelo PENDIENTE de fuente (puntuación neutra); mediana con solo 1 anuncio(s)</t>
        </is>
      </c>
      <c r="AY161" s="2" t="inlineStr">
        <is>
          <t>Lancia Ypsilon 1.4 8v Platino (77 CV)</t>
        </is>
      </c>
      <c r="AZ161" s="2" t="inlineStr">
        <is>
          <t>https://www.ocasionplus.com/coches-segunda-mano/lancia-ypsilon-14-8v-platino-con-126555km-2007-b1himqaq (payload RSC 'vehicle') /home/user/Alopecia/buscador-coches/raw/ocasionplus/3299778c56e8c9aa.json</t>
        </is>
      </c>
      <c r="BA161" s="3">
        <f>MAX(ANIO_ACTUAL-M161,0)</f>
        <v/>
      </c>
      <c r="BB161" s="4">
        <f>N161/MAX(BA161,0.5)</f>
        <v/>
      </c>
      <c r="BC161" s="4">
        <f>F161</f>
        <v/>
      </c>
      <c r="BD161" s="3">
        <f>BC161&amp;"|"&amp;INT(M161/SEG_ANIO)*SEG_ANIO</f>
        <v/>
      </c>
      <c r="BE161" s="3">
        <f>BD161&amp;"|"&amp;INT(N161/SEG_KM)*SEG_KM</f>
        <v/>
      </c>
      <c r="BF161" s="4">
        <f>COUNTIF($BC$2:$BC$545,BC161)</f>
        <v/>
      </c>
      <c r="BG161" s="4">
        <f>COUNTIF($BD$2:$BD$545,BD161)</f>
        <v/>
      </c>
      <c r="BH161" s="4">
        <f>COUNTIF($BE$2:$BE$545,BE161)</f>
        <v/>
      </c>
      <c r="BI161" s="3">
        <f t="array" ref="BI161">IF(N(AU161)&gt;=MIN_N,AT161,IF(BH161&gt;=MIN_N,MEDIAN(IF($BE$2:$BE$545=BE161,$O$2:$O$545)),IF(BG161&gt;=MIN_N,MEDIAN(IF($BD$2:$BD$545=BD161,$O$2:$O$545)),MEDIAN(IF($BC$2:$BC$545=BC161,$O$2:$O$545)))))</f>
        <v/>
      </c>
      <c r="BJ161" s="3">
        <f>IF(N(AU161)&gt;=MIN_N,"mercado "&amp;AV161,IF(BH161&gt;=MIN_N,"modelo+año+km",IF(BG161&gt;=MIN_N,"modelo+año","modelo")))</f>
        <v/>
      </c>
      <c r="BK161" s="4">
        <f>(BI161-O161)/BI161</f>
        <v/>
      </c>
      <c r="BL161" s="3">
        <f>IF(COUNTIFS(FR_FUEL,K161,FR_YEAR,AP161)&gt;0,1,0)</f>
        <v/>
      </c>
      <c r="BM161" s="3">
        <f>IF(COUNTIFS(FR_FUEL,K161,FR_YEAR,AP161-1)&gt;0,1,0)</f>
        <v/>
      </c>
      <c r="BN161" s="4">
        <f>IF(N(AQ161)&gt;0,AP161*100+AQ161,IF(AND(BL161=1,BM161=1),(AP161-1)*100+1,AP161*100+1))</f>
        <v/>
      </c>
      <c r="BO161" s="3">
        <f>IF(OR(K161="hibrido",K161="glp",K161="gnc",K161="phev"),"ECO",IF(K161="electrico","CERO",IF(K161="gasolina",IF(BN161&gt;=GAS_C_YM,"C",IF(BN161&gt;=GAS_B_YM,"B","A")),IF(K161="diesel",IF(BN161&gt;=DIE_C_YM,"C",IF(BN161&gt;=DIE_B_YM,"B","A")),""))))</f>
        <v/>
      </c>
      <c r="BP161" s="2" t="inlineStr">
        <is>
          <t>C</t>
        </is>
      </c>
      <c r="BQ161" s="4">
        <f>IF(AS161="regla",IF(AND(N(AQ161)=0,BL161=1),"sí","no"),"no")</f>
        <v/>
      </c>
      <c r="BR161" s="3">
        <f>IFERROR(VLOOKUP(F161,MOD_TBL,11,0),IFERROR(VLOOKUP(E161,OCU_TBL,2,0),NEUTRO))</f>
        <v/>
      </c>
      <c r="BS161" s="3">
        <f>SUMIFS(MOT_AJUSTE,MOT_MOTOR,G161,MOT_MARCA,E161,MOT_DESDE,"&lt;="&amp;M161,MOT_HASTA,"&gt;="&amp;M161)+SUMIFS(MOT_AJUSTE,MOT_MOTOR,G161,MOT_MARCA,"(todas)",MOT_DESDE,"&lt;="&amp;M161,MOT_HASTA,"&gt;="&amp;M161)</f>
        <v/>
      </c>
      <c r="BT161" s="3">
        <f>SUMIFS(COMB_AJUSTE,COMB_COMB,K161)</f>
        <v/>
      </c>
      <c r="BU161" s="3">
        <f>COUNTIFS(MOT_MOTOR,G161,MOT_MARCA,E161,MOT_DESDE,"&lt;="&amp;M161,MOT_HASTA,"&gt;="&amp;M161)+COUNTIFS(MOT_MOTOR,G161,MOT_MARCA,"(todas)",MOT_DESDE,"&lt;="&amp;M161,MOT_HASTA,"&gt;="&amp;M161)</f>
        <v/>
      </c>
      <c r="BV161" s="3">
        <f>IF(AND(K161="diesel",BU161=0),MIN(BR161,NEUTRO),BR161)</f>
        <v/>
      </c>
      <c r="BW161" s="4">
        <f>MAX(0,MIN(100,BV161+BS161+BT161))</f>
        <v/>
      </c>
      <c r="BX161" s="3">
        <f>MAX(0,MIN(100,50+BK161*PRECIO_PEND))</f>
        <v/>
      </c>
      <c r="BY161" s="3">
        <f>MAX(0,100*(1-N161/KM_MAX))</f>
        <v/>
      </c>
      <c r="BZ161" s="3">
        <f>IF(BB161&lt;KMA_SOSP,IF(AA161="sí",100,KMA_PEN),IF(BB161&lt;=KMA_IDEAL_MAX,100,MAX(0,100*(KMA_CERO-BB161)/(KMA_CERO-KMA_IDEAL_MAX))))</f>
        <v/>
      </c>
      <c r="CA161" s="3">
        <f>MAX(0,MIN(100,100*(M161-ANIO_MIN)/(ANIO_ACTUAL-ANIO_MIN)))</f>
        <v/>
      </c>
      <c r="CB161" s="3">
        <f>W_KMT*BY161+W_KMA*BZ161+W_EDAD*CA161</f>
        <v/>
      </c>
      <c r="CC161" s="3">
        <f>P_ITV*(V161="sí")+P_LIBRO*(W161="sí")+P_CORREA*(X161="sí")+P_PROP*(Y161=1)+P_GAR*(Z161="sí")+P_FOTOS*MIN(1,N(U161)/FOTOS_OBJ)</f>
        <v/>
      </c>
      <c r="CD161" s="3">
        <f>MAX(0,MIN(100,IFERROR(VLOOKUP(BP161,ETQ_TBL,2,0),0)-IF(BQ161="sí",ETQ_PEN_DUD,IF(AS161="regla",ETQ_PEN_REGLA,0))))</f>
        <v/>
      </c>
      <c r="CE161" s="3">
        <f>NEUTRO</f>
        <v/>
      </c>
      <c r="CF161" s="3">
        <f>IFERROR(VLOOKUP(L161,SEGURO_TBL,3,0),"")</f>
        <v/>
      </c>
      <c r="CG161" s="3">
        <f>IF(CF161="",NEUTRO,MAX(0,MIN(100,100*(SEG_REF_MAX-CF161)/(SEG_REF_MAX-SEG_REF_MIN))))</f>
        <v/>
      </c>
      <c r="CH161" s="3">
        <f>W_CONS*CE161+W_SEG*CG161</f>
        <v/>
      </c>
      <c r="CI161" s="3">
        <f>IF(N(AB161)&gt;0,AB161,IF(AND(R161="profesional",SG_LEGAL_ON=1),GAR_LEGAL,0))</f>
        <v/>
      </c>
      <c r="CJ161" s="3">
        <f>SG_GAR*MIN(1,CI161/SG_GAR_FULL)+SG_AMPL*(AC161="sí")+SG_KMC*(AF161="sí")+SG_REV*(N(AE161)&gt;0)+SG_DEV*MIN(1,N(AG161)/SG_DEV_FULL)+SG_HIST*(W161="sí")</f>
        <v/>
      </c>
      <c r="CK161" s="3">
        <f>IFERROR(VLOOKUP(L161,CARR_PEN_TBL,2,0),0)</f>
        <v/>
      </c>
      <c r="CL161" s="3">
        <f>W_FIAB*BW161+W_PRECIO*BX161+W_KMEDAD*CB161+W_ANUNCIO*CC161+W_USO*CH161+W_SEGURIDAD*CJ161+W_ETIQUETA*CD161-CK161</f>
        <v/>
      </c>
      <c r="CM161" s="4">
        <f>IF(N(I161)&gt;0,I161,IFERROR(ROUND(_xlfn.NUMBERVALUE(LEFT(G161,FIND(" ",G161&amp;" ")-1),".")*1000,0),99999))</f>
        <v/>
      </c>
      <c r="CN161" s="3">
        <f>IF(R161="profesional",0,IF(O161&lt;CUOTA_VALOR_MAX,IF(BA161&gt;ITP_TRAMO_ALTO,SUMIFS(CF_CUOTA,CF_MAS,ITP_TRAMO_ALTO,CF_CCMIN,"&lt;="&amp;CM161,CF_CCMAX,"&gt;="&amp;CM161),IF(BA161&gt;ITP_TRAMO_BAJO,SUMIFS(CF_CUOTA,CF_MAS,ITP_TRAMO_BAJO,CF_CCMIN,"&lt;="&amp;CM161,CF_CCMAX,"&gt;="&amp;CM161),O161*ITP_TIPO)),O161*ITP_TIPO))</f>
        <v/>
      </c>
      <c r="CO161" s="4">
        <f>IF(R161="profesional",N(AK161),0)</f>
        <v/>
      </c>
      <c r="CP161" s="3">
        <f>IF(AND(R161="profesional",ISNUMBER(AK161),AL161="sí"),0,TASA_DGT)</f>
        <v/>
      </c>
      <c r="CQ161" s="3">
        <f>INFORME_DGT</f>
        <v/>
      </c>
      <c r="CR161" s="4">
        <f>O161+CO161+CN161+CP161+CQ161</f>
        <v/>
      </c>
      <c r="CS161" s="4">
        <f>CR161+N(CF161)</f>
        <v/>
      </c>
      <c r="CT161" s="3">
        <f>IF(CR161&lt;=TOTAL_MAX,"sí",IF(CR161&lt;=TOTAL_MAX+MARGEN_NEG,"negociar","no"))</f>
        <v/>
      </c>
      <c r="CU161" s="4">
        <f>IF(CT161&lt;&gt;"no",COUNTIFS($CT$2:$CT$545,"&lt;&gt;no",$CL$2:$CL$545,"&gt;"&amp;CL161)+COUNTIFS($CT$2:CT161,"&lt;&gt;no",$CL$2:CL161,CL161),"")</f>
        <v/>
      </c>
    </row>
    <row r="162">
      <c r="A162" s="2" t="inlineStr">
        <is>
          <t>ocasionplus:aynqvqai</t>
        </is>
      </c>
      <c r="B162" s="2" t="inlineStr">
        <is>
          <t>ocasionplus</t>
        </is>
      </c>
      <c r="C162" s="2" t="inlineStr">
        <is>
          <t>https://www.ocasionplus.com/coches-segunda-mano/peugeot-107-10i-urban-con-150561km-2007-aynqvqai</t>
        </is>
      </c>
      <c r="D162" s="2" t="inlineStr">
        <is>
          <t>Peugeot 107 1.0i Urban (68 CV)</t>
        </is>
      </c>
      <c r="E162" s="2" t="inlineStr">
        <is>
          <t>Peugeot</t>
        </is>
      </c>
      <c r="F162" s="2" t="inlineStr">
        <is>
          <t>Peugeot 107</t>
        </is>
      </c>
      <c r="G162" s="2" t="inlineStr">
        <is>
          <t>1.0</t>
        </is>
      </c>
      <c r="H162" s="2" t="inlineStr">
        <is>
          <t>Peugeot 107 1.0i Urban (68 CV)</t>
        </is>
      </c>
      <c r="I162" s="2" t="n">
        <v>998</v>
      </c>
      <c r="J162" s="2" t="n">
        <v>68</v>
      </c>
      <c r="K162" s="2" t="inlineStr">
        <is>
          <t>gasolina</t>
        </is>
      </c>
      <c r="L162" s="2" t="inlineStr">
        <is>
          <t>utilitario</t>
        </is>
      </c>
      <c r="M162" s="2" t="n">
        <v>2007</v>
      </c>
      <c r="N162" s="2" t="n">
        <v>150561</v>
      </c>
      <c r="O162" s="2" t="n">
        <v>2200</v>
      </c>
      <c r="P162" s="2" t="inlineStr">
        <is>
          <t>manual</t>
        </is>
      </c>
      <c r="Q162" s="2" t="inlineStr">
        <is>
          <t>no</t>
        </is>
      </c>
      <c r="R162" s="2" t="inlineStr">
        <is>
          <t>profesional</t>
        </is>
      </c>
      <c r="S162" s="2" t="inlineStr">
        <is>
          <t>Valencia - Gandía (Gandía, 46702)</t>
        </is>
      </c>
      <c r="T162" s="2" t="inlineStr">
        <is>
          <t>2026-10-23T00:00:00.000Z</t>
        </is>
      </c>
      <c r="U162" s="2" t="n">
        <v>33</v>
      </c>
      <c r="V162" s="2" t="inlineStr">
        <is>
          <t>sí</t>
        </is>
      </c>
      <c r="W162" s="2" t="inlineStr">
        <is>
          <t>sí</t>
        </is>
      </c>
      <c r="X162" s="2" t="n"/>
      <c r="Y162" s="2" t="n">
        <v>0</v>
      </c>
      <c r="Z162" s="2" t="inlineStr">
        <is>
          <t>sí</t>
        </is>
      </c>
      <c r="AA162" s="2" t="n"/>
      <c r="AB162" s="2" t="n">
        <v>12</v>
      </c>
      <c r="AC162" s="2" t="inlineStr">
        <is>
          <t>sí</t>
        </is>
      </c>
      <c r="AD162" s="2" t="n">
        <v>500</v>
      </c>
      <c r="AE162" s="2" t="n">
        <v>200</v>
      </c>
      <c r="AF162" s="2" t="inlineStr">
        <is>
          <t>sí</t>
        </is>
      </c>
      <c r="AG162" s="2" t="n"/>
      <c r="AH162" s="2" t="n">
        <v>2200</v>
      </c>
      <c r="AI162" s="2" t="n">
        <v>2200</v>
      </c>
      <c r="AJ162" s="2" t="inlineStr">
        <is>
          <t>no</t>
        </is>
      </c>
      <c r="AK162" s="2" t="n">
        <v>350</v>
      </c>
      <c r="AL162" s="2" t="inlineStr">
        <is>
          <t>sí</t>
        </is>
      </c>
      <c r="AM162" s="2" t="n">
        <v>58.4</v>
      </c>
      <c r="AN162" s="2" t="inlineStr">
        <is>
          <t>9616FMR</t>
        </is>
      </c>
      <c r="AO162" s="2" t="inlineStr">
        <is>
          <t>2007-03-26</t>
        </is>
      </c>
      <c r="AP162" s="2" t="n">
        <v>2007</v>
      </c>
      <c r="AQ162" s="2" t="n">
        <v>3</v>
      </c>
      <c r="AR162" s="2" t="inlineStr">
        <is>
          <t>C</t>
        </is>
      </c>
      <c r="AS162" s="2" t="inlineStr">
        <is>
          <t>DGT</t>
        </is>
      </c>
      <c r="AT162" s="2" t="n">
        <v>2200</v>
      </c>
      <c r="AU162" s="2" t="n">
        <v>7</v>
      </c>
      <c r="AV162" s="2" t="inlineStr">
        <is>
          <t>modelo+año</t>
        </is>
      </c>
      <c r="AW162" s="2" t="inlineStr">
        <is>
          <t>autoscout24:3c5fcb34-830f-4d77-9f43-04e63fcc2092 (https://www.autoscout24.es/anuncios/peugeot-107-1-0i-urban-gasolina-negro-cat_ma55mo18647-3c5fcb34-830f-4d77-9f43-04e63fcc2092); cochesnet:71865442 (https://www.coches.net/peugeot-107-10i-urban-5p-gasolina-2005-en-valencia-71865442-covo.aspx)</t>
        </is>
      </c>
      <c r="AX162" s="2" t="inlineStr">
        <is>
          <t>vendedor profesional: sin ITP (operación con IVA/REBU, confirmar en factura); fiabilidad del modelo PENDIENTE de fuente (puntuación neutra)</t>
        </is>
      </c>
      <c r="AY162" s="2" t="inlineStr">
        <is>
          <t>Peugeot 107 1.0i Urban (68 CV)</t>
        </is>
      </c>
      <c r="AZ162" s="2" t="inlineStr">
        <is>
          <t>https://www.ocasionplus.com/coches-segunda-mano/peugeot-107-10i-urban-con-150561km-2007-aynqvqai (payload RSC 'vehicle') /home/user/Alopecia/buscador-coches/raw/ocasionplus/8ce852420d9a2326.json</t>
        </is>
      </c>
      <c r="BA162" s="3">
        <f>MAX(ANIO_ACTUAL-M162,0)</f>
        <v/>
      </c>
      <c r="BB162" s="4">
        <f>N162/MAX(BA162,0.5)</f>
        <v/>
      </c>
      <c r="BC162" s="4">
        <f>F162</f>
        <v/>
      </c>
      <c r="BD162" s="3">
        <f>BC162&amp;"|"&amp;INT(M162/SEG_ANIO)*SEG_ANIO</f>
        <v/>
      </c>
      <c r="BE162" s="3">
        <f>BD162&amp;"|"&amp;INT(N162/SEG_KM)*SEG_KM</f>
        <v/>
      </c>
      <c r="BF162" s="4">
        <f>COUNTIF($BC$2:$BC$545,BC162)</f>
        <v/>
      </c>
      <c r="BG162" s="4">
        <f>COUNTIF($BD$2:$BD$545,BD162)</f>
        <v/>
      </c>
      <c r="BH162" s="4">
        <f>COUNTIF($BE$2:$BE$545,BE162)</f>
        <v/>
      </c>
      <c r="BI162" s="3">
        <f t="array" ref="BI162">IF(N(AU162)&gt;=MIN_N,AT162,IF(BH162&gt;=MIN_N,MEDIAN(IF($BE$2:$BE$545=BE162,$O$2:$O$545)),IF(BG162&gt;=MIN_N,MEDIAN(IF($BD$2:$BD$545=BD162,$O$2:$O$545)),MEDIAN(IF($BC$2:$BC$545=BC162,$O$2:$O$545)))))</f>
        <v/>
      </c>
      <c r="BJ162" s="3">
        <f>IF(N(AU162)&gt;=MIN_N,"mercado "&amp;AV162,IF(BH162&gt;=MIN_N,"modelo+año+km",IF(BG162&gt;=MIN_N,"modelo+año","modelo")))</f>
        <v/>
      </c>
      <c r="BK162" s="4">
        <f>(BI162-O162)/BI162</f>
        <v/>
      </c>
      <c r="BL162" s="3">
        <f>IF(COUNTIFS(FR_FUEL,K162,FR_YEAR,AP162)&gt;0,1,0)</f>
        <v/>
      </c>
      <c r="BM162" s="3">
        <f>IF(COUNTIFS(FR_FUEL,K162,FR_YEAR,AP162-1)&gt;0,1,0)</f>
        <v/>
      </c>
      <c r="BN162" s="4">
        <f>IF(N(AQ162)&gt;0,AP162*100+AQ162,IF(AND(BL162=1,BM162=1),(AP162-1)*100+1,AP162*100+1))</f>
        <v/>
      </c>
      <c r="BO162" s="3">
        <f>IF(OR(K162="hibrido",K162="glp",K162="gnc",K162="phev"),"ECO",IF(K162="electrico","CERO",IF(K162="gasolina",IF(BN162&gt;=GAS_C_YM,"C",IF(BN162&gt;=GAS_B_YM,"B","A")),IF(K162="diesel",IF(BN162&gt;=DIE_C_YM,"C",IF(BN162&gt;=DIE_B_YM,"B","A")),""))))</f>
        <v/>
      </c>
      <c r="BP162" s="2" t="inlineStr">
        <is>
          <t>C</t>
        </is>
      </c>
      <c r="BQ162" s="4">
        <f>IF(AS162="regla",IF(AND(N(AQ162)=0,BL162=1),"sí","no"),"no")</f>
        <v/>
      </c>
      <c r="BR162" s="3">
        <f>IFERROR(VLOOKUP(F162,MOD_TBL,11,0),IFERROR(VLOOKUP(E162,OCU_TBL,2,0),NEUTRO))</f>
        <v/>
      </c>
      <c r="BS162" s="3">
        <f>SUMIFS(MOT_AJUSTE,MOT_MOTOR,G162,MOT_MARCA,E162,MOT_DESDE,"&lt;="&amp;M162,MOT_HASTA,"&gt;="&amp;M162)+SUMIFS(MOT_AJUSTE,MOT_MOTOR,G162,MOT_MARCA,"(todas)",MOT_DESDE,"&lt;="&amp;M162,MOT_HASTA,"&gt;="&amp;M162)</f>
        <v/>
      </c>
      <c r="BT162" s="3">
        <f>SUMIFS(COMB_AJUSTE,COMB_COMB,K162)</f>
        <v/>
      </c>
      <c r="BU162" s="3">
        <f>COUNTIFS(MOT_MOTOR,G162,MOT_MARCA,E162,MOT_DESDE,"&lt;="&amp;M162,MOT_HASTA,"&gt;="&amp;M162)+COUNTIFS(MOT_MOTOR,G162,MOT_MARCA,"(todas)",MOT_DESDE,"&lt;="&amp;M162,MOT_HASTA,"&gt;="&amp;M162)</f>
        <v/>
      </c>
      <c r="BV162" s="3">
        <f>IF(AND(K162="diesel",BU162=0),MIN(BR162,NEUTRO),BR162)</f>
        <v/>
      </c>
      <c r="BW162" s="4">
        <f>MAX(0,MIN(100,BV162+BS162+BT162))</f>
        <v/>
      </c>
      <c r="BX162" s="3">
        <f>MAX(0,MIN(100,50+BK162*PRECIO_PEND))</f>
        <v/>
      </c>
      <c r="BY162" s="3">
        <f>MAX(0,100*(1-N162/KM_MAX))</f>
        <v/>
      </c>
      <c r="BZ162" s="3">
        <f>IF(BB162&lt;KMA_SOSP,IF(AA162="sí",100,KMA_PEN),IF(BB162&lt;=KMA_IDEAL_MAX,100,MAX(0,100*(KMA_CERO-BB162)/(KMA_CERO-KMA_IDEAL_MAX))))</f>
        <v/>
      </c>
      <c r="CA162" s="3">
        <f>MAX(0,MIN(100,100*(M162-ANIO_MIN)/(ANIO_ACTUAL-ANIO_MIN)))</f>
        <v/>
      </c>
      <c r="CB162" s="3">
        <f>W_KMT*BY162+W_KMA*BZ162+W_EDAD*CA162</f>
        <v/>
      </c>
      <c r="CC162" s="3">
        <f>P_ITV*(V162="sí")+P_LIBRO*(W162="sí")+P_CORREA*(X162="sí")+P_PROP*(Y162=1)+P_GAR*(Z162="sí")+P_FOTOS*MIN(1,N(U162)/FOTOS_OBJ)</f>
        <v/>
      </c>
      <c r="CD162" s="3">
        <f>MAX(0,MIN(100,IFERROR(VLOOKUP(BP162,ETQ_TBL,2,0),0)-IF(BQ162="sí",ETQ_PEN_DUD,IF(AS162="regla",ETQ_PEN_REGLA,0))))</f>
        <v/>
      </c>
      <c r="CE162" s="3">
        <f>NEUTRO</f>
        <v/>
      </c>
      <c r="CF162" s="3">
        <f>IFERROR(VLOOKUP(L162,SEGURO_TBL,3,0),"")</f>
        <v/>
      </c>
      <c r="CG162" s="3">
        <f>IF(CF162="",NEUTRO,MAX(0,MIN(100,100*(SEG_REF_MAX-CF162)/(SEG_REF_MAX-SEG_REF_MIN))))</f>
        <v/>
      </c>
      <c r="CH162" s="3">
        <f>W_CONS*CE162+W_SEG*CG162</f>
        <v/>
      </c>
      <c r="CI162" s="3">
        <f>IF(N(AB162)&gt;0,AB162,IF(AND(R162="profesional",SG_LEGAL_ON=1),GAR_LEGAL,0))</f>
        <v/>
      </c>
      <c r="CJ162" s="3">
        <f>SG_GAR*MIN(1,CI162/SG_GAR_FULL)+SG_AMPL*(AC162="sí")+SG_KMC*(AF162="sí")+SG_REV*(N(AE162)&gt;0)+SG_DEV*MIN(1,N(AG162)/SG_DEV_FULL)+SG_HIST*(W162="sí")</f>
        <v/>
      </c>
      <c r="CK162" s="3">
        <f>IFERROR(VLOOKUP(L162,CARR_PEN_TBL,2,0),0)</f>
        <v/>
      </c>
      <c r="CL162" s="3">
        <f>W_FIAB*BW162+W_PRECIO*BX162+W_KMEDAD*CB162+W_ANUNCIO*CC162+W_USO*CH162+W_SEGURIDAD*CJ162+W_ETIQUETA*CD162-CK162</f>
        <v/>
      </c>
      <c r="CM162" s="4">
        <f>IF(N(I162)&gt;0,I162,IFERROR(ROUND(_xlfn.NUMBERVALUE(LEFT(G162,FIND(" ",G162&amp;" ")-1),".")*1000,0),99999))</f>
        <v/>
      </c>
      <c r="CN162" s="3">
        <f>IF(R162="profesional",0,IF(O162&lt;CUOTA_VALOR_MAX,IF(BA162&gt;ITP_TRAMO_ALTO,SUMIFS(CF_CUOTA,CF_MAS,ITP_TRAMO_ALTO,CF_CCMIN,"&lt;="&amp;CM162,CF_CCMAX,"&gt;="&amp;CM162),IF(BA162&gt;ITP_TRAMO_BAJO,SUMIFS(CF_CUOTA,CF_MAS,ITP_TRAMO_BAJO,CF_CCMIN,"&lt;="&amp;CM162,CF_CCMAX,"&gt;="&amp;CM162),O162*ITP_TIPO)),O162*ITP_TIPO))</f>
        <v/>
      </c>
      <c r="CO162" s="4">
        <f>IF(R162="profesional",N(AK162),0)</f>
        <v/>
      </c>
      <c r="CP162" s="3">
        <f>IF(AND(R162="profesional",ISNUMBER(AK162),AL162="sí"),0,TASA_DGT)</f>
        <v/>
      </c>
      <c r="CQ162" s="3">
        <f>INFORME_DGT</f>
        <v/>
      </c>
      <c r="CR162" s="4">
        <f>O162+CO162+CN162+CP162+CQ162</f>
        <v/>
      </c>
      <c r="CS162" s="4">
        <f>CR162+N(CF162)</f>
        <v/>
      </c>
      <c r="CT162" s="3">
        <f>IF(CR162&lt;=TOTAL_MAX,"sí",IF(CR162&lt;=TOTAL_MAX+MARGEN_NEG,"negociar","no"))</f>
        <v/>
      </c>
      <c r="CU162" s="4">
        <f>IF(CT162&lt;&gt;"no",COUNTIFS($CT$2:$CT$545,"&lt;&gt;no",$CL$2:$CL$545,"&gt;"&amp;CL162)+COUNTIFS($CT$2:CT162,"&lt;&gt;no",$CL$2:CL162,CL162),"")</f>
        <v/>
      </c>
    </row>
    <row r="163">
      <c r="A163" s="2" t="inlineStr">
        <is>
          <t>ocasionplus:zgabhqan</t>
        </is>
      </c>
      <c r="B163" s="2" t="inlineStr">
        <is>
          <t>ocasionplus</t>
        </is>
      </c>
      <c r="C163" s="2" t="inlineStr">
        <is>
          <t>https://www.ocasionplus.com/coches-segunda-mano/renault-clio-14-16v-dynamique-con-106165km-2006-zgabhqan</t>
        </is>
      </c>
      <c r="D163" s="2" t="inlineStr">
        <is>
          <t>Renault Clio 1.4 16v Dynamique (100 CV)</t>
        </is>
      </c>
      <c r="E163" s="2" t="inlineStr">
        <is>
          <t>Renault</t>
        </is>
      </c>
      <c r="F163" s="2" t="inlineStr">
        <is>
          <t>Renault Clio</t>
        </is>
      </c>
      <c r="G163" s="2" t="inlineStr">
        <is>
          <t>1.4</t>
        </is>
      </c>
      <c r="H163" s="2" t="inlineStr">
        <is>
          <t>Renault Clio 1.4 16v Dynamique (100 CV)</t>
        </is>
      </c>
      <c r="I163" s="2" t="n">
        <v>1390</v>
      </c>
      <c r="J163" s="2" t="n">
        <v>100</v>
      </c>
      <c r="K163" s="2" t="inlineStr">
        <is>
          <t>gasolina</t>
        </is>
      </c>
      <c r="L163" s="2" t="inlineStr">
        <is>
          <t>utilitario</t>
        </is>
      </c>
      <c r="M163" s="2" t="n">
        <v>2006</v>
      </c>
      <c r="N163" s="2" t="n">
        <v>106165</v>
      </c>
      <c r="O163" s="2" t="n">
        <v>4700</v>
      </c>
      <c r="P163" s="2" t="inlineStr">
        <is>
          <t>manual</t>
        </is>
      </c>
      <c r="Q163" s="2" t="inlineStr">
        <is>
          <t>no</t>
        </is>
      </c>
      <c r="R163" s="2" t="inlineStr">
        <is>
          <t>profesional</t>
        </is>
      </c>
      <c r="S163" s="2" t="inlineStr">
        <is>
          <t>Valencia - Pista de Silla - Macrocentro (Massanassa, 46470)</t>
        </is>
      </c>
      <c r="T163" s="2" t="inlineStr">
        <is>
          <t>2026-09-30T00:00:00.000Z</t>
        </is>
      </c>
      <c r="U163" s="2" t="n">
        <v>35</v>
      </c>
      <c r="V163" s="2" t="inlineStr">
        <is>
          <t>sí</t>
        </is>
      </c>
      <c r="W163" s="2" t="n"/>
      <c r="X163" s="2" t="n"/>
      <c r="Y163" s="2" t="n">
        <v>1</v>
      </c>
      <c r="Z163" s="2" t="inlineStr">
        <is>
          <t>sí</t>
        </is>
      </c>
      <c r="AA163" s="2" t="n"/>
      <c r="AB163" s="2" t="n">
        <v>12</v>
      </c>
      <c r="AC163" s="2" t="inlineStr">
        <is>
          <t>sí</t>
        </is>
      </c>
      <c r="AD163" s="2" t="n">
        <v>600</v>
      </c>
      <c r="AE163" s="2" t="n">
        <v>200</v>
      </c>
      <c r="AF163" s="2" t="inlineStr">
        <is>
          <t>sí</t>
        </is>
      </c>
      <c r="AG163" s="2" t="n"/>
      <c r="AH163" s="2" t="n">
        <v>4700</v>
      </c>
      <c r="AI163" s="2" t="n">
        <v>4500</v>
      </c>
      <c r="AJ163" s="2" t="inlineStr">
        <is>
          <t>sí</t>
        </is>
      </c>
      <c r="AK163" s="2" t="n">
        <v>350</v>
      </c>
      <c r="AL163" s="2" t="inlineStr">
        <is>
          <t>sí</t>
        </is>
      </c>
      <c r="AM163" s="2" t="n">
        <v>7.8</v>
      </c>
      <c r="AN163" s="2" t="inlineStr">
        <is>
          <t>9285FGY</t>
        </is>
      </c>
      <c r="AO163" s="2" t="inlineStr">
        <is>
          <t>2006-10-27</t>
        </is>
      </c>
      <c r="AP163" s="2" t="n">
        <v>2006</v>
      </c>
      <c r="AQ163" s="2" t="n">
        <v>10</v>
      </c>
      <c r="AR163" s="2" t="inlineStr">
        <is>
          <t>C</t>
        </is>
      </c>
      <c r="AS163" s="2" t="inlineStr">
        <is>
          <t>DGT</t>
        </is>
      </c>
      <c r="AT163" s="2" t="n">
        <v>2750</v>
      </c>
      <c r="AU163" s="2" t="n">
        <v>18</v>
      </c>
      <c r="AV163" s="2" t="inlineStr">
        <is>
          <t>modelo+año</t>
        </is>
      </c>
      <c r="AW163" s="2" t="n"/>
      <c r="AX163" s="2" t="inlineStr">
        <is>
          <t>por encima del presupuesto (5059 €), negociar; vendedor profesional: sin ITP (operación con IVA/REBU, confirmar en factura); el precio anunciado (4.500 €) solo vale financiando; se usa el precio al contado</t>
        </is>
      </c>
      <c r="AY163" s="2" t="inlineStr">
        <is>
          <t>Renault Clio 1.4 16v Dynamique (100 CV)</t>
        </is>
      </c>
      <c r="AZ163" s="2" t="inlineStr">
        <is>
          <t>https://www.ocasionplus.com/coches-segunda-mano/renault-clio-14-16v-dynamique-con-106165km-2006-zgabhqan (payload RSC 'vehicle') /home/user/Alopecia/buscador-coches/raw/ocasionplus/f403fe1285048607.json</t>
        </is>
      </c>
      <c r="BA163" s="3">
        <f>MAX(ANIO_ACTUAL-M163,0)</f>
        <v/>
      </c>
      <c r="BB163" s="4">
        <f>N163/MAX(BA163,0.5)</f>
        <v/>
      </c>
      <c r="BC163" s="4">
        <f>F163</f>
        <v/>
      </c>
      <c r="BD163" s="3">
        <f>BC163&amp;"|"&amp;INT(M163/SEG_ANIO)*SEG_ANIO</f>
        <v/>
      </c>
      <c r="BE163" s="3">
        <f>BD163&amp;"|"&amp;INT(N163/SEG_KM)*SEG_KM</f>
        <v/>
      </c>
      <c r="BF163" s="4">
        <f>COUNTIF($BC$2:$BC$545,BC163)</f>
        <v/>
      </c>
      <c r="BG163" s="4">
        <f>COUNTIF($BD$2:$BD$545,BD163)</f>
        <v/>
      </c>
      <c r="BH163" s="4">
        <f>COUNTIF($BE$2:$BE$545,BE163)</f>
        <v/>
      </c>
      <c r="BI163" s="3">
        <f t="array" ref="BI163">IF(N(AU163)&gt;=MIN_N,AT163,IF(BH163&gt;=MIN_N,MEDIAN(IF($BE$2:$BE$545=BE163,$O$2:$O$545)),IF(BG163&gt;=MIN_N,MEDIAN(IF($BD$2:$BD$545=BD163,$O$2:$O$545)),MEDIAN(IF($BC$2:$BC$545=BC163,$O$2:$O$545)))))</f>
        <v/>
      </c>
      <c r="BJ163" s="3">
        <f>IF(N(AU163)&gt;=MIN_N,"mercado "&amp;AV163,IF(BH163&gt;=MIN_N,"modelo+año+km",IF(BG163&gt;=MIN_N,"modelo+año","modelo")))</f>
        <v/>
      </c>
      <c r="BK163" s="4">
        <f>(BI163-O163)/BI163</f>
        <v/>
      </c>
      <c r="BL163" s="3">
        <f>IF(COUNTIFS(FR_FUEL,K163,FR_YEAR,AP163)&gt;0,1,0)</f>
        <v/>
      </c>
      <c r="BM163" s="3">
        <f>IF(COUNTIFS(FR_FUEL,K163,FR_YEAR,AP163-1)&gt;0,1,0)</f>
        <v/>
      </c>
      <c r="BN163" s="4">
        <f>IF(N(AQ163)&gt;0,AP163*100+AQ163,IF(AND(BL163=1,BM163=1),(AP163-1)*100+1,AP163*100+1))</f>
        <v/>
      </c>
      <c r="BO163" s="3">
        <f>IF(OR(K163="hibrido",K163="glp",K163="gnc",K163="phev"),"ECO",IF(K163="electrico","CERO",IF(K163="gasolina",IF(BN163&gt;=GAS_C_YM,"C",IF(BN163&gt;=GAS_B_YM,"B","A")),IF(K163="diesel",IF(BN163&gt;=DIE_C_YM,"C",IF(BN163&gt;=DIE_B_YM,"B","A")),""))))</f>
        <v/>
      </c>
      <c r="BP163" s="2" t="inlineStr">
        <is>
          <t>C</t>
        </is>
      </c>
      <c r="BQ163" s="4">
        <f>IF(AS163="regla",IF(AND(N(AQ163)=0,BL163=1),"sí","no"),"no")</f>
        <v/>
      </c>
      <c r="BR163" s="3">
        <f>IFERROR(VLOOKUP(F163,MOD_TBL,11,0),IFERROR(VLOOKUP(E163,OCU_TBL,2,0),NEUTRO))</f>
        <v/>
      </c>
      <c r="BS163" s="3">
        <f>SUMIFS(MOT_AJUSTE,MOT_MOTOR,G163,MOT_MARCA,E163,MOT_DESDE,"&lt;="&amp;M163,MOT_HASTA,"&gt;="&amp;M163)+SUMIFS(MOT_AJUSTE,MOT_MOTOR,G163,MOT_MARCA,"(todas)",MOT_DESDE,"&lt;="&amp;M163,MOT_HASTA,"&gt;="&amp;M163)</f>
        <v/>
      </c>
      <c r="BT163" s="3">
        <f>SUMIFS(COMB_AJUSTE,COMB_COMB,K163)</f>
        <v/>
      </c>
      <c r="BU163" s="3">
        <f>COUNTIFS(MOT_MOTOR,G163,MOT_MARCA,E163,MOT_DESDE,"&lt;="&amp;M163,MOT_HASTA,"&gt;="&amp;M163)+COUNTIFS(MOT_MOTOR,G163,MOT_MARCA,"(todas)",MOT_DESDE,"&lt;="&amp;M163,MOT_HASTA,"&gt;="&amp;M163)</f>
        <v/>
      </c>
      <c r="BV163" s="3">
        <f>IF(AND(K163="diesel",BU163=0),MIN(BR163,NEUTRO),BR163)</f>
        <v/>
      </c>
      <c r="BW163" s="4">
        <f>MAX(0,MIN(100,BV163+BS163+BT163))</f>
        <v/>
      </c>
      <c r="BX163" s="3">
        <f>MAX(0,MIN(100,50+BK163*PRECIO_PEND))</f>
        <v/>
      </c>
      <c r="BY163" s="3">
        <f>MAX(0,100*(1-N163/KM_MAX))</f>
        <v/>
      </c>
      <c r="BZ163" s="3">
        <f>IF(BB163&lt;KMA_SOSP,IF(AA163="sí",100,KMA_PEN),IF(BB163&lt;=KMA_IDEAL_MAX,100,MAX(0,100*(KMA_CERO-BB163)/(KMA_CERO-KMA_IDEAL_MAX))))</f>
        <v/>
      </c>
      <c r="CA163" s="3">
        <f>MAX(0,MIN(100,100*(M163-ANIO_MIN)/(ANIO_ACTUAL-ANIO_MIN)))</f>
        <v/>
      </c>
      <c r="CB163" s="3">
        <f>W_KMT*BY163+W_KMA*BZ163+W_EDAD*CA163</f>
        <v/>
      </c>
      <c r="CC163" s="3">
        <f>P_ITV*(V163="sí")+P_LIBRO*(W163="sí")+P_CORREA*(X163="sí")+P_PROP*(Y163=1)+P_GAR*(Z163="sí")+P_FOTOS*MIN(1,N(U163)/FOTOS_OBJ)</f>
        <v/>
      </c>
      <c r="CD163" s="3">
        <f>MAX(0,MIN(100,IFERROR(VLOOKUP(BP163,ETQ_TBL,2,0),0)-IF(BQ163="sí",ETQ_PEN_DUD,IF(AS163="regla",ETQ_PEN_REGLA,0))))</f>
        <v/>
      </c>
      <c r="CE163" s="3">
        <f>NEUTRO</f>
        <v/>
      </c>
      <c r="CF163" s="3">
        <f>IFERROR(VLOOKUP(L163,SEGURO_TBL,3,0),"")</f>
        <v/>
      </c>
      <c r="CG163" s="3">
        <f>IF(CF163="",NEUTRO,MAX(0,MIN(100,100*(SEG_REF_MAX-CF163)/(SEG_REF_MAX-SEG_REF_MIN))))</f>
        <v/>
      </c>
      <c r="CH163" s="3">
        <f>W_CONS*CE163+W_SEG*CG163</f>
        <v/>
      </c>
      <c r="CI163" s="3">
        <f>IF(N(AB163)&gt;0,AB163,IF(AND(R163="profesional",SG_LEGAL_ON=1),GAR_LEGAL,0))</f>
        <v/>
      </c>
      <c r="CJ163" s="3">
        <f>SG_GAR*MIN(1,CI163/SG_GAR_FULL)+SG_AMPL*(AC163="sí")+SG_KMC*(AF163="sí")+SG_REV*(N(AE163)&gt;0)+SG_DEV*MIN(1,N(AG163)/SG_DEV_FULL)+SG_HIST*(W163="sí")</f>
        <v/>
      </c>
      <c r="CK163" s="3">
        <f>IFERROR(VLOOKUP(L163,CARR_PEN_TBL,2,0),0)</f>
        <v/>
      </c>
      <c r="CL163" s="3">
        <f>W_FIAB*BW163+W_PRECIO*BX163+W_KMEDAD*CB163+W_ANUNCIO*CC163+W_USO*CH163+W_SEGURIDAD*CJ163+W_ETIQUETA*CD163-CK163</f>
        <v/>
      </c>
      <c r="CM163" s="4">
        <f>IF(N(I163)&gt;0,I163,IFERROR(ROUND(_xlfn.NUMBERVALUE(LEFT(G163,FIND(" ",G163&amp;" ")-1),".")*1000,0),99999))</f>
        <v/>
      </c>
      <c r="CN163" s="3">
        <f>IF(R163="profesional",0,IF(O163&lt;CUOTA_VALOR_MAX,IF(BA163&gt;ITP_TRAMO_ALTO,SUMIFS(CF_CUOTA,CF_MAS,ITP_TRAMO_ALTO,CF_CCMIN,"&lt;="&amp;CM163,CF_CCMAX,"&gt;="&amp;CM163),IF(BA163&gt;ITP_TRAMO_BAJO,SUMIFS(CF_CUOTA,CF_MAS,ITP_TRAMO_BAJO,CF_CCMIN,"&lt;="&amp;CM163,CF_CCMAX,"&gt;="&amp;CM163),O163*ITP_TIPO)),O163*ITP_TIPO))</f>
        <v/>
      </c>
      <c r="CO163" s="4">
        <f>IF(R163="profesional",N(AK163),0)</f>
        <v/>
      </c>
      <c r="CP163" s="3">
        <f>IF(AND(R163="profesional",ISNUMBER(AK163),AL163="sí"),0,TASA_DGT)</f>
        <v/>
      </c>
      <c r="CQ163" s="3">
        <f>INFORME_DGT</f>
        <v/>
      </c>
      <c r="CR163" s="4">
        <f>O163+CO163+CN163+CP163+CQ163</f>
        <v/>
      </c>
      <c r="CS163" s="4">
        <f>CR163+N(CF163)</f>
        <v/>
      </c>
      <c r="CT163" s="3">
        <f>IF(CR163&lt;=TOTAL_MAX,"sí",IF(CR163&lt;=TOTAL_MAX+MARGEN_NEG,"negociar","no"))</f>
        <v/>
      </c>
      <c r="CU163" s="4">
        <f>IF(CT163&lt;&gt;"no",COUNTIFS($CT$2:$CT$545,"&lt;&gt;no",$CL$2:$CL$545,"&gt;"&amp;CL163)+COUNTIFS($CT$2:CT163,"&lt;&gt;no",$CL$2:CL163,CL163),"")</f>
        <v/>
      </c>
    </row>
    <row r="164">
      <c r="A164" s="2" t="inlineStr">
        <is>
          <t>ocasionplus:ychajqan</t>
        </is>
      </c>
      <c r="B164" s="2" t="inlineStr">
        <is>
          <t>ocasionplus</t>
        </is>
      </c>
      <c r="C164" s="2" t="inlineStr">
        <is>
          <t>https://www.ocasionplus.com/coches-segunda-mano/seat-ibiza-14-tdi-reference-con-140744km-2007-ychajqan</t>
        </is>
      </c>
      <c r="D164" s="2" t="inlineStr">
        <is>
          <t>Seat Ibiza 1.4 TDI Reference (80 CV)</t>
        </is>
      </c>
      <c r="E164" s="2" t="inlineStr">
        <is>
          <t>Seat</t>
        </is>
      </c>
      <c r="F164" s="2" t="inlineStr">
        <is>
          <t>Seat Ibiza</t>
        </is>
      </c>
      <c r="G164" s="2" t="inlineStr">
        <is>
          <t>1.4 TDI</t>
        </is>
      </c>
      <c r="H164" s="2" t="inlineStr">
        <is>
          <t>Seat Ibiza 1.4 TDI Reference (80 CV)</t>
        </is>
      </c>
      <c r="I164" s="2" t="n">
        <v>1422</v>
      </c>
      <c r="J164" s="2" t="n">
        <v>80</v>
      </c>
      <c r="K164" s="2" t="inlineStr">
        <is>
          <t>diesel</t>
        </is>
      </c>
      <c r="L164" s="2" t="inlineStr">
        <is>
          <t>utilitario</t>
        </is>
      </c>
      <c r="M164" s="2" t="n">
        <v>2007</v>
      </c>
      <c r="N164" s="2" t="n">
        <v>140744</v>
      </c>
      <c r="O164" s="2" t="n">
        <v>3800</v>
      </c>
      <c r="P164" s="2" t="inlineStr">
        <is>
          <t>manual</t>
        </is>
      </c>
      <c r="Q164" s="2" t="inlineStr">
        <is>
          <t>no</t>
        </is>
      </c>
      <c r="R164" s="2" t="inlineStr">
        <is>
          <t>profesional</t>
        </is>
      </c>
      <c r="S164" s="2" t="inlineStr">
        <is>
          <t>Valencia - Sagunto (Sagunto, 46500)</t>
        </is>
      </c>
      <c r="T164" s="2" t="inlineStr">
        <is>
          <t>2026-09-11T00:00:00.000Z</t>
        </is>
      </c>
      <c r="U164" s="2" t="n">
        <v>25</v>
      </c>
      <c r="V164" s="2" t="inlineStr">
        <is>
          <t>sí</t>
        </is>
      </c>
      <c r="W164" s="2" t="n"/>
      <c r="X164" s="2" t="n"/>
      <c r="Y164" s="2" t="n">
        <v>0</v>
      </c>
      <c r="Z164" s="2" t="n"/>
      <c r="AA164" s="2" t="n"/>
      <c r="AB164" s="2" t="n"/>
      <c r="AC164" s="2" t="inlineStr">
        <is>
          <t>sí</t>
        </is>
      </c>
      <c r="AD164" s="2" t="n">
        <v>500</v>
      </c>
      <c r="AE164" s="2" t="n"/>
      <c r="AF164" s="2" t="inlineStr">
        <is>
          <t>sí</t>
        </is>
      </c>
      <c r="AG164" s="2" t="n"/>
      <c r="AH164" s="2" t="n">
        <v>3800</v>
      </c>
      <c r="AI164" s="2" t="n">
        <v>3800</v>
      </c>
      <c r="AJ164" s="2" t="inlineStr">
        <is>
          <t>no</t>
        </is>
      </c>
      <c r="AK164" s="2" t="n">
        <v>350</v>
      </c>
      <c r="AL164" s="2" t="inlineStr">
        <is>
          <t>sí</t>
        </is>
      </c>
      <c r="AM164" s="2" t="n">
        <v>25.5</v>
      </c>
      <c r="AN164" s="2" t="inlineStr">
        <is>
          <t>8191FSH</t>
        </is>
      </c>
      <c r="AO164" s="2" t="inlineStr">
        <is>
          <t>2007-07-11</t>
        </is>
      </c>
      <c r="AP164" s="2" t="n">
        <v>2007</v>
      </c>
      <c r="AQ164" s="2" t="n">
        <v>7</v>
      </c>
      <c r="AR164" s="2" t="inlineStr">
        <is>
          <t>B</t>
        </is>
      </c>
      <c r="AS164" s="2" t="inlineStr">
        <is>
          <t>DGT</t>
        </is>
      </c>
      <c r="AT164" s="2" t="n">
        <v>3850</v>
      </c>
      <c r="AU164" s="2" t="n">
        <v>26</v>
      </c>
      <c r="AV164" s="2" t="inlineStr">
        <is>
          <t>modelo+año</t>
        </is>
      </c>
      <c r="AW164" s="2" t="n"/>
      <c r="AX164" s="2" t="inlineStr">
        <is>
          <t>vendedor profesional: sin ITP (operación con IVA/REBU, confirmar en factura); diésel: motor sin fuente de fiabilidad (fiabilidad limitada a neutra)</t>
        </is>
      </c>
      <c r="AY164" s="2" t="inlineStr">
        <is>
          <t>Seat Ibiza 1.4 TDI Reference (80 CV)</t>
        </is>
      </c>
      <c r="AZ164" s="2" t="inlineStr">
        <is>
          <t>https://www.ocasionplus.com/coches-segunda-mano/seat-ibiza-14-tdi-reference-con-140744km-2007-ychajqan (payload RSC 'vehicle') /home/user/Alopecia/buscador-coches/raw/ocasionplus/f1d7ea20071e9f36.json</t>
        </is>
      </c>
      <c r="BA164" s="3">
        <f>MAX(ANIO_ACTUAL-M164,0)</f>
        <v/>
      </c>
      <c r="BB164" s="4">
        <f>N164/MAX(BA164,0.5)</f>
        <v/>
      </c>
      <c r="BC164" s="4">
        <f>F164</f>
        <v/>
      </c>
      <c r="BD164" s="3">
        <f>BC164&amp;"|"&amp;INT(M164/SEG_ANIO)*SEG_ANIO</f>
        <v/>
      </c>
      <c r="BE164" s="3">
        <f>BD164&amp;"|"&amp;INT(N164/SEG_KM)*SEG_KM</f>
        <v/>
      </c>
      <c r="BF164" s="4">
        <f>COUNTIF($BC$2:$BC$545,BC164)</f>
        <v/>
      </c>
      <c r="BG164" s="4">
        <f>COUNTIF($BD$2:$BD$545,BD164)</f>
        <v/>
      </c>
      <c r="BH164" s="4">
        <f>COUNTIF($BE$2:$BE$545,BE164)</f>
        <v/>
      </c>
      <c r="BI164" s="3">
        <f t="array" ref="BI164">IF(N(AU164)&gt;=MIN_N,AT164,IF(BH164&gt;=MIN_N,MEDIAN(IF($BE$2:$BE$545=BE164,$O$2:$O$545)),IF(BG164&gt;=MIN_N,MEDIAN(IF($BD$2:$BD$545=BD164,$O$2:$O$545)),MEDIAN(IF($BC$2:$BC$545=BC164,$O$2:$O$545)))))</f>
        <v/>
      </c>
      <c r="BJ164" s="3">
        <f>IF(N(AU164)&gt;=MIN_N,"mercado "&amp;AV164,IF(BH164&gt;=MIN_N,"modelo+año+km",IF(BG164&gt;=MIN_N,"modelo+año","modelo")))</f>
        <v/>
      </c>
      <c r="BK164" s="4">
        <f>(BI164-O164)/BI164</f>
        <v/>
      </c>
      <c r="BL164" s="3">
        <f>IF(COUNTIFS(FR_FUEL,K164,FR_YEAR,AP164)&gt;0,1,0)</f>
        <v/>
      </c>
      <c r="BM164" s="3">
        <f>IF(COUNTIFS(FR_FUEL,K164,FR_YEAR,AP164-1)&gt;0,1,0)</f>
        <v/>
      </c>
      <c r="BN164" s="4">
        <f>IF(N(AQ164)&gt;0,AP164*100+AQ164,IF(AND(BL164=1,BM164=1),(AP164-1)*100+1,AP164*100+1))</f>
        <v/>
      </c>
      <c r="BO164" s="3">
        <f>IF(OR(K164="hibrido",K164="glp",K164="gnc",K164="phev"),"ECO",IF(K164="electrico","CERO",IF(K164="gasolina",IF(BN164&gt;=GAS_C_YM,"C",IF(BN164&gt;=GAS_B_YM,"B","A")),IF(K164="diesel",IF(BN164&gt;=DIE_C_YM,"C",IF(BN164&gt;=DIE_B_YM,"B","A")),""))))</f>
        <v/>
      </c>
      <c r="BP164" s="2" t="inlineStr">
        <is>
          <t>B</t>
        </is>
      </c>
      <c r="BQ164" s="4">
        <f>IF(AS164="regla",IF(AND(N(AQ164)=0,BL164=1),"sí","no"),"no")</f>
        <v/>
      </c>
      <c r="BR164" s="3">
        <f>IFERROR(VLOOKUP(F164,MOD_TBL,11,0),IFERROR(VLOOKUP(E164,OCU_TBL,2,0),NEUTRO))</f>
        <v/>
      </c>
      <c r="BS164" s="3">
        <f>SUMIFS(MOT_AJUSTE,MOT_MOTOR,G164,MOT_MARCA,E164,MOT_DESDE,"&lt;="&amp;M164,MOT_HASTA,"&gt;="&amp;M164)+SUMIFS(MOT_AJUSTE,MOT_MOTOR,G164,MOT_MARCA,"(todas)",MOT_DESDE,"&lt;="&amp;M164,MOT_HASTA,"&gt;="&amp;M164)</f>
        <v/>
      </c>
      <c r="BT164" s="3">
        <f>SUMIFS(COMB_AJUSTE,COMB_COMB,K164)</f>
        <v/>
      </c>
      <c r="BU164" s="3">
        <f>COUNTIFS(MOT_MOTOR,G164,MOT_MARCA,E164,MOT_DESDE,"&lt;="&amp;M164,MOT_HASTA,"&gt;="&amp;M164)+COUNTIFS(MOT_MOTOR,G164,MOT_MARCA,"(todas)",MOT_DESDE,"&lt;="&amp;M164,MOT_HASTA,"&gt;="&amp;M164)</f>
        <v/>
      </c>
      <c r="BV164" s="3">
        <f>IF(AND(K164="diesel",BU164=0),MIN(BR164,NEUTRO),BR164)</f>
        <v/>
      </c>
      <c r="BW164" s="4">
        <f>MAX(0,MIN(100,BV164+BS164+BT164))</f>
        <v/>
      </c>
      <c r="BX164" s="3">
        <f>MAX(0,MIN(100,50+BK164*PRECIO_PEND))</f>
        <v/>
      </c>
      <c r="BY164" s="3">
        <f>MAX(0,100*(1-N164/KM_MAX))</f>
        <v/>
      </c>
      <c r="BZ164" s="3">
        <f>IF(BB164&lt;KMA_SOSP,IF(AA164="sí",100,KMA_PEN),IF(BB164&lt;=KMA_IDEAL_MAX,100,MAX(0,100*(KMA_CERO-BB164)/(KMA_CERO-KMA_IDEAL_MAX))))</f>
        <v/>
      </c>
      <c r="CA164" s="3">
        <f>MAX(0,MIN(100,100*(M164-ANIO_MIN)/(ANIO_ACTUAL-ANIO_MIN)))</f>
        <v/>
      </c>
      <c r="CB164" s="3">
        <f>W_KMT*BY164+W_KMA*BZ164+W_EDAD*CA164</f>
        <v/>
      </c>
      <c r="CC164" s="3">
        <f>P_ITV*(V164="sí")+P_LIBRO*(W164="sí")+P_CORREA*(X164="sí")+P_PROP*(Y164=1)+P_GAR*(Z164="sí")+P_FOTOS*MIN(1,N(U164)/FOTOS_OBJ)</f>
        <v/>
      </c>
      <c r="CD164" s="3">
        <f>MAX(0,MIN(100,IFERROR(VLOOKUP(BP164,ETQ_TBL,2,0),0)-IF(BQ164="sí",ETQ_PEN_DUD,IF(AS164="regla",ETQ_PEN_REGLA,0))))</f>
        <v/>
      </c>
      <c r="CE164" s="3">
        <f>NEUTRO</f>
        <v/>
      </c>
      <c r="CF164" s="3">
        <f>IFERROR(VLOOKUP(L164,SEGURO_TBL,3,0),"")</f>
        <v/>
      </c>
      <c r="CG164" s="3">
        <f>IF(CF164="",NEUTRO,MAX(0,MIN(100,100*(SEG_REF_MAX-CF164)/(SEG_REF_MAX-SEG_REF_MIN))))</f>
        <v/>
      </c>
      <c r="CH164" s="3">
        <f>W_CONS*CE164+W_SEG*CG164</f>
        <v/>
      </c>
      <c r="CI164" s="3">
        <f>IF(N(AB164)&gt;0,AB164,IF(AND(R164="profesional",SG_LEGAL_ON=1),GAR_LEGAL,0))</f>
        <v/>
      </c>
      <c r="CJ164" s="3">
        <f>SG_GAR*MIN(1,CI164/SG_GAR_FULL)+SG_AMPL*(AC164="sí")+SG_KMC*(AF164="sí")+SG_REV*(N(AE164)&gt;0)+SG_DEV*MIN(1,N(AG164)/SG_DEV_FULL)+SG_HIST*(W164="sí")</f>
        <v/>
      </c>
      <c r="CK164" s="3">
        <f>IFERROR(VLOOKUP(L164,CARR_PEN_TBL,2,0),0)</f>
        <v/>
      </c>
      <c r="CL164" s="3">
        <f>W_FIAB*BW164+W_PRECIO*BX164+W_KMEDAD*CB164+W_ANUNCIO*CC164+W_USO*CH164+W_SEGURIDAD*CJ164+W_ETIQUETA*CD164-CK164</f>
        <v/>
      </c>
      <c r="CM164" s="4">
        <f>IF(N(I164)&gt;0,I164,IFERROR(ROUND(_xlfn.NUMBERVALUE(LEFT(G164,FIND(" ",G164&amp;" ")-1),".")*1000,0),99999))</f>
        <v/>
      </c>
      <c r="CN164" s="3">
        <f>IF(R164="profesional",0,IF(O164&lt;CUOTA_VALOR_MAX,IF(BA164&gt;ITP_TRAMO_ALTO,SUMIFS(CF_CUOTA,CF_MAS,ITP_TRAMO_ALTO,CF_CCMIN,"&lt;="&amp;CM164,CF_CCMAX,"&gt;="&amp;CM164),IF(BA164&gt;ITP_TRAMO_BAJO,SUMIFS(CF_CUOTA,CF_MAS,ITP_TRAMO_BAJO,CF_CCMIN,"&lt;="&amp;CM164,CF_CCMAX,"&gt;="&amp;CM164),O164*ITP_TIPO)),O164*ITP_TIPO))</f>
        <v/>
      </c>
      <c r="CO164" s="4">
        <f>IF(R164="profesional",N(AK164),0)</f>
        <v/>
      </c>
      <c r="CP164" s="3">
        <f>IF(AND(R164="profesional",ISNUMBER(AK164),AL164="sí"),0,TASA_DGT)</f>
        <v/>
      </c>
      <c r="CQ164" s="3">
        <f>INFORME_DGT</f>
        <v/>
      </c>
      <c r="CR164" s="4">
        <f>O164+CO164+CN164+CP164+CQ164</f>
        <v/>
      </c>
      <c r="CS164" s="4">
        <f>CR164+N(CF164)</f>
        <v/>
      </c>
      <c r="CT164" s="3">
        <f>IF(CR164&lt;=TOTAL_MAX,"sí",IF(CR164&lt;=TOTAL_MAX+MARGEN_NEG,"negociar","no"))</f>
        <v/>
      </c>
      <c r="CU164" s="4">
        <f>IF(CT164&lt;&gt;"no",COUNTIFS($CT$2:$CT$545,"&lt;&gt;no",$CL$2:$CL$545,"&gt;"&amp;CL164)+COUNTIFS($CT$2:CT164,"&lt;&gt;no",$CL$2:CL164,CL164),"")</f>
        <v/>
      </c>
    </row>
    <row r="165">
      <c r="A165" s="2" t="inlineStr">
        <is>
          <t>ocasionplus:somqeqa3</t>
        </is>
      </c>
      <c r="B165" s="2" t="inlineStr">
        <is>
          <t>ocasionplus</t>
        </is>
      </c>
      <c r="C165" s="2" t="inlineStr">
        <is>
          <t>https://www.ocasionplus.com/coches-segunda-mano/ford-mondeo-20-tdci-ghia-con-142530km-2006-somqeqa3</t>
        </is>
      </c>
      <c r="D165" s="2" t="inlineStr">
        <is>
          <t>Ford Mondeo 2.0 TDCI Ghia (130 CV)</t>
        </is>
      </c>
      <c r="E165" s="2" t="inlineStr">
        <is>
          <t>Ford</t>
        </is>
      </c>
      <c r="F165" s="2" t="inlineStr">
        <is>
          <t>Ford Mondeo</t>
        </is>
      </c>
      <c r="G165" s="2" t="inlineStr">
        <is>
          <t>2.0 TDCi</t>
        </is>
      </c>
      <c r="H165" s="2" t="inlineStr">
        <is>
          <t>Ford Mondeo 2.0 TDCI Ghia (130 CV)</t>
        </is>
      </c>
      <c r="I165" s="2" t="n">
        <v>1998</v>
      </c>
      <c r="J165" s="2" t="n">
        <v>130</v>
      </c>
      <c r="K165" s="2" t="inlineStr">
        <is>
          <t>diesel</t>
        </is>
      </c>
      <c r="L165" s="2" t="inlineStr">
        <is>
          <t>berlina</t>
        </is>
      </c>
      <c r="M165" s="2" t="n">
        <v>2006</v>
      </c>
      <c r="N165" s="2" t="n">
        <v>142530</v>
      </c>
      <c r="O165" s="2" t="n">
        <v>3700</v>
      </c>
      <c r="P165" s="2" t="inlineStr">
        <is>
          <t>manual</t>
        </is>
      </c>
      <c r="Q165" s="2" t="inlineStr">
        <is>
          <t>no</t>
        </is>
      </c>
      <c r="R165" s="2" t="inlineStr">
        <is>
          <t>profesional</t>
        </is>
      </c>
      <c r="S165" s="2" t="inlineStr">
        <is>
          <t>Valencia - Paterna (Paterna, 46980)</t>
        </is>
      </c>
      <c r="T165" s="2" t="inlineStr">
        <is>
          <t>2026-05-26T00:00:00.000Z</t>
        </is>
      </c>
      <c r="U165" s="2" t="n">
        <v>33</v>
      </c>
      <c r="V165" s="2" t="inlineStr">
        <is>
          <t>sí</t>
        </is>
      </c>
      <c r="W165" s="2" t="n"/>
      <c r="X165" s="2" t="n"/>
      <c r="Y165" s="2" t="n">
        <v>1</v>
      </c>
      <c r="Z165" s="2" t="n"/>
      <c r="AA165" s="2" t="n"/>
      <c r="AB165" s="2" t="n"/>
      <c r="AC165" s="2" t="inlineStr">
        <is>
          <t>sí</t>
        </is>
      </c>
      <c r="AD165" s="2" t="n">
        <v>900</v>
      </c>
      <c r="AE165" s="2" t="n"/>
      <c r="AF165" s="2" t="inlineStr">
        <is>
          <t>sí</t>
        </is>
      </c>
      <c r="AG165" s="2" t="n"/>
      <c r="AH165" s="2" t="n">
        <v>3700</v>
      </c>
      <c r="AI165" s="2" t="n">
        <v>3700</v>
      </c>
      <c r="AJ165" s="2" t="inlineStr">
        <is>
          <t>no</t>
        </is>
      </c>
      <c r="AK165" s="2" t="n">
        <v>350</v>
      </c>
      <c r="AL165" s="2" t="inlineStr">
        <is>
          <t>sí</t>
        </is>
      </c>
      <c r="AM165" s="2" t="n">
        <v>5.9</v>
      </c>
      <c r="AN165" s="2" t="inlineStr">
        <is>
          <t>8157DVD</t>
        </is>
      </c>
      <c r="AO165" s="2" t="inlineStr">
        <is>
          <t>2006-01-05</t>
        </is>
      </c>
      <c r="AP165" s="2" t="n">
        <v>2006</v>
      </c>
      <c r="AQ165" s="2" t="n">
        <v>1</v>
      </c>
      <c r="AR165" s="2" t="inlineStr">
        <is>
          <t>B</t>
        </is>
      </c>
      <c r="AS165" s="2" t="inlineStr">
        <is>
          <t>DGT</t>
        </is>
      </c>
      <c r="AT165" s="2" t="n">
        <v>3300</v>
      </c>
      <c r="AU165" s="2" t="n">
        <v>4</v>
      </c>
      <c r="AV165" s="2" t="inlineStr">
        <is>
          <t>modelo+año</t>
        </is>
      </c>
      <c r="AW165" s="2" t="n"/>
      <c r="AX165" s="2" t="inlineStr">
        <is>
          <t>vendedor profesional: sin ITP (operación con IVA/REBU, confirmar en factura); diésel: motor sin fuente de fiabilidad (fiabilidad limitada a neutra); carrocería berlina: -4 puntos; fiabilidad del modelo PENDIENTE de fuente (puntuación neutra)</t>
        </is>
      </c>
      <c r="AY165" s="2" t="inlineStr">
        <is>
          <t>Ford Mondeo 2.0 TDCI Ghia (130 CV)</t>
        </is>
      </c>
      <c r="AZ165" s="2" t="inlineStr">
        <is>
          <t>https://www.ocasionplus.com/coches-segunda-mano/ford-mondeo-20-tdci-ghia-con-142530km-2006-somqeqa3 (payload RSC 'vehicle') /home/user/Alopecia/buscador-coches/raw/ocasionplus/72f5f2ec09413c7a.json</t>
        </is>
      </c>
      <c r="BA165" s="3">
        <f>MAX(ANIO_ACTUAL-M165,0)</f>
        <v/>
      </c>
      <c r="BB165" s="4">
        <f>N165/MAX(BA165,0.5)</f>
        <v/>
      </c>
      <c r="BC165" s="4">
        <f>F165</f>
        <v/>
      </c>
      <c r="BD165" s="3">
        <f>BC165&amp;"|"&amp;INT(M165/SEG_ANIO)*SEG_ANIO</f>
        <v/>
      </c>
      <c r="BE165" s="3">
        <f>BD165&amp;"|"&amp;INT(N165/SEG_KM)*SEG_KM</f>
        <v/>
      </c>
      <c r="BF165" s="4">
        <f>COUNTIF($BC$2:$BC$545,BC165)</f>
        <v/>
      </c>
      <c r="BG165" s="4">
        <f>COUNTIF($BD$2:$BD$545,BD165)</f>
        <v/>
      </c>
      <c r="BH165" s="4">
        <f>COUNTIF($BE$2:$BE$545,BE165)</f>
        <v/>
      </c>
      <c r="BI165" s="3">
        <f t="array" ref="BI165">IF(N(AU165)&gt;=MIN_N,AT165,IF(BH165&gt;=MIN_N,MEDIAN(IF($BE$2:$BE$545=BE165,$O$2:$O$545)),IF(BG165&gt;=MIN_N,MEDIAN(IF($BD$2:$BD$545=BD165,$O$2:$O$545)),MEDIAN(IF($BC$2:$BC$545=BC165,$O$2:$O$545)))))</f>
        <v/>
      </c>
      <c r="BJ165" s="3">
        <f>IF(N(AU165)&gt;=MIN_N,"mercado "&amp;AV165,IF(BH165&gt;=MIN_N,"modelo+año+km",IF(BG165&gt;=MIN_N,"modelo+año","modelo")))</f>
        <v/>
      </c>
      <c r="BK165" s="4">
        <f>(BI165-O165)/BI165</f>
        <v/>
      </c>
      <c r="BL165" s="3">
        <f>IF(COUNTIFS(FR_FUEL,K165,FR_YEAR,AP165)&gt;0,1,0)</f>
        <v/>
      </c>
      <c r="BM165" s="3">
        <f>IF(COUNTIFS(FR_FUEL,K165,FR_YEAR,AP165-1)&gt;0,1,0)</f>
        <v/>
      </c>
      <c r="BN165" s="4">
        <f>IF(N(AQ165)&gt;0,AP165*100+AQ165,IF(AND(BL165=1,BM165=1),(AP165-1)*100+1,AP165*100+1))</f>
        <v/>
      </c>
      <c r="BO165" s="3">
        <f>IF(OR(K165="hibrido",K165="glp",K165="gnc",K165="phev"),"ECO",IF(K165="electrico","CERO",IF(K165="gasolina",IF(BN165&gt;=GAS_C_YM,"C",IF(BN165&gt;=GAS_B_YM,"B","A")),IF(K165="diesel",IF(BN165&gt;=DIE_C_YM,"C",IF(BN165&gt;=DIE_B_YM,"B","A")),""))))</f>
        <v/>
      </c>
      <c r="BP165" s="2" t="inlineStr">
        <is>
          <t>B</t>
        </is>
      </c>
      <c r="BQ165" s="4">
        <f>IF(AS165="regla",IF(AND(N(AQ165)=0,BL165=1),"sí","no"),"no")</f>
        <v/>
      </c>
      <c r="BR165" s="3">
        <f>IFERROR(VLOOKUP(F165,MOD_TBL,11,0),IFERROR(VLOOKUP(E165,OCU_TBL,2,0),NEUTRO))</f>
        <v/>
      </c>
      <c r="BS165" s="3">
        <f>SUMIFS(MOT_AJUSTE,MOT_MOTOR,G165,MOT_MARCA,E165,MOT_DESDE,"&lt;="&amp;M165,MOT_HASTA,"&gt;="&amp;M165)+SUMIFS(MOT_AJUSTE,MOT_MOTOR,G165,MOT_MARCA,"(todas)",MOT_DESDE,"&lt;="&amp;M165,MOT_HASTA,"&gt;="&amp;M165)</f>
        <v/>
      </c>
      <c r="BT165" s="3">
        <f>SUMIFS(COMB_AJUSTE,COMB_COMB,K165)</f>
        <v/>
      </c>
      <c r="BU165" s="3">
        <f>COUNTIFS(MOT_MOTOR,G165,MOT_MARCA,E165,MOT_DESDE,"&lt;="&amp;M165,MOT_HASTA,"&gt;="&amp;M165)+COUNTIFS(MOT_MOTOR,G165,MOT_MARCA,"(todas)",MOT_DESDE,"&lt;="&amp;M165,MOT_HASTA,"&gt;="&amp;M165)</f>
        <v/>
      </c>
      <c r="BV165" s="3">
        <f>IF(AND(K165="diesel",BU165=0),MIN(BR165,NEUTRO),BR165)</f>
        <v/>
      </c>
      <c r="BW165" s="4">
        <f>MAX(0,MIN(100,BV165+BS165+BT165))</f>
        <v/>
      </c>
      <c r="BX165" s="3">
        <f>MAX(0,MIN(100,50+BK165*PRECIO_PEND))</f>
        <v/>
      </c>
      <c r="BY165" s="3">
        <f>MAX(0,100*(1-N165/KM_MAX))</f>
        <v/>
      </c>
      <c r="BZ165" s="3">
        <f>IF(BB165&lt;KMA_SOSP,IF(AA165="sí",100,KMA_PEN),IF(BB165&lt;=KMA_IDEAL_MAX,100,MAX(0,100*(KMA_CERO-BB165)/(KMA_CERO-KMA_IDEAL_MAX))))</f>
        <v/>
      </c>
      <c r="CA165" s="3">
        <f>MAX(0,MIN(100,100*(M165-ANIO_MIN)/(ANIO_ACTUAL-ANIO_MIN)))</f>
        <v/>
      </c>
      <c r="CB165" s="3">
        <f>W_KMT*BY165+W_KMA*BZ165+W_EDAD*CA165</f>
        <v/>
      </c>
      <c r="CC165" s="3">
        <f>P_ITV*(V165="sí")+P_LIBRO*(W165="sí")+P_CORREA*(X165="sí")+P_PROP*(Y165=1)+P_GAR*(Z165="sí")+P_FOTOS*MIN(1,N(U165)/FOTOS_OBJ)</f>
        <v/>
      </c>
      <c r="CD165" s="3">
        <f>MAX(0,MIN(100,IFERROR(VLOOKUP(BP165,ETQ_TBL,2,0),0)-IF(BQ165="sí",ETQ_PEN_DUD,IF(AS165="regla",ETQ_PEN_REGLA,0))))</f>
        <v/>
      </c>
      <c r="CE165" s="3">
        <f>NEUTRO</f>
        <v/>
      </c>
      <c r="CF165" s="3">
        <f>IFERROR(VLOOKUP(L165,SEGURO_TBL,3,0),"")</f>
        <v/>
      </c>
      <c r="CG165" s="3">
        <f>IF(CF165="",NEUTRO,MAX(0,MIN(100,100*(SEG_REF_MAX-CF165)/(SEG_REF_MAX-SEG_REF_MIN))))</f>
        <v/>
      </c>
      <c r="CH165" s="3">
        <f>W_CONS*CE165+W_SEG*CG165</f>
        <v/>
      </c>
      <c r="CI165" s="3">
        <f>IF(N(AB165)&gt;0,AB165,IF(AND(R165="profesional",SG_LEGAL_ON=1),GAR_LEGAL,0))</f>
        <v/>
      </c>
      <c r="CJ165" s="3">
        <f>SG_GAR*MIN(1,CI165/SG_GAR_FULL)+SG_AMPL*(AC165="sí")+SG_KMC*(AF165="sí")+SG_REV*(N(AE165)&gt;0)+SG_DEV*MIN(1,N(AG165)/SG_DEV_FULL)+SG_HIST*(W165="sí")</f>
        <v/>
      </c>
      <c r="CK165" s="3">
        <f>IFERROR(VLOOKUP(L165,CARR_PEN_TBL,2,0),0)</f>
        <v/>
      </c>
      <c r="CL165" s="3">
        <f>W_FIAB*BW165+W_PRECIO*BX165+W_KMEDAD*CB165+W_ANUNCIO*CC165+W_USO*CH165+W_SEGURIDAD*CJ165+W_ETIQUETA*CD165-CK165</f>
        <v/>
      </c>
      <c r="CM165" s="4">
        <f>IF(N(I165)&gt;0,I165,IFERROR(ROUND(_xlfn.NUMBERVALUE(LEFT(G165,FIND(" ",G165&amp;" ")-1),".")*1000,0),99999))</f>
        <v/>
      </c>
      <c r="CN165" s="3">
        <f>IF(R165="profesional",0,IF(O165&lt;CUOTA_VALOR_MAX,IF(BA165&gt;ITP_TRAMO_ALTO,SUMIFS(CF_CUOTA,CF_MAS,ITP_TRAMO_ALTO,CF_CCMIN,"&lt;="&amp;CM165,CF_CCMAX,"&gt;="&amp;CM165),IF(BA165&gt;ITP_TRAMO_BAJO,SUMIFS(CF_CUOTA,CF_MAS,ITP_TRAMO_BAJO,CF_CCMIN,"&lt;="&amp;CM165,CF_CCMAX,"&gt;="&amp;CM165),O165*ITP_TIPO)),O165*ITP_TIPO))</f>
        <v/>
      </c>
      <c r="CO165" s="4">
        <f>IF(R165="profesional",N(AK165),0)</f>
        <v/>
      </c>
      <c r="CP165" s="3">
        <f>IF(AND(R165="profesional",ISNUMBER(AK165),AL165="sí"),0,TASA_DGT)</f>
        <v/>
      </c>
      <c r="CQ165" s="3">
        <f>INFORME_DGT</f>
        <v/>
      </c>
      <c r="CR165" s="4">
        <f>O165+CO165+CN165+CP165+CQ165</f>
        <v/>
      </c>
      <c r="CS165" s="4">
        <f>CR165+N(CF165)</f>
        <v/>
      </c>
      <c r="CT165" s="3">
        <f>IF(CR165&lt;=TOTAL_MAX,"sí",IF(CR165&lt;=TOTAL_MAX+MARGEN_NEG,"negociar","no"))</f>
        <v/>
      </c>
      <c r="CU165" s="4">
        <f>IF(CT165&lt;&gt;"no",COUNTIFS($CT$2:$CT$545,"&lt;&gt;no",$CL$2:$CL$545,"&gt;"&amp;CL165)+COUNTIFS($CT$2:CT165,"&lt;&gt;no",$CL$2:CL165,CL165),"")</f>
        <v/>
      </c>
    </row>
    <row r="166">
      <c r="A166" s="2" t="inlineStr">
        <is>
          <t>ocasionplus:azeojqah</t>
        </is>
      </c>
      <c r="B166" s="2" t="inlineStr">
        <is>
          <t>ocasionplus</t>
        </is>
      </c>
      <c r="C166" s="2" t="inlineStr">
        <is>
          <t>https://www.ocasionplus.com/coches-segunda-mano/seat-ibiza-14-16v-reference-con-70908km-2006-azeojqah</t>
        </is>
      </c>
      <c r="D166" s="2" t="inlineStr">
        <is>
          <t>Seat Ibiza 1.4 16v Reference (100 CV)</t>
        </is>
      </c>
      <c r="E166" s="2" t="inlineStr">
        <is>
          <t>Seat</t>
        </is>
      </c>
      <c r="F166" s="2" t="inlineStr">
        <is>
          <t>Seat Ibiza</t>
        </is>
      </c>
      <c r="G166" s="2" t="inlineStr">
        <is>
          <t>1.4</t>
        </is>
      </c>
      <c r="H166" s="2" t="inlineStr">
        <is>
          <t>Seat Ibiza 1.4 16v Reference (100 CV)</t>
        </is>
      </c>
      <c r="I166" s="2" t="n">
        <v>1390</v>
      </c>
      <c r="J166" s="2" t="n">
        <v>100</v>
      </c>
      <c r="K166" s="2" t="inlineStr">
        <is>
          <t>gasolina</t>
        </is>
      </c>
      <c r="L166" s="2" t="inlineStr">
        <is>
          <t>utilitario</t>
        </is>
      </c>
      <c r="M166" s="2" t="n">
        <v>2006</v>
      </c>
      <c r="N166" s="2" t="n">
        <v>86371</v>
      </c>
      <c r="O166" s="2" t="n">
        <v>4990</v>
      </c>
      <c r="P166" s="2" t="inlineStr">
        <is>
          <t>manual</t>
        </is>
      </c>
      <c r="Q166" s="2" t="inlineStr">
        <is>
          <t>no</t>
        </is>
      </c>
      <c r="R166" s="2" t="inlineStr">
        <is>
          <t>profesional</t>
        </is>
      </c>
      <c r="S166" s="2" t="inlineStr">
        <is>
          <t>Valencia - Pista de Silla - Macrocentro (Massanassa, 46470)</t>
        </is>
      </c>
      <c r="T166" s="2" t="inlineStr">
        <is>
          <t>2026-05-21T00:00:00.000Z</t>
        </is>
      </c>
      <c r="U166" s="2" t="n">
        <v>32</v>
      </c>
      <c r="V166" s="2" t="inlineStr">
        <is>
          <t>sí</t>
        </is>
      </c>
      <c r="W166" s="2" t="n"/>
      <c r="X166" s="2" t="n"/>
      <c r="Y166" s="2" t="n">
        <v>0</v>
      </c>
      <c r="Z166" s="2" t="n"/>
      <c r="AA166" s="2" t="n"/>
      <c r="AB166" s="2" t="n"/>
      <c r="AC166" s="2" t="inlineStr">
        <is>
          <t>sí</t>
        </is>
      </c>
      <c r="AD166" s="2" t="n">
        <v>600</v>
      </c>
      <c r="AE166" s="2" t="n"/>
      <c r="AF166" s="2" t="inlineStr">
        <is>
          <t>sí</t>
        </is>
      </c>
      <c r="AG166" s="2" t="n"/>
      <c r="AH166" s="2" t="n">
        <v>4990</v>
      </c>
      <c r="AI166" s="2" t="n">
        <v>4990</v>
      </c>
      <c r="AJ166" s="2" t="inlineStr">
        <is>
          <t>no</t>
        </is>
      </c>
      <c r="AK166" s="2" t="n">
        <v>350</v>
      </c>
      <c r="AL166" s="2" t="inlineStr">
        <is>
          <t>sí</t>
        </is>
      </c>
      <c r="AM166" s="2" t="n">
        <v>7.8</v>
      </c>
      <c r="AN166" s="2" t="inlineStr">
        <is>
          <t>8323DYB</t>
        </is>
      </c>
      <c r="AO166" s="2" t="inlineStr">
        <is>
          <t>2006-04-06</t>
        </is>
      </c>
      <c r="AP166" s="2" t="n">
        <v>2006</v>
      </c>
      <c r="AQ166" s="2" t="n">
        <v>4</v>
      </c>
      <c r="AR166" s="2" t="inlineStr">
        <is>
          <t>C</t>
        </is>
      </c>
      <c r="AS166" s="2" t="inlineStr">
        <is>
          <t>DGT</t>
        </is>
      </c>
      <c r="AT166" s="2" t="n">
        <v>3100</v>
      </c>
      <c r="AU166" s="2" t="n">
        <v>28</v>
      </c>
      <c r="AV166" s="2" t="inlineStr">
        <is>
          <t>modelo+año</t>
        </is>
      </c>
      <c r="AW166" s="2" t="n"/>
      <c r="AX166" s="2" t="inlineStr">
        <is>
          <t>vendedor profesional: sin ITP (operación con IVA/REBU, confirmar en factura)</t>
        </is>
      </c>
      <c r="AY166" s="2" t="inlineStr">
        <is>
          <t>Seat Ibiza 1.4 16v Reference (100 CV)</t>
        </is>
      </c>
      <c r="AZ166" s="2" t="inlineStr">
        <is>
          <t>https://www.ocasionplus.com/coches-segunda-mano/seat-ibiza-14-16v-reference-con-70908km-2006-azeojqah (payload RSC 'vehicle') /home/user/Alopecia/buscador-coches/raw/ocasionplus/f23441d331de3a98.json</t>
        </is>
      </c>
      <c r="BA166" s="3">
        <f>MAX(ANIO_ACTUAL-M166,0)</f>
        <v/>
      </c>
      <c r="BB166" s="4">
        <f>N166/MAX(BA166,0.5)</f>
        <v/>
      </c>
      <c r="BC166" s="4">
        <f>F166</f>
        <v/>
      </c>
      <c r="BD166" s="3">
        <f>BC166&amp;"|"&amp;INT(M166/SEG_ANIO)*SEG_ANIO</f>
        <v/>
      </c>
      <c r="BE166" s="3">
        <f>BD166&amp;"|"&amp;INT(N166/SEG_KM)*SEG_KM</f>
        <v/>
      </c>
      <c r="BF166" s="4">
        <f>COUNTIF($BC$2:$BC$545,BC166)</f>
        <v/>
      </c>
      <c r="BG166" s="4">
        <f>COUNTIF($BD$2:$BD$545,BD166)</f>
        <v/>
      </c>
      <c r="BH166" s="4">
        <f>COUNTIF($BE$2:$BE$545,BE166)</f>
        <v/>
      </c>
      <c r="BI166" s="3">
        <f t="array" ref="BI166">IF(N(AU166)&gt;=MIN_N,AT166,IF(BH166&gt;=MIN_N,MEDIAN(IF($BE$2:$BE$545=BE166,$O$2:$O$545)),IF(BG166&gt;=MIN_N,MEDIAN(IF($BD$2:$BD$545=BD166,$O$2:$O$545)),MEDIAN(IF($BC$2:$BC$545=BC166,$O$2:$O$545)))))</f>
        <v/>
      </c>
      <c r="BJ166" s="3">
        <f>IF(N(AU166)&gt;=MIN_N,"mercado "&amp;AV166,IF(BH166&gt;=MIN_N,"modelo+año+km",IF(BG166&gt;=MIN_N,"modelo+año","modelo")))</f>
        <v/>
      </c>
      <c r="BK166" s="4">
        <f>(BI166-O166)/BI166</f>
        <v/>
      </c>
      <c r="BL166" s="3">
        <f>IF(COUNTIFS(FR_FUEL,K166,FR_YEAR,AP166)&gt;0,1,0)</f>
        <v/>
      </c>
      <c r="BM166" s="3">
        <f>IF(COUNTIFS(FR_FUEL,K166,FR_YEAR,AP166-1)&gt;0,1,0)</f>
        <v/>
      </c>
      <c r="BN166" s="4">
        <f>IF(N(AQ166)&gt;0,AP166*100+AQ166,IF(AND(BL166=1,BM166=1),(AP166-1)*100+1,AP166*100+1))</f>
        <v/>
      </c>
      <c r="BO166" s="3">
        <f>IF(OR(K166="hibrido",K166="glp",K166="gnc",K166="phev"),"ECO",IF(K166="electrico","CERO",IF(K166="gasolina",IF(BN166&gt;=GAS_C_YM,"C",IF(BN166&gt;=GAS_B_YM,"B","A")),IF(K166="diesel",IF(BN166&gt;=DIE_C_YM,"C",IF(BN166&gt;=DIE_B_YM,"B","A")),""))))</f>
        <v/>
      </c>
      <c r="BP166" s="2" t="inlineStr">
        <is>
          <t>C</t>
        </is>
      </c>
      <c r="BQ166" s="4">
        <f>IF(AS166="regla",IF(AND(N(AQ166)=0,BL166=1),"sí","no"),"no")</f>
        <v/>
      </c>
      <c r="BR166" s="3">
        <f>IFERROR(VLOOKUP(F166,MOD_TBL,11,0),IFERROR(VLOOKUP(E166,OCU_TBL,2,0),NEUTRO))</f>
        <v/>
      </c>
      <c r="BS166" s="3">
        <f>SUMIFS(MOT_AJUSTE,MOT_MOTOR,G166,MOT_MARCA,E166,MOT_DESDE,"&lt;="&amp;M166,MOT_HASTA,"&gt;="&amp;M166)+SUMIFS(MOT_AJUSTE,MOT_MOTOR,G166,MOT_MARCA,"(todas)",MOT_DESDE,"&lt;="&amp;M166,MOT_HASTA,"&gt;="&amp;M166)</f>
        <v/>
      </c>
      <c r="BT166" s="3">
        <f>SUMIFS(COMB_AJUSTE,COMB_COMB,K166)</f>
        <v/>
      </c>
      <c r="BU166" s="3">
        <f>COUNTIFS(MOT_MOTOR,G166,MOT_MARCA,E166,MOT_DESDE,"&lt;="&amp;M166,MOT_HASTA,"&gt;="&amp;M166)+COUNTIFS(MOT_MOTOR,G166,MOT_MARCA,"(todas)",MOT_DESDE,"&lt;="&amp;M166,MOT_HASTA,"&gt;="&amp;M166)</f>
        <v/>
      </c>
      <c r="BV166" s="3">
        <f>IF(AND(K166="diesel",BU166=0),MIN(BR166,NEUTRO),BR166)</f>
        <v/>
      </c>
      <c r="BW166" s="4">
        <f>MAX(0,MIN(100,BV166+BS166+BT166))</f>
        <v/>
      </c>
      <c r="BX166" s="3">
        <f>MAX(0,MIN(100,50+BK166*PRECIO_PEND))</f>
        <v/>
      </c>
      <c r="BY166" s="3">
        <f>MAX(0,100*(1-N166/KM_MAX))</f>
        <v/>
      </c>
      <c r="BZ166" s="3">
        <f>IF(BB166&lt;KMA_SOSP,IF(AA166="sí",100,KMA_PEN),IF(BB166&lt;=KMA_IDEAL_MAX,100,MAX(0,100*(KMA_CERO-BB166)/(KMA_CERO-KMA_IDEAL_MAX))))</f>
        <v/>
      </c>
      <c r="CA166" s="3">
        <f>MAX(0,MIN(100,100*(M166-ANIO_MIN)/(ANIO_ACTUAL-ANIO_MIN)))</f>
        <v/>
      </c>
      <c r="CB166" s="3">
        <f>W_KMT*BY166+W_KMA*BZ166+W_EDAD*CA166</f>
        <v/>
      </c>
      <c r="CC166" s="3">
        <f>P_ITV*(V166="sí")+P_LIBRO*(W166="sí")+P_CORREA*(X166="sí")+P_PROP*(Y166=1)+P_GAR*(Z166="sí")+P_FOTOS*MIN(1,N(U166)/FOTOS_OBJ)</f>
        <v/>
      </c>
      <c r="CD166" s="3">
        <f>MAX(0,MIN(100,IFERROR(VLOOKUP(BP166,ETQ_TBL,2,0),0)-IF(BQ166="sí",ETQ_PEN_DUD,IF(AS166="regla",ETQ_PEN_REGLA,0))))</f>
        <v/>
      </c>
      <c r="CE166" s="3">
        <f>NEUTRO</f>
        <v/>
      </c>
      <c r="CF166" s="3">
        <f>IFERROR(VLOOKUP(L166,SEGURO_TBL,3,0),"")</f>
        <v/>
      </c>
      <c r="CG166" s="3">
        <f>IF(CF166="",NEUTRO,MAX(0,MIN(100,100*(SEG_REF_MAX-CF166)/(SEG_REF_MAX-SEG_REF_MIN))))</f>
        <v/>
      </c>
      <c r="CH166" s="3">
        <f>W_CONS*CE166+W_SEG*CG166</f>
        <v/>
      </c>
      <c r="CI166" s="3">
        <f>IF(N(AB166)&gt;0,AB166,IF(AND(R166="profesional",SG_LEGAL_ON=1),GAR_LEGAL,0))</f>
        <v/>
      </c>
      <c r="CJ166" s="3">
        <f>SG_GAR*MIN(1,CI166/SG_GAR_FULL)+SG_AMPL*(AC166="sí")+SG_KMC*(AF166="sí")+SG_REV*(N(AE166)&gt;0)+SG_DEV*MIN(1,N(AG166)/SG_DEV_FULL)+SG_HIST*(W166="sí")</f>
        <v/>
      </c>
      <c r="CK166" s="3">
        <f>IFERROR(VLOOKUP(L166,CARR_PEN_TBL,2,0),0)</f>
        <v/>
      </c>
      <c r="CL166" s="3">
        <f>W_FIAB*BW166+W_PRECIO*BX166+W_KMEDAD*CB166+W_ANUNCIO*CC166+W_USO*CH166+W_SEGURIDAD*CJ166+W_ETIQUETA*CD166-CK166</f>
        <v/>
      </c>
      <c r="CM166" s="4">
        <f>IF(N(I166)&gt;0,I166,IFERROR(ROUND(_xlfn.NUMBERVALUE(LEFT(G166,FIND(" ",G166&amp;" ")-1),".")*1000,0),99999))</f>
        <v/>
      </c>
      <c r="CN166" s="3">
        <f>IF(R166="profesional",0,IF(O166&lt;CUOTA_VALOR_MAX,IF(BA166&gt;ITP_TRAMO_ALTO,SUMIFS(CF_CUOTA,CF_MAS,ITP_TRAMO_ALTO,CF_CCMIN,"&lt;="&amp;CM166,CF_CCMAX,"&gt;="&amp;CM166),IF(BA166&gt;ITP_TRAMO_BAJO,SUMIFS(CF_CUOTA,CF_MAS,ITP_TRAMO_BAJO,CF_CCMIN,"&lt;="&amp;CM166,CF_CCMAX,"&gt;="&amp;CM166),O166*ITP_TIPO)),O166*ITP_TIPO))</f>
        <v/>
      </c>
      <c r="CO166" s="4">
        <f>IF(R166="profesional",N(AK166),0)</f>
        <v/>
      </c>
      <c r="CP166" s="3">
        <f>IF(AND(R166="profesional",ISNUMBER(AK166),AL166="sí"),0,TASA_DGT)</f>
        <v/>
      </c>
      <c r="CQ166" s="3">
        <f>INFORME_DGT</f>
        <v/>
      </c>
      <c r="CR166" s="4">
        <f>O166+CO166+CN166+CP166+CQ166</f>
        <v/>
      </c>
      <c r="CS166" s="4">
        <f>CR166+N(CF166)</f>
        <v/>
      </c>
      <c r="CT166" s="3">
        <f>IF(CR166&lt;=TOTAL_MAX,"sí",IF(CR166&lt;=TOTAL_MAX+MARGEN_NEG,"negociar","no"))</f>
        <v/>
      </c>
      <c r="CU166" s="4">
        <f>IF(CT166&lt;&gt;"no",COUNTIFS($CT$2:$CT$545,"&lt;&gt;no",$CL$2:$CL$545,"&gt;"&amp;CL166)+COUNTIFS($CT$2:CT166,"&lt;&gt;no",$CL$2:CL166,CL166),"")</f>
        <v/>
      </c>
    </row>
    <row r="167">
      <c r="A167" s="2" t="inlineStr">
        <is>
          <t>ocasionplus:nu8qgqaj</t>
        </is>
      </c>
      <c r="B167" s="2" t="inlineStr">
        <is>
          <t>ocasionplus</t>
        </is>
      </c>
      <c r="C167" s="2" t="inlineStr">
        <is>
          <t>https://www.ocasionplus.com/coches-segunda-mano/opel-corsa-12-enjoy-mta-con-112793km-2007-nu8qgqaj</t>
        </is>
      </c>
      <c r="D167" s="2" t="inlineStr">
        <is>
          <t>Opel Corsa 1.2 Enjoy MTA (80 CV)</t>
        </is>
      </c>
      <c r="E167" s="2" t="inlineStr">
        <is>
          <t>Opel</t>
        </is>
      </c>
      <c r="F167" s="2" t="inlineStr">
        <is>
          <t>Opel Corsa</t>
        </is>
      </c>
      <c r="G167" s="2" t="inlineStr">
        <is>
          <t>1.2</t>
        </is>
      </c>
      <c r="H167" s="2" t="inlineStr">
        <is>
          <t>Opel Corsa 1.2 Enjoy MTA (80 CV)</t>
        </is>
      </c>
      <c r="I167" s="2" t="n">
        <v>1229</v>
      </c>
      <c r="J167" s="2" t="n">
        <v>80</v>
      </c>
      <c r="K167" s="2" t="inlineStr">
        <is>
          <t>gasolina</t>
        </is>
      </c>
      <c r="L167" s="2" t="inlineStr">
        <is>
          <t>utilitario</t>
        </is>
      </c>
      <c r="M167" s="2" t="n">
        <v>2007</v>
      </c>
      <c r="N167" s="2" t="n">
        <v>112793</v>
      </c>
      <c r="O167" s="2" t="n">
        <v>2900</v>
      </c>
      <c r="P167" s="2" t="n"/>
      <c r="Q167" s="2" t="n"/>
      <c r="R167" s="2" t="inlineStr">
        <is>
          <t>profesional</t>
        </is>
      </c>
      <c r="S167" s="2" t="inlineStr">
        <is>
          <t>Valencia - Pista De Silla (Massanassa, 46470)</t>
        </is>
      </c>
      <c r="T167" s="2" t="inlineStr">
        <is>
          <t>2026-02-18T00:00:00.000Z</t>
        </is>
      </c>
      <c r="U167" s="2" t="n">
        <v>33</v>
      </c>
      <c r="V167" s="2" t="inlineStr">
        <is>
          <t>sí</t>
        </is>
      </c>
      <c r="W167" s="2" t="n"/>
      <c r="X167" s="2" t="n"/>
      <c r="Y167" s="2" t="n">
        <v>0</v>
      </c>
      <c r="Z167" s="2" t="n"/>
      <c r="AA167" s="2" t="n"/>
      <c r="AB167" s="2" t="n"/>
      <c r="AC167" s="2" t="inlineStr">
        <is>
          <t>sí</t>
        </is>
      </c>
      <c r="AD167" s="2" t="n">
        <v>500</v>
      </c>
      <c r="AE167" s="2" t="n"/>
      <c r="AF167" s="2" t="inlineStr">
        <is>
          <t>sí</t>
        </is>
      </c>
      <c r="AG167" s="2" t="n"/>
      <c r="AH167" s="2" t="n">
        <v>2900</v>
      </c>
      <c r="AI167" s="2" t="n">
        <v>2300</v>
      </c>
      <c r="AJ167" s="2" t="inlineStr">
        <is>
          <t>sí</t>
        </is>
      </c>
      <c r="AK167" s="2" t="n">
        <v>350</v>
      </c>
      <c r="AL167" s="2" t="inlineStr">
        <is>
          <t>sí</t>
        </is>
      </c>
      <c r="AM167" s="2" t="n">
        <v>7.8</v>
      </c>
      <c r="AN167" s="2" t="inlineStr">
        <is>
          <t>0220FKN</t>
        </is>
      </c>
      <c r="AO167" s="2" t="inlineStr">
        <is>
          <t>2007-01-19</t>
        </is>
      </c>
      <c r="AP167" s="2" t="n">
        <v>2007</v>
      </c>
      <c r="AQ167" s="2" t="n">
        <v>1</v>
      </c>
      <c r="AR167" s="2" t="inlineStr">
        <is>
          <t>C</t>
        </is>
      </c>
      <c r="AS167" s="2" t="inlineStr">
        <is>
          <t>DGT</t>
        </is>
      </c>
      <c r="AT167" s="2" t="n">
        <v>3600</v>
      </c>
      <c r="AU167" s="2" t="n">
        <v>9</v>
      </c>
      <c r="AV167" s="2" t="inlineStr">
        <is>
          <t>modelo+año+km</t>
        </is>
      </c>
      <c r="AW167" s="2" t="n"/>
      <c r="AX167" s="2" t="inlineStr">
        <is>
          <t>vendedor profesional: sin ITP (operación con IVA/REBU, confirmar en factura); el precio anunciado (2.300 €) solo vale financiando; se usa el precio al contado</t>
        </is>
      </c>
      <c r="AY167" s="2" t="inlineStr">
        <is>
          <t>Opel Corsa 1.2 Enjoy MTA (80 CV)</t>
        </is>
      </c>
      <c r="AZ167" s="2" t="inlineStr">
        <is>
          <t>https://www.ocasionplus.com/coches-segunda-mano/opel-corsa-12-enjoy-mta-con-112793km-2007-nu8qgqaj (payload RSC 'vehicle') /home/user/Alopecia/buscador-coches/raw/ocasionplus/f57149c007dd3ca5.json</t>
        </is>
      </c>
      <c r="BA167" s="3">
        <f>MAX(ANIO_ACTUAL-M167,0)</f>
        <v/>
      </c>
      <c r="BB167" s="4">
        <f>N167/MAX(BA167,0.5)</f>
        <v/>
      </c>
      <c r="BC167" s="4">
        <f>F167</f>
        <v/>
      </c>
      <c r="BD167" s="3">
        <f>BC167&amp;"|"&amp;INT(M167/SEG_ANIO)*SEG_ANIO</f>
        <v/>
      </c>
      <c r="BE167" s="3">
        <f>BD167&amp;"|"&amp;INT(N167/SEG_KM)*SEG_KM</f>
        <v/>
      </c>
      <c r="BF167" s="4">
        <f>COUNTIF($BC$2:$BC$545,BC167)</f>
        <v/>
      </c>
      <c r="BG167" s="4">
        <f>COUNTIF($BD$2:$BD$545,BD167)</f>
        <v/>
      </c>
      <c r="BH167" s="4">
        <f>COUNTIF($BE$2:$BE$545,BE167)</f>
        <v/>
      </c>
      <c r="BI167" s="3">
        <f t="array" ref="BI167">IF(N(AU167)&gt;=MIN_N,AT167,IF(BH167&gt;=MIN_N,MEDIAN(IF($BE$2:$BE$545=BE167,$O$2:$O$545)),IF(BG167&gt;=MIN_N,MEDIAN(IF($BD$2:$BD$545=BD167,$O$2:$O$545)),MEDIAN(IF($BC$2:$BC$545=BC167,$O$2:$O$545)))))</f>
        <v/>
      </c>
      <c r="BJ167" s="3">
        <f>IF(N(AU167)&gt;=MIN_N,"mercado "&amp;AV167,IF(BH167&gt;=MIN_N,"modelo+año+km",IF(BG167&gt;=MIN_N,"modelo+año","modelo")))</f>
        <v/>
      </c>
      <c r="BK167" s="4">
        <f>(BI167-O167)/BI167</f>
        <v/>
      </c>
      <c r="BL167" s="3">
        <f>IF(COUNTIFS(FR_FUEL,K167,FR_YEAR,AP167)&gt;0,1,0)</f>
        <v/>
      </c>
      <c r="BM167" s="3">
        <f>IF(COUNTIFS(FR_FUEL,K167,FR_YEAR,AP167-1)&gt;0,1,0)</f>
        <v/>
      </c>
      <c r="BN167" s="4">
        <f>IF(N(AQ167)&gt;0,AP167*100+AQ167,IF(AND(BL167=1,BM167=1),(AP167-1)*100+1,AP167*100+1))</f>
        <v/>
      </c>
      <c r="BO167" s="3">
        <f>IF(OR(K167="hibrido",K167="glp",K167="gnc",K167="phev"),"ECO",IF(K167="electrico","CERO",IF(K167="gasolina",IF(BN167&gt;=GAS_C_YM,"C",IF(BN167&gt;=GAS_B_YM,"B","A")),IF(K167="diesel",IF(BN167&gt;=DIE_C_YM,"C",IF(BN167&gt;=DIE_B_YM,"B","A")),""))))</f>
        <v/>
      </c>
      <c r="BP167" s="2" t="inlineStr">
        <is>
          <t>C</t>
        </is>
      </c>
      <c r="BQ167" s="4">
        <f>IF(AS167="regla",IF(AND(N(AQ167)=0,BL167=1),"sí","no"),"no")</f>
        <v/>
      </c>
      <c r="BR167" s="3">
        <f>IFERROR(VLOOKUP(F167,MOD_TBL,11,0),IFERROR(VLOOKUP(E167,OCU_TBL,2,0),NEUTRO))</f>
        <v/>
      </c>
      <c r="BS167" s="3">
        <f>SUMIFS(MOT_AJUSTE,MOT_MOTOR,G167,MOT_MARCA,E167,MOT_DESDE,"&lt;="&amp;M167,MOT_HASTA,"&gt;="&amp;M167)+SUMIFS(MOT_AJUSTE,MOT_MOTOR,G167,MOT_MARCA,"(todas)",MOT_DESDE,"&lt;="&amp;M167,MOT_HASTA,"&gt;="&amp;M167)</f>
        <v/>
      </c>
      <c r="BT167" s="3">
        <f>SUMIFS(COMB_AJUSTE,COMB_COMB,K167)</f>
        <v/>
      </c>
      <c r="BU167" s="3">
        <f>COUNTIFS(MOT_MOTOR,G167,MOT_MARCA,E167,MOT_DESDE,"&lt;="&amp;M167,MOT_HASTA,"&gt;="&amp;M167)+COUNTIFS(MOT_MOTOR,G167,MOT_MARCA,"(todas)",MOT_DESDE,"&lt;="&amp;M167,MOT_HASTA,"&gt;="&amp;M167)</f>
        <v/>
      </c>
      <c r="BV167" s="3">
        <f>IF(AND(K167="diesel",BU167=0),MIN(BR167,NEUTRO),BR167)</f>
        <v/>
      </c>
      <c r="BW167" s="4">
        <f>MAX(0,MIN(100,BV167+BS167+BT167))</f>
        <v/>
      </c>
      <c r="BX167" s="3">
        <f>MAX(0,MIN(100,50+BK167*PRECIO_PEND))</f>
        <v/>
      </c>
      <c r="BY167" s="3">
        <f>MAX(0,100*(1-N167/KM_MAX))</f>
        <v/>
      </c>
      <c r="BZ167" s="3">
        <f>IF(BB167&lt;KMA_SOSP,IF(AA167="sí",100,KMA_PEN),IF(BB167&lt;=KMA_IDEAL_MAX,100,MAX(0,100*(KMA_CERO-BB167)/(KMA_CERO-KMA_IDEAL_MAX))))</f>
        <v/>
      </c>
      <c r="CA167" s="3">
        <f>MAX(0,MIN(100,100*(M167-ANIO_MIN)/(ANIO_ACTUAL-ANIO_MIN)))</f>
        <v/>
      </c>
      <c r="CB167" s="3">
        <f>W_KMT*BY167+W_KMA*BZ167+W_EDAD*CA167</f>
        <v/>
      </c>
      <c r="CC167" s="3">
        <f>P_ITV*(V167="sí")+P_LIBRO*(W167="sí")+P_CORREA*(X167="sí")+P_PROP*(Y167=1)+P_GAR*(Z167="sí")+P_FOTOS*MIN(1,N(U167)/FOTOS_OBJ)</f>
        <v/>
      </c>
      <c r="CD167" s="3">
        <f>MAX(0,MIN(100,IFERROR(VLOOKUP(BP167,ETQ_TBL,2,0),0)-IF(BQ167="sí",ETQ_PEN_DUD,IF(AS167="regla",ETQ_PEN_REGLA,0))))</f>
        <v/>
      </c>
      <c r="CE167" s="3">
        <f>NEUTRO</f>
        <v/>
      </c>
      <c r="CF167" s="3">
        <f>IFERROR(VLOOKUP(L167,SEGURO_TBL,3,0),"")</f>
        <v/>
      </c>
      <c r="CG167" s="3">
        <f>IF(CF167="",NEUTRO,MAX(0,MIN(100,100*(SEG_REF_MAX-CF167)/(SEG_REF_MAX-SEG_REF_MIN))))</f>
        <v/>
      </c>
      <c r="CH167" s="3">
        <f>W_CONS*CE167+W_SEG*CG167</f>
        <v/>
      </c>
      <c r="CI167" s="3">
        <f>IF(N(AB167)&gt;0,AB167,IF(AND(R167="profesional",SG_LEGAL_ON=1),GAR_LEGAL,0))</f>
        <v/>
      </c>
      <c r="CJ167" s="3">
        <f>SG_GAR*MIN(1,CI167/SG_GAR_FULL)+SG_AMPL*(AC167="sí")+SG_KMC*(AF167="sí")+SG_REV*(N(AE167)&gt;0)+SG_DEV*MIN(1,N(AG167)/SG_DEV_FULL)+SG_HIST*(W167="sí")</f>
        <v/>
      </c>
      <c r="CK167" s="3">
        <f>IFERROR(VLOOKUP(L167,CARR_PEN_TBL,2,0),0)</f>
        <v/>
      </c>
      <c r="CL167" s="3">
        <f>W_FIAB*BW167+W_PRECIO*BX167+W_KMEDAD*CB167+W_ANUNCIO*CC167+W_USO*CH167+W_SEGURIDAD*CJ167+W_ETIQUETA*CD167-CK167</f>
        <v/>
      </c>
      <c r="CM167" s="4">
        <f>IF(N(I167)&gt;0,I167,IFERROR(ROUND(_xlfn.NUMBERVALUE(LEFT(G167,FIND(" ",G167&amp;" ")-1),".")*1000,0),99999))</f>
        <v/>
      </c>
      <c r="CN167" s="3">
        <f>IF(R167="profesional",0,IF(O167&lt;CUOTA_VALOR_MAX,IF(BA167&gt;ITP_TRAMO_ALTO,SUMIFS(CF_CUOTA,CF_MAS,ITP_TRAMO_ALTO,CF_CCMIN,"&lt;="&amp;CM167,CF_CCMAX,"&gt;="&amp;CM167),IF(BA167&gt;ITP_TRAMO_BAJO,SUMIFS(CF_CUOTA,CF_MAS,ITP_TRAMO_BAJO,CF_CCMIN,"&lt;="&amp;CM167,CF_CCMAX,"&gt;="&amp;CM167),O167*ITP_TIPO)),O167*ITP_TIPO))</f>
        <v/>
      </c>
      <c r="CO167" s="4">
        <f>IF(R167="profesional",N(AK167),0)</f>
        <v/>
      </c>
      <c r="CP167" s="3">
        <f>IF(AND(R167="profesional",ISNUMBER(AK167),AL167="sí"),0,TASA_DGT)</f>
        <v/>
      </c>
      <c r="CQ167" s="3">
        <f>INFORME_DGT</f>
        <v/>
      </c>
      <c r="CR167" s="4">
        <f>O167+CO167+CN167+CP167+CQ167</f>
        <v/>
      </c>
      <c r="CS167" s="4">
        <f>CR167+N(CF167)</f>
        <v/>
      </c>
      <c r="CT167" s="3">
        <f>IF(CR167&lt;=TOTAL_MAX,"sí",IF(CR167&lt;=TOTAL_MAX+MARGEN_NEG,"negociar","no"))</f>
        <v/>
      </c>
      <c r="CU167" s="4">
        <f>IF(CT167&lt;&gt;"no",COUNTIFS($CT$2:$CT$545,"&lt;&gt;no",$CL$2:$CL$545,"&gt;"&amp;CL167)+COUNTIFS($CT$2:CT167,"&lt;&gt;no",$CL$2:CL167,CL167),"")</f>
        <v/>
      </c>
    </row>
    <row r="168">
      <c r="A168" s="2" t="inlineStr">
        <is>
          <t>ocasionplus:2006</t>
        </is>
      </c>
      <c r="B168" s="2" t="inlineStr">
        <is>
          <t>ocasionplus</t>
        </is>
      </c>
      <c r="C168" s="2" t="inlineStr">
        <is>
          <t>https://www.ocasionplus.com/coches-segunda-mano/fiat-panda-12-dynamic-con-213136km-2006</t>
        </is>
      </c>
      <c r="D168" s="2" t="inlineStr">
        <is>
          <t>Fiat Panda 1.2 Dynamic (60 CV)</t>
        </is>
      </c>
      <c r="E168" s="2" t="inlineStr">
        <is>
          <t>Fiat</t>
        </is>
      </c>
      <c r="F168" s="2" t="inlineStr">
        <is>
          <t>Fiat Panda</t>
        </is>
      </c>
      <c r="G168" s="2" t="inlineStr">
        <is>
          <t>1.2</t>
        </is>
      </c>
      <c r="H168" s="2" t="inlineStr">
        <is>
          <t>Fiat Panda 1.2 Dynamic (60 CV)</t>
        </is>
      </c>
      <c r="I168" s="2" t="n">
        <v>1242</v>
      </c>
      <c r="J168" s="2" t="n">
        <v>60</v>
      </c>
      <c r="K168" s="2" t="inlineStr">
        <is>
          <t>gasolina</t>
        </is>
      </c>
      <c r="L168" s="2" t="inlineStr">
        <is>
          <t>utilitario</t>
        </is>
      </c>
      <c r="M168" s="2" t="n">
        <v>2006</v>
      </c>
      <c r="N168" s="2" t="n">
        <v>213136</v>
      </c>
      <c r="O168" s="2" t="n">
        <v>2200</v>
      </c>
      <c r="P168" s="2" t="inlineStr">
        <is>
          <t>manual</t>
        </is>
      </c>
      <c r="Q168" s="2" t="inlineStr">
        <is>
          <t>no</t>
        </is>
      </c>
      <c r="R168" s="2" t="inlineStr">
        <is>
          <t>profesional</t>
        </is>
      </c>
      <c r="S168" s="2" t="inlineStr">
        <is>
          <t>Valencia - Alzira (Alzira, 46600)</t>
        </is>
      </c>
      <c r="T168" s="2" t="inlineStr">
        <is>
          <t>2024-05-07T13:27:20.000Z</t>
        </is>
      </c>
      <c r="U168" s="2" t="n">
        <v>23</v>
      </c>
      <c r="V168" s="2" t="inlineStr">
        <is>
          <t>sí</t>
        </is>
      </c>
      <c r="W168" s="2" t="n"/>
      <c r="X168" s="2" t="n"/>
      <c r="Y168" s="2" t="n">
        <v>0</v>
      </c>
      <c r="Z168" s="2" t="n"/>
      <c r="AA168" s="2" t="n"/>
      <c r="AB168" s="2" t="n"/>
      <c r="AC168" s="2" t="inlineStr">
        <is>
          <t>sí</t>
        </is>
      </c>
      <c r="AD168" s="2" t="n">
        <v>500</v>
      </c>
      <c r="AE168" s="2" t="n"/>
      <c r="AF168" s="2" t="inlineStr">
        <is>
          <t>sí</t>
        </is>
      </c>
      <c r="AG168" s="2" t="n"/>
      <c r="AH168" s="2" t="n">
        <v>2200</v>
      </c>
      <c r="AI168" s="2" t="n">
        <v>2200</v>
      </c>
      <c r="AJ168" s="2" t="inlineStr">
        <is>
          <t>no</t>
        </is>
      </c>
      <c r="AK168" s="2" t="n">
        <v>350</v>
      </c>
      <c r="AL168" s="2" t="inlineStr">
        <is>
          <t>sí</t>
        </is>
      </c>
      <c r="AM168" s="2" t="n">
        <v>35.7</v>
      </c>
      <c r="AN168" s="2" t="inlineStr">
        <is>
          <t>9605FDM</t>
        </is>
      </c>
      <c r="AO168" s="2" t="inlineStr">
        <is>
          <t>2006-07-31</t>
        </is>
      </c>
      <c r="AP168" s="2" t="n">
        <v>2006</v>
      </c>
      <c r="AQ168" s="2" t="n">
        <v>7</v>
      </c>
      <c r="AR168" s="2" t="inlineStr">
        <is>
          <t>C</t>
        </is>
      </c>
      <c r="AS168" s="2" t="inlineStr">
        <is>
          <t>DGT</t>
        </is>
      </c>
      <c r="AT168" s="2" t="n"/>
      <c r="AU168" s="2" t="n"/>
      <c r="AV168" s="2" t="n"/>
      <c r="AW168" s="2" t="n"/>
      <c r="AX168" s="2" t="inlineStr">
        <is>
          <t>vendedor profesional: sin ITP (operación con IVA/REBU, confirmar en factura); mediana con solo 1 anuncio(s)</t>
        </is>
      </c>
      <c r="AY168" s="2" t="inlineStr">
        <is>
          <t>Fiat Panda 1.2 Dynamic (60 CV)</t>
        </is>
      </c>
      <c r="AZ168" s="2" t="inlineStr">
        <is>
          <t>https://www.ocasionplus.com/coches-segunda-mano/fiat-panda-12-dynamic-con-213136km-2006 (payload RSC 'vehicle') /home/user/Alopecia/buscador-coches/raw/ocasionplus/36fb1d575186ed5c.json</t>
        </is>
      </c>
      <c r="BA168" s="3">
        <f>MAX(ANIO_ACTUAL-M168,0)</f>
        <v/>
      </c>
      <c r="BB168" s="4">
        <f>N168/MAX(BA168,0.5)</f>
        <v/>
      </c>
      <c r="BC168" s="4">
        <f>F168</f>
        <v/>
      </c>
      <c r="BD168" s="3">
        <f>BC168&amp;"|"&amp;INT(M168/SEG_ANIO)*SEG_ANIO</f>
        <v/>
      </c>
      <c r="BE168" s="3">
        <f>BD168&amp;"|"&amp;INT(N168/SEG_KM)*SEG_KM</f>
        <v/>
      </c>
      <c r="BF168" s="4">
        <f>COUNTIF($BC$2:$BC$545,BC168)</f>
        <v/>
      </c>
      <c r="BG168" s="4">
        <f>COUNTIF($BD$2:$BD$545,BD168)</f>
        <v/>
      </c>
      <c r="BH168" s="4">
        <f>COUNTIF($BE$2:$BE$545,BE168)</f>
        <v/>
      </c>
      <c r="BI168" s="3">
        <f t="array" ref="BI168">IF(N(AU168)&gt;=MIN_N,AT168,IF(BH168&gt;=MIN_N,MEDIAN(IF($BE$2:$BE$545=BE168,$O$2:$O$545)),IF(BG168&gt;=MIN_N,MEDIAN(IF($BD$2:$BD$545=BD168,$O$2:$O$545)),MEDIAN(IF($BC$2:$BC$545=BC168,$O$2:$O$545)))))</f>
        <v/>
      </c>
      <c r="BJ168" s="3">
        <f>IF(N(AU168)&gt;=MIN_N,"mercado "&amp;AV168,IF(BH168&gt;=MIN_N,"modelo+año+km",IF(BG168&gt;=MIN_N,"modelo+año","modelo")))</f>
        <v/>
      </c>
      <c r="BK168" s="4">
        <f>(BI168-O168)/BI168</f>
        <v/>
      </c>
      <c r="BL168" s="3">
        <f>IF(COUNTIFS(FR_FUEL,K168,FR_YEAR,AP168)&gt;0,1,0)</f>
        <v/>
      </c>
      <c r="BM168" s="3">
        <f>IF(COUNTIFS(FR_FUEL,K168,FR_YEAR,AP168-1)&gt;0,1,0)</f>
        <v/>
      </c>
      <c r="BN168" s="4">
        <f>IF(N(AQ168)&gt;0,AP168*100+AQ168,IF(AND(BL168=1,BM168=1),(AP168-1)*100+1,AP168*100+1))</f>
        <v/>
      </c>
      <c r="BO168" s="3">
        <f>IF(OR(K168="hibrido",K168="glp",K168="gnc",K168="phev"),"ECO",IF(K168="electrico","CERO",IF(K168="gasolina",IF(BN168&gt;=GAS_C_YM,"C",IF(BN168&gt;=GAS_B_YM,"B","A")),IF(K168="diesel",IF(BN168&gt;=DIE_C_YM,"C",IF(BN168&gt;=DIE_B_YM,"B","A")),""))))</f>
        <v/>
      </c>
      <c r="BP168" s="2" t="inlineStr">
        <is>
          <t>C</t>
        </is>
      </c>
      <c r="BQ168" s="4">
        <f>IF(AS168="regla",IF(AND(N(AQ168)=0,BL168=1),"sí","no"),"no")</f>
        <v/>
      </c>
      <c r="BR168" s="3">
        <f>IFERROR(VLOOKUP(F168,MOD_TBL,11,0),IFERROR(VLOOKUP(E168,OCU_TBL,2,0),NEUTRO))</f>
        <v/>
      </c>
      <c r="BS168" s="3">
        <f>SUMIFS(MOT_AJUSTE,MOT_MOTOR,G168,MOT_MARCA,E168,MOT_DESDE,"&lt;="&amp;M168,MOT_HASTA,"&gt;="&amp;M168)+SUMIFS(MOT_AJUSTE,MOT_MOTOR,G168,MOT_MARCA,"(todas)",MOT_DESDE,"&lt;="&amp;M168,MOT_HASTA,"&gt;="&amp;M168)</f>
        <v/>
      </c>
      <c r="BT168" s="3">
        <f>SUMIFS(COMB_AJUSTE,COMB_COMB,K168)</f>
        <v/>
      </c>
      <c r="BU168" s="3">
        <f>COUNTIFS(MOT_MOTOR,G168,MOT_MARCA,E168,MOT_DESDE,"&lt;="&amp;M168,MOT_HASTA,"&gt;="&amp;M168)+COUNTIFS(MOT_MOTOR,G168,MOT_MARCA,"(todas)",MOT_DESDE,"&lt;="&amp;M168,MOT_HASTA,"&gt;="&amp;M168)</f>
        <v/>
      </c>
      <c r="BV168" s="3">
        <f>IF(AND(K168="diesel",BU168=0),MIN(BR168,NEUTRO),BR168)</f>
        <v/>
      </c>
      <c r="BW168" s="4">
        <f>MAX(0,MIN(100,BV168+BS168+BT168))</f>
        <v/>
      </c>
      <c r="BX168" s="3">
        <f>MAX(0,MIN(100,50+BK168*PRECIO_PEND))</f>
        <v/>
      </c>
      <c r="BY168" s="3">
        <f>MAX(0,100*(1-N168/KM_MAX))</f>
        <v/>
      </c>
      <c r="BZ168" s="3">
        <f>IF(BB168&lt;KMA_SOSP,IF(AA168="sí",100,KMA_PEN),IF(BB168&lt;=KMA_IDEAL_MAX,100,MAX(0,100*(KMA_CERO-BB168)/(KMA_CERO-KMA_IDEAL_MAX))))</f>
        <v/>
      </c>
      <c r="CA168" s="3">
        <f>MAX(0,MIN(100,100*(M168-ANIO_MIN)/(ANIO_ACTUAL-ANIO_MIN)))</f>
        <v/>
      </c>
      <c r="CB168" s="3">
        <f>W_KMT*BY168+W_KMA*BZ168+W_EDAD*CA168</f>
        <v/>
      </c>
      <c r="CC168" s="3">
        <f>P_ITV*(V168="sí")+P_LIBRO*(W168="sí")+P_CORREA*(X168="sí")+P_PROP*(Y168=1)+P_GAR*(Z168="sí")+P_FOTOS*MIN(1,N(U168)/FOTOS_OBJ)</f>
        <v/>
      </c>
      <c r="CD168" s="3">
        <f>MAX(0,MIN(100,IFERROR(VLOOKUP(BP168,ETQ_TBL,2,0),0)-IF(BQ168="sí",ETQ_PEN_DUD,IF(AS168="regla",ETQ_PEN_REGLA,0))))</f>
        <v/>
      </c>
      <c r="CE168" s="3">
        <f>NEUTRO</f>
        <v/>
      </c>
      <c r="CF168" s="3">
        <f>IFERROR(VLOOKUP(L168,SEGURO_TBL,3,0),"")</f>
        <v/>
      </c>
      <c r="CG168" s="3">
        <f>IF(CF168="",NEUTRO,MAX(0,MIN(100,100*(SEG_REF_MAX-CF168)/(SEG_REF_MAX-SEG_REF_MIN))))</f>
        <v/>
      </c>
      <c r="CH168" s="3">
        <f>W_CONS*CE168+W_SEG*CG168</f>
        <v/>
      </c>
      <c r="CI168" s="3">
        <f>IF(N(AB168)&gt;0,AB168,IF(AND(R168="profesional",SG_LEGAL_ON=1),GAR_LEGAL,0))</f>
        <v/>
      </c>
      <c r="CJ168" s="3">
        <f>SG_GAR*MIN(1,CI168/SG_GAR_FULL)+SG_AMPL*(AC168="sí")+SG_KMC*(AF168="sí")+SG_REV*(N(AE168)&gt;0)+SG_DEV*MIN(1,N(AG168)/SG_DEV_FULL)+SG_HIST*(W168="sí")</f>
        <v/>
      </c>
      <c r="CK168" s="3">
        <f>IFERROR(VLOOKUP(L168,CARR_PEN_TBL,2,0),0)</f>
        <v/>
      </c>
      <c r="CL168" s="3">
        <f>W_FIAB*BW168+W_PRECIO*BX168+W_KMEDAD*CB168+W_ANUNCIO*CC168+W_USO*CH168+W_SEGURIDAD*CJ168+W_ETIQUETA*CD168-CK168</f>
        <v/>
      </c>
      <c r="CM168" s="4">
        <f>IF(N(I168)&gt;0,I168,IFERROR(ROUND(_xlfn.NUMBERVALUE(LEFT(G168,FIND(" ",G168&amp;" ")-1),".")*1000,0),99999))</f>
        <v/>
      </c>
      <c r="CN168" s="3">
        <f>IF(R168="profesional",0,IF(O168&lt;CUOTA_VALOR_MAX,IF(BA168&gt;ITP_TRAMO_ALTO,SUMIFS(CF_CUOTA,CF_MAS,ITP_TRAMO_ALTO,CF_CCMIN,"&lt;="&amp;CM168,CF_CCMAX,"&gt;="&amp;CM168),IF(BA168&gt;ITP_TRAMO_BAJO,SUMIFS(CF_CUOTA,CF_MAS,ITP_TRAMO_BAJO,CF_CCMIN,"&lt;="&amp;CM168,CF_CCMAX,"&gt;="&amp;CM168),O168*ITP_TIPO)),O168*ITP_TIPO))</f>
        <v/>
      </c>
      <c r="CO168" s="4">
        <f>IF(R168="profesional",N(AK168),0)</f>
        <v/>
      </c>
      <c r="CP168" s="3">
        <f>IF(AND(R168="profesional",ISNUMBER(AK168),AL168="sí"),0,TASA_DGT)</f>
        <v/>
      </c>
      <c r="CQ168" s="3">
        <f>INFORME_DGT</f>
        <v/>
      </c>
      <c r="CR168" s="4">
        <f>O168+CO168+CN168+CP168+CQ168</f>
        <v/>
      </c>
      <c r="CS168" s="4">
        <f>CR168+N(CF168)</f>
        <v/>
      </c>
      <c r="CT168" s="3">
        <f>IF(CR168&lt;=TOTAL_MAX,"sí",IF(CR168&lt;=TOTAL_MAX+MARGEN_NEG,"negociar","no"))</f>
        <v/>
      </c>
      <c r="CU168" s="4">
        <f>IF(CT168&lt;&gt;"no",COUNTIFS($CT$2:$CT$545,"&lt;&gt;no",$CL$2:$CL$545,"&gt;"&amp;CL168)+COUNTIFS($CT$2:CT168,"&lt;&gt;no",$CL$2:CL168,CL168),"")</f>
        <v/>
      </c>
    </row>
    <row r="169">
      <c r="A169" s="2" t="inlineStr">
        <is>
          <t>autoscout24:b781a865-5dae-49bf-a729-21dc60e62642</t>
        </is>
      </c>
      <c r="B169" s="2" t="inlineStr">
        <is>
          <t>autoscout24</t>
        </is>
      </c>
      <c r="C169" s="2" t="inlineStr">
        <is>
          <t>https://www.autoscout24.es/anuncios/toyota-aygo-edition-gasolina-cat_ma70mo18655-b781a865-5dae-49bf-a729-21dc60e62642</t>
        </is>
      </c>
      <c r="D169" s="2" t="inlineStr">
        <is>
          <t>Toyota Aygo Edition</t>
        </is>
      </c>
      <c r="E169" s="2" t="inlineStr">
        <is>
          <t>Toyota</t>
        </is>
      </c>
      <c r="F169" s="2" t="inlineStr">
        <is>
          <t>Toyota Aygo</t>
        </is>
      </c>
      <c r="G169" s="2" t="inlineStr">
        <is>
          <t>1.0</t>
        </is>
      </c>
      <c r="H169" s="2" t="inlineStr">
        <is>
          <t>Edition</t>
        </is>
      </c>
      <c r="I169" s="2" t="n">
        <v>998</v>
      </c>
      <c r="J169" s="2" t="n">
        <v>68</v>
      </c>
      <c r="K169" s="2" t="inlineStr">
        <is>
          <t>gasolina</t>
        </is>
      </c>
      <c r="L169" s="2" t="inlineStr">
        <is>
          <t>utilitario</t>
        </is>
      </c>
      <c r="M169" s="2" t="n">
        <v>2011</v>
      </c>
      <c r="N169" s="2" t="n">
        <v>132000</v>
      </c>
      <c r="O169" s="2" t="n">
        <v>4999</v>
      </c>
      <c r="P169" s="2" t="inlineStr">
        <is>
          <t>manual</t>
        </is>
      </c>
      <c r="Q169" s="2" t="inlineStr">
        <is>
          <t>no</t>
        </is>
      </c>
      <c r="R169" s="2" t="inlineStr">
        <is>
          <t>particular</t>
        </is>
      </c>
      <c r="S169" s="2" t="inlineStr">
        <is>
          <t>oliva (46780)</t>
        </is>
      </c>
      <c r="T169" s="2" t="n"/>
      <c r="U169" s="2" t="n">
        <v>13</v>
      </c>
      <c r="V169" s="2" t="n"/>
      <c r="W169" s="2" t="n"/>
      <c r="X169" s="2" t="n"/>
      <c r="Y169" s="2" t="n"/>
      <c r="Z169" s="2" t="n"/>
      <c r="AA169" s="2" t="n"/>
      <c r="AB169" s="2" t="n"/>
      <c r="AC169" s="2" t="n"/>
      <c r="AD169" s="2" t="n"/>
      <c r="AE169" s="2" t="n"/>
      <c r="AF169" s="2" t="n"/>
      <c r="AG169" s="2" t="n"/>
      <c r="AH169" s="2" t="n"/>
      <c r="AI169" s="2" t="n"/>
      <c r="AJ169" s="2" t="n"/>
      <c r="AK169" s="2" t="n"/>
      <c r="AL169" s="2" t="n"/>
      <c r="AM169" s="2" t="n">
        <v>65</v>
      </c>
      <c r="AN169" s="2" t="n"/>
      <c r="AO169" s="2" t="inlineStr">
        <is>
          <t>2011-01</t>
        </is>
      </c>
      <c r="AP169" s="2" t="n">
        <v>2011</v>
      </c>
      <c r="AQ169" s="2" t="n">
        <v>1</v>
      </c>
      <c r="AR169" s="2" t="n"/>
      <c r="AS169" s="2" t="inlineStr">
        <is>
          <t>regla</t>
        </is>
      </c>
      <c r="AT169" s="2" t="n">
        <v>5944.5</v>
      </c>
      <c r="AU169" s="2" t="n">
        <v>4</v>
      </c>
      <c r="AV169" s="2" t="inlineStr">
        <is>
          <t>modelo+año</t>
        </is>
      </c>
      <c r="AW169" s="2" t="n"/>
      <c r="AX169" s="2" t="inlineStr">
        <is>
          <t>por encima del presupuesto (5103 €), negociar; cuota fija ITP: &gt;12 años, hasta 1.500 cc</t>
        </is>
      </c>
      <c r="AY169" s="2" t="inlineStr">
        <is>
          <t>🚙 TOYOTA AYGO 1.0 GASOLINA – 68 CV – AÑO 2011&lt;br /&gt;&lt;br /&gt;Toyota Aygo compacto, económico y muy práctico. Ideal para ciudad, trayectos diarios o como primer coche. Fácil de conducir, sencillo de aparcar y con un motor de gasolina fiable y de bajo consumo.&lt;br /&gt;&lt;br /&gt;✅ Primera matriculación: 10/2011&lt;br /&gt;✅ Motor: 1.0 gasolina – 998 cm³&lt;br /&gt;✅ Potencia: 68 CV / 50 kW&lt;br /&gt;✅ Cambio manual de 5 velocidades&lt;br /&gt;✅ 5 puertas&lt;br /&gt;✅ 4 plazas&lt;br /&gt;✅ Norma de emisiones Euro 5&lt;br /&gt;✅ Color azul metalizado&lt;br /&gt;&lt;br /&gt;Vehículo práctico, manejable y con costes de mantenimiento reducidos.&lt;br /&gt;&lt;br /&gt;📍 Oliva (Valencia)</t>
        </is>
      </c>
      <c r="AZ169" s="2" t="inlineStr">
        <is>
          <t>https://www.autoscout24.es/anuncios/toyota-aygo-edition-gasolina-cat_ma70mo18655-b781a865-5dae-49bf-a729-21dc60e62642 (__NEXT_DATA__ listingDetails) /home/user/Alopecia/buscador-coches/raw/autoscout24/364269bbf63f8a2f.json</t>
        </is>
      </c>
      <c r="BA169" s="3">
        <f>MAX(ANIO_ACTUAL-M169,0)</f>
        <v/>
      </c>
      <c r="BB169" s="4">
        <f>N169/MAX(BA169,0.5)</f>
        <v/>
      </c>
      <c r="BC169" s="4">
        <f>F169</f>
        <v/>
      </c>
      <c r="BD169" s="3">
        <f>BC169&amp;"|"&amp;INT(M169/SEG_ANIO)*SEG_ANIO</f>
        <v/>
      </c>
      <c r="BE169" s="3">
        <f>BD169&amp;"|"&amp;INT(N169/SEG_KM)*SEG_KM</f>
        <v/>
      </c>
      <c r="BF169" s="4">
        <f>COUNTIF($BC$2:$BC$545,BC169)</f>
        <v/>
      </c>
      <c r="BG169" s="4">
        <f>COUNTIF($BD$2:$BD$545,BD169)</f>
        <v/>
      </c>
      <c r="BH169" s="4">
        <f>COUNTIF($BE$2:$BE$545,BE169)</f>
        <v/>
      </c>
      <c r="BI169" s="3">
        <f t="array" ref="BI169">IF(N(AU169)&gt;=MIN_N,AT169,IF(BH169&gt;=MIN_N,MEDIAN(IF($BE$2:$BE$545=BE169,$O$2:$O$545)),IF(BG169&gt;=MIN_N,MEDIAN(IF($BD$2:$BD$545=BD169,$O$2:$O$545)),MEDIAN(IF($BC$2:$BC$545=BC169,$O$2:$O$545)))))</f>
        <v/>
      </c>
      <c r="BJ169" s="3">
        <f>IF(N(AU169)&gt;=MIN_N,"mercado "&amp;AV169,IF(BH169&gt;=MIN_N,"modelo+año+km",IF(BG169&gt;=MIN_N,"modelo+año","modelo")))</f>
        <v/>
      </c>
      <c r="BK169" s="4">
        <f>(BI169-O169)/BI169</f>
        <v/>
      </c>
      <c r="BL169" s="3">
        <f>IF(COUNTIFS(FR_FUEL,K169,FR_YEAR,AP169)&gt;0,1,0)</f>
        <v/>
      </c>
      <c r="BM169" s="3">
        <f>IF(COUNTIFS(FR_FUEL,K169,FR_YEAR,AP169-1)&gt;0,1,0)</f>
        <v/>
      </c>
      <c r="BN169" s="4">
        <f>IF(N(AQ169)&gt;0,AP169*100+AQ169,IF(AND(BL169=1,BM169=1),(AP169-1)*100+1,AP169*100+1))</f>
        <v/>
      </c>
      <c r="BO169" s="3">
        <f>IF(OR(K169="hibrido",K169="glp",K169="gnc",K169="phev"),"ECO",IF(K169="electrico","CERO",IF(K169="gasolina",IF(BN169&gt;=GAS_C_YM,"C",IF(BN169&gt;=GAS_B_YM,"B","A")),IF(K169="diesel",IF(BN169&gt;=DIE_C_YM,"C",IF(BN169&gt;=DIE_B_YM,"B","A")),""))))</f>
        <v/>
      </c>
      <c r="BP169" s="4">
        <f>BO169</f>
        <v/>
      </c>
      <c r="BQ169" s="4">
        <f>IF(AS169="regla",IF(AND(N(AQ169)=0,BL169=1),"sí","no"),"no")</f>
        <v/>
      </c>
      <c r="BR169" s="3">
        <f>IFERROR(VLOOKUP(F169,MOD_TBL,11,0),IFERROR(VLOOKUP(E169,OCU_TBL,2,0),NEUTRO))</f>
        <v/>
      </c>
      <c r="BS169" s="3">
        <f>SUMIFS(MOT_AJUSTE,MOT_MOTOR,G169,MOT_MARCA,E169,MOT_DESDE,"&lt;="&amp;M169,MOT_HASTA,"&gt;="&amp;M169)+SUMIFS(MOT_AJUSTE,MOT_MOTOR,G169,MOT_MARCA,"(todas)",MOT_DESDE,"&lt;="&amp;M169,MOT_HASTA,"&gt;="&amp;M169)</f>
        <v/>
      </c>
      <c r="BT169" s="3">
        <f>SUMIFS(COMB_AJUSTE,COMB_COMB,K169)</f>
        <v/>
      </c>
      <c r="BU169" s="3">
        <f>COUNTIFS(MOT_MOTOR,G169,MOT_MARCA,E169,MOT_DESDE,"&lt;="&amp;M169,MOT_HASTA,"&gt;="&amp;M169)+COUNTIFS(MOT_MOTOR,G169,MOT_MARCA,"(todas)",MOT_DESDE,"&lt;="&amp;M169,MOT_HASTA,"&gt;="&amp;M169)</f>
        <v/>
      </c>
      <c r="BV169" s="3">
        <f>IF(AND(K169="diesel",BU169=0),MIN(BR169,NEUTRO),BR169)</f>
        <v/>
      </c>
      <c r="BW169" s="4">
        <f>MAX(0,MIN(100,BV169+BS169+BT169))</f>
        <v/>
      </c>
      <c r="BX169" s="3">
        <f>MAX(0,MIN(100,50+BK169*PRECIO_PEND))</f>
        <v/>
      </c>
      <c r="BY169" s="3">
        <f>MAX(0,100*(1-N169/KM_MAX))</f>
        <v/>
      </c>
      <c r="BZ169" s="3">
        <f>IF(BB169&lt;KMA_SOSP,IF(AA169="sí",100,KMA_PEN),IF(BB169&lt;=KMA_IDEAL_MAX,100,MAX(0,100*(KMA_CERO-BB169)/(KMA_CERO-KMA_IDEAL_MAX))))</f>
        <v/>
      </c>
      <c r="CA169" s="3">
        <f>MAX(0,MIN(100,100*(M169-ANIO_MIN)/(ANIO_ACTUAL-ANIO_MIN)))</f>
        <v/>
      </c>
      <c r="CB169" s="3">
        <f>W_KMT*BY169+W_KMA*BZ169+W_EDAD*CA169</f>
        <v/>
      </c>
      <c r="CC169" s="3">
        <f>P_ITV*(V169="sí")+P_LIBRO*(W169="sí")+P_CORREA*(X169="sí")+P_PROP*(Y169=1)+P_GAR*(Z169="sí")+P_FOTOS*MIN(1,N(U169)/FOTOS_OBJ)</f>
        <v/>
      </c>
      <c r="CD169" s="3">
        <f>MAX(0,MIN(100,IFERROR(VLOOKUP(BP169,ETQ_TBL,2,0),0)-IF(BQ169="sí",ETQ_PEN_DUD,IF(AS169="regla",ETQ_PEN_REGLA,0))))</f>
        <v/>
      </c>
      <c r="CE169" s="3">
        <f>NEUTRO</f>
        <v/>
      </c>
      <c r="CF169" s="3">
        <f>IFERROR(VLOOKUP(L169,SEGURO_TBL,3,0),"")</f>
        <v/>
      </c>
      <c r="CG169" s="3">
        <f>IF(CF169="",NEUTRO,MAX(0,MIN(100,100*(SEG_REF_MAX-CF169)/(SEG_REF_MAX-SEG_REF_MIN))))</f>
        <v/>
      </c>
      <c r="CH169" s="3">
        <f>W_CONS*CE169+W_SEG*CG169</f>
        <v/>
      </c>
      <c r="CI169" s="3">
        <f>IF(N(AB169)&gt;0,AB169,IF(AND(R169="profesional",SG_LEGAL_ON=1),GAR_LEGAL,0))</f>
        <v/>
      </c>
      <c r="CJ169" s="3">
        <f>SG_GAR*MIN(1,CI169/SG_GAR_FULL)+SG_AMPL*(AC169="sí")+SG_KMC*(AF169="sí")+SG_REV*(N(AE169)&gt;0)+SG_DEV*MIN(1,N(AG169)/SG_DEV_FULL)+SG_HIST*(W169="sí")</f>
        <v/>
      </c>
      <c r="CK169" s="3">
        <f>IFERROR(VLOOKUP(L169,CARR_PEN_TBL,2,0),0)</f>
        <v/>
      </c>
      <c r="CL169" s="3">
        <f>W_FIAB*BW169+W_PRECIO*BX169+W_KMEDAD*CB169+W_ANUNCIO*CC169+W_USO*CH169+W_SEGURIDAD*CJ169+W_ETIQUETA*CD169-CK169</f>
        <v/>
      </c>
      <c r="CM169" s="4">
        <f>IF(N(I169)&gt;0,I169,IFERROR(ROUND(_xlfn.NUMBERVALUE(LEFT(G169,FIND(" ",G169&amp;" ")-1),".")*1000,0),99999))</f>
        <v/>
      </c>
      <c r="CN169" s="3">
        <f>IF(R169="profesional",0,IF(O169&lt;CUOTA_VALOR_MAX,IF(BA169&gt;ITP_TRAMO_ALTO,SUMIFS(CF_CUOTA,CF_MAS,ITP_TRAMO_ALTO,CF_CCMIN,"&lt;="&amp;CM169,CF_CCMAX,"&gt;="&amp;CM169),IF(BA169&gt;ITP_TRAMO_BAJO,SUMIFS(CF_CUOTA,CF_MAS,ITP_TRAMO_BAJO,CF_CCMIN,"&lt;="&amp;CM169,CF_CCMAX,"&gt;="&amp;CM169),O169*ITP_TIPO)),O169*ITP_TIPO))</f>
        <v/>
      </c>
      <c r="CO169" s="4">
        <f>IF(R169="profesional",N(AK169),0)</f>
        <v/>
      </c>
      <c r="CP169" s="3">
        <f>IF(AND(R169="profesional",ISNUMBER(AK169),AL169="sí"),0,TASA_DGT)</f>
        <v/>
      </c>
      <c r="CQ169" s="3">
        <f>INFORME_DGT</f>
        <v/>
      </c>
      <c r="CR169" s="4">
        <f>O169+CO169+CN169+CP169+CQ169</f>
        <v/>
      </c>
      <c r="CS169" s="4">
        <f>CR169+N(CF169)</f>
        <v/>
      </c>
      <c r="CT169" s="3">
        <f>IF(CR169&lt;=TOTAL_MAX,"sí",IF(CR169&lt;=TOTAL_MAX+MARGEN_NEG,"negociar","no"))</f>
        <v/>
      </c>
      <c r="CU169" s="4">
        <f>IF(CT169&lt;&gt;"no",COUNTIFS($CT$2:$CT$545,"&lt;&gt;no",$CL$2:$CL$545,"&gt;"&amp;CL169)+COUNTIFS($CT$2:CT169,"&lt;&gt;no",$CL$2:CL169,CL169),"")</f>
        <v/>
      </c>
    </row>
    <row r="170">
      <c r="A170" s="2" t="inlineStr">
        <is>
          <t>autoscout24:1a5a1cfa-8aa2-4eb2-becc-bd32ed1bb345</t>
        </is>
      </c>
      <c r="B170" s="2" t="inlineStr">
        <is>
          <t>autoscout24</t>
        </is>
      </c>
      <c r="C170" s="2" t="inlineStr">
        <is>
          <t>https://www.autoscout24.es/anuncios/toyota-avensis-wagon-1-8-sol-gasolina-cat_ma70mo15230-1a5a1cfa-8aa2-4eb2-becc-bd32ed1bb345</t>
        </is>
      </c>
      <c r="D170" s="2" t="inlineStr">
        <is>
          <t>Toyota Avensis Wagon 1.8 Sol</t>
        </is>
      </c>
      <c r="E170" s="2" t="inlineStr">
        <is>
          <t>Toyota</t>
        </is>
      </c>
      <c r="F170" s="2" t="inlineStr">
        <is>
          <t>Toyota Avensis</t>
        </is>
      </c>
      <c r="G170" s="2" t="inlineStr">
        <is>
          <t>1.8</t>
        </is>
      </c>
      <c r="H170" s="2" t="inlineStr">
        <is>
          <t>Wagon 1.8 Sol 1.8</t>
        </is>
      </c>
      <c r="I170" s="2" t="n">
        <v>1794</v>
      </c>
      <c r="J170" s="2" t="n">
        <v>129</v>
      </c>
      <c r="K170" s="2" t="inlineStr">
        <is>
          <t>gasolina</t>
        </is>
      </c>
      <c r="L170" s="2" t="inlineStr">
        <is>
          <t>berlina</t>
        </is>
      </c>
      <c r="M170" s="2" t="n">
        <v>2007</v>
      </c>
      <c r="N170" s="2" t="n">
        <v>145000</v>
      </c>
      <c r="O170" s="2" t="n">
        <v>3000</v>
      </c>
      <c r="P170" s="2" t="inlineStr">
        <is>
          <t>manual</t>
        </is>
      </c>
      <c r="Q170" s="2" t="inlineStr">
        <is>
          <t>no</t>
        </is>
      </c>
      <c r="R170" s="2" t="inlineStr">
        <is>
          <t>particular</t>
        </is>
      </c>
      <c r="S170" s="2" t="inlineStr">
        <is>
          <t>la Pobla Llarga (46670)</t>
        </is>
      </c>
      <c r="T170" s="2" t="n"/>
      <c r="U170" s="2" t="n">
        <v>18</v>
      </c>
      <c r="V170" s="2" t="n"/>
      <c r="W170" s="2" t="n"/>
      <c r="X170" s="2" t="n"/>
      <c r="Y170" s="2" t="n"/>
      <c r="Z170" s="2" t="n"/>
      <c r="AA170" s="2" t="n"/>
      <c r="AB170" s="2" t="n"/>
      <c r="AC170" s="2" t="n"/>
      <c r="AD170" s="2" t="n"/>
      <c r="AE170" s="2" t="n"/>
      <c r="AF170" s="2" t="n"/>
      <c r="AG170" s="2" t="n"/>
      <c r="AH170" s="2" t="n"/>
      <c r="AI170" s="2" t="n"/>
      <c r="AJ170" s="2" t="n"/>
      <c r="AK170" s="2" t="n"/>
      <c r="AL170" s="2" t="n"/>
      <c r="AM170" s="2" t="n">
        <v>43.5</v>
      </c>
      <c r="AN170" s="2" t="n"/>
      <c r="AO170" s="2" t="inlineStr">
        <is>
          <t>2007-10</t>
        </is>
      </c>
      <c r="AP170" s="2" t="n">
        <v>2007</v>
      </c>
      <c r="AQ170" s="2" t="n">
        <v>10</v>
      </c>
      <c r="AR170" s="2" t="n"/>
      <c r="AS170" s="2" t="inlineStr">
        <is>
          <t>regla</t>
        </is>
      </c>
      <c r="AT170" s="2" t="n">
        <v>4399</v>
      </c>
      <c r="AU170" s="2" t="n">
        <v>7</v>
      </c>
      <c r="AV170" s="2" t="inlineStr">
        <is>
          <t>modelo+año</t>
        </is>
      </c>
      <c r="AW170" s="2" t="n"/>
      <c r="AX170" s="2" t="inlineStr">
        <is>
          <t>cuota fija ITP: &gt;12 años, 1.501-2.000 cc; carrocería berlina: -4 puntos</t>
        </is>
      </c>
      <c r="AY170" s="2" t="inlineStr"/>
      <c r="AZ170" s="2" t="inlineStr">
        <is>
          <t>https://www.autoscout24.es/anuncios/toyota-avensis-wagon-1-8-sol-gasolina-cat_ma70mo15230-1a5a1cfa-8aa2-4eb2-becc-bd32ed1bb345 (__NEXT_DATA__ listingDetails) /home/user/Alopecia/buscador-coches/raw/autoscout24/7f41ccd0e5138a74.json</t>
        </is>
      </c>
      <c r="BA170" s="3">
        <f>MAX(ANIO_ACTUAL-M170,0)</f>
        <v/>
      </c>
      <c r="BB170" s="4">
        <f>N170/MAX(BA170,0.5)</f>
        <v/>
      </c>
      <c r="BC170" s="4">
        <f>F170</f>
        <v/>
      </c>
      <c r="BD170" s="3">
        <f>BC170&amp;"|"&amp;INT(M170/SEG_ANIO)*SEG_ANIO</f>
        <v/>
      </c>
      <c r="BE170" s="3">
        <f>BD170&amp;"|"&amp;INT(N170/SEG_KM)*SEG_KM</f>
        <v/>
      </c>
      <c r="BF170" s="4">
        <f>COUNTIF($BC$2:$BC$545,BC170)</f>
        <v/>
      </c>
      <c r="BG170" s="4">
        <f>COUNTIF($BD$2:$BD$545,BD170)</f>
        <v/>
      </c>
      <c r="BH170" s="4">
        <f>COUNTIF($BE$2:$BE$545,BE170)</f>
        <v/>
      </c>
      <c r="BI170" s="3">
        <f t="array" ref="BI170">IF(N(AU170)&gt;=MIN_N,AT170,IF(BH170&gt;=MIN_N,MEDIAN(IF($BE$2:$BE$545=BE170,$O$2:$O$545)),IF(BG170&gt;=MIN_N,MEDIAN(IF($BD$2:$BD$545=BD170,$O$2:$O$545)),MEDIAN(IF($BC$2:$BC$545=BC170,$O$2:$O$545)))))</f>
        <v/>
      </c>
      <c r="BJ170" s="3">
        <f>IF(N(AU170)&gt;=MIN_N,"mercado "&amp;AV170,IF(BH170&gt;=MIN_N,"modelo+año+km",IF(BG170&gt;=MIN_N,"modelo+año","modelo")))</f>
        <v/>
      </c>
      <c r="BK170" s="4">
        <f>(BI170-O170)/BI170</f>
        <v/>
      </c>
      <c r="BL170" s="3">
        <f>IF(COUNTIFS(FR_FUEL,K170,FR_YEAR,AP170)&gt;0,1,0)</f>
        <v/>
      </c>
      <c r="BM170" s="3">
        <f>IF(COUNTIFS(FR_FUEL,K170,FR_YEAR,AP170-1)&gt;0,1,0)</f>
        <v/>
      </c>
      <c r="BN170" s="4">
        <f>IF(N(AQ170)&gt;0,AP170*100+AQ170,IF(AND(BL170=1,BM170=1),(AP170-1)*100+1,AP170*100+1))</f>
        <v/>
      </c>
      <c r="BO170" s="3">
        <f>IF(OR(K170="hibrido",K170="glp",K170="gnc",K170="phev"),"ECO",IF(K170="electrico","CERO",IF(K170="gasolina",IF(BN170&gt;=GAS_C_YM,"C",IF(BN170&gt;=GAS_B_YM,"B","A")),IF(K170="diesel",IF(BN170&gt;=DIE_C_YM,"C",IF(BN170&gt;=DIE_B_YM,"B","A")),""))))</f>
        <v/>
      </c>
      <c r="BP170" s="4">
        <f>BO170</f>
        <v/>
      </c>
      <c r="BQ170" s="4">
        <f>IF(AS170="regla",IF(AND(N(AQ170)=0,BL170=1),"sí","no"),"no")</f>
        <v/>
      </c>
      <c r="BR170" s="3">
        <f>IFERROR(VLOOKUP(F170,MOD_TBL,11,0),IFERROR(VLOOKUP(E170,OCU_TBL,2,0),NEUTRO))</f>
        <v/>
      </c>
      <c r="BS170" s="3">
        <f>SUMIFS(MOT_AJUSTE,MOT_MOTOR,G170,MOT_MARCA,E170,MOT_DESDE,"&lt;="&amp;M170,MOT_HASTA,"&gt;="&amp;M170)+SUMIFS(MOT_AJUSTE,MOT_MOTOR,G170,MOT_MARCA,"(todas)",MOT_DESDE,"&lt;="&amp;M170,MOT_HASTA,"&gt;="&amp;M170)</f>
        <v/>
      </c>
      <c r="BT170" s="3">
        <f>SUMIFS(COMB_AJUSTE,COMB_COMB,K170)</f>
        <v/>
      </c>
      <c r="BU170" s="3">
        <f>COUNTIFS(MOT_MOTOR,G170,MOT_MARCA,E170,MOT_DESDE,"&lt;="&amp;M170,MOT_HASTA,"&gt;="&amp;M170)+COUNTIFS(MOT_MOTOR,G170,MOT_MARCA,"(todas)",MOT_DESDE,"&lt;="&amp;M170,MOT_HASTA,"&gt;="&amp;M170)</f>
        <v/>
      </c>
      <c r="BV170" s="3">
        <f>IF(AND(K170="diesel",BU170=0),MIN(BR170,NEUTRO),BR170)</f>
        <v/>
      </c>
      <c r="BW170" s="4">
        <f>MAX(0,MIN(100,BV170+BS170+BT170))</f>
        <v/>
      </c>
      <c r="BX170" s="3">
        <f>MAX(0,MIN(100,50+BK170*PRECIO_PEND))</f>
        <v/>
      </c>
      <c r="BY170" s="3">
        <f>MAX(0,100*(1-N170/KM_MAX))</f>
        <v/>
      </c>
      <c r="BZ170" s="3">
        <f>IF(BB170&lt;KMA_SOSP,IF(AA170="sí",100,KMA_PEN),IF(BB170&lt;=KMA_IDEAL_MAX,100,MAX(0,100*(KMA_CERO-BB170)/(KMA_CERO-KMA_IDEAL_MAX))))</f>
        <v/>
      </c>
      <c r="CA170" s="3">
        <f>MAX(0,MIN(100,100*(M170-ANIO_MIN)/(ANIO_ACTUAL-ANIO_MIN)))</f>
        <v/>
      </c>
      <c r="CB170" s="3">
        <f>W_KMT*BY170+W_KMA*BZ170+W_EDAD*CA170</f>
        <v/>
      </c>
      <c r="CC170" s="3">
        <f>P_ITV*(V170="sí")+P_LIBRO*(W170="sí")+P_CORREA*(X170="sí")+P_PROP*(Y170=1)+P_GAR*(Z170="sí")+P_FOTOS*MIN(1,N(U170)/FOTOS_OBJ)</f>
        <v/>
      </c>
      <c r="CD170" s="3">
        <f>MAX(0,MIN(100,IFERROR(VLOOKUP(BP170,ETQ_TBL,2,0),0)-IF(BQ170="sí",ETQ_PEN_DUD,IF(AS170="regla",ETQ_PEN_REGLA,0))))</f>
        <v/>
      </c>
      <c r="CE170" s="3">
        <f>NEUTRO</f>
        <v/>
      </c>
      <c r="CF170" s="3">
        <f>IFERROR(VLOOKUP(L170,SEGURO_TBL,3,0),"")</f>
        <v/>
      </c>
      <c r="CG170" s="3">
        <f>IF(CF170="",NEUTRO,MAX(0,MIN(100,100*(SEG_REF_MAX-CF170)/(SEG_REF_MAX-SEG_REF_MIN))))</f>
        <v/>
      </c>
      <c r="CH170" s="3">
        <f>W_CONS*CE170+W_SEG*CG170</f>
        <v/>
      </c>
      <c r="CI170" s="3">
        <f>IF(N(AB170)&gt;0,AB170,IF(AND(R170="profesional",SG_LEGAL_ON=1),GAR_LEGAL,0))</f>
        <v/>
      </c>
      <c r="CJ170" s="3">
        <f>SG_GAR*MIN(1,CI170/SG_GAR_FULL)+SG_AMPL*(AC170="sí")+SG_KMC*(AF170="sí")+SG_REV*(N(AE170)&gt;0)+SG_DEV*MIN(1,N(AG170)/SG_DEV_FULL)+SG_HIST*(W170="sí")</f>
        <v/>
      </c>
      <c r="CK170" s="3">
        <f>IFERROR(VLOOKUP(L170,CARR_PEN_TBL,2,0),0)</f>
        <v/>
      </c>
      <c r="CL170" s="3">
        <f>W_FIAB*BW170+W_PRECIO*BX170+W_KMEDAD*CB170+W_ANUNCIO*CC170+W_USO*CH170+W_SEGURIDAD*CJ170+W_ETIQUETA*CD170-CK170</f>
        <v/>
      </c>
      <c r="CM170" s="4">
        <f>IF(N(I170)&gt;0,I170,IFERROR(ROUND(_xlfn.NUMBERVALUE(LEFT(G170,FIND(" ",G170&amp;" ")-1),".")*1000,0),99999))</f>
        <v/>
      </c>
      <c r="CN170" s="3">
        <f>IF(R170="profesional",0,IF(O170&lt;CUOTA_VALOR_MAX,IF(BA170&gt;ITP_TRAMO_ALTO,SUMIFS(CF_CUOTA,CF_MAS,ITP_TRAMO_ALTO,CF_CCMIN,"&lt;="&amp;CM170,CF_CCMAX,"&gt;="&amp;CM170),IF(BA170&gt;ITP_TRAMO_BAJO,SUMIFS(CF_CUOTA,CF_MAS,ITP_TRAMO_BAJO,CF_CCMIN,"&lt;="&amp;CM170,CF_CCMAX,"&gt;="&amp;CM170),O170*ITP_TIPO)),O170*ITP_TIPO))</f>
        <v/>
      </c>
      <c r="CO170" s="4">
        <f>IF(R170="profesional",N(AK170),0)</f>
        <v/>
      </c>
      <c r="CP170" s="3">
        <f>IF(AND(R170="profesional",ISNUMBER(AK170),AL170="sí"),0,TASA_DGT)</f>
        <v/>
      </c>
      <c r="CQ170" s="3">
        <f>INFORME_DGT</f>
        <v/>
      </c>
      <c r="CR170" s="4">
        <f>O170+CO170+CN170+CP170+CQ170</f>
        <v/>
      </c>
      <c r="CS170" s="4">
        <f>CR170+N(CF170)</f>
        <v/>
      </c>
      <c r="CT170" s="3">
        <f>IF(CR170&lt;=TOTAL_MAX,"sí",IF(CR170&lt;=TOTAL_MAX+MARGEN_NEG,"negociar","no"))</f>
        <v/>
      </c>
      <c r="CU170" s="4">
        <f>IF(CT170&lt;&gt;"no",COUNTIFS($CT$2:$CT$545,"&lt;&gt;no",$CL$2:$CL$545,"&gt;"&amp;CL170)+COUNTIFS($CT$2:CT170,"&lt;&gt;no",$CL$2:CL170,CL170),"")</f>
        <v/>
      </c>
    </row>
    <row r="171">
      <c r="A171" s="2" t="inlineStr">
        <is>
          <t>autoscout24:a37432b1-37f1-494e-8619-bca54f407aa3</t>
        </is>
      </c>
      <c r="B171" s="2" t="inlineStr">
        <is>
          <t>autoscout24</t>
        </is>
      </c>
      <c r="C171" s="2" t="inlineStr">
        <is>
          <t>https://www.autoscout24.es/anuncios/hyundai-i20-1-2-gasolina-100-emotion-gasolina-cat_ma33mo19188-a37432b1-37f1-494e-8619-bca54f407aa3</t>
        </is>
      </c>
      <c r="D171" s="2" t="inlineStr">
        <is>
          <t>Hyundai i20 1.2 GASOLINA 100 EMOTION</t>
        </is>
      </c>
      <c r="E171" s="2" t="inlineStr">
        <is>
          <t>Hyundai</t>
        </is>
      </c>
      <c r="F171" s="2" t="inlineStr">
        <is>
          <t>Hyundai i20</t>
        </is>
      </c>
      <c r="G171" s="2" t="inlineStr">
        <is>
          <t>1.2</t>
        </is>
      </c>
      <c r="H171" s="2" t="inlineStr">
        <is>
          <t>1.2 GASOLINA 100 EMOTION 1.2</t>
        </is>
      </c>
      <c r="I171" s="2" t="n"/>
      <c r="J171" s="2" t="n">
        <v>76</v>
      </c>
      <c r="K171" s="2" t="inlineStr">
        <is>
          <t>gasolina</t>
        </is>
      </c>
      <c r="L171" s="2" t="inlineStr">
        <is>
          <t>utilitario</t>
        </is>
      </c>
      <c r="M171" s="2" t="n">
        <v>2010</v>
      </c>
      <c r="N171" s="2" t="n">
        <v>129000</v>
      </c>
      <c r="O171" s="2" t="n">
        <v>4649</v>
      </c>
      <c r="P171" s="2" t="inlineStr">
        <is>
          <t>manual</t>
        </is>
      </c>
      <c r="Q171" s="2" t="inlineStr">
        <is>
          <t>no</t>
        </is>
      </c>
      <c r="R171" s="2" t="inlineStr">
        <is>
          <t>profesional</t>
        </is>
      </c>
      <c r="S171" s="2" t="inlineStr">
        <is>
          <t>CSV MOTOR VALENCIA — Valencia (46009)</t>
        </is>
      </c>
      <c r="T171" s="2" t="n"/>
      <c r="U171" s="2" t="n">
        <v>20</v>
      </c>
      <c r="V171" s="2" t="n"/>
      <c r="W171" s="2" t="n"/>
      <c r="X171" s="2" t="n"/>
      <c r="Y171" s="2" t="n"/>
      <c r="Z171" s="2" t="inlineStr">
        <is>
          <t>sí</t>
        </is>
      </c>
      <c r="AA171" s="2" t="n"/>
      <c r="AB171" s="2" t="n">
        <v>12</v>
      </c>
      <c r="AC171" s="2" t="inlineStr">
        <is>
          <t>sí</t>
        </is>
      </c>
      <c r="AD171" s="2" t="n"/>
      <c r="AE171" s="2" t="n">
        <v>150</v>
      </c>
      <c r="AF171" s="2" t="n"/>
      <c r="AG171" s="2" t="n"/>
      <c r="AH171" s="2" t="n">
        <v>4650</v>
      </c>
      <c r="AI171" s="2" t="n"/>
      <c r="AJ171" s="2" t="n"/>
      <c r="AK171" s="2" t="n"/>
      <c r="AL171" s="2" t="n"/>
      <c r="AM171" s="2" t="n">
        <v>1.6</v>
      </c>
      <c r="AN171" s="2" t="n"/>
      <c r="AO171" s="2" t="inlineStr">
        <is>
          <t>2010-06</t>
        </is>
      </c>
      <c r="AP171" s="2" t="n">
        <v>2010</v>
      </c>
      <c r="AQ171" s="2" t="n">
        <v>6</v>
      </c>
      <c r="AR171" s="2" t="n"/>
      <c r="AS171" s="2" t="inlineStr">
        <is>
          <t>regla</t>
        </is>
      </c>
      <c r="AT171" s="2" t="n">
        <v>5250</v>
      </c>
      <c r="AU171" s="2" t="n">
        <v>5</v>
      </c>
      <c r="AV171" s="2" t="inlineStr">
        <is>
          <t>modelo+año</t>
        </is>
      </c>
      <c r="AW171" s="2" t="n"/>
      <c r="AX171" s="2" t="inlineStr">
        <is>
          <t>vendedor profesional: sin ITP (operación con IVA/REBU, confirmar en factura); gastos de gestión del vendedor no indicados: se suma la tasa DGT; preguntar el precio final</t>
        </is>
      </c>
      <c r="AY171" s="2" t="inlineStr">
        <is>
          <t>&lt;strong&gt;Precio al contado: 4650 euros&lt;/strong&gt; &lt;br /&gt;&lt;br /&gt;&lt;strong&gt;Condiciones de la financiación&lt;/strong&gt; &lt;br /&gt;&lt;br /&gt;Precio financiado sujeto a la aprobación de la entidad financiera. Consulta las condiciones. &lt;br /&gt;&lt;br /&gt;✓ GARANTÍA de 12 meses (ampliable hasta 3 años; consulta condiciones).&lt;br /&gt;✓ Revisado en 150 puntos antes de su venta.&lt;br /&gt;✓ Devolución hasta 15 días tras la entrega con motivo justificado.&lt;br /&gt;► Te lo llevamos a nuestra tienda de Burjassot (Valencia): pregúntanos plazo y coste.&lt;br /&gt;&lt;br /&gt;► Está en nuestra tienda de Arroyomolinos (Madrid).&lt;br /&gt;Resérvalo con 300 € y te lo guardamos 20 días.&lt;br /&gt;Te lo enseñamos por videollamada y valoramos tu coche como parte de pago.&lt;br /&gt;&lt;br /&gt;EXTRAS DEL VEHÍCULO:&lt;br /&gt;&lt;br /&gt;ACABADO COMFORT AA ESP, AIRE ACONDICIONADO, RADIO CD MP3 CON CONEXIÓN AUXILIAR, ORDENADOR DE A BORDO, ELEVALUNAS ELÉCTRICOS DELANTEROS, RETROVISORES ELÉCTRICOS, CIERRE CENTRALIZADO CON MANDO, CONTROL DE ESTABILIDAD ESP, TAPICERÍA DE TELA, ISOFIX, ETC.&lt;br /&gt;&lt;br /&gt;⚖ Vehículo bajo Régimen Especial de Bienes Usados (REBU). IVA NO deducible.&lt;br /&gt;&lt;br /&gt;Anuncio orientativo, no vinculante. Pueden existir errores tipográficos. Para información oficial contacta con nosotros a través de los datos de contacto del concesionario.&lt;br /&gt;&lt;br /&gt;► Red CSV Motor: Arroyomolinos (Comunidad de Madrid) · Terrassa (Barcelona) · Bormujos (Sevilla) · Burjassot (Valencia)</t>
        </is>
      </c>
      <c r="AZ171" s="2" t="inlineStr">
        <is>
          <t>https://www.autoscout24.es/anuncios/hyundai-i20-1-2-gasolina-100-emotion-gasolina-cat_ma33mo19188-a37432b1-37f1-494e-8619-bca54f407aa3 (__NEXT_DATA__ listingDetails) /home/user/Alopecia/buscador-coches/raw/autoscout24/290daaf4f2da0c69.json</t>
        </is>
      </c>
      <c r="BA171" s="3">
        <f>MAX(ANIO_ACTUAL-M171,0)</f>
        <v/>
      </c>
      <c r="BB171" s="4">
        <f>N171/MAX(BA171,0.5)</f>
        <v/>
      </c>
      <c r="BC171" s="4">
        <f>F171</f>
        <v/>
      </c>
      <c r="BD171" s="3">
        <f>BC171&amp;"|"&amp;INT(M171/SEG_ANIO)*SEG_ANIO</f>
        <v/>
      </c>
      <c r="BE171" s="3">
        <f>BD171&amp;"|"&amp;INT(N171/SEG_KM)*SEG_KM</f>
        <v/>
      </c>
      <c r="BF171" s="4">
        <f>COUNTIF($BC$2:$BC$545,BC171)</f>
        <v/>
      </c>
      <c r="BG171" s="4">
        <f>COUNTIF($BD$2:$BD$545,BD171)</f>
        <v/>
      </c>
      <c r="BH171" s="4">
        <f>COUNTIF($BE$2:$BE$545,BE171)</f>
        <v/>
      </c>
      <c r="BI171" s="3">
        <f t="array" ref="BI171">IF(N(AU171)&gt;=MIN_N,AT171,IF(BH171&gt;=MIN_N,MEDIAN(IF($BE$2:$BE$545=BE171,$O$2:$O$545)),IF(BG171&gt;=MIN_N,MEDIAN(IF($BD$2:$BD$545=BD171,$O$2:$O$545)),MEDIAN(IF($BC$2:$BC$545=BC171,$O$2:$O$545)))))</f>
        <v/>
      </c>
      <c r="BJ171" s="3">
        <f>IF(N(AU171)&gt;=MIN_N,"mercado "&amp;AV171,IF(BH171&gt;=MIN_N,"modelo+año+km",IF(BG171&gt;=MIN_N,"modelo+año","modelo")))</f>
        <v/>
      </c>
      <c r="BK171" s="4">
        <f>(BI171-O171)/BI171</f>
        <v/>
      </c>
      <c r="BL171" s="3">
        <f>IF(COUNTIFS(FR_FUEL,K171,FR_YEAR,AP171)&gt;0,1,0)</f>
        <v/>
      </c>
      <c r="BM171" s="3">
        <f>IF(COUNTIFS(FR_FUEL,K171,FR_YEAR,AP171-1)&gt;0,1,0)</f>
        <v/>
      </c>
      <c r="BN171" s="4">
        <f>IF(N(AQ171)&gt;0,AP171*100+AQ171,IF(AND(BL171=1,BM171=1),(AP171-1)*100+1,AP171*100+1))</f>
        <v/>
      </c>
      <c r="BO171" s="3">
        <f>IF(OR(K171="hibrido",K171="glp",K171="gnc",K171="phev"),"ECO",IF(K171="electrico","CERO",IF(K171="gasolina",IF(BN171&gt;=GAS_C_YM,"C",IF(BN171&gt;=GAS_B_YM,"B","A")),IF(K171="diesel",IF(BN171&gt;=DIE_C_YM,"C",IF(BN171&gt;=DIE_B_YM,"B","A")),""))))</f>
        <v/>
      </c>
      <c r="BP171" s="4">
        <f>BO171</f>
        <v/>
      </c>
      <c r="BQ171" s="4">
        <f>IF(AS171="regla",IF(AND(N(AQ171)=0,BL171=1),"sí","no"),"no")</f>
        <v/>
      </c>
      <c r="BR171" s="3">
        <f>IFERROR(VLOOKUP(F171,MOD_TBL,11,0),IFERROR(VLOOKUP(E171,OCU_TBL,2,0),NEUTRO))</f>
        <v/>
      </c>
      <c r="BS171" s="3">
        <f>SUMIFS(MOT_AJUSTE,MOT_MOTOR,G171,MOT_MARCA,E171,MOT_DESDE,"&lt;="&amp;M171,MOT_HASTA,"&gt;="&amp;M171)+SUMIFS(MOT_AJUSTE,MOT_MOTOR,G171,MOT_MARCA,"(todas)",MOT_DESDE,"&lt;="&amp;M171,MOT_HASTA,"&gt;="&amp;M171)</f>
        <v/>
      </c>
      <c r="BT171" s="3">
        <f>SUMIFS(COMB_AJUSTE,COMB_COMB,K171)</f>
        <v/>
      </c>
      <c r="BU171" s="3">
        <f>COUNTIFS(MOT_MOTOR,G171,MOT_MARCA,E171,MOT_DESDE,"&lt;="&amp;M171,MOT_HASTA,"&gt;="&amp;M171)+COUNTIFS(MOT_MOTOR,G171,MOT_MARCA,"(todas)",MOT_DESDE,"&lt;="&amp;M171,MOT_HASTA,"&gt;="&amp;M171)</f>
        <v/>
      </c>
      <c r="BV171" s="3">
        <f>IF(AND(K171="diesel",BU171=0),MIN(BR171,NEUTRO),BR171)</f>
        <v/>
      </c>
      <c r="BW171" s="4">
        <f>MAX(0,MIN(100,BV171+BS171+BT171))</f>
        <v/>
      </c>
      <c r="BX171" s="3">
        <f>MAX(0,MIN(100,50+BK171*PRECIO_PEND))</f>
        <v/>
      </c>
      <c r="BY171" s="3">
        <f>MAX(0,100*(1-N171/KM_MAX))</f>
        <v/>
      </c>
      <c r="BZ171" s="3">
        <f>IF(BB171&lt;KMA_SOSP,IF(AA171="sí",100,KMA_PEN),IF(BB171&lt;=KMA_IDEAL_MAX,100,MAX(0,100*(KMA_CERO-BB171)/(KMA_CERO-KMA_IDEAL_MAX))))</f>
        <v/>
      </c>
      <c r="CA171" s="3">
        <f>MAX(0,MIN(100,100*(M171-ANIO_MIN)/(ANIO_ACTUAL-ANIO_MIN)))</f>
        <v/>
      </c>
      <c r="CB171" s="3">
        <f>W_KMT*BY171+W_KMA*BZ171+W_EDAD*CA171</f>
        <v/>
      </c>
      <c r="CC171" s="3">
        <f>P_ITV*(V171="sí")+P_LIBRO*(W171="sí")+P_CORREA*(X171="sí")+P_PROP*(Y171=1)+P_GAR*(Z171="sí")+P_FOTOS*MIN(1,N(U171)/FOTOS_OBJ)</f>
        <v/>
      </c>
      <c r="CD171" s="3">
        <f>MAX(0,MIN(100,IFERROR(VLOOKUP(BP171,ETQ_TBL,2,0),0)-IF(BQ171="sí",ETQ_PEN_DUD,IF(AS171="regla",ETQ_PEN_REGLA,0))))</f>
        <v/>
      </c>
      <c r="CE171" s="3">
        <f>NEUTRO</f>
        <v/>
      </c>
      <c r="CF171" s="3">
        <f>IFERROR(VLOOKUP(L171,SEGURO_TBL,3,0),"")</f>
        <v/>
      </c>
      <c r="CG171" s="3">
        <f>IF(CF171="",NEUTRO,MAX(0,MIN(100,100*(SEG_REF_MAX-CF171)/(SEG_REF_MAX-SEG_REF_MIN))))</f>
        <v/>
      </c>
      <c r="CH171" s="3">
        <f>W_CONS*CE171+W_SEG*CG171</f>
        <v/>
      </c>
      <c r="CI171" s="3">
        <f>IF(N(AB171)&gt;0,AB171,IF(AND(R171="profesional",SG_LEGAL_ON=1),GAR_LEGAL,0))</f>
        <v/>
      </c>
      <c r="CJ171" s="3">
        <f>SG_GAR*MIN(1,CI171/SG_GAR_FULL)+SG_AMPL*(AC171="sí")+SG_KMC*(AF171="sí")+SG_REV*(N(AE171)&gt;0)+SG_DEV*MIN(1,N(AG171)/SG_DEV_FULL)+SG_HIST*(W171="sí")</f>
        <v/>
      </c>
      <c r="CK171" s="3">
        <f>IFERROR(VLOOKUP(L171,CARR_PEN_TBL,2,0),0)</f>
        <v/>
      </c>
      <c r="CL171" s="3">
        <f>W_FIAB*BW171+W_PRECIO*BX171+W_KMEDAD*CB171+W_ANUNCIO*CC171+W_USO*CH171+W_SEGURIDAD*CJ171+W_ETIQUETA*CD171-CK171</f>
        <v/>
      </c>
      <c r="CM171" s="4">
        <f>IF(N(I171)&gt;0,I171,IFERROR(ROUND(_xlfn.NUMBERVALUE(LEFT(G171,FIND(" ",G171&amp;" ")-1),".")*1000,0),99999))</f>
        <v/>
      </c>
      <c r="CN171" s="3">
        <f>IF(R171="profesional",0,IF(O171&lt;CUOTA_VALOR_MAX,IF(BA171&gt;ITP_TRAMO_ALTO,SUMIFS(CF_CUOTA,CF_MAS,ITP_TRAMO_ALTO,CF_CCMIN,"&lt;="&amp;CM171,CF_CCMAX,"&gt;="&amp;CM171),IF(BA171&gt;ITP_TRAMO_BAJO,SUMIFS(CF_CUOTA,CF_MAS,ITP_TRAMO_BAJO,CF_CCMIN,"&lt;="&amp;CM171,CF_CCMAX,"&gt;="&amp;CM171),O171*ITP_TIPO)),O171*ITP_TIPO))</f>
        <v/>
      </c>
      <c r="CO171" s="4">
        <f>IF(R171="profesional",N(AK171),0)</f>
        <v/>
      </c>
      <c r="CP171" s="3">
        <f>IF(AND(R171="profesional",ISNUMBER(AK171),AL171="sí"),0,TASA_DGT)</f>
        <v/>
      </c>
      <c r="CQ171" s="3">
        <f>INFORME_DGT</f>
        <v/>
      </c>
      <c r="CR171" s="4">
        <f>O171+CO171+CN171+CP171+CQ171</f>
        <v/>
      </c>
      <c r="CS171" s="4">
        <f>CR171+N(CF171)</f>
        <v/>
      </c>
      <c r="CT171" s="3">
        <f>IF(CR171&lt;=TOTAL_MAX,"sí",IF(CR171&lt;=TOTAL_MAX+MARGEN_NEG,"negociar","no"))</f>
        <v/>
      </c>
      <c r="CU171" s="4">
        <f>IF(CT171&lt;&gt;"no",COUNTIFS($CT$2:$CT$545,"&lt;&gt;no",$CL$2:$CL$545,"&gt;"&amp;CL171)+COUNTIFS($CT$2:CT171,"&lt;&gt;no",$CL$2:CL171,CL171),"")</f>
        <v/>
      </c>
    </row>
    <row r="172">
      <c r="A172" s="2" t="inlineStr">
        <is>
          <t>cochesnet:71437236</t>
        </is>
      </c>
      <c r="B172" s="2" t="inlineStr">
        <is>
          <t>cochesnet</t>
        </is>
      </c>
      <c r="C172" s="2" t="inlineStr">
        <is>
          <t>https://www.coches.net/seat-ibiza-14-16v-75-cv-reference-5p-gasolina-2006-en-castellon-71437236-covo.aspx</t>
        </is>
      </c>
      <c r="D172" s="2" t="inlineStr">
        <is>
          <t>SEAT IBIZA 1.4 16V 75 CV REFERENCE</t>
        </is>
      </c>
      <c r="E172" s="2" t="inlineStr">
        <is>
          <t>Seat</t>
        </is>
      </c>
      <c r="F172" s="2" t="inlineStr">
        <is>
          <t>Seat Ibiza</t>
        </is>
      </c>
      <c r="G172" s="2" t="inlineStr">
        <is>
          <t>1.4</t>
        </is>
      </c>
      <c r="H172" s="2" t="inlineStr">
        <is>
          <t>1.4 16V 75 CV REFERENCE</t>
        </is>
      </c>
      <c r="I172" s="2" t="n"/>
      <c r="J172" s="2" t="n">
        <v>75</v>
      </c>
      <c r="K172" s="2" t="inlineStr">
        <is>
          <t>gasolina</t>
        </is>
      </c>
      <c r="L172" s="2" t="inlineStr">
        <is>
          <t>utilitario</t>
        </is>
      </c>
      <c r="M172" s="2" t="n">
        <v>2006</v>
      </c>
      <c r="N172" s="2" t="n">
        <v>170628</v>
      </c>
      <c r="O172" s="2" t="n">
        <v>4000</v>
      </c>
      <c r="P172" s="2" t="inlineStr">
        <is>
          <t>manual</t>
        </is>
      </c>
      <c r="Q172" s="2" t="inlineStr">
        <is>
          <t>no</t>
        </is>
      </c>
      <c r="R172" s="2" t="inlineStr">
        <is>
          <t>profesional</t>
        </is>
      </c>
      <c r="S172" s="2" t="inlineStr">
        <is>
          <t>Ocasionplus CASTELLÓN Castellón de la Plana / Castelló de la Plana</t>
        </is>
      </c>
      <c r="T172" s="2" t="inlineStr">
        <is>
          <t>2026-09-03T19:59:41Z</t>
        </is>
      </c>
      <c r="U172" s="2" t="n">
        <v>29</v>
      </c>
      <c r="V172" s="2" t="n"/>
      <c r="W172" s="2" t="n"/>
      <c r="X172" s="2" t="n"/>
      <c r="Y172" s="2" t="n"/>
      <c r="Z172" s="2" t="inlineStr">
        <is>
          <t>sí</t>
        </is>
      </c>
      <c r="AA172" s="2" t="n"/>
      <c r="AB172" s="2" t="n">
        <v>12</v>
      </c>
      <c r="AC172" s="2" t="n"/>
      <c r="AD172" s="2" t="n"/>
      <c r="AE172" s="2" t="n"/>
      <c r="AF172" s="2" t="n"/>
      <c r="AG172" s="2" t="n"/>
      <c r="AH172" s="2" t="n">
        <v>4000</v>
      </c>
      <c r="AI172" s="2" t="n">
        <v>4000</v>
      </c>
      <c r="AJ172" s="2" t="n"/>
      <c r="AK172" s="2" t="n"/>
      <c r="AL172" s="2" t="n"/>
      <c r="AM172" s="2" t="n"/>
      <c r="AN172" s="2" t="inlineStr">
        <is>
          <t>1000KMS</t>
        </is>
      </c>
      <c r="AO172" s="2" t="inlineStr">
        <is>
          <t>2006</t>
        </is>
      </c>
      <c r="AP172" s="2" t="n">
        <v>2006</v>
      </c>
      <c r="AQ172" s="2" t="n"/>
      <c r="AR172" s="2" t="inlineStr">
        <is>
          <t>B</t>
        </is>
      </c>
      <c r="AS172" s="2" t="inlineStr">
        <is>
          <t>DGT</t>
        </is>
      </c>
      <c r="AT172" s="2" t="n">
        <v>3750</v>
      </c>
      <c r="AU172" s="2" t="n">
        <v>8</v>
      </c>
      <c r="AV172" s="2" t="inlineStr">
        <is>
          <t>modelo+año+km</t>
        </is>
      </c>
      <c r="AW172" s="2" t="inlineStr">
        <is>
          <t>autoscout24:2247e51d-2d97-4865-a634-64eb5c9e335d (https://www.autoscout24.es/anuncios/seat-ibiza-1-4-16v-reference-gasolina-negro-cat_ma64mo2006-2247e51d-2d97-4865-a634-64eb5c9e335d); wallapop:1273247713 (https://es.wallapop.com/item/seat-ibiza-1-4-16v-reference-55-kw-75-cv-1273247713)</t>
        </is>
      </c>
      <c r="AX172"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172"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(15").
                - Coche Nacional.
                COCHE SIN GARANTÍA, Vehículo sin Garantía para uso Profesional o Empresarial (Realizando Actividades Económicas Comerciales, Transportistas, Fontaneros, Albañiles, etc).
            - Sobrevaloramos tu coche en operaciones de cambio. Tásalo ahora en ocasionplus.com
            - Entregamos cualquier coche en cualquier centro
            - Abierto Domingo y Festivos.</t>
        </is>
      </c>
      <c r="AZ172" s="2" t="inlineStr">
        <is>
          <t>https://www.coches.net/seat-ibiza-14-16v-75-cv-reference-5p-gasolina-2006-en-castellon-71437236-covo.aspx (window.__INITIAL_PROPS__.ad) /home/user/Alopecia/buscador-coches/raw/cochesnet/08cb7df1b155baac.json</t>
        </is>
      </c>
      <c r="BA172" s="3">
        <f>MAX(ANIO_ACTUAL-M172,0)</f>
        <v/>
      </c>
      <c r="BB172" s="4">
        <f>N172/MAX(BA172,0.5)</f>
        <v/>
      </c>
      <c r="BC172" s="4">
        <f>F172</f>
        <v/>
      </c>
      <c r="BD172" s="3">
        <f>BC172&amp;"|"&amp;INT(M172/SEG_ANIO)*SEG_ANIO</f>
        <v/>
      </c>
      <c r="BE172" s="3">
        <f>BD172&amp;"|"&amp;INT(N172/SEG_KM)*SEG_KM</f>
        <v/>
      </c>
      <c r="BF172" s="4">
        <f>COUNTIF($BC$2:$BC$545,BC172)</f>
        <v/>
      </c>
      <c r="BG172" s="4">
        <f>COUNTIF($BD$2:$BD$545,BD172)</f>
        <v/>
      </c>
      <c r="BH172" s="4">
        <f>COUNTIF($BE$2:$BE$545,BE172)</f>
        <v/>
      </c>
      <c r="BI172" s="3">
        <f t="array" ref="BI172">IF(N(AU172)&gt;=MIN_N,AT172,IF(BH172&gt;=MIN_N,MEDIAN(IF($BE$2:$BE$545=BE172,$O$2:$O$545)),IF(BG172&gt;=MIN_N,MEDIAN(IF($BD$2:$BD$545=BD172,$O$2:$O$545)),MEDIAN(IF($BC$2:$BC$545=BC172,$O$2:$O$545)))))</f>
        <v/>
      </c>
      <c r="BJ172" s="3">
        <f>IF(N(AU172)&gt;=MIN_N,"mercado "&amp;AV172,IF(BH172&gt;=MIN_N,"modelo+año+km",IF(BG172&gt;=MIN_N,"modelo+año","modelo")))</f>
        <v/>
      </c>
      <c r="BK172" s="4">
        <f>(BI172-O172)/BI172</f>
        <v/>
      </c>
      <c r="BL172" s="3">
        <f>IF(COUNTIFS(FR_FUEL,K172,FR_YEAR,AP172)&gt;0,1,0)</f>
        <v/>
      </c>
      <c r="BM172" s="3">
        <f>IF(COUNTIFS(FR_FUEL,K172,FR_YEAR,AP172-1)&gt;0,1,0)</f>
        <v/>
      </c>
      <c r="BN172" s="4">
        <f>IF(N(AQ172)&gt;0,AP172*100+AQ172,IF(AND(BL172=1,BM172=1),(AP172-1)*100+1,AP172*100+1))</f>
        <v/>
      </c>
      <c r="BO172" s="3">
        <f>IF(OR(K172="hibrido",K172="glp",K172="gnc",K172="phev"),"ECO",IF(K172="electrico","CERO",IF(K172="gasolina",IF(BN172&gt;=GAS_C_YM,"C",IF(BN172&gt;=GAS_B_YM,"B","A")),IF(K172="diesel",IF(BN172&gt;=DIE_C_YM,"C",IF(BN172&gt;=DIE_B_YM,"B","A")),""))))</f>
        <v/>
      </c>
      <c r="BP172" s="2" t="inlineStr">
        <is>
          <t>B</t>
        </is>
      </c>
      <c r="BQ172" s="4">
        <f>IF(AS172="regla",IF(AND(N(AQ172)=0,BL172=1),"sí","no"),"no")</f>
        <v/>
      </c>
      <c r="BR172" s="3">
        <f>IFERROR(VLOOKUP(F172,MOD_TBL,11,0),IFERROR(VLOOKUP(E172,OCU_TBL,2,0),NEUTRO))</f>
        <v/>
      </c>
      <c r="BS172" s="3">
        <f>SUMIFS(MOT_AJUSTE,MOT_MOTOR,G172,MOT_MARCA,E172,MOT_DESDE,"&lt;="&amp;M172,MOT_HASTA,"&gt;="&amp;M172)+SUMIFS(MOT_AJUSTE,MOT_MOTOR,G172,MOT_MARCA,"(todas)",MOT_DESDE,"&lt;="&amp;M172,MOT_HASTA,"&gt;="&amp;M172)</f>
        <v/>
      </c>
      <c r="BT172" s="3">
        <f>SUMIFS(COMB_AJUSTE,COMB_COMB,K172)</f>
        <v/>
      </c>
      <c r="BU172" s="3">
        <f>COUNTIFS(MOT_MOTOR,G172,MOT_MARCA,E172,MOT_DESDE,"&lt;="&amp;M172,MOT_HASTA,"&gt;="&amp;M172)+COUNTIFS(MOT_MOTOR,G172,MOT_MARCA,"(todas)",MOT_DESDE,"&lt;="&amp;M172,MOT_HASTA,"&gt;="&amp;M172)</f>
        <v/>
      </c>
      <c r="BV172" s="3">
        <f>IF(AND(K172="diesel",BU172=0),MIN(BR172,NEUTRO),BR172)</f>
        <v/>
      </c>
      <c r="BW172" s="4">
        <f>MAX(0,MIN(100,BV172+BS172+BT172))</f>
        <v/>
      </c>
      <c r="BX172" s="3">
        <f>MAX(0,MIN(100,50+BK172*PRECIO_PEND))</f>
        <v/>
      </c>
      <c r="BY172" s="3">
        <f>MAX(0,100*(1-N172/KM_MAX))</f>
        <v/>
      </c>
      <c r="BZ172" s="3">
        <f>IF(BB172&lt;KMA_SOSP,IF(AA172="sí",100,KMA_PEN),IF(BB172&lt;=KMA_IDEAL_MAX,100,MAX(0,100*(KMA_CERO-BB172)/(KMA_CERO-KMA_IDEAL_MAX))))</f>
        <v/>
      </c>
      <c r="CA172" s="3">
        <f>MAX(0,MIN(100,100*(M172-ANIO_MIN)/(ANIO_ACTUAL-ANIO_MIN)))</f>
        <v/>
      </c>
      <c r="CB172" s="3">
        <f>W_KMT*BY172+W_KMA*BZ172+W_EDAD*CA172</f>
        <v/>
      </c>
      <c r="CC172" s="3">
        <f>P_ITV*(V172="sí")+P_LIBRO*(W172="sí")+P_CORREA*(X172="sí")+P_PROP*(Y172=1)+P_GAR*(Z172="sí")+P_FOTOS*MIN(1,N(U172)/FOTOS_OBJ)</f>
        <v/>
      </c>
      <c r="CD172" s="3">
        <f>MAX(0,MIN(100,IFERROR(VLOOKUP(BP172,ETQ_TBL,2,0),0)-IF(BQ172="sí",ETQ_PEN_DUD,IF(AS172="regla",ETQ_PEN_REGLA,0))))</f>
        <v/>
      </c>
      <c r="CE172" s="3">
        <f>NEUTRO</f>
        <v/>
      </c>
      <c r="CF172" s="3">
        <f>IFERROR(VLOOKUP(L172,SEGURO_TBL,3,0),"")</f>
        <v/>
      </c>
      <c r="CG172" s="3">
        <f>IF(CF172="",NEUTRO,MAX(0,MIN(100,100*(SEG_REF_MAX-CF172)/(SEG_REF_MAX-SEG_REF_MIN))))</f>
        <v/>
      </c>
      <c r="CH172" s="3">
        <f>W_CONS*CE172+W_SEG*CG172</f>
        <v/>
      </c>
      <c r="CI172" s="3">
        <f>IF(N(AB172)&gt;0,AB172,IF(AND(R172="profesional",SG_LEGAL_ON=1),GAR_LEGAL,0))</f>
        <v/>
      </c>
      <c r="CJ172" s="3">
        <f>SG_GAR*MIN(1,CI172/SG_GAR_FULL)+SG_AMPL*(AC172="sí")+SG_KMC*(AF172="sí")+SG_REV*(N(AE172)&gt;0)+SG_DEV*MIN(1,N(AG172)/SG_DEV_FULL)+SG_HIST*(W172="sí")</f>
        <v/>
      </c>
      <c r="CK172" s="3">
        <f>IFERROR(VLOOKUP(L172,CARR_PEN_TBL,2,0),0)</f>
        <v/>
      </c>
      <c r="CL172" s="3">
        <f>W_FIAB*BW172+W_PRECIO*BX172+W_KMEDAD*CB172+W_ANUNCIO*CC172+W_USO*CH172+W_SEGURIDAD*CJ172+W_ETIQUETA*CD172-CK172</f>
        <v/>
      </c>
      <c r="CM172" s="4">
        <f>IF(N(I172)&gt;0,I172,IFERROR(ROUND(_xlfn.NUMBERVALUE(LEFT(G172,FIND(" ",G172&amp;" ")-1),".")*1000,0),99999))</f>
        <v/>
      </c>
      <c r="CN172" s="3">
        <f>IF(R172="profesional",0,IF(O172&lt;CUOTA_VALOR_MAX,IF(BA172&gt;ITP_TRAMO_ALTO,SUMIFS(CF_CUOTA,CF_MAS,ITP_TRAMO_ALTO,CF_CCMIN,"&lt;="&amp;CM172,CF_CCMAX,"&gt;="&amp;CM172),IF(BA172&gt;ITP_TRAMO_BAJO,SUMIFS(CF_CUOTA,CF_MAS,ITP_TRAMO_BAJO,CF_CCMIN,"&lt;="&amp;CM172,CF_CCMAX,"&gt;="&amp;CM172),O172*ITP_TIPO)),O172*ITP_TIPO))</f>
        <v/>
      </c>
      <c r="CO172" s="4">
        <f>IF(R172="profesional",N(AK172),0)</f>
        <v/>
      </c>
      <c r="CP172" s="3">
        <f>IF(AND(R172="profesional",ISNUMBER(AK172),AL172="sí"),0,TASA_DGT)</f>
        <v/>
      </c>
      <c r="CQ172" s="3">
        <f>INFORME_DGT</f>
        <v/>
      </c>
      <c r="CR172" s="4">
        <f>O172+CO172+CN172+CP172+CQ172</f>
        <v/>
      </c>
      <c r="CS172" s="4">
        <f>CR172+N(CF172)</f>
        <v/>
      </c>
      <c r="CT172" s="3">
        <f>IF(CR172&lt;=TOTAL_MAX,"sí",IF(CR172&lt;=TOTAL_MAX+MARGEN_NEG,"negociar","no"))</f>
        <v/>
      </c>
      <c r="CU172" s="4">
        <f>IF(CT172&lt;&gt;"no",COUNTIFS($CT$2:$CT$545,"&lt;&gt;no",$CL$2:$CL$545,"&gt;"&amp;CL172)+COUNTIFS($CT$2:CT172,"&lt;&gt;no",$CL$2:CL172,CL172),"")</f>
        <v/>
      </c>
    </row>
    <row r="173">
      <c r="A173" s="2" t="inlineStr">
        <is>
          <t>autoscout24:2422eae7-5387-42bd-9d60-aa5952b4a9ba</t>
        </is>
      </c>
      <c r="B173" s="2" t="inlineStr">
        <is>
          <t>autoscout24</t>
        </is>
      </c>
      <c r="C173" s="2" t="inlineStr">
        <is>
          <t>https://www.autoscout24.es/anuncios/volkswagen-golf-golf-1-6-highline-highline-gasolina-negro-cat_ma74mo2084-2422eae7-5387-42bd-9d60-aa5952b4a9ba</t>
        </is>
      </c>
      <c r="D173" s="2" t="inlineStr">
        <is>
          <t>Volkswagen Golf Golf 1.6 Highline Highline</t>
        </is>
      </c>
      <c r="E173" s="2" t="inlineStr">
        <is>
          <t>Volkswagen</t>
        </is>
      </c>
      <c r="F173" s="2" t="inlineStr">
        <is>
          <t>Volkswagen Golf</t>
        </is>
      </c>
      <c r="G173" s="2" t="inlineStr">
        <is>
          <t>1.6</t>
        </is>
      </c>
      <c r="H173" s="2" t="inlineStr">
        <is>
          <t>Golf 1.6 Highline Highline 1.6</t>
        </is>
      </c>
      <c r="I173" s="2" t="n">
        <v>1595</v>
      </c>
      <c r="J173" s="2" t="n">
        <v>102</v>
      </c>
      <c r="K173" s="2" t="inlineStr">
        <is>
          <t>gasolina</t>
        </is>
      </c>
      <c r="L173" s="2" t="inlineStr">
        <is>
          <t>compacto</t>
        </is>
      </c>
      <c r="M173" s="2" t="n">
        <v>2006</v>
      </c>
      <c r="N173" s="2" t="n">
        <v>185000</v>
      </c>
      <c r="O173" s="2" t="n">
        <v>4000</v>
      </c>
      <c r="P173" s="2" t="inlineStr">
        <is>
          <t>manual</t>
        </is>
      </c>
      <c r="Q173" s="2" t="inlineStr">
        <is>
          <t>no</t>
        </is>
      </c>
      <c r="R173" s="2" t="inlineStr">
        <is>
          <t>particular</t>
        </is>
      </c>
      <c r="S173" s="2" t="inlineStr">
        <is>
          <t>Castelló de la Plana (12001)</t>
        </is>
      </c>
      <c r="T173" s="2" t="n"/>
      <c r="U173" s="2" t="n">
        <v>11</v>
      </c>
      <c r="V173" s="2" t="inlineStr">
        <is>
          <t>sí</t>
        </is>
      </c>
      <c r="W173" s="2" t="n"/>
      <c r="X173" s="2" t="n"/>
      <c r="Y173" s="2" t="n"/>
      <c r="Z173" s="2" t="n"/>
      <c r="AA173" s="2" t="n"/>
      <c r="AB173" s="2" t="n"/>
      <c r="AC173" s="2" t="n"/>
      <c r="AD173" s="2" t="n"/>
      <c r="AE173" s="2" t="n"/>
      <c r="AF173" s="2" t="n"/>
      <c r="AG173" s="2" t="n"/>
      <c r="AH173" s="2" t="n"/>
      <c r="AI173" s="2" t="n"/>
      <c r="AJ173" s="2" t="n"/>
      <c r="AK173" s="2" t="n"/>
      <c r="AL173" s="2" t="n"/>
      <c r="AM173" s="2" t="n">
        <v>64.3</v>
      </c>
      <c r="AN173" s="2" t="n"/>
      <c r="AO173" s="2" t="inlineStr">
        <is>
          <t>2006-09</t>
        </is>
      </c>
      <c r="AP173" s="2" t="n">
        <v>2006</v>
      </c>
      <c r="AQ173" s="2" t="n">
        <v>9</v>
      </c>
      <c r="AR173" s="2" t="n"/>
      <c r="AS173" s="2" t="inlineStr">
        <is>
          <t>regla</t>
        </is>
      </c>
      <c r="AT173" s="2" t="n">
        <v>4800</v>
      </c>
      <c r="AU173" s="2" t="n">
        <v>5</v>
      </c>
      <c r="AV173" s="2" t="inlineStr">
        <is>
          <t>modelo+año+km</t>
        </is>
      </c>
      <c r="AW173" s="2" t="inlineStr">
        <is>
          <t>cochesnet:70972197 (https://www.coches.net/volkswagen-golf-16-fsi-gt-sport-5p-gasolina-2006-en-castellon-70972197-covo.aspx)</t>
        </is>
      </c>
      <c r="AX173" s="2" t="inlineStr">
        <is>
          <t>cuota fija ITP: &gt;12 años, 1.501-2.000 cc</t>
        </is>
      </c>
      <c r="AY173" s="2" t="inlineStr">
        <is>
          <t>Volkswagen Golf V 1.6 Gasolina 102 CV – 2006 – 184.952 km&lt;br /&gt;Se vende Volkswagen Golf 1.6 gasolina de 2006, 5 puertas y cambio manual. Coche muy fiable y cómodo, ideal tanto para el día a día como para conductores noveles.&lt;br /&gt;* 184.952 km&lt;br /&gt;* ITV pasada en marzo de 2026&lt;br /&gt;* Motor 1.6 gasolina (102 CV)&lt;br /&gt;* Cambio manual&lt;br /&gt;* Aire acondicionado&lt;br /&gt;* Llantas de aleación&lt;br /&gt;* Elevalunas eléctricos&lt;br /&gt;* Cierre centralizado&lt;br /&gt;* Radio&lt;br /&gt;* 5 plazas&lt;br /&gt;El coche funciona correctamente de motor y mecánica. Siempre ha recibido su mantenimiento y está listo para circular. De chapa tiene algunos pequeños arañazos y un desperfecto en la pintura de la aleta delantera izquierda, propios de la edad, que no afectan al funcionamiento.&lt;br /&gt;Se puede ver y probar sin compromiso.&lt;br /&gt;Gastos cambio de nombre por cuenta del comprador.</t>
        </is>
      </c>
      <c r="AZ173" s="2" t="inlineStr">
        <is>
          <t>https://www.autoscout24.es/anuncios/volkswagen-golf-golf-1-6-highline-highline-gasolina-negro-cat_ma74mo2084-2422eae7-5387-42bd-9d60-aa5952b4a9ba (__NEXT_DATA__ listingDetails) /home/user/Alopecia/buscador-coches/raw/autoscout24/a1d2210407987f32.json</t>
        </is>
      </c>
      <c r="BA173" s="3">
        <f>MAX(ANIO_ACTUAL-M173,0)</f>
        <v/>
      </c>
      <c r="BB173" s="4">
        <f>N173/MAX(BA173,0.5)</f>
        <v/>
      </c>
      <c r="BC173" s="4">
        <f>F173</f>
        <v/>
      </c>
      <c r="BD173" s="3">
        <f>BC173&amp;"|"&amp;INT(M173/SEG_ANIO)*SEG_ANIO</f>
        <v/>
      </c>
      <c r="BE173" s="3">
        <f>BD173&amp;"|"&amp;INT(N173/SEG_KM)*SEG_KM</f>
        <v/>
      </c>
      <c r="BF173" s="4">
        <f>COUNTIF($BC$2:$BC$545,BC173)</f>
        <v/>
      </c>
      <c r="BG173" s="4">
        <f>COUNTIF($BD$2:$BD$545,BD173)</f>
        <v/>
      </c>
      <c r="BH173" s="4">
        <f>COUNTIF($BE$2:$BE$545,BE173)</f>
        <v/>
      </c>
      <c r="BI173" s="3">
        <f t="array" ref="BI173">IF(N(AU173)&gt;=MIN_N,AT173,IF(BH173&gt;=MIN_N,MEDIAN(IF($BE$2:$BE$545=BE173,$O$2:$O$545)),IF(BG173&gt;=MIN_N,MEDIAN(IF($BD$2:$BD$545=BD173,$O$2:$O$545)),MEDIAN(IF($BC$2:$BC$545=BC173,$O$2:$O$545)))))</f>
        <v/>
      </c>
      <c r="BJ173" s="3">
        <f>IF(N(AU173)&gt;=MIN_N,"mercado "&amp;AV173,IF(BH173&gt;=MIN_N,"modelo+año+km",IF(BG173&gt;=MIN_N,"modelo+año","modelo")))</f>
        <v/>
      </c>
      <c r="BK173" s="4">
        <f>(BI173-O173)/BI173</f>
        <v/>
      </c>
      <c r="BL173" s="3">
        <f>IF(COUNTIFS(FR_FUEL,K173,FR_YEAR,AP173)&gt;0,1,0)</f>
        <v/>
      </c>
      <c r="BM173" s="3">
        <f>IF(COUNTIFS(FR_FUEL,K173,FR_YEAR,AP173-1)&gt;0,1,0)</f>
        <v/>
      </c>
      <c r="BN173" s="4">
        <f>IF(N(AQ173)&gt;0,AP173*100+AQ173,IF(AND(BL173=1,BM173=1),(AP173-1)*100+1,AP173*100+1))</f>
        <v/>
      </c>
      <c r="BO173" s="3">
        <f>IF(OR(K173="hibrido",K173="glp",K173="gnc",K173="phev"),"ECO",IF(K173="electrico","CERO",IF(K173="gasolina",IF(BN173&gt;=GAS_C_YM,"C",IF(BN173&gt;=GAS_B_YM,"B","A")),IF(K173="diesel",IF(BN173&gt;=DIE_C_YM,"C",IF(BN173&gt;=DIE_B_YM,"B","A")),""))))</f>
        <v/>
      </c>
      <c r="BP173" s="4">
        <f>BO173</f>
        <v/>
      </c>
      <c r="BQ173" s="4">
        <f>IF(AS173="regla",IF(AND(N(AQ173)=0,BL173=1),"sí","no"),"no")</f>
        <v/>
      </c>
      <c r="BR173" s="3">
        <f>IFERROR(VLOOKUP(F173,MOD_TBL,11,0),IFERROR(VLOOKUP(E173,OCU_TBL,2,0),NEUTRO))</f>
        <v/>
      </c>
      <c r="BS173" s="3">
        <f>SUMIFS(MOT_AJUSTE,MOT_MOTOR,G173,MOT_MARCA,E173,MOT_DESDE,"&lt;="&amp;M173,MOT_HASTA,"&gt;="&amp;M173)+SUMIFS(MOT_AJUSTE,MOT_MOTOR,G173,MOT_MARCA,"(todas)",MOT_DESDE,"&lt;="&amp;M173,MOT_HASTA,"&gt;="&amp;M173)</f>
        <v/>
      </c>
      <c r="BT173" s="3">
        <f>SUMIFS(COMB_AJUSTE,COMB_COMB,K173)</f>
        <v/>
      </c>
      <c r="BU173" s="3">
        <f>COUNTIFS(MOT_MOTOR,G173,MOT_MARCA,E173,MOT_DESDE,"&lt;="&amp;M173,MOT_HASTA,"&gt;="&amp;M173)+COUNTIFS(MOT_MOTOR,G173,MOT_MARCA,"(todas)",MOT_DESDE,"&lt;="&amp;M173,MOT_HASTA,"&gt;="&amp;M173)</f>
        <v/>
      </c>
      <c r="BV173" s="3">
        <f>IF(AND(K173="diesel",BU173=0),MIN(BR173,NEUTRO),BR173)</f>
        <v/>
      </c>
      <c r="BW173" s="4">
        <f>MAX(0,MIN(100,BV173+BS173+BT173))</f>
        <v/>
      </c>
      <c r="BX173" s="3">
        <f>MAX(0,MIN(100,50+BK173*PRECIO_PEND))</f>
        <v/>
      </c>
      <c r="BY173" s="3">
        <f>MAX(0,100*(1-N173/KM_MAX))</f>
        <v/>
      </c>
      <c r="BZ173" s="3">
        <f>IF(BB173&lt;KMA_SOSP,IF(AA173="sí",100,KMA_PEN),IF(BB173&lt;=KMA_IDEAL_MAX,100,MAX(0,100*(KMA_CERO-BB173)/(KMA_CERO-KMA_IDEAL_MAX))))</f>
        <v/>
      </c>
      <c r="CA173" s="3">
        <f>MAX(0,MIN(100,100*(M173-ANIO_MIN)/(ANIO_ACTUAL-ANIO_MIN)))</f>
        <v/>
      </c>
      <c r="CB173" s="3">
        <f>W_KMT*BY173+W_KMA*BZ173+W_EDAD*CA173</f>
        <v/>
      </c>
      <c r="CC173" s="3">
        <f>P_ITV*(V173="sí")+P_LIBRO*(W173="sí")+P_CORREA*(X173="sí")+P_PROP*(Y173=1)+P_GAR*(Z173="sí")+P_FOTOS*MIN(1,N(U173)/FOTOS_OBJ)</f>
        <v/>
      </c>
      <c r="CD173" s="3">
        <f>MAX(0,MIN(100,IFERROR(VLOOKUP(BP173,ETQ_TBL,2,0),0)-IF(BQ173="sí",ETQ_PEN_DUD,IF(AS173="regla",ETQ_PEN_REGLA,0))))</f>
        <v/>
      </c>
      <c r="CE173" s="3">
        <f>NEUTRO</f>
        <v/>
      </c>
      <c r="CF173" s="3">
        <f>IFERROR(VLOOKUP(L173,SEGURO_TBL,3,0),"")</f>
        <v/>
      </c>
      <c r="CG173" s="3">
        <f>IF(CF173="",NEUTRO,MAX(0,MIN(100,100*(SEG_REF_MAX-CF173)/(SEG_REF_MAX-SEG_REF_MIN))))</f>
        <v/>
      </c>
      <c r="CH173" s="3">
        <f>W_CONS*CE173+W_SEG*CG173</f>
        <v/>
      </c>
      <c r="CI173" s="3">
        <f>IF(N(AB173)&gt;0,AB173,IF(AND(R173="profesional",SG_LEGAL_ON=1),GAR_LEGAL,0))</f>
        <v/>
      </c>
      <c r="CJ173" s="3">
        <f>SG_GAR*MIN(1,CI173/SG_GAR_FULL)+SG_AMPL*(AC173="sí")+SG_KMC*(AF173="sí")+SG_REV*(N(AE173)&gt;0)+SG_DEV*MIN(1,N(AG173)/SG_DEV_FULL)+SG_HIST*(W173="sí")</f>
        <v/>
      </c>
      <c r="CK173" s="3">
        <f>IFERROR(VLOOKUP(L173,CARR_PEN_TBL,2,0),0)</f>
        <v/>
      </c>
      <c r="CL173" s="3">
        <f>W_FIAB*BW173+W_PRECIO*BX173+W_KMEDAD*CB173+W_ANUNCIO*CC173+W_USO*CH173+W_SEGURIDAD*CJ173+W_ETIQUETA*CD173-CK173</f>
        <v/>
      </c>
      <c r="CM173" s="4">
        <f>IF(N(I173)&gt;0,I173,IFERROR(ROUND(_xlfn.NUMBERVALUE(LEFT(G173,FIND(" ",G173&amp;" ")-1),".")*1000,0),99999))</f>
        <v/>
      </c>
      <c r="CN173" s="3">
        <f>IF(R173="profesional",0,IF(O173&lt;CUOTA_VALOR_MAX,IF(BA173&gt;ITP_TRAMO_ALTO,SUMIFS(CF_CUOTA,CF_MAS,ITP_TRAMO_ALTO,CF_CCMIN,"&lt;="&amp;CM173,CF_CCMAX,"&gt;="&amp;CM173),IF(BA173&gt;ITP_TRAMO_BAJO,SUMIFS(CF_CUOTA,CF_MAS,ITP_TRAMO_BAJO,CF_CCMIN,"&lt;="&amp;CM173,CF_CCMAX,"&gt;="&amp;CM173),O173*ITP_TIPO)),O173*ITP_TIPO))</f>
        <v/>
      </c>
      <c r="CO173" s="4">
        <f>IF(R173="profesional",N(AK173),0)</f>
        <v/>
      </c>
      <c r="CP173" s="3">
        <f>IF(AND(R173="profesional",ISNUMBER(AK173),AL173="sí"),0,TASA_DGT)</f>
        <v/>
      </c>
      <c r="CQ173" s="3">
        <f>INFORME_DGT</f>
        <v/>
      </c>
      <c r="CR173" s="4">
        <f>O173+CO173+CN173+CP173+CQ173</f>
        <v/>
      </c>
      <c r="CS173" s="4">
        <f>CR173+N(CF173)</f>
        <v/>
      </c>
      <c r="CT173" s="3">
        <f>IF(CR173&lt;=TOTAL_MAX,"sí",IF(CR173&lt;=TOTAL_MAX+MARGEN_NEG,"negociar","no"))</f>
        <v/>
      </c>
      <c r="CU173" s="4">
        <f>IF(CT173&lt;&gt;"no",COUNTIFS($CT$2:$CT$545,"&lt;&gt;no",$CL$2:$CL$545,"&gt;"&amp;CL173)+COUNTIFS($CT$2:CT173,"&lt;&gt;no",$CL$2:CL173,CL173),"")</f>
        <v/>
      </c>
    </row>
    <row r="174">
      <c r="A174" s="2" t="inlineStr">
        <is>
          <t>autoscout24:9824a598-2929-4b45-beea-6d5dc70af795</t>
        </is>
      </c>
      <c r="B174" s="2" t="inlineStr">
        <is>
          <t>autoscout24</t>
        </is>
      </c>
      <c r="C174" s="2" t="inlineStr">
        <is>
          <t>https://www.autoscout24.es/anuncios/opel-meriva-meriva-1-7cdti-enjoy-enjoy-diesel-azul-cat_ma54mo18341-9824a598-2929-4b45-beea-6d5dc70af795</t>
        </is>
      </c>
      <c r="D174" s="2" t="inlineStr">
        <is>
          <t>Opel Meriva Meriva 1.7CDTI Enjoy Enjoy</t>
        </is>
      </c>
      <c r="E174" s="2" t="inlineStr">
        <is>
          <t>Opel</t>
        </is>
      </c>
      <c r="F174" s="2" t="inlineStr">
        <is>
          <t>Opel Meriva</t>
        </is>
      </c>
      <c r="G174" s="2" t="inlineStr">
        <is>
          <t>1.7 CDTi</t>
        </is>
      </c>
      <c r="H174" s="2" t="inlineStr">
        <is>
          <t>Meriva 1.7CDTI Enjoy Enjoy 1.7 CDTI</t>
        </is>
      </c>
      <c r="I174" s="2" t="n">
        <v>1686</v>
      </c>
      <c r="J174" s="2" t="n">
        <v>99</v>
      </c>
      <c r="K174" s="2" t="inlineStr">
        <is>
          <t>diesel</t>
        </is>
      </c>
      <c r="L174" s="2" t="inlineStr">
        <is>
          <t>monovolumen_pequeno</t>
        </is>
      </c>
      <c r="M174" s="2" t="n">
        <v>2006</v>
      </c>
      <c r="N174" s="2" t="n">
        <v>201000</v>
      </c>
      <c r="O174" s="2" t="n">
        <v>2500</v>
      </c>
      <c r="P174" s="2" t="inlineStr">
        <is>
          <t>manual</t>
        </is>
      </c>
      <c r="Q174" s="2" t="inlineStr">
        <is>
          <t>no</t>
        </is>
      </c>
      <c r="R174" s="2" t="inlineStr">
        <is>
          <t>particular</t>
        </is>
      </c>
      <c r="S174" s="2" t="inlineStr">
        <is>
          <t>València (46018)</t>
        </is>
      </c>
      <c r="T174" s="2" t="n"/>
      <c r="U174" s="2" t="n">
        <v>9</v>
      </c>
      <c r="V174" s="2" t="inlineStr">
        <is>
          <t>sí</t>
        </is>
      </c>
      <c r="W174" s="2" t="n"/>
      <c r="X174" s="2" t="n"/>
      <c r="Y174" s="2" t="n"/>
      <c r="Z174" s="2" t="n"/>
      <c r="AA174" s="2" t="n"/>
      <c r="AB174" s="2" t="n"/>
      <c r="AC174" s="2" t="n"/>
      <c r="AD174" s="2" t="n"/>
      <c r="AE174" s="2" t="n"/>
      <c r="AF174" s="2" t="n"/>
      <c r="AG174" s="2" t="n"/>
      <c r="AH174" s="2" t="n"/>
      <c r="AI174" s="2" t="n"/>
      <c r="AJ174" s="2" t="n"/>
      <c r="AK174" s="2" t="n"/>
      <c r="AL174" s="2" t="n"/>
      <c r="AM174" s="2" t="n">
        <v>2</v>
      </c>
      <c r="AN174" s="2" t="n"/>
      <c r="AO174" s="2" t="inlineStr">
        <is>
          <t>2006-10</t>
        </is>
      </c>
      <c r="AP174" s="2" t="n">
        <v>2006</v>
      </c>
      <c r="AQ174" s="2" t="n">
        <v>10</v>
      </c>
      <c r="AR174" s="2" t="n"/>
      <c r="AS174" s="2" t="inlineStr">
        <is>
          <t>regla</t>
        </is>
      </c>
      <c r="AT174" s="2" t="n">
        <v>2500</v>
      </c>
      <c r="AU174" s="2" t="n">
        <v>13</v>
      </c>
      <c r="AV174" s="2" t="inlineStr">
        <is>
          <t>modelo+año</t>
        </is>
      </c>
      <c r="AW174" s="2" t="n"/>
      <c r="AX174" s="2" t="inlineStr">
        <is>
          <t>cuota fija ITP: &gt;12 años, 1.501-2.000 cc; diésel: motor sin fuente de fiabilidad (fiabilidad limitada a neutra); carrocería monovolumen_pequeno: -6 puntos; fiabilidad del modelo PENDIENTE de fuente (puntuación neutra)</t>
        </is>
      </c>
      <c r="AY174" s="2" t="inlineStr">
        <is>
          <t>Opel Meriva 2006. ITV en vigor. 201.000 kms</t>
        </is>
      </c>
      <c r="AZ174" s="2" t="inlineStr">
        <is>
          <t>https://www.autoscout24.es/anuncios/opel-meriva-meriva-1-7cdti-enjoy-enjoy-diesel-azul-cat_ma54mo18341-9824a598-2929-4b45-beea-6d5dc70af795 (__NEXT_DATA__ listingDetails) /home/user/Alopecia/buscador-coches/raw/autoscout24/21b4e924289d389e.json</t>
        </is>
      </c>
      <c r="BA174" s="3">
        <f>MAX(ANIO_ACTUAL-M174,0)</f>
        <v/>
      </c>
      <c r="BB174" s="4">
        <f>N174/MAX(BA174,0.5)</f>
        <v/>
      </c>
      <c r="BC174" s="4">
        <f>F174</f>
        <v/>
      </c>
      <c r="BD174" s="3">
        <f>BC174&amp;"|"&amp;INT(M174/SEG_ANIO)*SEG_ANIO</f>
        <v/>
      </c>
      <c r="BE174" s="3">
        <f>BD174&amp;"|"&amp;INT(N174/SEG_KM)*SEG_KM</f>
        <v/>
      </c>
      <c r="BF174" s="4">
        <f>COUNTIF($BC$2:$BC$545,BC174)</f>
        <v/>
      </c>
      <c r="BG174" s="4">
        <f>COUNTIF($BD$2:$BD$545,BD174)</f>
        <v/>
      </c>
      <c r="BH174" s="4">
        <f>COUNTIF($BE$2:$BE$545,BE174)</f>
        <v/>
      </c>
      <c r="BI174" s="3">
        <f t="array" ref="BI174">IF(N(AU174)&gt;=MIN_N,AT174,IF(BH174&gt;=MIN_N,MEDIAN(IF($BE$2:$BE$545=BE174,$O$2:$O$545)),IF(BG174&gt;=MIN_N,MEDIAN(IF($BD$2:$BD$545=BD174,$O$2:$O$545)),MEDIAN(IF($BC$2:$BC$545=BC174,$O$2:$O$545)))))</f>
        <v/>
      </c>
      <c r="BJ174" s="3">
        <f>IF(N(AU174)&gt;=MIN_N,"mercado "&amp;AV174,IF(BH174&gt;=MIN_N,"modelo+año+km",IF(BG174&gt;=MIN_N,"modelo+año","modelo")))</f>
        <v/>
      </c>
      <c r="BK174" s="4">
        <f>(BI174-O174)/BI174</f>
        <v/>
      </c>
      <c r="BL174" s="3">
        <f>IF(COUNTIFS(FR_FUEL,K174,FR_YEAR,AP174)&gt;0,1,0)</f>
        <v/>
      </c>
      <c r="BM174" s="3">
        <f>IF(COUNTIFS(FR_FUEL,K174,FR_YEAR,AP174-1)&gt;0,1,0)</f>
        <v/>
      </c>
      <c r="BN174" s="4">
        <f>IF(N(AQ174)&gt;0,AP174*100+AQ174,IF(AND(BL174=1,BM174=1),(AP174-1)*100+1,AP174*100+1))</f>
        <v/>
      </c>
      <c r="BO174" s="3">
        <f>IF(OR(K174="hibrido",K174="glp",K174="gnc",K174="phev"),"ECO",IF(K174="electrico","CERO",IF(K174="gasolina",IF(BN174&gt;=GAS_C_YM,"C",IF(BN174&gt;=GAS_B_YM,"B","A")),IF(K174="diesel",IF(BN174&gt;=DIE_C_YM,"C",IF(BN174&gt;=DIE_B_YM,"B","A")),""))))</f>
        <v/>
      </c>
      <c r="BP174" s="4">
        <f>BO174</f>
        <v/>
      </c>
      <c r="BQ174" s="4">
        <f>IF(AS174="regla",IF(AND(N(AQ174)=0,BL174=1),"sí","no"),"no")</f>
        <v/>
      </c>
      <c r="BR174" s="3">
        <f>IFERROR(VLOOKUP(F174,MOD_TBL,11,0),IFERROR(VLOOKUP(E174,OCU_TBL,2,0),NEUTRO))</f>
        <v/>
      </c>
      <c r="BS174" s="3">
        <f>SUMIFS(MOT_AJUSTE,MOT_MOTOR,G174,MOT_MARCA,E174,MOT_DESDE,"&lt;="&amp;M174,MOT_HASTA,"&gt;="&amp;M174)+SUMIFS(MOT_AJUSTE,MOT_MOTOR,G174,MOT_MARCA,"(todas)",MOT_DESDE,"&lt;="&amp;M174,MOT_HASTA,"&gt;="&amp;M174)</f>
        <v/>
      </c>
      <c r="BT174" s="3">
        <f>SUMIFS(COMB_AJUSTE,COMB_COMB,K174)</f>
        <v/>
      </c>
      <c r="BU174" s="3">
        <f>COUNTIFS(MOT_MOTOR,G174,MOT_MARCA,E174,MOT_DESDE,"&lt;="&amp;M174,MOT_HASTA,"&gt;="&amp;M174)+COUNTIFS(MOT_MOTOR,G174,MOT_MARCA,"(todas)",MOT_DESDE,"&lt;="&amp;M174,MOT_HASTA,"&gt;="&amp;M174)</f>
        <v/>
      </c>
      <c r="BV174" s="3">
        <f>IF(AND(K174="diesel",BU174=0),MIN(BR174,NEUTRO),BR174)</f>
        <v/>
      </c>
      <c r="BW174" s="4">
        <f>MAX(0,MIN(100,BV174+BS174+BT174))</f>
        <v/>
      </c>
      <c r="BX174" s="3">
        <f>MAX(0,MIN(100,50+BK174*PRECIO_PEND))</f>
        <v/>
      </c>
      <c r="BY174" s="3">
        <f>MAX(0,100*(1-N174/KM_MAX))</f>
        <v/>
      </c>
      <c r="BZ174" s="3">
        <f>IF(BB174&lt;KMA_SOSP,IF(AA174="sí",100,KMA_PEN),IF(BB174&lt;=KMA_IDEAL_MAX,100,MAX(0,100*(KMA_CERO-BB174)/(KMA_CERO-KMA_IDEAL_MAX))))</f>
        <v/>
      </c>
      <c r="CA174" s="3">
        <f>MAX(0,MIN(100,100*(M174-ANIO_MIN)/(ANIO_ACTUAL-ANIO_MIN)))</f>
        <v/>
      </c>
      <c r="CB174" s="3">
        <f>W_KMT*BY174+W_KMA*BZ174+W_EDAD*CA174</f>
        <v/>
      </c>
      <c r="CC174" s="3">
        <f>P_ITV*(V174="sí")+P_LIBRO*(W174="sí")+P_CORREA*(X174="sí")+P_PROP*(Y174=1)+P_GAR*(Z174="sí")+P_FOTOS*MIN(1,N(U174)/FOTOS_OBJ)</f>
        <v/>
      </c>
      <c r="CD174" s="3">
        <f>MAX(0,MIN(100,IFERROR(VLOOKUP(BP174,ETQ_TBL,2,0),0)-IF(BQ174="sí",ETQ_PEN_DUD,IF(AS174="regla",ETQ_PEN_REGLA,0))))</f>
        <v/>
      </c>
      <c r="CE174" s="3">
        <f>NEUTRO</f>
        <v/>
      </c>
      <c r="CF174" s="3">
        <f>IFERROR(VLOOKUP(L174,SEGURO_TBL,3,0),"")</f>
        <v/>
      </c>
      <c r="CG174" s="3">
        <f>IF(CF174="",NEUTRO,MAX(0,MIN(100,100*(SEG_REF_MAX-CF174)/(SEG_REF_MAX-SEG_REF_MIN))))</f>
        <v/>
      </c>
      <c r="CH174" s="3">
        <f>W_CONS*CE174+W_SEG*CG174</f>
        <v/>
      </c>
      <c r="CI174" s="3">
        <f>IF(N(AB174)&gt;0,AB174,IF(AND(R174="profesional",SG_LEGAL_ON=1),GAR_LEGAL,0))</f>
        <v/>
      </c>
      <c r="CJ174" s="3">
        <f>SG_GAR*MIN(1,CI174/SG_GAR_FULL)+SG_AMPL*(AC174="sí")+SG_KMC*(AF174="sí")+SG_REV*(N(AE174)&gt;0)+SG_DEV*MIN(1,N(AG174)/SG_DEV_FULL)+SG_HIST*(W174="sí")</f>
        <v/>
      </c>
      <c r="CK174" s="3">
        <f>IFERROR(VLOOKUP(L174,CARR_PEN_TBL,2,0),0)</f>
        <v/>
      </c>
      <c r="CL174" s="3">
        <f>W_FIAB*BW174+W_PRECIO*BX174+W_KMEDAD*CB174+W_ANUNCIO*CC174+W_USO*CH174+W_SEGURIDAD*CJ174+W_ETIQUETA*CD174-CK174</f>
        <v/>
      </c>
      <c r="CM174" s="4">
        <f>IF(N(I174)&gt;0,I174,IFERROR(ROUND(_xlfn.NUMBERVALUE(LEFT(G174,FIND(" ",G174&amp;" ")-1),".")*1000,0),99999))</f>
        <v/>
      </c>
      <c r="CN174" s="3">
        <f>IF(R174="profesional",0,IF(O174&lt;CUOTA_VALOR_MAX,IF(BA174&gt;ITP_TRAMO_ALTO,SUMIFS(CF_CUOTA,CF_MAS,ITP_TRAMO_ALTO,CF_CCMIN,"&lt;="&amp;CM174,CF_CCMAX,"&gt;="&amp;CM174),IF(BA174&gt;ITP_TRAMO_BAJO,SUMIFS(CF_CUOTA,CF_MAS,ITP_TRAMO_BAJO,CF_CCMIN,"&lt;="&amp;CM174,CF_CCMAX,"&gt;="&amp;CM174),O174*ITP_TIPO)),O174*ITP_TIPO))</f>
        <v/>
      </c>
      <c r="CO174" s="4">
        <f>IF(R174="profesional",N(AK174),0)</f>
        <v/>
      </c>
      <c r="CP174" s="3">
        <f>IF(AND(R174="profesional",ISNUMBER(AK174),AL174="sí"),0,TASA_DGT)</f>
        <v/>
      </c>
      <c r="CQ174" s="3">
        <f>INFORME_DGT</f>
        <v/>
      </c>
      <c r="CR174" s="4">
        <f>O174+CO174+CN174+CP174+CQ174</f>
        <v/>
      </c>
      <c r="CS174" s="4">
        <f>CR174+N(CF174)</f>
        <v/>
      </c>
      <c r="CT174" s="3">
        <f>IF(CR174&lt;=TOTAL_MAX,"sí",IF(CR174&lt;=TOTAL_MAX+MARGEN_NEG,"negociar","no"))</f>
        <v/>
      </c>
      <c r="CU174" s="4">
        <f>IF(CT174&lt;&gt;"no",COUNTIFS($CT$2:$CT$545,"&lt;&gt;no",$CL$2:$CL$545,"&gt;"&amp;CL174)+COUNTIFS($CT$2:CT174,"&lt;&gt;no",$CL$2:CL174,CL174),"")</f>
        <v/>
      </c>
    </row>
    <row r="175">
      <c r="A175" s="2" t="inlineStr">
        <is>
          <t>autoscout24:5db2cfac-b438-4efe-865b-c5e5c9526f20</t>
        </is>
      </c>
      <c r="B175" s="2" t="inlineStr">
        <is>
          <t>autoscout24</t>
        </is>
      </c>
      <c r="C175" s="2" t="inlineStr">
        <is>
          <t>https://www.autoscout24.es/anuncios/opel-meriva-1-7cdti-cosmo-110-diesel-blanco-cat_ma54mo18341-5db2cfac-b438-4efe-865b-c5e5c9526f20</t>
        </is>
      </c>
      <c r="D175" s="2" t="inlineStr">
        <is>
          <t>Opel Meriva 1.7CDTi Cosmo 110</t>
        </is>
      </c>
      <c r="E175" s="2" t="inlineStr">
        <is>
          <t>Opel</t>
        </is>
      </c>
      <c r="F175" s="2" t="inlineStr">
        <is>
          <t>Opel Meriva</t>
        </is>
      </c>
      <c r="G175" s="2" t="inlineStr">
        <is>
          <t>1.7 CDTi</t>
        </is>
      </c>
      <c r="H175" s="2" t="inlineStr">
        <is>
          <t>1.7CDTi Cosmo 110 1.7 CDTI</t>
        </is>
      </c>
      <c r="I175" s="2" t="n">
        <v>1686</v>
      </c>
      <c r="J175" s="2" t="n">
        <v>110</v>
      </c>
      <c r="K175" s="2" t="inlineStr">
        <is>
          <t>diesel</t>
        </is>
      </c>
      <c r="L175" s="2" t="inlineStr">
        <is>
          <t>monovolumen_pequeno</t>
        </is>
      </c>
      <c r="M175" s="2" t="n">
        <v>2011</v>
      </c>
      <c r="N175" s="2" t="n">
        <v>173000</v>
      </c>
      <c r="O175" s="2" t="n">
        <v>4990</v>
      </c>
      <c r="P175" s="2" t="inlineStr">
        <is>
          <t>manual</t>
        </is>
      </c>
      <c r="Q175" s="2" t="inlineStr">
        <is>
          <t>no</t>
        </is>
      </c>
      <c r="R175" s="2" t="inlineStr">
        <is>
          <t>profesional</t>
        </is>
      </c>
      <c r="S175" s="2" t="inlineStr">
        <is>
          <t>SAGA VEHICULOS — MASSANASSA (46470)</t>
        </is>
      </c>
      <c r="T175" s="2" t="n"/>
      <c r="U175" s="2" t="n">
        <v>32</v>
      </c>
      <c r="V175" s="2" t="n"/>
      <c r="W175" s="2" t="n"/>
      <c r="X175" s="2" t="n"/>
      <c r="Y175" s="2" t="n"/>
      <c r="Z175" s="2" t="inlineStr">
        <is>
          <t>sí</t>
        </is>
      </c>
      <c r="AA175" s="2" t="n"/>
      <c r="AB175" s="2" t="n">
        <v>12</v>
      </c>
      <c r="AC175" s="2" t="inlineStr">
        <is>
          <t>sí</t>
        </is>
      </c>
      <c r="AD175" s="2" t="n"/>
      <c r="AE175" s="2" t="n"/>
      <c r="AF175" s="2" t="n"/>
      <c r="AG175" s="2" t="n"/>
      <c r="AH175" s="2" t="n"/>
      <c r="AI175" s="2" t="n"/>
      <c r="AJ175" s="2" t="n"/>
      <c r="AK175" s="2" t="n">
        <v>350</v>
      </c>
      <c r="AL175" s="2" t="inlineStr">
        <is>
          <t>no</t>
        </is>
      </c>
      <c r="AM175" s="2" t="n">
        <v>7.1</v>
      </c>
      <c r="AN175" s="2" t="n"/>
      <c r="AO175" s="2" t="inlineStr">
        <is>
          <t>2011-11</t>
        </is>
      </c>
      <c r="AP175" s="2" t="n">
        <v>2011</v>
      </c>
      <c r="AQ175" s="2" t="n">
        <v>11</v>
      </c>
      <c r="AR175" s="2" t="n"/>
      <c r="AS175" s="2" t="inlineStr">
        <is>
          <t>regla</t>
        </is>
      </c>
      <c r="AT175" s="2" t="n">
        <v>4990</v>
      </c>
      <c r="AU175" s="2" t="n">
        <v>4</v>
      </c>
      <c r="AV175" s="2" t="inlineStr">
        <is>
          <t>modelo+año</t>
        </is>
      </c>
      <c r="AW175" s="2" t="inlineStr">
        <is>
          <t>cochesnet:71555949 (https://www.coches.net/opel-meriva-17-cdti-110-cv-cosmo-5p-diesel-2012-en-valencia-71555949-covo.aspx)</t>
        </is>
      </c>
      <c r="AX175" s="2" t="inlineStr">
        <is>
          <t>vendedor profesional: sin ITP (operación con IVA/REBU, confirmar en factura); gastos del vendedor sin indicar si incluyen la transferencia: se suma la tasa DGT; diésel: motor sin fuente de fiabilidad (fiabilidad limitada a neutra); carrocería monovolumen_pequeno: -6 puntos; fiabilidad del modelo PENDIENTE de fuente (puntuación neutra)</t>
        </is>
      </c>
      <c r="AY175" s="2" t="inlineStr">
        <is>
          <t>Opel Meriva Cosmo 1.7 CDTi turbo, 110CV, Diésel, vehículo muy bien cuidado.&lt;br /&gt;Más de 100 coches en stock, Por favor llámenos para más información, atendemos SOLO CON CITA PREVIA. Gracias!!!!&lt;br /&gt;Financiación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dual zone&lt;br /&gt;- Dirección asistida&lt;br /&gt;- Freno ABS/EBD&lt;br /&gt;- Control de estabilidad ESP&lt;br /&gt;- Airbags&lt;br /&gt;- Control de crucero&lt;br /&gt;- Ordenador abordo&lt;br /&gt;- Sistema multimedia Bluetooth&lt;br /&gt;- Llaves mandos a distancia y mucho mas....&lt;br /&gt;Este anuncio no es vinculante, se muestra a titulo informativo y no contractual.&lt;br /&gt;&lt;br /&gt;&lt;br /&gt; &lt;strong&gt;Extras&lt;/strong&gt; &lt;br /&gt; &lt;strong&gt;Equipamiento destacado seleccionado por el usuario&lt;/strong&gt; &lt;br /&gt; &lt;br /&gt;- Asistente de salida en cuesta&lt;br /&gt;- Radio CD 400&lt;br /&gt;- Conexión USB&lt;br /&gt;- Toma de 12V en el maletero&lt;br /&gt;- Pack Exterior&lt;br /&gt;- Pack Elegance&lt;br /&gt;- Pack Comfort&lt;br /&gt;- Tapicería cuero&lt;br /&gt;- Faros adaptativos (AFL)&lt;br /&gt;- Pack Visibilidad&lt;br /&gt;- Sistema teléfono móvil Bluetooth SIM (SIM acc&lt;br /&gt;- Sistema teléfono móvil con Bluetooth (t)&lt;br /&gt;- Pack Comunicación Plus&lt;br /&gt;- Pack Versatilidad&lt;br /&gt;- Pack Funcional&lt;br /&gt;</t>
        </is>
      </c>
      <c r="AZ175" s="2" t="inlineStr">
        <is>
          <t>https://www.autoscout24.es/anuncios/opel-meriva-1-7cdti-cosmo-110-diesel-blanco-cat_ma54mo18341-5db2cfac-b438-4efe-865b-c5e5c9526f20 (__NEXT_DATA__ listingDetails) /home/user/Alopecia/buscador-coches/raw/autoscout24/539c4d2bcfcfd561.json</t>
        </is>
      </c>
      <c r="BA175" s="3">
        <f>MAX(ANIO_ACTUAL-M175,0)</f>
        <v/>
      </c>
      <c r="BB175" s="4">
        <f>N175/MAX(BA175,0.5)</f>
        <v/>
      </c>
      <c r="BC175" s="4">
        <f>F175</f>
        <v/>
      </c>
      <c r="BD175" s="3">
        <f>BC175&amp;"|"&amp;INT(M175/SEG_ANIO)*SEG_ANIO</f>
        <v/>
      </c>
      <c r="BE175" s="3">
        <f>BD175&amp;"|"&amp;INT(N175/SEG_KM)*SEG_KM</f>
        <v/>
      </c>
      <c r="BF175" s="4">
        <f>COUNTIF($BC$2:$BC$545,BC175)</f>
        <v/>
      </c>
      <c r="BG175" s="4">
        <f>COUNTIF($BD$2:$BD$545,BD175)</f>
        <v/>
      </c>
      <c r="BH175" s="4">
        <f>COUNTIF($BE$2:$BE$545,BE175)</f>
        <v/>
      </c>
      <c r="BI175" s="3">
        <f t="array" ref="BI175">IF(N(AU175)&gt;=MIN_N,AT175,IF(BH175&gt;=MIN_N,MEDIAN(IF($BE$2:$BE$545=BE175,$O$2:$O$545)),IF(BG175&gt;=MIN_N,MEDIAN(IF($BD$2:$BD$545=BD175,$O$2:$O$545)),MEDIAN(IF($BC$2:$BC$545=BC175,$O$2:$O$545)))))</f>
        <v/>
      </c>
      <c r="BJ175" s="3">
        <f>IF(N(AU175)&gt;=MIN_N,"mercado "&amp;AV175,IF(BH175&gt;=MIN_N,"modelo+año+km",IF(BG175&gt;=MIN_N,"modelo+año","modelo")))</f>
        <v/>
      </c>
      <c r="BK175" s="4">
        <f>(BI175-O175)/BI175</f>
        <v/>
      </c>
      <c r="BL175" s="3">
        <f>IF(COUNTIFS(FR_FUEL,K175,FR_YEAR,AP175)&gt;0,1,0)</f>
        <v/>
      </c>
      <c r="BM175" s="3">
        <f>IF(COUNTIFS(FR_FUEL,K175,FR_YEAR,AP175-1)&gt;0,1,0)</f>
        <v/>
      </c>
      <c r="BN175" s="4">
        <f>IF(N(AQ175)&gt;0,AP175*100+AQ175,IF(AND(BL175=1,BM175=1),(AP175-1)*100+1,AP175*100+1))</f>
        <v/>
      </c>
      <c r="BO175" s="3">
        <f>IF(OR(K175="hibrido",K175="glp",K175="gnc",K175="phev"),"ECO",IF(K175="electrico","CERO",IF(K175="gasolina",IF(BN175&gt;=GAS_C_YM,"C",IF(BN175&gt;=GAS_B_YM,"B","A")),IF(K175="diesel",IF(BN175&gt;=DIE_C_YM,"C",IF(BN175&gt;=DIE_B_YM,"B","A")),""))))</f>
        <v/>
      </c>
      <c r="BP175" s="4">
        <f>BO175</f>
        <v/>
      </c>
      <c r="BQ175" s="4">
        <f>IF(AS175="regla",IF(AND(N(AQ175)=0,BL175=1),"sí","no"),"no")</f>
        <v/>
      </c>
      <c r="BR175" s="3">
        <f>IFERROR(VLOOKUP(F175,MOD_TBL,11,0),IFERROR(VLOOKUP(E175,OCU_TBL,2,0),NEUTRO))</f>
        <v/>
      </c>
      <c r="BS175" s="3">
        <f>SUMIFS(MOT_AJUSTE,MOT_MOTOR,G175,MOT_MARCA,E175,MOT_DESDE,"&lt;="&amp;M175,MOT_HASTA,"&gt;="&amp;M175)+SUMIFS(MOT_AJUSTE,MOT_MOTOR,G175,MOT_MARCA,"(todas)",MOT_DESDE,"&lt;="&amp;M175,MOT_HASTA,"&gt;="&amp;M175)</f>
        <v/>
      </c>
      <c r="BT175" s="3">
        <f>SUMIFS(COMB_AJUSTE,COMB_COMB,K175)</f>
        <v/>
      </c>
      <c r="BU175" s="3">
        <f>COUNTIFS(MOT_MOTOR,G175,MOT_MARCA,E175,MOT_DESDE,"&lt;="&amp;M175,MOT_HASTA,"&gt;="&amp;M175)+COUNTIFS(MOT_MOTOR,G175,MOT_MARCA,"(todas)",MOT_DESDE,"&lt;="&amp;M175,MOT_HASTA,"&gt;="&amp;M175)</f>
        <v/>
      </c>
      <c r="BV175" s="3">
        <f>IF(AND(K175="diesel",BU175=0),MIN(BR175,NEUTRO),BR175)</f>
        <v/>
      </c>
      <c r="BW175" s="4">
        <f>MAX(0,MIN(100,BV175+BS175+BT175))</f>
        <v/>
      </c>
      <c r="BX175" s="3">
        <f>MAX(0,MIN(100,50+BK175*PRECIO_PEND))</f>
        <v/>
      </c>
      <c r="BY175" s="3">
        <f>MAX(0,100*(1-N175/KM_MAX))</f>
        <v/>
      </c>
      <c r="BZ175" s="3">
        <f>IF(BB175&lt;KMA_SOSP,IF(AA175="sí",100,KMA_PEN),IF(BB175&lt;=KMA_IDEAL_MAX,100,MAX(0,100*(KMA_CERO-BB175)/(KMA_CERO-KMA_IDEAL_MAX))))</f>
        <v/>
      </c>
      <c r="CA175" s="3">
        <f>MAX(0,MIN(100,100*(M175-ANIO_MIN)/(ANIO_ACTUAL-ANIO_MIN)))</f>
        <v/>
      </c>
      <c r="CB175" s="3">
        <f>W_KMT*BY175+W_KMA*BZ175+W_EDAD*CA175</f>
        <v/>
      </c>
      <c r="CC175" s="3">
        <f>P_ITV*(V175="sí")+P_LIBRO*(W175="sí")+P_CORREA*(X175="sí")+P_PROP*(Y175=1)+P_GAR*(Z175="sí")+P_FOTOS*MIN(1,N(U175)/FOTOS_OBJ)</f>
        <v/>
      </c>
      <c r="CD175" s="3">
        <f>MAX(0,MIN(100,IFERROR(VLOOKUP(BP175,ETQ_TBL,2,0),0)-IF(BQ175="sí",ETQ_PEN_DUD,IF(AS175="regla",ETQ_PEN_REGLA,0))))</f>
        <v/>
      </c>
      <c r="CE175" s="3">
        <f>NEUTRO</f>
        <v/>
      </c>
      <c r="CF175" s="3">
        <f>IFERROR(VLOOKUP(L175,SEGURO_TBL,3,0),"")</f>
        <v/>
      </c>
      <c r="CG175" s="3">
        <f>IF(CF175="",NEUTRO,MAX(0,MIN(100,100*(SEG_REF_MAX-CF175)/(SEG_REF_MAX-SEG_REF_MIN))))</f>
        <v/>
      </c>
      <c r="CH175" s="3">
        <f>W_CONS*CE175+W_SEG*CG175</f>
        <v/>
      </c>
      <c r="CI175" s="3">
        <f>IF(N(AB175)&gt;0,AB175,IF(AND(R175="profesional",SG_LEGAL_ON=1),GAR_LEGAL,0))</f>
        <v/>
      </c>
      <c r="CJ175" s="3">
        <f>SG_GAR*MIN(1,CI175/SG_GAR_FULL)+SG_AMPL*(AC175="sí")+SG_KMC*(AF175="sí")+SG_REV*(N(AE175)&gt;0)+SG_DEV*MIN(1,N(AG175)/SG_DEV_FULL)+SG_HIST*(W175="sí")</f>
        <v/>
      </c>
      <c r="CK175" s="3">
        <f>IFERROR(VLOOKUP(L175,CARR_PEN_TBL,2,0),0)</f>
        <v/>
      </c>
      <c r="CL175" s="3">
        <f>W_FIAB*BW175+W_PRECIO*BX175+W_KMEDAD*CB175+W_ANUNCIO*CC175+W_USO*CH175+W_SEGURIDAD*CJ175+W_ETIQUETA*CD175-CK175</f>
        <v/>
      </c>
      <c r="CM175" s="4">
        <f>IF(N(I175)&gt;0,I175,IFERROR(ROUND(_xlfn.NUMBERVALUE(LEFT(G175,FIND(" ",G175&amp;" ")-1),".")*1000,0),99999))</f>
        <v/>
      </c>
      <c r="CN175" s="3">
        <f>IF(R175="profesional",0,IF(O175&lt;CUOTA_VALOR_MAX,IF(BA175&gt;ITP_TRAMO_ALTO,SUMIFS(CF_CUOTA,CF_MAS,ITP_TRAMO_ALTO,CF_CCMIN,"&lt;="&amp;CM175,CF_CCMAX,"&gt;="&amp;CM175),IF(BA175&gt;ITP_TRAMO_BAJO,SUMIFS(CF_CUOTA,CF_MAS,ITP_TRAMO_BAJO,CF_CCMIN,"&lt;="&amp;CM175,CF_CCMAX,"&gt;="&amp;CM175),O175*ITP_TIPO)),O175*ITP_TIPO))</f>
        <v/>
      </c>
      <c r="CO175" s="4">
        <f>IF(R175="profesional",N(AK175),0)</f>
        <v/>
      </c>
      <c r="CP175" s="3">
        <f>IF(AND(R175="profesional",ISNUMBER(AK175),AL175="sí"),0,TASA_DGT)</f>
        <v/>
      </c>
      <c r="CQ175" s="3">
        <f>INFORME_DGT</f>
        <v/>
      </c>
      <c r="CR175" s="4">
        <f>O175+CO175+CN175+CP175+CQ175</f>
        <v/>
      </c>
      <c r="CS175" s="4">
        <f>CR175+N(CF175)</f>
        <v/>
      </c>
      <c r="CT175" s="3">
        <f>IF(CR175&lt;=TOTAL_MAX,"sí",IF(CR175&lt;=TOTAL_MAX+MARGEN_NEG,"negociar","no"))</f>
        <v/>
      </c>
      <c r="CU175" s="4">
        <f>IF(CT175&lt;&gt;"no",COUNTIFS($CT$2:$CT$545,"&lt;&gt;no",$CL$2:$CL$545,"&gt;"&amp;CL175)+COUNTIFS($CT$2:CT175,"&lt;&gt;no",$CL$2:CL175,CL175),"")</f>
        <v/>
      </c>
    </row>
    <row r="176">
      <c r="A176" s="2" t="inlineStr">
        <is>
          <t>autoscout24:3e636209-0702-4864-af84-d7cdcaf23036</t>
        </is>
      </c>
      <c r="B176" s="2" t="inlineStr">
        <is>
          <t>autoscout24</t>
        </is>
      </c>
      <c r="C176" s="2" t="inlineStr">
        <is>
          <t>https://www.autoscout24.es/anuncios/opel-corsa-corsa-1-3cdti-c-mon-ecof-105co2-c-mon-diesel-blanco-cat_ma54mo1918-3e636209-0702-4864-af84-d7cdcaf23036</t>
        </is>
      </c>
      <c r="D176" s="2" t="inlineStr">
        <is>
          <t>Opel Corsa Corsa 1.3CDTi C Mon ecoF. 105CO2 C Mon</t>
        </is>
      </c>
      <c r="E176" s="2" t="inlineStr">
        <is>
          <t>Opel</t>
        </is>
      </c>
      <c r="F176" s="2" t="inlineStr">
        <is>
          <t>Opel Corsa</t>
        </is>
      </c>
      <c r="G176" s="2" t="inlineStr">
        <is>
          <t>1.2 CDTi</t>
        </is>
      </c>
      <c r="H176" s="2" t="inlineStr">
        <is>
          <t>Corsa 1.3CDTi C Mon ecoF. 105CO2 C Mon 1.3 CDTI</t>
        </is>
      </c>
      <c r="I176" s="2" t="n">
        <v>1248</v>
      </c>
      <c r="J176" s="2" t="n">
        <v>75</v>
      </c>
      <c r="K176" s="2" t="inlineStr">
        <is>
          <t>diesel</t>
        </is>
      </c>
      <c r="L176" s="2" t="inlineStr">
        <is>
          <t>utilitario</t>
        </is>
      </c>
      <c r="M176" s="2" t="n">
        <v>2009</v>
      </c>
      <c r="N176" s="2" t="n">
        <v>119600</v>
      </c>
      <c r="O176" s="2" t="n">
        <v>4250</v>
      </c>
      <c r="P176" s="2" t="inlineStr">
        <is>
          <t>manual</t>
        </is>
      </c>
      <c r="Q176" s="2" t="inlineStr">
        <is>
          <t>no</t>
        </is>
      </c>
      <c r="R176" s="2" t="inlineStr">
        <is>
          <t>particular</t>
        </is>
      </c>
      <c r="S176" s="2" t="inlineStr">
        <is>
          <t>Castelló de la Plana (12100)</t>
        </is>
      </c>
      <c r="T176" s="2" t="n"/>
      <c r="U176" s="2" t="n">
        <v>19</v>
      </c>
      <c r="V176" s="2" t="inlineStr">
        <is>
          <t>sí</t>
        </is>
      </c>
      <c r="W176" s="2" t="n"/>
      <c r="X176" s="2" t="n"/>
      <c r="Y176" s="2" t="n">
        <v>1</v>
      </c>
      <c r="Z176" s="2" t="n"/>
      <c r="AA176" s="2" t="n"/>
      <c r="AB176" s="2" t="n"/>
      <c r="AC176" s="2" t="n"/>
      <c r="AD176" s="2" t="n"/>
      <c r="AE176" s="2" t="n"/>
      <c r="AF176" s="2" t="n"/>
      <c r="AG176" s="2" t="n"/>
      <c r="AH176" s="2" t="n"/>
      <c r="AI176" s="2" t="n"/>
      <c r="AJ176" s="2" t="n"/>
      <c r="AK176" s="2" t="n"/>
      <c r="AL176" s="2" t="n"/>
      <c r="AM176" s="2" t="n">
        <v>65.40000000000001</v>
      </c>
      <c r="AN176" s="2" t="n"/>
      <c r="AO176" s="2" t="inlineStr">
        <is>
          <t>2009-09</t>
        </is>
      </c>
      <c r="AP176" s="2" t="n">
        <v>2009</v>
      </c>
      <c r="AQ176" s="2" t="n">
        <v>9</v>
      </c>
      <c r="AR176" s="2" t="n"/>
      <c r="AS176" s="2" t="inlineStr">
        <is>
          <t>regla</t>
        </is>
      </c>
      <c r="AT176" s="2" t="n">
        <v>3600</v>
      </c>
      <c r="AU176" s="2" t="n">
        <v>9</v>
      </c>
      <c r="AV176" s="2" t="inlineStr">
        <is>
          <t>modelo+año+km</t>
        </is>
      </c>
      <c r="AW176" s="2" t="n"/>
      <c r="AX176" s="2" t="inlineStr">
        <is>
          <t>cuota fija ITP: &gt;12 años, hasta 1.500 cc; diésel: motor sin fuente de fiabilidad (fiabilidad limitada a neutra)</t>
        </is>
      </c>
      <c r="AY176" s="2" t="inlineStr">
        <is>
          <t>Único propietario desde nuevo y solo 119.600 km reales y certificables. Motor diésel muy fiable, de bajo consumo y en perfecto funcionamiento. ITV en vigor hasta noviembre de 2026.&lt;br /&gt;&lt;br /&gt;Equipado con aire acondicionado, volante multifunción de cuero, ordenador de a bordo, faros antiniebla, llantas de aleación y equipo multimedia con pantalla táctil, Bluetooth y manos libres.&lt;br /&gt;&lt;br /&gt;Interior muy cuidado y mecánica en perfecto estado.&lt;br /&gt;&lt;br /&gt;Exterior con varios pequeños arañazos y picadas de pintura propios de la edad, sin golpes importantes.&lt;br /&gt;&lt;br /&gt;Se entrega con las dos llaves originales, manuales del vehículo y mantenimientos al día. Siempre guardado en garaje.&lt;br /&gt;&lt;br /&gt;Coche muy económico de mantener y consumir, ideal tanto para ciudad como para carretera.&lt;br /&gt;&lt;br /&gt;Se puede ver y probar sin compromiso.</t>
        </is>
      </c>
      <c r="AZ176" s="2" t="inlineStr">
        <is>
          <t>https://www.autoscout24.es/anuncios/opel-corsa-corsa-1-3cdti-c-mon-ecof-105co2-c-mon-diesel-blanco-cat_ma54mo1918-3e636209-0702-4864-af84-d7cdcaf23036 (__NEXT_DATA__ listingDetails) /home/user/Alopecia/buscador-coches/raw/autoscout24/c0c3fba148d1de96.json</t>
        </is>
      </c>
      <c r="BA176" s="3">
        <f>MAX(ANIO_ACTUAL-M176,0)</f>
        <v/>
      </c>
      <c r="BB176" s="4">
        <f>N176/MAX(BA176,0.5)</f>
        <v/>
      </c>
      <c r="BC176" s="4">
        <f>F176</f>
        <v/>
      </c>
      <c r="BD176" s="3">
        <f>BC176&amp;"|"&amp;INT(M176/SEG_ANIO)*SEG_ANIO</f>
        <v/>
      </c>
      <c r="BE176" s="3">
        <f>BD176&amp;"|"&amp;INT(N176/SEG_KM)*SEG_KM</f>
        <v/>
      </c>
      <c r="BF176" s="4">
        <f>COUNTIF($BC$2:$BC$545,BC176)</f>
        <v/>
      </c>
      <c r="BG176" s="4">
        <f>COUNTIF($BD$2:$BD$545,BD176)</f>
        <v/>
      </c>
      <c r="BH176" s="4">
        <f>COUNTIF($BE$2:$BE$545,BE176)</f>
        <v/>
      </c>
      <c r="BI176" s="3">
        <f t="array" ref="BI176">IF(N(AU176)&gt;=MIN_N,AT176,IF(BH176&gt;=MIN_N,MEDIAN(IF($BE$2:$BE$545=BE176,$O$2:$O$545)),IF(BG176&gt;=MIN_N,MEDIAN(IF($BD$2:$BD$545=BD176,$O$2:$O$545)),MEDIAN(IF($BC$2:$BC$545=BC176,$O$2:$O$545)))))</f>
        <v/>
      </c>
      <c r="BJ176" s="3">
        <f>IF(N(AU176)&gt;=MIN_N,"mercado "&amp;AV176,IF(BH176&gt;=MIN_N,"modelo+año+km",IF(BG176&gt;=MIN_N,"modelo+año","modelo")))</f>
        <v/>
      </c>
      <c r="BK176" s="4">
        <f>(BI176-O176)/BI176</f>
        <v/>
      </c>
      <c r="BL176" s="3">
        <f>IF(COUNTIFS(FR_FUEL,K176,FR_YEAR,AP176)&gt;0,1,0)</f>
        <v/>
      </c>
      <c r="BM176" s="3">
        <f>IF(COUNTIFS(FR_FUEL,K176,FR_YEAR,AP176-1)&gt;0,1,0)</f>
        <v/>
      </c>
      <c r="BN176" s="4">
        <f>IF(N(AQ176)&gt;0,AP176*100+AQ176,IF(AND(BL176=1,BM176=1),(AP176-1)*100+1,AP176*100+1))</f>
        <v/>
      </c>
      <c r="BO176" s="3">
        <f>IF(OR(K176="hibrido",K176="glp",K176="gnc",K176="phev"),"ECO",IF(K176="electrico","CERO",IF(K176="gasolina",IF(BN176&gt;=GAS_C_YM,"C",IF(BN176&gt;=GAS_B_YM,"B","A")),IF(K176="diesel",IF(BN176&gt;=DIE_C_YM,"C",IF(BN176&gt;=DIE_B_YM,"B","A")),""))))</f>
        <v/>
      </c>
      <c r="BP176" s="4">
        <f>BO176</f>
        <v/>
      </c>
      <c r="BQ176" s="4">
        <f>IF(AS176="regla",IF(AND(N(AQ176)=0,BL176=1),"sí","no"),"no")</f>
        <v/>
      </c>
      <c r="BR176" s="3">
        <f>IFERROR(VLOOKUP(F176,MOD_TBL,11,0),IFERROR(VLOOKUP(E176,OCU_TBL,2,0),NEUTRO))</f>
        <v/>
      </c>
      <c r="BS176" s="3">
        <f>SUMIFS(MOT_AJUSTE,MOT_MOTOR,G176,MOT_MARCA,E176,MOT_DESDE,"&lt;="&amp;M176,MOT_HASTA,"&gt;="&amp;M176)+SUMIFS(MOT_AJUSTE,MOT_MOTOR,G176,MOT_MARCA,"(todas)",MOT_DESDE,"&lt;="&amp;M176,MOT_HASTA,"&gt;="&amp;M176)</f>
        <v/>
      </c>
      <c r="BT176" s="3">
        <f>SUMIFS(COMB_AJUSTE,COMB_COMB,K176)</f>
        <v/>
      </c>
      <c r="BU176" s="3">
        <f>COUNTIFS(MOT_MOTOR,G176,MOT_MARCA,E176,MOT_DESDE,"&lt;="&amp;M176,MOT_HASTA,"&gt;="&amp;M176)+COUNTIFS(MOT_MOTOR,G176,MOT_MARCA,"(todas)",MOT_DESDE,"&lt;="&amp;M176,MOT_HASTA,"&gt;="&amp;M176)</f>
        <v/>
      </c>
      <c r="BV176" s="3">
        <f>IF(AND(K176="diesel",BU176=0),MIN(BR176,NEUTRO),BR176)</f>
        <v/>
      </c>
      <c r="BW176" s="4">
        <f>MAX(0,MIN(100,BV176+BS176+BT176))</f>
        <v/>
      </c>
      <c r="BX176" s="3">
        <f>MAX(0,MIN(100,50+BK176*PRECIO_PEND))</f>
        <v/>
      </c>
      <c r="BY176" s="3">
        <f>MAX(0,100*(1-N176/KM_MAX))</f>
        <v/>
      </c>
      <c r="BZ176" s="3">
        <f>IF(BB176&lt;KMA_SOSP,IF(AA176="sí",100,KMA_PEN),IF(BB176&lt;=KMA_IDEAL_MAX,100,MAX(0,100*(KMA_CERO-BB176)/(KMA_CERO-KMA_IDEAL_MAX))))</f>
        <v/>
      </c>
      <c r="CA176" s="3">
        <f>MAX(0,MIN(100,100*(M176-ANIO_MIN)/(ANIO_ACTUAL-ANIO_MIN)))</f>
        <v/>
      </c>
      <c r="CB176" s="3">
        <f>W_KMT*BY176+W_KMA*BZ176+W_EDAD*CA176</f>
        <v/>
      </c>
      <c r="CC176" s="3">
        <f>P_ITV*(V176="sí")+P_LIBRO*(W176="sí")+P_CORREA*(X176="sí")+P_PROP*(Y176=1)+P_GAR*(Z176="sí")+P_FOTOS*MIN(1,N(U176)/FOTOS_OBJ)</f>
        <v/>
      </c>
      <c r="CD176" s="3">
        <f>MAX(0,MIN(100,IFERROR(VLOOKUP(BP176,ETQ_TBL,2,0),0)-IF(BQ176="sí",ETQ_PEN_DUD,IF(AS176="regla",ETQ_PEN_REGLA,0))))</f>
        <v/>
      </c>
      <c r="CE176" s="3">
        <f>NEUTRO</f>
        <v/>
      </c>
      <c r="CF176" s="3">
        <f>IFERROR(VLOOKUP(L176,SEGURO_TBL,3,0),"")</f>
        <v/>
      </c>
      <c r="CG176" s="3">
        <f>IF(CF176="",NEUTRO,MAX(0,MIN(100,100*(SEG_REF_MAX-CF176)/(SEG_REF_MAX-SEG_REF_MIN))))</f>
        <v/>
      </c>
      <c r="CH176" s="3">
        <f>W_CONS*CE176+W_SEG*CG176</f>
        <v/>
      </c>
      <c r="CI176" s="3">
        <f>IF(N(AB176)&gt;0,AB176,IF(AND(R176="profesional",SG_LEGAL_ON=1),GAR_LEGAL,0))</f>
        <v/>
      </c>
      <c r="CJ176" s="3">
        <f>SG_GAR*MIN(1,CI176/SG_GAR_FULL)+SG_AMPL*(AC176="sí")+SG_KMC*(AF176="sí")+SG_REV*(N(AE176)&gt;0)+SG_DEV*MIN(1,N(AG176)/SG_DEV_FULL)+SG_HIST*(W176="sí")</f>
        <v/>
      </c>
      <c r="CK176" s="3">
        <f>IFERROR(VLOOKUP(L176,CARR_PEN_TBL,2,0),0)</f>
        <v/>
      </c>
      <c r="CL176" s="3">
        <f>W_FIAB*BW176+W_PRECIO*BX176+W_KMEDAD*CB176+W_ANUNCIO*CC176+W_USO*CH176+W_SEGURIDAD*CJ176+W_ETIQUETA*CD176-CK176</f>
        <v/>
      </c>
      <c r="CM176" s="4">
        <f>IF(N(I176)&gt;0,I176,IFERROR(ROUND(_xlfn.NUMBERVALUE(LEFT(G176,FIND(" ",G176&amp;" ")-1),".")*1000,0),99999))</f>
        <v/>
      </c>
      <c r="CN176" s="3">
        <f>IF(R176="profesional",0,IF(O176&lt;CUOTA_VALOR_MAX,IF(BA176&gt;ITP_TRAMO_ALTO,SUMIFS(CF_CUOTA,CF_MAS,ITP_TRAMO_ALTO,CF_CCMIN,"&lt;="&amp;CM176,CF_CCMAX,"&gt;="&amp;CM176),IF(BA176&gt;ITP_TRAMO_BAJO,SUMIFS(CF_CUOTA,CF_MAS,ITP_TRAMO_BAJO,CF_CCMIN,"&lt;="&amp;CM176,CF_CCMAX,"&gt;="&amp;CM176),O176*ITP_TIPO)),O176*ITP_TIPO))</f>
        <v/>
      </c>
      <c r="CO176" s="4">
        <f>IF(R176="profesional",N(AK176),0)</f>
        <v/>
      </c>
      <c r="CP176" s="3">
        <f>IF(AND(R176="profesional",ISNUMBER(AK176),AL176="sí"),0,TASA_DGT)</f>
        <v/>
      </c>
      <c r="CQ176" s="3">
        <f>INFORME_DGT</f>
        <v/>
      </c>
      <c r="CR176" s="4">
        <f>O176+CO176+CN176+CP176+CQ176</f>
        <v/>
      </c>
      <c r="CS176" s="4">
        <f>CR176+N(CF176)</f>
        <v/>
      </c>
      <c r="CT176" s="3">
        <f>IF(CR176&lt;=TOTAL_MAX,"sí",IF(CR176&lt;=TOTAL_MAX+MARGEN_NEG,"negociar","no"))</f>
        <v/>
      </c>
      <c r="CU176" s="4">
        <f>IF(CT176&lt;&gt;"no",COUNTIFS($CT$2:$CT$545,"&lt;&gt;no",$CL$2:$CL$545,"&gt;"&amp;CL176)+COUNTIFS($CT$2:CT176,"&lt;&gt;no",$CL$2:CL176,CL176),"")</f>
        <v/>
      </c>
    </row>
    <row r="177">
      <c r="A177" s="2" t="inlineStr">
        <is>
          <t>autoscout24:b8d0034e-0169-4e4e-8df5-96a140c9fcf9</t>
        </is>
      </c>
      <c r="B177" s="2" t="inlineStr">
        <is>
          <t>autoscout24</t>
        </is>
      </c>
      <c r="C177" s="2" t="inlineStr">
        <is>
          <t>https://www.autoscout24.es/anuncios/opel-astra-gtc-1-6-16v-enjoy-gasolina-cat_ma54mo1916-b8d0034e-0169-4e4e-8df5-96a140c9fcf9</t>
        </is>
      </c>
      <c r="D177" s="2" t="inlineStr">
        <is>
          <t>Opel Astra GTC 1.6 16v Enjoy</t>
        </is>
      </c>
      <c r="E177" s="2" t="inlineStr">
        <is>
          <t>Opel</t>
        </is>
      </c>
      <c r="F177" s="2" t="inlineStr">
        <is>
          <t>Opel Astra</t>
        </is>
      </c>
      <c r="G177" s="2" t="inlineStr">
        <is>
          <t>1.6</t>
        </is>
      </c>
      <c r="H177" s="2" t="inlineStr">
        <is>
          <t>GTC 1.6 16v Enjoy 1.6</t>
        </is>
      </c>
      <c r="I177" s="2" t="n">
        <v>1598</v>
      </c>
      <c r="J177" s="2" t="n">
        <v>105</v>
      </c>
      <c r="K177" s="2" t="inlineStr">
        <is>
          <t>gasolina</t>
        </is>
      </c>
      <c r="L177" s="2" t="inlineStr">
        <is>
          <t>compacto</t>
        </is>
      </c>
      <c r="M177" s="2" t="n">
        <v>2006</v>
      </c>
      <c r="N177" s="2" t="n">
        <v>127500</v>
      </c>
      <c r="O177" s="2" t="n">
        <v>3700</v>
      </c>
      <c r="P177" s="2" t="inlineStr">
        <is>
          <t>manual</t>
        </is>
      </c>
      <c r="Q177" s="2" t="inlineStr">
        <is>
          <t>no</t>
        </is>
      </c>
      <c r="R177" s="2" t="inlineStr">
        <is>
          <t>particular</t>
        </is>
      </c>
      <c r="S177" s="2" t="inlineStr">
        <is>
          <t>Sueca (46410)</t>
        </is>
      </c>
      <c r="T177" s="2" t="n"/>
      <c r="U177" s="2" t="n">
        <v>11</v>
      </c>
      <c r="V177" s="2" t="n"/>
      <c r="W177" s="2" t="n"/>
      <c r="X177" s="2" t="n"/>
      <c r="Y177" s="2" t="n"/>
      <c r="Z177" s="2" t="n"/>
      <c r="AA177" s="2" t="n"/>
      <c r="AB177" s="2" t="n"/>
      <c r="AC177" s="2" t="n"/>
      <c r="AD177" s="2" t="n"/>
      <c r="AE177" s="2" t="n"/>
      <c r="AF177" s="2" t="n"/>
      <c r="AG177" s="2" t="n"/>
      <c r="AH177" s="2" t="n"/>
      <c r="AI177" s="2" t="n"/>
      <c r="AJ177" s="2" t="n"/>
      <c r="AK177" s="2" t="n"/>
      <c r="AL177" s="2" t="n"/>
      <c r="AM177" s="2" t="n">
        <v>30.3</v>
      </c>
      <c r="AN177" s="2" t="n"/>
      <c r="AO177" s="2" t="inlineStr">
        <is>
          <t>2006-01</t>
        </is>
      </c>
      <c r="AP177" s="2" t="n">
        <v>2006</v>
      </c>
      <c r="AQ177" s="2" t="n">
        <v>1</v>
      </c>
      <c r="AR177" s="2" t="n"/>
      <c r="AS177" s="2" t="inlineStr">
        <is>
          <t>regla</t>
        </is>
      </c>
      <c r="AT177" s="2" t="n">
        <v>3725</v>
      </c>
      <c r="AU177" s="2" t="n">
        <v>12</v>
      </c>
      <c r="AV177" s="2" t="inlineStr">
        <is>
          <t>modelo+año+km</t>
        </is>
      </c>
      <c r="AW177" s="2" t="n"/>
      <c r="AX177" s="2" t="inlineStr">
        <is>
          <t>cuota fija ITP: &gt;12 años, 1.501-2.000 cc</t>
        </is>
      </c>
      <c r="AY177" s="2" t="inlineStr">
        <is>
          <t>muy bien estado  revisiones pasadas &lt;br /&gt;detalle pintura trasera</t>
        </is>
      </c>
      <c r="AZ177" s="2" t="inlineStr">
        <is>
          <t>https://www.autoscout24.es/anuncios/opel-astra-gtc-1-6-16v-enjoy-gasolina-cat_ma54mo1916-b8d0034e-0169-4e4e-8df5-96a140c9fcf9 (__NEXT_DATA__ listingDetails) /home/user/Alopecia/buscador-coches/raw/autoscout24/0b11c3b5d0d34444.json</t>
        </is>
      </c>
      <c r="BA177" s="3">
        <f>MAX(ANIO_ACTUAL-M177,0)</f>
        <v/>
      </c>
      <c r="BB177" s="4">
        <f>N177/MAX(BA177,0.5)</f>
        <v/>
      </c>
      <c r="BC177" s="4">
        <f>F177</f>
        <v/>
      </c>
      <c r="BD177" s="3">
        <f>BC177&amp;"|"&amp;INT(M177/SEG_ANIO)*SEG_ANIO</f>
        <v/>
      </c>
      <c r="BE177" s="3">
        <f>BD177&amp;"|"&amp;INT(N177/SEG_KM)*SEG_KM</f>
        <v/>
      </c>
      <c r="BF177" s="4">
        <f>COUNTIF($BC$2:$BC$545,BC177)</f>
        <v/>
      </c>
      <c r="BG177" s="4">
        <f>COUNTIF($BD$2:$BD$545,BD177)</f>
        <v/>
      </c>
      <c r="BH177" s="4">
        <f>COUNTIF($BE$2:$BE$545,BE177)</f>
        <v/>
      </c>
      <c r="BI177" s="3">
        <f t="array" ref="BI177">IF(N(AU177)&gt;=MIN_N,AT177,IF(BH177&gt;=MIN_N,MEDIAN(IF($BE$2:$BE$545=BE177,$O$2:$O$545)),IF(BG177&gt;=MIN_N,MEDIAN(IF($BD$2:$BD$545=BD177,$O$2:$O$545)),MEDIAN(IF($BC$2:$BC$545=BC177,$O$2:$O$545)))))</f>
        <v/>
      </c>
      <c r="BJ177" s="3">
        <f>IF(N(AU177)&gt;=MIN_N,"mercado "&amp;AV177,IF(BH177&gt;=MIN_N,"modelo+año+km",IF(BG177&gt;=MIN_N,"modelo+año","modelo")))</f>
        <v/>
      </c>
      <c r="BK177" s="4">
        <f>(BI177-O177)/BI177</f>
        <v/>
      </c>
      <c r="BL177" s="3">
        <f>IF(COUNTIFS(FR_FUEL,K177,FR_YEAR,AP177)&gt;0,1,0)</f>
        <v/>
      </c>
      <c r="BM177" s="3">
        <f>IF(COUNTIFS(FR_FUEL,K177,FR_YEAR,AP177-1)&gt;0,1,0)</f>
        <v/>
      </c>
      <c r="BN177" s="4">
        <f>IF(N(AQ177)&gt;0,AP177*100+AQ177,IF(AND(BL177=1,BM177=1),(AP177-1)*100+1,AP177*100+1))</f>
        <v/>
      </c>
      <c r="BO177" s="3">
        <f>IF(OR(K177="hibrido",K177="glp",K177="gnc",K177="phev"),"ECO",IF(K177="electrico","CERO",IF(K177="gasolina",IF(BN177&gt;=GAS_C_YM,"C",IF(BN177&gt;=GAS_B_YM,"B","A")),IF(K177="diesel",IF(BN177&gt;=DIE_C_YM,"C",IF(BN177&gt;=DIE_B_YM,"B","A")),""))))</f>
        <v/>
      </c>
      <c r="BP177" s="4">
        <f>BO177</f>
        <v/>
      </c>
      <c r="BQ177" s="4">
        <f>IF(AS177="regla",IF(AND(N(AQ177)=0,BL177=1),"sí","no"),"no")</f>
        <v/>
      </c>
      <c r="BR177" s="3">
        <f>IFERROR(VLOOKUP(F177,MOD_TBL,11,0),IFERROR(VLOOKUP(E177,OCU_TBL,2,0),NEUTRO))</f>
        <v/>
      </c>
      <c r="BS177" s="3">
        <f>SUMIFS(MOT_AJUSTE,MOT_MOTOR,G177,MOT_MARCA,E177,MOT_DESDE,"&lt;="&amp;M177,MOT_HASTA,"&gt;="&amp;M177)+SUMIFS(MOT_AJUSTE,MOT_MOTOR,G177,MOT_MARCA,"(todas)",MOT_DESDE,"&lt;="&amp;M177,MOT_HASTA,"&gt;="&amp;M177)</f>
        <v/>
      </c>
      <c r="BT177" s="3">
        <f>SUMIFS(COMB_AJUSTE,COMB_COMB,K177)</f>
        <v/>
      </c>
      <c r="BU177" s="3">
        <f>COUNTIFS(MOT_MOTOR,G177,MOT_MARCA,E177,MOT_DESDE,"&lt;="&amp;M177,MOT_HASTA,"&gt;="&amp;M177)+COUNTIFS(MOT_MOTOR,G177,MOT_MARCA,"(todas)",MOT_DESDE,"&lt;="&amp;M177,MOT_HASTA,"&gt;="&amp;M177)</f>
        <v/>
      </c>
      <c r="BV177" s="3">
        <f>IF(AND(K177="diesel",BU177=0),MIN(BR177,NEUTRO),BR177)</f>
        <v/>
      </c>
      <c r="BW177" s="4">
        <f>MAX(0,MIN(100,BV177+BS177+BT177))</f>
        <v/>
      </c>
      <c r="BX177" s="3">
        <f>MAX(0,MIN(100,50+BK177*PRECIO_PEND))</f>
        <v/>
      </c>
      <c r="BY177" s="3">
        <f>MAX(0,100*(1-N177/KM_MAX))</f>
        <v/>
      </c>
      <c r="BZ177" s="3">
        <f>IF(BB177&lt;KMA_SOSP,IF(AA177="sí",100,KMA_PEN),IF(BB177&lt;=KMA_IDEAL_MAX,100,MAX(0,100*(KMA_CERO-BB177)/(KMA_CERO-KMA_IDEAL_MAX))))</f>
        <v/>
      </c>
      <c r="CA177" s="3">
        <f>MAX(0,MIN(100,100*(M177-ANIO_MIN)/(ANIO_ACTUAL-ANIO_MIN)))</f>
        <v/>
      </c>
      <c r="CB177" s="3">
        <f>W_KMT*BY177+W_KMA*BZ177+W_EDAD*CA177</f>
        <v/>
      </c>
      <c r="CC177" s="3">
        <f>P_ITV*(V177="sí")+P_LIBRO*(W177="sí")+P_CORREA*(X177="sí")+P_PROP*(Y177=1)+P_GAR*(Z177="sí")+P_FOTOS*MIN(1,N(U177)/FOTOS_OBJ)</f>
        <v/>
      </c>
      <c r="CD177" s="3">
        <f>MAX(0,MIN(100,IFERROR(VLOOKUP(BP177,ETQ_TBL,2,0),0)-IF(BQ177="sí",ETQ_PEN_DUD,IF(AS177="regla",ETQ_PEN_REGLA,0))))</f>
        <v/>
      </c>
      <c r="CE177" s="3">
        <f>NEUTRO</f>
        <v/>
      </c>
      <c r="CF177" s="3">
        <f>IFERROR(VLOOKUP(L177,SEGURO_TBL,3,0),"")</f>
        <v/>
      </c>
      <c r="CG177" s="3">
        <f>IF(CF177="",NEUTRO,MAX(0,MIN(100,100*(SEG_REF_MAX-CF177)/(SEG_REF_MAX-SEG_REF_MIN))))</f>
        <v/>
      </c>
      <c r="CH177" s="3">
        <f>W_CONS*CE177+W_SEG*CG177</f>
        <v/>
      </c>
      <c r="CI177" s="3">
        <f>IF(N(AB177)&gt;0,AB177,IF(AND(R177="profesional",SG_LEGAL_ON=1),GAR_LEGAL,0))</f>
        <v/>
      </c>
      <c r="CJ177" s="3">
        <f>SG_GAR*MIN(1,CI177/SG_GAR_FULL)+SG_AMPL*(AC177="sí")+SG_KMC*(AF177="sí")+SG_REV*(N(AE177)&gt;0)+SG_DEV*MIN(1,N(AG177)/SG_DEV_FULL)+SG_HIST*(W177="sí")</f>
        <v/>
      </c>
      <c r="CK177" s="3">
        <f>IFERROR(VLOOKUP(L177,CARR_PEN_TBL,2,0),0)</f>
        <v/>
      </c>
      <c r="CL177" s="3">
        <f>W_FIAB*BW177+W_PRECIO*BX177+W_KMEDAD*CB177+W_ANUNCIO*CC177+W_USO*CH177+W_SEGURIDAD*CJ177+W_ETIQUETA*CD177-CK177</f>
        <v/>
      </c>
      <c r="CM177" s="4">
        <f>IF(N(I177)&gt;0,I177,IFERROR(ROUND(_xlfn.NUMBERVALUE(LEFT(G177,FIND(" ",G177&amp;" ")-1),".")*1000,0),99999))</f>
        <v/>
      </c>
      <c r="CN177" s="3">
        <f>IF(R177="profesional",0,IF(O177&lt;CUOTA_VALOR_MAX,IF(BA177&gt;ITP_TRAMO_ALTO,SUMIFS(CF_CUOTA,CF_MAS,ITP_TRAMO_ALTO,CF_CCMIN,"&lt;="&amp;CM177,CF_CCMAX,"&gt;="&amp;CM177),IF(BA177&gt;ITP_TRAMO_BAJO,SUMIFS(CF_CUOTA,CF_MAS,ITP_TRAMO_BAJO,CF_CCMIN,"&lt;="&amp;CM177,CF_CCMAX,"&gt;="&amp;CM177),O177*ITP_TIPO)),O177*ITP_TIPO))</f>
        <v/>
      </c>
      <c r="CO177" s="4">
        <f>IF(R177="profesional",N(AK177),0)</f>
        <v/>
      </c>
      <c r="CP177" s="3">
        <f>IF(AND(R177="profesional",ISNUMBER(AK177),AL177="sí"),0,TASA_DGT)</f>
        <v/>
      </c>
      <c r="CQ177" s="3">
        <f>INFORME_DGT</f>
        <v/>
      </c>
      <c r="CR177" s="4">
        <f>O177+CO177+CN177+CP177+CQ177</f>
        <v/>
      </c>
      <c r="CS177" s="4">
        <f>CR177+N(CF177)</f>
        <v/>
      </c>
      <c r="CT177" s="3">
        <f>IF(CR177&lt;=TOTAL_MAX,"sí",IF(CR177&lt;=TOTAL_MAX+MARGEN_NEG,"negociar","no"))</f>
        <v/>
      </c>
      <c r="CU177" s="4">
        <f>IF(CT177&lt;&gt;"no",COUNTIFS($CT$2:$CT$545,"&lt;&gt;no",$CL$2:$CL$545,"&gt;"&amp;CL177)+COUNTIFS($CT$2:CT177,"&lt;&gt;no",$CL$2:CL177,CL177),"")</f>
        <v/>
      </c>
    </row>
    <row r="178">
      <c r="A178" s="2" t="inlineStr">
        <is>
          <t>autoscout24:1cca5cad-4cf0-4244-9080-00062bf7841d</t>
        </is>
      </c>
      <c r="B178" s="2" t="inlineStr">
        <is>
          <t>autoscout24</t>
        </is>
      </c>
      <c r="C178" s="2" t="inlineStr">
        <is>
          <t>https://www.autoscout24.es/anuncios/opel-meriva-1-6-cdti-ecoflex-start-stop-edition-diesel-blanco-cat_ma54mo18341-1cca5cad-4cf0-4244-9080-00062bf7841d</t>
        </is>
      </c>
      <c r="D178" s="2" t="inlineStr">
        <is>
          <t>Opel Meriva 1.6 CDTI ecoflex Start/Stop Edition</t>
        </is>
      </c>
      <c r="E178" s="2" t="inlineStr">
        <is>
          <t>Opel</t>
        </is>
      </c>
      <c r="F178" s="2" t="inlineStr">
        <is>
          <t>Opel Meriva</t>
        </is>
      </c>
      <c r="G178" s="2" t="inlineStr">
        <is>
          <t>1.6 CDTi</t>
        </is>
      </c>
      <c r="H178" s="2" t="inlineStr">
        <is>
          <t>1.6 CDTI ecoflex Start/Stop Edition 1.6 CDTI</t>
        </is>
      </c>
      <c r="I178" s="2" t="n">
        <v>1598</v>
      </c>
      <c r="J178" s="2" t="n">
        <v>110</v>
      </c>
      <c r="K178" s="2" t="inlineStr">
        <is>
          <t>diesel</t>
        </is>
      </c>
      <c r="L178" s="2" t="inlineStr">
        <is>
          <t>monovolumen_pequeno</t>
        </is>
      </c>
      <c r="M178" s="2" t="n">
        <v>2015</v>
      </c>
      <c r="N178" s="2" t="n">
        <v>196000</v>
      </c>
      <c r="O178" s="2" t="n">
        <v>4999</v>
      </c>
      <c r="P178" s="2" t="inlineStr">
        <is>
          <t>manual</t>
        </is>
      </c>
      <c r="Q178" s="2" t="inlineStr">
        <is>
          <t>no</t>
        </is>
      </c>
      <c r="R178" s="2" t="inlineStr">
        <is>
          <t>particular</t>
        </is>
      </c>
      <c r="S178" s="2" t="inlineStr">
        <is>
          <t>oliva (46780)</t>
        </is>
      </c>
      <c r="T178" s="2" t="n"/>
      <c r="U178" s="2" t="n">
        <v>11</v>
      </c>
      <c r="V178" s="2" t="n"/>
      <c r="W178" s="2" t="n"/>
      <c r="X178" s="2" t="n"/>
      <c r="Y178" s="2" t="n"/>
      <c r="Z178" s="2" t="n"/>
      <c r="AA178" s="2" t="n"/>
      <c r="AB178" s="2" t="n"/>
      <c r="AC178" s="2" t="n"/>
      <c r="AD178" s="2" t="n"/>
      <c r="AE178" s="2" t="n"/>
      <c r="AF178" s="2" t="n"/>
      <c r="AG178" s="2" t="n"/>
      <c r="AH178" s="2" t="n"/>
      <c r="AI178" s="2" t="n"/>
      <c r="AJ178" s="2" t="n"/>
      <c r="AK178" s="2" t="n"/>
      <c r="AL178" s="2" t="n"/>
      <c r="AM178" s="2" t="n">
        <v>65</v>
      </c>
      <c r="AN178" s="2" t="n"/>
      <c r="AO178" s="2" t="inlineStr">
        <is>
          <t>2015-01</t>
        </is>
      </c>
      <c r="AP178" s="2" t="n">
        <v>2015</v>
      </c>
      <c r="AQ178" s="2" t="n">
        <v>1</v>
      </c>
      <c r="AR178" s="2" t="n"/>
      <c r="AS178" s="2" t="inlineStr">
        <is>
          <t>regla</t>
        </is>
      </c>
      <c r="AT178" s="2" t="n">
        <v>5990</v>
      </c>
      <c r="AU178" s="2" t="n">
        <v>5</v>
      </c>
      <c r="AV178" s="2" t="inlineStr">
        <is>
          <t>modelo+año+km</t>
        </is>
      </c>
      <c r="AW178" s="2" t="n"/>
      <c r="AX178" s="2" t="inlineStr">
        <is>
          <t>por encima del presupuesto (5243 €), negociar; cuota fija ITP: &gt;5 y &lt;=12 años, 1.501-2.000 cc; diésel: motor sin fuente de fiabilidad (fiabilidad limitada a neutra); carrocería monovolumen_pequeno: -6 puntos; fiabilidad del modelo PENDIENTE de fuente (puntuación neutra)</t>
        </is>
      </c>
      <c r="AY178" s="2" t="inlineStr">
        <is>
          <t>Se vende Opel Meriva 1.6 diésel, 110 CV.&lt;br /&gt;El coche cuenta con cadena de distribución (no correa), lo cual es una gran ventaja por su durabilidad. Además, la cadena ya ha sido sustituida, un mantenimiento importante y costoso ya realizado.&lt;br /&gt;&lt;br /&gt;El vehículo tiene 196.000 km y se encuentra en excelente estado.&lt;br /&gt;Se han realizado todos los mantenimientos al día: aceite y filtros cambiados puntualmente.&lt;br /&gt;&lt;br /&gt;Coche cuidado, fiable y listo para usar sin necesidad de inversión adicional.&lt;br /&gt;Se acepta cualquier prueba mecánica.</t>
        </is>
      </c>
      <c r="AZ178" s="2" t="inlineStr">
        <is>
          <t>https://www.autoscout24.es/anuncios/opel-meriva-1-6-cdti-ecoflex-start-stop-edition-diesel-blanco-cat_ma54mo18341-1cca5cad-4cf0-4244-9080-00062bf7841d (__NEXT_DATA__ listingDetails) /home/user/Alopecia/buscador-coches/raw/autoscout24/f156729d111b7242.json</t>
        </is>
      </c>
      <c r="BA178" s="3">
        <f>MAX(ANIO_ACTUAL-M178,0)</f>
        <v/>
      </c>
      <c r="BB178" s="4">
        <f>N178/MAX(BA178,0.5)</f>
        <v/>
      </c>
      <c r="BC178" s="4">
        <f>F178</f>
        <v/>
      </c>
      <c r="BD178" s="3">
        <f>BC178&amp;"|"&amp;INT(M178/SEG_ANIO)*SEG_ANIO</f>
        <v/>
      </c>
      <c r="BE178" s="3">
        <f>BD178&amp;"|"&amp;INT(N178/SEG_KM)*SEG_KM</f>
        <v/>
      </c>
      <c r="BF178" s="4">
        <f>COUNTIF($BC$2:$BC$545,BC178)</f>
        <v/>
      </c>
      <c r="BG178" s="4">
        <f>COUNTIF($BD$2:$BD$545,BD178)</f>
        <v/>
      </c>
      <c r="BH178" s="4">
        <f>COUNTIF($BE$2:$BE$545,BE178)</f>
        <v/>
      </c>
      <c r="BI178" s="3">
        <f t="array" ref="BI178">IF(N(AU178)&gt;=MIN_N,AT178,IF(BH178&gt;=MIN_N,MEDIAN(IF($BE$2:$BE$545=BE178,$O$2:$O$545)),IF(BG178&gt;=MIN_N,MEDIAN(IF($BD$2:$BD$545=BD178,$O$2:$O$545)),MEDIAN(IF($BC$2:$BC$545=BC178,$O$2:$O$545)))))</f>
        <v/>
      </c>
      <c r="BJ178" s="3">
        <f>IF(N(AU178)&gt;=MIN_N,"mercado "&amp;AV178,IF(BH178&gt;=MIN_N,"modelo+año+km",IF(BG178&gt;=MIN_N,"modelo+año","modelo")))</f>
        <v/>
      </c>
      <c r="BK178" s="4">
        <f>(BI178-O178)/BI178</f>
        <v/>
      </c>
      <c r="BL178" s="3">
        <f>IF(COUNTIFS(FR_FUEL,K178,FR_YEAR,AP178)&gt;0,1,0)</f>
        <v/>
      </c>
      <c r="BM178" s="3">
        <f>IF(COUNTIFS(FR_FUEL,K178,FR_YEAR,AP178-1)&gt;0,1,0)</f>
        <v/>
      </c>
      <c r="BN178" s="4">
        <f>IF(N(AQ178)&gt;0,AP178*100+AQ178,IF(AND(BL178=1,BM178=1),(AP178-1)*100+1,AP178*100+1))</f>
        <v/>
      </c>
      <c r="BO178" s="3">
        <f>IF(OR(K178="hibrido",K178="glp",K178="gnc",K178="phev"),"ECO",IF(K178="electrico","CERO",IF(K178="gasolina",IF(BN178&gt;=GAS_C_YM,"C",IF(BN178&gt;=GAS_B_YM,"B","A")),IF(K178="diesel",IF(BN178&gt;=DIE_C_YM,"C",IF(BN178&gt;=DIE_B_YM,"B","A")),""))))</f>
        <v/>
      </c>
      <c r="BP178" s="4">
        <f>BO178</f>
        <v/>
      </c>
      <c r="BQ178" s="4">
        <f>IF(AS178="regla",IF(AND(N(AQ178)=0,BL178=1),"sí","no"),"no")</f>
        <v/>
      </c>
      <c r="BR178" s="3">
        <f>IFERROR(VLOOKUP(F178,MOD_TBL,11,0),IFERROR(VLOOKUP(E178,OCU_TBL,2,0),NEUTRO))</f>
        <v/>
      </c>
      <c r="BS178" s="3">
        <f>SUMIFS(MOT_AJUSTE,MOT_MOTOR,G178,MOT_MARCA,E178,MOT_DESDE,"&lt;="&amp;M178,MOT_HASTA,"&gt;="&amp;M178)+SUMIFS(MOT_AJUSTE,MOT_MOTOR,G178,MOT_MARCA,"(todas)",MOT_DESDE,"&lt;="&amp;M178,MOT_HASTA,"&gt;="&amp;M178)</f>
        <v/>
      </c>
      <c r="BT178" s="3">
        <f>SUMIFS(COMB_AJUSTE,COMB_COMB,K178)</f>
        <v/>
      </c>
      <c r="BU178" s="3">
        <f>COUNTIFS(MOT_MOTOR,G178,MOT_MARCA,E178,MOT_DESDE,"&lt;="&amp;M178,MOT_HASTA,"&gt;="&amp;M178)+COUNTIFS(MOT_MOTOR,G178,MOT_MARCA,"(todas)",MOT_DESDE,"&lt;="&amp;M178,MOT_HASTA,"&gt;="&amp;M178)</f>
        <v/>
      </c>
      <c r="BV178" s="3">
        <f>IF(AND(K178="diesel",BU178=0),MIN(BR178,NEUTRO),BR178)</f>
        <v/>
      </c>
      <c r="BW178" s="4">
        <f>MAX(0,MIN(100,BV178+BS178+BT178))</f>
        <v/>
      </c>
      <c r="BX178" s="3">
        <f>MAX(0,MIN(100,50+BK178*PRECIO_PEND))</f>
        <v/>
      </c>
      <c r="BY178" s="3">
        <f>MAX(0,100*(1-N178/KM_MAX))</f>
        <v/>
      </c>
      <c r="BZ178" s="3">
        <f>IF(BB178&lt;KMA_SOSP,IF(AA178="sí",100,KMA_PEN),IF(BB178&lt;=KMA_IDEAL_MAX,100,MAX(0,100*(KMA_CERO-BB178)/(KMA_CERO-KMA_IDEAL_MAX))))</f>
        <v/>
      </c>
      <c r="CA178" s="3">
        <f>MAX(0,MIN(100,100*(M178-ANIO_MIN)/(ANIO_ACTUAL-ANIO_MIN)))</f>
        <v/>
      </c>
      <c r="CB178" s="3">
        <f>W_KMT*BY178+W_KMA*BZ178+W_EDAD*CA178</f>
        <v/>
      </c>
      <c r="CC178" s="3">
        <f>P_ITV*(V178="sí")+P_LIBRO*(W178="sí")+P_CORREA*(X178="sí")+P_PROP*(Y178=1)+P_GAR*(Z178="sí")+P_FOTOS*MIN(1,N(U178)/FOTOS_OBJ)</f>
        <v/>
      </c>
      <c r="CD178" s="3">
        <f>MAX(0,MIN(100,IFERROR(VLOOKUP(BP178,ETQ_TBL,2,0),0)-IF(BQ178="sí",ETQ_PEN_DUD,IF(AS178="regla",ETQ_PEN_REGLA,0))))</f>
        <v/>
      </c>
      <c r="CE178" s="3">
        <f>NEUTRO</f>
        <v/>
      </c>
      <c r="CF178" s="3">
        <f>IFERROR(VLOOKUP(L178,SEGURO_TBL,3,0),"")</f>
        <v/>
      </c>
      <c r="CG178" s="3">
        <f>IF(CF178="",NEUTRO,MAX(0,MIN(100,100*(SEG_REF_MAX-CF178)/(SEG_REF_MAX-SEG_REF_MIN))))</f>
        <v/>
      </c>
      <c r="CH178" s="3">
        <f>W_CONS*CE178+W_SEG*CG178</f>
        <v/>
      </c>
      <c r="CI178" s="3">
        <f>IF(N(AB178)&gt;0,AB178,IF(AND(R178="profesional",SG_LEGAL_ON=1),GAR_LEGAL,0))</f>
        <v/>
      </c>
      <c r="CJ178" s="3">
        <f>SG_GAR*MIN(1,CI178/SG_GAR_FULL)+SG_AMPL*(AC178="sí")+SG_KMC*(AF178="sí")+SG_REV*(N(AE178)&gt;0)+SG_DEV*MIN(1,N(AG178)/SG_DEV_FULL)+SG_HIST*(W178="sí")</f>
        <v/>
      </c>
      <c r="CK178" s="3">
        <f>IFERROR(VLOOKUP(L178,CARR_PEN_TBL,2,0),0)</f>
        <v/>
      </c>
      <c r="CL178" s="3">
        <f>W_FIAB*BW178+W_PRECIO*BX178+W_KMEDAD*CB178+W_ANUNCIO*CC178+W_USO*CH178+W_SEGURIDAD*CJ178+W_ETIQUETA*CD178-CK178</f>
        <v/>
      </c>
      <c r="CM178" s="4">
        <f>IF(N(I178)&gt;0,I178,IFERROR(ROUND(_xlfn.NUMBERVALUE(LEFT(G178,FIND(" ",G178&amp;" ")-1),".")*1000,0),99999))</f>
        <v/>
      </c>
      <c r="CN178" s="3">
        <f>IF(R178="profesional",0,IF(O178&lt;CUOTA_VALOR_MAX,IF(BA178&gt;ITP_TRAMO_ALTO,SUMIFS(CF_CUOTA,CF_MAS,ITP_TRAMO_ALTO,CF_CCMIN,"&lt;="&amp;CM178,CF_CCMAX,"&gt;="&amp;CM178),IF(BA178&gt;ITP_TRAMO_BAJO,SUMIFS(CF_CUOTA,CF_MAS,ITP_TRAMO_BAJO,CF_CCMIN,"&lt;="&amp;CM178,CF_CCMAX,"&gt;="&amp;CM178),O178*ITP_TIPO)),O178*ITP_TIPO))</f>
        <v/>
      </c>
      <c r="CO178" s="4">
        <f>IF(R178="profesional",N(AK178),0)</f>
        <v/>
      </c>
      <c r="CP178" s="3">
        <f>IF(AND(R178="profesional",ISNUMBER(AK178),AL178="sí"),0,TASA_DGT)</f>
        <v/>
      </c>
      <c r="CQ178" s="3">
        <f>INFORME_DGT</f>
        <v/>
      </c>
      <c r="CR178" s="4">
        <f>O178+CO178+CN178+CP178+CQ178</f>
        <v/>
      </c>
      <c r="CS178" s="4">
        <f>CR178+N(CF178)</f>
        <v/>
      </c>
      <c r="CT178" s="3">
        <f>IF(CR178&lt;=TOTAL_MAX,"sí",IF(CR178&lt;=TOTAL_MAX+MARGEN_NEG,"negociar","no"))</f>
        <v/>
      </c>
      <c r="CU178" s="4">
        <f>IF(CT178&lt;&gt;"no",COUNTIFS($CT$2:$CT$545,"&lt;&gt;no",$CL$2:$CL$545,"&gt;"&amp;CL178)+COUNTIFS($CT$2:CT178,"&lt;&gt;no",$CL$2:CL178,CL178),"")</f>
        <v/>
      </c>
    </row>
    <row r="179">
      <c r="A179" s="2" t="inlineStr">
        <is>
          <t>autoscout24:16231333-d29d-407b-b721-6f4bf3ddfcdb</t>
        </is>
      </c>
      <c r="B179" s="2" t="inlineStr">
        <is>
          <t>autoscout24</t>
        </is>
      </c>
      <c r="C179" s="2" t="inlineStr">
        <is>
          <t>https://www.autoscout24.es/anuncios/opel-corsa-manual-gasolina-blanco-cat_ma54mo1918-16231333-d29d-407b-b721-6f4bf3ddfcdb</t>
        </is>
      </c>
      <c r="D179" s="2" t="inlineStr">
        <is>
          <t>Opel Corsa Manual</t>
        </is>
      </c>
      <c r="E179" s="2" t="inlineStr">
        <is>
          <t>Opel</t>
        </is>
      </c>
      <c r="F179" s="2" t="inlineStr">
        <is>
          <t>Opel Corsa</t>
        </is>
      </c>
      <c r="G179" s="2" t="inlineStr">
        <is>
          <t>1.4</t>
        </is>
      </c>
      <c r="H179" s="2" t="inlineStr">
        <is>
          <t>Manual 1.4</t>
        </is>
      </c>
      <c r="I179" s="2" t="n"/>
      <c r="J179" s="2" t="n">
        <v>82</v>
      </c>
      <c r="K179" s="2" t="inlineStr">
        <is>
          <t>gasolina</t>
        </is>
      </c>
      <c r="L179" s="2" t="inlineStr">
        <is>
          <t>utilitario</t>
        </is>
      </c>
      <c r="M179" s="2" t="n">
        <v>2014</v>
      </c>
      <c r="N179" s="2" t="n">
        <v>210000</v>
      </c>
      <c r="O179" s="2" t="n">
        <v>4900</v>
      </c>
      <c r="P179" s="2" t="inlineStr">
        <is>
          <t>manual</t>
        </is>
      </c>
      <c r="Q179" s="2" t="inlineStr">
        <is>
          <t>no</t>
        </is>
      </c>
      <c r="R179" s="2" t="inlineStr">
        <is>
          <t>particular</t>
        </is>
      </c>
      <c r="S179" s="2" t="inlineStr">
        <is>
          <t>valencia  (46015)</t>
        </is>
      </c>
      <c r="T179" s="2" t="n"/>
      <c r="U179" s="2" t="n">
        <v>10</v>
      </c>
      <c r="V179" s="2" t="inlineStr">
        <is>
          <t>sí</t>
        </is>
      </c>
      <c r="W179" s="2" t="inlineStr">
        <is>
          <t>sí</t>
        </is>
      </c>
      <c r="X179" s="2" t="n"/>
      <c r="Y179" s="2" t="n"/>
      <c r="Z179" s="2" t="n"/>
      <c r="AA179" s="2" t="n"/>
      <c r="AB179" s="2" t="n"/>
      <c r="AC179" s="2" t="n"/>
      <c r="AD179" s="2" t="n"/>
      <c r="AE179" s="2" t="n"/>
      <c r="AF179" s="2" t="n"/>
      <c r="AG179" s="2" t="n"/>
      <c r="AH179" s="2" t="n"/>
      <c r="AI179" s="2" t="n"/>
      <c r="AJ179" s="2" t="n"/>
      <c r="AK179" s="2" t="n"/>
      <c r="AL179" s="2" t="n"/>
      <c r="AM179" s="2" t="n">
        <v>3.2</v>
      </c>
      <c r="AN179" s="2" t="n"/>
      <c r="AO179" s="2" t="inlineStr">
        <is>
          <t>2014-09</t>
        </is>
      </c>
      <c r="AP179" s="2" t="n">
        <v>2014</v>
      </c>
      <c r="AQ179" s="2" t="n">
        <v>9</v>
      </c>
      <c r="AR179" s="2" t="n"/>
      <c r="AS179" s="2" t="inlineStr">
        <is>
          <t>regla</t>
        </is>
      </c>
      <c r="AT179" s="2" t="n">
        <v>4690</v>
      </c>
      <c r="AU179" s="2" t="n">
        <v>8</v>
      </c>
      <c r="AV179" s="2" t="inlineStr">
        <is>
          <t>modelo+año+km</t>
        </is>
      </c>
      <c r="AW179" s="2" t="n"/>
      <c r="AX179" s="2" t="inlineStr">
        <is>
          <t>por encima del presupuesto (5084 €), negociar; cuota fija ITP: &gt;5 y &lt;=12 años, hasta 1.500 cc</t>
        </is>
      </c>
      <c r="AY179" s="2" t="inlineStr">
        <is>
          <t>🚗 ¡OPORTUNIDAD! OPEL CORSA 2014 – PERSONALIZADO Y CON MANTENIMIENTO AL DÍA 🚗&lt;br /&gt;¿Buscas un coche fiable, de consumo mínimo, pero con estética deportiva y equipamiento moderno? Vendo mi Opel Corsa del año 2014 con 210.000 km, cuidado al detalle y cargado de extras exclusivos que no vienen de fábrica. El coche está impecable y listo para rodar sin tener que invertir un solo euro en él.&lt;br /&gt;⚙️ MANTENIMIENTO COMPLETO Y RECIENTE:&lt;br /&gt;El coche se ha mantenido rigurosamente al día. Cuenta con:&lt;br /&gt;• ITV RECIÉN PASADA: Totalmente al día y válida hasta junio del año que viene.&lt;br /&gt;• Revisión mecánica reciente: Aceite y todos los filtros recién cambiados.&lt;br /&gt;• Frenos: Pastillas de freno totalmente nuevas.&lt;br /&gt;• Renovación de ópticas: Todas las luces de los faros, tanto delanteras como traseras, se acaban de cambiar por completo.&lt;br /&gt;• Estética: Matrículas recién cambiadas de las antiguas metálicas a unas nuevas de metacrilato, mucho más modernas.&lt;br /&gt;💎 EXTRAS EXCLUSIVOS AÑADIDOS:&lt;br /&gt;Este coche destaca por su personalización tanto en rendimiento como en estética:&lt;br /&gt;• ILUMINACIÓN: Faros delanteros con bombillas LED H7 HOMOLOGADAS (pasan ITV sin problemas y ofrecen una visibilidad nocturna espectacular).&lt;br /&gt;• MULTIMEDIA Y SONIDO: Pantalla con conexión Bluetooth instantánea (conecta al momento). Además, se ha cambiado y mejorado por completo el equipo de música y los altavoces para una calidad de audio limpia y potente.&lt;br /&gt;• RENDIMIENTO: Filtro de aire cilíndrico de alt</t>
        </is>
      </c>
      <c r="AZ179" s="2" t="inlineStr">
        <is>
          <t>https://www.autoscout24.es/anuncios/opel-corsa-manual-gasolina-blanco-cat_ma54mo1918-16231333-d29d-407b-b721-6f4bf3ddfcdb (__NEXT_DATA__ listingDetails) /home/user/Alopecia/buscador-coches/raw/autoscout24/297451c15403d402.json</t>
        </is>
      </c>
      <c r="BA179" s="3">
        <f>MAX(ANIO_ACTUAL-M179,0)</f>
        <v/>
      </c>
      <c r="BB179" s="4">
        <f>N179/MAX(BA179,0.5)</f>
        <v/>
      </c>
      <c r="BC179" s="4">
        <f>F179</f>
        <v/>
      </c>
      <c r="BD179" s="3">
        <f>BC179&amp;"|"&amp;INT(M179/SEG_ANIO)*SEG_ANIO</f>
        <v/>
      </c>
      <c r="BE179" s="3">
        <f>BD179&amp;"|"&amp;INT(N179/SEG_KM)*SEG_KM</f>
        <v/>
      </c>
      <c r="BF179" s="4">
        <f>COUNTIF($BC$2:$BC$545,BC179)</f>
        <v/>
      </c>
      <c r="BG179" s="4">
        <f>COUNTIF($BD$2:$BD$545,BD179)</f>
        <v/>
      </c>
      <c r="BH179" s="4">
        <f>COUNTIF($BE$2:$BE$545,BE179)</f>
        <v/>
      </c>
      <c r="BI179" s="3">
        <f t="array" ref="BI179">IF(N(AU179)&gt;=MIN_N,AT179,IF(BH179&gt;=MIN_N,MEDIAN(IF($BE$2:$BE$545=BE179,$O$2:$O$545)),IF(BG179&gt;=MIN_N,MEDIAN(IF($BD$2:$BD$545=BD179,$O$2:$O$545)),MEDIAN(IF($BC$2:$BC$545=BC179,$O$2:$O$545)))))</f>
        <v/>
      </c>
      <c r="BJ179" s="3">
        <f>IF(N(AU179)&gt;=MIN_N,"mercado "&amp;AV179,IF(BH179&gt;=MIN_N,"modelo+año+km",IF(BG179&gt;=MIN_N,"modelo+año","modelo")))</f>
        <v/>
      </c>
      <c r="BK179" s="4">
        <f>(BI179-O179)/BI179</f>
        <v/>
      </c>
      <c r="BL179" s="3">
        <f>IF(COUNTIFS(FR_FUEL,K179,FR_YEAR,AP179)&gt;0,1,0)</f>
        <v/>
      </c>
      <c r="BM179" s="3">
        <f>IF(COUNTIFS(FR_FUEL,K179,FR_YEAR,AP179-1)&gt;0,1,0)</f>
        <v/>
      </c>
      <c r="BN179" s="4">
        <f>IF(N(AQ179)&gt;0,AP179*100+AQ179,IF(AND(BL179=1,BM179=1),(AP179-1)*100+1,AP179*100+1))</f>
        <v/>
      </c>
      <c r="BO179" s="3">
        <f>IF(OR(K179="hibrido",K179="glp",K179="gnc",K179="phev"),"ECO",IF(K179="electrico","CERO",IF(K179="gasolina",IF(BN179&gt;=GAS_C_YM,"C",IF(BN179&gt;=GAS_B_YM,"B","A")),IF(K179="diesel",IF(BN179&gt;=DIE_C_YM,"C",IF(BN179&gt;=DIE_B_YM,"B","A")),""))))</f>
        <v/>
      </c>
      <c r="BP179" s="4">
        <f>BO179</f>
        <v/>
      </c>
      <c r="BQ179" s="4">
        <f>IF(AS179="regla",IF(AND(N(AQ179)=0,BL179=1),"sí","no"),"no")</f>
        <v/>
      </c>
      <c r="BR179" s="3">
        <f>IFERROR(VLOOKUP(F179,MOD_TBL,11,0),IFERROR(VLOOKUP(E179,OCU_TBL,2,0),NEUTRO))</f>
        <v/>
      </c>
      <c r="BS179" s="3">
        <f>SUMIFS(MOT_AJUSTE,MOT_MOTOR,G179,MOT_MARCA,E179,MOT_DESDE,"&lt;="&amp;M179,MOT_HASTA,"&gt;="&amp;M179)+SUMIFS(MOT_AJUSTE,MOT_MOTOR,G179,MOT_MARCA,"(todas)",MOT_DESDE,"&lt;="&amp;M179,MOT_HASTA,"&gt;="&amp;M179)</f>
        <v/>
      </c>
      <c r="BT179" s="3">
        <f>SUMIFS(COMB_AJUSTE,COMB_COMB,K179)</f>
        <v/>
      </c>
      <c r="BU179" s="3">
        <f>COUNTIFS(MOT_MOTOR,G179,MOT_MARCA,E179,MOT_DESDE,"&lt;="&amp;M179,MOT_HASTA,"&gt;="&amp;M179)+COUNTIFS(MOT_MOTOR,G179,MOT_MARCA,"(todas)",MOT_DESDE,"&lt;="&amp;M179,MOT_HASTA,"&gt;="&amp;M179)</f>
        <v/>
      </c>
      <c r="BV179" s="3">
        <f>IF(AND(K179="diesel",BU179=0),MIN(BR179,NEUTRO),BR179)</f>
        <v/>
      </c>
      <c r="BW179" s="4">
        <f>MAX(0,MIN(100,BV179+BS179+BT179))</f>
        <v/>
      </c>
      <c r="BX179" s="3">
        <f>MAX(0,MIN(100,50+BK179*PRECIO_PEND))</f>
        <v/>
      </c>
      <c r="BY179" s="3">
        <f>MAX(0,100*(1-N179/KM_MAX))</f>
        <v/>
      </c>
      <c r="BZ179" s="3">
        <f>IF(BB179&lt;KMA_SOSP,IF(AA179="sí",100,KMA_PEN),IF(BB179&lt;=KMA_IDEAL_MAX,100,MAX(0,100*(KMA_CERO-BB179)/(KMA_CERO-KMA_IDEAL_MAX))))</f>
        <v/>
      </c>
      <c r="CA179" s="3">
        <f>MAX(0,MIN(100,100*(M179-ANIO_MIN)/(ANIO_ACTUAL-ANIO_MIN)))</f>
        <v/>
      </c>
      <c r="CB179" s="3">
        <f>W_KMT*BY179+W_KMA*BZ179+W_EDAD*CA179</f>
        <v/>
      </c>
      <c r="CC179" s="3">
        <f>P_ITV*(V179="sí")+P_LIBRO*(W179="sí")+P_CORREA*(X179="sí")+P_PROP*(Y179=1)+P_GAR*(Z179="sí")+P_FOTOS*MIN(1,N(U179)/FOTOS_OBJ)</f>
        <v/>
      </c>
      <c r="CD179" s="3">
        <f>MAX(0,MIN(100,IFERROR(VLOOKUP(BP179,ETQ_TBL,2,0),0)-IF(BQ179="sí",ETQ_PEN_DUD,IF(AS179="regla",ETQ_PEN_REGLA,0))))</f>
        <v/>
      </c>
      <c r="CE179" s="3">
        <f>NEUTRO</f>
        <v/>
      </c>
      <c r="CF179" s="3">
        <f>IFERROR(VLOOKUP(L179,SEGURO_TBL,3,0),"")</f>
        <v/>
      </c>
      <c r="CG179" s="3">
        <f>IF(CF179="",NEUTRO,MAX(0,MIN(100,100*(SEG_REF_MAX-CF179)/(SEG_REF_MAX-SEG_REF_MIN))))</f>
        <v/>
      </c>
      <c r="CH179" s="3">
        <f>W_CONS*CE179+W_SEG*CG179</f>
        <v/>
      </c>
      <c r="CI179" s="3">
        <f>IF(N(AB179)&gt;0,AB179,IF(AND(R179="profesional",SG_LEGAL_ON=1),GAR_LEGAL,0))</f>
        <v/>
      </c>
      <c r="CJ179" s="3">
        <f>SG_GAR*MIN(1,CI179/SG_GAR_FULL)+SG_AMPL*(AC179="sí")+SG_KMC*(AF179="sí")+SG_REV*(N(AE179)&gt;0)+SG_DEV*MIN(1,N(AG179)/SG_DEV_FULL)+SG_HIST*(W179="sí")</f>
        <v/>
      </c>
      <c r="CK179" s="3">
        <f>IFERROR(VLOOKUP(L179,CARR_PEN_TBL,2,0),0)</f>
        <v/>
      </c>
      <c r="CL179" s="3">
        <f>W_FIAB*BW179+W_PRECIO*BX179+W_KMEDAD*CB179+W_ANUNCIO*CC179+W_USO*CH179+W_SEGURIDAD*CJ179+W_ETIQUETA*CD179-CK179</f>
        <v/>
      </c>
      <c r="CM179" s="4">
        <f>IF(N(I179)&gt;0,I179,IFERROR(ROUND(_xlfn.NUMBERVALUE(LEFT(G179,FIND(" ",G179&amp;" ")-1),".")*1000,0),99999))</f>
        <v/>
      </c>
      <c r="CN179" s="3">
        <f>IF(R179="profesional",0,IF(O179&lt;CUOTA_VALOR_MAX,IF(BA179&gt;ITP_TRAMO_ALTO,SUMIFS(CF_CUOTA,CF_MAS,ITP_TRAMO_ALTO,CF_CCMIN,"&lt;="&amp;CM179,CF_CCMAX,"&gt;="&amp;CM179),IF(BA179&gt;ITP_TRAMO_BAJO,SUMIFS(CF_CUOTA,CF_MAS,ITP_TRAMO_BAJO,CF_CCMIN,"&lt;="&amp;CM179,CF_CCMAX,"&gt;="&amp;CM179),O179*ITP_TIPO)),O179*ITP_TIPO))</f>
        <v/>
      </c>
      <c r="CO179" s="4">
        <f>IF(R179="profesional",N(AK179),0)</f>
        <v/>
      </c>
      <c r="CP179" s="3">
        <f>IF(AND(R179="profesional",ISNUMBER(AK179),AL179="sí"),0,TASA_DGT)</f>
        <v/>
      </c>
      <c r="CQ179" s="3">
        <f>INFORME_DGT</f>
        <v/>
      </c>
      <c r="CR179" s="4">
        <f>O179+CO179+CN179+CP179+CQ179</f>
        <v/>
      </c>
      <c r="CS179" s="4">
        <f>CR179+N(CF179)</f>
        <v/>
      </c>
      <c r="CT179" s="3">
        <f>IF(CR179&lt;=TOTAL_MAX,"sí",IF(CR179&lt;=TOTAL_MAX+MARGEN_NEG,"negociar","no"))</f>
        <v/>
      </c>
      <c r="CU179" s="4">
        <f>IF(CT179&lt;&gt;"no",COUNTIFS($CT$2:$CT$545,"&lt;&gt;no",$CL$2:$CL$545,"&gt;"&amp;CL179)+COUNTIFS($CT$2:CT179,"&lt;&gt;no",$CL$2:CL179,CL179),"")</f>
        <v/>
      </c>
    </row>
    <row r="180">
      <c r="A180" s="2" t="inlineStr">
        <is>
          <t>autoscout24:260eace1-1e59-41f7-8463-28cceb82e543</t>
        </is>
      </c>
      <c r="B180" s="2" t="inlineStr">
        <is>
          <t>autoscout24</t>
        </is>
      </c>
      <c r="C180" s="2" t="inlineStr">
        <is>
          <t>https://www.autoscout24.es/anuncios/renault-clio-grand-tour-1-5dci-tom-tom-edition-85-diesel-negro-cat_ma60mo1961-260eace1-1e59-41f7-8463-28cceb82e543</t>
        </is>
      </c>
      <c r="D180" s="2" t="inlineStr">
        <is>
          <t>Renault Clio Grand Tour 1.5DCI Tom Tom Edition 85</t>
        </is>
      </c>
      <c r="E180" s="2" t="inlineStr">
        <is>
          <t>Renault</t>
        </is>
      </c>
      <c r="F180" s="2" t="inlineStr">
        <is>
          <t>Renault Clio</t>
        </is>
      </c>
      <c r="G180" s="2" t="inlineStr">
        <is>
          <t>1.5 dCi</t>
        </is>
      </c>
      <c r="H180" s="2" t="inlineStr">
        <is>
          <t>Grand Tour 1.5DCI Tom Tom Edition 85 1.5 DCI</t>
        </is>
      </c>
      <c r="I180" s="2" t="n">
        <v>1461</v>
      </c>
      <c r="J180" s="2" t="n">
        <v>86</v>
      </c>
      <c r="K180" s="2" t="inlineStr">
        <is>
          <t>diesel</t>
        </is>
      </c>
      <c r="L180" s="2" t="inlineStr">
        <is>
          <t>familiar</t>
        </is>
      </c>
      <c r="M180" s="2" t="n">
        <v>2010</v>
      </c>
      <c r="N180" s="2" t="n">
        <v>169000</v>
      </c>
      <c r="O180" s="2" t="n">
        <v>4990</v>
      </c>
      <c r="P180" s="2" t="inlineStr">
        <is>
          <t>manual</t>
        </is>
      </c>
      <c r="Q180" s="2" t="inlineStr">
        <is>
          <t>no</t>
        </is>
      </c>
      <c r="R180" s="2" t="inlineStr">
        <is>
          <t>profesional</t>
        </is>
      </c>
      <c r="S180" s="2" t="inlineStr">
        <is>
          <t>SAGA VEHICULOS — MASSANASSA (46470)</t>
        </is>
      </c>
      <c r="T180" s="2" t="n"/>
      <c r="U180" s="2" t="n">
        <v>27</v>
      </c>
      <c r="V180" s="2" t="n"/>
      <c r="W180" s="2" t="n"/>
      <c r="X180" s="2" t="n"/>
      <c r="Y180" s="2" t="n"/>
      <c r="Z180" s="2" t="inlineStr">
        <is>
          <t>sí</t>
        </is>
      </c>
      <c r="AA180" s="2" t="n"/>
      <c r="AB180" s="2" t="n">
        <v>12</v>
      </c>
      <c r="AC180" s="2" t="inlineStr">
        <is>
          <t>sí</t>
        </is>
      </c>
      <c r="AD180" s="2" t="n"/>
      <c r="AE180" s="2" t="n"/>
      <c r="AF180" s="2" t="n"/>
      <c r="AG180" s="2" t="n"/>
      <c r="AH180" s="2" t="n"/>
      <c r="AI180" s="2" t="n"/>
      <c r="AJ180" s="2" t="n"/>
      <c r="AK180" s="2" t="n">
        <v>350</v>
      </c>
      <c r="AL180" s="2" t="inlineStr">
        <is>
          <t>no</t>
        </is>
      </c>
      <c r="AM180" s="2" t="n">
        <v>7.1</v>
      </c>
      <c r="AN180" s="2" t="n"/>
      <c r="AO180" s="2" t="inlineStr">
        <is>
          <t>2010-11</t>
        </is>
      </c>
      <c r="AP180" s="2" t="n">
        <v>2010</v>
      </c>
      <c r="AQ180" s="2" t="n">
        <v>11</v>
      </c>
      <c r="AR180" s="2" t="n"/>
      <c r="AS180" s="2" t="inlineStr">
        <is>
          <t>regla</t>
        </is>
      </c>
      <c r="AT180" s="2" t="n">
        <v>4200</v>
      </c>
      <c r="AU180" s="2" t="n">
        <v>7</v>
      </c>
      <c r="AV180" s="2" t="inlineStr">
        <is>
          <t>modelo+año+km</t>
        </is>
      </c>
      <c r="AW180" s="2" t="inlineStr">
        <is>
          <t>cochesnet:71813489 (https://www.coches.net/renault-clio-grand-tour-tom-tom-ed-15dci-85cv-eco2-5p-diesel-2009-en-valencia-71813489-covo.aspx)</t>
        </is>
      </c>
      <c r="AX180" s="2" t="inlineStr">
        <is>
          <t>vendedor profesional: sin ITP (operación con IVA/REBU, confirmar en factura); gastos del vendedor sin indicar si incluyen la transferencia: se suma la tasa DGT; carrocería familiar: -3 puntos</t>
        </is>
      </c>
      <c r="AY180" s="2" t="inlineStr">
        <is>
          <t>Renault Clio Grand Tour TomTom Edition 1.5 dCi, 85CV, diésel,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dual zone &lt;br /&gt;- Dirección asistida&lt;br /&gt;- Frenos ABS/EBD&lt;br /&gt;- Control de estabilidad ESP&lt;br /&gt;- Airbags&lt;br /&gt;- Control de crucero&lt;br /&gt;- Ordenador abordo&lt;br /&gt;- GPS navegación&lt;br /&gt;- Sistema multimedia Bluetooth&lt;br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Climatizador&lt;br /&gt;- Pintura metalizada&lt;br /&gt;- Control  de estabilidad ESP&lt;br /&gt;- RadioSat Mono CD 4x20 Mp3 con bluetooth&lt;br /&gt;- Pack Confort&lt;br /&gt;</t>
        </is>
      </c>
      <c r="AZ180" s="2" t="inlineStr">
        <is>
          <t>https://www.autoscout24.es/anuncios/renault-clio-grand-tour-1-5dci-tom-tom-edition-85-diesel-negro-cat_ma60mo1961-260eace1-1e59-41f7-8463-28cceb82e543 (__NEXT_DATA__ listingDetails) /home/user/Alopecia/buscador-coches/raw/autoscout24/f565615d615e592b.json</t>
        </is>
      </c>
      <c r="BA180" s="3">
        <f>MAX(ANIO_ACTUAL-M180,0)</f>
        <v/>
      </c>
      <c r="BB180" s="4">
        <f>N180/MAX(BA180,0.5)</f>
        <v/>
      </c>
      <c r="BC180" s="4">
        <f>F180</f>
        <v/>
      </c>
      <c r="BD180" s="3">
        <f>BC180&amp;"|"&amp;INT(M180/SEG_ANIO)*SEG_ANIO</f>
        <v/>
      </c>
      <c r="BE180" s="3">
        <f>BD180&amp;"|"&amp;INT(N180/SEG_KM)*SEG_KM</f>
        <v/>
      </c>
      <c r="BF180" s="4">
        <f>COUNTIF($BC$2:$BC$545,BC180)</f>
        <v/>
      </c>
      <c r="BG180" s="4">
        <f>COUNTIF($BD$2:$BD$545,BD180)</f>
        <v/>
      </c>
      <c r="BH180" s="4">
        <f>COUNTIF($BE$2:$BE$545,BE180)</f>
        <v/>
      </c>
      <c r="BI180" s="3">
        <f t="array" ref="BI180">IF(N(AU180)&gt;=MIN_N,AT180,IF(BH180&gt;=MIN_N,MEDIAN(IF($BE$2:$BE$545=BE180,$O$2:$O$545)),IF(BG180&gt;=MIN_N,MEDIAN(IF($BD$2:$BD$545=BD180,$O$2:$O$545)),MEDIAN(IF($BC$2:$BC$545=BC180,$O$2:$O$545)))))</f>
        <v/>
      </c>
      <c r="BJ180" s="3">
        <f>IF(N(AU180)&gt;=MIN_N,"mercado "&amp;AV180,IF(BH180&gt;=MIN_N,"modelo+año+km",IF(BG180&gt;=MIN_N,"modelo+año","modelo")))</f>
        <v/>
      </c>
      <c r="BK180" s="4">
        <f>(BI180-O180)/BI180</f>
        <v/>
      </c>
      <c r="BL180" s="3">
        <f>IF(COUNTIFS(FR_FUEL,K180,FR_YEAR,AP180)&gt;0,1,0)</f>
        <v/>
      </c>
      <c r="BM180" s="3">
        <f>IF(COUNTIFS(FR_FUEL,K180,FR_YEAR,AP180-1)&gt;0,1,0)</f>
        <v/>
      </c>
      <c r="BN180" s="4">
        <f>IF(N(AQ180)&gt;0,AP180*100+AQ180,IF(AND(BL180=1,BM180=1),(AP180-1)*100+1,AP180*100+1))</f>
        <v/>
      </c>
      <c r="BO180" s="3">
        <f>IF(OR(K180="hibrido",K180="glp",K180="gnc",K180="phev"),"ECO",IF(K180="electrico","CERO",IF(K180="gasolina",IF(BN180&gt;=GAS_C_YM,"C",IF(BN180&gt;=GAS_B_YM,"B","A")),IF(K180="diesel",IF(BN180&gt;=DIE_C_YM,"C",IF(BN180&gt;=DIE_B_YM,"B","A")),""))))</f>
        <v/>
      </c>
      <c r="BP180" s="4">
        <f>BO180</f>
        <v/>
      </c>
      <c r="BQ180" s="4">
        <f>IF(AS180="regla",IF(AND(N(AQ180)=0,BL180=1),"sí","no"),"no")</f>
        <v/>
      </c>
      <c r="BR180" s="3">
        <f>IFERROR(VLOOKUP(F180,MOD_TBL,11,0),IFERROR(VLOOKUP(E180,OCU_TBL,2,0),NEUTRO))</f>
        <v/>
      </c>
      <c r="BS180" s="3">
        <f>SUMIFS(MOT_AJUSTE,MOT_MOTOR,G180,MOT_MARCA,E180,MOT_DESDE,"&lt;="&amp;M180,MOT_HASTA,"&gt;="&amp;M180)+SUMIFS(MOT_AJUSTE,MOT_MOTOR,G180,MOT_MARCA,"(todas)",MOT_DESDE,"&lt;="&amp;M180,MOT_HASTA,"&gt;="&amp;M180)</f>
        <v/>
      </c>
      <c r="BT180" s="3">
        <f>SUMIFS(COMB_AJUSTE,COMB_COMB,K180)</f>
        <v/>
      </c>
      <c r="BU180" s="3">
        <f>COUNTIFS(MOT_MOTOR,G180,MOT_MARCA,E180,MOT_DESDE,"&lt;="&amp;M180,MOT_HASTA,"&gt;="&amp;M180)+COUNTIFS(MOT_MOTOR,G180,MOT_MARCA,"(todas)",MOT_DESDE,"&lt;="&amp;M180,MOT_HASTA,"&gt;="&amp;M180)</f>
        <v/>
      </c>
      <c r="BV180" s="3">
        <f>IF(AND(K180="diesel",BU180=0),MIN(BR180,NEUTRO),BR180)</f>
        <v/>
      </c>
      <c r="BW180" s="4">
        <f>MAX(0,MIN(100,BV180+BS180+BT180))</f>
        <v/>
      </c>
      <c r="BX180" s="3">
        <f>MAX(0,MIN(100,50+BK180*PRECIO_PEND))</f>
        <v/>
      </c>
      <c r="BY180" s="3">
        <f>MAX(0,100*(1-N180/KM_MAX))</f>
        <v/>
      </c>
      <c r="BZ180" s="3">
        <f>IF(BB180&lt;KMA_SOSP,IF(AA180="sí",100,KMA_PEN),IF(BB180&lt;=KMA_IDEAL_MAX,100,MAX(0,100*(KMA_CERO-BB180)/(KMA_CERO-KMA_IDEAL_MAX))))</f>
        <v/>
      </c>
      <c r="CA180" s="3">
        <f>MAX(0,MIN(100,100*(M180-ANIO_MIN)/(ANIO_ACTUAL-ANIO_MIN)))</f>
        <v/>
      </c>
      <c r="CB180" s="3">
        <f>W_KMT*BY180+W_KMA*BZ180+W_EDAD*CA180</f>
        <v/>
      </c>
      <c r="CC180" s="3">
        <f>P_ITV*(V180="sí")+P_LIBRO*(W180="sí")+P_CORREA*(X180="sí")+P_PROP*(Y180=1)+P_GAR*(Z180="sí")+P_FOTOS*MIN(1,N(U180)/FOTOS_OBJ)</f>
        <v/>
      </c>
      <c r="CD180" s="3">
        <f>MAX(0,MIN(100,IFERROR(VLOOKUP(BP180,ETQ_TBL,2,0),0)-IF(BQ180="sí",ETQ_PEN_DUD,IF(AS180="regla",ETQ_PEN_REGLA,0))))</f>
        <v/>
      </c>
      <c r="CE180" s="3">
        <f>NEUTRO</f>
        <v/>
      </c>
      <c r="CF180" s="3">
        <f>IFERROR(VLOOKUP(L180,SEGURO_TBL,3,0),"")</f>
        <v/>
      </c>
      <c r="CG180" s="3">
        <f>IF(CF180="",NEUTRO,MAX(0,MIN(100,100*(SEG_REF_MAX-CF180)/(SEG_REF_MAX-SEG_REF_MIN))))</f>
        <v/>
      </c>
      <c r="CH180" s="3">
        <f>W_CONS*CE180+W_SEG*CG180</f>
        <v/>
      </c>
      <c r="CI180" s="3">
        <f>IF(N(AB180)&gt;0,AB180,IF(AND(R180="profesional",SG_LEGAL_ON=1),GAR_LEGAL,0))</f>
        <v/>
      </c>
      <c r="CJ180" s="3">
        <f>SG_GAR*MIN(1,CI180/SG_GAR_FULL)+SG_AMPL*(AC180="sí")+SG_KMC*(AF180="sí")+SG_REV*(N(AE180)&gt;0)+SG_DEV*MIN(1,N(AG180)/SG_DEV_FULL)+SG_HIST*(W180="sí")</f>
        <v/>
      </c>
      <c r="CK180" s="3">
        <f>IFERROR(VLOOKUP(L180,CARR_PEN_TBL,2,0),0)</f>
        <v/>
      </c>
      <c r="CL180" s="3">
        <f>W_FIAB*BW180+W_PRECIO*BX180+W_KMEDAD*CB180+W_ANUNCIO*CC180+W_USO*CH180+W_SEGURIDAD*CJ180+W_ETIQUETA*CD180-CK180</f>
        <v/>
      </c>
      <c r="CM180" s="4">
        <f>IF(N(I180)&gt;0,I180,IFERROR(ROUND(_xlfn.NUMBERVALUE(LEFT(G180,FIND(" ",G180&amp;" ")-1),".")*1000,0),99999))</f>
        <v/>
      </c>
      <c r="CN180" s="3">
        <f>IF(R180="profesional",0,IF(O180&lt;CUOTA_VALOR_MAX,IF(BA180&gt;ITP_TRAMO_ALTO,SUMIFS(CF_CUOTA,CF_MAS,ITP_TRAMO_ALTO,CF_CCMIN,"&lt;="&amp;CM180,CF_CCMAX,"&gt;="&amp;CM180),IF(BA180&gt;ITP_TRAMO_BAJO,SUMIFS(CF_CUOTA,CF_MAS,ITP_TRAMO_BAJO,CF_CCMIN,"&lt;="&amp;CM180,CF_CCMAX,"&gt;="&amp;CM180),O180*ITP_TIPO)),O180*ITP_TIPO))</f>
        <v/>
      </c>
      <c r="CO180" s="4">
        <f>IF(R180="profesional",N(AK180),0)</f>
        <v/>
      </c>
      <c r="CP180" s="3">
        <f>IF(AND(R180="profesional",ISNUMBER(AK180),AL180="sí"),0,TASA_DGT)</f>
        <v/>
      </c>
      <c r="CQ180" s="3">
        <f>INFORME_DGT</f>
        <v/>
      </c>
      <c r="CR180" s="4">
        <f>O180+CO180+CN180+CP180+CQ180</f>
        <v/>
      </c>
      <c r="CS180" s="4">
        <f>CR180+N(CF180)</f>
        <v/>
      </c>
      <c r="CT180" s="3">
        <f>IF(CR180&lt;=TOTAL_MAX,"sí",IF(CR180&lt;=TOTAL_MAX+MARGEN_NEG,"negociar","no"))</f>
        <v/>
      </c>
      <c r="CU180" s="4">
        <f>IF(CT180&lt;&gt;"no",COUNTIFS($CT$2:$CT$545,"&lt;&gt;no",$CL$2:$CL$545,"&gt;"&amp;CL180)+COUNTIFS($CT$2:CT180,"&lt;&gt;no",$CL$2:CL180,CL180),"")</f>
        <v/>
      </c>
    </row>
    <row r="181">
      <c r="A181" s="2" t="inlineStr">
        <is>
          <t>autoscout24:ebf476c8-6b0f-497f-aefa-69d270e58cfc</t>
        </is>
      </c>
      <c r="B181" s="2" t="inlineStr">
        <is>
          <t>autoscout24</t>
        </is>
      </c>
      <c r="C181" s="2" t="inlineStr">
        <is>
          <t>https://www.autoscout24.es/anuncios/peugeot-407-407-2-0-st-confort-confort-gasolina-azul-cat_ma55mo18421-ebf476c8-6b0f-497f-aefa-69d270e58cfc</t>
        </is>
      </c>
      <c r="D181" s="2" t="inlineStr">
        <is>
          <t>Peugeot 407 407 2.0 ST Confort Confort</t>
        </is>
      </c>
      <c r="E181" s="2" t="inlineStr">
        <is>
          <t>Peugeot</t>
        </is>
      </c>
      <c r="F181" s="2" t="inlineStr">
        <is>
          <t>Peugeot 407</t>
        </is>
      </c>
      <c r="G181" s="2" t="inlineStr">
        <is>
          <t>2.0 HDi</t>
        </is>
      </c>
      <c r="H181" s="2" t="inlineStr">
        <is>
          <t>407 2.0 ST Confort Confort 135 HDI</t>
        </is>
      </c>
      <c r="I181" s="2" t="n">
        <v>1997</v>
      </c>
      <c r="J181" s="2" t="n">
        <v>136</v>
      </c>
      <c r="K181" s="2" t="inlineStr">
        <is>
          <t>gasolina</t>
        </is>
      </c>
      <c r="L181" s="2" t="inlineStr">
        <is>
          <t>familiar</t>
        </is>
      </c>
      <c r="M181" s="2" t="n">
        <v>2007</v>
      </c>
      <c r="N181" s="2" t="n">
        <v>119000</v>
      </c>
      <c r="O181" s="2" t="n">
        <v>1000</v>
      </c>
      <c r="P181" s="2" t="inlineStr">
        <is>
          <t>manual</t>
        </is>
      </c>
      <c r="Q181" s="2" t="inlineStr">
        <is>
          <t>no</t>
        </is>
      </c>
      <c r="R181" s="2" t="inlineStr">
        <is>
          <t>particular</t>
        </is>
      </c>
      <c r="S181" s="2" t="inlineStr">
        <is>
          <t>València (46002)</t>
        </is>
      </c>
      <c r="T181" s="2" t="n"/>
      <c r="U181" s="2" t="n">
        <v>2</v>
      </c>
      <c r="V181" s="2" t="n"/>
      <c r="W181" s="2" t="n"/>
      <c r="X181" s="2" t="n"/>
      <c r="Y181" s="2" t="n"/>
      <c r="Z181" s="2" t="n"/>
      <c r="AA181" s="2" t="n"/>
      <c r="AB181" s="2" t="n"/>
      <c r="AC181" s="2" t="n"/>
      <c r="AD181" s="2" t="n"/>
      <c r="AE181" s="2" t="n"/>
      <c r="AF181" s="2" t="n"/>
      <c r="AG181" s="2" t="n"/>
      <c r="AH181" s="2" t="n"/>
      <c r="AI181" s="2" t="n"/>
      <c r="AJ181" s="2" t="n"/>
      <c r="AK181" s="2" t="n"/>
      <c r="AL181" s="2" t="n"/>
      <c r="AM181" s="2" t="n">
        <v>0.1</v>
      </c>
      <c r="AN181" s="2" t="n"/>
      <c r="AO181" s="2" t="inlineStr">
        <is>
          <t>2007-01</t>
        </is>
      </c>
      <c r="AP181" s="2" t="n">
        <v>2007</v>
      </c>
      <c r="AQ181" s="2" t="n">
        <v>1</v>
      </c>
      <c r="AR181" s="2" t="n"/>
      <c r="AS181" s="2" t="inlineStr">
        <is>
          <t>regla</t>
        </is>
      </c>
      <c r="AT181" s="2" t="n"/>
      <c r="AU181" s="2" t="n"/>
      <c r="AV181" s="2" t="n"/>
      <c r="AW181" s="2" t="n"/>
      <c r="AX181" s="2" t="inlineStr">
        <is>
          <t>cuota fija ITP: &gt;12 años, 1.501-2.000 cc; carrocería familiar: -3 puntos; fiabilidad del modelo PENDIENTE de fuente (puntuación neutra); mediana con solo 1 anuncio(s)</t>
        </is>
      </c>
      <c r="AY181" s="2" t="inlineStr">
        <is>
          <t>Peugeot 407, motor de gasolina. Año 2.007 con 119.00 km, etiqueta C. A veces se enciende una luz y dice fallo sistema antipolucion y se cala. Tiene radiador nuevo, enfriador del aceite nuevo, varios soportes nuevos, termostato y bujías nuevas. Catalizador nuevo. Se regala un kit completo de embrague con horquilla incluida. También pierde agua por una tuberia.  Está en Valencia, hay que llevar en grúa. Precio 1.200 euros. WhatsApp 647 969 778</t>
        </is>
      </c>
      <c r="AZ181" s="2" t="inlineStr">
        <is>
          <t>https://www.autoscout24.es/anuncios/peugeot-407-407-2-0-st-confort-confort-gasolina-azul-cat_ma55mo18421-ebf476c8-6b0f-497f-aefa-69d270e58cfc (__NEXT_DATA__ listingDetails) /home/user/Alopecia/buscador-coches/raw/autoscout24/8fcb9cd9130e3583.json</t>
        </is>
      </c>
      <c r="BA181" s="3">
        <f>MAX(ANIO_ACTUAL-M181,0)</f>
        <v/>
      </c>
      <c r="BB181" s="4">
        <f>N181/MAX(BA181,0.5)</f>
        <v/>
      </c>
      <c r="BC181" s="4">
        <f>F181</f>
        <v/>
      </c>
      <c r="BD181" s="3">
        <f>BC181&amp;"|"&amp;INT(M181/SEG_ANIO)*SEG_ANIO</f>
        <v/>
      </c>
      <c r="BE181" s="3">
        <f>BD181&amp;"|"&amp;INT(N181/SEG_KM)*SEG_KM</f>
        <v/>
      </c>
      <c r="BF181" s="4">
        <f>COUNTIF($BC$2:$BC$545,BC181)</f>
        <v/>
      </c>
      <c r="BG181" s="4">
        <f>COUNTIF($BD$2:$BD$545,BD181)</f>
        <v/>
      </c>
      <c r="BH181" s="4">
        <f>COUNTIF($BE$2:$BE$545,BE181)</f>
        <v/>
      </c>
      <c r="BI181" s="3">
        <f t="array" ref="BI181">IF(N(AU181)&gt;=MIN_N,AT181,IF(BH181&gt;=MIN_N,MEDIAN(IF($BE$2:$BE$545=BE181,$O$2:$O$545)),IF(BG181&gt;=MIN_N,MEDIAN(IF($BD$2:$BD$545=BD181,$O$2:$O$545)),MEDIAN(IF($BC$2:$BC$545=BC181,$O$2:$O$545)))))</f>
        <v/>
      </c>
      <c r="BJ181" s="3">
        <f>IF(N(AU181)&gt;=MIN_N,"mercado "&amp;AV181,IF(BH181&gt;=MIN_N,"modelo+año+km",IF(BG181&gt;=MIN_N,"modelo+año","modelo")))</f>
        <v/>
      </c>
      <c r="BK181" s="4">
        <f>(BI181-O181)/BI181</f>
        <v/>
      </c>
      <c r="BL181" s="3">
        <f>IF(COUNTIFS(FR_FUEL,K181,FR_YEAR,AP181)&gt;0,1,0)</f>
        <v/>
      </c>
      <c r="BM181" s="3">
        <f>IF(COUNTIFS(FR_FUEL,K181,FR_YEAR,AP181-1)&gt;0,1,0)</f>
        <v/>
      </c>
      <c r="BN181" s="4">
        <f>IF(N(AQ181)&gt;0,AP181*100+AQ181,IF(AND(BL181=1,BM181=1),(AP181-1)*100+1,AP181*100+1))</f>
        <v/>
      </c>
      <c r="BO181" s="3">
        <f>IF(OR(K181="hibrido",K181="glp",K181="gnc",K181="phev"),"ECO",IF(K181="electrico","CERO",IF(K181="gasolina",IF(BN181&gt;=GAS_C_YM,"C",IF(BN181&gt;=GAS_B_YM,"B","A")),IF(K181="diesel",IF(BN181&gt;=DIE_C_YM,"C",IF(BN181&gt;=DIE_B_YM,"B","A")),""))))</f>
        <v/>
      </c>
      <c r="BP181" s="4">
        <f>BO181</f>
        <v/>
      </c>
      <c r="BQ181" s="4">
        <f>IF(AS181="regla",IF(AND(N(AQ181)=0,BL181=1),"sí","no"),"no")</f>
        <v/>
      </c>
      <c r="BR181" s="3">
        <f>IFERROR(VLOOKUP(F181,MOD_TBL,11,0),IFERROR(VLOOKUP(E181,OCU_TBL,2,0),NEUTRO))</f>
        <v/>
      </c>
      <c r="BS181" s="3">
        <f>SUMIFS(MOT_AJUSTE,MOT_MOTOR,G181,MOT_MARCA,E181,MOT_DESDE,"&lt;="&amp;M181,MOT_HASTA,"&gt;="&amp;M181)+SUMIFS(MOT_AJUSTE,MOT_MOTOR,G181,MOT_MARCA,"(todas)",MOT_DESDE,"&lt;="&amp;M181,MOT_HASTA,"&gt;="&amp;M181)</f>
        <v/>
      </c>
      <c r="BT181" s="3">
        <f>SUMIFS(COMB_AJUSTE,COMB_COMB,K181)</f>
        <v/>
      </c>
      <c r="BU181" s="3">
        <f>COUNTIFS(MOT_MOTOR,G181,MOT_MARCA,E181,MOT_DESDE,"&lt;="&amp;M181,MOT_HASTA,"&gt;="&amp;M181)+COUNTIFS(MOT_MOTOR,G181,MOT_MARCA,"(todas)",MOT_DESDE,"&lt;="&amp;M181,MOT_HASTA,"&gt;="&amp;M181)</f>
        <v/>
      </c>
      <c r="BV181" s="3">
        <f>IF(AND(K181="diesel",BU181=0),MIN(BR181,NEUTRO),BR181)</f>
        <v/>
      </c>
      <c r="BW181" s="4">
        <f>MAX(0,MIN(100,BV181+BS181+BT181))</f>
        <v/>
      </c>
      <c r="BX181" s="3">
        <f>MAX(0,MIN(100,50+BK181*PRECIO_PEND))</f>
        <v/>
      </c>
      <c r="BY181" s="3">
        <f>MAX(0,100*(1-N181/KM_MAX))</f>
        <v/>
      </c>
      <c r="BZ181" s="3">
        <f>IF(BB181&lt;KMA_SOSP,IF(AA181="sí",100,KMA_PEN),IF(BB181&lt;=KMA_IDEAL_MAX,100,MAX(0,100*(KMA_CERO-BB181)/(KMA_CERO-KMA_IDEAL_MAX))))</f>
        <v/>
      </c>
      <c r="CA181" s="3">
        <f>MAX(0,MIN(100,100*(M181-ANIO_MIN)/(ANIO_ACTUAL-ANIO_MIN)))</f>
        <v/>
      </c>
      <c r="CB181" s="3">
        <f>W_KMT*BY181+W_KMA*BZ181+W_EDAD*CA181</f>
        <v/>
      </c>
      <c r="CC181" s="3">
        <f>P_ITV*(V181="sí")+P_LIBRO*(W181="sí")+P_CORREA*(X181="sí")+P_PROP*(Y181=1)+P_GAR*(Z181="sí")+P_FOTOS*MIN(1,N(U181)/FOTOS_OBJ)</f>
        <v/>
      </c>
      <c r="CD181" s="3">
        <f>MAX(0,MIN(100,IFERROR(VLOOKUP(BP181,ETQ_TBL,2,0),0)-IF(BQ181="sí",ETQ_PEN_DUD,IF(AS181="regla",ETQ_PEN_REGLA,0))))</f>
        <v/>
      </c>
      <c r="CE181" s="3">
        <f>NEUTRO</f>
        <v/>
      </c>
      <c r="CF181" s="3">
        <f>IFERROR(VLOOKUP(L181,SEGURO_TBL,3,0),"")</f>
        <v/>
      </c>
      <c r="CG181" s="3">
        <f>IF(CF181="",NEUTRO,MAX(0,MIN(100,100*(SEG_REF_MAX-CF181)/(SEG_REF_MAX-SEG_REF_MIN))))</f>
        <v/>
      </c>
      <c r="CH181" s="3">
        <f>W_CONS*CE181+W_SEG*CG181</f>
        <v/>
      </c>
      <c r="CI181" s="3">
        <f>IF(N(AB181)&gt;0,AB181,IF(AND(R181="profesional",SG_LEGAL_ON=1),GAR_LEGAL,0))</f>
        <v/>
      </c>
      <c r="CJ181" s="3">
        <f>SG_GAR*MIN(1,CI181/SG_GAR_FULL)+SG_AMPL*(AC181="sí")+SG_KMC*(AF181="sí")+SG_REV*(N(AE181)&gt;0)+SG_DEV*MIN(1,N(AG181)/SG_DEV_FULL)+SG_HIST*(W181="sí")</f>
        <v/>
      </c>
      <c r="CK181" s="3">
        <f>IFERROR(VLOOKUP(L181,CARR_PEN_TBL,2,0),0)</f>
        <v/>
      </c>
      <c r="CL181" s="3">
        <f>W_FIAB*BW181+W_PRECIO*BX181+W_KMEDAD*CB181+W_ANUNCIO*CC181+W_USO*CH181+W_SEGURIDAD*CJ181+W_ETIQUETA*CD181-CK181</f>
        <v/>
      </c>
      <c r="CM181" s="4">
        <f>IF(N(I181)&gt;0,I181,IFERROR(ROUND(_xlfn.NUMBERVALUE(LEFT(G181,FIND(" ",G181&amp;" ")-1),".")*1000,0),99999))</f>
        <v/>
      </c>
      <c r="CN181" s="3">
        <f>IF(R181="profesional",0,IF(O181&lt;CUOTA_VALOR_MAX,IF(BA181&gt;ITP_TRAMO_ALTO,SUMIFS(CF_CUOTA,CF_MAS,ITP_TRAMO_ALTO,CF_CCMIN,"&lt;="&amp;CM181,CF_CCMAX,"&gt;="&amp;CM181),IF(BA181&gt;ITP_TRAMO_BAJO,SUMIFS(CF_CUOTA,CF_MAS,ITP_TRAMO_BAJO,CF_CCMIN,"&lt;="&amp;CM181,CF_CCMAX,"&gt;="&amp;CM181),O181*ITP_TIPO)),O181*ITP_TIPO))</f>
        <v/>
      </c>
      <c r="CO181" s="4">
        <f>IF(R181="profesional",N(AK181),0)</f>
        <v/>
      </c>
      <c r="CP181" s="3">
        <f>IF(AND(R181="profesional",ISNUMBER(AK181),AL181="sí"),0,TASA_DGT)</f>
        <v/>
      </c>
      <c r="CQ181" s="3">
        <f>INFORME_DGT</f>
        <v/>
      </c>
      <c r="CR181" s="4">
        <f>O181+CO181+CN181+CP181+CQ181</f>
        <v/>
      </c>
      <c r="CS181" s="4">
        <f>CR181+N(CF181)</f>
        <v/>
      </c>
      <c r="CT181" s="3">
        <f>IF(CR181&lt;=TOTAL_MAX,"sí",IF(CR181&lt;=TOTAL_MAX+MARGEN_NEG,"negociar","no"))</f>
        <v/>
      </c>
      <c r="CU181" s="4">
        <f>IF(CT181&lt;&gt;"no",COUNTIFS($CT$2:$CT$545,"&lt;&gt;no",$CL$2:$CL$545,"&gt;"&amp;CL181)+COUNTIFS($CT$2:CT181,"&lt;&gt;no",$CL$2:CL181,CL181),"")</f>
        <v/>
      </c>
    </row>
    <row r="182">
      <c r="A182" s="2" t="inlineStr">
        <is>
          <t>wallapop:1292118678</t>
        </is>
      </c>
      <c r="B182" s="2" t="inlineStr">
        <is>
          <t>wallapop</t>
        </is>
      </c>
      <c r="C182" s="2" t="inlineStr">
        <is>
          <t>https://es.wallapop.com/item/peugeot-208-peugeot-208-5p-style-1-4-hdi-68-1292118678</t>
        </is>
      </c>
      <c r="D182" s="2" t="inlineStr">
        <is>
          <t>Peugeot 208 Peugeot 208 5P STYLE 1.4 HDi 68</t>
        </is>
      </c>
      <c r="E182" s="2" t="inlineStr">
        <is>
          <t>Peugeot</t>
        </is>
      </c>
      <c r="F182" s="2" t="inlineStr">
        <is>
          <t>Peugeot 208</t>
        </is>
      </c>
      <c r="G182" s="2" t="inlineStr">
        <is>
          <t>1.4 HDi</t>
        </is>
      </c>
      <c r="H182" s="2" t="inlineStr">
        <is>
          <t>Peugeot 208 5P STYLE 1.4 HDi 68</t>
        </is>
      </c>
      <c r="I182" s="2" t="n"/>
      <c r="J182" s="2" t="n">
        <v>68</v>
      </c>
      <c r="K182" s="2" t="inlineStr">
        <is>
          <t>diesel</t>
        </is>
      </c>
      <c r="L182" s="2" t="inlineStr">
        <is>
          <t>utilitario</t>
        </is>
      </c>
      <c r="M182" s="2" t="n">
        <v>2014</v>
      </c>
      <c r="N182" s="2" t="n">
        <v>143000</v>
      </c>
      <c r="O182" s="2" t="n">
        <v>4950</v>
      </c>
      <c r="P182" s="2" t="inlineStr">
        <is>
          <t>manual</t>
        </is>
      </c>
      <c r="Q182" s="2" t="inlineStr">
        <is>
          <t>no</t>
        </is>
      </c>
      <c r="R182" s="2" t="inlineStr">
        <is>
          <t>profesional</t>
        </is>
      </c>
      <c r="S182" s="2" t="inlineStr">
        <is>
          <t>Manises (46940)</t>
        </is>
      </c>
      <c r="T182" s="2" t="inlineStr">
        <is>
          <t>2026-10-30T18:10:05</t>
        </is>
      </c>
      <c r="U182" s="2" t="n">
        <v>11</v>
      </c>
      <c r="V182" s="2" t="n"/>
      <c r="W182" s="2" t="inlineStr">
        <is>
          <t>sí</t>
        </is>
      </c>
      <c r="X182" s="2" t="n"/>
      <c r="Y182" s="2" t="n"/>
      <c r="Z182" s="2" t="inlineStr">
        <is>
          <t>sí</t>
        </is>
      </c>
      <c r="AA182" s="2" t="n"/>
      <c r="AB182" s="2" t="n"/>
      <c r="AC182" s="2" t="n"/>
      <c r="AD182" s="2" t="n"/>
      <c r="AE182" s="2" t="n"/>
      <c r="AF182" s="2" t="n"/>
      <c r="AG182" s="2" t="n"/>
      <c r="AH182" s="2" t="n"/>
      <c r="AI182" s="2" t="n"/>
      <c r="AJ182" s="2" t="n"/>
      <c r="AK182" s="2" t="n"/>
      <c r="AL182" s="2" t="n"/>
      <c r="AM182" s="2" t="n">
        <v>7.2</v>
      </c>
      <c r="AN182" s="2" t="n"/>
      <c r="AO182" s="2" t="inlineStr">
        <is>
          <t>2014</t>
        </is>
      </c>
      <c r="AP182" s="2" t="n">
        <v>2014</v>
      </c>
      <c r="AQ182" s="2" t="n"/>
      <c r="AR182" s="2" t="n"/>
      <c r="AS182" s="2" t="inlineStr">
        <is>
          <t>regla</t>
        </is>
      </c>
      <c r="AT182" s="2" t="n">
        <v>5990</v>
      </c>
      <c r="AU182" s="2" t="n">
        <v>17</v>
      </c>
      <c r="AV182" s="2" t="inlineStr">
        <is>
          <t>modelo+año+km</t>
        </is>
      </c>
      <c r="AW182" s="2" t="inlineStr">
        <is>
          <t>autoscout24:64e6b0a8-18eb-4eb0-be8b-355ee5efba37 (https://www.autoscout24.es/anuncios/peugeot-208-5p-style-1-4-hdi-68-diesel-blanco-cat_ma55mo20057-64e6b0a8-18eb-4eb0-be8b-355ee5efba37)</t>
        </is>
      </c>
      <c r="AX182" s="2" t="inlineStr">
        <is>
          <t>por encima del presupuesto (5014 €), negociar; vendedor profesional: sin ITP (operación con IVA/REBU, confirmar en factura); gastos de gestión del vendedor no indicados: se suma la tasa DGT; preguntar el precio final; diésel: motor sin fuente de fiabilidad (fiabilidad limitada a neutra)</t>
        </is>
      </c>
      <c r="AY182" s="2" t="inlineStr">
        <is>
          <t>✅-Con la posibilidad de financiar desde 95€/mes🤝🚗
!!!ATENCIÓN VEHICULO COMERCIAL !!
💥-PEUGEOT 208(comercial)2 plazas 
💥-12-2014
💥-142.000 KILÓMETROS 
💥-1.4 HDI 68CV
💥-MANTENIMIENTO AL DÍA 
💥-1 AÑO GARANTÍA!!✅ 
💥-4950€
-aceptamos coche inferior como parte de pago 🤝🚗
-tiktok @eurocochesmanival
- instagram @eloy_manival
(Mini,208,Clío,micra,Ibiza,kalos,picanto,i10,i20,Mazda 2,Golf,polo,a3,Leon,Ibiza,i30,Astra,Megane,adam,c2,c3,punto,fabia,mg3,colt,evo 3,panda,aveo,duster)</t>
        </is>
      </c>
      <c r="AZ182" s="2" t="inlineStr">
        <is>
          <t>https://es.wallapop.com/item/peugeot-208-peugeot-208-5p-style-1-4-hdi-68-1292118678 (__NEXT_DATA__ item) /home/user/Alopecia/buscador-coches/raw/wallapop/057cbbee9d634e7b.json</t>
        </is>
      </c>
      <c r="BA182" s="3">
        <f>MAX(ANIO_ACTUAL-M182,0)</f>
        <v/>
      </c>
      <c r="BB182" s="4">
        <f>N182/MAX(BA182,0.5)</f>
        <v/>
      </c>
      <c r="BC182" s="4">
        <f>F182</f>
        <v/>
      </c>
      <c r="BD182" s="3">
        <f>BC182&amp;"|"&amp;INT(M182/SEG_ANIO)*SEG_ANIO</f>
        <v/>
      </c>
      <c r="BE182" s="3">
        <f>BD182&amp;"|"&amp;INT(N182/SEG_KM)*SEG_KM</f>
        <v/>
      </c>
      <c r="BF182" s="4">
        <f>COUNTIF($BC$2:$BC$545,BC182)</f>
        <v/>
      </c>
      <c r="BG182" s="4">
        <f>COUNTIF($BD$2:$BD$545,BD182)</f>
        <v/>
      </c>
      <c r="BH182" s="4">
        <f>COUNTIF($BE$2:$BE$545,BE182)</f>
        <v/>
      </c>
      <c r="BI182" s="3">
        <f t="array" ref="BI182">IF(N(AU182)&gt;=MIN_N,AT182,IF(BH182&gt;=MIN_N,MEDIAN(IF($BE$2:$BE$545=BE182,$O$2:$O$545)),IF(BG182&gt;=MIN_N,MEDIAN(IF($BD$2:$BD$545=BD182,$O$2:$O$545)),MEDIAN(IF($BC$2:$BC$545=BC182,$O$2:$O$545)))))</f>
        <v/>
      </c>
      <c r="BJ182" s="3">
        <f>IF(N(AU182)&gt;=MIN_N,"mercado "&amp;AV182,IF(BH182&gt;=MIN_N,"modelo+año+km",IF(BG182&gt;=MIN_N,"modelo+año","modelo")))</f>
        <v/>
      </c>
      <c r="BK182" s="4">
        <f>(BI182-O182)/BI182</f>
        <v/>
      </c>
      <c r="BL182" s="3">
        <f>IF(COUNTIFS(FR_FUEL,K182,FR_YEAR,AP182)&gt;0,1,0)</f>
        <v/>
      </c>
      <c r="BM182" s="3">
        <f>IF(COUNTIFS(FR_FUEL,K182,FR_YEAR,AP182-1)&gt;0,1,0)</f>
        <v/>
      </c>
      <c r="BN182" s="4">
        <f>IF(N(AQ182)&gt;0,AP182*100+AQ182,IF(AND(BL182=1,BM182=1),(AP182-1)*100+1,AP182*100+1))</f>
        <v/>
      </c>
      <c r="BO182" s="3">
        <f>IF(OR(K182="hibrido",K182="glp",K182="gnc",K182="phev"),"ECO",IF(K182="electrico","CERO",IF(K182="gasolina",IF(BN182&gt;=GAS_C_YM,"C",IF(BN182&gt;=GAS_B_YM,"B","A")),IF(K182="diesel",IF(BN182&gt;=DIE_C_YM,"C",IF(BN182&gt;=DIE_B_YM,"B","A")),""))))</f>
        <v/>
      </c>
      <c r="BP182" s="4">
        <f>BO182</f>
        <v/>
      </c>
      <c r="BQ182" s="4">
        <f>IF(AS182="regla",IF(AND(N(AQ182)=0,BL182=1),"sí","no"),"no")</f>
        <v/>
      </c>
      <c r="BR182" s="3">
        <f>IFERROR(VLOOKUP(F182,MOD_TBL,11,0),IFERROR(VLOOKUP(E182,OCU_TBL,2,0),NEUTRO))</f>
        <v/>
      </c>
      <c r="BS182" s="3">
        <f>SUMIFS(MOT_AJUSTE,MOT_MOTOR,G182,MOT_MARCA,E182,MOT_DESDE,"&lt;="&amp;M182,MOT_HASTA,"&gt;="&amp;M182)+SUMIFS(MOT_AJUSTE,MOT_MOTOR,G182,MOT_MARCA,"(todas)",MOT_DESDE,"&lt;="&amp;M182,MOT_HASTA,"&gt;="&amp;M182)</f>
        <v/>
      </c>
      <c r="BT182" s="3">
        <f>SUMIFS(COMB_AJUSTE,COMB_COMB,K182)</f>
        <v/>
      </c>
      <c r="BU182" s="3">
        <f>COUNTIFS(MOT_MOTOR,G182,MOT_MARCA,E182,MOT_DESDE,"&lt;="&amp;M182,MOT_HASTA,"&gt;="&amp;M182)+COUNTIFS(MOT_MOTOR,G182,MOT_MARCA,"(todas)",MOT_DESDE,"&lt;="&amp;M182,MOT_HASTA,"&gt;="&amp;M182)</f>
        <v/>
      </c>
      <c r="BV182" s="3">
        <f>IF(AND(K182="diesel",BU182=0),MIN(BR182,NEUTRO),BR182)</f>
        <v/>
      </c>
      <c r="BW182" s="4">
        <f>MAX(0,MIN(100,BV182+BS182+BT182))</f>
        <v/>
      </c>
      <c r="BX182" s="3">
        <f>MAX(0,MIN(100,50+BK182*PRECIO_PEND))</f>
        <v/>
      </c>
      <c r="BY182" s="3">
        <f>MAX(0,100*(1-N182/KM_MAX))</f>
        <v/>
      </c>
      <c r="BZ182" s="3">
        <f>IF(BB182&lt;KMA_SOSP,IF(AA182="sí",100,KMA_PEN),IF(BB182&lt;=KMA_IDEAL_MAX,100,MAX(0,100*(KMA_CERO-BB182)/(KMA_CERO-KMA_IDEAL_MAX))))</f>
        <v/>
      </c>
      <c r="CA182" s="3">
        <f>MAX(0,MIN(100,100*(M182-ANIO_MIN)/(ANIO_ACTUAL-ANIO_MIN)))</f>
        <v/>
      </c>
      <c r="CB182" s="3">
        <f>W_KMT*BY182+W_KMA*BZ182+W_EDAD*CA182</f>
        <v/>
      </c>
      <c r="CC182" s="3">
        <f>P_ITV*(V182="sí")+P_LIBRO*(W182="sí")+P_CORREA*(X182="sí")+P_PROP*(Y182=1)+P_GAR*(Z182="sí")+P_FOTOS*MIN(1,N(U182)/FOTOS_OBJ)</f>
        <v/>
      </c>
      <c r="CD182" s="3">
        <f>MAX(0,MIN(100,IFERROR(VLOOKUP(BP182,ETQ_TBL,2,0),0)-IF(BQ182="sí",ETQ_PEN_DUD,IF(AS182="regla",ETQ_PEN_REGLA,0))))</f>
        <v/>
      </c>
      <c r="CE182" s="3">
        <f>NEUTRO</f>
        <v/>
      </c>
      <c r="CF182" s="3">
        <f>IFERROR(VLOOKUP(L182,SEGURO_TBL,3,0),"")</f>
        <v/>
      </c>
      <c r="CG182" s="3">
        <f>IF(CF182="",NEUTRO,MAX(0,MIN(100,100*(SEG_REF_MAX-CF182)/(SEG_REF_MAX-SEG_REF_MIN))))</f>
        <v/>
      </c>
      <c r="CH182" s="3">
        <f>W_CONS*CE182+W_SEG*CG182</f>
        <v/>
      </c>
      <c r="CI182" s="3">
        <f>IF(N(AB182)&gt;0,AB182,IF(AND(R182="profesional",SG_LEGAL_ON=1),GAR_LEGAL,0))</f>
        <v/>
      </c>
      <c r="CJ182" s="3">
        <f>SG_GAR*MIN(1,CI182/SG_GAR_FULL)+SG_AMPL*(AC182="sí")+SG_KMC*(AF182="sí")+SG_REV*(N(AE182)&gt;0)+SG_DEV*MIN(1,N(AG182)/SG_DEV_FULL)+SG_HIST*(W182="sí")</f>
        <v/>
      </c>
      <c r="CK182" s="3">
        <f>IFERROR(VLOOKUP(L182,CARR_PEN_TBL,2,0),0)</f>
        <v/>
      </c>
      <c r="CL182" s="3">
        <f>W_FIAB*BW182+W_PRECIO*BX182+W_KMEDAD*CB182+W_ANUNCIO*CC182+W_USO*CH182+W_SEGURIDAD*CJ182+W_ETIQUETA*CD182-CK182</f>
        <v/>
      </c>
      <c r="CM182" s="4">
        <f>IF(N(I182)&gt;0,I182,IFERROR(ROUND(_xlfn.NUMBERVALUE(LEFT(G182,FIND(" ",G182&amp;" ")-1),".")*1000,0),99999))</f>
        <v/>
      </c>
      <c r="CN182" s="3">
        <f>IF(R182="profesional",0,IF(O182&lt;CUOTA_VALOR_MAX,IF(BA182&gt;ITP_TRAMO_ALTO,SUMIFS(CF_CUOTA,CF_MAS,ITP_TRAMO_ALTO,CF_CCMIN,"&lt;="&amp;CM182,CF_CCMAX,"&gt;="&amp;CM182),IF(BA182&gt;ITP_TRAMO_BAJO,SUMIFS(CF_CUOTA,CF_MAS,ITP_TRAMO_BAJO,CF_CCMIN,"&lt;="&amp;CM182,CF_CCMAX,"&gt;="&amp;CM182),O182*ITP_TIPO)),O182*ITP_TIPO))</f>
        <v/>
      </c>
      <c r="CO182" s="4">
        <f>IF(R182="profesional",N(AK182),0)</f>
        <v/>
      </c>
      <c r="CP182" s="3">
        <f>IF(AND(R182="profesional",ISNUMBER(AK182),AL182="sí"),0,TASA_DGT)</f>
        <v/>
      </c>
      <c r="CQ182" s="3">
        <f>INFORME_DGT</f>
        <v/>
      </c>
      <c r="CR182" s="4">
        <f>O182+CO182+CN182+CP182+CQ182</f>
        <v/>
      </c>
      <c r="CS182" s="4">
        <f>CR182+N(CF182)</f>
        <v/>
      </c>
      <c r="CT182" s="3">
        <f>IF(CR182&lt;=TOTAL_MAX,"sí",IF(CR182&lt;=TOTAL_MAX+MARGEN_NEG,"negociar","no"))</f>
        <v/>
      </c>
      <c r="CU182" s="4">
        <f>IF(CT182&lt;&gt;"no",COUNTIFS($CT$2:$CT$545,"&lt;&gt;no",$CL$2:$CL$545,"&gt;"&amp;CL182)+COUNTIFS($CT$2:CT182,"&lt;&gt;no",$CL$2:CL182,CL182),"")</f>
        <v/>
      </c>
    </row>
    <row r="183">
      <c r="A183" s="2" t="inlineStr">
        <is>
          <t>autoscout24:5841fd8c-320a-4c8a-a7c4-7b12eb8db74e</t>
        </is>
      </c>
      <c r="B183" s="2" t="inlineStr">
        <is>
          <t>autoscout24</t>
        </is>
      </c>
      <c r="C183" s="2" t="inlineStr">
        <is>
          <t>https://www.autoscout24.es/anuncios/citroen-c4-picasso-1-6-vti-seduction-gasolina-gris-cat_ma21mo18545-5841fd8c-320a-4c8a-a7c4-7b12eb8db74e</t>
        </is>
      </c>
      <c r="D183" s="2" t="inlineStr">
        <is>
          <t>Citroën C4 Picasso 1.6 VTi Seduction</t>
        </is>
      </c>
      <c r="E183" s="2" t="inlineStr">
        <is>
          <t>Citroën</t>
        </is>
      </c>
      <c r="F183" s="2" t="inlineStr">
        <is>
          <t>Citroën C4</t>
        </is>
      </c>
      <c r="G183" s="2" t="inlineStr">
        <is>
          <t>1.6 VTi</t>
        </is>
      </c>
      <c r="H183" s="2" t="inlineStr">
        <is>
          <t>Picasso 1.6 VTi Seduction 120</t>
        </is>
      </c>
      <c r="I183" s="2" t="n">
        <v>1598</v>
      </c>
      <c r="J183" s="2" t="n">
        <v>120</v>
      </c>
      <c r="K183" s="2" t="inlineStr">
        <is>
          <t>gasolina</t>
        </is>
      </c>
      <c r="L183" s="2" t="inlineStr">
        <is>
          <t>compacto</t>
        </is>
      </c>
      <c r="M183" s="2" t="n">
        <v>2012</v>
      </c>
      <c r="N183" s="2" t="n">
        <v>153339</v>
      </c>
      <c r="O183" s="2" t="n">
        <v>5200</v>
      </c>
      <c r="P183" s="2" t="inlineStr">
        <is>
          <t>manual</t>
        </is>
      </c>
      <c r="Q183" s="2" t="inlineStr">
        <is>
          <t>no</t>
        </is>
      </c>
      <c r="R183" s="2" t="inlineStr">
        <is>
          <t>profesional</t>
        </is>
      </c>
      <c r="S183" s="2" t="inlineStr">
        <is>
          <t>OCASIONPLUS VILLAREAL 2 — VILA-REAL (12540)</t>
        </is>
      </c>
      <c r="T183" s="2" t="n"/>
      <c r="U183" s="2" t="n">
        <v>10</v>
      </c>
      <c r="V183" s="2" t="n"/>
      <c r="W183" s="2" t="inlineStr">
        <is>
          <t>sí</t>
        </is>
      </c>
      <c r="X183" s="2" t="n"/>
      <c r="Y183" s="2" t="n">
        <v>1</v>
      </c>
      <c r="Z183" s="2" t="inlineStr">
        <is>
          <t>sí</t>
        </is>
      </c>
      <c r="AA183" s="2" t="n"/>
      <c r="AB183" s="2" t="n">
        <v>12</v>
      </c>
      <c r="AC183" s="2" t="n"/>
      <c r="AD183" s="2" t="n"/>
      <c r="AE183" s="2" t="n"/>
      <c r="AF183" s="2" t="inlineStr">
        <is>
          <t>sí</t>
        </is>
      </c>
      <c r="AG183" s="2" t="n"/>
      <c r="AH183" s="2" t="n">
        <v>5200</v>
      </c>
      <c r="AI183" s="2" t="n"/>
      <c r="AJ183" s="2" t="n"/>
      <c r="AK183" s="2" t="n"/>
      <c r="AL183" s="2" t="n"/>
      <c r="AM183" s="2" t="n">
        <v>58.2</v>
      </c>
      <c r="AN183" s="2" t="inlineStr">
        <is>
          <t>1000KMS</t>
        </is>
      </c>
      <c r="AO183" s="2" t="inlineStr">
        <is>
          <t>2012-02</t>
        </is>
      </c>
      <c r="AP183" s="2" t="n">
        <v>2012</v>
      </c>
      <c r="AQ183" s="2" t="n">
        <v>2</v>
      </c>
      <c r="AR183" s="2" t="inlineStr">
        <is>
          <t>B</t>
        </is>
      </c>
      <c r="AS183" s="2" t="inlineStr">
        <is>
          <t>DGT</t>
        </is>
      </c>
      <c r="AT183" s="2" t="n">
        <v>5800</v>
      </c>
      <c r="AU183" s="2" t="n">
        <v>7</v>
      </c>
      <c r="AV183" s="2" t="inlineStr">
        <is>
          <t>modelo+año+km</t>
        </is>
      </c>
      <c r="AW183" s="2" t="n"/>
      <c r="AX183" s="2" t="inlineStr">
        <is>
          <t>por encima del presupuesto (5264 €), negociar; vendedor profesional: sin ITP (operación con IVA/REBU, confirmar en factura); gastos de gestión del vendedor no indicados: se suma la tasa DGT; preguntar el precio final; fiabilidad del modelo PENDIENTE de fuente (puntuación neutra)</t>
        </is>
      </c>
      <c r="AY183" s="2" t="inlineStr">
        <is>
          <t xml:space="preserve">&lt;strong&gt;Precio al contado: 5200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590€ de descuento en este coche&lt;br /&gt;&lt;br /&gt;ADEMÁS, HACEMOS LAS MEJORES FINANCIACIONES DEL MERCADO, PREGÚNTANOS!!&lt;br /&gt;&lt;br /&gt;            Equipamiento destacado: Encendido automático de faros, Sensor de lluvia, Control de velocidad, Volante multifunción, Aire Acondicionado (Climatizador), Bluetooth, Elevalunas eléctrico, Llantas de aleación (16&amp;quot;).&lt;br /&gt;&lt;br /&gt;                - Coche Nacional, Historial Mantenimiento, Único propietario.&lt;br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Encendido automático de </t>
        </is>
      </c>
      <c r="AZ183" s="2" t="inlineStr">
        <is>
          <t>https://www.autoscout24.es/anuncios/citroen-c4-picasso-1-6-vti-seduction-gasolina-gris-cat_ma21mo18545-5841fd8c-320a-4c8a-a7c4-7b12eb8db74e (__NEXT_DATA__ listingDetails) /home/user/Alopecia/buscador-coches/raw/autoscout24/ad2b065bc4c44de4.json</t>
        </is>
      </c>
      <c r="BA183" s="3">
        <f>MAX(ANIO_ACTUAL-M183,0)</f>
        <v/>
      </c>
      <c r="BB183" s="4">
        <f>N183/MAX(BA183,0.5)</f>
        <v/>
      </c>
      <c r="BC183" s="4">
        <f>F183</f>
        <v/>
      </c>
      <c r="BD183" s="3">
        <f>BC183&amp;"|"&amp;INT(M183/SEG_ANIO)*SEG_ANIO</f>
        <v/>
      </c>
      <c r="BE183" s="3">
        <f>BD183&amp;"|"&amp;INT(N183/SEG_KM)*SEG_KM</f>
        <v/>
      </c>
      <c r="BF183" s="4">
        <f>COUNTIF($BC$2:$BC$545,BC183)</f>
        <v/>
      </c>
      <c r="BG183" s="4">
        <f>COUNTIF($BD$2:$BD$545,BD183)</f>
        <v/>
      </c>
      <c r="BH183" s="4">
        <f>COUNTIF($BE$2:$BE$545,BE183)</f>
        <v/>
      </c>
      <c r="BI183" s="3">
        <f t="array" ref="BI183">IF(N(AU183)&gt;=MIN_N,AT183,IF(BH183&gt;=MIN_N,MEDIAN(IF($BE$2:$BE$545=BE183,$O$2:$O$545)),IF(BG183&gt;=MIN_N,MEDIAN(IF($BD$2:$BD$545=BD183,$O$2:$O$545)),MEDIAN(IF($BC$2:$BC$545=BC183,$O$2:$O$545)))))</f>
        <v/>
      </c>
      <c r="BJ183" s="3">
        <f>IF(N(AU183)&gt;=MIN_N,"mercado "&amp;AV183,IF(BH183&gt;=MIN_N,"modelo+año+km",IF(BG183&gt;=MIN_N,"modelo+año","modelo")))</f>
        <v/>
      </c>
      <c r="BK183" s="4">
        <f>(BI183-O183)/BI183</f>
        <v/>
      </c>
      <c r="BL183" s="3">
        <f>IF(COUNTIFS(FR_FUEL,K183,FR_YEAR,AP183)&gt;0,1,0)</f>
        <v/>
      </c>
      <c r="BM183" s="3">
        <f>IF(COUNTIFS(FR_FUEL,K183,FR_YEAR,AP183-1)&gt;0,1,0)</f>
        <v/>
      </c>
      <c r="BN183" s="4">
        <f>IF(N(AQ183)&gt;0,AP183*100+AQ183,IF(AND(BL183=1,BM183=1),(AP183-1)*100+1,AP183*100+1))</f>
        <v/>
      </c>
      <c r="BO183" s="3">
        <f>IF(OR(K183="hibrido",K183="glp",K183="gnc",K183="phev"),"ECO",IF(K183="electrico","CERO",IF(K183="gasolina",IF(BN183&gt;=GAS_C_YM,"C",IF(BN183&gt;=GAS_B_YM,"B","A")),IF(K183="diesel",IF(BN183&gt;=DIE_C_YM,"C",IF(BN183&gt;=DIE_B_YM,"B","A")),""))))</f>
        <v/>
      </c>
      <c r="BP183" s="2" t="inlineStr">
        <is>
          <t>B</t>
        </is>
      </c>
      <c r="BQ183" s="4">
        <f>IF(AS183="regla",IF(AND(N(AQ183)=0,BL183=1),"sí","no"),"no")</f>
        <v/>
      </c>
      <c r="BR183" s="3">
        <f>IFERROR(VLOOKUP(F183,MOD_TBL,11,0),IFERROR(VLOOKUP(E183,OCU_TBL,2,0),NEUTRO))</f>
        <v/>
      </c>
      <c r="BS183" s="3">
        <f>SUMIFS(MOT_AJUSTE,MOT_MOTOR,G183,MOT_MARCA,E183,MOT_DESDE,"&lt;="&amp;M183,MOT_HASTA,"&gt;="&amp;M183)+SUMIFS(MOT_AJUSTE,MOT_MOTOR,G183,MOT_MARCA,"(todas)",MOT_DESDE,"&lt;="&amp;M183,MOT_HASTA,"&gt;="&amp;M183)</f>
        <v/>
      </c>
      <c r="BT183" s="3">
        <f>SUMIFS(COMB_AJUSTE,COMB_COMB,K183)</f>
        <v/>
      </c>
      <c r="BU183" s="3">
        <f>COUNTIFS(MOT_MOTOR,G183,MOT_MARCA,E183,MOT_DESDE,"&lt;="&amp;M183,MOT_HASTA,"&gt;="&amp;M183)+COUNTIFS(MOT_MOTOR,G183,MOT_MARCA,"(todas)",MOT_DESDE,"&lt;="&amp;M183,MOT_HASTA,"&gt;="&amp;M183)</f>
        <v/>
      </c>
      <c r="BV183" s="3">
        <f>IF(AND(K183="diesel",BU183=0),MIN(BR183,NEUTRO),BR183)</f>
        <v/>
      </c>
      <c r="BW183" s="4">
        <f>MAX(0,MIN(100,BV183+BS183+BT183))</f>
        <v/>
      </c>
      <c r="BX183" s="3">
        <f>MAX(0,MIN(100,50+BK183*PRECIO_PEND))</f>
        <v/>
      </c>
      <c r="BY183" s="3">
        <f>MAX(0,100*(1-N183/KM_MAX))</f>
        <v/>
      </c>
      <c r="BZ183" s="3">
        <f>IF(BB183&lt;KMA_SOSP,IF(AA183="sí",100,KMA_PEN),IF(BB183&lt;=KMA_IDEAL_MAX,100,MAX(0,100*(KMA_CERO-BB183)/(KMA_CERO-KMA_IDEAL_MAX))))</f>
        <v/>
      </c>
      <c r="CA183" s="3">
        <f>MAX(0,MIN(100,100*(M183-ANIO_MIN)/(ANIO_ACTUAL-ANIO_MIN)))</f>
        <v/>
      </c>
      <c r="CB183" s="3">
        <f>W_KMT*BY183+W_KMA*BZ183+W_EDAD*CA183</f>
        <v/>
      </c>
      <c r="CC183" s="3">
        <f>P_ITV*(V183="sí")+P_LIBRO*(W183="sí")+P_CORREA*(X183="sí")+P_PROP*(Y183=1)+P_GAR*(Z183="sí")+P_FOTOS*MIN(1,N(U183)/FOTOS_OBJ)</f>
        <v/>
      </c>
      <c r="CD183" s="3">
        <f>MAX(0,MIN(100,IFERROR(VLOOKUP(BP183,ETQ_TBL,2,0),0)-IF(BQ183="sí",ETQ_PEN_DUD,IF(AS183="regla",ETQ_PEN_REGLA,0))))</f>
        <v/>
      </c>
      <c r="CE183" s="3">
        <f>NEUTRO</f>
        <v/>
      </c>
      <c r="CF183" s="3">
        <f>IFERROR(VLOOKUP(L183,SEGURO_TBL,3,0),"")</f>
        <v/>
      </c>
      <c r="CG183" s="3">
        <f>IF(CF183="",NEUTRO,MAX(0,MIN(100,100*(SEG_REF_MAX-CF183)/(SEG_REF_MAX-SEG_REF_MIN))))</f>
        <v/>
      </c>
      <c r="CH183" s="3">
        <f>W_CONS*CE183+W_SEG*CG183</f>
        <v/>
      </c>
      <c r="CI183" s="3">
        <f>IF(N(AB183)&gt;0,AB183,IF(AND(R183="profesional",SG_LEGAL_ON=1),GAR_LEGAL,0))</f>
        <v/>
      </c>
      <c r="CJ183" s="3">
        <f>SG_GAR*MIN(1,CI183/SG_GAR_FULL)+SG_AMPL*(AC183="sí")+SG_KMC*(AF183="sí")+SG_REV*(N(AE183)&gt;0)+SG_DEV*MIN(1,N(AG183)/SG_DEV_FULL)+SG_HIST*(W183="sí")</f>
        <v/>
      </c>
      <c r="CK183" s="3">
        <f>IFERROR(VLOOKUP(L183,CARR_PEN_TBL,2,0),0)</f>
        <v/>
      </c>
      <c r="CL183" s="3">
        <f>W_FIAB*BW183+W_PRECIO*BX183+W_KMEDAD*CB183+W_ANUNCIO*CC183+W_USO*CH183+W_SEGURIDAD*CJ183+W_ETIQUETA*CD183-CK183</f>
        <v/>
      </c>
      <c r="CM183" s="4">
        <f>IF(N(I183)&gt;0,I183,IFERROR(ROUND(_xlfn.NUMBERVALUE(LEFT(G183,FIND(" ",G183&amp;" ")-1),".")*1000,0),99999))</f>
        <v/>
      </c>
      <c r="CN183" s="3">
        <f>IF(R183="profesional",0,IF(O183&lt;CUOTA_VALOR_MAX,IF(BA183&gt;ITP_TRAMO_ALTO,SUMIFS(CF_CUOTA,CF_MAS,ITP_TRAMO_ALTO,CF_CCMIN,"&lt;="&amp;CM183,CF_CCMAX,"&gt;="&amp;CM183),IF(BA183&gt;ITP_TRAMO_BAJO,SUMIFS(CF_CUOTA,CF_MAS,ITP_TRAMO_BAJO,CF_CCMIN,"&lt;="&amp;CM183,CF_CCMAX,"&gt;="&amp;CM183),O183*ITP_TIPO)),O183*ITP_TIPO))</f>
        <v/>
      </c>
      <c r="CO183" s="4">
        <f>IF(R183="profesional",N(AK183),0)</f>
        <v/>
      </c>
      <c r="CP183" s="3">
        <f>IF(AND(R183="profesional",ISNUMBER(AK183),AL183="sí"),0,TASA_DGT)</f>
        <v/>
      </c>
      <c r="CQ183" s="3">
        <f>INFORME_DGT</f>
        <v/>
      </c>
      <c r="CR183" s="4">
        <f>O183+CO183+CN183+CP183+CQ183</f>
        <v/>
      </c>
      <c r="CS183" s="4">
        <f>CR183+N(CF183)</f>
        <v/>
      </c>
      <c r="CT183" s="3">
        <f>IF(CR183&lt;=TOTAL_MAX,"sí",IF(CR183&lt;=TOTAL_MAX+MARGEN_NEG,"negociar","no"))</f>
        <v/>
      </c>
      <c r="CU183" s="4">
        <f>IF(CT183&lt;&gt;"no",COUNTIFS($CT$2:$CT$545,"&lt;&gt;no",$CL$2:$CL$545,"&gt;"&amp;CL183)+COUNTIFS($CT$2:CT183,"&lt;&gt;no",$CL$2:CL183,CL183),"")</f>
        <v/>
      </c>
    </row>
    <row r="184">
      <c r="A184" s="2" t="inlineStr">
        <is>
          <t>autoscout24:fbeb66a7-87cc-4112-9996-60701a77054b</t>
        </is>
      </c>
      <c r="B184" s="2" t="inlineStr">
        <is>
          <t>autoscout24</t>
        </is>
      </c>
      <c r="C184" s="2" t="inlineStr">
        <is>
          <t>https://www.autoscout24.es/anuncios/citroen-c2-1-4-16v-senso-drive-stop-und-start-gasolina-cat_ma21mo18373-fbeb66a7-87cc-4112-9996-60701a77054b</t>
        </is>
      </c>
      <c r="D184" s="2" t="inlineStr">
        <is>
          <t>Citroën C2 1.4 16V Senso Drive Stop und Start</t>
        </is>
      </c>
      <c r="E184" s="2" t="inlineStr">
        <is>
          <t>Citroën</t>
        </is>
      </c>
      <c r="F184" s="2" t="inlineStr">
        <is>
          <t>Citroën C2</t>
        </is>
      </c>
      <c r="G184" s="2" t="inlineStr">
        <is>
          <t>1.4</t>
        </is>
      </c>
      <c r="H184" s="2" t="inlineStr">
        <is>
          <t>1.4 16V Senso Drive Stop und Start</t>
        </is>
      </c>
      <c r="I184" s="2" t="n">
        <v>1360</v>
      </c>
      <c r="J184" s="2" t="n">
        <v>88</v>
      </c>
      <c r="K184" s="2" t="inlineStr">
        <is>
          <t>gasolina</t>
        </is>
      </c>
      <c r="L184" s="2" t="inlineStr">
        <is>
          <t>utilitario</t>
        </is>
      </c>
      <c r="M184" s="2" t="n">
        <v>2026</v>
      </c>
      <c r="N184" s="2" t="n">
        <v>32000</v>
      </c>
      <c r="O184" s="2" t="n">
        <v>2900</v>
      </c>
      <c r="P184" s="2" t="inlineStr">
        <is>
          <t>automatico</t>
        </is>
      </c>
      <c r="Q184" s="2" t="inlineStr">
        <is>
          <t>sí</t>
        </is>
      </c>
      <c r="R184" s="2" t="inlineStr">
        <is>
          <t>particular</t>
        </is>
      </c>
      <c r="S184" s="2" t="inlineStr">
        <is>
          <t>Aielo de Malferit (46812)</t>
        </is>
      </c>
      <c r="T184" s="2" t="n"/>
      <c r="U184" s="2" t="n">
        <v>10</v>
      </c>
      <c r="V184" s="2" t="n"/>
      <c r="W184" s="2" t="n"/>
      <c r="X184" s="2" t="n"/>
      <c r="Y184" s="2" t="n"/>
      <c r="Z184" s="2" t="n"/>
      <c r="AA184" s="2" t="n"/>
      <c r="AB184" s="2" t="n"/>
      <c r="AC184" s="2" t="n"/>
      <c r="AD184" s="2" t="n"/>
      <c r="AE184" s="2" t="n"/>
      <c r="AF184" s="2" t="n"/>
      <c r="AG184" s="2" t="n"/>
      <c r="AH184" s="2" t="n"/>
      <c r="AI184" s="2" t="n"/>
      <c r="AJ184" s="2" t="n"/>
      <c r="AK184" s="2" t="n"/>
      <c r="AL184" s="2" t="n"/>
      <c r="AM184" s="2" t="n">
        <v>68.5</v>
      </c>
      <c r="AN184" s="2" t="n"/>
      <c r="AO184" s="2" t="inlineStr">
        <is>
          <t>2026-06</t>
        </is>
      </c>
      <c r="AP184" s="2" t="n">
        <v>2026</v>
      </c>
      <c r="AQ184" s="2" t="n">
        <v>6</v>
      </c>
      <c r="AR184" s="2" t="n"/>
      <c r="AS184" s="2" t="inlineStr">
        <is>
          <t>regla</t>
        </is>
      </c>
      <c r="AT184" s="2" t="n"/>
      <c r="AU184" s="2" t="n"/>
      <c r="AV184" s="2" t="n"/>
      <c r="AW184" s="2" t="n"/>
      <c r="AX184" s="2" t="inlineStr">
        <is>
          <t>valor fiscal (precio medio Hacienda) PENDIENTE: base ITP = precio del anuncio; fiabilidad del modelo PENDIENTE de fuente (puntuación neutra); mediana con solo 1 anuncio(s)</t>
        </is>
      </c>
      <c r="AY184" s="2" t="inlineStr"/>
      <c r="AZ184" s="2" t="inlineStr">
        <is>
          <t>https://www.autoscout24.es/anuncios/citroen-c2-1-4-16v-senso-drive-stop-und-start-gasolina-cat_ma21mo18373-fbeb66a7-87cc-4112-9996-60701a77054b (__NEXT_DATA__ listingDetails) /home/user/Alopecia/buscador-coches/raw/autoscout24/eac188e4dad4101d.json</t>
        </is>
      </c>
      <c r="BA184" s="3">
        <f>MAX(ANIO_ACTUAL-M184,0)</f>
        <v/>
      </c>
      <c r="BB184" s="4">
        <f>N184/MAX(BA184,0.5)</f>
        <v/>
      </c>
      <c r="BC184" s="4">
        <f>F184</f>
        <v/>
      </c>
      <c r="BD184" s="3">
        <f>BC184&amp;"|"&amp;INT(M184/SEG_ANIO)*SEG_ANIO</f>
        <v/>
      </c>
      <c r="BE184" s="3">
        <f>BD184&amp;"|"&amp;INT(N184/SEG_KM)*SEG_KM</f>
        <v/>
      </c>
      <c r="BF184" s="4">
        <f>COUNTIF($BC$2:$BC$545,BC184)</f>
        <v/>
      </c>
      <c r="BG184" s="4">
        <f>COUNTIF($BD$2:$BD$545,BD184)</f>
        <v/>
      </c>
      <c r="BH184" s="4">
        <f>COUNTIF($BE$2:$BE$545,BE184)</f>
        <v/>
      </c>
      <c r="BI184" s="3">
        <f t="array" ref="BI184">IF(N(AU184)&gt;=MIN_N,AT184,IF(BH184&gt;=MIN_N,MEDIAN(IF($BE$2:$BE$545=BE184,$O$2:$O$545)),IF(BG184&gt;=MIN_N,MEDIAN(IF($BD$2:$BD$545=BD184,$O$2:$O$545)),MEDIAN(IF($BC$2:$BC$545=BC184,$O$2:$O$545)))))</f>
        <v/>
      </c>
      <c r="BJ184" s="3">
        <f>IF(N(AU184)&gt;=MIN_N,"mercado "&amp;AV184,IF(BH184&gt;=MIN_N,"modelo+año+km",IF(BG184&gt;=MIN_N,"modelo+año","modelo")))</f>
        <v/>
      </c>
      <c r="BK184" s="4">
        <f>(BI184-O184)/BI184</f>
        <v/>
      </c>
      <c r="BL184" s="3">
        <f>IF(COUNTIFS(FR_FUEL,K184,FR_YEAR,AP184)&gt;0,1,0)</f>
        <v/>
      </c>
      <c r="BM184" s="3">
        <f>IF(COUNTIFS(FR_FUEL,K184,FR_YEAR,AP184-1)&gt;0,1,0)</f>
        <v/>
      </c>
      <c r="BN184" s="4">
        <f>IF(N(AQ184)&gt;0,AP184*100+AQ184,IF(AND(BL184=1,BM184=1),(AP184-1)*100+1,AP184*100+1))</f>
        <v/>
      </c>
      <c r="BO184" s="3">
        <f>IF(OR(K184="hibrido",K184="glp",K184="gnc",K184="phev"),"ECO",IF(K184="electrico","CERO",IF(K184="gasolina",IF(BN184&gt;=GAS_C_YM,"C",IF(BN184&gt;=GAS_B_YM,"B","A")),IF(K184="diesel",IF(BN184&gt;=DIE_C_YM,"C",IF(BN184&gt;=DIE_B_YM,"B","A")),""))))</f>
        <v/>
      </c>
      <c r="BP184" s="4">
        <f>BO184</f>
        <v/>
      </c>
      <c r="BQ184" s="4">
        <f>IF(AS184="regla",IF(AND(N(AQ184)=0,BL184=1),"sí","no"),"no")</f>
        <v/>
      </c>
      <c r="BR184" s="3">
        <f>IFERROR(VLOOKUP(F184,MOD_TBL,11,0),IFERROR(VLOOKUP(E184,OCU_TBL,2,0),NEUTRO))</f>
        <v/>
      </c>
      <c r="BS184" s="3">
        <f>SUMIFS(MOT_AJUSTE,MOT_MOTOR,G184,MOT_MARCA,E184,MOT_DESDE,"&lt;="&amp;M184,MOT_HASTA,"&gt;="&amp;M184)+SUMIFS(MOT_AJUSTE,MOT_MOTOR,G184,MOT_MARCA,"(todas)",MOT_DESDE,"&lt;="&amp;M184,MOT_HASTA,"&gt;="&amp;M184)</f>
        <v/>
      </c>
      <c r="BT184" s="3">
        <f>SUMIFS(COMB_AJUSTE,COMB_COMB,K184)</f>
        <v/>
      </c>
      <c r="BU184" s="3">
        <f>COUNTIFS(MOT_MOTOR,G184,MOT_MARCA,E184,MOT_DESDE,"&lt;="&amp;M184,MOT_HASTA,"&gt;="&amp;M184)+COUNTIFS(MOT_MOTOR,G184,MOT_MARCA,"(todas)",MOT_DESDE,"&lt;="&amp;M184,MOT_HASTA,"&gt;="&amp;M184)</f>
        <v/>
      </c>
      <c r="BV184" s="3">
        <f>IF(AND(K184="diesel",BU184=0),MIN(BR184,NEUTRO),BR184)</f>
        <v/>
      </c>
      <c r="BW184" s="4">
        <f>MAX(0,MIN(100,BV184+BS184+BT184))</f>
        <v/>
      </c>
      <c r="BX184" s="3">
        <f>MAX(0,MIN(100,50+BK184*PRECIO_PEND))</f>
        <v/>
      </c>
      <c r="BY184" s="3">
        <f>MAX(0,100*(1-N184/KM_MAX))</f>
        <v/>
      </c>
      <c r="BZ184" s="3">
        <f>IF(BB184&lt;KMA_SOSP,IF(AA184="sí",100,KMA_PEN),IF(BB184&lt;=KMA_IDEAL_MAX,100,MAX(0,100*(KMA_CERO-BB184)/(KMA_CERO-KMA_IDEAL_MAX))))</f>
        <v/>
      </c>
      <c r="CA184" s="3">
        <f>MAX(0,MIN(100,100*(M184-ANIO_MIN)/(ANIO_ACTUAL-ANIO_MIN)))</f>
        <v/>
      </c>
      <c r="CB184" s="3">
        <f>W_KMT*BY184+W_KMA*BZ184+W_EDAD*CA184</f>
        <v/>
      </c>
      <c r="CC184" s="3">
        <f>P_ITV*(V184="sí")+P_LIBRO*(W184="sí")+P_CORREA*(X184="sí")+P_PROP*(Y184=1)+P_GAR*(Z184="sí")+P_FOTOS*MIN(1,N(U184)/FOTOS_OBJ)</f>
        <v/>
      </c>
      <c r="CD184" s="3">
        <f>MAX(0,MIN(100,IFERROR(VLOOKUP(BP184,ETQ_TBL,2,0),0)-IF(BQ184="sí",ETQ_PEN_DUD,IF(AS184="regla",ETQ_PEN_REGLA,0))))</f>
        <v/>
      </c>
      <c r="CE184" s="3">
        <f>NEUTRO</f>
        <v/>
      </c>
      <c r="CF184" s="3">
        <f>IFERROR(VLOOKUP(L184,SEGURO_TBL,3,0),"")</f>
        <v/>
      </c>
      <c r="CG184" s="3">
        <f>IF(CF184="",NEUTRO,MAX(0,MIN(100,100*(SEG_REF_MAX-CF184)/(SEG_REF_MAX-SEG_REF_MIN))))</f>
        <v/>
      </c>
      <c r="CH184" s="3">
        <f>W_CONS*CE184+W_SEG*CG184</f>
        <v/>
      </c>
      <c r="CI184" s="3">
        <f>IF(N(AB184)&gt;0,AB184,IF(AND(R184="profesional",SG_LEGAL_ON=1),GAR_LEGAL,0))</f>
        <v/>
      </c>
      <c r="CJ184" s="3">
        <f>SG_GAR*MIN(1,CI184/SG_GAR_FULL)+SG_AMPL*(AC184="sí")+SG_KMC*(AF184="sí")+SG_REV*(N(AE184)&gt;0)+SG_DEV*MIN(1,N(AG184)/SG_DEV_FULL)+SG_HIST*(W184="sí")</f>
        <v/>
      </c>
      <c r="CK184" s="3">
        <f>IFERROR(VLOOKUP(L184,CARR_PEN_TBL,2,0),0)</f>
        <v/>
      </c>
      <c r="CL184" s="3">
        <f>W_FIAB*BW184+W_PRECIO*BX184+W_KMEDAD*CB184+W_ANUNCIO*CC184+W_USO*CH184+W_SEGURIDAD*CJ184+W_ETIQUETA*CD184-CK184</f>
        <v/>
      </c>
      <c r="CM184" s="4">
        <f>IF(N(I184)&gt;0,I184,IFERROR(ROUND(_xlfn.NUMBERVALUE(LEFT(G184,FIND(" ",G184&amp;" ")-1),".")*1000,0),99999))</f>
        <v/>
      </c>
      <c r="CN184" s="3">
        <f>IF(R184="profesional",0,IF(O184&lt;CUOTA_VALOR_MAX,IF(BA184&gt;ITP_TRAMO_ALTO,SUMIFS(CF_CUOTA,CF_MAS,ITP_TRAMO_ALTO,CF_CCMIN,"&lt;="&amp;CM184,CF_CCMAX,"&gt;="&amp;CM184),IF(BA184&gt;ITP_TRAMO_BAJO,SUMIFS(CF_CUOTA,CF_MAS,ITP_TRAMO_BAJO,CF_CCMIN,"&lt;="&amp;CM184,CF_CCMAX,"&gt;="&amp;CM184),O184*ITP_TIPO)),O184*ITP_TIPO))</f>
        <v/>
      </c>
      <c r="CO184" s="4">
        <f>IF(R184="profesional",N(AK184),0)</f>
        <v/>
      </c>
      <c r="CP184" s="3">
        <f>IF(AND(R184="profesional",ISNUMBER(AK184),AL184="sí"),0,TASA_DGT)</f>
        <v/>
      </c>
      <c r="CQ184" s="3">
        <f>INFORME_DGT</f>
        <v/>
      </c>
      <c r="CR184" s="4">
        <f>O184+CO184+CN184+CP184+CQ184</f>
        <v/>
      </c>
      <c r="CS184" s="4">
        <f>CR184+N(CF184)</f>
        <v/>
      </c>
      <c r="CT184" s="3">
        <f>IF(CR184&lt;=TOTAL_MAX,"sí",IF(CR184&lt;=TOTAL_MAX+MARGEN_NEG,"negociar","no"))</f>
        <v/>
      </c>
      <c r="CU184" s="4">
        <f>IF(CT184&lt;&gt;"no",COUNTIFS($CT$2:$CT$545,"&lt;&gt;no",$CL$2:$CL$545,"&gt;"&amp;CL184)+COUNTIFS($CT$2:CT184,"&lt;&gt;no",$CL$2:CL184,CL184),"")</f>
        <v/>
      </c>
    </row>
    <row r="185">
      <c r="A185" s="2" t="inlineStr">
        <is>
          <t>autoscout24:b12d74bc-f99b-46aa-8160-c375b65746c5</t>
        </is>
      </c>
      <c r="B185" s="2" t="inlineStr">
        <is>
          <t>autoscout24</t>
        </is>
      </c>
      <c r="C185" s="2" t="inlineStr">
        <is>
          <t>https://www.autoscout24.es/anuncios/citroen-c3-1-4i-16v-exclusive-gasolina-azul-cat_ma21mo18264-b12d74bc-f99b-46aa-8160-c375b65746c5</t>
        </is>
      </c>
      <c r="D185" s="2" t="inlineStr">
        <is>
          <t>Citroën C3 1.4i 16v Exclusive</t>
        </is>
      </c>
      <c r="E185" s="2" t="inlineStr">
        <is>
          <t>Citroën</t>
        </is>
      </c>
      <c r="F185" s="2" t="inlineStr">
        <is>
          <t>Citroën C3</t>
        </is>
      </c>
      <c r="G185" s="2" t="inlineStr">
        <is>
          <t>1.4</t>
        </is>
      </c>
      <c r="H185" s="2" t="inlineStr">
        <is>
          <t>1.4i 16v Exclusive 1.4</t>
        </is>
      </c>
      <c r="I185" s="2" t="n">
        <v>1360</v>
      </c>
      <c r="J185" s="2" t="n">
        <v>90</v>
      </c>
      <c r="K185" s="2" t="inlineStr">
        <is>
          <t>gasolina</t>
        </is>
      </c>
      <c r="L185" s="2" t="inlineStr">
        <is>
          <t>utilitario</t>
        </is>
      </c>
      <c r="M185" s="2" t="n">
        <v>2006</v>
      </c>
      <c r="N185" s="2" t="n">
        <v>136000</v>
      </c>
      <c r="O185" s="2" t="n">
        <v>4500</v>
      </c>
      <c r="P185" s="2" t="inlineStr">
        <is>
          <t>manual</t>
        </is>
      </c>
      <c r="Q185" s="2" t="inlineStr">
        <is>
          <t>no</t>
        </is>
      </c>
      <c r="R185" s="2" t="inlineStr">
        <is>
          <t>profesional</t>
        </is>
      </c>
      <c r="S185" s="2" t="inlineStr">
        <is>
          <t>IMPOR WAGEN — XATIVA (46800)</t>
        </is>
      </c>
      <c r="T185" s="2" t="n"/>
      <c r="U185" s="2" t="n">
        <v>25</v>
      </c>
      <c r="V185" s="2" t="n"/>
      <c r="W185" s="2" t="n"/>
      <c r="X185" s="2" t="n"/>
      <c r="Y185" s="2" t="n"/>
      <c r="Z185" s="2" t="inlineStr">
        <is>
          <t>sí</t>
        </is>
      </c>
      <c r="AA185" s="2" t="n"/>
      <c r="AB185" s="2" t="n">
        <v>12</v>
      </c>
      <c r="AC185" s="2" t="n"/>
      <c r="AD185" s="2" t="n"/>
      <c r="AE185" s="2" t="n"/>
      <c r="AF185" s="2" t="n"/>
      <c r="AG185" s="2" t="n"/>
      <c r="AH185" s="2" t="n">
        <v>4500</v>
      </c>
      <c r="AI185" s="2" t="n"/>
      <c r="AJ185" s="2" t="n"/>
      <c r="AK185" s="2" t="n"/>
      <c r="AL185" s="2" t="n"/>
      <c r="AM185" s="2" t="n">
        <v>54</v>
      </c>
      <c r="AN185" s="2" t="n"/>
      <c r="AO185" s="2" t="inlineStr">
        <is>
          <t>2006-09</t>
        </is>
      </c>
      <c r="AP185" s="2" t="n">
        <v>2006</v>
      </c>
      <c r="AQ185" s="2" t="n">
        <v>9</v>
      </c>
      <c r="AR185" s="2" t="n"/>
      <c r="AS185" s="2" t="inlineStr">
        <is>
          <t>regla</t>
        </is>
      </c>
      <c r="AT185" s="2" t="n">
        <v>3500</v>
      </c>
      <c r="AU185" s="2" t="n">
        <v>5</v>
      </c>
      <c r="AV185" s="2" t="inlineStr">
        <is>
          <t>modelo+año+km</t>
        </is>
      </c>
      <c r="AW185" s="2" t="n"/>
      <c r="AX185" s="2" t="inlineStr">
        <is>
          <t>vendedor profesional: sin ITP (operación con IVA/REBU, confirmar en factura); gastos de gestión del vendedor no indicados: se suma la tasa DGT; preguntar el precio final</t>
        </is>
      </c>
      <c r="AY185" s="2" t="inlineStr">
        <is>
          <t>&lt;strong&gt;Precio al contado: 4500 euros&lt;/strong&gt; &lt;br /&gt;&lt;br /&gt;&lt;strong&gt;Condiciones de la financiación&lt;/strong&gt; &lt;br /&gt;&lt;br /&gt;Desde 90€ mes , sujeto a condiciones financieras .&lt;br /&gt;&amp;lt;hr&amp;gt; &lt;br /&gt;&lt;br /&gt;• Tapicería PIEL BEIGE &lt;br /&gt;• Climatizador &lt;br /&gt;• llantas &lt;br /&gt;• espejos abatibles eléctricos &lt;br /&gt;• sensores aparcamiento &lt;br /&gt;• regulador de velocidad &lt;br /&gt;• sensor de luces y lluvia &lt;br /&gt;• ordenador &lt;br /&gt;• 1 AÑO DE GARANTIA INCLUIDO &lt;br /&gt;• ACEPTAMOS COCHE COMO PARTE DE PAGO &lt;br /&gt;• LLEVAMOS EL COCHE A CUALQUIER PUNTO DE ESPAÑA &lt;br /&gt;• TELEFONOS: y movil:. atendemos WHATSAPP y sábado tarde y domingo previa cita. &lt;br /&gt;Las especificaciones en esta ficha pueden contener algún error y por tanto no tienen carácter vinculante , no pudiendo constituir en ningún caso la base de un futuro contrato.    &lt;br /&gt;&lt;br /&gt;</t>
        </is>
      </c>
      <c r="AZ185" s="2" t="inlineStr">
        <is>
          <t>https://www.autoscout24.es/anuncios/citroen-c3-1-4i-16v-exclusive-gasolina-azul-cat_ma21mo18264-b12d74bc-f99b-46aa-8160-c375b65746c5 (__NEXT_DATA__ listingDetails) /home/user/Alopecia/buscador-coches/raw/autoscout24/52475f84438cf96f.json</t>
        </is>
      </c>
      <c r="BA185" s="3">
        <f>MAX(ANIO_ACTUAL-M185,0)</f>
        <v/>
      </c>
      <c r="BB185" s="4">
        <f>N185/MAX(BA185,0.5)</f>
        <v/>
      </c>
      <c r="BC185" s="4">
        <f>F185</f>
        <v/>
      </c>
      <c r="BD185" s="3">
        <f>BC185&amp;"|"&amp;INT(M185/SEG_ANIO)*SEG_ANIO</f>
        <v/>
      </c>
      <c r="BE185" s="3">
        <f>BD185&amp;"|"&amp;INT(N185/SEG_KM)*SEG_KM</f>
        <v/>
      </c>
      <c r="BF185" s="4">
        <f>COUNTIF($BC$2:$BC$545,BC185)</f>
        <v/>
      </c>
      <c r="BG185" s="4">
        <f>COUNTIF($BD$2:$BD$545,BD185)</f>
        <v/>
      </c>
      <c r="BH185" s="4">
        <f>COUNTIF($BE$2:$BE$545,BE185)</f>
        <v/>
      </c>
      <c r="BI185" s="3">
        <f t="array" ref="BI185">IF(N(AU185)&gt;=MIN_N,AT185,IF(BH185&gt;=MIN_N,MEDIAN(IF($BE$2:$BE$545=BE185,$O$2:$O$545)),IF(BG185&gt;=MIN_N,MEDIAN(IF($BD$2:$BD$545=BD185,$O$2:$O$545)),MEDIAN(IF($BC$2:$BC$545=BC185,$O$2:$O$545)))))</f>
        <v/>
      </c>
      <c r="BJ185" s="3">
        <f>IF(N(AU185)&gt;=MIN_N,"mercado "&amp;AV185,IF(BH185&gt;=MIN_N,"modelo+año+km",IF(BG185&gt;=MIN_N,"modelo+año","modelo")))</f>
        <v/>
      </c>
      <c r="BK185" s="4">
        <f>(BI185-O185)/BI185</f>
        <v/>
      </c>
      <c r="BL185" s="3">
        <f>IF(COUNTIFS(FR_FUEL,K185,FR_YEAR,AP185)&gt;0,1,0)</f>
        <v/>
      </c>
      <c r="BM185" s="3">
        <f>IF(COUNTIFS(FR_FUEL,K185,FR_YEAR,AP185-1)&gt;0,1,0)</f>
        <v/>
      </c>
      <c r="BN185" s="4">
        <f>IF(N(AQ185)&gt;0,AP185*100+AQ185,IF(AND(BL185=1,BM185=1),(AP185-1)*100+1,AP185*100+1))</f>
        <v/>
      </c>
      <c r="BO185" s="3">
        <f>IF(OR(K185="hibrido",K185="glp",K185="gnc",K185="phev"),"ECO",IF(K185="electrico","CERO",IF(K185="gasolina",IF(BN185&gt;=GAS_C_YM,"C",IF(BN185&gt;=GAS_B_YM,"B","A")),IF(K185="diesel",IF(BN185&gt;=DIE_C_YM,"C",IF(BN185&gt;=DIE_B_YM,"B","A")),""))))</f>
        <v/>
      </c>
      <c r="BP185" s="4">
        <f>BO185</f>
        <v/>
      </c>
      <c r="BQ185" s="4">
        <f>IF(AS185="regla",IF(AND(N(AQ185)=0,BL185=1),"sí","no"),"no")</f>
        <v/>
      </c>
      <c r="BR185" s="3">
        <f>IFERROR(VLOOKUP(F185,MOD_TBL,11,0),IFERROR(VLOOKUP(E185,OCU_TBL,2,0),NEUTRO))</f>
        <v/>
      </c>
      <c r="BS185" s="3">
        <f>SUMIFS(MOT_AJUSTE,MOT_MOTOR,G185,MOT_MARCA,E185,MOT_DESDE,"&lt;="&amp;M185,MOT_HASTA,"&gt;="&amp;M185)+SUMIFS(MOT_AJUSTE,MOT_MOTOR,G185,MOT_MARCA,"(todas)",MOT_DESDE,"&lt;="&amp;M185,MOT_HASTA,"&gt;="&amp;M185)</f>
        <v/>
      </c>
      <c r="BT185" s="3">
        <f>SUMIFS(COMB_AJUSTE,COMB_COMB,K185)</f>
        <v/>
      </c>
      <c r="BU185" s="3">
        <f>COUNTIFS(MOT_MOTOR,G185,MOT_MARCA,E185,MOT_DESDE,"&lt;="&amp;M185,MOT_HASTA,"&gt;="&amp;M185)+COUNTIFS(MOT_MOTOR,G185,MOT_MARCA,"(todas)",MOT_DESDE,"&lt;="&amp;M185,MOT_HASTA,"&gt;="&amp;M185)</f>
        <v/>
      </c>
      <c r="BV185" s="3">
        <f>IF(AND(K185="diesel",BU185=0),MIN(BR185,NEUTRO),BR185)</f>
        <v/>
      </c>
      <c r="BW185" s="4">
        <f>MAX(0,MIN(100,BV185+BS185+BT185))</f>
        <v/>
      </c>
      <c r="BX185" s="3">
        <f>MAX(0,MIN(100,50+BK185*PRECIO_PEND))</f>
        <v/>
      </c>
      <c r="BY185" s="3">
        <f>MAX(0,100*(1-N185/KM_MAX))</f>
        <v/>
      </c>
      <c r="BZ185" s="3">
        <f>IF(BB185&lt;KMA_SOSP,IF(AA185="sí",100,KMA_PEN),IF(BB185&lt;=KMA_IDEAL_MAX,100,MAX(0,100*(KMA_CERO-BB185)/(KMA_CERO-KMA_IDEAL_MAX))))</f>
        <v/>
      </c>
      <c r="CA185" s="3">
        <f>MAX(0,MIN(100,100*(M185-ANIO_MIN)/(ANIO_ACTUAL-ANIO_MIN)))</f>
        <v/>
      </c>
      <c r="CB185" s="3">
        <f>W_KMT*BY185+W_KMA*BZ185+W_EDAD*CA185</f>
        <v/>
      </c>
      <c r="CC185" s="3">
        <f>P_ITV*(V185="sí")+P_LIBRO*(W185="sí")+P_CORREA*(X185="sí")+P_PROP*(Y185=1)+P_GAR*(Z185="sí")+P_FOTOS*MIN(1,N(U185)/FOTOS_OBJ)</f>
        <v/>
      </c>
      <c r="CD185" s="3">
        <f>MAX(0,MIN(100,IFERROR(VLOOKUP(BP185,ETQ_TBL,2,0),0)-IF(BQ185="sí",ETQ_PEN_DUD,IF(AS185="regla",ETQ_PEN_REGLA,0))))</f>
        <v/>
      </c>
      <c r="CE185" s="3">
        <f>NEUTRO</f>
        <v/>
      </c>
      <c r="CF185" s="3">
        <f>IFERROR(VLOOKUP(L185,SEGURO_TBL,3,0),"")</f>
        <v/>
      </c>
      <c r="CG185" s="3">
        <f>IF(CF185="",NEUTRO,MAX(0,MIN(100,100*(SEG_REF_MAX-CF185)/(SEG_REF_MAX-SEG_REF_MIN))))</f>
        <v/>
      </c>
      <c r="CH185" s="3">
        <f>W_CONS*CE185+W_SEG*CG185</f>
        <v/>
      </c>
      <c r="CI185" s="3">
        <f>IF(N(AB185)&gt;0,AB185,IF(AND(R185="profesional",SG_LEGAL_ON=1),GAR_LEGAL,0))</f>
        <v/>
      </c>
      <c r="CJ185" s="3">
        <f>SG_GAR*MIN(1,CI185/SG_GAR_FULL)+SG_AMPL*(AC185="sí")+SG_KMC*(AF185="sí")+SG_REV*(N(AE185)&gt;0)+SG_DEV*MIN(1,N(AG185)/SG_DEV_FULL)+SG_HIST*(W185="sí")</f>
        <v/>
      </c>
      <c r="CK185" s="3">
        <f>IFERROR(VLOOKUP(L185,CARR_PEN_TBL,2,0),0)</f>
        <v/>
      </c>
      <c r="CL185" s="3">
        <f>W_FIAB*BW185+W_PRECIO*BX185+W_KMEDAD*CB185+W_ANUNCIO*CC185+W_USO*CH185+W_SEGURIDAD*CJ185+W_ETIQUETA*CD185-CK185</f>
        <v/>
      </c>
      <c r="CM185" s="4">
        <f>IF(N(I185)&gt;0,I185,IFERROR(ROUND(_xlfn.NUMBERVALUE(LEFT(G185,FIND(" ",G185&amp;" ")-1),".")*1000,0),99999))</f>
        <v/>
      </c>
      <c r="CN185" s="3">
        <f>IF(R185="profesional",0,IF(O185&lt;CUOTA_VALOR_MAX,IF(BA185&gt;ITP_TRAMO_ALTO,SUMIFS(CF_CUOTA,CF_MAS,ITP_TRAMO_ALTO,CF_CCMIN,"&lt;="&amp;CM185,CF_CCMAX,"&gt;="&amp;CM185),IF(BA185&gt;ITP_TRAMO_BAJO,SUMIFS(CF_CUOTA,CF_MAS,ITP_TRAMO_BAJO,CF_CCMIN,"&lt;="&amp;CM185,CF_CCMAX,"&gt;="&amp;CM185),O185*ITP_TIPO)),O185*ITP_TIPO))</f>
        <v/>
      </c>
      <c r="CO185" s="4">
        <f>IF(R185="profesional",N(AK185),0)</f>
        <v/>
      </c>
      <c r="CP185" s="3">
        <f>IF(AND(R185="profesional",ISNUMBER(AK185),AL185="sí"),0,TASA_DGT)</f>
        <v/>
      </c>
      <c r="CQ185" s="3">
        <f>INFORME_DGT</f>
        <v/>
      </c>
      <c r="CR185" s="4">
        <f>O185+CO185+CN185+CP185+CQ185</f>
        <v/>
      </c>
      <c r="CS185" s="4">
        <f>CR185+N(CF185)</f>
        <v/>
      </c>
      <c r="CT185" s="3">
        <f>IF(CR185&lt;=TOTAL_MAX,"sí",IF(CR185&lt;=TOTAL_MAX+MARGEN_NEG,"negociar","no"))</f>
        <v/>
      </c>
      <c r="CU185" s="4">
        <f>IF(CT185&lt;&gt;"no",COUNTIFS($CT$2:$CT$545,"&lt;&gt;no",$CL$2:$CL$545,"&gt;"&amp;CL185)+COUNTIFS($CT$2:CT185,"&lt;&gt;no",$CL$2:CL185,CL185),"")</f>
        <v/>
      </c>
    </row>
    <row r="186">
      <c r="A186" s="2" t="inlineStr">
        <is>
          <t>autoscout24:94a6ff88-25cc-426f-9425-4b78bc733e4e</t>
        </is>
      </c>
      <c r="B186" s="2" t="inlineStr">
        <is>
          <t>autoscout24</t>
        </is>
      </c>
      <c r="C186" s="2" t="inlineStr">
        <is>
          <t>https://www.autoscout24.es/anuncios/citroen-c4-1-6i-16v-lx-110-gasolina-cat_ma21mo18545-94a6ff88-25cc-426f-9425-4b78bc733e4e</t>
        </is>
      </c>
      <c r="D186" s="2" t="inlineStr">
        <is>
          <t>Citroën C4 1.6i 16v LX 110</t>
        </is>
      </c>
      <c r="E186" s="2" t="inlineStr">
        <is>
          <t>Citroën</t>
        </is>
      </c>
      <c r="F186" s="2" t="inlineStr">
        <is>
          <t>Citroën C4</t>
        </is>
      </c>
      <c r="G186" s="2" t="inlineStr">
        <is>
          <t>1.6</t>
        </is>
      </c>
      <c r="H186" s="2" t="inlineStr">
        <is>
          <t>1.6i 16v LX 110 1.6</t>
        </is>
      </c>
      <c r="I186" s="2" t="n">
        <v>1587</v>
      </c>
      <c r="J186" s="2" t="n">
        <v>109</v>
      </c>
      <c r="K186" s="2" t="inlineStr">
        <is>
          <t>gasolina</t>
        </is>
      </c>
      <c r="L186" s="2" t="inlineStr">
        <is>
          <t>compacto</t>
        </is>
      </c>
      <c r="M186" s="2" t="n">
        <v>2007</v>
      </c>
      <c r="N186" s="2" t="n">
        <v>176000</v>
      </c>
      <c r="O186" s="2" t="n">
        <v>2400</v>
      </c>
      <c r="P186" s="2" t="inlineStr">
        <is>
          <t>manual</t>
        </is>
      </c>
      <c r="Q186" s="2" t="inlineStr">
        <is>
          <t>no</t>
        </is>
      </c>
      <c r="R186" s="2" t="inlineStr">
        <is>
          <t>particular</t>
        </is>
      </c>
      <c r="S186" s="2" t="inlineStr">
        <is>
          <t>Algemesí (46680)</t>
        </is>
      </c>
      <c r="T186" s="2" t="n"/>
      <c r="U186" s="2" t="n">
        <v>7</v>
      </c>
      <c r="V186" s="2" t="inlineStr">
        <is>
          <t>sí</t>
        </is>
      </c>
      <c r="W186" s="2" t="n"/>
      <c r="X186" s="2" t="n"/>
      <c r="Y186" s="2" t="n"/>
      <c r="Z186" s="2" t="n"/>
      <c r="AA186" s="2" t="n"/>
      <c r="AB186" s="2" t="n"/>
      <c r="AC186" s="2" t="n"/>
      <c r="AD186" s="2" t="n"/>
      <c r="AE186" s="2" t="n"/>
      <c r="AF186" s="2" t="n"/>
      <c r="AG186" s="2" t="n"/>
      <c r="AH186" s="2" t="n"/>
      <c r="AI186" s="2" t="n"/>
      <c r="AJ186" s="2" t="n"/>
      <c r="AK186" s="2" t="n"/>
      <c r="AL186" s="2" t="n"/>
      <c r="AM186" s="2" t="n">
        <v>31.1</v>
      </c>
      <c r="AN186" s="2" t="n"/>
      <c r="AO186" s="2" t="inlineStr">
        <is>
          <t>2007-01</t>
        </is>
      </c>
      <c r="AP186" s="2" t="n">
        <v>2007</v>
      </c>
      <c r="AQ186" s="2" t="n">
        <v>1</v>
      </c>
      <c r="AR186" s="2" t="n"/>
      <c r="AS186" s="2" t="inlineStr">
        <is>
          <t>regla</t>
        </is>
      </c>
      <c r="AT186" s="2" t="n">
        <v>3500</v>
      </c>
      <c r="AU186" s="2" t="n">
        <v>11</v>
      </c>
      <c r="AV186" s="2" t="inlineStr">
        <is>
          <t>modelo+año+km</t>
        </is>
      </c>
      <c r="AW186" s="2" t="n"/>
      <c r="AX186" s="2" t="inlineStr">
        <is>
          <t>cuota fija ITP: &gt;12 años, 1.501-2.000 cc; fiabilidad del modelo PENDIENTE de fuente (puntuación neutra)</t>
        </is>
      </c>
      <c r="AY186" s="2" t="inlineStr">
        <is>
          <t>Perfecto estado &lt;br /&gt;&lt;br /&gt;ITV hasta marzo 2027 &lt;br /&gt;Etiqueta C</t>
        </is>
      </c>
      <c r="AZ186" s="2" t="inlineStr">
        <is>
          <t>https://www.autoscout24.es/anuncios/citroen-c4-1-6i-16v-lx-110-gasolina-cat_ma21mo18545-94a6ff88-25cc-426f-9425-4b78bc733e4e (__NEXT_DATA__ listingDetails) /home/user/Alopecia/buscador-coches/raw/autoscout24/8e8b936e9982bb4c.json</t>
        </is>
      </c>
      <c r="BA186" s="3">
        <f>MAX(ANIO_ACTUAL-M186,0)</f>
        <v/>
      </c>
      <c r="BB186" s="4">
        <f>N186/MAX(BA186,0.5)</f>
        <v/>
      </c>
      <c r="BC186" s="4">
        <f>F186</f>
        <v/>
      </c>
      <c r="BD186" s="3">
        <f>BC186&amp;"|"&amp;INT(M186/SEG_ANIO)*SEG_ANIO</f>
        <v/>
      </c>
      <c r="BE186" s="3">
        <f>BD186&amp;"|"&amp;INT(N186/SEG_KM)*SEG_KM</f>
        <v/>
      </c>
      <c r="BF186" s="4">
        <f>COUNTIF($BC$2:$BC$545,BC186)</f>
        <v/>
      </c>
      <c r="BG186" s="4">
        <f>COUNTIF($BD$2:$BD$545,BD186)</f>
        <v/>
      </c>
      <c r="BH186" s="4">
        <f>COUNTIF($BE$2:$BE$545,BE186)</f>
        <v/>
      </c>
      <c r="BI186" s="3">
        <f t="array" ref="BI186">IF(N(AU186)&gt;=MIN_N,AT186,IF(BH186&gt;=MIN_N,MEDIAN(IF($BE$2:$BE$545=BE186,$O$2:$O$545)),IF(BG186&gt;=MIN_N,MEDIAN(IF($BD$2:$BD$545=BD186,$O$2:$O$545)),MEDIAN(IF($BC$2:$BC$545=BC186,$O$2:$O$545)))))</f>
        <v/>
      </c>
      <c r="BJ186" s="3">
        <f>IF(N(AU186)&gt;=MIN_N,"mercado "&amp;AV186,IF(BH186&gt;=MIN_N,"modelo+año+km",IF(BG186&gt;=MIN_N,"modelo+año","modelo")))</f>
        <v/>
      </c>
      <c r="BK186" s="4">
        <f>(BI186-O186)/BI186</f>
        <v/>
      </c>
      <c r="BL186" s="3">
        <f>IF(COUNTIFS(FR_FUEL,K186,FR_YEAR,AP186)&gt;0,1,0)</f>
        <v/>
      </c>
      <c r="BM186" s="3">
        <f>IF(COUNTIFS(FR_FUEL,K186,FR_YEAR,AP186-1)&gt;0,1,0)</f>
        <v/>
      </c>
      <c r="BN186" s="4">
        <f>IF(N(AQ186)&gt;0,AP186*100+AQ186,IF(AND(BL186=1,BM186=1),(AP186-1)*100+1,AP186*100+1))</f>
        <v/>
      </c>
      <c r="BO186" s="3">
        <f>IF(OR(K186="hibrido",K186="glp",K186="gnc",K186="phev"),"ECO",IF(K186="electrico","CERO",IF(K186="gasolina",IF(BN186&gt;=GAS_C_YM,"C",IF(BN186&gt;=GAS_B_YM,"B","A")),IF(K186="diesel",IF(BN186&gt;=DIE_C_YM,"C",IF(BN186&gt;=DIE_B_YM,"B","A")),""))))</f>
        <v/>
      </c>
      <c r="BP186" s="4">
        <f>BO186</f>
        <v/>
      </c>
      <c r="BQ186" s="4">
        <f>IF(AS186="regla",IF(AND(N(AQ186)=0,BL186=1),"sí","no"),"no")</f>
        <v/>
      </c>
      <c r="BR186" s="3">
        <f>IFERROR(VLOOKUP(F186,MOD_TBL,11,0),IFERROR(VLOOKUP(E186,OCU_TBL,2,0),NEUTRO))</f>
        <v/>
      </c>
      <c r="BS186" s="3">
        <f>SUMIFS(MOT_AJUSTE,MOT_MOTOR,G186,MOT_MARCA,E186,MOT_DESDE,"&lt;="&amp;M186,MOT_HASTA,"&gt;="&amp;M186)+SUMIFS(MOT_AJUSTE,MOT_MOTOR,G186,MOT_MARCA,"(todas)",MOT_DESDE,"&lt;="&amp;M186,MOT_HASTA,"&gt;="&amp;M186)</f>
        <v/>
      </c>
      <c r="BT186" s="3">
        <f>SUMIFS(COMB_AJUSTE,COMB_COMB,K186)</f>
        <v/>
      </c>
      <c r="BU186" s="3">
        <f>COUNTIFS(MOT_MOTOR,G186,MOT_MARCA,E186,MOT_DESDE,"&lt;="&amp;M186,MOT_HASTA,"&gt;="&amp;M186)+COUNTIFS(MOT_MOTOR,G186,MOT_MARCA,"(todas)",MOT_DESDE,"&lt;="&amp;M186,MOT_HASTA,"&gt;="&amp;M186)</f>
        <v/>
      </c>
      <c r="BV186" s="3">
        <f>IF(AND(K186="diesel",BU186=0),MIN(BR186,NEUTRO),BR186)</f>
        <v/>
      </c>
      <c r="BW186" s="4">
        <f>MAX(0,MIN(100,BV186+BS186+BT186))</f>
        <v/>
      </c>
      <c r="BX186" s="3">
        <f>MAX(0,MIN(100,50+BK186*PRECIO_PEND))</f>
        <v/>
      </c>
      <c r="BY186" s="3">
        <f>MAX(0,100*(1-N186/KM_MAX))</f>
        <v/>
      </c>
      <c r="BZ186" s="3">
        <f>IF(BB186&lt;KMA_SOSP,IF(AA186="sí",100,KMA_PEN),IF(BB186&lt;=KMA_IDEAL_MAX,100,MAX(0,100*(KMA_CERO-BB186)/(KMA_CERO-KMA_IDEAL_MAX))))</f>
        <v/>
      </c>
      <c r="CA186" s="3">
        <f>MAX(0,MIN(100,100*(M186-ANIO_MIN)/(ANIO_ACTUAL-ANIO_MIN)))</f>
        <v/>
      </c>
      <c r="CB186" s="3">
        <f>W_KMT*BY186+W_KMA*BZ186+W_EDAD*CA186</f>
        <v/>
      </c>
      <c r="CC186" s="3">
        <f>P_ITV*(V186="sí")+P_LIBRO*(W186="sí")+P_CORREA*(X186="sí")+P_PROP*(Y186=1)+P_GAR*(Z186="sí")+P_FOTOS*MIN(1,N(U186)/FOTOS_OBJ)</f>
        <v/>
      </c>
      <c r="CD186" s="3">
        <f>MAX(0,MIN(100,IFERROR(VLOOKUP(BP186,ETQ_TBL,2,0),0)-IF(BQ186="sí",ETQ_PEN_DUD,IF(AS186="regla",ETQ_PEN_REGLA,0))))</f>
        <v/>
      </c>
      <c r="CE186" s="3">
        <f>NEUTRO</f>
        <v/>
      </c>
      <c r="CF186" s="3">
        <f>IFERROR(VLOOKUP(L186,SEGURO_TBL,3,0),"")</f>
        <v/>
      </c>
      <c r="CG186" s="3">
        <f>IF(CF186="",NEUTRO,MAX(0,MIN(100,100*(SEG_REF_MAX-CF186)/(SEG_REF_MAX-SEG_REF_MIN))))</f>
        <v/>
      </c>
      <c r="CH186" s="3">
        <f>W_CONS*CE186+W_SEG*CG186</f>
        <v/>
      </c>
      <c r="CI186" s="3">
        <f>IF(N(AB186)&gt;0,AB186,IF(AND(R186="profesional",SG_LEGAL_ON=1),GAR_LEGAL,0))</f>
        <v/>
      </c>
      <c r="CJ186" s="3">
        <f>SG_GAR*MIN(1,CI186/SG_GAR_FULL)+SG_AMPL*(AC186="sí")+SG_KMC*(AF186="sí")+SG_REV*(N(AE186)&gt;0)+SG_DEV*MIN(1,N(AG186)/SG_DEV_FULL)+SG_HIST*(W186="sí")</f>
        <v/>
      </c>
      <c r="CK186" s="3">
        <f>IFERROR(VLOOKUP(L186,CARR_PEN_TBL,2,0),0)</f>
        <v/>
      </c>
      <c r="CL186" s="3">
        <f>W_FIAB*BW186+W_PRECIO*BX186+W_KMEDAD*CB186+W_ANUNCIO*CC186+W_USO*CH186+W_SEGURIDAD*CJ186+W_ETIQUETA*CD186-CK186</f>
        <v/>
      </c>
      <c r="CM186" s="4">
        <f>IF(N(I186)&gt;0,I186,IFERROR(ROUND(_xlfn.NUMBERVALUE(LEFT(G186,FIND(" ",G186&amp;" ")-1),".")*1000,0),99999))</f>
        <v/>
      </c>
      <c r="CN186" s="3">
        <f>IF(R186="profesional",0,IF(O186&lt;CUOTA_VALOR_MAX,IF(BA186&gt;ITP_TRAMO_ALTO,SUMIFS(CF_CUOTA,CF_MAS,ITP_TRAMO_ALTO,CF_CCMIN,"&lt;="&amp;CM186,CF_CCMAX,"&gt;="&amp;CM186),IF(BA186&gt;ITP_TRAMO_BAJO,SUMIFS(CF_CUOTA,CF_MAS,ITP_TRAMO_BAJO,CF_CCMIN,"&lt;="&amp;CM186,CF_CCMAX,"&gt;="&amp;CM186),O186*ITP_TIPO)),O186*ITP_TIPO))</f>
        <v/>
      </c>
      <c r="CO186" s="4">
        <f>IF(R186="profesional",N(AK186),0)</f>
        <v/>
      </c>
      <c r="CP186" s="3">
        <f>IF(AND(R186="profesional",ISNUMBER(AK186),AL186="sí"),0,TASA_DGT)</f>
        <v/>
      </c>
      <c r="CQ186" s="3">
        <f>INFORME_DGT</f>
        <v/>
      </c>
      <c r="CR186" s="4">
        <f>O186+CO186+CN186+CP186+CQ186</f>
        <v/>
      </c>
      <c r="CS186" s="4">
        <f>CR186+N(CF186)</f>
        <v/>
      </c>
      <c r="CT186" s="3">
        <f>IF(CR186&lt;=TOTAL_MAX,"sí",IF(CR186&lt;=TOTAL_MAX+MARGEN_NEG,"negociar","no"))</f>
        <v/>
      </c>
      <c r="CU186" s="4">
        <f>IF(CT186&lt;&gt;"no",COUNTIFS($CT$2:$CT$545,"&lt;&gt;no",$CL$2:$CL$545,"&gt;"&amp;CL186)+COUNTIFS($CT$2:CT186,"&lt;&gt;no",$CL$2:CL186,CL186),"")</f>
        <v/>
      </c>
    </row>
    <row r="187">
      <c r="A187" s="2" t="inlineStr">
        <is>
          <t>autoscout24:7ab236a3-1b93-42f3-bf06-cf71c62f8fab</t>
        </is>
      </c>
      <c r="B187" s="2" t="inlineStr">
        <is>
          <t>autoscout24</t>
        </is>
      </c>
      <c r="C187" s="2" t="inlineStr">
        <is>
          <t>https://www.autoscout24.es/anuncios/ford-mondeo-2-2tdci-trend-diesel-cat_ma29mo1763-7ab236a3-1b93-42f3-bf06-cf71c62f8fab</t>
        </is>
      </c>
      <c r="D187" s="2" t="inlineStr">
        <is>
          <t>Ford Mondeo 2.2TDCi Trend</t>
        </is>
      </c>
      <c r="E187" s="2" t="inlineStr">
        <is>
          <t>Ford</t>
        </is>
      </c>
      <c r="F187" s="2" t="inlineStr">
        <is>
          <t>Ford Mondeo</t>
        </is>
      </c>
      <c r="G187" s="2" t="inlineStr">
        <is>
          <t>2.2 TDCi</t>
        </is>
      </c>
      <c r="H187" s="2" t="inlineStr">
        <is>
          <t>2.2TDCi Trend 2.2 TDCi</t>
        </is>
      </c>
      <c r="I187" s="2" t="n">
        <v>2198</v>
      </c>
      <c r="J187" s="2" t="n">
        <v>155</v>
      </c>
      <c r="K187" s="2" t="inlineStr">
        <is>
          <t>diesel</t>
        </is>
      </c>
      <c r="L187" s="2" t="inlineStr">
        <is>
          <t>berlina</t>
        </is>
      </c>
      <c r="M187" s="2" t="n">
        <v>2006</v>
      </c>
      <c r="N187" s="2" t="n">
        <v>199000</v>
      </c>
      <c r="O187" s="2" t="n">
        <v>4700</v>
      </c>
      <c r="P187" s="2" t="inlineStr">
        <is>
          <t>manual</t>
        </is>
      </c>
      <c r="Q187" s="2" t="inlineStr">
        <is>
          <t>no</t>
        </is>
      </c>
      <c r="R187" s="2" t="inlineStr">
        <is>
          <t>particular</t>
        </is>
      </c>
      <c r="S187" s="2" t="inlineStr">
        <is>
          <t>València (46009)</t>
        </is>
      </c>
      <c r="T187" s="2" t="n"/>
      <c r="U187" s="2" t="n">
        <v>9</v>
      </c>
      <c r="V187" s="2" t="n"/>
      <c r="W187" s="2" t="n"/>
      <c r="X187" s="2" t="n"/>
      <c r="Y187" s="2" t="n"/>
      <c r="Z187" s="2" t="inlineStr">
        <is>
          <t>sí</t>
        </is>
      </c>
      <c r="AA187" s="2" t="n"/>
      <c r="AB187" s="2" t="n"/>
      <c r="AC187" s="2" t="n"/>
      <c r="AD187" s="2" t="n"/>
      <c r="AE187" s="2" t="n"/>
      <c r="AF187" s="2" t="n"/>
      <c r="AG187" s="2" t="n"/>
      <c r="AH187" s="2" t="n"/>
      <c r="AI187" s="2" t="n"/>
      <c r="AJ187" s="2" t="n"/>
      <c r="AK187" s="2" t="n"/>
      <c r="AL187" s="2" t="n"/>
      <c r="AM187" s="2" t="n">
        <v>1.7</v>
      </c>
      <c r="AN187" s="2" t="n"/>
      <c r="AO187" s="2" t="inlineStr">
        <is>
          <t>2006-01</t>
        </is>
      </c>
      <c r="AP187" s="2" t="n">
        <v>2006</v>
      </c>
      <c r="AQ187" s="2" t="n">
        <v>1</v>
      </c>
      <c r="AR187" s="2" t="n"/>
      <c r="AS187" s="2" t="inlineStr">
        <is>
          <t>regla</t>
        </is>
      </c>
      <c r="AT187" s="2" t="n">
        <v>3300</v>
      </c>
      <c r="AU187" s="2" t="n">
        <v>4</v>
      </c>
      <c r="AV187" s="2" t="inlineStr">
        <is>
          <t>modelo+año</t>
        </is>
      </c>
      <c r="AW187" s="2" t="n"/>
      <c r="AX187" s="2" t="inlineStr">
        <is>
          <t>cuota fija ITP: &gt;12 años, más de 2.000 cc; diésel: motor sin fuente de fiabilidad (fiabilidad limitada a neutra); carrocería berlina: -4 puntos; fiabilidad del modelo PENDIENTE de fuente (puntuación neutra)</t>
        </is>
      </c>
      <c r="AY187" s="2" t="inlineStr">
        <is>
          <t>Ford Mondeo 2.2 TDCi 155CV 2006 Diésel Super Confiable&lt;br /&gt;199.000 km&lt;br /&gt;&lt;br /&gt;Mantenimiento realizado:&lt;br /&gt;Cambio de aceite y filtros&lt;br /&gt;4 inyectores nuevos&lt;br /&gt;Bomba de alta nueva &lt;br /&gt;Revisión completa.&lt;br /&gt;&lt;br /&gt;Equipamiento:&lt;br /&gt;Climatizador digital&lt;br /&gt;Pantalla multifunción con Android Auto&lt;br /&gt;Velocidad de crucero&lt;br /&gt;&lt;br /&gt;Datos destacados:&lt;br /&gt;155 CV&lt;br /&gt;Etiqueta B&lt;br /&gt;Consumo bajo aprox. 6L/100 km&lt;br /&gt;Ideal para viajantes у carretera&lt;br /&gt;Berlina espaciosa, cómoda y muy fiable para uso diario y largos trayectos.&lt;br /&gt;&lt;br /&gt;Precio: 4.700 €&lt;br /&gt;Entrega inmediata en Valencia (o zona)&lt;br /&gt;Garantía 12 meses en mecánica&lt;br /&gt;Financiación disponible&lt;br /&gt;Recibimos vehículo a cambio (menor valor)</t>
        </is>
      </c>
      <c r="AZ187" s="2" t="inlineStr">
        <is>
          <t>https://www.autoscout24.es/anuncios/ford-mondeo-2-2tdci-trend-diesel-cat_ma29mo1763-7ab236a3-1b93-42f3-bf06-cf71c62f8fab (__NEXT_DATA__ listingDetails) /home/user/Alopecia/buscador-coches/raw/autoscout24/b05e8b3aba358594.json</t>
        </is>
      </c>
      <c r="BA187" s="3">
        <f>MAX(ANIO_ACTUAL-M187,0)</f>
        <v/>
      </c>
      <c r="BB187" s="4">
        <f>N187/MAX(BA187,0.5)</f>
        <v/>
      </c>
      <c r="BC187" s="4">
        <f>F187</f>
        <v/>
      </c>
      <c r="BD187" s="3">
        <f>BC187&amp;"|"&amp;INT(M187/SEG_ANIO)*SEG_ANIO</f>
        <v/>
      </c>
      <c r="BE187" s="3">
        <f>BD187&amp;"|"&amp;INT(N187/SEG_KM)*SEG_KM</f>
        <v/>
      </c>
      <c r="BF187" s="4">
        <f>COUNTIF($BC$2:$BC$545,BC187)</f>
        <v/>
      </c>
      <c r="BG187" s="4">
        <f>COUNTIF($BD$2:$BD$545,BD187)</f>
        <v/>
      </c>
      <c r="BH187" s="4">
        <f>COUNTIF($BE$2:$BE$545,BE187)</f>
        <v/>
      </c>
      <c r="BI187" s="3">
        <f t="array" ref="BI187">IF(N(AU187)&gt;=MIN_N,AT187,IF(BH187&gt;=MIN_N,MEDIAN(IF($BE$2:$BE$545=BE187,$O$2:$O$545)),IF(BG187&gt;=MIN_N,MEDIAN(IF($BD$2:$BD$545=BD187,$O$2:$O$545)),MEDIAN(IF($BC$2:$BC$545=BC187,$O$2:$O$545)))))</f>
        <v/>
      </c>
      <c r="BJ187" s="3">
        <f>IF(N(AU187)&gt;=MIN_N,"mercado "&amp;AV187,IF(BH187&gt;=MIN_N,"modelo+año+km",IF(BG187&gt;=MIN_N,"modelo+año","modelo")))</f>
        <v/>
      </c>
      <c r="BK187" s="4">
        <f>(BI187-O187)/BI187</f>
        <v/>
      </c>
      <c r="BL187" s="3">
        <f>IF(COUNTIFS(FR_FUEL,K187,FR_YEAR,AP187)&gt;0,1,0)</f>
        <v/>
      </c>
      <c r="BM187" s="3">
        <f>IF(COUNTIFS(FR_FUEL,K187,FR_YEAR,AP187-1)&gt;0,1,0)</f>
        <v/>
      </c>
      <c r="BN187" s="4">
        <f>IF(N(AQ187)&gt;0,AP187*100+AQ187,IF(AND(BL187=1,BM187=1),(AP187-1)*100+1,AP187*100+1))</f>
        <v/>
      </c>
      <c r="BO187" s="3">
        <f>IF(OR(K187="hibrido",K187="glp",K187="gnc",K187="phev"),"ECO",IF(K187="electrico","CERO",IF(K187="gasolina",IF(BN187&gt;=GAS_C_YM,"C",IF(BN187&gt;=GAS_B_YM,"B","A")),IF(K187="diesel",IF(BN187&gt;=DIE_C_YM,"C",IF(BN187&gt;=DIE_B_YM,"B","A")),""))))</f>
        <v/>
      </c>
      <c r="BP187" s="4">
        <f>BO187</f>
        <v/>
      </c>
      <c r="BQ187" s="4">
        <f>IF(AS187="regla",IF(AND(N(AQ187)=0,BL187=1),"sí","no"),"no")</f>
        <v/>
      </c>
      <c r="BR187" s="3">
        <f>IFERROR(VLOOKUP(F187,MOD_TBL,11,0),IFERROR(VLOOKUP(E187,OCU_TBL,2,0),NEUTRO))</f>
        <v/>
      </c>
      <c r="BS187" s="3">
        <f>SUMIFS(MOT_AJUSTE,MOT_MOTOR,G187,MOT_MARCA,E187,MOT_DESDE,"&lt;="&amp;M187,MOT_HASTA,"&gt;="&amp;M187)+SUMIFS(MOT_AJUSTE,MOT_MOTOR,G187,MOT_MARCA,"(todas)",MOT_DESDE,"&lt;="&amp;M187,MOT_HASTA,"&gt;="&amp;M187)</f>
        <v/>
      </c>
      <c r="BT187" s="3">
        <f>SUMIFS(COMB_AJUSTE,COMB_COMB,K187)</f>
        <v/>
      </c>
      <c r="BU187" s="3">
        <f>COUNTIFS(MOT_MOTOR,G187,MOT_MARCA,E187,MOT_DESDE,"&lt;="&amp;M187,MOT_HASTA,"&gt;="&amp;M187)+COUNTIFS(MOT_MOTOR,G187,MOT_MARCA,"(todas)",MOT_DESDE,"&lt;="&amp;M187,MOT_HASTA,"&gt;="&amp;M187)</f>
        <v/>
      </c>
      <c r="BV187" s="3">
        <f>IF(AND(K187="diesel",BU187=0),MIN(BR187,NEUTRO),BR187)</f>
        <v/>
      </c>
      <c r="BW187" s="4">
        <f>MAX(0,MIN(100,BV187+BS187+BT187))</f>
        <v/>
      </c>
      <c r="BX187" s="3">
        <f>MAX(0,MIN(100,50+BK187*PRECIO_PEND))</f>
        <v/>
      </c>
      <c r="BY187" s="3">
        <f>MAX(0,100*(1-N187/KM_MAX))</f>
        <v/>
      </c>
      <c r="BZ187" s="3">
        <f>IF(BB187&lt;KMA_SOSP,IF(AA187="sí",100,KMA_PEN),IF(BB187&lt;=KMA_IDEAL_MAX,100,MAX(0,100*(KMA_CERO-BB187)/(KMA_CERO-KMA_IDEAL_MAX))))</f>
        <v/>
      </c>
      <c r="CA187" s="3">
        <f>MAX(0,MIN(100,100*(M187-ANIO_MIN)/(ANIO_ACTUAL-ANIO_MIN)))</f>
        <v/>
      </c>
      <c r="CB187" s="3">
        <f>W_KMT*BY187+W_KMA*BZ187+W_EDAD*CA187</f>
        <v/>
      </c>
      <c r="CC187" s="3">
        <f>P_ITV*(V187="sí")+P_LIBRO*(W187="sí")+P_CORREA*(X187="sí")+P_PROP*(Y187=1)+P_GAR*(Z187="sí")+P_FOTOS*MIN(1,N(U187)/FOTOS_OBJ)</f>
        <v/>
      </c>
      <c r="CD187" s="3">
        <f>MAX(0,MIN(100,IFERROR(VLOOKUP(BP187,ETQ_TBL,2,0),0)-IF(BQ187="sí",ETQ_PEN_DUD,IF(AS187="regla",ETQ_PEN_REGLA,0))))</f>
        <v/>
      </c>
      <c r="CE187" s="3">
        <f>NEUTRO</f>
        <v/>
      </c>
      <c r="CF187" s="3">
        <f>IFERROR(VLOOKUP(L187,SEGURO_TBL,3,0),"")</f>
        <v/>
      </c>
      <c r="CG187" s="3">
        <f>IF(CF187="",NEUTRO,MAX(0,MIN(100,100*(SEG_REF_MAX-CF187)/(SEG_REF_MAX-SEG_REF_MIN))))</f>
        <v/>
      </c>
      <c r="CH187" s="3">
        <f>W_CONS*CE187+W_SEG*CG187</f>
        <v/>
      </c>
      <c r="CI187" s="3">
        <f>IF(N(AB187)&gt;0,AB187,IF(AND(R187="profesional",SG_LEGAL_ON=1),GAR_LEGAL,0))</f>
        <v/>
      </c>
      <c r="CJ187" s="3">
        <f>SG_GAR*MIN(1,CI187/SG_GAR_FULL)+SG_AMPL*(AC187="sí")+SG_KMC*(AF187="sí")+SG_REV*(N(AE187)&gt;0)+SG_DEV*MIN(1,N(AG187)/SG_DEV_FULL)+SG_HIST*(W187="sí")</f>
        <v/>
      </c>
      <c r="CK187" s="3">
        <f>IFERROR(VLOOKUP(L187,CARR_PEN_TBL,2,0),0)</f>
        <v/>
      </c>
      <c r="CL187" s="3">
        <f>W_FIAB*BW187+W_PRECIO*BX187+W_KMEDAD*CB187+W_ANUNCIO*CC187+W_USO*CH187+W_SEGURIDAD*CJ187+W_ETIQUETA*CD187-CK187</f>
        <v/>
      </c>
      <c r="CM187" s="4">
        <f>IF(N(I187)&gt;0,I187,IFERROR(ROUND(_xlfn.NUMBERVALUE(LEFT(G187,FIND(" ",G187&amp;" ")-1),".")*1000,0),99999))</f>
        <v/>
      </c>
      <c r="CN187" s="3">
        <f>IF(R187="profesional",0,IF(O187&lt;CUOTA_VALOR_MAX,IF(BA187&gt;ITP_TRAMO_ALTO,SUMIFS(CF_CUOTA,CF_MAS,ITP_TRAMO_ALTO,CF_CCMIN,"&lt;="&amp;CM187,CF_CCMAX,"&gt;="&amp;CM187),IF(BA187&gt;ITP_TRAMO_BAJO,SUMIFS(CF_CUOTA,CF_MAS,ITP_TRAMO_BAJO,CF_CCMIN,"&lt;="&amp;CM187,CF_CCMAX,"&gt;="&amp;CM187),O187*ITP_TIPO)),O187*ITP_TIPO))</f>
        <v/>
      </c>
      <c r="CO187" s="4">
        <f>IF(R187="profesional",N(AK187),0)</f>
        <v/>
      </c>
      <c r="CP187" s="3">
        <f>IF(AND(R187="profesional",ISNUMBER(AK187),AL187="sí"),0,TASA_DGT)</f>
        <v/>
      </c>
      <c r="CQ187" s="3">
        <f>INFORME_DGT</f>
        <v/>
      </c>
      <c r="CR187" s="4">
        <f>O187+CO187+CN187+CP187+CQ187</f>
        <v/>
      </c>
      <c r="CS187" s="4">
        <f>CR187+N(CF187)</f>
        <v/>
      </c>
      <c r="CT187" s="3">
        <f>IF(CR187&lt;=TOTAL_MAX,"sí",IF(CR187&lt;=TOTAL_MAX+MARGEN_NEG,"negociar","no"))</f>
        <v/>
      </c>
      <c r="CU187" s="4">
        <f>IF(CT187&lt;&gt;"no",COUNTIFS($CT$2:$CT$545,"&lt;&gt;no",$CL$2:$CL$545,"&gt;"&amp;CL187)+COUNTIFS($CT$2:CT187,"&lt;&gt;no",$CL$2:CL187,CL187),"")</f>
        <v/>
      </c>
    </row>
    <row r="188">
      <c r="A188" s="2" t="inlineStr">
        <is>
          <t>cochesnet:71753984</t>
        </is>
      </c>
      <c r="B188" s="2" t="inlineStr">
        <is>
          <t>cochesnet</t>
        </is>
      </c>
      <c r="C188" s="2" t="inlineStr">
        <is>
          <t>https://www.coches.net/ford-focus-18-tdci-ghia-4p-diesel-2007-en-valencia-71753984-covo.aspx</t>
        </is>
      </c>
      <c r="D188" s="2" t="inlineStr">
        <is>
          <t>FORD Focus 1.8 TDCi Ghia</t>
        </is>
      </c>
      <c r="E188" s="2" t="inlineStr">
        <is>
          <t>Ford</t>
        </is>
      </c>
      <c r="F188" s="2" t="inlineStr">
        <is>
          <t>Ford Focus</t>
        </is>
      </c>
      <c r="G188" s="2" t="inlineStr">
        <is>
          <t>1.8 TDCi</t>
        </is>
      </c>
      <c r="H188" s="2" t="inlineStr">
        <is>
          <t>1.8 TDCi Ghia</t>
        </is>
      </c>
      <c r="I188" s="2" t="n"/>
      <c r="J188" s="2" t="n"/>
      <c r="K188" s="2" t="inlineStr">
        <is>
          <t>diesel</t>
        </is>
      </c>
      <c r="L188" s="2" t="inlineStr">
        <is>
          <t>compacto</t>
        </is>
      </c>
      <c r="M188" s="2" t="n">
        <v>2007</v>
      </c>
      <c r="N188" s="2" t="n">
        <v>208000</v>
      </c>
      <c r="O188" s="2" t="n">
        <v>3500</v>
      </c>
      <c r="P188" s="2" t="inlineStr">
        <is>
          <t>manual</t>
        </is>
      </c>
      <c r="Q188" s="2" t="inlineStr">
        <is>
          <t>no</t>
        </is>
      </c>
      <c r="R188" s="2" t="inlineStr">
        <is>
          <t>profesional</t>
        </is>
      </c>
      <c r="S188" s="2" t="inlineStr">
        <is>
          <t>Los autos locos xirivella  Xirivella</t>
        </is>
      </c>
      <c r="T188" s="2" t="inlineStr">
        <is>
          <t>2026-10-15T16:38:59Z</t>
        </is>
      </c>
      <c r="U188" s="2" t="n">
        <v>8</v>
      </c>
      <c r="V188" s="2" t="inlineStr">
        <is>
          <t>sí</t>
        </is>
      </c>
      <c r="W188" s="2" t="n"/>
      <c r="X188" s="2" t="n"/>
      <c r="Y188" s="2" t="n"/>
      <c r="Z188" s="2" t="inlineStr">
        <is>
          <t>sí</t>
        </is>
      </c>
      <c r="AA188" s="2" t="n"/>
      <c r="AB188" s="2" t="n">
        <v>12</v>
      </c>
      <c r="AC188" s="2" t="n"/>
      <c r="AD188" s="2" t="n"/>
      <c r="AE188" s="2" t="n"/>
      <c r="AF188" s="2" t="n"/>
      <c r="AG188" s="2" t="n"/>
      <c r="AH188" s="2" t="n">
        <v>3500</v>
      </c>
      <c r="AI188" s="2" t="n"/>
      <c r="AJ188" s="2" t="n"/>
      <c r="AK188" s="2" t="n"/>
      <c r="AL188" s="2" t="n"/>
      <c r="AM188" s="2" t="n">
        <v>4.7</v>
      </c>
      <c r="AN188" s="2" t="n"/>
      <c r="AO188" s="2" t="inlineStr">
        <is>
          <t>2007</t>
        </is>
      </c>
      <c r="AP188" s="2" t="n">
        <v>2007</v>
      </c>
      <c r="AQ188" s="2" t="n"/>
      <c r="AR188" s="2" t="inlineStr">
        <is>
          <t>B</t>
        </is>
      </c>
      <c r="AS188" s="2" t="inlineStr">
        <is>
          <t>anuncio</t>
        </is>
      </c>
      <c r="AT188" s="2" t="n">
        <v>3500</v>
      </c>
      <c r="AU188" s="2" t="n">
        <v>12</v>
      </c>
      <c r="AV188" s="2" t="inlineStr">
        <is>
          <t>modelo+año+km</t>
        </is>
      </c>
      <c r="AW188" s="2" t="inlineStr">
        <is>
          <t>autoscout24:4610ffd3-0fd9-4263-9810-e608873ff1be (https://www.autoscout24.es/anuncios/ford-focus-berlina-manual-de-4-puertas-diesel-azul-cat_ma29mo15537-4610ffd3-0fd9-4263-9810-e608873ff1be)</t>
        </is>
      </c>
      <c r="AX188" s="2" t="inlineStr">
        <is>
          <t>vendedor profesional: sin ITP (operación con IVA/REBU, confirmar en factura); gastos de gestión del vendedor no indicados: se suma la tasa DGT; preguntar el precio final; diésel: motor sin fuente de fiabilidad (fiabilidad limitada a neutra)</t>
        </is>
      </c>
      <c r="AY188" s="2" t="inlineStr">
        <is>
          <t>Este Focus TDCi Ghia destaca por su completo equipamiento de confort y tecnología. Dispone de aire acondicionado bizona automático, volante multifuncional de cuero ajustable, asientos delanteros con regulación lumbar, climatización con filtro de partículas, limpiaparabrisas con sensor de lluvia y retrovisores eléctricos desempañables. El sistema de audio incluye reproductor de CD con control remoto en volante, seis altavoces y ordenador de viaje con datos de consumo e autonomía. Incorpora control de crucero, cierre centralizado con mando a distancia, elevalunas eléctricos en todas las puertas y apertura de maletero eléctrica. La iluminación combina faros dobles halógenos con regulación automática de altura y sensor de luz ambiental, más luces antiniebla delanteras. Cristales tintados en toda la cabina y llantas de aleación completan este equipamiento integral pensado para viajes cómodos y seguros.
12 meses garantia
se entrega con la ITV recién pasada
se entrega con kit distribucion hecho
aceite y filtros
aire acondicionado ok
neumaticos ok
2 llaves
el iva se podra pactar entre ambos</t>
        </is>
      </c>
      <c r="AZ188" s="2" t="inlineStr">
        <is>
          <t>https://www.coches.net/ford-focus-18-tdci-ghia-4p-diesel-2007-en-valencia-71753984-covo.aspx (window.__INITIAL_PROPS__.ad) /home/user/Alopecia/buscador-coches/raw/cochesnet/69aa5db4018a61a1.json</t>
        </is>
      </c>
      <c r="BA188" s="3">
        <f>MAX(ANIO_ACTUAL-M188,0)</f>
        <v/>
      </c>
      <c r="BB188" s="4">
        <f>N188/MAX(BA188,0.5)</f>
        <v/>
      </c>
      <c r="BC188" s="4">
        <f>F188</f>
        <v/>
      </c>
      <c r="BD188" s="3">
        <f>BC188&amp;"|"&amp;INT(M188/SEG_ANIO)*SEG_ANIO</f>
        <v/>
      </c>
      <c r="BE188" s="3">
        <f>BD188&amp;"|"&amp;INT(N188/SEG_KM)*SEG_KM</f>
        <v/>
      </c>
      <c r="BF188" s="4">
        <f>COUNTIF($BC$2:$BC$545,BC188)</f>
        <v/>
      </c>
      <c r="BG188" s="4">
        <f>COUNTIF($BD$2:$BD$545,BD188)</f>
        <v/>
      </c>
      <c r="BH188" s="4">
        <f>COUNTIF($BE$2:$BE$545,BE188)</f>
        <v/>
      </c>
      <c r="BI188" s="3">
        <f t="array" ref="BI188">IF(N(AU188)&gt;=MIN_N,AT188,IF(BH188&gt;=MIN_N,MEDIAN(IF($BE$2:$BE$545=BE188,$O$2:$O$545)),IF(BG188&gt;=MIN_N,MEDIAN(IF($BD$2:$BD$545=BD188,$O$2:$O$545)),MEDIAN(IF($BC$2:$BC$545=BC188,$O$2:$O$545)))))</f>
        <v/>
      </c>
      <c r="BJ188" s="3">
        <f>IF(N(AU188)&gt;=MIN_N,"mercado "&amp;AV188,IF(BH188&gt;=MIN_N,"modelo+año+km",IF(BG188&gt;=MIN_N,"modelo+año","modelo")))</f>
        <v/>
      </c>
      <c r="BK188" s="4">
        <f>(BI188-O188)/BI188</f>
        <v/>
      </c>
      <c r="BL188" s="3">
        <f>IF(COUNTIFS(FR_FUEL,K188,FR_YEAR,AP188)&gt;0,1,0)</f>
        <v/>
      </c>
      <c r="BM188" s="3">
        <f>IF(COUNTIFS(FR_FUEL,K188,FR_YEAR,AP188-1)&gt;0,1,0)</f>
        <v/>
      </c>
      <c r="BN188" s="4">
        <f>IF(N(AQ188)&gt;0,AP188*100+AQ188,IF(AND(BL188=1,BM188=1),(AP188-1)*100+1,AP188*100+1))</f>
        <v/>
      </c>
      <c r="BO188" s="3">
        <f>IF(OR(K188="hibrido",K188="glp",K188="gnc",K188="phev"),"ECO",IF(K188="electrico","CERO",IF(K188="gasolina",IF(BN188&gt;=GAS_C_YM,"C",IF(BN188&gt;=GAS_B_YM,"B","A")),IF(K188="diesel",IF(BN188&gt;=DIE_C_YM,"C",IF(BN188&gt;=DIE_B_YM,"B","A")),""))))</f>
        <v/>
      </c>
      <c r="BP188" s="2" t="inlineStr">
        <is>
          <t>B</t>
        </is>
      </c>
      <c r="BQ188" s="4">
        <f>IF(AS188="regla",IF(AND(N(AQ188)=0,BL188=1),"sí","no"),"no")</f>
        <v/>
      </c>
      <c r="BR188" s="3">
        <f>IFERROR(VLOOKUP(F188,MOD_TBL,11,0),IFERROR(VLOOKUP(E188,OCU_TBL,2,0),NEUTRO))</f>
        <v/>
      </c>
      <c r="BS188" s="3">
        <f>SUMIFS(MOT_AJUSTE,MOT_MOTOR,G188,MOT_MARCA,E188,MOT_DESDE,"&lt;="&amp;M188,MOT_HASTA,"&gt;="&amp;M188)+SUMIFS(MOT_AJUSTE,MOT_MOTOR,G188,MOT_MARCA,"(todas)",MOT_DESDE,"&lt;="&amp;M188,MOT_HASTA,"&gt;="&amp;M188)</f>
        <v/>
      </c>
      <c r="BT188" s="3">
        <f>SUMIFS(COMB_AJUSTE,COMB_COMB,K188)</f>
        <v/>
      </c>
      <c r="BU188" s="3">
        <f>COUNTIFS(MOT_MOTOR,G188,MOT_MARCA,E188,MOT_DESDE,"&lt;="&amp;M188,MOT_HASTA,"&gt;="&amp;M188)+COUNTIFS(MOT_MOTOR,G188,MOT_MARCA,"(todas)",MOT_DESDE,"&lt;="&amp;M188,MOT_HASTA,"&gt;="&amp;M188)</f>
        <v/>
      </c>
      <c r="BV188" s="3">
        <f>IF(AND(K188="diesel",BU188=0),MIN(BR188,NEUTRO),BR188)</f>
        <v/>
      </c>
      <c r="BW188" s="4">
        <f>MAX(0,MIN(100,BV188+BS188+BT188))</f>
        <v/>
      </c>
      <c r="BX188" s="3">
        <f>MAX(0,MIN(100,50+BK188*PRECIO_PEND))</f>
        <v/>
      </c>
      <c r="BY188" s="3">
        <f>MAX(0,100*(1-N188/KM_MAX))</f>
        <v/>
      </c>
      <c r="BZ188" s="3">
        <f>IF(BB188&lt;KMA_SOSP,IF(AA188="sí",100,KMA_PEN),IF(BB188&lt;=KMA_IDEAL_MAX,100,MAX(0,100*(KMA_CERO-BB188)/(KMA_CERO-KMA_IDEAL_MAX))))</f>
        <v/>
      </c>
      <c r="CA188" s="3">
        <f>MAX(0,MIN(100,100*(M188-ANIO_MIN)/(ANIO_ACTUAL-ANIO_MIN)))</f>
        <v/>
      </c>
      <c r="CB188" s="3">
        <f>W_KMT*BY188+W_KMA*BZ188+W_EDAD*CA188</f>
        <v/>
      </c>
      <c r="CC188" s="3">
        <f>P_ITV*(V188="sí")+P_LIBRO*(W188="sí")+P_CORREA*(X188="sí")+P_PROP*(Y188=1)+P_GAR*(Z188="sí")+P_FOTOS*MIN(1,N(U188)/FOTOS_OBJ)</f>
        <v/>
      </c>
      <c r="CD188" s="3">
        <f>MAX(0,MIN(100,IFERROR(VLOOKUP(BP188,ETQ_TBL,2,0),0)-IF(BQ188="sí",ETQ_PEN_DUD,IF(AS188="regla",ETQ_PEN_REGLA,0))))</f>
        <v/>
      </c>
      <c r="CE188" s="3">
        <f>NEUTRO</f>
        <v/>
      </c>
      <c r="CF188" s="3">
        <f>IFERROR(VLOOKUP(L188,SEGURO_TBL,3,0),"")</f>
        <v/>
      </c>
      <c r="CG188" s="3">
        <f>IF(CF188="",NEUTRO,MAX(0,MIN(100,100*(SEG_REF_MAX-CF188)/(SEG_REF_MAX-SEG_REF_MIN))))</f>
        <v/>
      </c>
      <c r="CH188" s="3">
        <f>W_CONS*CE188+W_SEG*CG188</f>
        <v/>
      </c>
      <c r="CI188" s="3">
        <f>IF(N(AB188)&gt;0,AB188,IF(AND(R188="profesional",SG_LEGAL_ON=1),GAR_LEGAL,0))</f>
        <v/>
      </c>
      <c r="CJ188" s="3">
        <f>SG_GAR*MIN(1,CI188/SG_GAR_FULL)+SG_AMPL*(AC188="sí")+SG_KMC*(AF188="sí")+SG_REV*(N(AE188)&gt;0)+SG_DEV*MIN(1,N(AG188)/SG_DEV_FULL)+SG_HIST*(W188="sí")</f>
        <v/>
      </c>
      <c r="CK188" s="3">
        <f>IFERROR(VLOOKUP(L188,CARR_PEN_TBL,2,0),0)</f>
        <v/>
      </c>
      <c r="CL188" s="3">
        <f>W_FIAB*BW188+W_PRECIO*BX188+W_KMEDAD*CB188+W_ANUNCIO*CC188+W_USO*CH188+W_SEGURIDAD*CJ188+W_ETIQUETA*CD188-CK188</f>
        <v/>
      </c>
      <c r="CM188" s="4">
        <f>IF(N(I188)&gt;0,I188,IFERROR(ROUND(_xlfn.NUMBERVALUE(LEFT(G188,FIND(" ",G188&amp;" ")-1),".")*1000,0),99999))</f>
        <v/>
      </c>
      <c r="CN188" s="3">
        <f>IF(R188="profesional",0,IF(O188&lt;CUOTA_VALOR_MAX,IF(BA188&gt;ITP_TRAMO_ALTO,SUMIFS(CF_CUOTA,CF_MAS,ITP_TRAMO_ALTO,CF_CCMIN,"&lt;="&amp;CM188,CF_CCMAX,"&gt;="&amp;CM188),IF(BA188&gt;ITP_TRAMO_BAJO,SUMIFS(CF_CUOTA,CF_MAS,ITP_TRAMO_BAJO,CF_CCMIN,"&lt;="&amp;CM188,CF_CCMAX,"&gt;="&amp;CM188),O188*ITP_TIPO)),O188*ITP_TIPO))</f>
        <v/>
      </c>
      <c r="CO188" s="4">
        <f>IF(R188="profesional",N(AK188),0)</f>
        <v/>
      </c>
      <c r="CP188" s="3">
        <f>IF(AND(R188="profesional",ISNUMBER(AK188),AL188="sí"),0,TASA_DGT)</f>
        <v/>
      </c>
      <c r="CQ188" s="3">
        <f>INFORME_DGT</f>
        <v/>
      </c>
      <c r="CR188" s="4">
        <f>O188+CO188+CN188+CP188+CQ188</f>
        <v/>
      </c>
      <c r="CS188" s="4">
        <f>CR188+N(CF188)</f>
        <v/>
      </c>
      <c r="CT188" s="3">
        <f>IF(CR188&lt;=TOTAL_MAX,"sí",IF(CR188&lt;=TOTAL_MAX+MARGEN_NEG,"negociar","no"))</f>
        <v/>
      </c>
      <c r="CU188" s="4">
        <f>IF(CT188&lt;&gt;"no",COUNTIFS($CT$2:$CT$545,"&lt;&gt;no",$CL$2:$CL$545,"&gt;"&amp;CL188)+COUNTIFS($CT$2:CT188,"&lt;&gt;no",$CL$2:CL188,CL188),"")</f>
        <v/>
      </c>
    </row>
    <row r="189">
      <c r="A189" s="2" t="inlineStr">
        <is>
          <t>autoscout24:741792f4-6695-4e03-be4d-e3507e1dd9d4</t>
        </is>
      </c>
      <c r="B189" s="2" t="inlineStr">
        <is>
          <t>autoscout24</t>
        </is>
      </c>
      <c r="C189" s="2" t="inlineStr">
        <is>
          <t>https://www.autoscout24.es/anuncios/ford-focus-focus-2-0i-16v-trend-trend-gasolina-azul-cat_ma29mo15537-741792f4-6695-4e03-be4d-e3507e1dd9d4</t>
        </is>
      </c>
      <c r="D189" s="2" t="inlineStr">
        <is>
          <t>Ford Focus Focus 2.0i 16v Trend Trend</t>
        </is>
      </c>
      <c r="E189" s="2" t="inlineStr">
        <is>
          <t>Ford</t>
        </is>
      </c>
      <c r="F189" s="2" t="inlineStr">
        <is>
          <t>Ford Focus</t>
        </is>
      </c>
      <c r="G189" s="2" t="inlineStr">
        <is>
          <t>1.8</t>
        </is>
      </c>
      <c r="H189" s="2" t="inlineStr">
        <is>
          <t>Focus 2.0i 16v Trend Trend 2.0</t>
        </is>
      </c>
      <c r="I189" s="2" t="n">
        <v>1789</v>
      </c>
      <c r="J189" s="2" t="n">
        <v>125</v>
      </c>
      <c r="K189" s="2" t="inlineStr">
        <is>
          <t>gasolina</t>
        </is>
      </c>
      <c r="L189" s="2" t="inlineStr">
        <is>
          <t>compacto</t>
        </is>
      </c>
      <c r="M189" s="2" t="n">
        <v>2009</v>
      </c>
      <c r="N189" s="2" t="n">
        <v>209000</v>
      </c>
      <c r="O189" s="2" t="n">
        <v>4300</v>
      </c>
      <c r="P189" s="2" t="inlineStr">
        <is>
          <t>manual</t>
        </is>
      </c>
      <c r="Q189" s="2" t="inlineStr">
        <is>
          <t>no</t>
        </is>
      </c>
      <c r="R189" s="2" t="inlineStr">
        <is>
          <t>particular</t>
        </is>
      </c>
      <c r="S189" s="2" t="inlineStr">
        <is>
          <t>Betxí (12549)</t>
        </is>
      </c>
      <c r="T189" s="2" t="n"/>
      <c r="U189" s="2" t="n">
        <v>10</v>
      </c>
      <c r="V189" s="2" t="n"/>
      <c r="W189" s="2" t="n"/>
      <c r="X189" s="2" t="n"/>
      <c r="Y189" s="2" t="n"/>
      <c r="Z189" s="2" t="n"/>
      <c r="AA189" s="2" t="n"/>
      <c r="AB189" s="2" t="n"/>
      <c r="AC189" s="2" t="n"/>
      <c r="AD189" s="2" t="n"/>
      <c r="AE189" s="2" t="n"/>
      <c r="AF189" s="2" t="n"/>
      <c r="AG189" s="2" t="n"/>
      <c r="AH189" s="2" t="n"/>
      <c r="AI189" s="2" t="n"/>
      <c r="AJ189" s="2" t="n"/>
      <c r="AK189" s="2" t="n"/>
      <c r="AL189" s="2" t="n"/>
      <c r="AM189" s="2" t="n">
        <v>53</v>
      </c>
      <c r="AN189" s="2" t="n"/>
      <c r="AO189" s="2" t="inlineStr">
        <is>
          <t>2009-11</t>
        </is>
      </c>
      <c r="AP189" s="2" t="n">
        <v>2009</v>
      </c>
      <c r="AQ189" s="2" t="n">
        <v>11</v>
      </c>
      <c r="AR189" s="2" t="n"/>
      <c r="AS189" s="2" t="inlineStr">
        <is>
          <t>regla</t>
        </is>
      </c>
      <c r="AT189" s="2" t="n">
        <v>3500</v>
      </c>
      <c r="AU189" s="2" t="n">
        <v>12</v>
      </c>
      <c r="AV189" s="2" t="inlineStr">
        <is>
          <t>modelo+año+km</t>
        </is>
      </c>
      <c r="AW189" s="2" t="n"/>
      <c r="AX189" s="2" t="inlineStr">
        <is>
          <t>cuota fija ITP: &gt;12 años, 1.501-2.000 cc</t>
        </is>
      </c>
      <c r="AY189" s="2" t="inlineStr">
        <is>
          <t>&lt;strong&gt;Matriculación:&lt;/strong&gt; 12/11/2009&lt;br /&gt;&lt;strong&gt;Motor:&lt;/strong&gt; 1.8 Duratec Gasolina — 125 CV&lt;br /&gt;&lt;strong&gt;Kilometraje:&lt;/strong&gt; 209.000 km&lt;br /&gt;&lt;strong&gt;Embrague:&lt;/strong&gt; Kit de embrague totalmente nuevo&lt;br /&gt;Se vende Ford Focus familiar (SW), un coche conocido por la gran fiabilidad de su motor 1.8 Duratec — un motor atmosférico sencillo, sin turbo ni complicaciones electrónicas añadidas, con un mantenimiento asequible y muy resistente al paso de los kilómetros. Ideal para quien busca un coche familiar, práctico y de bajo coste de mantenimiento.&lt;br /&gt;&lt;strong&gt;Equipamiento:&lt;/strong&gt;&lt;br /&gt;📱 Pantalla Android con GPS&lt;br /&gt;🖥️ Ordenador de a bordo&lt;br /&gt;❄️ Climatizador&lt;br /&gt;🔑 Arranque sin llave (Keyless) con botón Start/Stop&lt;br /&gt;🚗 Barras de techo de aluminio cromadas&lt;br /&gt;✅ Kit de embrague nuevo&lt;br /&gt;✅ Coche en perfecto estado mecánico&lt;br /&gt;✅ Solo algunos pequeños defectos estéticos de chapa, propios de la edad del vehículo, sin ninguna importancia&lt;br /&gt;✅ Disponible para cualquier prueba mecánica y de conducción&lt;br /&gt;Un coche familiar, económico, bien equipado y con un motor de sobra probado por su fiabilidad.&lt;br /&gt;📞 &lt;strong&gt;Contacto: 634 817 697&lt;/strong&gt;</t>
        </is>
      </c>
      <c r="AZ189" s="2" t="inlineStr">
        <is>
          <t>https://www.autoscout24.es/anuncios/ford-focus-focus-2-0i-16v-trend-trend-gasolina-azul-cat_ma29mo15537-741792f4-6695-4e03-be4d-e3507e1dd9d4 (__NEXT_DATA__ listingDetails) /home/user/Alopecia/buscador-coches/raw/autoscout24/64ef11897d652857.json</t>
        </is>
      </c>
      <c r="BA189" s="3">
        <f>MAX(ANIO_ACTUAL-M189,0)</f>
        <v/>
      </c>
      <c r="BB189" s="4">
        <f>N189/MAX(BA189,0.5)</f>
        <v/>
      </c>
      <c r="BC189" s="4">
        <f>F189</f>
        <v/>
      </c>
      <c r="BD189" s="3">
        <f>BC189&amp;"|"&amp;INT(M189/SEG_ANIO)*SEG_ANIO</f>
        <v/>
      </c>
      <c r="BE189" s="3">
        <f>BD189&amp;"|"&amp;INT(N189/SEG_KM)*SEG_KM</f>
        <v/>
      </c>
      <c r="BF189" s="4">
        <f>COUNTIF($BC$2:$BC$545,BC189)</f>
        <v/>
      </c>
      <c r="BG189" s="4">
        <f>COUNTIF($BD$2:$BD$545,BD189)</f>
        <v/>
      </c>
      <c r="BH189" s="4">
        <f>COUNTIF($BE$2:$BE$545,BE189)</f>
        <v/>
      </c>
      <c r="BI189" s="3">
        <f t="array" ref="BI189">IF(N(AU189)&gt;=MIN_N,AT189,IF(BH189&gt;=MIN_N,MEDIAN(IF($BE$2:$BE$545=BE189,$O$2:$O$545)),IF(BG189&gt;=MIN_N,MEDIAN(IF($BD$2:$BD$545=BD189,$O$2:$O$545)),MEDIAN(IF($BC$2:$BC$545=BC189,$O$2:$O$545)))))</f>
        <v/>
      </c>
      <c r="BJ189" s="3">
        <f>IF(N(AU189)&gt;=MIN_N,"mercado "&amp;AV189,IF(BH189&gt;=MIN_N,"modelo+año+km",IF(BG189&gt;=MIN_N,"modelo+año","modelo")))</f>
        <v/>
      </c>
      <c r="BK189" s="4">
        <f>(BI189-O189)/BI189</f>
        <v/>
      </c>
      <c r="BL189" s="3">
        <f>IF(COUNTIFS(FR_FUEL,K189,FR_YEAR,AP189)&gt;0,1,0)</f>
        <v/>
      </c>
      <c r="BM189" s="3">
        <f>IF(COUNTIFS(FR_FUEL,K189,FR_YEAR,AP189-1)&gt;0,1,0)</f>
        <v/>
      </c>
      <c r="BN189" s="4">
        <f>IF(N(AQ189)&gt;0,AP189*100+AQ189,IF(AND(BL189=1,BM189=1),(AP189-1)*100+1,AP189*100+1))</f>
        <v/>
      </c>
      <c r="BO189" s="3">
        <f>IF(OR(K189="hibrido",K189="glp",K189="gnc",K189="phev"),"ECO",IF(K189="electrico","CERO",IF(K189="gasolina",IF(BN189&gt;=GAS_C_YM,"C",IF(BN189&gt;=GAS_B_YM,"B","A")),IF(K189="diesel",IF(BN189&gt;=DIE_C_YM,"C",IF(BN189&gt;=DIE_B_YM,"B","A")),""))))</f>
        <v/>
      </c>
      <c r="BP189" s="4">
        <f>BO189</f>
        <v/>
      </c>
      <c r="BQ189" s="4">
        <f>IF(AS189="regla",IF(AND(N(AQ189)=0,BL189=1),"sí","no"),"no")</f>
        <v/>
      </c>
      <c r="BR189" s="3">
        <f>IFERROR(VLOOKUP(F189,MOD_TBL,11,0),IFERROR(VLOOKUP(E189,OCU_TBL,2,0),NEUTRO))</f>
        <v/>
      </c>
      <c r="BS189" s="3">
        <f>SUMIFS(MOT_AJUSTE,MOT_MOTOR,G189,MOT_MARCA,E189,MOT_DESDE,"&lt;="&amp;M189,MOT_HASTA,"&gt;="&amp;M189)+SUMIFS(MOT_AJUSTE,MOT_MOTOR,G189,MOT_MARCA,"(todas)",MOT_DESDE,"&lt;="&amp;M189,MOT_HASTA,"&gt;="&amp;M189)</f>
        <v/>
      </c>
      <c r="BT189" s="3">
        <f>SUMIFS(COMB_AJUSTE,COMB_COMB,K189)</f>
        <v/>
      </c>
      <c r="BU189" s="3">
        <f>COUNTIFS(MOT_MOTOR,G189,MOT_MARCA,E189,MOT_DESDE,"&lt;="&amp;M189,MOT_HASTA,"&gt;="&amp;M189)+COUNTIFS(MOT_MOTOR,G189,MOT_MARCA,"(todas)",MOT_DESDE,"&lt;="&amp;M189,MOT_HASTA,"&gt;="&amp;M189)</f>
        <v/>
      </c>
      <c r="BV189" s="3">
        <f>IF(AND(K189="diesel",BU189=0),MIN(BR189,NEUTRO),BR189)</f>
        <v/>
      </c>
      <c r="BW189" s="4">
        <f>MAX(0,MIN(100,BV189+BS189+BT189))</f>
        <v/>
      </c>
      <c r="BX189" s="3">
        <f>MAX(0,MIN(100,50+BK189*PRECIO_PEND))</f>
        <v/>
      </c>
      <c r="BY189" s="3">
        <f>MAX(0,100*(1-N189/KM_MAX))</f>
        <v/>
      </c>
      <c r="BZ189" s="3">
        <f>IF(BB189&lt;KMA_SOSP,IF(AA189="sí",100,KMA_PEN),IF(BB189&lt;=KMA_IDEAL_MAX,100,MAX(0,100*(KMA_CERO-BB189)/(KMA_CERO-KMA_IDEAL_MAX))))</f>
        <v/>
      </c>
      <c r="CA189" s="3">
        <f>MAX(0,MIN(100,100*(M189-ANIO_MIN)/(ANIO_ACTUAL-ANIO_MIN)))</f>
        <v/>
      </c>
      <c r="CB189" s="3">
        <f>W_KMT*BY189+W_KMA*BZ189+W_EDAD*CA189</f>
        <v/>
      </c>
      <c r="CC189" s="3">
        <f>P_ITV*(V189="sí")+P_LIBRO*(W189="sí")+P_CORREA*(X189="sí")+P_PROP*(Y189=1)+P_GAR*(Z189="sí")+P_FOTOS*MIN(1,N(U189)/FOTOS_OBJ)</f>
        <v/>
      </c>
      <c r="CD189" s="3">
        <f>MAX(0,MIN(100,IFERROR(VLOOKUP(BP189,ETQ_TBL,2,0),0)-IF(BQ189="sí",ETQ_PEN_DUD,IF(AS189="regla",ETQ_PEN_REGLA,0))))</f>
        <v/>
      </c>
      <c r="CE189" s="3">
        <f>NEUTRO</f>
        <v/>
      </c>
      <c r="CF189" s="3">
        <f>IFERROR(VLOOKUP(L189,SEGURO_TBL,3,0),"")</f>
        <v/>
      </c>
      <c r="CG189" s="3">
        <f>IF(CF189="",NEUTRO,MAX(0,MIN(100,100*(SEG_REF_MAX-CF189)/(SEG_REF_MAX-SEG_REF_MIN))))</f>
        <v/>
      </c>
      <c r="CH189" s="3">
        <f>W_CONS*CE189+W_SEG*CG189</f>
        <v/>
      </c>
      <c r="CI189" s="3">
        <f>IF(N(AB189)&gt;0,AB189,IF(AND(R189="profesional",SG_LEGAL_ON=1),GAR_LEGAL,0))</f>
        <v/>
      </c>
      <c r="CJ189" s="3">
        <f>SG_GAR*MIN(1,CI189/SG_GAR_FULL)+SG_AMPL*(AC189="sí")+SG_KMC*(AF189="sí")+SG_REV*(N(AE189)&gt;0)+SG_DEV*MIN(1,N(AG189)/SG_DEV_FULL)+SG_HIST*(W189="sí")</f>
        <v/>
      </c>
      <c r="CK189" s="3">
        <f>IFERROR(VLOOKUP(L189,CARR_PEN_TBL,2,0),0)</f>
        <v/>
      </c>
      <c r="CL189" s="3">
        <f>W_FIAB*BW189+W_PRECIO*BX189+W_KMEDAD*CB189+W_ANUNCIO*CC189+W_USO*CH189+W_SEGURIDAD*CJ189+W_ETIQUETA*CD189-CK189</f>
        <v/>
      </c>
      <c r="CM189" s="4">
        <f>IF(N(I189)&gt;0,I189,IFERROR(ROUND(_xlfn.NUMBERVALUE(LEFT(G189,FIND(" ",G189&amp;" ")-1),".")*1000,0),99999))</f>
        <v/>
      </c>
      <c r="CN189" s="3">
        <f>IF(R189="profesional",0,IF(O189&lt;CUOTA_VALOR_MAX,IF(BA189&gt;ITP_TRAMO_ALTO,SUMIFS(CF_CUOTA,CF_MAS,ITP_TRAMO_ALTO,CF_CCMIN,"&lt;="&amp;CM189,CF_CCMAX,"&gt;="&amp;CM189),IF(BA189&gt;ITP_TRAMO_BAJO,SUMIFS(CF_CUOTA,CF_MAS,ITP_TRAMO_BAJO,CF_CCMIN,"&lt;="&amp;CM189,CF_CCMAX,"&gt;="&amp;CM189),O189*ITP_TIPO)),O189*ITP_TIPO))</f>
        <v/>
      </c>
      <c r="CO189" s="4">
        <f>IF(R189="profesional",N(AK189),0)</f>
        <v/>
      </c>
      <c r="CP189" s="3">
        <f>IF(AND(R189="profesional",ISNUMBER(AK189),AL189="sí"),0,TASA_DGT)</f>
        <v/>
      </c>
      <c r="CQ189" s="3">
        <f>INFORME_DGT</f>
        <v/>
      </c>
      <c r="CR189" s="4">
        <f>O189+CO189+CN189+CP189+CQ189</f>
        <v/>
      </c>
      <c r="CS189" s="4">
        <f>CR189+N(CF189)</f>
        <v/>
      </c>
      <c r="CT189" s="3">
        <f>IF(CR189&lt;=TOTAL_MAX,"sí",IF(CR189&lt;=TOTAL_MAX+MARGEN_NEG,"negociar","no"))</f>
        <v/>
      </c>
      <c r="CU189" s="4">
        <f>IF(CT189&lt;&gt;"no",COUNTIFS($CT$2:$CT$545,"&lt;&gt;no",$CL$2:$CL$545,"&gt;"&amp;CL189)+COUNTIFS($CT$2:CT189,"&lt;&gt;no",$CL$2:CL189,CL189),"")</f>
        <v/>
      </c>
    </row>
    <row r="190">
      <c r="A190" s="2" t="inlineStr">
        <is>
          <t>autoscout24:83c91b8f-ded0-4180-8192-3d0f5fa77558</t>
        </is>
      </c>
      <c r="B190" s="2" t="inlineStr">
        <is>
          <t>autoscout24</t>
        </is>
      </c>
      <c r="C190" s="2" t="inlineStr">
        <is>
          <t>https://www.autoscout24.es/anuncios/ford-focus-1-6-ghia-115-gasolina-negro-cat_ma29mo15537-83c91b8f-ded0-4180-8192-3d0f5fa77558</t>
        </is>
      </c>
      <c r="D190" s="2" t="inlineStr">
        <is>
          <t>Ford Focus 1.6 Ghia 115</t>
        </is>
      </c>
      <c r="E190" s="2" t="inlineStr">
        <is>
          <t>Ford</t>
        </is>
      </c>
      <c r="F190" s="2" t="inlineStr">
        <is>
          <t>Ford Focus</t>
        </is>
      </c>
      <c r="G190" s="2" t="inlineStr">
        <is>
          <t>1.6</t>
        </is>
      </c>
      <c r="H190" s="2" t="inlineStr">
        <is>
          <t>1.6 Ghia 115 1.6</t>
        </is>
      </c>
      <c r="I190" s="2" t="n">
        <v>1596</v>
      </c>
      <c r="J190" s="2" t="n">
        <v>116</v>
      </c>
      <c r="K190" s="2" t="inlineStr">
        <is>
          <t>gasolina</t>
        </is>
      </c>
      <c r="L190" s="2" t="inlineStr">
        <is>
          <t>compacto</t>
        </is>
      </c>
      <c r="M190" s="2" t="n">
        <v>2007</v>
      </c>
      <c r="N190" s="2" t="n">
        <v>156500</v>
      </c>
      <c r="O190" s="2" t="n">
        <v>4500</v>
      </c>
      <c r="P190" s="2" t="inlineStr">
        <is>
          <t>manual</t>
        </is>
      </c>
      <c r="Q190" s="2" t="inlineStr">
        <is>
          <t>no</t>
        </is>
      </c>
      <c r="R190" s="2" t="inlineStr">
        <is>
          <t>particular</t>
        </is>
      </c>
      <c r="S190" s="2" t="inlineStr">
        <is>
          <t>Castelló de la Plana (12006)</t>
        </is>
      </c>
      <c r="T190" s="2" t="n"/>
      <c r="U190" s="2" t="n">
        <v>7</v>
      </c>
      <c r="V190" s="2" t="n"/>
      <c r="W190" s="2" t="n"/>
      <c r="X190" s="2" t="n"/>
      <c r="Y190" s="2" t="n"/>
      <c r="Z190" s="2" t="n"/>
      <c r="AA190" s="2" t="n"/>
      <c r="AB190" s="2" t="n"/>
      <c r="AC190" s="2" t="n"/>
      <c r="AD190" s="2" t="n"/>
      <c r="AE190" s="2" t="n"/>
      <c r="AF190" s="2" t="n"/>
      <c r="AG190" s="2" t="n"/>
      <c r="AH190" s="2" t="n"/>
      <c r="AI190" s="2" t="n"/>
      <c r="AJ190" s="2" t="n"/>
      <c r="AK190" s="2" t="n"/>
      <c r="AL190" s="2" t="n"/>
      <c r="AM190" s="2" t="n">
        <v>63.9</v>
      </c>
      <c r="AN190" s="2" t="n"/>
      <c r="AO190" s="2" t="inlineStr">
        <is>
          <t>2007-09</t>
        </is>
      </c>
      <c r="AP190" s="2" t="n">
        <v>2007</v>
      </c>
      <c r="AQ190" s="2" t="n">
        <v>9</v>
      </c>
      <c r="AR190" s="2" t="n"/>
      <c r="AS190" s="2" t="inlineStr">
        <is>
          <t>regla</t>
        </is>
      </c>
      <c r="AT190" s="2" t="n">
        <v>3870</v>
      </c>
      <c r="AU190" s="2" t="n">
        <v>10</v>
      </c>
      <c r="AV190" s="2" t="inlineStr">
        <is>
          <t>modelo+año+km</t>
        </is>
      </c>
      <c r="AW190" s="2" t="n"/>
      <c r="AX190" s="2" t="inlineStr">
        <is>
          <t>cuota fija ITP: &gt;12 años, 1.501-2.000 cc</t>
        </is>
      </c>
      <c r="AY190" s="2" t="inlineStr"/>
      <c r="AZ190" s="2" t="inlineStr">
        <is>
          <t>https://www.autoscout24.es/anuncios/ford-focus-1-6-ghia-115-gasolina-negro-cat_ma29mo15537-83c91b8f-ded0-4180-8192-3d0f5fa77558 (__NEXT_DATA__ listingDetails) /home/user/Alopecia/buscador-coches/raw/autoscout24/aeeb74a652247ba2.json</t>
        </is>
      </c>
      <c r="BA190" s="3">
        <f>MAX(ANIO_ACTUAL-M190,0)</f>
        <v/>
      </c>
      <c r="BB190" s="4">
        <f>N190/MAX(BA190,0.5)</f>
        <v/>
      </c>
      <c r="BC190" s="4">
        <f>F190</f>
        <v/>
      </c>
      <c r="BD190" s="3">
        <f>BC190&amp;"|"&amp;INT(M190/SEG_ANIO)*SEG_ANIO</f>
        <v/>
      </c>
      <c r="BE190" s="3">
        <f>BD190&amp;"|"&amp;INT(N190/SEG_KM)*SEG_KM</f>
        <v/>
      </c>
      <c r="BF190" s="4">
        <f>COUNTIF($BC$2:$BC$545,BC190)</f>
        <v/>
      </c>
      <c r="BG190" s="4">
        <f>COUNTIF($BD$2:$BD$545,BD190)</f>
        <v/>
      </c>
      <c r="BH190" s="4">
        <f>COUNTIF($BE$2:$BE$545,BE190)</f>
        <v/>
      </c>
      <c r="BI190" s="3">
        <f t="array" ref="BI190">IF(N(AU190)&gt;=MIN_N,AT190,IF(BH190&gt;=MIN_N,MEDIAN(IF($BE$2:$BE$545=BE190,$O$2:$O$545)),IF(BG190&gt;=MIN_N,MEDIAN(IF($BD$2:$BD$545=BD190,$O$2:$O$545)),MEDIAN(IF($BC$2:$BC$545=BC190,$O$2:$O$545)))))</f>
        <v/>
      </c>
      <c r="BJ190" s="3">
        <f>IF(N(AU190)&gt;=MIN_N,"mercado "&amp;AV190,IF(BH190&gt;=MIN_N,"modelo+año+km",IF(BG190&gt;=MIN_N,"modelo+año","modelo")))</f>
        <v/>
      </c>
      <c r="BK190" s="4">
        <f>(BI190-O190)/BI190</f>
        <v/>
      </c>
      <c r="BL190" s="3">
        <f>IF(COUNTIFS(FR_FUEL,K190,FR_YEAR,AP190)&gt;0,1,0)</f>
        <v/>
      </c>
      <c r="BM190" s="3">
        <f>IF(COUNTIFS(FR_FUEL,K190,FR_YEAR,AP190-1)&gt;0,1,0)</f>
        <v/>
      </c>
      <c r="BN190" s="4">
        <f>IF(N(AQ190)&gt;0,AP190*100+AQ190,IF(AND(BL190=1,BM190=1),(AP190-1)*100+1,AP190*100+1))</f>
        <v/>
      </c>
      <c r="BO190" s="3">
        <f>IF(OR(K190="hibrido",K190="glp",K190="gnc",K190="phev"),"ECO",IF(K190="electrico","CERO",IF(K190="gasolina",IF(BN190&gt;=GAS_C_YM,"C",IF(BN190&gt;=GAS_B_YM,"B","A")),IF(K190="diesel",IF(BN190&gt;=DIE_C_YM,"C",IF(BN190&gt;=DIE_B_YM,"B","A")),""))))</f>
        <v/>
      </c>
      <c r="BP190" s="4">
        <f>BO190</f>
        <v/>
      </c>
      <c r="BQ190" s="4">
        <f>IF(AS190="regla",IF(AND(N(AQ190)=0,BL190=1),"sí","no"),"no")</f>
        <v/>
      </c>
      <c r="BR190" s="3">
        <f>IFERROR(VLOOKUP(F190,MOD_TBL,11,0),IFERROR(VLOOKUP(E190,OCU_TBL,2,0),NEUTRO))</f>
        <v/>
      </c>
      <c r="BS190" s="3">
        <f>SUMIFS(MOT_AJUSTE,MOT_MOTOR,G190,MOT_MARCA,E190,MOT_DESDE,"&lt;="&amp;M190,MOT_HASTA,"&gt;="&amp;M190)+SUMIFS(MOT_AJUSTE,MOT_MOTOR,G190,MOT_MARCA,"(todas)",MOT_DESDE,"&lt;="&amp;M190,MOT_HASTA,"&gt;="&amp;M190)</f>
        <v/>
      </c>
      <c r="BT190" s="3">
        <f>SUMIFS(COMB_AJUSTE,COMB_COMB,K190)</f>
        <v/>
      </c>
      <c r="BU190" s="3">
        <f>COUNTIFS(MOT_MOTOR,G190,MOT_MARCA,E190,MOT_DESDE,"&lt;="&amp;M190,MOT_HASTA,"&gt;="&amp;M190)+COUNTIFS(MOT_MOTOR,G190,MOT_MARCA,"(todas)",MOT_DESDE,"&lt;="&amp;M190,MOT_HASTA,"&gt;="&amp;M190)</f>
        <v/>
      </c>
      <c r="BV190" s="3">
        <f>IF(AND(K190="diesel",BU190=0),MIN(BR190,NEUTRO),BR190)</f>
        <v/>
      </c>
      <c r="BW190" s="4">
        <f>MAX(0,MIN(100,BV190+BS190+BT190))</f>
        <v/>
      </c>
      <c r="BX190" s="3">
        <f>MAX(0,MIN(100,50+BK190*PRECIO_PEND))</f>
        <v/>
      </c>
      <c r="BY190" s="3">
        <f>MAX(0,100*(1-N190/KM_MAX))</f>
        <v/>
      </c>
      <c r="BZ190" s="3">
        <f>IF(BB190&lt;KMA_SOSP,IF(AA190="sí",100,KMA_PEN),IF(BB190&lt;=KMA_IDEAL_MAX,100,MAX(0,100*(KMA_CERO-BB190)/(KMA_CERO-KMA_IDEAL_MAX))))</f>
        <v/>
      </c>
      <c r="CA190" s="3">
        <f>MAX(0,MIN(100,100*(M190-ANIO_MIN)/(ANIO_ACTUAL-ANIO_MIN)))</f>
        <v/>
      </c>
      <c r="CB190" s="3">
        <f>W_KMT*BY190+W_KMA*BZ190+W_EDAD*CA190</f>
        <v/>
      </c>
      <c r="CC190" s="3">
        <f>P_ITV*(V190="sí")+P_LIBRO*(W190="sí")+P_CORREA*(X190="sí")+P_PROP*(Y190=1)+P_GAR*(Z190="sí")+P_FOTOS*MIN(1,N(U190)/FOTOS_OBJ)</f>
        <v/>
      </c>
      <c r="CD190" s="3">
        <f>MAX(0,MIN(100,IFERROR(VLOOKUP(BP190,ETQ_TBL,2,0),0)-IF(BQ190="sí",ETQ_PEN_DUD,IF(AS190="regla",ETQ_PEN_REGLA,0))))</f>
        <v/>
      </c>
      <c r="CE190" s="3">
        <f>NEUTRO</f>
        <v/>
      </c>
      <c r="CF190" s="3">
        <f>IFERROR(VLOOKUP(L190,SEGURO_TBL,3,0),"")</f>
        <v/>
      </c>
      <c r="CG190" s="3">
        <f>IF(CF190="",NEUTRO,MAX(0,MIN(100,100*(SEG_REF_MAX-CF190)/(SEG_REF_MAX-SEG_REF_MIN))))</f>
        <v/>
      </c>
      <c r="CH190" s="3">
        <f>W_CONS*CE190+W_SEG*CG190</f>
        <v/>
      </c>
      <c r="CI190" s="3">
        <f>IF(N(AB190)&gt;0,AB190,IF(AND(R190="profesional",SG_LEGAL_ON=1),GAR_LEGAL,0))</f>
        <v/>
      </c>
      <c r="CJ190" s="3">
        <f>SG_GAR*MIN(1,CI190/SG_GAR_FULL)+SG_AMPL*(AC190="sí")+SG_KMC*(AF190="sí")+SG_REV*(N(AE190)&gt;0)+SG_DEV*MIN(1,N(AG190)/SG_DEV_FULL)+SG_HIST*(W190="sí")</f>
        <v/>
      </c>
      <c r="CK190" s="3">
        <f>IFERROR(VLOOKUP(L190,CARR_PEN_TBL,2,0),0)</f>
        <v/>
      </c>
      <c r="CL190" s="3">
        <f>W_FIAB*BW190+W_PRECIO*BX190+W_KMEDAD*CB190+W_ANUNCIO*CC190+W_USO*CH190+W_SEGURIDAD*CJ190+W_ETIQUETA*CD190-CK190</f>
        <v/>
      </c>
      <c r="CM190" s="4">
        <f>IF(N(I190)&gt;0,I190,IFERROR(ROUND(_xlfn.NUMBERVALUE(LEFT(G190,FIND(" ",G190&amp;" ")-1),".")*1000,0),99999))</f>
        <v/>
      </c>
      <c r="CN190" s="3">
        <f>IF(R190="profesional",0,IF(O190&lt;CUOTA_VALOR_MAX,IF(BA190&gt;ITP_TRAMO_ALTO,SUMIFS(CF_CUOTA,CF_MAS,ITP_TRAMO_ALTO,CF_CCMIN,"&lt;="&amp;CM190,CF_CCMAX,"&gt;="&amp;CM190),IF(BA190&gt;ITP_TRAMO_BAJO,SUMIFS(CF_CUOTA,CF_MAS,ITP_TRAMO_BAJO,CF_CCMIN,"&lt;="&amp;CM190,CF_CCMAX,"&gt;="&amp;CM190),O190*ITP_TIPO)),O190*ITP_TIPO))</f>
        <v/>
      </c>
      <c r="CO190" s="4">
        <f>IF(R190="profesional",N(AK190),0)</f>
        <v/>
      </c>
      <c r="CP190" s="3">
        <f>IF(AND(R190="profesional",ISNUMBER(AK190),AL190="sí"),0,TASA_DGT)</f>
        <v/>
      </c>
      <c r="CQ190" s="3">
        <f>INFORME_DGT</f>
        <v/>
      </c>
      <c r="CR190" s="4">
        <f>O190+CO190+CN190+CP190+CQ190</f>
        <v/>
      </c>
      <c r="CS190" s="4">
        <f>CR190+N(CF190)</f>
        <v/>
      </c>
      <c r="CT190" s="3">
        <f>IF(CR190&lt;=TOTAL_MAX,"sí",IF(CR190&lt;=TOTAL_MAX+MARGEN_NEG,"negociar","no"))</f>
        <v/>
      </c>
      <c r="CU190" s="4">
        <f>IF(CT190&lt;&gt;"no",COUNTIFS($CT$2:$CT$545,"&lt;&gt;no",$CL$2:$CL$545,"&gt;"&amp;CL190)+COUNTIFS($CT$2:CT190,"&lt;&gt;no",$CL$2:CL190,CL190),"")</f>
        <v/>
      </c>
    </row>
    <row r="191">
      <c r="A191" s="2" t="inlineStr">
        <is>
          <t>autoscout24:309efac1-c1bf-44d7-9fec-a231f0fb8dd4</t>
        </is>
      </c>
      <c r="B191" s="2" t="inlineStr">
        <is>
          <t>autoscout24</t>
        </is>
      </c>
      <c r="C191" s="2" t="inlineStr">
        <is>
          <t>https://www.autoscout24.es/anuncios/ford-focus-1-8tdci-trend-diesel-plateado-cat_ma29mo15537-309efac1-c1bf-44d7-9fec-a231f0fb8dd4</t>
        </is>
      </c>
      <c r="D191" s="2" t="inlineStr">
        <is>
          <t>Ford Focus 1.8TDCI Trend</t>
        </is>
      </c>
      <c r="E191" s="2" t="inlineStr">
        <is>
          <t>Ford</t>
        </is>
      </c>
      <c r="F191" s="2" t="inlineStr">
        <is>
          <t>Ford Focus</t>
        </is>
      </c>
      <c r="G191" s="2" t="inlineStr">
        <is>
          <t>1.8 TDCi</t>
        </is>
      </c>
      <c r="H191" s="2" t="inlineStr">
        <is>
          <t>1.8TDCI Trend 1.8 TDCi</t>
        </is>
      </c>
      <c r="I191" s="2" t="n">
        <v>1753</v>
      </c>
      <c r="J191" s="2" t="n">
        <v>116</v>
      </c>
      <c r="K191" s="2" t="inlineStr">
        <is>
          <t>diesel</t>
        </is>
      </c>
      <c r="L191" s="2" t="inlineStr">
        <is>
          <t>compacto</t>
        </is>
      </c>
      <c r="M191" s="2" t="n">
        <v>2007</v>
      </c>
      <c r="N191" s="2" t="n">
        <v>130353</v>
      </c>
      <c r="O191" s="2" t="n">
        <v>4990</v>
      </c>
      <c r="P191" s="2" t="inlineStr">
        <is>
          <t>manual</t>
        </is>
      </c>
      <c r="Q191" s="2" t="inlineStr">
        <is>
          <t>no</t>
        </is>
      </c>
      <c r="R191" s="2" t="inlineStr">
        <is>
          <t>profesional</t>
        </is>
      </c>
      <c r="S191" s="2" t="inlineStr">
        <is>
          <t>COCHESAMIL — Manises (46940)</t>
        </is>
      </c>
      <c r="T191" s="2" t="n"/>
      <c r="U191" s="2" t="n">
        <v>20</v>
      </c>
      <c r="V191" s="2" t="n"/>
      <c r="W191" s="2" t="n"/>
      <c r="X191" s="2" t="n"/>
      <c r="Y191" s="2" t="n"/>
      <c r="Z191" s="2" t="inlineStr">
        <is>
          <t>sí</t>
        </is>
      </c>
      <c r="AA191" s="2" t="n"/>
      <c r="AB191" s="2" t="n">
        <v>12</v>
      </c>
      <c r="AC191" s="2" t="n"/>
      <c r="AD191" s="2" t="n"/>
      <c r="AE191" s="2" t="n"/>
      <c r="AF191" s="2" t="n"/>
      <c r="AG191" s="2" t="n"/>
      <c r="AH191" s="2" t="n">
        <v>4990</v>
      </c>
      <c r="AI191" s="2" t="n"/>
      <c r="AJ191" s="2" t="n"/>
      <c r="AK191" s="2" t="n"/>
      <c r="AL191" s="2" t="n"/>
      <c r="AM191" s="2" t="n">
        <v>8.199999999999999</v>
      </c>
      <c r="AN191" s="2" t="n"/>
      <c r="AO191" s="2" t="inlineStr">
        <is>
          <t>2007-07</t>
        </is>
      </c>
      <c r="AP191" s="2" t="n">
        <v>2007</v>
      </c>
      <c r="AQ191" s="2" t="n">
        <v>7</v>
      </c>
      <c r="AR191" s="2" t="n"/>
      <c r="AS191" s="2" t="inlineStr">
        <is>
          <t>regla</t>
        </is>
      </c>
      <c r="AT191" s="2" t="n">
        <v>4970</v>
      </c>
      <c r="AU191" s="2" t="n">
        <v>8</v>
      </c>
      <c r="AV191" s="2" t="inlineStr">
        <is>
          <t>modelo+año+km</t>
        </is>
      </c>
      <c r="AW191" s="2" t="inlineStr">
        <is>
          <t>cochesnet:71039073 (https://www.coches.net/ford-focus-18-tdci-trend-3p-diesel-2007-en-valencia-71039073-covo.aspx)</t>
        </is>
      </c>
      <c r="AX191"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191" s="2" t="inlineStr">
        <is>
          <t>&lt;strong&gt;Precio al contado: 4990 euros&lt;/strong&gt; &lt;br /&gt;&lt;br /&gt;&lt;strong&gt;Condiciones de la financiación&lt;/strong&gt; &lt;br /&gt;&lt;br /&gt;Consulta condiciones de financiación con nuestros comerciales.&lt;br /&gt;Este anuncio es meramente informativo, no es vinculante ni contractual.&lt;br /&gt; &lt;br /&gt;&lt;br /&gt;&lt;strong&gt;Precio promocional si financias con nosotros y entregando un vehículo de más de 10 años.&lt;/strong&gt;&lt;br /&gt;&lt;strong&gt;Consultar condiciones de financiación con nuestros comerciales.&lt;/strong&gt;&lt;br /&gt;&lt;strong&gt;Este anuncio es meramente informativo, no es vinculante ni contractual&lt;/strong&gt;.&lt;br /&gt; &lt;br /&gt; &lt;br /&gt;</t>
        </is>
      </c>
      <c r="AZ191" s="2" t="inlineStr">
        <is>
          <t>https://www.autoscout24.es/anuncios/ford-focus-1-8tdci-trend-diesel-plateado-cat_ma29mo15537-309efac1-c1bf-44d7-9fec-a231f0fb8dd4 (__NEXT_DATA__ listingDetails) /home/user/Alopecia/buscador-coches/raw/autoscout24/0e58ca9ac21ac8ee.json</t>
        </is>
      </c>
      <c r="BA191" s="3">
        <f>MAX(ANIO_ACTUAL-M191,0)</f>
        <v/>
      </c>
      <c r="BB191" s="4">
        <f>N191/MAX(BA191,0.5)</f>
        <v/>
      </c>
      <c r="BC191" s="4">
        <f>F191</f>
        <v/>
      </c>
      <c r="BD191" s="3">
        <f>BC191&amp;"|"&amp;INT(M191/SEG_ANIO)*SEG_ANIO</f>
        <v/>
      </c>
      <c r="BE191" s="3">
        <f>BD191&amp;"|"&amp;INT(N191/SEG_KM)*SEG_KM</f>
        <v/>
      </c>
      <c r="BF191" s="4">
        <f>COUNTIF($BC$2:$BC$545,BC191)</f>
        <v/>
      </c>
      <c r="BG191" s="4">
        <f>COUNTIF($BD$2:$BD$545,BD191)</f>
        <v/>
      </c>
      <c r="BH191" s="4">
        <f>COUNTIF($BE$2:$BE$545,BE191)</f>
        <v/>
      </c>
      <c r="BI191" s="3">
        <f t="array" ref="BI191">IF(N(AU191)&gt;=MIN_N,AT191,IF(BH191&gt;=MIN_N,MEDIAN(IF($BE$2:$BE$545=BE191,$O$2:$O$545)),IF(BG191&gt;=MIN_N,MEDIAN(IF($BD$2:$BD$545=BD191,$O$2:$O$545)),MEDIAN(IF($BC$2:$BC$545=BC191,$O$2:$O$545)))))</f>
        <v/>
      </c>
      <c r="BJ191" s="3">
        <f>IF(N(AU191)&gt;=MIN_N,"mercado "&amp;AV191,IF(BH191&gt;=MIN_N,"modelo+año+km",IF(BG191&gt;=MIN_N,"modelo+año","modelo")))</f>
        <v/>
      </c>
      <c r="BK191" s="4">
        <f>(BI191-O191)/BI191</f>
        <v/>
      </c>
      <c r="BL191" s="3">
        <f>IF(COUNTIFS(FR_FUEL,K191,FR_YEAR,AP191)&gt;0,1,0)</f>
        <v/>
      </c>
      <c r="BM191" s="3">
        <f>IF(COUNTIFS(FR_FUEL,K191,FR_YEAR,AP191-1)&gt;0,1,0)</f>
        <v/>
      </c>
      <c r="BN191" s="4">
        <f>IF(N(AQ191)&gt;0,AP191*100+AQ191,IF(AND(BL191=1,BM191=1),(AP191-1)*100+1,AP191*100+1))</f>
        <v/>
      </c>
      <c r="BO191" s="3">
        <f>IF(OR(K191="hibrido",K191="glp",K191="gnc",K191="phev"),"ECO",IF(K191="electrico","CERO",IF(K191="gasolina",IF(BN191&gt;=GAS_C_YM,"C",IF(BN191&gt;=GAS_B_YM,"B","A")),IF(K191="diesel",IF(BN191&gt;=DIE_C_YM,"C",IF(BN191&gt;=DIE_B_YM,"B","A")),""))))</f>
        <v/>
      </c>
      <c r="BP191" s="4">
        <f>BO191</f>
        <v/>
      </c>
      <c r="BQ191" s="4">
        <f>IF(AS191="regla",IF(AND(N(AQ191)=0,BL191=1),"sí","no"),"no")</f>
        <v/>
      </c>
      <c r="BR191" s="3">
        <f>IFERROR(VLOOKUP(F191,MOD_TBL,11,0),IFERROR(VLOOKUP(E191,OCU_TBL,2,0),NEUTRO))</f>
        <v/>
      </c>
      <c r="BS191" s="3">
        <f>SUMIFS(MOT_AJUSTE,MOT_MOTOR,G191,MOT_MARCA,E191,MOT_DESDE,"&lt;="&amp;M191,MOT_HASTA,"&gt;="&amp;M191)+SUMIFS(MOT_AJUSTE,MOT_MOTOR,G191,MOT_MARCA,"(todas)",MOT_DESDE,"&lt;="&amp;M191,MOT_HASTA,"&gt;="&amp;M191)</f>
        <v/>
      </c>
      <c r="BT191" s="3">
        <f>SUMIFS(COMB_AJUSTE,COMB_COMB,K191)</f>
        <v/>
      </c>
      <c r="BU191" s="3">
        <f>COUNTIFS(MOT_MOTOR,G191,MOT_MARCA,E191,MOT_DESDE,"&lt;="&amp;M191,MOT_HASTA,"&gt;="&amp;M191)+COUNTIFS(MOT_MOTOR,G191,MOT_MARCA,"(todas)",MOT_DESDE,"&lt;="&amp;M191,MOT_HASTA,"&gt;="&amp;M191)</f>
        <v/>
      </c>
      <c r="BV191" s="3">
        <f>IF(AND(K191="diesel",BU191=0),MIN(BR191,NEUTRO),BR191)</f>
        <v/>
      </c>
      <c r="BW191" s="4">
        <f>MAX(0,MIN(100,BV191+BS191+BT191))</f>
        <v/>
      </c>
      <c r="BX191" s="3">
        <f>MAX(0,MIN(100,50+BK191*PRECIO_PEND))</f>
        <v/>
      </c>
      <c r="BY191" s="3">
        <f>MAX(0,100*(1-N191/KM_MAX))</f>
        <v/>
      </c>
      <c r="BZ191" s="3">
        <f>IF(BB191&lt;KMA_SOSP,IF(AA191="sí",100,KMA_PEN),IF(BB191&lt;=KMA_IDEAL_MAX,100,MAX(0,100*(KMA_CERO-BB191)/(KMA_CERO-KMA_IDEAL_MAX))))</f>
        <v/>
      </c>
      <c r="CA191" s="3">
        <f>MAX(0,MIN(100,100*(M191-ANIO_MIN)/(ANIO_ACTUAL-ANIO_MIN)))</f>
        <v/>
      </c>
      <c r="CB191" s="3">
        <f>W_KMT*BY191+W_KMA*BZ191+W_EDAD*CA191</f>
        <v/>
      </c>
      <c r="CC191" s="3">
        <f>P_ITV*(V191="sí")+P_LIBRO*(W191="sí")+P_CORREA*(X191="sí")+P_PROP*(Y191=1)+P_GAR*(Z191="sí")+P_FOTOS*MIN(1,N(U191)/FOTOS_OBJ)</f>
        <v/>
      </c>
      <c r="CD191" s="3">
        <f>MAX(0,MIN(100,IFERROR(VLOOKUP(BP191,ETQ_TBL,2,0),0)-IF(BQ191="sí",ETQ_PEN_DUD,IF(AS191="regla",ETQ_PEN_REGLA,0))))</f>
        <v/>
      </c>
      <c r="CE191" s="3">
        <f>NEUTRO</f>
        <v/>
      </c>
      <c r="CF191" s="3">
        <f>IFERROR(VLOOKUP(L191,SEGURO_TBL,3,0),"")</f>
        <v/>
      </c>
      <c r="CG191" s="3">
        <f>IF(CF191="",NEUTRO,MAX(0,MIN(100,100*(SEG_REF_MAX-CF191)/(SEG_REF_MAX-SEG_REF_MIN))))</f>
        <v/>
      </c>
      <c r="CH191" s="3">
        <f>W_CONS*CE191+W_SEG*CG191</f>
        <v/>
      </c>
      <c r="CI191" s="3">
        <f>IF(N(AB191)&gt;0,AB191,IF(AND(R191="profesional",SG_LEGAL_ON=1),GAR_LEGAL,0))</f>
        <v/>
      </c>
      <c r="CJ191" s="3">
        <f>SG_GAR*MIN(1,CI191/SG_GAR_FULL)+SG_AMPL*(AC191="sí")+SG_KMC*(AF191="sí")+SG_REV*(N(AE191)&gt;0)+SG_DEV*MIN(1,N(AG191)/SG_DEV_FULL)+SG_HIST*(W191="sí")</f>
        <v/>
      </c>
      <c r="CK191" s="3">
        <f>IFERROR(VLOOKUP(L191,CARR_PEN_TBL,2,0),0)</f>
        <v/>
      </c>
      <c r="CL191" s="3">
        <f>W_FIAB*BW191+W_PRECIO*BX191+W_KMEDAD*CB191+W_ANUNCIO*CC191+W_USO*CH191+W_SEGURIDAD*CJ191+W_ETIQUETA*CD191-CK191</f>
        <v/>
      </c>
      <c r="CM191" s="4">
        <f>IF(N(I191)&gt;0,I191,IFERROR(ROUND(_xlfn.NUMBERVALUE(LEFT(G191,FIND(" ",G191&amp;" ")-1),".")*1000,0),99999))</f>
        <v/>
      </c>
      <c r="CN191" s="3">
        <f>IF(R191="profesional",0,IF(O191&lt;CUOTA_VALOR_MAX,IF(BA191&gt;ITP_TRAMO_ALTO,SUMIFS(CF_CUOTA,CF_MAS,ITP_TRAMO_ALTO,CF_CCMIN,"&lt;="&amp;CM191,CF_CCMAX,"&gt;="&amp;CM191),IF(BA191&gt;ITP_TRAMO_BAJO,SUMIFS(CF_CUOTA,CF_MAS,ITP_TRAMO_BAJO,CF_CCMIN,"&lt;="&amp;CM191,CF_CCMAX,"&gt;="&amp;CM191),O191*ITP_TIPO)),O191*ITP_TIPO))</f>
        <v/>
      </c>
      <c r="CO191" s="4">
        <f>IF(R191="profesional",N(AK191),0)</f>
        <v/>
      </c>
      <c r="CP191" s="3">
        <f>IF(AND(R191="profesional",ISNUMBER(AK191),AL191="sí"),0,TASA_DGT)</f>
        <v/>
      </c>
      <c r="CQ191" s="3">
        <f>INFORME_DGT</f>
        <v/>
      </c>
      <c r="CR191" s="4">
        <f>O191+CO191+CN191+CP191+CQ191</f>
        <v/>
      </c>
      <c r="CS191" s="4">
        <f>CR191+N(CF191)</f>
        <v/>
      </c>
      <c r="CT191" s="3">
        <f>IF(CR191&lt;=TOTAL_MAX,"sí",IF(CR191&lt;=TOTAL_MAX+MARGEN_NEG,"negociar","no"))</f>
        <v/>
      </c>
      <c r="CU191" s="4">
        <f>IF(CT191&lt;&gt;"no",COUNTIFS($CT$2:$CT$545,"&lt;&gt;no",$CL$2:$CL$545,"&gt;"&amp;CL191)+COUNTIFS($CT$2:CT191,"&lt;&gt;no",$CL$2:CL191,CL191),"")</f>
        <v/>
      </c>
    </row>
    <row r="192">
      <c r="A192" s="2" t="inlineStr">
        <is>
          <t>autoscout24:7c82171e-675b-4fab-b114-97b5d9d6543d</t>
        </is>
      </c>
      <c r="B192" s="2" t="inlineStr">
        <is>
          <t>autoscout24</t>
        </is>
      </c>
      <c r="C192" s="2" t="inlineStr">
        <is>
          <t>https://www.autoscout24.es/anuncios/nissan-pixo-1-0-acenta-gasolina-rojo-cat_ma52mo19222-7c82171e-675b-4fab-b114-97b5d9d6543d</t>
        </is>
      </c>
      <c r="D192" s="2" t="inlineStr">
        <is>
          <t>Nissan Pixo 1.0 Acenta</t>
        </is>
      </c>
      <c r="E192" s="2" t="inlineStr">
        <is>
          <t>Nissan</t>
        </is>
      </c>
      <c r="F192" s="2" t="inlineStr">
        <is>
          <t>Nissan Pixo</t>
        </is>
      </c>
      <c r="G192" s="2" t="inlineStr">
        <is>
          <t>1.0</t>
        </is>
      </c>
      <c r="H192" s="2" t="inlineStr">
        <is>
          <t>1.0 Acenta 1.0</t>
        </is>
      </c>
      <c r="I192" s="2" t="n">
        <v>996</v>
      </c>
      <c r="J192" s="2" t="n">
        <v>68</v>
      </c>
      <c r="K192" s="2" t="inlineStr">
        <is>
          <t>gasolina</t>
        </is>
      </c>
      <c r="L192" s="2" t="inlineStr">
        <is>
          <t>utilitario</t>
        </is>
      </c>
      <c r="M192" s="2" t="n">
        <v>2012</v>
      </c>
      <c r="N192" s="2" t="n">
        <v>68000</v>
      </c>
      <c r="O192" s="2" t="n">
        <v>4990</v>
      </c>
      <c r="P192" s="2" t="inlineStr">
        <is>
          <t>manual</t>
        </is>
      </c>
      <c r="Q192" s="2" t="inlineStr">
        <is>
          <t>no</t>
        </is>
      </c>
      <c r="R192" s="2" t="inlineStr">
        <is>
          <t>profesional</t>
        </is>
      </c>
      <c r="S192" s="2" t="inlineStr">
        <is>
          <t>SAGA VEHICULOS — MASSANASSA (46470)</t>
        </is>
      </c>
      <c r="T192" s="2" t="n"/>
      <c r="U192" s="2" t="n">
        <v>26</v>
      </c>
      <c r="V192" s="2" t="n"/>
      <c r="W192" s="2" t="n"/>
      <c r="X192" s="2" t="n"/>
      <c r="Y192" s="2" t="n"/>
      <c r="Z192" s="2" t="inlineStr">
        <is>
          <t>sí</t>
        </is>
      </c>
      <c r="AA192" s="2" t="n"/>
      <c r="AB192" s="2" t="n">
        <v>12</v>
      </c>
      <c r="AC192" s="2" t="inlineStr">
        <is>
          <t>sí</t>
        </is>
      </c>
      <c r="AD192" s="2" t="n"/>
      <c r="AE192" s="2" t="n"/>
      <c r="AF192" s="2" t="n"/>
      <c r="AG192" s="2" t="n"/>
      <c r="AH192" s="2" t="n"/>
      <c r="AI192" s="2" t="n"/>
      <c r="AJ192" s="2" t="n"/>
      <c r="AK192" s="2" t="n">
        <v>350</v>
      </c>
      <c r="AL192" s="2" t="inlineStr">
        <is>
          <t>no</t>
        </is>
      </c>
      <c r="AM192" s="2" t="n">
        <v>7.1</v>
      </c>
      <c r="AN192" s="2" t="n"/>
      <c r="AO192" s="2" t="inlineStr">
        <is>
          <t>2012-03</t>
        </is>
      </c>
      <c r="AP192" s="2" t="n">
        <v>2012</v>
      </c>
      <c r="AQ192" s="2" t="n">
        <v>3</v>
      </c>
      <c r="AR192" s="2" t="n"/>
      <c r="AS192" s="2" t="inlineStr">
        <is>
          <t>regla</t>
        </is>
      </c>
      <c r="AT192" s="2" t="n"/>
      <c r="AU192" s="2" t="n"/>
      <c r="AV192" s="2" t="n"/>
      <c r="AW192" s="2" t="inlineStr">
        <is>
          <t>cochesnet:71849245 (https://www.coches.net/nissan-pixo-5p-10g-68cv-acenta-pack-safety-5p-gasolina-2011-en-valencia-71849245-covo.aspx)</t>
        </is>
      </c>
      <c r="AX192" s="2" t="inlineStr">
        <is>
          <t>vendedor profesional: sin ITP (operación con IVA/REBU, confirmar en factura); gastos del vendedor sin indicar si incluyen la transferencia: se suma la tasa DGT; fiabilidad del modelo PENDIENTE de fuente (puntuación neutra); mediana con solo 1 anuncio(s)</t>
        </is>
      </c>
      <c r="AY192" s="2" t="inlineStr">
        <is>
          <t>Nissan Pixo 1.0 Acenta, PACK SAFETY, 68CV, Gasolina, unico proprietario,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Control de estabilidad &lt;br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Pack Safety&lt;br /&gt;</t>
        </is>
      </c>
      <c r="AZ192" s="2" t="inlineStr">
        <is>
          <t>https://www.autoscout24.es/anuncios/nissan-pixo-1-0-acenta-gasolina-rojo-cat_ma52mo19222-7c82171e-675b-4fab-b114-97b5d9d6543d (__NEXT_DATA__ listingDetails) /home/user/Alopecia/buscador-coches/raw/autoscout24/c8e87a87c3975daa.json</t>
        </is>
      </c>
      <c r="BA192" s="3">
        <f>MAX(ANIO_ACTUAL-M192,0)</f>
        <v/>
      </c>
      <c r="BB192" s="4">
        <f>N192/MAX(BA192,0.5)</f>
        <v/>
      </c>
      <c r="BC192" s="4">
        <f>F192</f>
        <v/>
      </c>
      <c r="BD192" s="3">
        <f>BC192&amp;"|"&amp;INT(M192/SEG_ANIO)*SEG_ANIO</f>
        <v/>
      </c>
      <c r="BE192" s="3">
        <f>BD192&amp;"|"&amp;INT(N192/SEG_KM)*SEG_KM</f>
        <v/>
      </c>
      <c r="BF192" s="4">
        <f>COUNTIF($BC$2:$BC$545,BC192)</f>
        <v/>
      </c>
      <c r="BG192" s="4">
        <f>COUNTIF($BD$2:$BD$545,BD192)</f>
        <v/>
      </c>
      <c r="BH192" s="4">
        <f>COUNTIF($BE$2:$BE$545,BE192)</f>
        <v/>
      </c>
      <c r="BI192" s="3">
        <f t="array" ref="BI192">IF(N(AU192)&gt;=MIN_N,AT192,IF(BH192&gt;=MIN_N,MEDIAN(IF($BE$2:$BE$545=BE192,$O$2:$O$545)),IF(BG192&gt;=MIN_N,MEDIAN(IF($BD$2:$BD$545=BD192,$O$2:$O$545)),MEDIAN(IF($BC$2:$BC$545=BC192,$O$2:$O$545)))))</f>
        <v/>
      </c>
      <c r="BJ192" s="3">
        <f>IF(N(AU192)&gt;=MIN_N,"mercado "&amp;AV192,IF(BH192&gt;=MIN_N,"modelo+año+km",IF(BG192&gt;=MIN_N,"modelo+año","modelo")))</f>
        <v/>
      </c>
      <c r="BK192" s="4">
        <f>(BI192-O192)/BI192</f>
        <v/>
      </c>
      <c r="BL192" s="3">
        <f>IF(COUNTIFS(FR_FUEL,K192,FR_YEAR,AP192)&gt;0,1,0)</f>
        <v/>
      </c>
      <c r="BM192" s="3">
        <f>IF(COUNTIFS(FR_FUEL,K192,FR_YEAR,AP192-1)&gt;0,1,0)</f>
        <v/>
      </c>
      <c r="BN192" s="4">
        <f>IF(N(AQ192)&gt;0,AP192*100+AQ192,IF(AND(BL192=1,BM192=1),(AP192-1)*100+1,AP192*100+1))</f>
        <v/>
      </c>
      <c r="BO192" s="3">
        <f>IF(OR(K192="hibrido",K192="glp",K192="gnc",K192="phev"),"ECO",IF(K192="electrico","CERO",IF(K192="gasolina",IF(BN192&gt;=GAS_C_YM,"C",IF(BN192&gt;=GAS_B_YM,"B","A")),IF(K192="diesel",IF(BN192&gt;=DIE_C_YM,"C",IF(BN192&gt;=DIE_B_YM,"B","A")),""))))</f>
        <v/>
      </c>
      <c r="BP192" s="4">
        <f>BO192</f>
        <v/>
      </c>
      <c r="BQ192" s="4">
        <f>IF(AS192="regla",IF(AND(N(AQ192)=0,BL192=1),"sí","no"),"no")</f>
        <v/>
      </c>
      <c r="BR192" s="3">
        <f>IFERROR(VLOOKUP(F192,MOD_TBL,11,0),IFERROR(VLOOKUP(E192,OCU_TBL,2,0),NEUTRO))</f>
        <v/>
      </c>
      <c r="BS192" s="3">
        <f>SUMIFS(MOT_AJUSTE,MOT_MOTOR,G192,MOT_MARCA,E192,MOT_DESDE,"&lt;="&amp;M192,MOT_HASTA,"&gt;="&amp;M192)+SUMIFS(MOT_AJUSTE,MOT_MOTOR,G192,MOT_MARCA,"(todas)",MOT_DESDE,"&lt;="&amp;M192,MOT_HASTA,"&gt;="&amp;M192)</f>
        <v/>
      </c>
      <c r="BT192" s="3">
        <f>SUMIFS(COMB_AJUSTE,COMB_COMB,K192)</f>
        <v/>
      </c>
      <c r="BU192" s="3">
        <f>COUNTIFS(MOT_MOTOR,G192,MOT_MARCA,E192,MOT_DESDE,"&lt;="&amp;M192,MOT_HASTA,"&gt;="&amp;M192)+COUNTIFS(MOT_MOTOR,G192,MOT_MARCA,"(todas)",MOT_DESDE,"&lt;="&amp;M192,MOT_HASTA,"&gt;="&amp;M192)</f>
        <v/>
      </c>
      <c r="BV192" s="3">
        <f>IF(AND(K192="diesel",BU192=0),MIN(BR192,NEUTRO),BR192)</f>
        <v/>
      </c>
      <c r="BW192" s="4">
        <f>MAX(0,MIN(100,BV192+BS192+BT192))</f>
        <v/>
      </c>
      <c r="BX192" s="3">
        <f>MAX(0,MIN(100,50+BK192*PRECIO_PEND))</f>
        <v/>
      </c>
      <c r="BY192" s="3">
        <f>MAX(0,100*(1-N192/KM_MAX))</f>
        <v/>
      </c>
      <c r="BZ192" s="3">
        <f>IF(BB192&lt;KMA_SOSP,IF(AA192="sí",100,KMA_PEN),IF(BB192&lt;=KMA_IDEAL_MAX,100,MAX(0,100*(KMA_CERO-BB192)/(KMA_CERO-KMA_IDEAL_MAX))))</f>
        <v/>
      </c>
      <c r="CA192" s="3">
        <f>MAX(0,MIN(100,100*(M192-ANIO_MIN)/(ANIO_ACTUAL-ANIO_MIN)))</f>
        <v/>
      </c>
      <c r="CB192" s="3">
        <f>W_KMT*BY192+W_KMA*BZ192+W_EDAD*CA192</f>
        <v/>
      </c>
      <c r="CC192" s="3">
        <f>P_ITV*(V192="sí")+P_LIBRO*(W192="sí")+P_CORREA*(X192="sí")+P_PROP*(Y192=1)+P_GAR*(Z192="sí")+P_FOTOS*MIN(1,N(U192)/FOTOS_OBJ)</f>
        <v/>
      </c>
      <c r="CD192" s="3">
        <f>MAX(0,MIN(100,IFERROR(VLOOKUP(BP192,ETQ_TBL,2,0),0)-IF(BQ192="sí",ETQ_PEN_DUD,IF(AS192="regla",ETQ_PEN_REGLA,0))))</f>
        <v/>
      </c>
      <c r="CE192" s="3">
        <f>NEUTRO</f>
        <v/>
      </c>
      <c r="CF192" s="3">
        <f>IFERROR(VLOOKUP(L192,SEGURO_TBL,3,0),"")</f>
        <v/>
      </c>
      <c r="CG192" s="3">
        <f>IF(CF192="",NEUTRO,MAX(0,MIN(100,100*(SEG_REF_MAX-CF192)/(SEG_REF_MAX-SEG_REF_MIN))))</f>
        <v/>
      </c>
      <c r="CH192" s="3">
        <f>W_CONS*CE192+W_SEG*CG192</f>
        <v/>
      </c>
      <c r="CI192" s="3">
        <f>IF(N(AB192)&gt;0,AB192,IF(AND(R192="profesional",SG_LEGAL_ON=1),GAR_LEGAL,0))</f>
        <v/>
      </c>
      <c r="CJ192" s="3">
        <f>SG_GAR*MIN(1,CI192/SG_GAR_FULL)+SG_AMPL*(AC192="sí")+SG_KMC*(AF192="sí")+SG_REV*(N(AE192)&gt;0)+SG_DEV*MIN(1,N(AG192)/SG_DEV_FULL)+SG_HIST*(W192="sí")</f>
        <v/>
      </c>
      <c r="CK192" s="3">
        <f>IFERROR(VLOOKUP(L192,CARR_PEN_TBL,2,0),0)</f>
        <v/>
      </c>
      <c r="CL192" s="3">
        <f>W_FIAB*BW192+W_PRECIO*BX192+W_KMEDAD*CB192+W_ANUNCIO*CC192+W_USO*CH192+W_SEGURIDAD*CJ192+W_ETIQUETA*CD192-CK192</f>
        <v/>
      </c>
      <c r="CM192" s="4">
        <f>IF(N(I192)&gt;0,I192,IFERROR(ROUND(_xlfn.NUMBERVALUE(LEFT(G192,FIND(" ",G192&amp;" ")-1),".")*1000,0),99999))</f>
        <v/>
      </c>
      <c r="CN192" s="3">
        <f>IF(R192="profesional",0,IF(O192&lt;CUOTA_VALOR_MAX,IF(BA192&gt;ITP_TRAMO_ALTO,SUMIFS(CF_CUOTA,CF_MAS,ITP_TRAMO_ALTO,CF_CCMIN,"&lt;="&amp;CM192,CF_CCMAX,"&gt;="&amp;CM192),IF(BA192&gt;ITP_TRAMO_BAJO,SUMIFS(CF_CUOTA,CF_MAS,ITP_TRAMO_BAJO,CF_CCMIN,"&lt;="&amp;CM192,CF_CCMAX,"&gt;="&amp;CM192),O192*ITP_TIPO)),O192*ITP_TIPO))</f>
        <v/>
      </c>
      <c r="CO192" s="4">
        <f>IF(R192="profesional",N(AK192),0)</f>
        <v/>
      </c>
      <c r="CP192" s="3">
        <f>IF(AND(R192="profesional",ISNUMBER(AK192),AL192="sí"),0,TASA_DGT)</f>
        <v/>
      </c>
      <c r="CQ192" s="3">
        <f>INFORME_DGT</f>
        <v/>
      </c>
      <c r="CR192" s="4">
        <f>O192+CO192+CN192+CP192+CQ192</f>
        <v/>
      </c>
      <c r="CS192" s="4">
        <f>CR192+N(CF192)</f>
        <v/>
      </c>
      <c r="CT192" s="3">
        <f>IF(CR192&lt;=TOTAL_MAX,"sí",IF(CR192&lt;=TOTAL_MAX+MARGEN_NEG,"negociar","no"))</f>
        <v/>
      </c>
      <c r="CU192" s="4">
        <f>IF(CT192&lt;&gt;"no",COUNTIFS($CT$2:$CT$545,"&lt;&gt;no",$CL$2:$CL$545,"&gt;"&amp;CL192)+COUNTIFS($CT$2:CT192,"&lt;&gt;no",$CL$2:CL192,CL192),"")</f>
        <v/>
      </c>
    </row>
    <row r="193">
      <c r="A193" s="2" t="inlineStr">
        <is>
          <t>autoscout24:14c4abf7-f10e-4e2e-8196-6f9a04f367f5</t>
        </is>
      </c>
      <c r="B193" s="2" t="inlineStr">
        <is>
          <t>autoscout24</t>
        </is>
      </c>
      <c r="C193" s="2" t="inlineStr">
        <is>
          <t>https://www.autoscout24.es/anuncios/nissan-micra-c+c-1-4i-tekna-gasolina-plateado-cat_ma52mo1904-14c4abf7-f10e-4e2e-8196-6f9a04f367f5</t>
        </is>
      </c>
      <c r="D193" s="2" t="inlineStr">
        <is>
          <t>Nissan Micra C+C 1.4i Tekna</t>
        </is>
      </c>
      <c r="E193" s="2" t="inlineStr">
        <is>
          <t>Nissan</t>
        </is>
      </c>
      <c r="F193" s="2" t="inlineStr">
        <is>
          <t>Nissan Micra</t>
        </is>
      </c>
      <c r="G193" s="2" t="inlineStr">
        <is>
          <t>1.4</t>
        </is>
      </c>
      <c r="H193" s="2" t="inlineStr">
        <is>
          <t>C+C 1.4i Tekna 1.4</t>
        </is>
      </c>
      <c r="I193" s="2" t="n">
        <v>1386</v>
      </c>
      <c r="J193" s="2" t="n">
        <v>88</v>
      </c>
      <c r="K193" s="2" t="inlineStr">
        <is>
          <t>gasolina</t>
        </is>
      </c>
      <c r="L193" s="2" t="inlineStr">
        <is>
          <t>utilitario</t>
        </is>
      </c>
      <c r="M193" s="2" t="n">
        <v>2006</v>
      </c>
      <c r="N193" s="2" t="n">
        <v>112069</v>
      </c>
      <c r="O193" s="2" t="n">
        <v>5000</v>
      </c>
      <c r="P193" s="2" t="inlineStr">
        <is>
          <t>manual</t>
        </is>
      </c>
      <c r="Q193" s="2" t="inlineStr">
        <is>
          <t>no</t>
        </is>
      </c>
      <c r="R193" s="2" t="inlineStr">
        <is>
          <t>profesional</t>
        </is>
      </c>
      <c r="S193" s="2" t="inlineStr">
        <is>
          <t>COCHESAMIL — Manises (46940)</t>
        </is>
      </c>
      <c r="T193" s="2" t="n"/>
      <c r="U193" s="2" t="n">
        <v>25</v>
      </c>
      <c r="V193" s="2" t="n"/>
      <c r="W193" s="2" t="n"/>
      <c r="X193" s="2" t="n"/>
      <c r="Y193" s="2" t="n"/>
      <c r="Z193" s="2" t="inlineStr">
        <is>
          <t>sí</t>
        </is>
      </c>
      <c r="AA193" s="2" t="n"/>
      <c r="AB193" s="2" t="n">
        <v>12</v>
      </c>
      <c r="AC193" s="2" t="n"/>
      <c r="AD193" s="2" t="n"/>
      <c r="AE193" s="2" t="n"/>
      <c r="AF193" s="2" t="n"/>
      <c r="AG193" s="2" t="n"/>
      <c r="AH193" s="2" t="n">
        <v>5000</v>
      </c>
      <c r="AI193" s="2" t="n"/>
      <c r="AJ193" s="2" t="n"/>
      <c r="AK193" s="2" t="n"/>
      <c r="AL193" s="2" t="n"/>
      <c r="AM193" s="2" t="n">
        <v>8.199999999999999</v>
      </c>
      <c r="AN193" s="2" t="n"/>
      <c r="AO193" s="2" t="inlineStr">
        <is>
          <t>2006-04</t>
        </is>
      </c>
      <c r="AP193" s="2" t="n">
        <v>2006</v>
      </c>
      <c r="AQ193" s="2" t="n">
        <v>4</v>
      </c>
      <c r="AR193" s="2" t="n"/>
      <c r="AS193" s="2" t="inlineStr">
        <is>
          <t>regla</t>
        </is>
      </c>
      <c r="AT193" s="2" t="n">
        <v>2500</v>
      </c>
      <c r="AU193" s="2" t="n">
        <v>10</v>
      </c>
      <c r="AV193" s="2" t="inlineStr">
        <is>
          <t>modelo+año</t>
        </is>
      </c>
      <c r="AW193" s="2" t="n"/>
      <c r="AX193" s="2" t="inlineStr">
        <is>
          <t>por encima del presupuesto (5064 €), negociar; vendedor profesional: sin ITP (operación con IVA/REBU, confirmar en factura); gastos de gestión del vendedor no indicados: se suma la tasa DGT; preguntar el precio final</t>
        </is>
      </c>
      <c r="AY193" s="2" t="inlineStr">
        <is>
          <t>&lt;strong&gt;Precio al contado: 5000 euros&lt;/strong&gt; &lt;br /&gt;&lt;br /&gt;&lt;strong&gt;Condiciones de la financiación&lt;/strong&gt; &lt;br /&gt;&lt;br /&gt;Consulta condiciones de financiación con nuestros comerciales.&lt;br /&gt;Este anuncio es meramente informativo, no es vinculante ni contractual.&lt;br /&gt; &lt;br /&gt;&lt;br /&gt; &lt;strong&gt;Este anuncio es meramente informativo, no es vinculante ni contractual.&lt;/strong&gt;&lt;br /&gt;&lt;br /&gt;</t>
        </is>
      </c>
      <c r="AZ193" s="2" t="inlineStr">
        <is>
          <t>https://www.autoscout24.es/anuncios/nissan-micra-c+c-1-4i-tekna-gasolina-plateado-cat_ma52mo1904-14c4abf7-f10e-4e2e-8196-6f9a04f367f5 (__NEXT_DATA__ listingDetails) /home/user/Alopecia/buscador-coches/raw/autoscout24/c901b0aebb40fe1c.json</t>
        </is>
      </c>
      <c r="BA193" s="3">
        <f>MAX(ANIO_ACTUAL-M193,0)</f>
        <v/>
      </c>
      <c r="BB193" s="4">
        <f>N193/MAX(BA193,0.5)</f>
        <v/>
      </c>
      <c r="BC193" s="4">
        <f>F193</f>
        <v/>
      </c>
      <c r="BD193" s="3">
        <f>BC193&amp;"|"&amp;INT(M193/SEG_ANIO)*SEG_ANIO</f>
        <v/>
      </c>
      <c r="BE193" s="3">
        <f>BD193&amp;"|"&amp;INT(N193/SEG_KM)*SEG_KM</f>
        <v/>
      </c>
      <c r="BF193" s="4">
        <f>COUNTIF($BC$2:$BC$545,BC193)</f>
        <v/>
      </c>
      <c r="BG193" s="4">
        <f>COUNTIF($BD$2:$BD$545,BD193)</f>
        <v/>
      </c>
      <c r="BH193" s="4">
        <f>COUNTIF($BE$2:$BE$545,BE193)</f>
        <v/>
      </c>
      <c r="BI193" s="3">
        <f t="array" ref="BI193">IF(N(AU193)&gt;=MIN_N,AT193,IF(BH193&gt;=MIN_N,MEDIAN(IF($BE$2:$BE$545=BE193,$O$2:$O$545)),IF(BG193&gt;=MIN_N,MEDIAN(IF($BD$2:$BD$545=BD193,$O$2:$O$545)),MEDIAN(IF($BC$2:$BC$545=BC193,$O$2:$O$545)))))</f>
        <v/>
      </c>
      <c r="BJ193" s="3">
        <f>IF(N(AU193)&gt;=MIN_N,"mercado "&amp;AV193,IF(BH193&gt;=MIN_N,"modelo+año+km",IF(BG193&gt;=MIN_N,"modelo+año","modelo")))</f>
        <v/>
      </c>
      <c r="BK193" s="4">
        <f>(BI193-O193)/BI193</f>
        <v/>
      </c>
      <c r="BL193" s="3">
        <f>IF(COUNTIFS(FR_FUEL,K193,FR_YEAR,AP193)&gt;0,1,0)</f>
        <v/>
      </c>
      <c r="BM193" s="3">
        <f>IF(COUNTIFS(FR_FUEL,K193,FR_YEAR,AP193-1)&gt;0,1,0)</f>
        <v/>
      </c>
      <c r="BN193" s="4">
        <f>IF(N(AQ193)&gt;0,AP193*100+AQ193,IF(AND(BL193=1,BM193=1),(AP193-1)*100+1,AP193*100+1))</f>
        <v/>
      </c>
      <c r="BO193" s="3">
        <f>IF(OR(K193="hibrido",K193="glp",K193="gnc",K193="phev"),"ECO",IF(K193="electrico","CERO",IF(K193="gasolina",IF(BN193&gt;=GAS_C_YM,"C",IF(BN193&gt;=GAS_B_YM,"B","A")),IF(K193="diesel",IF(BN193&gt;=DIE_C_YM,"C",IF(BN193&gt;=DIE_B_YM,"B","A")),""))))</f>
        <v/>
      </c>
      <c r="BP193" s="4">
        <f>BO193</f>
        <v/>
      </c>
      <c r="BQ193" s="4">
        <f>IF(AS193="regla",IF(AND(N(AQ193)=0,BL193=1),"sí","no"),"no")</f>
        <v/>
      </c>
      <c r="BR193" s="3">
        <f>IFERROR(VLOOKUP(F193,MOD_TBL,11,0),IFERROR(VLOOKUP(E193,OCU_TBL,2,0),NEUTRO))</f>
        <v/>
      </c>
      <c r="BS193" s="3">
        <f>SUMIFS(MOT_AJUSTE,MOT_MOTOR,G193,MOT_MARCA,E193,MOT_DESDE,"&lt;="&amp;M193,MOT_HASTA,"&gt;="&amp;M193)+SUMIFS(MOT_AJUSTE,MOT_MOTOR,G193,MOT_MARCA,"(todas)",MOT_DESDE,"&lt;="&amp;M193,MOT_HASTA,"&gt;="&amp;M193)</f>
        <v/>
      </c>
      <c r="BT193" s="3">
        <f>SUMIFS(COMB_AJUSTE,COMB_COMB,K193)</f>
        <v/>
      </c>
      <c r="BU193" s="3">
        <f>COUNTIFS(MOT_MOTOR,G193,MOT_MARCA,E193,MOT_DESDE,"&lt;="&amp;M193,MOT_HASTA,"&gt;="&amp;M193)+COUNTIFS(MOT_MOTOR,G193,MOT_MARCA,"(todas)",MOT_DESDE,"&lt;="&amp;M193,MOT_HASTA,"&gt;="&amp;M193)</f>
        <v/>
      </c>
      <c r="BV193" s="3">
        <f>IF(AND(K193="diesel",BU193=0),MIN(BR193,NEUTRO),BR193)</f>
        <v/>
      </c>
      <c r="BW193" s="4">
        <f>MAX(0,MIN(100,BV193+BS193+BT193))</f>
        <v/>
      </c>
      <c r="BX193" s="3">
        <f>MAX(0,MIN(100,50+BK193*PRECIO_PEND))</f>
        <v/>
      </c>
      <c r="BY193" s="3">
        <f>MAX(0,100*(1-N193/KM_MAX))</f>
        <v/>
      </c>
      <c r="BZ193" s="3">
        <f>IF(BB193&lt;KMA_SOSP,IF(AA193="sí",100,KMA_PEN),IF(BB193&lt;=KMA_IDEAL_MAX,100,MAX(0,100*(KMA_CERO-BB193)/(KMA_CERO-KMA_IDEAL_MAX))))</f>
        <v/>
      </c>
      <c r="CA193" s="3">
        <f>MAX(0,MIN(100,100*(M193-ANIO_MIN)/(ANIO_ACTUAL-ANIO_MIN)))</f>
        <v/>
      </c>
      <c r="CB193" s="3">
        <f>W_KMT*BY193+W_KMA*BZ193+W_EDAD*CA193</f>
        <v/>
      </c>
      <c r="CC193" s="3">
        <f>P_ITV*(V193="sí")+P_LIBRO*(W193="sí")+P_CORREA*(X193="sí")+P_PROP*(Y193=1)+P_GAR*(Z193="sí")+P_FOTOS*MIN(1,N(U193)/FOTOS_OBJ)</f>
        <v/>
      </c>
      <c r="CD193" s="3">
        <f>MAX(0,MIN(100,IFERROR(VLOOKUP(BP193,ETQ_TBL,2,0),0)-IF(BQ193="sí",ETQ_PEN_DUD,IF(AS193="regla",ETQ_PEN_REGLA,0))))</f>
        <v/>
      </c>
      <c r="CE193" s="3">
        <f>NEUTRO</f>
        <v/>
      </c>
      <c r="CF193" s="3">
        <f>IFERROR(VLOOKUP(L193,SEGURO_TBL,3,0),"")</f>
        <v/>
      </c>
      <c r="CG193" s="3">
        <f>IF(CF193="",NEUTRO,MAX(0,MIN(100,100*(SEG_REF_MAX-CF193)/(SEG_REF_MAX-SEG_REF_MIN))))</f>
        <v/>
      </c>
      <c r="CH193" s="3">
        <f>W_CONS*CE193+W_SEG*CG193</f>
        <v/>
      </c>
      <c r="CI193" s="3">
        <f>IF(N(AB193)&gt;0,AB193,IF(AND(R193="profesional",SG_LEGAL_ON=1),GAR_LEGAL,0))</f>
        <v/>
      </c>
      <c r="CJ193" s="3">
        <f>SG_GAR*MIN(1,CI193/SG_GAR_FULL)+SG_AMPL*(AC193="sí")+SG_KMC*(AF193="sí")+SG_REV*(N(AE193)&gt;0)+SG_DEV*MIN(1,N(AG193)/SG_DEV_FULL)+SG_HIST*(W193="sí")</f>
        <v/>
      </c>
      <c r="CK193" s="3">
        <f>IFERROR(VLOOKUP(L193,CARR_PEN_TBL,2,0),0)</f>
        <v/>
      </c>
      <c r="CL193" s="3">
        <f>W_FIAB*BW193+W_PRECIO*BX193+W_KMEDAD*CB193+W_ANUNCIO*CC193+W_USO*CH193+W_SEGURIDAD*CJ193+W_ETIQUETA*CD193-CK193</f>
        <v/>
      </c>
      <c r="CM193" s="4">
        <f>IF(N(I193)&gt;0,I193,IFERROR(ROUND(_xlfn.NUMBERVALUE(LEFT(G193,FIND(" ",G193&amp;" ")-1),".")*1000,0),99999))</f>
        <v/>
      </c>
      <c r="CN193" s="3">
        <f>IF(R193="profesional",0,IF(O193&lt;CUOTA_VALOR_MAX,IF(BA193&gt;ITP_TRAMO_ALTO,SUMIFS(CF_CUOTA,CF_MAS,ITP_TRAMO_ALTO,CF_CCMIN,"&lt;="&amp;CM193,CF_CCMAX,"&gt;="&amp;CM193),IF(BA193&gt;ITP_TRAMO_BAJO,SUMIFS(CF_CUOTA,CF_MAS,ITP_TRAMO_BAJO,CF_CCMIN,"&lt;="&amp;CM193,CF_CCMAX,"&gt;="&amp;CM193),O193*ITP_TIPO)),O193*ITP_TIPO))</f>
        <v/>
      </c>
      <c r="CO193" s="4">
        <f>IF(R193="profesional",N(AK193),0)</f>
        <v/>
      </c>
      <c r="CP193" s="3">
        <f>IF(AND(R193="profesional",ISNUMBER(AK193),AL193="sí"),0,TASA_DGT)</f>
        <v/>
      </c>
      <c r="CQ193" s="3">
        <f>INFORME_DGT</f>
        <v/>
      </c>
      <c r="CR193" s="4">
        <f>O193+CO193+CN193+CP193+CQ193</f>
        <v/>
      </c>
      <c r="CS193" s="4">
        <f>CR193+N(CF193)</f>
        <v/>
      </c>
      <c r="CT193" s="3">
        <f>IF(CR193&lt;=TOTAL_MAX,"sí",IF(CR193&lt;=TOTAL_MAX+MARGEN_NEG,"negociar","no"))</f>
        <v/>
      </c>
      <c r="CU193" s="4">
        <f>IF(CT193&lt;&gt;"no",COUNTIFS($CT$2:$CT$545,"&lt;&gt;no",$CL$2:$CL$545,"&gt;"&amp;CL193)+COUNTIFS($CT$2:CT193,"&lt;&gt;no",$CL$2:CL193,CL193),"")</f>
        <v/>
      </c>
    </row>
    <row r="194">
      <c r="A194" s="2" t="inlineStr">
        <is>
          <t>autoscout24:92c830e4-62a3-48b4-a4f3-381b86572a9a</t>
        </is>
      </c>
      <c r="B194" s="2" t="inlineStr">
        <is>
          <t>autoscout24</t>
        </is>
      </c>
      <c r="C194" s="2" t="inlineStr">
        <is>
          <t>https://www.autoscout24.es/anuncios/chevrolet-kalos-se-kalos-1-2-se-gasolina-rojo-cat_ma19mo18571-92c830e4-62a3-48b4-a4f3-381b86572a9a</t>
        </is>
      </c>
      <c r="D194" s="2" t="inlineStr">
        <is>
          <t>Chevrolet Kalos SE Kalos 1.2 SE</t>
        </is>
      </c>
      <c r="E194" s="2" t="inlineStr">
        <is>
          <t>Chevrolet</t>
        </is>
      </c>
      <c r="F194" s="2" t="inlineStr">
        <is>
          <t>Chevrolet Kalos</t>
        </is>
      </c>
      <c r="G194" s="2" t="inlineStr">
        <is>
          <t>1.1</t>
        </is>
      </c>
      <c r="H194" s="2" t="inlineStr">
        <is>
          <t>SE Kalos 1.2 SE 1.2</t>
        </is>
      </c>
      <c r="I194" s="2" t="n">
        <v>1150</v>
      </c>
      <c r="J194" s="2" t="n">
        <v>72</v>
      </c>
      <c r="K194" s="2" t="inlineStr">
        <is>
          <t>gasolina</t>
        </is>
      </c>
      <c r="L194" s="2" t="inlineStr">
        <is>
          <t>utilitario</t>
        </is>
      </c>
      <c r="M194" s="2" t="n">
        <v>2007</v>
      </c>
      <c r="N194" s="2" t="n">
        <v>121000</v>
      </c>
      <c r="O194" s="2" t="n">
        <v>2999</v>
      </c>
      <c r="P194" s="2" t="inlineStr">
        <is>
          <t>manual</t>
        </is>
      </c>
      <c r="Q194" s="2" t="inlineStr">
        <is>
          <t>no</t>
        </is>
      </c>
      <c r="R194" s="2" t="inlineStr">
        <is>
          <t>particular</t>
        </is>
      </c>
      <c r="S194" s="2" t="inlineStr">
        <is>
          <t>Castelló de la Plana/Castellón de la Plana (12006)</t>
        </is>
      </c>
      <c r="T194" s="2" t="n"/>
      <c r="U194" s="2" t="n">
        <v>5</v>
      </c>
      <c r="V194" s="2" t="n"/>
      <c r="W194" s="2" t="n"/>
      <c r="X194" s="2" t="n"/>
      <c r="Y194" s="2" t="n"/>
      <c r="Z194" s="2" t="n"/>
      <c r="AA194" s="2" t="n"/>
      <c r="AB194" s="2" t="n"/>
      <c r="AC194" s="2" t="n"/>
      <c r="AD194" s="2" t="n"/>
      <c r="AE194" s="2" t="n"/>
      <c r="AF194" s="2" t="n"/>
      <c r="AG194" s="2" t="n"/>
      <c r="AH194" s="2" t="n"/>
      <c r="AI194" s="2" t="n"/>
      <c r="AJ194" s="2" t="n"/>
      <c r="AK194" s="2" t="n"/>
      <c r="AL194" s="2" t="n"/>
      <c r="AM194" s="2" t="n">
        <v>63.9</v>
      </c>
      <c r="AN194" s="2" t="n"/>
      <c r="AO194" s="2" t="inlineStr">
        <is>
          <t>2007-07</t>
        </is>
      </c>
      <c r="AP194" s="2" t="n">
        <v>2007</v>
      </c>
      <c r="AQ194" s="2" t="n">
        <v>7</v>
      </c>
      <c r="AR194" s="2" t="n"/>
      <c r="AS194" s="2" t="inlineStr">
        <is>
          <t>regla</t>
        </is>
      </c>
      <c r="AT194" s="2" t="n">
        <v>2999</v>
      </c>
      <c r="AU194" s="2" t="n">
        <v>6</v>
      </c>
      <c r="AV194" s="2" t="inlineStr">
        <is>
          <t>modelo+año</t>
        </is>
      </c>
      <c r="AW194" s="2" t="inlineStr">
        <is>
          <t>cochesnet:71855343 (https://www.coches.net/chevrolet-kalos-12-se-5p-gasolina-2007-en-castellon-71855343-covo.aspx); cochesnet:71857104 (https://www.coches.net/chevrolet-kalos-12-se-5p-gasolina-2007-en-castellon-71857104-covo.aspx)</t>
        </is>
      </c>
      <c r="AX194" s="2" t="inlineStr">
        <is>
          <t>cuota fija ITP: &gt;12 años, hasta 1.500 cc; fiabilidad del modelo PENDIENTE de fuente (puntuación neutra)</t>
        </is>
      </c>
      <c r="AY194" s="2" t="inlineStr">
        <is>
          <t>Como nuevo atiendo wasap 24h tf 642992935</t>
        </is>
      </c>
      <c r="AZ194" s="2" t="inlineStr">
        <is>
          <t>https://www.autoscout24.es/anuncios/chevrolet-kalos-se-kalos-1-2-se-gasolina-rojo-cat_ma19mo18571-92c830e4-62a3-48b4-a4f3-381b86572a9a (__NEXT_DATA__ listingDetails) /home/user/Alopecia/buscador-coches/raw/autoscout24/c4674fa0d17c2d55.json</t>
        </is>
      </c>
      <c r="BA194" s="3">
        <f>MAX(ANIO_ACTUAL-M194,0)</f>
        <v/>
      </c>
      <c r="BB194" s="4">
        <f>N194/MAX(BA194,0.5)</f>
        <v/>
      </c>
      <c r="BC194" s="4">
        <f>F194</f>
        <v/>
      </c>
      <c r="BD194" s="3">
        <f>BC194&amp;"|"&amp;INT(M194/SEG_ANIO)*SEG_ANIO</f>
        <v/>
      </c>
      <c r="BE194" s="3">
        <f>BD194&amp;"|"&amp;INT(N194/SEG_KM)*SEG_KM</f>
        <v/>
      </c>
      <c r="BF194" s="4">
        <f>COUNTIF($BC$2:$BC$545,BC194)</f>
        <v/>
      </c>
      <c r="BG194" s="4">
        <f>COUNTIF($BD$2:$BD$545,BD194)</f>
        <v/>
      </c>
      <c r="BH194" s="4">
        <f>COUNTIF($BE$2:$BE$545,BE194)</f>
        <v/>
      </c>
      <c r="BI194" s="3">
        <f t="array" ref="BI194">IF(N(AU194)&gt;=MIN_N,AT194,IF(BH194&gt;=MIN_N,MEDIAN(IF($BE$2:$BE$545=BE194,$O$2:$O$545)),IF(BG194&gt;=MIN_N,MEDIAN(IF($BD$2:$BD$545=BD194,$O$2:$O$545)),MEDIAN(IF($BC$2:$BC$545=BC194,$O$2:$O$545)))))</f>
        <v/>
      </c>
      <c r="BJ194" s="3">
        <f>IF(N(AU194)&gt;=MIN_N,"mercado "&amp;AV194,IF(BH194&gt;=MIN_N,"modelo+año+km",IF(BG194&gt;=MIN_N,"modelo+año","modelo")))</f>
        <v/>
      </c>
      <c r="BK194" s="4">
        <f>(BI194-O194)/BI194</f>
        <v/>
      </c>
      <c r="BL194" s="3">
        <f>IF(COUNTIFS(FR_FUEL,K194,FR_YEAR,AP194)&gt;0,1,0)</f>
        <v/>
      </c>
      <c r="BM194" s="3">
        <f>IF(COUNTIFS(FR_FUEL,K194,FR_YEAR,AP194-1)&gt;0,1,0)</f>
        <v/>
      </c>
      <c r="BN194" s="4">
        <f>IF(N(AQ194)&gt;0,AP194*100+AQ194,IF(AND(BL194=1,BM194=1),(AP194-1)*100+1,AP194*100+1))</f>
        <v/>
      </c>
      <c r="BO194" s="3">
        <f>IF(OR(K194="hibrido",K194="glp",K194="gnc",K194="phev"),"ECO",IF(K194="electrico","CERO",IF(K194="gasolina",IF(BN194&gt;=GAS_C_YM,"C",IF(BN194&gt;=GAS_B_YM,"B","A")),IF(K194="diesel",IF(BN194&gt;=DIE_C_YM,"C",IF(BN194&gt;=DIE_B_YM,"B","A")),""))))</f>
        <v/>
      </c>
      <c r="BP194" s="4">
        <f>BO194</f>
        <v/>
      </c>
      <c r="BQ194" s="4">
        <f>IF(AS194="regla",IF(AND(N(AQ194)=0,BL194=1),"sí","no"),"no")</f>
        <v/>
      </c>
      <c r="BR194" s="3">
        <f>IFERROR(VLOOKUP(F194,MOD_TBL,11,0),IFERROR(VLOOKUP(E194,OCU_TBL,2,0),NEUTRO))</f>
        <v/>
      </c>
      <c r="BS194" s="3">
        <f>SUMIFS(MOT_AJUSTE,MOT_MOTOR,G194,MOT_MARCA,E194,MOT_DESDE,"&lt;="&amp;M194,MOT_HASTA,"&gt;="&amp;M194)+SUMIFS(MOT_AJUSTE,MOT_MOTOR,G194,MOT_MARCA,"(todas)",MOT_DESDE,"&lt;="&amp;M194,MOT_HASTA,"&gt;="&amp;M194)</f>
        <v/>
      </c>
      <c r="BT194" s="3">
        <f>SUMIFS(COMB_AJUSTE,COMB_COMB,K194)</f>
        <v/>
      </c>
      <c r="BU194" s="3">
        <f>COUNTIFS(MOT_MOTOR,G194,MOT_MARCA,E194,MOT_DESDE,"&lt;="&amp;M194,MOT_HASTA,"&gt;="&amp;M194)+COUNTIFS(MOT_MOTOR,G194,MOT_MARCA,"(todas)",MOT_DESDE,"&lt;="&amp;M194,MOT_HASTA,"&gt;="&amp;M194)</f>
        <v/>
      </c>
      <c r="BV194" s="3">
        <f>IF(AND(K194="diesel",BU194=0),MIN(BR194,NEUTRO),BR194)</f>
        <v/>
      </c>
      <c r="BW194" s="4">
        <f>MAX(0,MIN(100,BV194+BS194+BT194))</f>
        <v/>
      </c>
      <c r="BX194" s="3">
        <f>MAX(0,MIN(100,50+BK194*PRECIO_PEND))</f>
        <v/>
      </c>
      <c r="BY194" s="3">
        <f>MAX(0,100*(1-N194/KM_MAX))</f>
        <v/>
      </c>
      <c r="BZ194" s="3">
        <f>IF(BB194&lt;KMA_SOSP,IF(AA194="sí",100,KMA_PEN),IF(BB194&lt;=KMA_IDEAL_MAX,100,MAX(0,100*(KMA_CERO-BB194)/(KMA_CERO-KMA_IDEAL_MAX))))</f>
        <v/>
      </c>
      <c r="CA194" s="3">
        <f>MAX(0,MIN(100,100*(M194-ANIO_MIN)/(ANIO_ACTUAL-ANIO_MIN)))</f>
        <v/>
      </c>
      <c r="CB194" s="3">
        <f>W_KMT*BY194+W_KMA*BZ194+W_EDAD*CA194</f>
        <v/>
      </c>
      <c r="CC194" s="3">
        <f>P_ITV*(V194="sí")+P_LIBRO*(W194="sí")+P_CORREA*(X194="sí")+P_PROP*(Y194=1)+P_GAR*(Z194="sí")+P_FOTOS*MIN(1,N(U194)/FOTOS_OBJ)</f>
        <v/>
      </c>
      <c r="CD194" s="3">
        <f>MAX(0,MIN(100,IFERROR(VLOOKUP(BP194,ETQ_TBL,2,0),0)-IF(BQ194="sí",ETQ_PEN_DUD,IF(AS194="regla",ETQ_PEN_REGLA,0))))</f>
        <v/>
      </c>
      <c r="CE194" s="3">
        <f>NEUTRO</f>
        <v/>
      </c>
      <c r="CF194" s="3">
        <f>IFERROR(VLOOKUP(L194,SEGURO_TBL,3,0),"")</f>
        <v/>
      </c>
      <c r="CG194" s="3">
        <f>IF(CF194="",NEUTRO,MAX(0,MIN(100,100*(SEG_REF_MAX-CF194)/(SEG_REF_MAX-SEG_REF_MIN))))</f>
        <v/>
      </c>
      <c r="CH194" s="3">
        <f>W_CONS*CE194+W_SEG*CG194</f>
        <v/>
      </c>
      <c r="CI194" s="3">
        <f>IF(N(AB194)&gt;0,AB194,IF(AND(R194="profesional",SG_LEGAL_ON=1),GAR_LEGAL,0))</f>
        <v/>
      </c>
      <c r="CJ194" s="3">
        <f>SG_GAR*MIN(1,CI194/SG_GAR_FULL)+SG_AMPL*(AC194="sí")+SG_KMC*(AF194="sí")+SG_REV*(N(AE194)&gt;0)+SG_DEV*MIN(1,N(AG194)/SG_DEV_FULL)+SG_HIST*(W194="sí")</f>
        <v/>
      </c>
      <c r="CK194" s="3">
        <f>IFERROR(VLOOKUP(L194,CARR_PEN_TBL,2,0),0)</f>
        <v/>
      </c>
      <c r="CL194" s="3">
        <f>W_FIAB*BW194+W_PRECIO*BX194+W_KMEDAD*CB194+W_ANUNCIO*CC194+W_USO*CH194+W_SEGURIDAD*CJ194+W_ETIQUETA*CD194-CK194</f>
        <v/>
      </c>
      <c r="CM194" s="4">
        <f>IF(N(I194)&gt;0,I194,IFERROR(ROUND(_xlfn.NUMBERVALUE(LEFT(G194,FIND(" ",G194&amp;" ")-1),".")*1000,0),99999))</f>
        <v/>
      </c>
      <c r="CN194" s="3">
        <f>IF(R194="profesional",0,IF(O194&lt;CUOTA_VALOR_MAX,IF(BA194&gt;ITP_TRAMO_ALTO,SUMIFS(CF_CUOTA,CF_MAS,ITP_TRAMO_ALTO,CF_CCMIN,"&lt;="&amp;CM194,CF_CCMAX,"&gt;="&amp;CM194),IF(BA194&gt;ITP_TRAMO_BAJO,SUMIFS(CF_CUOTA,CF_MAS,ITP_TRAMO_BAJO,CF_CCMIN,"&lt;="&amp;CM194,CF_CCMAX,"&gt;="&amp;CM194),O194*ITP_TIPO)),O194*ITP_TIPO))</f>
        <v/>
      </c>
      <c r="CO194" s="4">
        <f>IF(R194="profesional",N(AK194),0)</f>
        <v/>
      </c>
      <c r="CP194" s="3">
        <f>IF(AND(R194="profesional",ISNUMBER(AK194),AL194="sí"),0,TASA_DGT)</f>
        <v/>
      </c>
      <c r="CQ194" s="3">
        <f>INFORME_DGT</f>
        <v/>
      </c>
      <c r="CR194" s="4">
        <f>O194+CO194+CN194+CP194+CQ194</f>
        <v/>
      </c>
      <c r="CS194" s="4">
        <f>CR194+N(CF194)</f>
        <v/>
      </c>
      <c r="CT194" s="3">
        <f>IF(CR194&lt;=TOTAL_MAX,"sí",IF(CR194&lt;=TOTAL_MAX+MARGEN_NEG,"negociar","no"))</f>
        <v/>
      </c>
      <c r="CU194" s="4">
        <f>IF(CT194&lt;&gt;"no",COUNTIFS($CT$2:$CT$545,"&lt;&gt;no",$CL$2:$CL$545,"&gt;"&amp;CL194)+COUNTIFS($CT$2:CT194,"&lt;&gt;no",$CL$2:CL194,CL194),"")</f>
        <v/>
      </c>
    </row>
    <row r="195">
      <c r="A195" s="2" t="inlineStr">
        <is>
          <t>autoscout24:71abdbb4-80a2-4744-b90c-ca00a2a9d98c</t>
        </is>
      </c>
      <c r="B195" s="2" t="inlineStr">
        <is>
          <t>autoscout24</t>
        </is>
      </c>
      <c r="C195" s="2" t="inlineStr">
        <is>
          <t>https://www.autoscout24.es/anuncios/chevrolet-cruze-2-0vcdi-lt+-clima-diesel-blanco-cat_ma19mo19172-71abdbb4-80a2-4744-b90c-ca00a2a9d98c</t>
        </is>
      </c>
      <c r="D195" s="2" t="inlineStr">
        <is>
          <t>Chevrolet Cruze 2.0VCDi LT+ Clima</t>
        </is>
      </c>
      <c r="E195" s="2" t="inlineStr">
        <is>
          <t>Chevrolet</t>
        </is>
      </c>
      <c r="F195" s="2" t="inlineStr">
        <is>
          <t>Chevrolet Cruze</t>
        </is>
      </c>
      <c r="G195" s="2" t="inlineStr">
        <is>
          <t>2.0</t>
        </is>
      </c>
      <c r="H195" s="2" t="inlineStr">
        <is>
          <t>2.0VCDi LT+ Clima 2.0TD</t>
        </is>
      </c>
      <c r="I195" s="2" t="n">
        <v>1998</v>
      </c>
      <c r="J195" s="2" t="n">
        <v>163</v>
      </c>
      <c r="K195" s="2" t="inlineStr">
        <is>
          <t>diesel</t>
        </is>
      </c>
      <c r="L195" s="2" t="inlineStr">
        <is>
          <t>compacto</t>
        </is>
      </c>
      <c r="M195" s="2" t="n">
        <v>2012</v>
      </c>
      <c r="N195" s="2" t="n">
        <v>176000</v>
      </c>
      <c r="O195" s="2" t="n">
        <v>4990</v>
      </c>
      <c r="P195" s="2" t="inlineStr">
        <is>
          <t>manual</t>
        </is>
      </c>
      <c r="Q195" s="2" t="inlineStr">
        <is>
          <t>no</t>
        </is>
      </c>
      <c r="R195" s="2" t="inlineStr">
        <is>
          <t>profesional</t>
        </is>
      </c>
      <c r="S195" s="2" t="inlineStr">
        <is>
          <t>SAGA VEHICULOS — MASSANASSA (46470)</t>
        </is>
      </c>
      <c r="T195" s="2" t="n"/>
      <c r="U195" s="2" t="n">
        <v>26</v>
      </c>
      <c r="V195" s="2" t="n"/>
      <c r="W195" s="2" t="n"/>
      <c r="X195" s="2" t="n"/>
      <c r="Y195" s="2" t="n"/>
      <c r="Z195" s="2" t="inlineStr">
        <is>
          <t>sí</t>
        </is>
      </c>
      <c r="AA195" s="2" t="n"/>
      <c r="AB195" s="2" t="n">
        <v>12</v>
      </c>
      <c r="AC195" s="2" t="inlineStr">
        <is>
          <t>sí</t>
        </is>
      </c>
      <c r="AD195" s="2" t="n"/>
      <c r="AE195" s="2" t="n"/>
      <c r="AF195" s="2" t="n"/>
      <c r="AG195" s="2" t="n"/>
      <c r="AH195" s="2" t="n"/>
      <c r="AI195" s="2" t="n"/>
      <c r="AJ195" s="2" t="n"/>
      <c r="AK195" s="2" t="n">
        <v>350</v>
      </c>
      <c r="AL195" s="2" t="inlineStr">
        <is>
          <t>no</t>
        </is>
      </c>
      <c r="AM195" s="2" t="n">
        <v>7.1</v>
      </c>
      <c r="AN195" s="2" t="n"/>
      <c r="AO195" s="2" t="inlineStr">
        <is>
          <t>2012-10</t>
        </is>
      </c>
      <c r="AP195" s="2" t="n">
        <v>2012</v>
      </c>
      <c r="AQ195" s="2" t="n">
        <v>10</v>
      </c>
      <c r="AR195" s="2" t="n"/>
      <c r="AS195" s="2" t="inlineStr">
        <is>
          <t>regla</t>
        </is>
      </c>
      <c r="AT195" s="2" t="n">
        <v>4990</v>
      </c>
      <c r="AU195" s="2" t="n">
        <v>4</v>
      </c>
      <c r="AV195" s="2" t="inlineStr">
        <is>
          <t>modelo+año+km</t>
        </is>
      </c>
      <c r="AW195" s="2" t="inlineStr">
        <is>
          <t>cochesnet:71786529 (https://www.coches.net/chevrolet-cruze-20-vcdi-lt-5p-diesel-2013-en-valencia-71786529-covo.aspx)</t>
        </is>
      </c>
      <c r="AX195" s="2" t="inlineStr">
        <is>
          <t>vendedor profesional: sin ITP (operación con IVA/REBU, confirmar en factura); gastos del vendedor sin indicar si incluyen la transferencia: se suma la tasa DGT; diésel: motor sin fuente de fiabilidad (fiabilidad limitada a neutra); fiabilidad del modelo PENDIENTE de fuente (puntuación neutra)</t>
        </is>
      </c>
      <c r="AY195" s="2" t="inlineStr">
        <is>
          <t>Chevrolet Cruze LT+ 2.0, Diésel, 163CV,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Control de estabilidad ESP&lt;br /&gt;- Airbags&lt;br /&gt;- Control de crucero&lt;br /&gt;- Ordenador abordo&lt;br /&gt;- Sistema multimedia Bluetooth&lt;br /&gt;- Sensores Park-Distance-Control (PDC)&lt;br /&gt;- Llaves con mandos a distancia y mucho mas....&lt;br /&gt;Este anuncio no es vinculante, se muestra a titulo informativo y no contractual.&lt;br /&gt;&lt;br /&gt;&lt;br /&gt;</t>
        </is>
      </c>
      <c r="AZ195" s="2" t="inlineStr">
        <is>
          <t>https://www.autoscout24.es/anuncios/chevrolet-cruze-2-0vcdi-lt+-clima-diesel-blanco-cat_ma19mo19172-71abdbb4-80a2-4744-b90c-ca00a2a9d98c (__NEXT_DATA__ listingDetails) /home/user/Alopecia/buscador-coches/raw/autoscout24/dec541213f61ae4d.json</t>
        </is>
      </c>
      <c r="BA195" s="3">
        <f>MAX(ANIO_ACTUAL-M195,0)</f>
        <v/>
      </c>
      <c r="BB195" s="4">
        <f>N195/MAX(BA195,0.5)</f>
        <v/>
      </c>
      <c r="BC195" s="4">
        <f>F195</f>
        <v/>
      </c>
      <c r="BD195" s="3">
        <f>BC195&amp;"|"&amp;INT(M195/SEG_ANIO)*SEG_ANIO</f>
        <v/>
      </c>
      <c r="BE195" s="3">
        <f>BD195&amp;"|"&amp;INT(N195/SEG_KM)*SEG_KM</f>
        <v/>
      </c>
      <c r="BF195" s="4">
        <f>COUNTIF($BC$2:$BC$545,BC195)</f>
        <v/>
      </c>
      <c r="BG195" s="4">
        <f>COUNTIF($BD$2:$BD$545,BD195)</f>
        <v/>
      </c>
      <c r="BH195" s="4">
        <f>COUNTIF($BE$2:$BE$545,BE195)</f>
        <v/>
      </c>
      <c r="BI195" s="3">
        <f t="array" ref="BI195">IF(N(AU195)&gt;=MIN_N,AT195,IF(BH195&gt;=MIN_N,MEDIAN(IF($BE$2:$BE$545=BE195,$O$2:$O$545)),IF(BG195&gt;=MIN_N,MEDIAN(IF($BD$2:$BD$545=BD195,$O$2:$O$545)),MEDIAN(IF($BC$2:$BC$545=BC195,$O$2:$O$545)))))</f>
        <v/>
      </c>
      <c r="BJ195" s="3">
        <f>IF(N(AU195)&gt;=MIN_N,"mercado "&amp;AV195,IF(BH195&gt;=MIN_N,"modelo+año+km",IF(BG195&gt;=MIN_N,"modelo+año","modelo")))</f>
        <v/>
      </c>
      <c r="BK195" s="4">
        <f>(BI195-O195)/BI195</f>
        <v/>
      </c>
      <c r="BL195" s="3">
        <f>IF(COUNTIFS(FR_FUEL,K195,FR_YEAR,AP195)&gt;0,1,0)</f>
        <v/>
      </c>
      <c r="BM195" s="3">
        <f>IF(COUNTIFS(FR_FUEL,K195,FR_YEAR,AP195-1)&gt;0,1,0)</f>
        <v/>
      </c>
      <c r="BN195" s="4">
        <f>IF(N(AQ195)&gt;0,AP195*100+AQ195,IF(AND(BL195=1,BM195=1),(AP195-1)*100+1,AP195*100+1))</f>
        <v/>
      </c>
      <c r="BO195" s="3">
        <f>IF(OR(K195="hibrido",K195="glp",K195="gnc",K195="phev"),"ECO",IF(K195="electrico","CERO",IF(K195="gasolina",IF(BN195&gt;=GAS_C_YM,"C",IF(BN195&gt;=GAS_B_YM,"B","A")),IF(K195="diesel",IF(BN195&gt;=DIE_C_YM,"C",IF(BN195&gt;=DIE_B_YM,"B","A")),""))))</f>
        <v/>
      </c>
      <c r="BP195" s="4">
        <f>BO195</f>
        <v/>
      </c>
      <c r="BQ195" s="4">
        <f>IF(AS195="regla",IF(AND(N(AQ195)=0,BL195=1),"sí","no"),"no")</f>
        <v/>
      </c>
      <c r="BR195" s="3">
        <f>IFERROR(VLOOKUP(F195,MOD_TBL,11,0),IFERROR(VLOOKUP(E195,OCU_TBL,2,0),NEUTRO))</f>
        <v/>
      </c>
      <c r="BS195" s="3">
        <f>SUMIFS(MOT_AJUSTE,MOT_MOTOR,G195,MOT_MARCA,E195,MOT_DESDE,"&lt;="&amp;M195,MOT_HASTA,"&gt;="&amp;M195)+SUMIFS(MOT_AJUSTE,MOT_MOTOR,G195,MOT_MARCA,"(todas)",MOT_DESDE,"&lt;="&amp;M195,MOT_HASTA,"&gt;="&amp;M195)</f>
        <v/>
      </c>
      <c r="BT195" s="3">
        <f>SUMIFS(COMB_AJUSTE,COMB_COMB,K195)</f>
        <v/>
      </c>
      <c r="BU195" s="3">
        <f>COUNTIFS(MOT_MOTOR,G195,MOT_MARCA,E195,MOT_DESDE,"&lt;="&amp;M195,MOT_HASTA,"&gt;="&amp;M195)+COUNTIFS(MOT_MOTOR,G195,MOT_MARCA,"(todas)",MOT_DESDE,"&lt;="&amp;M195,MOT_HASTA,"&gt;="&amp;M195)</f>
        <v/>
      </c>
      <c r="BV195" s="3">
        <f>IF(AND(K195="diesel",BU195=0),MIN(BR195,NEUTRO),BR195)</f>
        <v/>
      </c>
      <c r="BW195" s="4">
        <f>MAX(0,MIN(100,BV195+BS195+BT195))</f>
        <v/>
      </c>
      <c r="BX195" s="3">
        <f>MAX(0,MIN(100,50+BK195*PRECIO_PEND))</f>
        <v/>
      </c>
      <c r="BY195" s="3">
        <f>MAX(0,100*(1-N195/KM_MAX))</f>
        <v/>
      </c>
      <c r="BZ195" s="3">
        <f>IF(BB195&lt;KMA_SOSP,IF(AA195="sí",100,KMA_PEN),IF(BB195&lt;=KMA_IDEAL_MAX,100,MAX(0,100*(KMA_CERO-BB195)/(KMA_CERO-KMA_IDEAL_MAX))))</f>
        <v/>
      </c>
      <c r="CA195" s="3">
        <f>MAX(0,MIN(100,100*(M195-ANIO_MIN)/(ANIO_ACTUAL-ANIO_MIN)))</f>
        <v/>
      </c>
      <c r="CB195" s="3">
        <f>W_KMT*BY195+W_KMA*BZ195+W_EDAD*CA195</f>
        <v/>
      </c>
      <c r="CC195" s="3">
        <f>P_ITV*(V195="sí")+P_LIBRO*(W195="sí")+P_CORREA*(X195="sí")+P_PROP*(Y195=1)+P_GAR*(Z195="sí")+P_FOTOS*MIN(1,N(U195)/FOTOS_OBJ)</f>
        <v/>
      </c>
      <c r="CD195" s="3">
        <f>MAX(0,MIN(100,IFERROR(VLOOKUP(BP195,ETQ_TBL,2,0),0)-IF(BQ195="sí",ETQ_PEN_DUD,IF(AS195="regla",ETQ_PEN_REGLA,0))))</f>
        <v/>
      </c>
      <c r="CE195" s="3">
        <f>NEUTRO</f>
        <v/>
      </c>
      <c r="CF195" s="3">
        <f>IFERROR(VLOOKUP(L195,SEGURO_TBL,3,0),"")</f>
        <v/>
      </c>
      <c r="CG195" s="3">
        <f>IF(CF195="",NEUTRO,MAX(0,MIN(100,100*(SEG_REF_MAX-CF195)/(SEG_REF_MAX-SEG_REF_MIN))))</f>
        <v/>
      </c>
      <c r="CH195" s="3">
        <f>W_CONS*CE195+W_SEG*CG195</f>
        <v/>
      </c>
      <c r="CI195" s="3">
        <f>IF(N(AB195)&gt;0,AB195,IF(AND(R195="profesional",SG_LEGAL_ON=1),GAR_LEGAL,0))</f>
        <v/>
      </c>
      <c r="CJ195" s="3">
        <f>SG_GAR*MIN(1,CI195/SG_GAR_FULL)+SG_AMPL*(AC195="sí")+SG_KMC*(AF195="sí")+SG_REV*(N(AE195)&gt;0)+SG_DEV*MIN(1,N(AG195)/SG_DEV_FULL)+SG_HIST*(W195="sí")</f>
        <v/>
      </c>
      <c r="CK195" s="3">
        <f>IFERROR(VLOOKUP(L195,CARR_PEN_TBL,2,0),0)</f>
        <v/>
      </c>
      <c r="CL195" s="3">
        <f>W_FIAB*BW195+W_PRECIO*BX195+W_KMEDAD*CB195+W_ANUNCIO*CC195+W_USO*CH195+W_SEGURIDAD*CJ195+W_ETIQUETA*CD195-CK195</f>
        <v/>
      </c>
      <c r="CM195" s="4">
        <f>IF(N(I195)&gt;0,I195,IFERROR(ROUND(_xlfn.NUMBERVALUE(LEFT(G195,FIND(" ",G195&amp;" ")-1),".")*1000,0),99999))</f>
        <v/>
      </c>
      <c r="CN195" s="3">
        <f>IF(R195="profesional",0,IF(O195&lt;CUOTA_VALOR_MAX,IF(BA195&gt;ITP_TRAMO_ALTO,SUMIFS(CF_CUOTA,CF_MAS,ITP_TRAMO_ALTO,CF_CCMIN,"&lt;="&amp;CM195,CF_CCMAX,"&gt;="&amp;CM195),IF(BA195&gt;ITP_TRAMO_BAJO,SUMIFS(CF_CUOTA,CF_MAS,ITP_TRAMO_BAJO,CF_CCMIN,"&lt;="&amp;CM195,CF_CCMAX,"&gt;="&amp;CM195),O195*ITP_TIPO)),O195*ITP_TIPO))</f>
        <v/>
      </c>
      <c r="CO195" s="4">
        <f>IF(R195="profesional",N(AK195),0)</f>
        <v/>
      </c>
      <c r="CP195" s="3">
        <f>IF(AND(R195="profesional",ISNUMBER(AK195),AL195="sí"),0,TASA_DGT)</f>
        <v/>
      </c>
      <c r="CQ195" s="3">
        <f>INFORME_DGT</f>
        <v/>
      </c>
      <c r="CR195" s="4">
        <f>O195+CO195+CN195+CP195+CQ195</f>
        <v/>
      </c>
      <c r="CS195" s="4">
        <f>CR195+N(CF195)</f>
        <v/>
      </c>
      <c r="CT195" s="3">
        <f>IF(CR195&lt;=TOTAL_MAX,"sí",IF(CR195&lt;=TOTAL_MAX+MARGEN_NEG,"negociar","no"))</f>
        <v/>
      </c>
      <c r="CU195" s="4">
        <f>IF(CT195&lt;&gt;"no",COUNTIFS($CT$2:$CT$545,"&lt;&gt;no",$CL$2:$CL$545,"&gt;"&amp;CL195)+COUNTIFS($CT$2:CT195,"&lt;&gt;no",$CL$2:CL195,CL195),"")</f>
        <v/>
      </c>
    </row>
    <row r="196">
      <c r="A196" s="2" t="inlineStr">
        <is>
          <t>autoscout24:3c813df0-fdf9-4779-88cc-cd1d22b47c92</t>
        </is>
      </c>
      <c r="B196" s="2" t="inlineStr">
        <is>
          <t>autoscout24</t>
        </is>
      </c>
      <c r="C196" s="2" t="inlineStr">
        <is>
          <t>https://www.autoscout24.es/anuncios/chevrolet-kalos-1-4-16v-sx-gasolina-rojo-cat_ma19mo18571-3c813df0-fdf9-4779-88cc-cd1d22b47c92</t>
        </is>
      </c>
      <c r="D196" s="2" t="inlineStr">
        <is>
          <t>Chevrolet Kalos 1.4 16v SX</t>
        </is>
      </c>
      <c r="E196" s="2" t="inlineStr">
        <is>
          <t>Chevrolet</t>
        </is>
      </c>
      <c r="F196" s="2" t="inlineStr">
        <is>
          <t>Chevrolet Kalos</t>
        </is>
      </c>
      <c r="G196" s="2" t="inlineStr">
        <is>
          <t>1.4</t>
        </is>
      </c>
      <c r="H196" s="2" t="inlineStr">
        <is>
          <t>1.4 16v SX 1.4</t>
        </is>
      </c>
      <c r="I196" s="2" t="n">
        <v>1399</v>
      </c>
      <c r="J196" s="2" t="n">
        <v>94</v>
      </c>
      <c r="K196" s="2" t="inlineStr">
        <is>
          <t>gasolina</t>
        </is>
      </c>
      <c r="L196" s="2" t="inlineStr">
        <is>
          <t>utilitario</t>
        </is>
      </c>
      <c r="M196" s="2" t="n">
        <v>2006</v>
      </c>
      <c r="N196" s="2" t="n">
        <v>100200</v>
      </c>
      <c r="O196" s="2" t="n">
        <v>3990</v>
      </c>
      <c r="P196" s="2" t="inlineStr">
        <is>
          <t>manual</t>
        </is>
      </c>
      <c r="Q196" s="2" t="inlineStr">
        <is>
          <t>no</t>
        </is>
      </c>
      <c r="R196" s="2" t="inlineStr">
        <is>
          <t>profesional</t>
        </is>
      </c>
      <c r="S196" s="2" t="inlineStr">
        <is>
          <t>SAGA VEHICULOS — MASSANASSA (46470)</t>
        </is>
      </c>
      <c r="T196" s="2" t="n"/>
      <c r="U196" s="2" t="n">
        <v>27</v>
      </c>
      <c r="V196" s="2" t="n"/>
      <c r="W196" s="2" t="n"/>
      <c r="X196" s="2" t="n"/>
      <c r="Y196" s="2" t="n"/>
      <c r="Z196" s="2" t="inlineStr">
        <is>
          <t>sí</t>
        </is>
      </c>
      <c r="AA196" s="2" t="n"/>
      <c r="AB196" s="2" t="n">
        <v>12</v>
      </c>
      <c r="AC196" s="2" t="inlineStr">
        <is>
          <t>sí</t>
        </is>
      </c>
      <c r="AD196" s="2" t="n"/>
      <c r="AE196" s="2" t="n"/>
      <c r="AF196" s="2" t="n"/>
      <c r="AG196" s="2" t="n"/>
      <c r="AH196" s="2" t="n"/>
      <c r="AI196" s="2" t="n"/>
      <c r="AJ196" s="2" t="n"/>
      <c r="AK196" s="2" t="n">
        <v>350</v>
      </c>
      <c r="AL196" s="2" t="inlineStr">
        <is>
          <t>no</t>
        </is>
      </c>
      <c r="AM196" s="2" t="n">
        <v>7.1</v>
      </c>
      <c r="AN196" s="2" t="n"/>
      <c r="AO196" s="2" t="inlineStr">
        <is>
          <t>2006-01</t>
        </is>
      </c>
      <c r="AP196" s="2" t="n">
        <v>2006</v>
      </c>
      <c r="AQ196" s="2" t="n">
        <v>1</v>
      </c>
      <c r="AR196" s="2" t="n"/>
      <c r="AS196" s="2" t="inlineStr">
        <is>
          <t>regla</t>
        </is>
      </c>
      <c r="AT196" s="2" t="n"/>
      <c r="AU196" s="2" t="n"/>
      <c r="AV196" s="2" t="n"/>
      <c r="AW196" s="2" t="inlineStr">
        <is>
          <t>cochesnet:71757437 (https://www.coches.net/chevrolet-kalos-14-16v-sx-5p-gasolina-2007-en-valencia-71757437-covo.aspx)</t>
        </is>
      </c>
      <c r="AX196" s="2" t="inlineStr">
        <is>
          <t>vendedor profesional: sin ITP (operación con IVA/REBU, confirmar en factura); gastos del vendedor sin indicar si incluyen la transferencia: se suma la tasa DGT; fiabilidad del modelo PENDIENTE de fuente (puntuación neutra)</t>
        </is>
      </c>
      <c r="AY196" s="2" t="inlineStr">
        <is>
          <t>Chevrolet Kalos 1.4 SX, 95CV, Gasolina, unico proprietario, vehículo muy bien cuidado.&lt;br /&gt;&lt;br /&gt;Más de 100 coches en stock, Por favor llámenos para más información, atendemos SOLO CON CITA PREVIA. Gracias!!!!&lt;br /&gt;&lt;br /&gt;Financiacíon de hasta el 100% del vehículo!&lt;br /&gt;&lt;br /&gt;Gestión documental no incluido 350€ &lt;br /&gt;Garantía Premium 12 Meses con cobertura a nivel nacional 399€&lt;br /&gt;&lt;br /&gt;Saga Vehículos, estamos en C/ Motor Sant Agustí, 41, 46470 Massanassa, Valencia.&lt;br /&gt;Horario: De lunes a viernes de 10:00 a 14:00 y de 16:00 a 19:00.&lt;br /&gt;Sabado de 10:00 a 14:00.&lt;br /&gt;&lt;br /&gt;- Aire acondicionado&lt;br /&gt;- Dirección asistida&lt;br /&gt;- Frenos ABS/EBD&lt;br /&gt;- Airbags&lt;br /&gt;- Ordenador abordo&lt;br /&gt;- Sistema radio CD/MP3/USB&lt;br /&gt;- Llaves presencial con mandos a distancia y mucho mas....&lt;br /&gt;&lt;br /&gt;Este anuncio no es vinculante, se muestra a titulo informativo y no contractual.&lt;br /&gt;&lt;br /&gt;&lt;br /&gt;</t>
        </is>
      </c>
      <c r="AZ196" s="2" t="inlineStr">
        <is>
          <t>https://www.autoscout24.es/anuncios/chevrolet-kalos-1-4-16v-sx-gasolina-rojo-cat_ma19mo18571-3c813df0-fdf9-4779-88cc-cd1d22b47c92 (__NEXT_DATA__ listingDetails) /home/user/Alopecia/buscador-coches/raw/autoscout24/dc52bdb9f92182d8.json</t>
        </is>
      </c>
      <c r="BA196" s="3">
        <f>MAX(ANIO_ACTUAL-M196,0)</f>
        <v/>
      </c>
      <c r="BB196" s="4">
        <f>N196/MAX(BA196,0.5)</f>
        <v/>
      </c>
      <c r="BC196" s="4">
        <f>F196</f>
        <v/>
      </c>
      <c r="BD196" s="3">
        <f>BC196&amp;"|"&amp;INT(M196/SEG_ANIO)*SEG_ANIO</f>
        <v/>
      </c>
      <c r="BE196" s="3">
        <f>BD196&amp;"|"&amp;INT(N196/SEG_KM)*SEG_KM</f>
        <v/>
      </c>
      <c r="BF196" s="4">
        <f>COUNTIF($BC$2:$BC$545,BC196)</f>
        <v/>
      </c>
      <c r="BG196" s="4">
        <f>COUNTIF($BD$2:$BD$545,BD196)</f>
        <v/>
      </c>
      <c r="BH196" s="4">
        <f>COUNTIF($BE$2:$BE$545,BE196)</f>
        <v/>
      </c>
      <c r="BI196" s="3">
        <f t="array" ref="BI196">IF(N(AU196)&gt;=MIN_N,AT196,IF(BH196&gt;=MIN_N,MEDIAN(IF($BE$2:$BE$545=BE196,$O$2:$O$545)),IF(BG196&gt;=MIN_N,MEDIAN(IF($BD$2:$BD$545=BD196,$O$2:$O$545)),MEDIAN(IF($BC$2:$BC$545=BC196,$O$2:$O$545)))))</f>
        <v/>
      </c>
      <c r="BJ196" s="3">
        <f>IF(N(AU196)&gt;=MIN_N,"mercado "&amp;AV196,IF(BH196&gt;=MIN_N,"modelo+año+km",IF(BG196&gt;=MIN_N,"modelo+año","modelo")))</f>
        <v/>
      </c>
      <c r="BK196" s="4">
        <f>(BI196-O196)/BI196</f>
        <v/>
      </c>
      <c r="BL196" s="3">
        <f>IF(COUNTIFS(FR_FUEL,K196,FR_YEAR,AP196)&gt;0,1,0)</f>
        <v/>
      </c>
      <c r="BM196" s="3">
        <f>IF(COUNTIFS(FR_FUEL,K196,FR_YEAR,AP196-1)&gt;0,1,0)</f>
        <v/>
      </c>
      <c r="BN196" s="4">
        <f>IF(N(AQ196)&gt;0,AP196*100+AQ196,IF(AND(BL196=1,BM196=1),(AP196-1)*100+1,AP196*100+1))</f>
        <v/>
      </c>
      <c r="BO196" s="3">
        <f>IF(OR(K196="hibrido",K196="glp",K196="gnc",K196="phev"),"ECO",IF(K196="electrico","CERO",IF(K196="gasolina",IF(BN196&gt;=GAS_C_YM,"C",IF(BN196&gt;=GAS_B_YM,"B","A")),IF(K196="diesel",IF(BN196&gt;=DIE_C_YM,"C",IF(BN196&gt;=DIE_B_YM,"B","A")),""))))</f>
        <v/>
      </c>
      <c r="BP196" s="4">
        <f>BO196</f>
        <v/>
      </c>
      <c r="BQ196" s="4">
        <f>IF(AS196="regla",IF(AND(N(AQ196)=0,BL196=1),"sí","no"),"no")</f>
        <v/>
      </c>
      <c r="BR196" s="3">
        <f>IFERROR(VLOOKUP(F196,MOD_TBL,11,0),IFERROR(VLOOKUP(E196,OCU_TBL,2,0),NEUTRO))</f>
        <v/>
      </c>
      <c r="BS196" s="3">
        <f>SUMIFS(MOT_AJUSTE,MOT_MOTOR,G196,MOT_MARCA,E196,MOT_DESDE,"&lt;="&amp;M196,MOT_HASTA,"&gt;="&amp;M196)+SUMIFS(MOT_AJUSTE,MOT_MOTOR,G196,MOT_MARCA,"(todas)",MOT_DESDE,"&lt;="&amp;M196,MOT_HASTA,"&gt;="&amp;M196)</f>
        <v/>
      </c>
      <c r="BT196" s="3">
        <f>SUMIFS(COMB_AJUSTE,COMB_COMB,K196)</f>
        <v/>
      </c>
      <c r="BU196" s="3">
        <f>COUNTIFS(MOT_MOTOR,G196,MOT_MARCA,E196,MOT_DESDE,"&lt;="&amp;M196,MOT_HASTA,"&gt;="&amp;M196)+COUNTIFS(MOT_MOTOR,G196,MOT_MARCA,"(todas)",MOT_DESDE,"&lt;="&amp;M196,MOT_HASTA,"&gt;="&amp;M196)</f>
        <v/>
      </c>
      <c r="BV196" s="3">
        <f>IF(AND(K196="diesel",BU196=0),MIN(BR196,NEUTRO),BR196)</f>
        <v/>
      </c>
      <c r="BW196" s="4">
        <f>MAX(0,MIN(100,BV196+BS196+BT196))</f>
        <v/>
      </c>
      <c r="BX196" s="3">
        <f>MAX(0,MIN(100,50+BK196*PRECIO_PEND))</f>
        <v/>
      </c>
      <c r="BY196" s="3">
        <f>MAX(0,100*(1-N196/KM_MAX))</f>
        <v/>
      </c>
      <c r="BZ196" s="3">
        <f>IF(BB196&lt;KMA_SOSP,IF(AA196="sí",100,KMA_PEN),IF(BB196&lt;=KMA_IDEAL_MAX,100,MAX(0,100*(KMA_CERO-BB196)/(KMA_CERO-KMA_IDEAL_MAX))))</f>
        <v/>
      </c>
      <c r="CA196" s="3">
        <f>MAX(0,MIN(100,100*(M196-ANIO_MIN)/(ANIO_ACTUAL-ANIO_MIN)))</f>
        <v/>
      </c>
      <c r="CB196" s="3">
        <f>W_KMT*BY196+W_KMA*BZ196+W_EDAD*CA196</f>
        <v/>
      </c>
      <c r="CC196" s="3">
        <f>P_ITV*(V196="sí")+P_LIBRO*(W196="sí")+P_CORREA*(X196="sí")+P_PROP*(Y196=1)+P_GAR*(Z196="sí")+P_FOTOS*MIN(1,N(U196)/FOTOS_OBJ)</f>
        <v/>
      </c>
      <c r="CD196" s="3">
        <f>MAX(0,MIN(100,IFERROR(VLOOKUP(BP196,ETQ_TBL,2,0),0)-IF(BQ196="sí",ETQ_PEN_DUD,IF(AS196="regla",ETQ_PEN_REGLA,0))))</f>
        <v/>
      </c>
      <c r="CE196" s="3">
        <f>NEUTRO</f>
        <v/>
      </c>
      <c r="CF196" s="3">
        <f>IFERROR(VLOOKUP(L196,SEGURO_TBL,3,0),"")</f>
        <v/>
      </c>
      <c r="CG196" s="3">
        <f>IF(CF196="",NEUTRO,MAX(0,MIN(100,100*(SEG_REF_MAX-CF196)/(SEG_REF_MAX-SEG_REF_MIN))))</f>
        <v/>
      </c>
      <c r="CH196" s="3">
        <f>W_CONS*CE196+W_SEG*CG196</f>
        <v/>
      </c>
      <c r="CI196" s="3">
        <f>IF(N(AB196)&gt;0,AB196,IF(AND(R196="profesional",SG_LEGAL_ON=1),GAR_LEGAL,0))</f>
        <v/>
      </c>
      <c r="CJ196" s="3">
        <f>SG_GAR*MIN(1,CI196/SG_GAR_FULL)+SG_AMPL*(AC196="sí")+SG_KMC*(AF196="sí")+SG_REV*(N(AE196)&gt;0)+SG_DEV*MIN(1,N(AG196)/SG_DEV_FULL)+SG_HIST*(W196="sí")</f>
        <v/>
      </c>
      <c r="CK196" s="3">
        <f>IFERROR(VLOOKUP(L196,CARR_PEN_TBL,2,0),0)</f>
        <v/>
      </c>
      <c r="CL196" s="3">
        <f>W_FIAB*BW196+W_PRECIO*BX196+W_KMEDAD*CB196+W_ANUNCIO*CC196+W_USO*CH196+W_SEGURIDAD*CJ196+W_ETIQUETA*CD196-CK196</f>
        <v/>
      </c>
      <c r="CM196" s="4">
        <f>IF(N(I196)&gt;0,I196,IFERROR(ROUND(_xlfn.NUMBERVALUE(LEFT(G196,FIND(" ",G196&amp;" ")-1),".")*1000,0),99999))</f>
        <v/>
      </c>
      <c r="CN196" s="3">
        <f>IF(R196="profesional",0,IF(O196&lt;CUOTA_VALOR_MAX,IF(BA196&gt;ITP_TRAMO_ALTO,SUMIFS(CF_CUOTA,CF_MAS,ITP_TRAMO_ALTO,CF_CCMIN,"&lt;="&amp;CM196,CF_CCMAX,"&gt;="&amp;CM196),IF(BA196&gt;ITP_TRAMO_BAJO,SUMIFS(CF_CUOTA,CF_MAS,ITP_TRAMO_BAJO,CF_CCMIN,"&lt;="&amp;CM196,CF_CCMAX,"&gt;="&amp;CM196),O196*ITP_TIPO)),O196*ITP_TIPO))</f>
        <v/>
      </c>
      <c r="CO196" s="4">
        <f>IF(R196="profesional",N(AK196),0)</f>
        <v/>
      </c>
      <c r="CP196" s="3">
        <f>IF(AND(R196="profesional",ISNUMBER(AK196),AL196="sí"),0,TASA_DGT)</f>
        <v/>
      </c>
      <c r="CQ196" s="3">
        <f>INFORME_DGT</f>
        <v/>
      </c>
      <c r="CR196" s="4">
        <f>O196+CO196+CN196+CP196+CQ196</f>
        <v/>
      </c>
      <c r="CS196" s="4">
        <f>CR196+N(CF196)</f>
        <v/>
      </c>
      <c r="CT196" s="3">
        <f>IF(CR196&lt;=TOTAL_MAX,"sí",IF(CR196&lt;=TOTAL_MAX+MARGEN_NEG,"negociar","no"))</f>
        <v/>
      </c>
      <c r="CU196" s="4">
        <f>IF(CT196&lt;&gt;"no",COUNTIFS($CT$2:$CT$545,"&lt;&gt;no",$CL$2:$CL$545,"&gt;"&amp;CL196)+COUNTIFS($CT$2:CT196,"&lt;&gt;no",$CL$2:CL196,CL196),"")</f>
        <v/>
      </c>
    </row>
    <row r="197">
      <c r="A197" s="2" t="inlineStr">
        <is>
          <t>autoscout24:cb92863f-e240-4427-af20-4d726bf3e8c3</t>
        </is>
      </c>
      <c r="B197" s="2" t="inlineStr">
        <is>
          <t>autoscout24</t>
        </is>
      </c>
      <c r="C197" s="2" t="inlineStr">
        <is>
          <t>https://www.autoscout24.es/anuncios/chevrolet-aveo-1-2-16v-ls-gasolina-blanco-cat_ma19mo18685-cb92863f-e240-4427-af20-4d726bf3e8c3</t>
        </is>
      </c>
      <c r="D197" s="2" t="inlineStr">
        <is>
          <t>Chevrolet Aveo 1.2 16v LS</t>
        </is>
      </c>
      <c r="E197" s="2" t="inlineStr">
        <is>
          <t>Chevrolet</t>
        </is>
      </c>
      <c r="F197" s="2" t="inlineStr">
        <is>
          <t>Chevrolet Aveo</t>
        </is>
      </c>
      <c r="G197" s="2" t="inlineStr">
        <is>
          <t>1.2</t>
        </is>
      </c>
      <c r="H197" s="2" t="inlineStr">
        <is>
          <t>1.2 16v LS 1.2</t>
        </is>
      </c>
      <c r="I197" s="2" t="n">
        <v>1229</v>
      </c>
      <c r="J197" s="2" t="n">
        <v>86</v>
      </c>
      <c r="K197" s="2" t="inlineStr">
        <is>
          <t>gasolina</t>
        </is>
      </c>
      <c r="L197" s="2" t="inlineStr">
        <is>
          <t>utilitario</t>
        </is>
      </c>
      <c r="M197" s="2" t="n">
        <v>2011</v>
      </c>
      <c r="N197" s="2" t="n">
        <v>66000</v>
      </c>
      <c r="O197" s="2" t="n">
        <v>4990</v>
      </c>
      <c r="P197" s="2" t="inlineStr">
        <is>
          <t>manual</t>
        </is>
      </c>
      <c r="Q197" s="2" t="inlineStr">
        <is>
          <t>no</t>
        </is>
      </c>
      <c r="R197" s="2" t="inlineStr">
        <is>
          <t>profesional</t>
        </is>
      </c>
      <c r="S197" s="2" t="inlineStr">
        <is>
          <t>SAGA VEHICULOS — MASSANASSA (46470)</t>
        </is>
      </c>
      <c r="T197" s="2" t="n"/>
      <c r="U197" s="2" t="n">
        <v>24</v>
      </c>
      <c r="V197" s="2" t="n"/>
      <c r="W197" s="2" t="n"/>
      <c r="X197" s="2" t="n"/>
      <c r="Y197" s="2" t="n"/>
      <c r="Z197" s="2" t="inlineStr">
        <is>
          <t>sí</t>
        </is>
      </c>
      <c r="AA197" s="2" t="n"/>
      <c r="AB197" s="2" t="n">
        <v>12</v>
      </c>
      <c r="AC197" s="2" t="inlineStr">
        <is>
          <t>sí</t>
        </is>
      </c>
      <c r="AD197" s="2" t="n"/>
      <c r="AE197" s="2" t="n"/>
      <c r="AF197" s="2" t="n"/>
      <c r="AG197" s="2" t="n"/>
      <c r="AH197" s="2" t="n"/>
      <c r="AI197" s="2" t="n"/>
      <c r="AJ197" s="2" t="n"/>
      <c r="AK197" s="2" t="n">
        <v>350</v>
      </c>
      <c r="AL197" s="2" t="inlineStr">
        <is>
          <t>no</t>
        </is>
      </c>
      <c r="AM197" s="2" t="n">
        <v>7.1</v>
      </c>
      <c r="AN197" s="2" t="n"/>
      <c r="AO197" s="2" t="inlineStr">
        <is>
          <t>2011-10</t>
        </is>
      </c>
      <c r="AP197" s="2" t="n">
        <v>2011</v>
      </c>
      <c r="AQ197" s="2" t="n">
        <v>10</v>
      </c>
      <c r="AR197" s="2" t="n"/>
      <c r="AS197" s="2" t="inlineStr">
        <is>
          <t>regla</t>
        </is>
      </c>
      <c r="AT197" s="2" t="n">
        <v>4990</v>
      </c>
      <c r="AU197" s="2" t="n">
        <v>5</v>
      </c>
      <c r="AV197" s="2" t="inlineStr">
        <is>
          <t>modelo+año+km</t>
        </is>
      </c>
      <c r="AW197" s="2" t="inlineStr">
        <is>
          <t>cochesnet:71574866 (https://www.coches.net/chevrolet-aveo-12-ls-5p-gasolina-2012-en-valencia-71574866-covo.aspx)</t>
        </is>
      </c>
      <c r="AX197" s="2" t="inlineStr">
        <is>
          <t>vendedor profesional: sin ITP (operación con IVA/REBU, confirmar en factura); gastos del vendedor sin indicar si incluyen la transferencia: se suma la tasa DGT; fiabilidad del modelo PENDIENTE de fuente (puntuación neutra)</t>
        </is>
      </c>
      <c r="AY197" s="2" t="inlineStr">
        <is>
          <t>Chevrolet Aveo 1.2 LS, 85CV,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Aire acondicionado con filtro&lt;br /&gt;</t>
        </is>
      </c>
      <c r="AZ197" s="2" t="inlineStr">
        <is>
          <t>https://www.autoscout24.es/anuncios/chevrolet-aveo-1-2-16v-ls-gasolina-blanco-cat_ma19mo18685-cb92863f-e240-4427-af20-4d726bf3e8c3 (__NEXT_DATA__ listingDetails) /home/user/Alopecia/buscador-coches/raw/autoscout24/9ef978ebd864e69b.json</t>
        </is>
      </c>
      <c r="BA197" s="3">
        <f>MAX(ANIO_ACTUAL-M197,0)</f>
        <v/>
      </c>
      <c r="BB197" s="4">
        <f>N197/MAX(BA197,0.5)</f>
        <v/>
      </c>
      <c r="BC197" s="4">
        <f>F197</f>
        <v/>
      </c>
      <c r="BD197" s="3">
        <f>BC197&amp;"|"&amp;INT(M197/SEG_ANIO)*SEG_ANIO</f>
        <v/>
      </c>
      <c r="BE197" s="3">
        <f>BD197&amp;"|"&amp;INT(N197/SEG_KM)*SEG_KM</f>
        <v/>
      </c>
      <c r="BF197" s="4">
        <f>COUNTIF($BC$2:$BC$545,BC197)</f>
        <v/>
      </c>
      <c r="BG197" s="4">
        <f>COUNTIF($BD$2:$BD$545,BD197)</f>
        <v/>
      </c>
      <c r="BH197" s="4">
        <f>COUNTIF($BE$2:$BE$545,BE197)</f>
        <v/>
      </c>
      <c r="BI197" s="3">
        <f t="array" ref="BI197">IF(N(AU197)&gt;=MIN_N,AT197,IF(BH197&gt;=MIN_N,MEDIAN(IF($BE$2:$BE$545=BE197,$O$2:$O$545)),IF(BG197&gt;=MIN_N,MEDIAN(IF($BD$2:$BD$545=BD197,$O$2:$O$545)),MEDIAN(IF($BC$2:$BC$545=BC197,$O$2:$O$545)))))</f>
        <v/>
      </c>
      <c r="BJ197" s="3">
        <f>IF(N(AU197)&gt;=MIN_N,"mercado "&amp;AV197,IF(BH197&gt;=MIN_N,"modelo+año+km",IF(BG197&gt;=MIN_N,"modelo+año","modelo")))</f>
        <v/>
      </c>
      <c r="BK197" s="4">
        <f>(BI197-O197)/BI197</f>
        <v/>
      </c>
      <c r="BL197" s="3">
        <f>IF(COUNTIFS(FR_FUEL,K197,FR_YEAR,AP197)&gt;0,1,0)</f>
        <v/>
      </c>
      <c r="BM197" s="3">
        <f>IF(COUNTIFS(FR_FUEL,K197,FR_YEAR,AP197-1)&gt;0,1,0)</f>
        <v/>
      </c>
      <c r="BN197" s="4">
        <f>IF(N(AQ197)&gt;0,AP197*100+AQ197,IF(AND(BL197=1,BM197=1),(AP197-1)*100+1,AP197*100+1))</f>
        <v/>
      </c>
      <c r="BO197" s="3">
        <f>IF(OR(K197="hibrido",K197="glp",K197="gnc",K197="phev"),"ECO",IF(K197="electrico","CERO",IF(K197="gasolina",IF(BN197&gt;=GAS_C_YM,"C",IF(BN197&gt;=GAS_B_YM,"B","A")),IF(K197="diesel",IF(BN197&gt;=DIE_C_YM,"C",IF(BN197&gt;=DIE_B_YM,"B","A")),""))))</f>
        <v/>
      </c>
      <c r="BP197" s="4">
        <f>BO197</f>
        <v/>
      </c>
      <c r="BQ197" s="4">
        <f>IF(AS197="regla",IF(AND(N(AQ197)=0,BL197=1),"sí","no"),"no")</f>
        <v/>
      </c>
      <c r="BR197" s="3">
        <f>IFERROR(VLOOKUP(F197,MOD_TBL,11,0),IFERROR(VLOOKUP(E197,OCU_TBL,2,0),NEUTRO))</f>
        <v/>
      </c>
      <c r="BS197" s="3">
        <f>SUMIFS(MOT_AJUSTE,MOT_MOTOR,G197,MOT_MARCA,E197,MOT_DESDE,"&lt;="&amp;M197,MOT_HASTA,"&gt;="&amp;M197)+SUMIFS(MOT_AJUSTE,MOT_MOTOR,G197,MOT_MARCA,"(todas)",MOT_DESDE,"&lt;="&amp;M197,MOT_HASTA,"&gt;="&amp;M197)</f>
        <v/>
      </c>
      <c r="BT197" s="3">
        <f>SUMIFS(COMB_AJUSTE,COMB_COMB,K197)</f>
        <v/>
      </c>
      <c r="BU197" s="3">
        <f>COUNTIFS(MOT_MOTOR,G197,MOT_MARCA,E197,MOT_DESDE,"&lt;="&amp;M197,MOT_HASTA,"&gt;="&amp;M197)+COUNTIFS(MOT_MOTOR,G197,MOT_MARCA,"(todas)",MOT_DESDE,"&lt;="&amp;M197,MOT_HASTA,"&gt;="&amp;M197)</f>
        <v/>
      </c>
      <c r="BV197" s="3">
        <f>IF(AND(K197="diesel",BU197=0),MIN(BR197,NEUTRO),BR197)</f>
        <v/>
      </c>
      <c r="BW197" s="4">
        <f>MAX(0,MIN(100,BV197+BS197+BT197))</f>
        <v/>
      </c>
      <c r="BX197" s="3">
        <f>MAX(0,MIN(100,50+BK197*PRECIO_PEND))</f>
        <v/>
      </c>
      <c r="BY197" s="3">
        <f>MAX(0,100*(1-N197/KM_MAX))</f>
        <v/>
      </c>
      <c r="BZ197" s="3">
        <f>IF(BB197&lt;KMA_SOSP,IF(AA197="sí",100,KMA_PEN),IF(BB197&lt;=KMA_IDEAL_MAX,100,MAX(0,100*(KMA_CERO-BB197)/(KMA_CERO-KMA_IDEAL_MAX))))</f>
        <v/>
      </c>
      <c r="CA197" s="3">
        <f>MAX(0,MIN(100,100*(M197-ANIO_MIN)/(ANIO_ACTUAL-ANIO_MIN)))</f>
        <v/>
      </c>
      <c r="CB197" s="3">
        <f>W_KMT*BY197+W_KMA*BZ197+W_EDAD*CA197</f>
        <v/>
      </c>
      <c r="CC197" s="3">
        <f>P_ITV*(V197="sí")+P_LIBRO*(W197="sí")+P_CORREA*(X197="sí")+P_PROP*(Y197=1)+P_GAR*(Z197="sí")+P_FOTOS*MIN(1,N(U197)/FOTOS_OBJ)</f>
        <v/>
      </c>
      <c r="CD197" s="3">
        <f>MAX(0,MIN(100,IFERROR(VLOOKUP(BP197,ETQ_TBL,2,0),0)-IF(BQ197="sí",ETQ_PEN_DUD,IF(AS197="regla",ETQ_PEN_REGLA,0))))</f>
        <v/>
      </c>
      <c r="CE197" s="3">
        <f>NEUTRO</f>
        <v/>
      </c>
      <c r="CF197" s="3">
        <f>IFERROR(VLOOKUP(L197,SEGURO_TBL,3,0),"")</f>
        <v/>
      </c>
      <c r="CG197" s="3">
        <f>IF(CF197="",NEUTRO,MAX(0,MIN(100,100*(SEG_REF_MAX-CF197)/(SEG_REF_MAX-SEG_REF_MIN))))</f>
        <v/>
      </c>
      <c r="CH197" s="3">
        <f>W_CONS*CE197+W_SEG*CG197</f>
        <v/>
      </c>
      <c r="CI197" s="3">
        <f>IF(N(AB197)&gt;0,AB197,IF(AND(R197="profesional",SG_LEGAL_ON=1),GAR_LEGAL,0))</f>
        <v/>
      </c>
      <c r="CJ197" s="3">
        <f>SG_GAR*MIN(1,CI197/SG_GAR_FULL)+SG_AMPL*(AC197="sí")+SG_KMC*(AF197="sí")+SG_REV*(N(AE197)&gt;0)+SG_DEV*MIN(1,N(AG197)/SG_DEV_FULL)+SG_HIST*(W197="sí")</f>
        <v/>
      </c>
      <c r="CK197" s="3">
        <f>IFERROR(VLOOKUP(L197,CARR_PEN_TBL,2,0),0)</f>
        <v/>
      </c>
      <c r="CL197" s="3">
        <f>W_FIAB*BW197+W_PRECIO*BX197+W_KMEDAD*CB197+W_ANUNCIO*CC197+W_USO*CH197+W_SEGURIDAD*CJ197+W_ETIQUETA*CD197-CK197</f>
        <v/>
      </c>
      <c r="CM197" s="4">
        <f>IF(N(I197)&gt;0,I197,IFERROR(ROUND(_xlfn.NUMBERVALUE(LEFT(G197,FIND(" ",G197&amp;" ")-1),".")*1000,0),99999))</f>
        <v/>
      </c>
      <c r="CN197" s="3">
        <f>IF(R197="profesional",0,IF(O197&lt;CUOTA_VALOR_MAX,IF(BA197&gt;ITP_TRAMO_ALTO,SUMIFS(CF_CUOTA,CF_MAS,ITP_TRAMO_ALTO,CF_CCMIN,"&lt;="&amp;CM197,CF_CCMAX,"&gt;="&amp;CM197),IF(BA197&gt;ITP_TRAMO_BAJO,SUMIFS(CF_CUOTA,CF_MAS,ITP_TRAMO_BAJO,CF_CCMIN,"&lt;="&amp;CM197,CF_CCMAX,"&gt;="&amp;CM197),O197*ITP_TIPO)),O197*ITP_TIPO))</f>
        <v/>
      </c>
      <c r="CO197" s="4">
        <f>IF(R197="profesional",N(AK197),0)</f>
        <v/>
      </c>
      <c r="CP197" s="3">
        <f>IF(AND(R197="profesional",ISNUMBER(AK197),AL197="sí"),0,TASA_DGT)</f>
        <v/>
      </c>
      <c r="CQ197" s="3">
        <f>INFORME_DGT</f>
        <v/>
      </c>
      <c r="CR197" s="4">
        <f>O197+CO197+CN197+CP197+CQ197</f>
        <v/>
      </c>
      <c r="CS197" s="4">
        <f>CR197+N(CF197)</f>
        <v/>
      </c>
      <c r="CT197" s="3">
        <f>IF(CR197&lt;=TOTAL_MAX,"sí",IF(CR197&lt;=TOTAL_MAX+MARGEN_NEG,"negociar","no"))</f>
        <v/>
      </c>
      <c r="CU197" s="4">
        <f>IF(CT197&lt;&gt;"no",COUNTIFS($CT$2:$CT$545,"&lt;&gt;no",$CL$2:$CL$545,"&gt;"&amp;CL197)+COUNTIFS($CT$2:CT197,"&lt;&gt;no",$CL$2:CL197,CL197),"")</f>
        <v/>
      </c>
    </row>
    <row r="198">
      <c r="A198" s="2" t="inlineStr">
        <is>
          <t>cochesnet:71855647</t>
        </is>
      </c>
      <c r="B198" s="2" t="inlineStr">
        <is>
          <t>cochesnet</t>
        </is>
      </c>
      <c r="C198" s="2" t="inlineStr">
        <is>
          <t>https://www.coches.net/toyota-yaris-13-vvti-yaris-3p-gasolina-2007-en-valencia-71855647-covo.aspx</t>
        </is>
      </c>
      <c r="D198" s="2" t="inlineStr">
        <is>
          <t>TOYOTA Yaris 1.3 VVTi Yaris</t>
        </is>
      </c>
      <c r="E198" s="2" t="inlineStr">
        <is>
          <t>Toyota</t>
        </is>
      </c>
      <c r="F198" s="2" t="inlineStr">
        <is>
          <t>Toyota Yaris</t>
        </is>
      </c>
      <c r="G198" s="2" t="inlineStr">
        <is>
          <t>1.3 VVT-i</t>
        </is>
      </c>
      <c r="H198" s="2" t="inlineStr">
        <is>
          <t>1.3 VVTi Yaris</t>
        </is>
      </c>
      <c r="I198" s="2" t="n"/>
      <c r="J198" s="2" t="n"/>
      <c r="K198" s="2" t="inlineStr">
        <is>
          <t>gasolina</t>
        </is>
      </c>
      <c r="L198" s="2" t="inlineStr">
        <is>
          <t>utilitario</t>
        </is>
      </c>
      <c r="M198" s="2" t="n">
        <v>2007</v>
      </c>
      <c r="N198" s="2" t="n">
        <v>165000</v>
      </c>
      <c r="O198" s="2" t="n">
        <v>2795</v>
      </c>
      <c r="P198" s="2" t="inlineStr">
        <is>
          <t>manual</t>
        </is>
      </c>
      <c r="Q198" s="2" t="inlineStr">
        <is>
          <t>no</t>
        </is>
      </c>
      <c r="R198" s="2" t="inlineStr">
        <is>
          <t>particular</t>
        </is>
      </c>
      <c r="S198" s="2" t="n"/>
      <c r="T198" s="2" t="inlineStr">
        <is>
          <t>2026-10-28T15:13:53Z</t>
        </is>
      </c>
      <c r="U198" s="2" t="n">
        <v>5</v>
      </c>
      <c r="V198" s="2" t="inlineStr">
        <is>
          <t>sí</t>
        </is>
      </c>
      <c r="W198" s="2" t="n"/>
      <c r="X198" s="2" t="n"/>
      <c r="Y198" s="2" t="n"/>
      <c r="Z198" s="2" t="inlineStr">
        <is>
          <t>no</t>
        </is>
      </c>
      <c r="AA198" s="2" t="n"/>
      <c r="AB198" s="2" t="n"/>
      <c r="AC198" s="2" t="n"/>
      <c r="AD198" s="2" t="n"/>
      <c r="AE198" s="2" t="n"/>
      <c r="AF198" s="2" t="n"/>
      <c r="AG198" s="2" t="n"/>
      <c r="AH198" s="2" t="n">
        <v>2795</v>
      </c>
      <c r="AI198" s="2" t="n"/>
      <c r="AJ198" s="2" t="n"/>
      <c r="AK198" s="2" t="n"/>
      <c r="AL198" s="2" t="n"/>
      <c r="AM198" s="2" t="n"/>
      <c r="AN198" s="2" t="n"/>
      <c r="AO198" s="2" t="inlineStr">
        <is>
          <t>2007</t>
        </is>
      </c>
      <c r="AP198" s="2" t="n">
        <v>2007</v>
      </c>
      <c r="AQ198" s="2" t="n"/>
      <c r="AR198" s="2" t="n"/>
      <c r="AS198" s="2" t="inlineStr">
        <is>
          <t>regla</t>
        </is>
      </c>
      <c r="AT198" s="2" t="n">
        <v>3900</v>
      </c>
      <c r="AU198" s="2" t="n">
        <v>5</v>
      </c>
      <c r="AV198" s="2" t="inlineStr">
        <is>
          <t>modelo+año</t>
        </is>
      </c>
      <c r="AW198" s="2" t="n"/>
      <c r="AX198" s="2" t="inlineStr">
        <is>
          <t>cuota fija ITP: &gt;12 años, hasta 1.500 cc; distancia no verificable (el anuncio solo indica la provincia): confirmar que está a &lt;= 70 km</t>
        </is>
      </c>
      <c r="AY198" s="2" t="inlineStr">
        <is>
          <t xml:space="preserve">vendo Toyota yaris en perfecto estado con itv recién pasada y aceite y filtros recién cambiados a toda prueba </t>
        </is>
      </c>
      <c r="AZ198" s="2" t="inlineStr">
        <is>
          <t>https://www.coches.net/toyota-yaris-13-vvti-yaris-3p-gasolina-2007-en-valencia-71855647-covo.aspx (window.__INITIAL_PROPS__.ad) /home/user/Alopecia/buscador-coches/raw/cochesnet/5f98b5add4617148.json</t>
        </is>
      </c>
      <c r="BA198" s="3">
        <f>MAX(ANIO_ACTUAL-M198,0)</f>
        <v/>
      </c>
      <c r="BB198" s="4">
        <f>N198/MAX(BA198,0.5)</f>
        <v/>
      </c>
      <c r="BC198" s="4">
        <f>F198</f>
        <v/>
      </c>
      <c r="BD198" s="3">
        <f>BC198&amp;"|"&amp;INT(M198/SEG_ANIO)*SEG_ANIO</f>
        <v/>
      </c>
      <c r="BE198" s="3">
        <f>BD198&amp;"|"&amp;INT(N198/SEG_KM)*SEG_KM</f>
        <v/>
      </c>
      <c r="BF198" s="4">
        <f>COUNTIF($BC$2:$BC$545,BC198)</f>
        <v/>
      </c>
      <c r="BG198" s="4">
        <f>COUNTIF($BD$2:$BD$545,BD198)</f>
        <v/>
      </c>
      <c r="BH198" s="4">
        <f>COUNTIF($BE$2:$BE$545,BE198)</f>
        <v/>
      </c>
      <c r="BI198" s="3">
        <f t="array" ref="BI198">IF(N(AU198)&gt;=MIN_N,AT198,IF(BH198&gt;=MIN_N,MEDIAN(IF($BE$2:$BE$545=BE198,$O$2:$O$545)),IF(BG198&gt;=MIN_N,MEDIAN(IF($BD$2:$BD$545=BD198,$O$2:$O$545)),MEDIAN(IF($BC$2:$BC$545=BC198,$O$2:$O$545)))))</f>
        <v/>
      </c>
      <c r="BJ198" s="3">
        <f>IF(N(AU198)&gt;=MIN_N,"mercado "&amp;AV198,IF(BH198&gt;=MIN_N,"modelo+año+km",IF(BG198&gt;=MIN_N,"modelo+año","modelo")))</f>
        <v/>
      </c>
      <c r="BK198" s="4">
        <f>(BI198-O198)/BI198</f>
        <v/>
      </c>
      <c r="BL198" s="3">
        <f>IF(COUNTIFS(FR_FUEL,K198,FR_YEAR,AP198)&gt;0,1,0)</f>
        <v/>
      </c>
      <c r="BM198" s="3">
        <f>IF(COUNTIFS(FR_FUEL,K198,FR_YEAR,AP198-1)&gt;0,1,0)</f>
        <v/>
      </c>
      <c r="BN198" s="4">
        <f>IF(N(AQ198)&gt;0,AP198*100+AQ198,IF(AND(BL198=1,BM198=1),(AP198-1)*100+1,AP198*100+1))</f>
        <v/>
      </c>
      <c r="BO198" s="3">
        <f>IF(OR(K198="hibrido",K198="glp",K198="gnc",K198="phev"),"ECO",IF(K198="electrico","CERO",IF(K198="gasolina",IF(BN198&gt;=GAS_C_YM,"C",IF(BN198&gt;=GAS_B_YM,"B","A")),IF(K198="diesel",IF(BN198&gt;=DIE_C_YM,"C",IF(BN198&gt;=DIE_B_YM,"B","A")),""))))</f>
        <v/>
      </c>
      <c r="BP198" s="4">
        <f>BO198</f>
        <v/>
      </c>
      <c r="BQ198" s="4">
        <f>IF(AS198="regla",IF(AND(N(AQ198)=0,BL198=1),"sí","no"),"no")</f>
        <v/>
      </c>
      <c r="BR198" s="3">
        <f>IFERROR(VLOOKUP(F198,MOD_TBL,11,0),IFERROR(VLOOKUP(E198,OCU_TBL,2,0),NEUTRO))</f>
        <v/>
      </c>
      <c r="BS198" s="3">
        <f>SUMIFS(MOT_AJUSTE,MOT_MOTOR,G198,MOT_MARCA,E198,MOT_DESDE,"&lt;="&amp;M198,MOT_HASTA,"&gt;="&amp;M198)+SUMIFS(MOT_AJUSTE,MOT_MOTOR,G198,MOT_MARCA,"(todas)",MOT_DESDE,"&lt;="&amp;M198,MOT_HASTA,"&gt;="&amp;M198)</f>
        <v/>
      </c>
      <c r="BT198" s="3">
        <f>SUMIFS(COMB_AJUSTE,COMB_COMB,K198)</f>
        <v/>
      </c>
      <c r="BU198" s="3">
        <f>COUNTIFS(MOT_MOTOR,G198,MOT_MARCA,E198,MOT_DESDE,"&lt;="&amp;M198,MOT_HASTA,"&gt;="&amp;M198)+COUNTIFS(MOT_MOTOR,G198,MOT_MARCA,"(todas)",MOT_DESDE,"&lt;="&amp;M198,MOT_HASTA,"&gt;="&amp;M198)</f>
        <v/>
      </c>
      <c r="BV198" s="3">
        <f>IF(AND(K198="diesel",BU198=0),MIN(BR198,NEUTRO),BR198)</f>
        <v/>
      </c>
      <c r="BW198" s="4">
        <f>MAX(0,MIN(100,BV198+BS198+BT198))</f>
        <v/>
      </c>
      <c r="BX198" s="3">
        <f>MAX(0,MIN(100,50+BK198*PRECIO_PEND))</f>
        <v/>
      </c>
      <c r="BY198" s="3">
        <f>MAX(0,100*(1-N198/KM_MAX))</f>
        <v/>
      </c>
      <c r="BZ198" s="3">
        <f>IF(BB198&lt;KMA_SOSP,IF(AA198="sí",100,KMA_PEN),IF(BB198&lt;=KMA_IDEAL_MAX,100,MAX(0,100*(KMA_CERO-BB198)/(KMA_CERO-KMA_IDEAL_MAX))))</f>
        <v/>
      </c>
      <c r="CA198" s="3">
        <f>MAX(0,MIN(100,100*(M198-ANIO_MIN)/(ANIO_ACTUAL-ANIO_MIN)))</f>
        <v/>
      </c>
      <c r="CB198" s="3">
        <f>W_KMT*BY198+W_KMA*BZ198+W_EDAD*CA198</f>
        <v/>
      </c>
      <c r="CC198" s="3">
        <f>P_ITV*(V198="sí")+P_LIBRO*(W198="sí")+P_CORREA*(X198="sí")+P_PROP*(Y198=1)+P_GAR*(Z198="sí")+P_FOTOS*MIN(1,N(U198)/FOTOS_OBJ)</f>
        <v/>
      </c>
      <c r="CD198" s="3">
        <f>MAX(0,MIN(100,IFERROR(VLOOKUP(BP198,ETQ_TBL,2,0),0)-IF(BQ198="sí",ETQ_PEN_DUD,IF(AS198="regla",ETQ_PEN_REGLA,0))))</f>
        <v/>
      </c>
      <c r="CE198" s="3">
        <f>NEUTRO</f>
        <v/>
      </c>
      <c r="CF198" s="3">
        <f>IFERROR(VLOOKUP(L198,SEGURO_TBL,3,0),"")</f>
        <v/>
      </c>
      <c r="CG198" s="3">
        <f>IF(CF198="",NEUTRO,MAX(0,MIN(100,100*(SEG_REF_MAX-CF198)/(SEG_REF_MAX-SEG_REF_MIN))))</f>
        <v/>
      </c>
      <c r="CH198" s="3">
        <f>W_CONS*CE198+W_SEG*CG198</f>
        <v/>
      </c>
      <c r="CI198" s="3">
        <f>IF(N(AB198)&gt;0,AB198,IF(AND(R198="profesional",SG_LEGAL_ON=1),GAR_LEGAL,0))</f>
        <v/>
      </c>
      <c r="CJ198" s="3">
        <f>SG_GAR*MIN(1,CI198/SG_GAR_FULL)+SG_AMPL*(AC198="sí")+SG_KMC*(AF198="sí")+SG_REV*(N(AE198)&gt;0)+SG_DEV*MIN(1,N(AG198)/SG_DEV_FULL)+SG_HIST*(W198="sí")</f>
        <v/>
      </c>
      <c r="CK198" s="3">
        <f>IFERROR(VLOOKUP(L198,CARR_PEN_TBL,2,0),0)</f>
        <v/>
      </c>
      <c r="CL198" s="3">
        <f>W_FIAB*BW198+W_PRECIO*BX198+W_KMEDAD*CB198+W_ANUNCIO*CC198+W_USO*CH198+W_SEGURIDAD*CJ198+W_ETIQUETA*CD198-CK198</f>
        <v/>
      </c>
      <c r="CM198" s="4">
        <f>IF(N(I198)&gt;0,I198,IFERROR(ROUND(_xlfn.NUMBERVALUE(LEFT(G198,FIND(" ",G198&amp;" ")-1),".")*1000,0),99999))</f>
        <v/>
      </c>
      <c r="CN198" s="3">
        <f>IF(R198="profesional",0,IF(O198&lt;CUOTA_VALOR_MAX,IF(BA198&gt;ITP_TRAMO_ALTO,SUMIFS(CF_CUOTA,CF_MAS,ITP_TRAMO_ALTO,CF_CCMIN,"&lt;="&amp;CM198,CF_CCMAX,"&gt;="&amp;CM198),IF(BA198&gt;ITP_TRAMO_BAJO,SUMIFS(CF_CUOTA,CF_MAS,ITP_TRAMO_BAJO,CF_CCMIN,"&lt;="&amp;CM198,CF_CCMAX,"&gt;="&amp;CM198),O198*ITP_TIPO)),O198*ITP_TIPO))</f>
        <v/>
      </c>
      <c r="CO198" s="4">
        <f>IF(R198="profesional",N(AK198),0)</f>
        <v/>
      </c>
      <c r="CP198" s="3">
        <f>IF(AND(R198="profesional",ISNUMBER(AK198),AL198="sí"),0,TASA_DGT)</f>
        <v/>
      </c>
      <c r="CQ198" s="3">
        <f>INFORME_DGT</f>
        <v/>
      </c>
      <c r="CR198" s="4">
        <f>O198+CO198+CN198+CP198+CQ198</f>
        <v/>
      </c>
      <c r="CS198" s="4">
        <f>CR198+N(CF198)</f>
        <v/>
      </c>
      <c r="CT198" s="3">
        <f>IF(CR198&lt;=TOTAL_MAX,"sí",IF(CR198&lt;=TOTAL_MAX+MARGEN_NEG,"negociar","no"))</f>
        <v/>
      </c>
      <c r="CU198" s="4">
        <f>IF(CT198&lt;&gt;"no",COUNTIFS($CT$2:$CT$545,"&lt;&gt;no",$CL$2:$CL$545,"&gt;"&amp;CL198)+COUNTIFS($CT$2:CT198,"&lt;&gt;no",$CL$2:CL198,CL198),"")</f>
        <v/>
      </c>
    </row>
    <row r="199">
      <c r="A199" s="2" t="inlineStr">
        <is>
          <t>cochesnet:71676237</t>
        </is>
      </c>
      <c r="B199" s="2" t="inlineStr">
        <is>
          <t>cochesnet</t>
        </is>
      </c>
      <c r="C199" s="2" t="inlineStr">
        <is>
          <t>https://www.coches.net/toyota-yaris-gasolina-2007-en-valencia-71676237-covo.aspx</t>
        </is>
      </c>
      <c r="D199" s="2" t="inlineStr">
        <is>
          <t>TOYOTA Yaris 1.3 VVTi Yaris</t>
        </is>
      </c>
      <c r="E199" s="2" t="inlineStr">
        <is>
          <t>Toyota</t>
        </is>
      </c>
      <c r="F199" s="2" t="inlineStr">
        <is>
          <t>Toyota Yaris</t>
        </is>
      </c>
      <c r="G199" s="2" t="inlineStr">
        <is>
          <t>1.3 VVT-i</t>
        </is>
      </c>
      <c r="H199" s="2" t="inlineStr">
        <is>
          <t>1.3 VVTi Yaris</t>
        </is>
      </c>
      <c r="I199" s="2" t="n"/>
      <c r="J199" s="2" t="n"/>
      <c r="K199" s="2" t="inlineStr">
        <is>
          <t>gasolina</t>
        </is>
      </c>
      <c r="L199" s="2" t="inlineStr">
        <is>
          <t>utilitario</t>
        </is>
      </c>
      <c r="M199" s="2" t="n">
        <v>2007</v>
      </c>
      <c r="N199" s="2" t="n">
        <v>218000</v>
      </c>
      <c r="O199" s="2" t="n">
        <v>3900</v>
      </c>
      <c r="P199" s="2" t="inlineStr">
        <is>
          <t>manual</t>
        </is>
      </c>
      <c r="Q199" s="2" t="inlineStr">
        <is>
          <t>no</t>
        </is>
      </c>
      <c r="R199" s="2" t="inlineStr">
        <is>
          <t>particular</t>
        </is>
      </c>
      <c r="S199" s="2" t="n"/>
      <c r="T199" s="2" t="inlineStr">
        <is>
          <t>2026-10-05T10:48:28Z</t>
        </is>
      </c>
      <c r="U199" s="2" t="n">
        <v>8</v>
      </c>
      <c r="V199" s="2" t="inlineStr">
        <is>
          <t>sí</t>
        </is>
      </c>
      <c r="W199" s="2" t="n"/>
      <c r="X199" s="2" t="n"/>
      <c r="Y199" s="2" t="n"/>
      <c r="Z199" s="2" t="inlineStr">
        <is>
          <t>no</t>
        </is>
      </c>
      <c r="AA199" s="2" t="n"/>
      <c r="AB199" s="2" t="n"/>
      <c r="AC199" s="2" t="n"/>
      <c r="AD199" s="2" t="n"/>
      <c r="AE199" s="2" t="n"/>
      <c r="AF199" s="2" t="n"/>
      <c r="AG199" s="2" t="n"/>
      <c r="AH199" s="2" t="n">
        <v>3900</v>
      </c>
      <c r="AI199" s="2" t="n"/>
      <c r="AJ199" s="2" t="n"/>
      <c r="AK199" s="2" t="n"/>
      <c r="AL199" s="2" t="n"/>
      <c r="AM199" s="2" t="n"/>
      <c r="AN199" s="2" t="n"/>
      <c r="AO199" s="2" t="inlineStr">
        <is>
          <t>2007</t>
        </is>
      </c>
      <c r="AP199" s="2" t="n">
        <v>2007</v>
      </c>
      <c r="AQ199" s="2" t="n"/>
      <c r="AR199" s="2" t="n"/>
      <c r="AS199" s="2" t="inlineStr">
        <is>
          <t>regla</t>
        </is>
      </c>
      <c r="AT199" s="2" t="n">
        <v>3900</v>
      </c>
      <c r="AU199" s="2" t="n">
        <v>5</v>
      </c>
      <c r="AV199" s="2" t="inlineStr">
        <is>
          <t>modelo+año</t>
        </is>
      </c>
      <c r="AW199" s="2" t="n"/>
      <c r="AX199" s="2" t="inlineStr">
        <is>
          <t>cuota fija ITP: &gt;12 años, hasta 1.500 cc; distancia no verificable (el anuncio solo indica la provincia): confirmar que está a &lt;= 70 km</t>
        </is>
      </c>
      <c r="AY199" s="2" t="inlineStr">
        <is>
          <t xml:space="preserve">Toyota Yaris gasolina, 90cv Manual, año 2007 con 218000 km.
Coche muy bien cuidado, revisiones y ITV al dia, filtros y aceite nuevo, 4 ruedas nuevas good year y pastillas de frenos cambiadas hace poco.
De chapa algunos imperfeciones del uso, nada grande, pintura de casa.
Coche fiable y economico.
</t>
        </is>
      </c>
      <c r="AZ199" s="2" t="inlineStr">
        <is>
          <t>https://www.coches.net/toyota-yaris-gasolina-2007-en-valencia-71676237-covo.aspx (window.__INITIAL_PROPS__.ad) /home/user/Alopecia/buscador-coches/raw/cochesnet/829a37d3be80e500.json</t>
        </is>
      </c>
      <c r="BA199" s="3">
        <f>MAX(ANIO_ACTUAL-M199,0)</f>
        <v/>
      </c>
      <c r="BB199" s="4">
        <f>N199/MAX(BA199,0.5)</f>
        <v/>
      </c>
      <c r="BC199" s="4">
        <f>F199</f>
        <v/>
      </c>
      <c r="BD199" s="3">
        <f>BC199&amp;"|"&amp;INT(M199/SEG_ANIO)*SEG_ANIO</f>
        <v/>
      </c>
      <c r="BE199" s="3">
        <f>BD199&amp;"|"&amp;INT(N199/SEG_KM)*SEG_KM</f>
        <v/>
      </c>
      <c r="BF199" s="4">
        <f>COUNTIF($BC$2:$BC$545,BC199)</f>
        <v/>
      </c>
      <c r="BG199" s="4">
        <f>COUNTIF($BD$2:$BD$545,BD199)</f>
        <v/>
      </c>
      <c r="BH199" s="4">
        <f>COUNTIF($BE$2:$BE$545,BE199)</f>
        <v/>
      </c>
      <c r="BI199" s="3">
        <f t="array" ref="BI199">IF(N(AU199)&gt;=MIN_N,AT199,IF(BH199&gt;=MIN_N,MEDIAN(IF($BE$2:$BE$545=BE199,$O$2:$O$545)),IF(BG199&gt;=MIN_N,MEDIAN(IF($BD$2:$BD$545=BD199,$O$2:$O$545)),MEDIAN(IF($BC$2:$BC$545=BC199,$O$2:$O$545)))))</f>
        <v/>
      </c>
      <c r="BJ199" s="3">
        <f>IF(N(AU199)&gt;=MIN_N,"mercado "&amp;AV199,IF(BH199&gt;=MIN_N,"modelo+año+km",IF(BG199&gt;=MIN_N,"modelo+año","modelo")))</f>
        <v/>
      </c>
      <c r="BK199" s="4">
        <f>(BI199-O199)/BI199</f>
        <v/>
      </c>
      <c r="BL199" s="3">
        <f>IF(COUNTIFS(FR_FUEL,K199,FR_YEAR,AP199)&gt;0,1,0)</f>
        <v/>
      </c>
      <c r="BM199" s="3">
        <f>IF(COUNTIFS(FR_FUEL,K199,FR_YEAR,AP199-1)&gt;0,1,0)</f>
        <v/>
      </c>
      <c r="BN199" s="4">
        <f>IF(N(AQ199)&gt;0,AP199*100+AQ199,IF(AND(BL199=1,BM199=1),(AP199-1)*100+1,AP199*100+1))</f>
        <v/>
      </c>
      <c r="BO199" s="3">
        <f>IF(OR(K199="hibrido",K199="glp",K199="gnc",K199="phev"),"ECO",IF(K199="electrico","CERO",IF(K199="gasolina",IF(BN199&gt;=GAS_C_YM,"C",IF(BN199&gt;=GAS_B_YM,"B","A")),IF(K199="diesel",IF(BN199&gt;=DIE_C_YM,"C",IF(BN199&gt;=DIE_B_YM,"B","A")),""))))</f>
        <v/>
      </c>
      <c r="BP199" s="4">
        <f>BO199</f>
        <v/>
      </c>
      <c r="BQ199" s="4">
        <f>IF(AS199="regla",IF(AND(N(AQ199)=0,BL199=1),"sí","no"),"no")</f>
        <v/>
      </c>
      <c r="BR199" s="3">
        <f>IFERROR(VLOOKUP(F199,MOD_TBL,11,0),IFERROR(VLOOKUP(E199,OCU_TBL,2,0),NEUTRO))</f>
        <v/>
      </c>
      <c r="BS199" s="3">
        <f>SUMIFS(MOT_AJUSTE,MOT_MOTOR,G199,MOT_MARCA,E199,MOT_DESDE,"&lt;="&amp;M199,MOT_HASTA,"&gt;="&amp;M199)+SUMIFS(MOT_AJUSTE,MOT_MOTOR,G199,MOT_MARCA,"(todas)",MOT_DESDE,"&lt;="&amp;M199,MOT_HASTA,"&gt;="&amp;M199)</f>
        <v/>
      </c>
      <c r="BT199" s="3">
        <f>SUMIFS(COMB_AJUSTE,COMB_COMB,K199)</f>
        <v/>
      </c>
      <c r="BU199" s="3">
        <f>COUNTIFS(MOT_MOTOR,G199,MOT_MARCA,E199,MOT_DESDE,"&lt;="&amp;M199,MOT_HASTA,"&gt;="&amp;M199)+COUNTIFS(MOT_MOTOR,G199,MOT_MARCA,"(todas)",MOT_DESDE,"&lt;="&amp;M199,MOT_HASTA,"&gt;="&amp;M199)</f>
        <v/>
      </c>
      <c r="BV199" s="3">
        <f>IF(AND(K199="diesel",BU199=0),MIN(BR199,NEUTRO),BR199)</f>
        <v/>
      </c>
      <c r="BW199" s="4">
        <f>MAX(0,MIN(100,BV199+BS199+BT199))</f>
        <v/>
      </c>
      <c r="BX199" s="3">
        <f>MAX(0,MIN(100,50+BK199*PRECIO_PEND))</f>
        <v/>
      </c>
      <c r="BY199" s="3">
        <f>MAX(0,100*(1-N199/KM_MAX))</f>
        <v/>
      </c>
      <c r="BZ199" s="3">
        <f>IF(BB199&lt;KMA_SOSP,IF(AA199="sí",100,KMA_PEN),IF(BB199&lt;=KMA_IDEAL_MAX,100,MAX(0,100*(KMA_CERO-BB199)/(KMA_CERO-KMA_IDEAL_MAX))))</f>
        <v/>
      </c>
      <c r="CA199" s="3">
        <f>MAX(0,MIN(100,100*(M199-ANIO_MIN)/(ANIO_ACTUAL-ANIO_MIN)))</f>
        <v/>
      </c>
      <c r="CB199" s="3">
        <f>W_KMT*BY199+W_KMA*BZ199+W_EDAD*CA199</f>
        <v/>
      </c>
      <c r="CC199" s="3">
        <f>P_ITV*(V199="sí")+P_LIBRO*(W199="sí")+P_CORREA*(X199="sí")+P_PROP*(Y199=1)+P_GAR*(Z199="sí")+P_FOTOS*MIN(1,N(U199)/FOTOS_OBJ)</f>
        <v/>
      </c>
      <c r="CD199" s="3">
        <f>MAX(0,MIN(100,IFERROR(VLOOKUP(BP199,ETQ_TBL,2,0),0)-IF(BQ199="sí",ETQ_PEN_DUD,IF(AS199="regla",ETQ_PEN_REGLA,0))))</f>
        <v/>
      </c>
      <c r="CE199" s="3">
        <f>NEUTRO</f>
        <v/>
      </c>
      <c r="CF199" s="3">
        <f>IFERROR(VLOOKUP(L199,SEGURO_TBL,3,0),"")</f>
        <v/>
      </c>
      <c r="CG199" s="3">
        <f>IF(CF199="",NEUTRO,MAX(0,MIN(100,100*(SEG_REF_MAX-CF199)/(SEG_REF_MAX-SEG_REF_MIN))))</f>
        <v/>
      </c>
      <c r="CH199" s="3">
        <f>W_CONS*CE199+W_SEG*CG199</f>
        <v/>
      </c>
      <c r="CI199" s="3">
        <f>IF(N(AB199)&gt;0,AB199,IF(AND(R199="profesional",SG_LEGAL_ON=1),GAR_LEGAL,0))</f>
        <v/>
      </c>
      <c r="CJ199" s="3">
        <f>SG_GAR*MIN(1,CI199/SG_GAR_FULL)+SG_AMPL*(AC199="sí")+SG_KMC*(AF199="sí")+SG_REV*(N(AE199)&gt;0)+SG_DEV*MIN(1,N(AG199)/SG_DEV_FULL)+SG_HIST*(W199="sí")</f>
        <v/>
      </c>
      <c r="CK199" s="3">
        <f>IFERROR(VLOOKUP(L199,CARR_PEN_TBL,2,0),0)</f>
        <v/>
      </c>
      <c r="CL199" s="3">
        <f>W_FIAB*BW199+W_PRECIO*BX199+W_KMEDAD*CB199+W_ANUNCIO*CC199+W_USO*CH199+W_SEGURIDAD*CJ199+W_ETIQUETA*CD199-CK199</f>
        <v/>
      </c>
      <c r="CM199" s="4">
        <f>IF(N(I199)&gt;0,I199,IFERROR(ROUND(_xlfn.NUMBERVALUE(LEFT(G199,FIND(" ",G199&amp;" ")-1),".")*1000,0),99999))</f>
        <v/>
      </c>
      <c r="CN199" s="3">
        <f>IF(R199="profesional",0,IF(O199&lt;CUOTA_VALOR_MAX,IF(BA199&gt;ITP_TRAMO_ALTO,SUMIFS(CF_CUOTA,CF_MAS,ITP_TRAMO_ALTO,CF_CCMIN,"&lt;="&amp;CM199,CF_CCMAX,"&gt;="&amp;CM199),IF(BA199&gt;ITP_TRAMO_BAJO,SUMIFS(CF_CUOTA,CF_MAS,ITP_TRAMO_BAJO,CF_CCMIN,"&lt;="&amp;CM199,CF_CCMAX,"&gt;="&amp;CM199),O199*ITP_TIPO)),O199*ITP_TIPO))</f>
        <v/>
      </c>
      <c r="CO199" s="4">
        <f>IF(R199="profesional",N(AK199),0)</f>
        <v/>
      </c>
      <c r="CP199" s="3">
        <f>IF(AND(R199="profesional",ISNUMBER(AK199),AL199="sí"),0,TASA_DGT)</f>
        <v/>
      </c>
      <c r="CQ199" s="3">
        <f>INFORME_DGT</f>
        <v/>
      </c>
      <c r="CR199" s="4">
        <f>O199+CO199+CN199+CP199+CQ199</f>
        <v/>
      </c>
      <c r="CS199" s="4">
        <f>CR199+N(CF199)</f>
        <v/>
      </c>
      <c r="CT199" s="3">
        <f>IF(CR199&lt;=TOTAL_MAX,"sí",IF(CR199&lt;=TOTAL_MAX+MARGEN_NEG,"negociar","no"))</f>
        <v/>
      </c>
      <c r="CU199" s="4">
        <f>IF(CT199&lt;&gt;"no",COUNTIFS($CT$2:$CT$545,"&lt;&gt;no",$CL$2:$CL$545,"&gt;"&amp;CL199)+COUNTIFS($CT$2:CT199,"&lt;&gt;no",$CL$2:CL199,CL199),"")</f>
        <v/>
      </c>
    </row>
    <row r="200">
      <c r="A200" s="2" t="inlineStr">
        <is>
          <t>cochesnet:71318056</t>
        </is>
      </c>
      <c r="B200" s="2" t="inlineStr">
        <is>
          <t>cochesnet</t>
        </is>
      </c>
      <c r="C200" s="2" t="inlineStr">
        <is>
          <t>https://www.coches.net/toyota-yaris-14-d4d-sol-5p-diesel-2006-en-valencia-71318056-covo.aspx</t>
        </is>
      </c>
      <c r="D200" s="2" t="inlineStr">
        <is>
          <t>TOYOTA Yaris 1.4 D4D Sol</t>
        </is>
      </c>
      <c r="E200" s="2" t="inlineStr">
        <is>
          <t>Toyota</t>
        </is>
      </c>
      <c r="F200" s="2" t="inlineStr">
        <is>
          <t>Toyota Yaris</t>
        </is>
      </c>
      <c r="G200" s="2" t="inlineStr">
        <is>
          <t>1.4 D-4D</t>
        </is>
      </c>
      <c r="H200" s="2" t="inlineStr">
        <is>
          <t>1.4 D4D Sol</t>
        </is>
      </c>
      <c r="I200" s="2" t="n"/>
      <c r="J200" s="2" t="n"/>
      <c r="K200" s="2" t="inlineStr">
        <is>
          <t>diesel</t>
        </is>
      </c>
      <c r="L200" s="2" t="inlineStr">
        <is>
          <t>utilitario</t>
        </is>
      </c>
      <c r="M200" s="2" t="n">
        <v>2006</v>
      </c>
      <c r="N200" s="2" t="n">
        <v>186320</v>
      </c>
      <c r="O200" s="2" t="n">
        <v>4000</v>
      </c>
      <c r="P200" s="2" t="inlineStr">
        <is>
          <t>manual</t>
        </is>
      </c>
      <c r="Q200" s="2" t="inlineStr">
        <is>
          <t>no</t>
        </is>
      </c>
      <c r="R200" s="2" t="inlineStr">
        <is>
          <t>particular</t>
        </is>
      </c>
      <c r="S200" s="2" t="inlineStr">
        <is>
          <t>Alzira</t>
        </is>
      </c>
      <c r="T200" s="2" t="inlineStr">
        <is>
          <t>2026-08-18T23:05:20Z</t>
        </is>
      </c>
      <c r="U200" s="2" t="n">
        <v>1</v>
      </c>
      <c r="V200" s="2" t="n"/>
      <c r="W200" s="2" t="n"/>
      <c r="X200" s="2" t="n"/>
      <c r="Y200" s="2" t="n"/>
      <c r="Z200" s="2" t="inlineStr">
        <is>
          <t>no</t>
        </is>
      </c>
      <c r="AA200" s="2" t="n"/>
      <c r="AB200" s="2" t="n"/>
      <c r="AC200" s="2" t="n"/>
      <c r="AD200" s="2" t="n"/>
      <c r="AE200" s="2" t="n"/>
      <c r="AF200" s="2" t="n"/>
      <c r="AG200" s="2" t="n"/>
      <c r="AH200" s="2" t="n">
        <v>4000</v>
      </c>
      <c r="AI200" s="2" t="n"/>
      <c r="AJ200" s="2" t="n"/>
      <c r="AK200" s="2" t="n"/>
      <c r="AL200" s="2" t="n"/>
      <c r="AM200" s="2" t="n">
        <v>35.7</v>
      </c>
      <c r="AN200" s="2" t="n"/>
      <c r="AO200" s="2" t="inlineStr">
        <is>
          <t>10/2006</t>
        </is>
      </c>
      <c r="AP200" s="2" t="n">
        <v>2006</v>
      </c>
      <c r="AQ200" s="2" t="n">
        <v>10</v>
      </c>
      <c r="AR200" s="2" t="n"/>
      <c r="AS200" s="2" t="inlineStr">
        <is>
          <t>regla</t>
        </is>
      </c>
      <c r="AT200" s="2" t="n"/>
      <c r="AU200" s="2" t="n"/>
      <c r="AV200" s="2" t="n"/>
      <c r="AW200" s="2" t="n"/>
      <c r="AX200" s="2" t="inlineStr">
        <is>
          <t>cuota fija ITP: &gt;12 años, hasta 1.500 cc; diésel: motor sin fuente de fiabilidad (fiabilidad limitada a neutra)</t>
        </is>
      </c>
      <c r="AY200" s="2" t="inlineStr">
        <is>
          <t>El coche ha pasado la ITV, las revisiones están al día y el coche funciona perfectamente todo, lo único es por fuera que la chapa y pintura se debería de repasar y arreglar.</t>
        </is>
      </c>
      <c r="AZ200" s="2" t="inlineStr">
        <is>
          <t>https://www.coches.net/toyota-yaris-14-d4d-sol-5p-diesel-2006-en-valencia-71318056-covo.aspx (window.__INITIAL_PROPS__.ad) /home/user/Alopecia/buscador-coches/raw/cochesnet/f4b19bca109110e0.json</t>
        </is>
      </c>
      <c r="BA200" s="3">
        <f>MAX(ANIO_ACTUAL-M200,0)</f>
        <v/>
      </c>
      <c r="BB200" s="4">
        <f>N200/MAX(BA200,0.5)</f>
        <v/>
      </c>
      <c r="BC200" s="4">
        <f>F200</f>
        <v/>
      </c>
      <c r="BD200" s="3">
        <f>BC200&amp;"|"&amp;INT(M200/SEG_ANIO)*SEG_ANIO</f>
        <v/>
      </c>
      <c r="BE200" s="3">
        <f>BD200&amp;"|"&amp;INT(N200/SEG_KM)*SEG_KM</f>
        <v/>
      </c>
      <c r="BF200" s="4">
        <f>COUNTIF($BC$2:$BC$545,BC200)</f>
        <v/>
      </c>
      <c r="BG200" s="4">
        <f>COUNTIF($BD$2:$BD$545,BD200)</f>
        <v/>
      </c>
      <c r="BH200" s="4">
        <f>COUNTIF($BE$2:$BE$545,BE200)</f>
        <v/>
      </c>
      <c r="BI200" s="3">
        <f t="array" ref="BI200">IF(N(AU200)&gt;=MIN_N,AT200,IF(BH200&gt;=MIN_N,MEDIAN(IF($BE$2:$BE$545=BE200,$O$2:$O$545)),IF(BG200&gt;=MIN_N,MEDIAN(IF($BD$2:$BD$545=BD200,$O$2:$O$545)),MEDIAN(IF($BC$2:$BC$545=BC200,$O$2:$O$545)))))</f>
        <v/>
      </c>
      <c r="BJ200" s="3">
        <f>IF(N(AU200)&gt;=MIN_N,"mercado "&amp;AV200,IF(BH200&gt;=MIN_N,"modelo+año+km",IF(BG200&gt;=MIN_N,"modelo+año","modelo")))</f>
        <v/>
      </c>
      <c r="BK200" s="4">
        <f>(BI200-O200)/BI200</f>
        <v/>
      </c>
      <c r="BL200" s="3">
        <f>IF(COUNTIFS(FR_FUEL,K200,FR_YEAR,AP200)&gt;0,1,0)</f>
        <v/>
      </c>
      <c r="BM200" s="3">
        <f>IF(COUNTIFS(FR_FUEL,K200,FR_YEAR,AP200-1)&gt;0,1,0)</f>
        <v/>
      </c>
      <c r="BN200" s="4">
        <f>IF(N(AQ200)&gt;0,AP200*100+AQ200,IF(AND(BL200=1,BM200=1),(AP200-1)*100+1,AP200*100+1))</f>
        <v/>
      </c>
      <c r="BO200" s="3">
        <f>IF(OR(K200="hibrido",K200="glp",K200="gnc",K200="phev"),"ECO",IF(K200="electrico","CERO",IF(K200="gasolina",IF(BN200&gt;=GAS_C_YM,"C",IF(BN200&gt;=GAS_B_YM,"B","A")),IF(K200="diesel",IF(BN200&gt;=DIE_C_YM,"C",IF(BN200&gt;=DIE_B_YM,"B","A")),""))))</f>
        <v/>
      </c>
      <c r="BP200" s="4">
        <f>BO200</f>
        <v/>
      </c>
      <c r="BQ200" s="4">
        <f>IF(AS200="regla",IF(AND(N(AQ200)=0,BL200=1),"sí","no"),"no")</f>
        <v/>
      </c>
      <c r="BR200" s="3">
        <f>IFERROR(VLOOKUP(F200,MOD_TBL,11,0),IFERROR(VLOOKUP(E200,OCU_TBL,2,0),NEUTRO))</f>
        <v/>
      </c>
      <c r="BS200" s="3">
        <f>SUMIFS(MOT_AJUSTE,MOT_MOTOR,G200,MOT_MARCA,E200,MOT_DESDE,"&lt;="&amp;M200,MOT_HASTA,"&gt;="&amp;M200)+SUMIFS(MOT_AJUSTE,MOT_MOTOR,G200,MOT_MARCA,"(todas)",MOT_DESDE,"&lt;="&amp;M200,MOT_HASTA,"&gt;="&amp;M200)</f>
        <v/>
      </c>
      <c r="BT200" s="3">
        <f>SUMIFS(COMB_AJUSTE,COMB_COMB,K200)</f>
        <v/>
      </c>
      <c r="BU200" s="3">
        <f>COUNTIFS(MOT_MOTOR,G200,MOT_MARCA,E200,MOT_DESDE,"&lt;="&amp;M200,MOT_HASTA,"&gt;="&amp;M200)+COUNTIFS(MOT_MOTOR,G200,MOT_MARCA,"(todas)",MOT_DESDE,"&lt;="&amp;M200,MOT_HASTA,"&gt;="&amp;M200)</f>
        <v/>
      </c>
      <c r="BV200" s="3">
        <f>IF(AND(K200="diesel",BU200=0),MIN(BR200,NEUTRO),BR200)</f>
        <v/>
      </c>
      <c r="BW200" s="4">
        <f>MAX(0,MIN(100,BV200+BS200+BT200))</f>
        <v/>
      </c>
      <c r="BX200" s="3">
        <f>MAX(0,MIN(100,50+BK200*PRECIO_PEND))</f>
        <v/>
      </c>
      <c r="BY200" s="3">
        <f>MAX(0,100*(1-N200/KM_MAX))</f>
        <v/>
      </c>
      <c r="BZ200" s="3">
        <f>IF(BB200&lt;KMA_SOSP,IF(AA200="sí",100,KMA_PEN),IF(BB200&lt;=KMA_IDEAL_MAX,100,MAX(0,100*(KMA_CERO-BB200)/(KMA_CERO-KMA_IDEAL_MAX))))</f>
        <v/>
      </c>
      <c r="CA200" s="3">
        <f>MAX(0,MIN(100,100*(M200-ANIO_MIN)/(ANIO_ACTUAL-ANIO_MIN)))</f>
        <v/>
      </c>
      <c r="CB200" s="3">
        <f>W_KMT*BY200+W_KMA*BZ200+W_EDAD*CA200</f>
        <v/>
      </c>
      <c r="CC200" s="3">
        <f>P_ITV*(V200="sí")+P_LIBRO*(W200="sí")+P_CORREA*(X200="sí")+P_PROP*(Y200=1)+P_GAR*(Z200="sí")+P_FOTOS*MIN(1,N(U200)/FOTOS_OBJ)</f>
        <v/>
      </c>
      <c r="CD200" s="3">
        <f>MAX(0,MIN(100,IFERROR(VLOOKUP(BP200,ETQ_TBL,2,0),0)-IF(BQ200="sí",ETQ_PEN_DUD,IF(AS200="regla",ETQ_PEN_REGLA,0))))</f>
        <v/>
      </c>
      <c r="CE200" s="3">
        <f>NEUTRO</f>
        <v/>
      </c>
      <c r="CF200" s="3">
        <f>IFERROR(VLOOKUP(L200,SEGURO_TBL,3,0),"")</f>
        <v/>
      </c>
      <c r="CG200" s="3">
        <f>IF(CF200="",NEUTRO,MAX(0,MIN(100,100*(SEG_REF_MAX-CF200)/(SEG_REF_MAX-SEG_REF_MIN))))</f>
        <v/>
      </c>
      <c r="CH200" s="3">
        <f>W_CONS*CE200+W_SEG*CG200</f>
        <v/>
      </c>
      <c r="CI200" s="3">
        <f>IF(N(AB200)&gt;0,AB200,IF(AND(R200="profesional",SG_LEGAL_ON=1),GAR_LEGAL,0))</f>
        <v/>
      </c>
      <c r="CJ200" s="3">
        <f>SG_GAR*MIN(1,CI200/SG_GAR_FULL)+SG_AMPL*(AC200="sí")+SG_KMC*(AF200="sí")+SG_REV*(N(AE200)&gt;0)+SG_DEV*MIN(1,N(AG200)/SG_DEV_FULL)+SG_HIST*(W200="sí")</f>
        <v/>
      </c>
      <c r="CK200" s="3">
        <f>IFERROR(VLOOKUP(L200,CARR_PEN_TBL,2,0),0)</f>
        <v/>
      </c>
      <c r="CL200" s="3">
        <f>W_FIAB*BW200+W_PRECIO*BX200+W_KMEDAD*CB200+W_ANUNCIO*CC200+W_USO*CH200+W_SEGURIDAD*CJ200+W_ETIQUETA*CD200-CK200</f>
        <v/>
      </c>
      <c r="CM200" s="4">
        <f>IF(N(I200)&gt;0,I200,IFERROR(ROUND(_xlfn.NUMBERVALUE(LEFT(G200,FIND(" ",G200&amp;" ")-1),".")*1000,0),99999))</f>
        <v/>
      </c>
      <c r="CN200" s="3">
        <f>IF(R200="profesional",0,IF(O200&lt;CUOTA_VALOR_MAX,IF(BA200&gt;ITP_TRAMO_ALTO,SUMIFS(CF_CUOTA,CF_MAS,ITP_TRAMO_ALTO,CF_CCMIN,"&lt;="&amp;CM200,CF_CCMAX,"&gt;="&amp;CM200),IF(BA200&gt;ITP_TRAMO_BAJO,SUMIFS(CF_CUOTA,CF_MAS,ITP_TRAMO_BAJO,CF_CCMIN,"&lt;="&amp;CM200,CF_CCMAX,"&gt;="&amp;CM200),O200*ITP_TIPO)),O200*ITP_TIPO))</f>
        <v/>
      </c>
      <c r="CO200" s="4">
        <f>IF(R200="profesional",N(AK200),0)</f>
        <v/>
      </c>
      <c r="CP200" s="3">
        <f>IF(AND(R200="profesional",ISNUMBER(AK200),AL200="sí"),0,TASA_DGT)</f>
        <v/>
      </c>
      <c r="CQ200" s="3">
        <f>INFORME_DGT</f>
        <v/>
      </c>
      <c r="CR200" s="4">
        <f>O200+CO200+CN200+CP200+CQ200</f>
        <v/>
      </c>
      <c r="CS200" s="4">
        <f>CR200+N(CF200)</f>
        <v/>
      </c>
      <c r="CT200" s="3">
        <f>IF(CR200&lt;=TOTAL_MAX,"sí",IF(CR200&lt;=TOTAL_MAX+MARGEN_NEG,"negociar","no"))</f>
        <v/>
      </c>
      <c r="CU200" s="4">
        <f>IF(CT200&lt;&gt;"no",COUNTIFS($CT$2:$CT$545,"&lt;&gt;no",$CL$2:$CL$545,"&gt;"&amp;CL200)+COUNTIFS($CT$2:CT200,"&lt;&gt;no",$CL$2:CL200,CL200),"")</f>
        <v/>
      </c>
    </row>
    <row r="201">
      <c r="A201" s="2" t="inlineStr">
        <is>
          <t>cochesnet:71279379</t>
        </is>
      </c>
      <c r="B201" s="2" t="inlineStr">
        <is>
          <t>cochesnet</t>
        </is>
      </c>
      <c r="C201" s="2" t="inlineStr">
        <is>
          <t>https://www.coches.net/toyota-yaris-13-vvti-yaris-5p-gasolina-2007-en-valencia-71279379-covo.aspx</t>
        </is>
      </c>
      <c r="D201" s="2" t="inlineStr">
        <is>
          <t>TOYOTA Yaris 1.3 VVTi Yaris</t>
        </is>
      </c>
      <c r="E201" s="2" t="inlineStr">
        <is>
          <t>Toyota</t>
        </is>
      </c>
      <c r="F201" s="2" t="inlineStr">
        <is>
          <t>Toyota Yaris</t>
        </is>
      </c>
      <c r="G201" s="2" t="inlineStr">
        <is>
          <t>1.3 VVT-i</t>
        </is>
      </c>
      <c r="H201" s="2" t="inlineStr">
        <is>
          <t>1.3 VVTi Yaris</t>
        </is>
      </c>
      <c r="I201" s="2" t="n"/>
      <c r="J201" s="2" t="n"/>
      <c r="K201" s="2" t="inlineStr">
        <is>
          <t>gasolina</t>
        </is>
      </c>
      <c r="L201" s="2" t="inlineStr">
        <is>
          <t>utilitario</t>
        </is>
      </c>
      <c r="M201" s="2" t="n">
        <v>2007</v>
      </c>
      <c r="N201" s="2" t="n">
        <v>168000</v>
      </c>
      <c r="O201" s="2" t="n">
        <v>4000</v>
      </c>
      <c r="P201" s="2" t="inlineStr">
        <is>
          <t>manual</t>
        </is>
      </c>
      <c r="Q201" s="2" t="inlineStr">
        <is>
          <t>no</t>
        </is>
      </c>
      <c r="R201" s="2" t="inlineStr">
        <is>
          <t>particular</t>
        </is>
      </c>
      <c r="S201" s="2" t="inlineStr">
        <is>
          <t>Valencia</t>
        </is>
      </c>
      <c r="T201" s="2" t="inlineStr">
        <is>
          <t>2026-08-12T14:05:44Z</t>
        </is>
      </c>
      <c r="U201" s="2" t="n">
        <v>7</v>
      </c>
      <c r="V201" s="2" t="inlineStr">
        <is>
          <t>sí</t>
        </is>
      </c>
      <c r="W201" s="2" t="inlineStr">
        <is>
          <t>sí</t>
        </is>
      </c>
      <c r="X201" s="2" t="n"/>
      <c r="Y201" s="2" t="n"/>
      <c r="Z201" s="2" t="inlineStr">
        <is>
          <t>no</t>
        </is>
      </c>
      <c r="AA201" s="2" t="n"/>
      <c r="AB201" s="2" t="n"/>
      <c r="AC201" s="2" t="n"/>
      <c r="AD201" s="2" t="n"/>
      <c r="AE201" s="2" t="n"/>
      <c r="AF201" s="2" t="n"/>
      <c r="AG201" s="2" t="n"/>
      <c r="AH201" s="2" t="n">
        <v>4000</v>
      </c>
      <c r="AI201" s="2" t="n"/>
      <c r="AJ201" s="2" t="n"/>
      <c r="AK201" s="2" t="n"/>
      <c r="AL201" s="2" t="n"/>
      <c r="AM201" s="2" t="n">
        <v>0.1</v>
      </c>
      <c r="AN201" s="2" t="n"/>
      <c r="AO201" s="2" t="inlineStr">
        <is>
          <t>02/2007</t>
        </is>
      </c>
      <c r="AP201" s="2" t="n">
        <v>2007</v>
      </c>
      <c r="AQ201" s="2" t="n">
        <v>2</v>
      </c>
      <c r="AR201" s="2" t="inlineStr">
        <is>
          <t>C</t>
        </is>
      </c>
      <c r="AS201" s="2" t="inlineStr">
        <is>
          <t>anuncio</t>
        </is>
      </c>
      <c r="AT201" s="2" t="n">
        <v>3900</v>
      </c>
      <c r="AU201" s="2" t="n">
        <v>5</v>
      </c>
      <c r="AV201" s="2" t="inlineStr">
        <is>
          <t>modelo+año</t>
        </is>
      </c>
      <c r="AW201" s="2" t="n"/>
      <c r="AX201" s="2" t="inlineStr">
        <is>
          <t>cuota fija ITP: &gt;12 años, hasta 1.500 cc</t>
        </is>
      </c>
      <c r="AY201" s="2" t="inlineStr">
        <is>
          <t xml:space="preserve">Vendo Toyota Yaris del año 2007, motor gasolina, con 168.000 km, mantenimiento al día e ITV en vigor.
? 168.000 km
? Motor gasolina
? Aire acondicionado
? Mantenimiento al día
? ITV en vigor
? Coche práctico, económico y fiable
? Ideal para ciudad y uso diario
?? A tener en cuenta: el bombín/cerradura del maletero está dañado. El maletero abre desde el interior y funciona correctamente una vez abierto.
Y sensor de oxígeno exige uno original ya que los genéricos marcan el checking engine. </t>
        </is>
      </c>
      <c r="AZ201" s="2" t="inlineStr">
        <is>
          <t>https://www.coches.net/toyota-yaris-13-vvti-yaris-5p-gasolina-2007-en-valencia-71279379-covo.aspx (window.__INITIAL_PROPS__.ad) /home/user/Alopecia/buscador-coches/raw/cochesnet/bfbaa15f69e0db17.json</t>
        </is>
      </c>
      <c r="BA201" s="3">
        <f>MAX(ANIO_ACTUAL-M201,0)</f>
        <v/>
      </c>
      <c r="BB201" s="4">
        <f>N201/MAX(BA201,0.5)</f>
        <v/>
      </c>
      <c r="BC201" s="4">
        <f>F201</f>
        <v/>
      </c>
      <c r="BD201" s="3">
        <f>BC201&amp;"|"&amp;INT(M201/SEG_ANIO)*SEG_ANIO</f>
        <v/>
      </c>
      <c r="BE201" s="3">
        <f>BD201&amp;"|"&amp;INT(N201/SEG_KM)*SEG_KM</f>
        <v/>
      </c>
      <c r="BF201" s="4">
        <f>COUNTIF($BC$2:$BC$545,BC201)</f>
        <v/>
      </c>
      <c r="BG201" s="4">
        <f>COUNTIF($BD$2:$BD$545,BD201)</f>
        <v/>
      </c>
      <c r="BH201" s="4">
        <f>COUNTIF($BE$2:$BE$545,BE201)</f>
        <v/>
      </c>
      <c r="BI201" s="3">
        <f t="array" ref="BI201">IF(N(AU201)&gt;=MIN_N,AT201,IF(BH201&gt;=MIN_N,MEDIAN(IF($BE$2:$BE$545=BE201,$O$2:$O$545)),IF(BG201&gt;=MIN_N,MEDIAN(IF($BD$2:$BD$545=BD201,$O$2:$O$545)),MEDIAN(IF($BC$2:$BC$545=BC201,$O$2:$O$545)))))</f>
        <v/>
      </c>
      <c r="BJ201" s="3">
        <f>IF(N(AU201)&gt;=MIN_N,"mercado "&amp;AV201,IF(BH201&gt;=MIN_N,"modelo+año+km",IF(BG201&gt;=MIN_N,"modelo+año","modelo")))</f>
        <v/>
      </c>
      <c r="BK201" s="4">
        <f>(BI201-O201)/BI201</f>
        <v/>
      </c>
      <c r="BL201" s="3">
        <f>IF(COUNTIFS(FR_FUEL,K201,FR_YEAR,AP201)&gt;0,1,0)</f>
        <v/>
      </c>
      <c r="BM201" s="3">
        <f>IF(COUNTIFS(FR_FUEL,K201,FR_YEAR,AP201-1)&gt;0,1,0)</f>
        <v/>
      </c>
      <c r="BN201" s="4">
        <f>IF(N(AQ201)&gt;0,AP201*100+AQ201,IF(AND(BL201=1,BM201=1),(AP201-1)*100+1,AP201*100+1))</f>
        <v/>
      </c>
      <c r="BO201" s="3">
        <f>IF(OR(K201="hibrido",K201="glp",K201="gnc",K201="phev"),"ECO",IF(K201="electrico","CERO",IF(K201="gasolina",IF(BN201&gt;=GAS_C_YM,"C",IF(BN201&gt;=GAS_B_YM,"B","A")),IF(K201="diesel",IF(BN201&gt;=DIE_C_YM,"C",IF(BN201&gt;=DIE_B_YM,"B","A")),""))))</f>
        <v/>
      </c>
      <c r="BP201" s="2" t="inlineStr">
        <is>
          <t>C</t>
        </is>
      </c>
      <c r="BQ201" s="4">
        <f>IF(AS201="regla",IF(AND(N(AQ201)=0,BL201=1),"sí","no"),"no")</f>
        <v/>
      </c>
      <c r="BR201" s="3">
        <f>IFERROR(VLOOKUP(F201,MOD_TBL,11,0),IFERROR(VLOOKUP(E201,OCU_TBL,2,0),NEUTRO))</f>
        <v/>
      </c>
      <c r="BS201" s="3">
        <f>SUMIFS(MOT_AJUSTE,MOT_MOTOR,G201,MOT_MARCA,E201,MOT_DESDE,"&lt;="&amp;M201,MOT_HASTA,"&gt;="&amp;M201)+SUMIFS(MOT_AJUSTE,MOT_MOTOR,G201,MOT_MARCA,"(todas)",MOT_DESDE,"&lt;="&amp;M201,MOT_HASTA,"&gt;="&amp;M201)</f>
        <v/>
      </c>
      <c r="BT201" s="3">
        <f>SUMIFS(COMB_AJUSTE,COMB_COMB,K201)</f>
        <v/>
      </c>
      <c r="BU201" s="3">
        <f>COUNTIFS(MOT_MOTOR,G201,MOT_MARCA,E201,MOT_DESDE,"&lt;="&amp;M201,MOT_HASTA,"&gt;="&amp;M201)+COUNTIFS(MOT_MOTOR,G201,MOT_MARCA,"(todas)",MOT_DESDE,"&lt;="&amp;M201,MOT_HASTA,"&gt;="&amp;M201)</f>
        <v/>
      </c>
      <c r="BV201" s="3">
        <f>IF(AND(K201="diesel",BU201=0),MIN(BR201,NEUTRO),BR201)</f>
        <v/>
      </c>
      <c r="BW201" s="4">
        <f>MAX(0,MIN(100,BV201+BS201+BT201))</f>
        <v/>
      </c>
      <c r="BX201" s="3">
        <f>MAX(0,MIN(100,50+BK201*PRECIO_PEND))</f>
        <v/>
      </c>
      <c r="BY201" s="3">
        <f>MAX(0,100*(1-N201/KM_MAX))</f>
        <v/>
      </c>
      <c r="BZ201" s="3">
        <f>IF(BB201&lt;KMA_SOSP,IF(AA201="sí",100,KMA_PEN),IF(BB201&lt;=KMA_IDEAL_MAX,100,MAX(0,100*(KMA_CERO-BB201)/(KMA_CERO-KMA_IDEAL_MAX))))</f>
        <v/>
      </c>
      <c r="CA201" s="3">
        <f>MAX(0,MIN(100,100*(M201-ANIO_MIN)/(ANIO_ACTUAL-ANIO_MIN)))</f>
        <v/>
      </c>
      <c r="CB201" s="3">
        <f>W_KMT*BY201+W_KMA*BZ201+W_EDAD*CA201</f>
        <v/>
      </c>
      <c r="CC201" s="3">
        <f>P_ITV*(V201="sí")+P_LIBRO*(W201="sí")+P_CORREA*(X201="sí")+P_PROP*(Y201=1)+P_GAR*(Z201="sí")+P_FOTOS*MIN(1,N(U201)/FOTOS_OBJ)</f>
        <v/>
      </c>
      <c r="CD201" s="3">
        <f>MAX(0,MIN(100,IFERROR(VLOOKUP(BP201,ETQ_TBL,2,0),0)-IF(BQ201="sí",ETQ_PEN_DUD,IF(AS201="regla",ETQ_PEN_REGLA,0))))</f>
        <v/>
      </c>
      <c r="CE201" s="3">
        <f>NEUTRO</f>
        <v/>
      </c>
      <c r="CF201" s="3">
        <f>IFERROR(VLOOKUP(L201,SEGURO_TBL,3,0),"")</f>
        <v/>
      </c>
      <c r="CG201" s="3">
        <f>IF(CF201="",NEUTRO,MAX(0,MIN(100,100*(SEG_REF_MAX-CF201)/(SEG_REF_MAX-SEG_REF_MIN))))</f>
        <v/>
      </c>
      <c r="CH201" s="3">
        <f>W_CONS*CE201+W_SEG*CG201</f>
        <v/>
      </c>
      <c r="CI201" s="3">
        <f>IF(N(AB201)&gt;0,AB201,IF(AND(R201="profesional",SG_LEGAL_ON=1),GAR_LEGAL,0))</f>
        <v/>
      </c>
      <c r="CJ201" s="3">
        <f>SG_GAR*MIN(1,CI201/SG_GAR_FULL)+SG_AMPL*(AC201="sí")+SG_KMC*(AF201="sí")+SG_REV*(N(AE201)&gt;0)+SG_DEV*MIN(1,N(AG201)/SG_DEV_FULL)+SG_HIST*(W201="sí")</f>
        <v/>
      </c>
      <c r="CK201" s="3">
        <f>IFERROR(VLOOKUP(L201,CARR_PEN_TBL,2,0),0)</f>
        <v/>
      </c>
      <c r="CL201" s="3">
        <f>W_FIAB*BW201+W_PRECIO*BX201+W_KMEDAD*CB201+W_ANUNCIO*CC201+W_USO*CH201+W_SEGURIDAD*CJ201+W_ETIQUETA*CD201-CK201</f>
        <v/>
      </c>
      <c r="CM201" s="4">
        <f>IF(N(I201)&gt;0,I201,IFERROR(ROUND(_xlfn.NUMBERVALUE(LEFT(G201,FIND(" ",G201&amp;" ")-1),".")*1000,0),99999))</f>
        <v/>
      </c>
      <c r="CN201" s="3">
        <f>IF(R201="profesional",0,IF(O201&lt;CUOTA_VALOR_MAX,IF(BA201&gt;ITP_TRAMO_ALTO,SUMIFS(CF_CUOTA,CF_MAS,ITP_TRAMO_ALTO,CF_CCMIN,"&lt;="&amp;CM201,CF_CCMAX,"&gt;="&amp;CM201),IF(BA201&gt;ITP_TRAMO_BAJO,SUMIFS(CF_CUOTA,CF_MAS,ITP_TRAMO_BAJO,CF_CCMIN,"&lt;="&amp;CM201,CF_CCMAX,"&gt;="&amp;CM201),O201*ITP_TIPO)),O201*ITP_TIPO))</f>
        <v/>
      </c>
      <c r="CO201" s="4">
        <f>IF(R201="profesional",N(AK201),0)</f>
        <v/>
      </c>
      <c r="CP201" s="3">
        <f>IF(AND(R201="profesional",ISNUMBER(AK201),AL201="sí"),0,TASA_DGT)</f>
        <v/>
      </c>
      <c r="CQ201" s="3">
        <f>INFORME_DGT</f>
        <v/>
      </c>
      <c r="CR201" s="4">
        <f>O201+CO201+CN201+CP201+CQ201</f>
        <v/>
      </c>
      <c r="CS201" s="4">
        <f>CR201+N(CF201)</f>
        <v/>
      </c>
      <c r="CT201" s="3">
        <f>IF(CR201&lt;=TOTAL_MAX,"sí",IF(CR201&lt;=TOTAL_MAX+MARGEN_NEG,"negociar","no"))</f>
        <v/>
      </c>
      <c r="CU201" s="4">
        <f>IF(CT201&lt;&gt;"no",COUNTIFS($CT$2:$CT$545,"&lt;&gt;no",$CL$2:$CL$545,"&gt;"&amp;CL201)+COUNTIFS($CT$2:CT201,"&lt;&gt;no",$CL$2:CL201,CL201),"")</f>
        <v/>
      </c>
    </row>
    <row r="202">
      <c r="A202" s="2" t="inlineStr">
        <is>
          <t>cochesnet:71774731</t>
        </is>
      </c>
      <c r="B202" s="2" t="inlineStr">
        <is>
          <t>cochesnet</t>
        </is>
      </c>
      <c r="C202" s="2" t="inlineStr">
        <is>
          <t>https://www.coches.net/toyota-corolla-16-vvti-luna-5p-gasolina-2006-en-valencia-71774731-covo.aspx</t>
        </is>
      </c>
      <c r="D202" s="2" t="inlineStr">
        <is>
          <t>TOYOTA Corolla 1.6 VVTi Luna</t>
        </is>
      </c>
      <c r="E202" s="2" t="inlineStr">
        <is>
          <t>Toyota</t>
        </is>
      </c>
      <c r="F202" s="2" t="inlineStr">
        <is>
          <t>Toyota Corolla</t>
        </is>
      </c>
      <c r="G202" s="2" t="inlineStr">
        <is>
          <t>1.6 VVT-i</t>
        </is>
      </c>
      <c r="H202" s="2" t="inlineStr">
        <is>
          <t>1.6 VVTi Luna</t>
        </is>
      </c>
      <c r="I202" s="2" t="n"/>
      <c r="J202" s="2" t="n"/>
      <c r="K202" s="2" t="inlineStr">
        <is>
          <t>gasolina</t>
        </is>
      </c>
      <c r="L202" s="2" t="inlineStr">
        <is>
          <t>compacto</t>
        </is>
      </c>
      <c r="M202" s="2" t="n">
        <v>2006</v>
      </c>
      <c r="N202" s="2" t="n">
        <v>208000</v>
      </c>
      <c r="O202" s="2" t="n">
        <v>4000</v>
      </c>
      <c r="P202" s="2" t="inlineStr">
        <is>
          <t>manual</t>
        </is>
      </c>
      <c r="Q202" s="2" t="inlineStr">
        <is>
          <t>no</t>
        </is>
      </c>
      <c r="R202" s="2" t="inlineStr">
        <is>
          <t>particular</t>
        </is>
      </c>
      <c r="S202" s="2" t="inlineStr">
        <is>
          <t>Paterna</t>
        </is>
      </c>
      <c r="T202" s="2" t="inlineStr">
        <is>
          <t>2026-10-18T16:45:29Z</t>
        </is>
      </c>
      <c r="U202" s="2" t="n">
        <v>9</v>
      </c>
      <c r="V202" s="2" t="inlineStr">
        <is>
          <t>sí</t>
        </is>
      </c>
      <c r="W202" s="2" t="n"/>
      <c r="X202" s="2" t="n"/>
      <c r="Y202" s="2" t="n">
        <v>2</v>
      </c>
      <c r="Z202" s="2" t="inlineStr">
        <is>
          <t>no</t>
        </is>
      </c>
      <c r="AA202" s="2" t="n"/>
      <c r="AB202" s="2" t="n"/>
      <c r="AC202" s="2" t="n"/>
      <c r="AD202" s="2" t="n"/>
      <c r="AE202" s="2" t="n"/>
      <c r="AF202" s="2" t="n"/>
      <c r="AG202" s="2" t="n"/>
      <c r="AH202" s="2" t="n">
        <v>4000</v>
      </c>
      <c r="AI202" s="2" t="n"/>
      <c r="AJ202" s="2" t="n"/>
      <c r="AK202" s="2" t="n"/>
      <c r="AL202" s="2" t="n"/>
      <c r="AM202" s="2" t="n">
        <v>6.8</v>
      </c>
      <c r="AN202" s="2" t="inlineStr">
        <is>
          <t>DE2006Y</t>
        </is>
      </c>
      <c r="AO202" s="2" t="inlineStr">
        <is>
          <t>2006</t>
        </is>
      </c>
      <c r="AP202" s="2" t="n">
        <v>2006</v>
      </c>
      <c r="AQ202" s="2" t="n"/>
      <c r="AR202" s="2" t="inlineStr">
        <is>
          <t>C</t>
        </is>
      </c>
      <c r="AS202" s="2" t="inlineStr">
        <is>
          <t>anuncio</t>
        </is>
      </c>
      <c r="AT202" s="2" t="n">
        <v>3900</v>
      </c>
      <c r="AU202" s="2" t="n">
        <v>13</v>
      </c>
      <c r="AV202" s="2" t="inlineStr">
        <is>
          <t>modelo+año</t>
        </is>
      </c>
      <c r="AW202" s="2" t="n"/>
      <c r="AX202" s="2" t="inlineStr">
        <is>
          <t>cuota fija ITP: &gt;12 años, 1.501-2.000 cc</t>
        </is>
      </c>
      <c r="AY202" s="2" t="inlineStr">
        <is>
          <t>Toyota Corolla 1.6 VVT-i Luna, 5 puertas, 110 CV, gasolina, manual. Matriculado en enero de 2006 y con solo dos propietarios: el primero lo tuvo 16 años y nosotros lo compramos en 2022. Lo vendemos porque estamos cambiando a un coche más grande.
LO BUENO
- Mecánica sencilla y fiable: motor 1.6 VVT-i de 110 CV con distribución por cadena y consumo contenido.
- ITV pasada todos los años desde que lo tenemos. La última, en enero de 2026 y sin defectos, vigente hasta el 23/01/2027.
- 208.000 km, con lecturas de ITV desde 2012: 56.460 km en 2012 y 199.149 km en enero de 2026. Os enseñamos el informe de la DGT.
- Última revisión: 2026, con neumáticos de delante cambiados.
- Etiqueta ambiental C.
- Interior limpio y cuidado. El aire acondicionado funciona perfectamente.
- Maletero de unos 290l: nos cabe un carrito de bebé plegado, además de alguna maleta pequeña o mochilas.
- Consumo medio estimado de unos 7l/100km. Depósito de unos 55l.
- Equipamiento: aire acondicionado, elevalunas eléctricos, ABS, airbags, radio (sin bluetooth) y control de crucero.
LO QUE HAY QUE SABER
Exterior:
- Rejilla del parachoques delantero rota.
- Cubrecárter (protector inferior del motor) roto.
- Arañazos superficiales en ambos laterales.
-Arañazos más profundos en las manillas de apertura de las puertas delanteras
- Un picotazo en el capó.
Interior:
- Quemadura de cigarrillo en el asiento del copiloto, de propietarios anteriores.
- Pomo de la palanca de cambios desgastado por el uso.
- Rejilla de v</t>
        </is>
      </c>
      <c r="AZ202" s="2" t="inlineStr">
        <is>
          <t>https://www.coches.net/toyota-corolla-16-vvti-luna-5p-gasolina-2006-en-valencia-71774731-covo.aspx (window.__INITIAL_PROPS__.ad) /home/user/Alopecia/buscador-coches/raw/cochesnet/4351d69b91574f90.json</t>
        </is>
      </c>
      <c r="BA202" s="3">
        <f>MAX(ANIO_ACTUAL-M202,0)</f>
        <v/>
      </c>
      <c r="BB202" s="4">
        <f>N202/MAX(BA202,0.5)</f>
        <v/>
      </c>
      <c r="BC202" s="4">
        <f>F202</f>
        <v/>
      </c>
      <c r="BD202" s="3">
        <f>BC202&amp;"|"&amp;INT(M202/SEG_ANIO)*SEG_ANIO</f>
        <v/>
      </c>
      <c r="BE202" s="3">
        <f>BD202&amp;"|"&amp;INT(N202/SEG_KM)*SEG_KM</f>
        <v/>
      </c>
      <c r="BF202" s="4">
        <f>COUNTIF($BC$2:$BC$545,BC202)</f>
        <v/>
      </c>
      <c r="BG202" s="4">
        <f>COUNTIF($BD$2:$BD$545,BD202)</f>
        <v/>
      </c>
      <c r="BH202" s="4">
        <f>COUNTIF($BE$2:$BE$545,BE202)</f>
        <v/>
      </c>
      <c r="BI202" s="3">
        <f t="array" ref="BI202">IF(N(AU202)&gt;=MIN_N,AT202,IF(BH202&gt;=MIN_N,MEDIAN(IF($BE$2:$BE$545=BE202,$O$2:$O$545)),IF(BG202&gt;=MIN_N,MEDIAN(IF($BD$2:$BD$545=BD202,$O$2:$O$545)),MEDIAN(IF($BC$2:$BC$545=BC202,$O$2:$O$545)))))</f>
        <v/>
      </c>
      <c r="BJ202" s="3">
        <f>IF(N(AU202)&gt;=MIN_N,"mercado "&amp;AV202,IF(BH202&gt;=MIN_N,"modelo+año+km",IF(BG202&gt;=MIN_N,"modelo+año","modelo")))</f>
        <v/>
      </c>
      <c r="BK202" s="4">
        <f>(BI202-O202)/BI202</f>
        <v/>
      </c>
      <c r="BL202" s="3">
        <f>IF(COUNTIFS(FR_FUEL,K202,FR_YEAR,AP202)&gt;0,1,0)</f>
        <v/>
      </c>
      <c r="BM202" s="3">
        <f>IF(COUNTIFS(FR_FUEL,K202,FR_YEAR,AP202-1)&gt;0,1,0)</f>
        <v/>
      </c>
      <c r="BN202" s="4">
        <f>IF(N(AQ202)&gt;0,AP202*100+AQ202,IF(AND(BL202=1,BM202=1),(AP202-1)*100+1,AP202*100+1))</f>
        <v/>
      </c>
      <c r="BO202" s="3">
        <f>IF(OR(K202="hibrido",K202="glp",K202="gnc",K202="phev"),"ECO",IF(K202="electrico","CERO",IF(K202="gasolina",IF(BN202&gt;=GAS_C_YM,"C",IF(BN202&gt;=GAS_B_YM,"B","A")),IF(K202="diesel",IF(BN202&gt;=DIE_C_YM,"C",IF(BN202&gt;=DIE_B_YM,"B","A")),""))))</f>
        <v/>
      </c>
      <c r="BP202" s="2" t="inlineStr">
        <is>
          <t>C</t>
        </is>
      </c>
      <c r="BQ202" s="4">
        <f>IF(AS202="regla",IF(AND(N(AQ202)=0,BL202=1),"sí","no"),"no")</f>
        <v/>
      </c>
      <c r="BR202" s="3">
        <f>IFERROR(VLOOKUP(F202,MOD_TBL,11,0),IFERROR(VLOOKUP(E202,OCU_TBL,2,0),NEUTRO))</f>
        <v/>
      </c>
      <c r="BS202" s="3">
        <f>SUMIFS(MOT_AJUSTE,MOT_MOTOR,G202,MOT_MARCA,E202,MOT_DESDE,"&lt;="&amp;M202,MOT_HASTA,"&gt;="&amp;M202)+SUMIFS(MOT_AJUSTE,MOT_MOTOR,G202,MOT_MARCA,"(todas)",MOT_DESDE,"&lt;="&amp;M202,MOT_HASTA,"&gt;="&amp;M202)</f>
        <v/>
      </c>
      <c r="BT202" s="3">
        <f>SUMIFS(COMB_AJUSTE,COMB_COMB,K202)</f>
        <v/>
      </c>
      <c r="BU202" s="3">
        <f>COUNTIFS(MOT_MOTOR,G202,MOT_MARCA,E202,MOT_DESDE,"&lt;="&amp;M202,MOT_HASTA,"&gt;="&amp;M202)+COUNTIFS(MOT_MOTOR,G202,MOT_MARCA,"(todas)",MOT_DESDE,"&lt;="&amp;M202,MOT_HASTA,"&gt;="&amp;M202)</f>
        <v/>
      </c>
      <c r="BV202" s="3">
        <f>IF(AND(K202="diesel",BU202=0),MIN(BR202,NEUTRO),BR202)</f>
        <v/>
      </c>
      <c r="BW202" s="4">
        <f>MAX(0,MIN(100,BV202+BS202+BT202))</f>
        <v/>
      </c>
      <c r="BX202" s="3">
        <f>MAX(0,MIN(100,50+BK202*PRECIO_PEND))</f>
        <v/>
      </c>
      <c r="BY202" s="3">
        <f>MAX(0,100*(1-N202/KM_MAX))</f>
        <v/>
      </c>
      <c r="BZ202" s="3">
        <f>IF(BB202&lt;KMA_SOSP,IF(AA202="sí",100,KMA_PEN),IF(BB202&lt;=KMA_IDEAL_MAX,100,MAX(0,100*(KMA_CERO-BB202)/(KMA_CERO-KMA_IDEAL_MAX))))</f>
        <v/>
      </c>
      <c r="CA202" s="3">
        <f>MAX(0,MIN(100,100*(M202-ANIO_MIN)/(ANIO_ACTUAL-ANIO_MIN)))</f>
        <v/>
      </c>
      <c r="CB202" s="3">
        <f>W_KMT*BY202+W_KMA*BZ202+W_EDAD*CA202</f>
        <v/>
      </c>
      <c r="CC202" s="3">
        <f>P_ITV*(V202="sí")+P_LIBRO*(W202="sí")+P_CORREA*(X202="sí")+P_PROP*(Y202=1)+P_GAR*(Z202="sí")+P_FOTOS*MIN(1,N(U202)/FOTOS_OBJ)</f>
        <v/>
      </c>
      <c r="CD202" s="3">
        <f>MAX(0,MIN(100,IFERROR(VLOOKUP(BP202,ETQ_TBL,2,0),0)-IF(BQ202="sí",ETQ_PEN_DUD,IF(AS202="regla",ETQ_PEN_REGLA,0))))</f>
        <v/>
      </c>
      <c r="CE202" s="3">
        <f>NEUTRO</f>
        <v/>
      </c>
      <c r="CF202" s="3">
        <f>IFERROR(VLOOKUP(L202,SEGURO_TBL,3,0),"")</f>
        <v/>
      </c>
      <c r="CG202" s="3">
        <f>IF(CF202="",NEUTRO,MAX(0,MIN(100,100*(SEG_REF_MAX-CF202)/(SEG_REF_MAX-SEG_REF_MIN))))</f>
        <v/>
      </c>
      <c r="CH202" s="3">
        <f>W_CONS*CE202+W_SEG*CG202</f>
        <v/>
      </c>
      <c r="CI202" s="3">
        <f>IF(N(AB202)&gt;0,AB202,IF(AND(R202="profesional",SG_LEGAL_ON=1),GAR_LEGAL,0))</f>
        <v/>
      </c>
      <c r="CJ202" s="3">
        <f>SG_GAR*MIN(1,CI202/SG_GAR_FULL)+SG_AMPL*(AC202="sí")+SG_KMC*(AF202="sí")+SG_REV*(N(AE202)&gt;0)+SG_DEV*MIN(1,N(AG202)/SG_DEV_FULL)+SG_HIST*(W202="sí")</f>
        <v/>
      </c>
      <c r="CK202" s="3">
        <f>IFERROR(VLOOKUP(L202,CARR_PEN_TBL,2,0),0)</f>
        <v/>
      </c>
      <c r="CL202" s="3">
        <f>W_FIAB*BW202+W_PRECIO*BX202+W_KMEDAD*CB202+W_ANUNCIO*CC202+W_USO*CH202+W_SEGURIDAD*CJ202+W_ETIQUETA*CD202-CK202</f>
        <v/>
      </c>
      <c r="CM202" s="4">
        <f>IF(N(I202)&gt;0,I202,IFERROR(ROUND(_xlfn.NUMBERVALUE(LEFT(G202,FIND(" ",G202&amp;" ")-1),".")*1000,0),99999))</f>
        <v/>
      </c>
      <c r="CN202" s="3">
        <f>IF(R202="profesional",0,IF(O202&lt;CUOTA_VALOR_MAX,IF(BA202&gt;ITP_TRAMO_ALTO,SUMIFS(CF_CUOTA,CF_MAS,ITP_TRAMO_ALTO,CF_CCMIN,"&lt;="&amp;CM202,CF_CCMAX,"&gt;="&amp;CM202),IF(BA202&gt;ITP_TRAMO_BAJO,SUMIFS(CF_CUOTA,CF_MAS,ITP_TRAMO_BAJO,CF_CCMIN,"&lt;="&amp;CM202,CF_CCMAX,"&gt;="&amp;CM202),O202*ITP_TIPO)),O202*ITP_TIPO))</f>
        <v/>
      </c>
      <c r="CO202" s="4">
        <f>IF(R202="profesional",N(AK202),0)</f>
        <v/>
      </c>
      <c r="CP202" s="3">
        <f>IF(AND(R202="profesional",ISNUMBER(AK202),AL202="sí"),0,TASA_DGT)</f>
        <v/>
      </c>
      <c r="CQ202" s="3">
        <f>INFORME_DGT</f>
        <v/>
      </c>
      <c r="CR202" s="4">
        <f>O202+CO202+CN202+CP202+CQ202</f>
        <v/>
      </c>
      <c r="CS202" s="4">
        <f>CR202+N(CF202)</f>
        <v/>
      </c>
      <c r="CT202" s="3">
        <f>IF(CR202&lt;=TOTAL_MAX,"sí",IF(CR202&lt;=TOTAL_MAX+MARGEN_NEG,"negociar","no"))</f>
        <v/>
      </c>
      <c r="CU202" s="4">
        <f>IF(CT202&lt;&gt;"no",COUNTIFS($CT$2:$CT$545,"&lt;&gt;no",$CL$2:$CL$545,"&gt;"&amp;CL202)+COUNTIFS($CT$2:CT202,"&lt;&gt;no",$CL$2:CL202,CL202),"")</f>
        <v/>
      </c>
    </row>
    <row r="203">
      <c r="A203" s="2" t="inlineStr">
        <is>
          <t>cochesnet:71488801</t>
        </is>
      </c>
      <c r="B203" s="2" t="inlineStr">
        <is>
          <t>cochesnet</t>
        </is>
      </c>
      <c r="C203" s="2" t="inlineStr">
        <is>
          <t>https://www.coches.net/toyota-aygo-10-vvti-aygo-5p-gasolina-2007-en-valencia-71488801-covo.aspx</t>
        </is>
      </c>
      <c r="D203" s="2" t="inlineStr">
        <is>
          <t>TOYOTA Aygo 1.0 VVTi Aygo</t>
        </is>
      </c>
      <c r="E203" s="2" t="inlineStr">
        <is>
          <t>Toyota</t>
        </is>
      </c>
      <c r="F203" s="2" t="inlineStr">
        <is>
          <t>Toyota Aygo</t>
        </is>
      </c>
      <c r="G203" s="2" t="inlineStr">
        <is>
          <t>1.0 VVT-i</t>
        </is>
      </c>
      <c r="H203" s="2" t="inlineStr">
        <is>
          <t>1.0 VVTi Aygo</t>
        </is>
      </c>
      <c r="I203" s="2" t="n"/>
      <c r="J203" s="2" t="n"/>
      <c r="K203" s="2" t="inlineStr">
        <is>
          <t>gasolina</t>
        </is>
      </c>
      <c r="L203" s="2" t="inlineStr">
        <is>
          <t>utilitario</t>
        </is>
      </c>
      <c r="M203" s="2" t="n">
        <v>2007</v>
      </c>
      <c r="N203" s="2" t="n">
        <v>140000</v>
      </c>
      <c r="O203" s="2" t="n">
        <v>3990</v>
      </c>
      <c r="P203" s="2" t="inlineStr">
        <is>
          <t>manual</t>
        </is>
      </c>
      <c r="Q203" s="2" t="inlineStr">
        <is>
          <t>no</t>
        </is>
      </c>
      <c r="R203" s="2" t="inlineStr">
        <is>
          <t>profesional</t>
        </is>
      </c>
      <c r="S203" s="2" t="inlineStr">
        <is>
          <t>Cullera</t>
        </is>
      </c>
      <c r="T203" s="2" t="inlineStr">
        <is>
          <t>2026-09-10T20:23:32Z</t>
        </is>
      </c>
      <c r="U203" s="2" t="n">
        <v>16</v>
      </c>
      <c r="V203" s="2" t="n"/>
      <c r="W203" s="2" t="n"/>
      <c r="X203" s="2" t="n"/>
      <c r="Y203" s="2" t="n"/>
      <c r="Z203" s="2" t="inlineStr">
        <is>
          <t>sí</t>
        </is>
      </c>
      <c r="AA203" s="2" t="n"/>
      <c r="AB203" s="2" t="n">
        <v>12</v>
      </c>
      <c r="AC203" s="2" t="n"/>
      <c r="AD203" s="2" t="n"/>
      <c r="AE203" s="2" t="n"/>
      <c r="AF203" s="2" t="n"/>
      <c r="AG203" s="2" t="n"/>
      <c r="AH203" s="2" t="n">
        <v>3990</v>
      </c>
      <c r="AI203" s="2" t="n"/>
      <c r="AJ203" s="2" t="n"/>
      <c r="AK203" s="2" t="n"/>
      <c r="AL203" s="2" t="n"/>
      <c r="AM203" s="2" t="n">
        <v>35.4</v>
      </c>
      <c r="AN203" s="2" t="n"/>
      <c r="AO203" s="2" t="inlineStr">
        <is>
          <t>2007</t>
        </is>
      </c>
      <c r="AP203" s="2" t="n">
        <v>2007</v>
      </c>
      <c r="AQ203" s="2" t="n"/>
      <c r="AR203" s="2" t="inlineStr">
        <is>
          <t>C</t>
        </is>
      </c>
      <c r="AS203" s="2" t="inlineStr">
        <is>
          <t>anuncio</t>
        </is>
      </c>
      <c r="AT203" s="2" t="n">
        <v>3795</v>
      </c>
      <c r="AU203" s="2" t="n">
        <v>4</v>
      </c>
      <c r="AV203" s="2" t="inlineStr">
        <is>
          <t>modelo+año</t>
        </is>
      </c>
      <c r="AW203" s="2" t="n"/>
      <c r="AX203" s="2" t="inlineStr">
        <is>
          <t>vendedor profesional: sin ITP (operación con IVA/REBU, confirmar en factura); gastos de gestión del vendedor no indicados: se suma la tasa DGT; preguntar el precio final</t>
        </is>
      </c>
      <c r="AY203" s="2" t="inlineStr">
        <is>
          <t>?VEHÍCULO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AZ203" s="2" t="inlineStr">
        <is>
          <t>https://www.coches.net/toyota-aygo-10-vvti-aygo-5p-gasolina-2007-en-valencia-71488801-covo.aspx (window.__INITIAL_PROPS__.ad) /home/user/Alopecia/buscador-coches/raw/cochesnet/1fa07c8c6013eed7.json</t>
        </is>
      </c>
      <c r="BA203" s="3">
        <f>MAX(ANIO_ACTUAL-M203,0)</f>
        <v/>
      </c>
      <c r="BB203" s="4">
        <f>N203/MAX(BA203,0.5)</f>
        <v/>
      </c>
      <c r="BC203" s="4">
        <f>F203</f>
        <v/>
      </c>
      <c r="BD203" s="3">
        <f>BC203&amp;"|"&amp;INT(M203/SEG_ANIO)*SEG_ANIO</f>
        <v/>
      </c>
      <c r="BE203" s="3">
        <f>BD203&amp;"|"&amp;INT(N203/SEG_KM)*SEG_KM</f>
        <v/>
      </c>
      <c r="BF203" s="4">
        <f>COUNTIF($BC$2:$BC$545,BC203)</f>
        <v/>
      </c>
      <c r="BG203" s="4">
        <f>COUNTIF($BD$2:$BD$545,BD203)</f>
        <v/>
      </c>
      <c r="BH203" s="4">
        <f>COUNTIF($BE$2:$BE$545,BE203)</f>
        <v/>
      </c>
      <c r="BI203" s="3">
        <f t="array" ref="BI203">IF(N(AU203)&gt;=MIN_N,AT203,IF(BH203&gt;=MIN_N,MEDIAN(IF($BE$2:$BE$545=BE203,$O$2:$O$545)),IF(BG203&gt;=MIN_N,MEDIAN(IF($BD$2:$BD$545=BD203,$O$2:$O$545)),MEDIAN(IF($BC$2:$BC$545=BC203,$O$2:$O$545)))))</f>
        <v/>
      </c>
      <c r="BJ203" s="3">
        <f>IF(N(AU203)&gt;=MIN_N,"mercado "&amp;AV203,IF(BH203&gt;=MIN_N,"modelo+año+km",IF(BG203&gt;=MIN_N,"modelo+año","modelo")))</f>
        <v/>
      </c>
      <c r="BK203" s="4">
        <f>(BI203-O203)/BI203</f>
        <v/>
      </c>
      <c r="BL203" s="3">
        <f>IF(COUNTIFS(FR_FUEL,K203,FR_YEAR,AP203)&gt;0,1,0)</f>
        <v/>
      </c>
      <c r="BM203" s="3">
        <f>IF(COUNTIFS(FR_FUEL,K203,FR_YEAR,AP203-1)&gt;0,1,0)</f>
        <v/>
      </c>
      <c r="BN203" s="4">
        <f>IF(N(AQ203)&gt;0,AP203*100+AQ203,IF(AND(BL203=1,BM203=1),(AP203-1)*100+1,AP203*100+1))</f>
        <v/>
      </c>
      <c r="BO203" s="3">
        <f>IF(OR(K203="hibrido",K203="glp",K203="gnc",K203="phev"),"ECO",IF(K203="electrico","CERO",IF(K203="gasolina",IF(BN203&gt;=GAS_C_YM,"C",IF(BN203&gt;=GAS_B_YM,"B","A")),IF(K203="diesel",IF(BN203&gt;=DIE_C_YM,"C",IF(BN203&gt;=DIE_B_YM,"B","A")),""))))</f>
        <v/>
      </c>
      <c r="BP203" s="2" t="inlineStr">
        <is>
          <t>C</t>
        </is>
      </c>
      <c r="BQ203" s="4">
        <f>IF(AS203="regla",IF(AND(N(AQ203)=0,BL203=1),"sí","no"),"no")</f>
        <v/>
      </c>
      <c r="BR203" s="3">
        <f>IFERROR(VLOOKUP(F203,MOD_TBL,11,0),IFERROR(VLOOKUP(E203,OCU_TBL,2,0),NEUTRO))</f>
        <v/>
      </c>
      <c r="BS203" s="3">
        <f>SUMIFS(MOT_AJUSTE,MOT_MOTOR,G203,MOT_MARCA,E203,MOT_DESDE,"&lt;="&amp;M203,MOT_HASTA,"&gt;="&amp;M203)+SUMIFS(MOT_AJUSTE,MOT_MOTOR,G203,MOT_MARCA,"(todas)",MOT_DESDE,"&lt;="&amp;M203,MOT_HASTA,"&gt;="&amp;M203)</f>
        <v/>
      </c>
      <c r="BT203" s="3">
        <f>SUMIFS(COMB_AJUSTE,COMB_COMB,K203)</f>
        <v/>
      </c>
      <c r="BU203" s="3">
        <f>COUNTIFS(MOT_MOTOR,G203,MOT_MARCA,E203,MOT_DESDE,"&lt;="&amp;M203,MOT_HASTA,"&gt;="&amp;M203)+COUNTIFS(MOT_MOTOR,G203,MOT_MARCA,"(todas)",MOT_DESDE,"&lt;="&amp;M203,MOT_HASTA,"&gt;="&amp;M203)</f>
        <v/>
      </c>
      <c r="BV203" s="3">
        <f>IF(AND(K203="diesel",BU203=0),MIN(BR203,NEUTRO),BR203)</f>
        <v/>
      </c>
      <c r="BW203" s="4">
        <f>MAX(0,MIN(100,BV203+BS203+BT203))</f>
        <v/>
      </c>
      <c r="BX203" s="3">
        <f>MAX(0,MIN(100,50+BK203*PRECIO_PEND))</f>
        <v/>
      </c>
      <c r="BY203" s="3">
        <f>MAX(0,100*(1-N203/KM_MAX))</f>
        <v/>
      </c>
      <c r="BZ203" s="3">
        <f>IF(BB203&lt;KMA_SOSP,IF(AA203="sí",100,KMA_PEN),IF(BB203&lt;=KMA_IDEAL_MAX,100,MAX(0,100*(KMA_CERO-BB203)/(KMA_CERO-KMA_IDEAL_MAX))))</f>
        <v/>
      </c>
      <c r="CA203" s="3">
        <f>MAX(0,MIN(100,100*(M203-ANIO_MIN)/(ANIO_ACTUAL-ANIO_MIN)))</f>
        <v/>
      </c>
      <c r="CB203" s="3">
        <f>W_KMT*BY203+W_KMA*BZ203+W_EDAD*CA203</f>
        <v/>
      </c>
      <c r="CC203" s="3">
        <f>P_ITV*(V203="sí")+P_LIBRO*(W203="sí")+P_CORREA*(X203="sí")+P_PROP*(Y203=1)+P_GAR*(Z203="sí")+P_FOTOS*MIN(1,N(U203)/FOTOS_OBJ)</f>
        <v/>
      </c>
      <c r="CD203" s="3">
        <f>MAX(0,MIN(100,IFERROR(VLOOKUP(BP203,ETQ_TBL,2,0),0)-IF(BQ203="sí",ETQ_PEN_DUD,IF(AS203="regla",ETQ_PEN_REGLA,0))))</f>
        <v/>
      </c>
      <c r="CE203" s="3">
        <f>NEUTRO</f>
        <v/>
      </c>
      <c r="CF203" s="3">
        <f>IFERROR(VLOOKUP(L203,SEGURO_TBL,3,0),"")</f>
        <v/>
      </c>
      <c r="CG203" s="3">
        <f>IF(CF203="",NEUTRO,MAX(0,MIN(100,100*(SEG_REF_MAX-CF203)/(SEG_REF_MAX-SEG_REF_MIN))))</f>
        <v/>
      </c>
      <c r="CH203" s="3">
        <f>W_CONS*CE203+W_SEG*CG203</f>
        <v/>
      </c>
      <c r="CI203" s="3">
        <f>IF(N(AB203)&gt;0,AB203,IF(AND(R203="profesional",SG_LEGAL_ON=1),GAR_LEGAL,0))</f>
        <v/>
      </c>
      <c r="CJ203" s="3">
        <f>SG_GAR*MIN(1,CI203/SG_GAR_FULL)+SG_AMPL*(AC203="sí")+SG_KMC*(AF203="sí")+SG_REV*(N(AE203)&gt;0)+SG_DEV*MIN(1,N(AG203)/SG_DEV_FULL)+SG_HIST*(W203="sí")</f>
        <v/>
      </c>
      <c r="CK203" s="3">
        <f>IFERROR(VLOOKUP(L203,CARR_PEN_TBL,2,0),0)</f>
        <v/>
      </c>
      <c r="CL203" s="3">
        <f>W_FIAB*BW203+W_PRECIO*BX203+W_KMEDAD*CB203+W_ANUNCIO*CC203+W_USO*CH203+W_SEGURIDAD*CJ203+W_ETIQUETA*CD203-CK203</f>
        <v/>
      </c>
      <c r="CM203" s="4">
        <f>IF(N(I203)&gt;0,I203,IFERROR(ROUND(_xlfn.NUMBERVALUE(LEFT(G203,FIND(" ",G203&amp;" ")-1),".")*1000,0),99999))</f>
        <v/>
      </c>
      <c r="CN203" s="3">
        <f>IF(R203="profesional",0,IF(O203&lt;CUOTA_VALOR_MAX,IF(BA203&gt;ITP_TRAMO_ALTO,SUMIFS(CF_CUOTA,CF_MAS,ITP_TRAMO_ALTO,CF_CCMIN,"&lt;="&amp;CM203,CF_CCMAX,"&gt;="&amp;CM203),IF(BA203&gt;ITP_TRAMO_BAJO,SUMIFS(CF_CUOTA,CF_MAS,ITP_TRAMO_BAJO,CF_CCMIN,"&lt;="&amp;CM203,CF_CCMAX,"&gt;="&amp;CM203),O203*ITP_TIPO)),O203*ITP_TIPO))</f>
        <v/>
      </c>
      <c r="CO203" s="4">
        <f>IF(R203="profesional",N(AK203),0)</f>
        <v/>
      </c>
      <c r="CP203" s="3">
        <f>IF(AND(R203="profesional",ISNUMBER(AK203),AL203="sí"),0,TASA_DGT)</f>
        <v/>
      </c>
      <c r="CQ203" s="3">
        <f>INFORME_DGT</f>
        <v/>
      </c>
      <c r="CR203" s="4">
        <f>O203+CO203+CN203+CP203+CQ203</f>
        <v/>
      </c>
      <c r="CS203" s="4">
        <f>CR203+N(CF203)</f>
        <v/>
      </c>
      <c r="CT203" s="3">
        <f>IF(CR203&lt;=TOTAL_MAX,"sí",IF(CR203&lt;=TOTAL_MAX+MARGEN_NEG,"negociar","no"))</f>
        <v/>
      </c>
      <c r="CU203" s="4">
        <f>IF(CT203&lt;&gt;"no",COUNTIFS($CT$2:$CT$545,"&lt;&gt;no",$CL$2:$CL$545,"&gt;"&amp;CL203)+COUNTIFS($CT$2:CT203,"&lt;&gt;no",$CL$2:CL203,CL203),"")</f>
        <v/>
      </c>
    </row>
    <row r="204">
      <c r="A204" s="2" t="inlineStr">
        <is>
          <t>cochesnet:71690212</t>
        </is>
      </c>
      <c r="B204" s="2" t="inlineStr">
        <is>
          <t>cochesnet</t>
        </is>
      </c>
      <c r="C204" s="2" t="inlineStr">
        <is>
          <t>https://www.coches.net/toyota-aygo-gasolina-2006-en-valencia-71690212-covo.aspx</t>
        </is>
      </c>
      <c r="D204" s="2" t="inlineStr">
        <is>
          <t>TOYOTA Aygo</t>
        </is>
      </c>
      <c r="E204" s="2" t="inlineStr">
        <is>
          <t>Toyota</t>
        </is>
      </c>
      <c r="F204" s="2" t="inlineStr">
        <is>
          <t>Toyota Aygo</t>
        </is>
      </c>
      <c r="G204" s="2" t="n"/>
      <c r="H204" s="2" t="n"/>
      <c r="I204" s="2" t="n"/>
      <c r="J204" s="2" t="n"/>
      <c r="K204" s="2" t="inlineStr">
        <is>
          <t>gasolina</t>
        </is>
      </c>
      <c r="L204" s="2" t="inlineStr">
        <is>
          <t>utilitario</t>
        </is>
      </c>
      <c r="M204" s="2" t="n">
        <v>2006</v>
      </c>
      <c r="N204" s="2" t="n">
        <v>10200</v>
      </c>
      <c r="O204" s="2" t="n">
        <v>4600</v>
      </c>
      <c r="P204" s="2" t="inlineStr">
        <is>
          <t>manual</t>
        </is>
      </c>
      <c r="Q204" s="2" t="inlineStr">
        <is>
          <t>no</t>
        </is>
      </c>
      <c r="R204" s="2" t="inlineStr">
        <is>
          <t>particular</t>
        </is>
      </c>
      <c r="S204" s="2" t="n"/>
      <c r="T204" s="2" t="inlineStr">
        <is>
          <t>2026-10-06T18:24:36Z</t>
        </is>
      </c>
      <c r="U204" s="2" t="n">
        <v>4</v>
      </c>
      <c r="V204" s="2" t="n"/>
      <c r="W204" s="2" t="inlineStr">
        <is>
          <t>sí</t>
        </is>
      </c>
      <c r="X204" s="2" t="n"/>
      <c r="Y204" s="2" t="n"/>
      <c r="Z204" s="2" t="inlineStr">
        <is>
          <t>no</t>
        </is>
      </c>
      <c r="AA204" s="2" t="n"/>
      <c r="AB204" s="2" t="n"/>
      <c r="AC204" s="2" t="n"/>
      <c r="AD204" s="2" t="n"/>
      <c r="AE204" s="2" t="n"/>
      <c r="AF204" s="2" t="n"/>
      <c r="AG204" s="2" t="n"/>
      <c r="AH204" s="2" t="n">
        <v>4600</v>
      </c>
      <c r="AI204" s="2" t="n"/>
      <c r="AJ204" s="2" t="n"/>
      <c r="AK204" s="2" t="n"/>
      <c r="AL204" s="2" t="n"/>
      <c r="AM204" s="2" t="n"/>
      <c r="AN204" s="2" t="n"/>
      <c r="AO204" s="2" t="inlineStr">
        <is>
          <t>2006</t>
        </is>
      </c>
      <c r="AP204" s="2" t="n">
        <v>2006</v>
      </c>
      <c r="AQ204" s="2" t="n"/>
      <c r="AR204" s="2" t="n"/>
      <c r="AS204" s="2" t="inlineStr">
        <is>
          <t>regla</t>
        </is>
      </c>
      <c r="AT204" s="2" t="n"/>
      <c r="AU204" s="2" t="n"/>
      <c r="AV204" s="2" t="n"/>
      <c r="AW204" s="2" t="n"/>
      <c r="AX204" s="2" t="inlineStr">
        <is>
          <t>cilindrada desconocida: se aplica el tramo de cuota fija más alto; cuota fija ITP: &gt;12 años, más de 2.000 cc; distancia no verificable (el anuncio solo indica la provincia): confirmar que está a &lt;= 70 km</t>
        </is>
      </c>
      <c r="AY204" s="2" t="inlineStr">
        <is>
          <t xml:space="preserve">?coche perfecto para ciudad,cómodo y manejable 
??algún desperfecto de chapa 
?todos los mantenimiento al día 
??no se le pasa ITV porque el dueño se ha comprado otro coche ,?pero se acepta prueba mecánica 
?mejor ver y probar
?embrague nuevo se puede ver en las fotos hace un mes para venderlo </t>
        </is>
      </c>
      <c r="AZ204" s="2" t="inlineStr">
        <is>
          <t>https://www.coches.net/toyota-aygo-gasolina-2006-en-valencia-71690212-covo.aspx (window.__INITIAL_PROPS__.ad) /home/user/Alopecia/buscador-coches/raw/cochesnet/502dda6fc901329b.json</t>
        </is>
      </c>
      <c r="BA204" s="3">
        <f>MAX(ANIO_ACTUAL-M204,0)</f>
        <v/>
      </c>
      <c r="BB204" s="4">
        <f>N204/MAX(BA204,0.5)</f>
        <v/>
      </c>
      <c r="BC204" s="4">
        <f>F204</f>
        <v/>
      </c>
      <c r="BD204" s="3">
        <f>BC204&amp;"|"&amp;INT(M204/SEG_ANIO)*SEG_ANIO</f>
        <v/>
      </c>
      <c r="BE204" s="3">
        <f>BD204&amp;"|"&amp;INT(N204/SEG_KM)*SEG_KM</f>
        <v/>
      </c>
      <c r="BF204" s="4">
        <f>COUNTIF($BC$2:$BC$545,BC204)</f>
        <v/>
      </c>
      <c r="BG204" s="4">
        <f>COUNTIF($BD$2:$BD$545,BD204)</f>
        <v/>
      </c>
      <c r="BH204" s="4">
        <f>COUNTIF($BE$2:$BE$545,BE204)</f>
        <v/>
      </c>
      <c r="BI204" s="3">
        <f t="array" ref="BI204">IF(N(AU204)&gt;=MIN_N,AT204,IF(BH204&gt;=MIN_N,MEDIAN(IF($BE$2:$BE$545=BE204,$O$2:$O$545)),IF(BG204&gt;=MIN_N,MEDIAN(IF($BD$2:$BD$545=BD204,$O$2:$O$545)),MEDIAN(IF($BC$2:$BC$545=BC204,$O$2:$O$545)))))</f>
        <v/>
      </c>
      <c r="BJ204" s="3">
        <f>IF(N(AU204)&gt;=MIN_N,"mercado "&amp;AV204,IF(BH204&gt;=MIN_N,"modelo+año+km",IF(BG204&gt;=MIN_N,"modelo+año","modelo")))</f>
        <v/>
      </c>
      <c r="BK204" s="4">
        <f>(BI204-O204)/BI204</f>
        <v/>
      </c>
      <c r="BL204" s="3">
        <f>IF(COUNTIFS(FR_FUEL,K204,FR_YEAR,AP204)&gt;0,1,0)</f>
        <v/>
      </c>
      <c r="BM204" s="3">
        <f>IF(COUNTIFS(FR_FUEL,K204,FR_YEAR,AP204-1)&gt;0,1,0)</f>
        <v/>
      </c>
      <c r="BN204" s="4">
        <f>IF(N(AQ204)&gt;0,AP204*100+AQ204,IF(AND(BL204=1,BM204=1),(AP204-1)*100+1,AP204*100+1))</f>
        <v/>
      </c>
      <c r="BO204" s="3">
        <f>IF(OR(K204="hibrido",K204="glp",K204="gnc",K204="phev"),"ECO",IF(K204="electrico","CERO",IF(K204="gasolina",IF(BN204&gt;=GAS_C_YM,"C",IF(BN204&gt;=GAS_B_YM,"B","A")),IF(K204="diesel",IF(BN204&gt;=DIE_C_YM,"C",IF(BN204&gt;=DIE_B_YM,"B","A")),""))))</f>
        <v/>
      </c>
      <c r="BP204" s="4">
        <f>BO204</f>
        <v/>
      </c>
      <c r="BQ204" s="4">
        <f>IF(AS204="regla",IF(AND(N(AQ204)=0,BL204=1),"sí","no"),"no")</f>
        <v/>
      </c>
      <c r="BR204" s="3">
        <f>IFERROR(VLOOKUP(F204,MOD_TBL,11,0),IFERROR(VLOOKUP(E204,OCU_TBL,2,0),NEUTRO))</f>
        <v/>
      </c>
      <c r="BS204" s="3">
        <f>SUMIFS(MOT_AJUSTE,MOT_MOTOR,G204,MOT_MARCA,E204,MOT_DESDE,"&lt;="&amp;M204,MOT_HASTA,"&gt;="&amp;M204)+SUMIFS(MOT_AJUSTE,MOT_MOTOR,G204,MOT_MARCA,"(todas)",MOT_DESDE,"&lt;="&amp;M204,MOT_HASTA,"&gt;="&amp;M204)</f>
        <v/>
      </c>
      <c r="BT204" s="3">
        <f>SUMIFS(COMB_AJUSTE,COMB_COMB,K204)</f>
        <v/>
      </c>
      <c r="BU204" s="3">
        <f>COUNTIFS(MOT_MOTOR,G204,MOT_MARCA,E204,MOT_DESDE,"&lt;="&amp;M204,MOT_HASTA,"&gt;="&amp;M204)+COUNTIFS(MOT_MOTOR,G204,MOT_MARCA,"(todas)",MOT_DESDE,"&lt;="&amp;M204,MOT_HASTA,"&gt;="&amp;M204)</f>
        <v/>
      </c>
      <c r="BV204" s="3">
        <f>IF(AND(K204="diesel",BU204=0),MIN(BR204,NEUTRO),BR204)</f>
        <v/>
      </c>
      <c r="BW204" s="4">
        <f>MAX(0,MIN(100,BV204+BS204+BT204))</f>
        <v/>
      </c>
      <c r="BX204" s="3">
        <f>MAX(0,MIN(100,50+BK204*PRECIO_PEND))</f>
        <v/>
      </c>
      <c r="BY204" s="3">
        <f>MAX(0,100*(1-N204/KM_MAX))</f>
        <v/>
      </c>
      <c r="BZ204" s="3">
        <f>IF(BB204&lt;KMA_SOSP,IF(AA204="sí",100,KMA_PEN),IF(BB204&lt;=KMA_IDEAL_MAX,100,MAX(0,100*(KMA_CERO-BB204)/(KMA_CERO-KMA_IDEAL_MAX))))</f>
        <v/>
      </c>
      <c r="CA204" s="3">
        <f>MAX(0,MIN(100,100*(M204-ANIO_MIN)/(ANIO_ACTUAL-ANIO_MIN)))</f>
        <v/>
      </c>
      <c r="CB204" s="3">
        <f>W_KMT*BY204+W_KMA*BZ204+W_EDAD*CA204</f>
        <v/>
      </c>
      <c r="CC204" s="3">
        <f>P_ITV*(V204="sí")+P_LIBRO*(W204="sí")+P_CORREA*(X204="sí")+P_PROP*(Y204=1)+P_GAR*(Z204="sí")+P_FOTOS*MIN(1,N(U204)/FOTOS_OBJ)</f>
        <v/>
      </c>
      <c r="CD204" s="3">
        <f>MAX(0,MIN(100,IFERROR(VLOOKUP(BP204,ETQ_TBL,2,0),0)-IF(BQ204="sí",ETQ_PEN_DUD,IF(AS204="regla",ETQ_PEN_REGLA,0))))</f>
        <v/>
      </c>
      <c r="CE204" s="3">
        <f>NEUTRO</f>
        <v/>
      </c>
      <c r="CF204" s="3">
        <f>IFERROR(VLOOKUP(L204,SEGURO_TBL,3,0),"")</f>
        <v/>
      </c>
      <c r="CG204" s="3">
        <f>IF(CF204="",NEUTRO,MAX(0,MIN(100,100*(SEG_REF_MAX-CF204)/(SEG_REF_MAX-SEG_REF_MIN))))</f>
        <v/>
      </c>
      <c r="CH204" s="3">
        <f>W_CONS*CE204+W_SEG*CG204</f>
        <v/>
      </c>
      <c r="CI204" s="3">
        <f>IF(N(AB204)&gt;0,AB204,IF(AND(R204="profesional",SG_LEGAL_ON=1),GAR_LEGAL,0))</f>
        <v/>
      </c>
      <c r="CJ204" s="3">
        <f>SG_GAR*MIN(1,CI204/SG_GAR_FULL)+SG_AMPL*(AC204="sí")+SG_KMC*(AF204="sí")+SG_REV*(N(AE204)&gt;0)+SG_DEV*MIN(1,N(AG204)/SG_DEV_FULL)+SG_HIST*(W204="sí")</f>
        <v/>
      </c>
      <c r="CK204" s="3">
        <f>IFERROR(VLOOKUP(L204,CARR_PEN_TBL,2,0),0)</f>
        <v/>
      </c>
      <c r="CL204" s="3">
        <f>W_FIAB*BW204+W_PRECIO*BX204+W_KMEDAD*CB204+W_ANUNCIO*CC204+W_USO*CH204+W_SEGURIDAD*CJ204+W_ETIQUETA*CD204-CK204</f>
        <v/>
      </c>
      <c r="CM204" s="4">
        <f>IF(N(I204)&gt;0,I204,IFERROR(ROUND(_xlfn.NUMBERVALUE(LEFT(G204,FIND(" ",G204&amp;" ")-1),".")*1000,0),99999))</f>
        <v/>
      </c>
      <c r="CN204" s="3">
        <f>IF(R204="profesional",0,IF(O204&lt;CUOTA_VALOR_MAX,IF(BA204&gt;ITP_TRAMO_ALTO,SUMIFS(CF_CUOTA,CF_MAS,ITP_TRAMO_ALTO,CF_CCMIN,"&lt;="&amp;CM204,CF_CCMAX,"&gt;="&amp;CM204),IF(BA204&gt;ITP_TRAMO_BAJO,SUMIFS(CF_CUOTA,CF_MAS,ITP_TRAMO_BAJO,CF_CCMIN,"&lt;="&amp;CM204,CF_CCMAX,"&gt;="&amp;CM204),O204*ITP_TIPO)),O204*ITP_TIPO))</f>
        <v/>
      </c>
      <c r="CO204" s="4">
        <f>IF(R204="profesional",N(AK204),0)</f>
        <v/>
      </c>
      <c r="CP204" s="3">
        <f>IF(AND(R204="profesional",ISNUMBER(AK204),AL204="sí"),0,TASA_DGT)</f>
        <v/>
      </c>
      <c r="CQ204" s="3">
        <f>INFORME_DGT</f>
        <v/>
      </c>
      <c r="CR204" s="4">
        <f>O204+CO204+CN204+CP204+CQ204</f>
        <v/>
      </c>
      <c r="CS204" s="4">
        <f>CR204+N(CF204)</f>
        <v/>
      </c>
      <c r="CT204" s="3">
        <f>IF(CR204&lt;=TOTAL_MAX,"sí",IF(CR204&lt;=TOTAL_MAX+MARGEN_NEG,"negociar","no"))</f>
        <v/>
      </c>
      <c r="CU204" s="4">
        <f>IF(CT204&lt;&gt;"no",COUNTIFS($CT$2:$CT$545,"&lt;&gt;no",$CL$2:$CL$545,"&gt;"&amp;CL204)+COUNTIFS($CT$2:CT204,"&lt;&gt;no",$CL$2:CL204,CL204),"")</f>
        <v/>
      </c>
    </row>
    <row r="205">
      <c r="A205" s="2" t="inlineStr">
        <is>
          <t>cochesnet:71838975</t>
        </is>
      </c>
      <c r="B205" s="2" t="inlineStr">
        <is>
          <t>cochesnet</t>
        </is>
      </c>
      <c r="C205" s="2" t="inlineStr">
        <is>
          <t>https://www.coches.net/toyota-avensis-20-d4d-sol-wagon-5p-diesel-2011-en-valencia-71838975-covo.aspx</t>
        </is>
      </c>
      <c r="D205" s="2" t="inlineStr">
        <is>
          <t>TOYOTA Avensis 2.0 D4D Sol Wagon</t>
        </is>
      </c>
      <c r="E205" s="2" t="inlineStr">
        <is>
          <t>Toyota</t>
        </is>
      </c>
      <c r="F205" s="2" t="inlineStr">
        <is>
          <t>Toyota Avensis</t>
        </is>
      </c>
      <c r="G205" s="2" t="inlineStr">
        <is>
          <t>2.0 D-4D</t>
        </is>
      </c>
      <c r="H205" s="2" t="inlineStr">
        <is>
          <t>2.0 D4D Sol Wagon</t>
        </is>
      </c>
      <c r="I205" s="2" t="n"/>
      <c r="J205" s="2" t="n"/>
      <c r="K205" s="2" t="inlineStr">
        <is>
          <t>diesel</t>
        </is>
      </c>
      <c r="L205" s="2" t="inlineStr">
        <is>
          <t>berlina</t>
        </is>
      </c>
      <c r="M205" s="2" t="n">
        <v>2011</v>
      </c>
      <c r="N205" s="2" t="n">
        <v>191000</v>
      </c>
      <c r="O205" s="2" t="n">
        <v>4800</v>
      </c>
      <c r="P205" s="2" t="inlineStr">
        <is>
          <t>manual</t>
        </is>
      </c>
      <c r="Q205" s="2" t="inlineStr">
        <is>
          <t>no</t>
        </is>
      </c>
      <c r="R205" s="2" t="inlineStr">
        <is>
          <t>particular</t>
        </is>
      </c>
      <c r="S205" s="2" t="n"/>
      <c r="T205" s="2" t="inlineStr">
        <is>
          <t>2026-10-26T18:13:14Z</t>
        </is>
      </c>
      <c r="U205" s="2" t="n">
        <v>7</v>
      </c>
      <c r="V205" s="2" t="inlineStr">
        <is>
          <t>sí</t>
        </is>
      </c>
      <c r="W205" s="2" t="n"/>
      <c r="X205" s="2" t="n"/>
      <c r="Y205" s="2" t="n"/>
      <c r="Z205" s="2" t="inlineStr">
        <is>
          <t>no</t>
        </is>
      </c>
      <c r="AA205" s="2" t="n"/>
      <c r="AB205" s="2" t="n"/>
      <c r="AC205" s="2" t="n"/>
      <c r="AD205" s="2" t="n"/>
      <c r="AE205" s="2" t="n"/>
      <c r="AF205" s="2" t="n"/>
      <c r="AG205" s="2" t="n"/>
      <c r="AH205" s="2" t="n">
        <v>4800</v>
      </c>
      <c r="AI205" s="2" t="n"/>
      <c r="AJ205" s="2" t="n"/>
      <c r="AK205" s="2" t="n"/>
      <c r="AL205" s="2" t="n"/>
      <c r="AM205" s="2" t="n"/>
      <c r="AN205" s="2" t="n"/>
      <c r="AO205" s="2" t="inlineStr">
        <is>
          <t>2011</t>
        </is>
      </c>
      <c r="AP205" s="2" t="n">
        <v>2011</v>
      </c>
      <c r="AQ205" s="2" t="n"/>
      <c r="AR205" s="2" t="n"/>
      <c r="AS205" s="2" t="inlineStr">
        <is>
          <t>regla</t>
        </is>
      </c>
      <c r="AT205" s="2" t="n">
        <v>5200</v>
      </c>
      <c r="AU205" s="2" t="n">
        <v>5</v>
      </c>
      <c r="AV205" s="2" t="inlineStr">
        <is>
          <t>modelo+año</t>
        </is>
      </c>
      <c r="AW205" s="2" t="n"/>
      <c r="AX205" s="2" t="inlineStr">
        <is>
          <t>cuota fija ITP: &gt;12 años, 1.501-2.000 cc; diésel: motor sin fuente de fiabilidad (fiabilidad limitada a neutra); carrocería berlina: -4 puntos; distancia no verificable (el anuncio solo indica la provincia): confirmar que está a &lt;= 70 km</t>
        </is>
      </c>
      <c r="AY205" s="2" t="inlineStr">
        <is>
          <t>coche en perfecto estado, itv recién pasada , clima bizona,cámara trasera, navegador,  luz automática, ect.
solo venta nada de cambios.</t>
        </is>
      </c>
      <c r="AZ205" s="2" t="inlineStr">
        <is>
          <t>https://www.coches.net/toyota-avensis-20-d4d-sol-wagon-5p-diesel-2011-en-valencia-71838975-covo.aspx (window.__INITIAL_PROPS__.ad) /home/user/Alopecia/buscador-coches/raw/cochesnet/890b0c6f41ca23e4.json</t>
        </is>
      </c>
      <c r="BA205" s="3">
        <f>MAX(ANIO_ACTUAL-M205,0)</f>
        <v/>
      </c>
      <c r="BB205" s="4">
        <f>N205/MAX(BA205,0.5)</f>
        <v/>
      </c>
      <c r="BC205" s="4">
        <f>F205</f>
        <v/>
      </c>
      <c r="BD205" s="3">
        <f>BC205&amp;"|"&amp;INT(M205/SEG_ANIO)*SEG_ANIO</f>
        <v/>
      </c>
      <c r="BE205" s="3">
        <f>BD205&amp;"|"&amp;INT(N205/SEG_KM)*SEG_KM</f>
        <v/>
      </c>
      <c r="BF205" s="4">
        <f>COUNTIF($BC$2:$BC$545,BC205)</f>
        <v/>
      </c>
      <c r="BG205" s="4">
        <f>COUNTIF($BD$2:$BD$545,BD205)</f>
        <v/>
      </c>
      <c r="BH205" s="4">
        <f>COUNTIF($BE$2:$BE$545,BE205)</f>
        <v/>
      </c>
      <c r="BI205" s="3">
        <f t="array" ref="BI205">IF(N(AU205)&gt;=MIN_N,AT205,IF(BH205&gt;=MIN_N,MEDIAN(IF($BE$2:$BE$545=BE205,$O$2:$O$545)),IF(BG205&gt;=MIN_N,MEDIAN(IF($BD$2:$BD$545=BD205,$O$2:$O$545)),MEDIAN(IF($BC$2:$BC$545=BC205,$O$2:$O$545)))))</f>
        <v/>
      </c>
      <c r="BJ205" s="3">
        <f>IF(N(AU205)&gt;=MIN_N,"mercado "&amp;AV205,IF(BH205&gt;=MIN_N,"modelo+año+km",IF(BG205&gt;=MIN_N,"modelo+año","modelo")))</f>
        <v/>
      </c>
      <c r="BK205" s="4">
        <f>(BI205-O205)/BI205</f>
        <v/>
      </c>
      <c r="BL205" s="3">
        <f>IF(COUNTIFS(FR_FUEL,K205,FR_YEAR,AP205)&gt;0,1,0)</f>
        <v/>
      </c>
      <c r="BM205" s="3">
        <f>IF(COUNTIFS(FR_FUEL,K205,FR_YEAR,AP205-1)&gt;0,1,0)</f>
        <v/>
      </c>
      <c r="BN205" s="4">
        <f>IF(N(AQ205)&gt;0,AP205*100+AQ205,IF(AND(BL205=1,BM205=1),(AP205-1)*100+1,AP205*100+1))</f>
        <v/>
      </c>
      <c r="BO205" s="3">
        <f>IF(OR(K205="hibrido",K205="glp",K205="gnc",K205="phev"),"ECO",IF(K205="electrico","CERO",IF(K205="gasolina",IF(BN205&gt;=GAS_C_YM,"C",IF(BN205&gt;=GAS_B_YM,"B","A")),IF(K205="diesel",IF(BN205&gt;=DIE_C_YM,"C",IF(BN205&gt;=DIE_B_YM,"B","A")),""))))</f>
        <v/>
      </c>
      <c r="BP205" s="4">
        <f>BO205</f>
        <v/>
      </c>
      <c r="BQ205" s="4">
        <f>IF(AS205="regla",IF(AND(N(AQ205)=0,BL205=1),"sí","no"),"no")</f>
        <v/>
      </c>
      <c r="BR205" s="3">
        <f>IFERROR(VLOOKUP(F205,MOD_TBL,11,0),IFERROR(VLOOKUP(E205,OCU_TBL,2,0),NEUTRO))</f>
        <v/>
      </c>
      <c r="BS205" s="3">
        <f>SUMIFS(MOT_AJUSTE,MOT_MOTOR,G205,MOT_MARCA,E205,MOT_DESDE,"&lt;="&amp;M205,MOT_HASTA,"&gt;="&amp;M205)+SUMIFS(MOT_AJUSTE,MOT_MOTOR,G205,MOT_MARCA,"(todas)",MOT_DESDE,"&lt;="&amp;M205,MOT_HASTA,"&gt;="&amp;M205)</f>
        <v/>
      </c>
      <c r="BT205" s="3">
        <f>SUMIFS(COMB_AJUSTE,COMB_COMB,K205)</f>
        <v/>
      </c>
      <c r="BU205" s="3">
        <f>COUNTIFS(MOT_MOTOR,G205,MOT_MARCA,E205,MOT_DESDE,"&lt;="&amp;M205,MOT_HASTA,"&gt;="&amp;M205)+COUNTIFS(MOT_MOTOR,G205,MOT_MARCA,"(todas)",MOT_DESDE,"&lt;="&amp;M205,MOT_HASTA,"&gt;="&amp;M205)</f>
        <v/>
      </c>
      <c r="BV205" s="3">
        <f>IF(AND(K205="diesel",BU205=0),MIN(BR205,NEUTRO),BR205)</f>
        <v/>
      </c>
      <c r="BW205" s="4">
        <f>MAX(0,MIN(100,BV205+BS205+BT205))</f>
        <v/>
      </c>
      <c r="BX205" s="3">
        <f>MAX(0,MIN(100,50+BK205*PRECIO_PEND))</f>
        <v/>
      </c>
      <c r="BY205" s="3">
        <f>MAX(0,100*(1-N205/KM_MAX))</f>
        <v/>
      </c>
      <c r="BZ205" s="3">
        <f>IF(BB205&lt;KMA_SOSP,IF(AA205="sí",100,KMA_PEN),IF(BB205&lt;=KMA_IDEAL_MAX,100,MAX(0,100*(KMA_CERO-BB205)/(KMA_CERO-KMA_IDEAL_MAX))))</f>
        <v/>
      </c>
      <c r="CA205" s="3">
        <f>MAX(0,MIN(100,100*(M205-ANIO_MIN)/(ANIO_ACTUAL-ANIO_MIN)))</f>
        <v/>
      </c>
      <c r="CB205" s="3">
        <f>W_KMT*BY205+W_KMA*BZ205+W_EDAD*CA205</f>
        <v/>
      </c>
      <c r="CC205" s="3">
        <f>P_ITV*(V205="sí")+P_LIBRO*(W205="sí")+P_CORREA*(X205="sí")+P_PROP*(Y205=1)+P_GAR*(Z205="sí")+P_FOTOS*MIN(1,N(U205)/FOTOS_OBJ)</f>
        <v/>
      </c>
      <c r="CD205" s="3">
        <f>MAX(0,MIN(100,IFERROR(VLOOKUP(BP205,ETQ_TBL,2,0),0)-IF(BQ205="sí",ETQ_PEN_DUD,IF(AS205="regla",ETQ_PEN_REGLA,0))))</f>
        <v/>
      </c>
      <c r="CE205" s="3">
        <f>NEUTRO</f>
        <v/>
      </c>
      <c r="CF205" s="3">
        <f>IFERROR(VLOOKUP(L205,SEGURO_TBL,3,0),"")</f>
        <v/>
      </c>
      <c r="CG205" s="3">
        <f>IF(CF205="",NEUTRO,MAX(0,MIN(100,100*(SEG_REF_MAX-CF205)/(SEG_REF_MAX-SEG_REF_MIN))))</f>
        <v/>
      </c>
      <c r="CH205" s="3">
        <f>W_CONS*CE205+W_SEG*CG205</f>
        <v/>
      </c>
      <c r="CI205" s="3">
        <f>IF(N(AB205)&gt;0,AB205,IF(AND(R205="profesional",SG_LEGAL_ON=1),GAR_LEGAL,0))</f>
        <v/>
      </c>
      <c r="CJ205" s="3">
        <f>SG_GAR*MIN(1,CI205/SG_GAR_FULL)+SG_AMPL*(AC205="sí")+SG_KMC*(AF205="sí")+SG_REV*(N(AE205)&gt;0)+SG_DEV*MIN(1,N(AG205)/SG_DEV_FULL)+SG_HIST*(W205="sí")</f>
        <v/>
      </c>
      <c r="CK205" s="3">
        <f>IFERROR(VLOOKUP(L205,CARR_PEN_TBL,2,0),0)</f>
        <v/>
      </c>
      <c r="CL205" s="3">
        <f>W_FIAB*BW205+W_PRECIO*BX205+W_KMEDAD*CB205+W_ANUNCIO*CC205+W_USO*CH205+W_SEGURIDAD*CJ205+W_ETIQUETA*CD205-CK205</f>
        <v/>
      </c>
      <c r="CM205" s="4">
        <f>IF(N(I205)&gt;0,I205,IFERROR(ROUND(_xlfn.NUMBERVALUE(LEFT(G205,FIND(" ",G205&amp;" ")-1),".")*1000,0),99999))</f>
        <v/>
      </c>
      <c r="CN205" s="3">
        <f>IF(R205="profesional",0,IF(O205&lt;CUOTA_VALOR_MAX,IF(BA205&gt;ITP_TRAMO_ALTO,SUMIFS(CF_CUOTA,CF_MAS,ITP_TRAMO_ALTO,CF_CCMIN,"&lt;="&amp;CM205,CF_CCMAX,"&gt;="&amp;CM205),IF(BA205&gt;ITP_TRAMO_BAJO,SUMIFS(CF_CUOTA,CF_MAS,ITP_TRAMO_BAJO,CF_CCMIN,"&lt;="&amp;CM205,CF_CCMAX,"&gt;="&amp;CM205),O205*ITP_TIPO)),O205*ITP_TIPO))</f>
        <v/>
      </c>
      <c r="CO205" s="4">
        <f>IF(R205="profesional",N(AK205),0)</f>
        <v/>
      </c>
      <c r="CP205" s="3">
        <f>IF(AND(R205="profesional",ISNUMBER(AK205),AL205="sí"),0,TASA_DGT)</f>
        <v/>
      </c>
      <c r="CQ205" s="3">
        <f>INFORME_DGT</f>
        <v/>
      </c>
      <c r="CR205" s="4">
        <f>O205+CO205+CN205+CP205+CQ205</f>
        <v/>
      </c>
      <c r="CS205" s="4">
        <f>CR205+N(CF205)</f>
        <v/>
      </c>
      <c r="CT205" s="3">
        <f>IF(CR205&lt;=TOTAL_MAX,"sí",IF(CR205&lt;=TOTAL_MAX+MARGEN_NEG,"negociar","no"))</f>
        <v/>
      </c>
      <c r="CU205" s="4">
        <f>IF(CT205&lt;&gt;"no",COUNTIFS($CT$2:$CT$545,"&lt;&gt;no",$CL$2:$CL$545,"&gt;"&amp;CL205)+COUNTIFS($CT$2:CT205,"&lt;&gt;no",$CL$2:CL205,CL205),"")</f>
        <v/>
      </c>
    </row>
    <row r="206">
      <c r="A206" s="2" t="inlineStr">
        <is>
          <t>cochesnet:70377758</t>
        </is>
      </c>
      <c r="B206" s="2" t="inlineStr">
        <is>
          <t>cochesnet</t>
        </is>
      </c>
      <c r="C206" s="2" t="inlineStr">
        <is>
          <t>https://www.coches.net/toyota-avensis-22-d4d-executive-5p-diesel-2008-en-valencia-70377758-covo.aspx</t>
        </is>
      </c>
      <c r="D206" s="2" t="inlineStr">
        <is>
          <t>TOYOTA Avensis 2.2 D4D Executive</t>
        </is>
      </c>
      <c r="E206" s="2" t="inlineStr">
        <is>
          <t>Toyota</t>
        </is>
      </c>
      <c r="F206" s="2" t="inlineStr">
        <is>
          <t>Toyota Avensis</t>
        </is>
      </c>
      <c r="G206" s="2" t="inlineStr">
        <is>
          <t>2.2 D-4D</t>
        </is>
      </c>
      <c r="H206" s="2" t="inlineStr">
        <is>
          <t>2.2 D4D Executive</t>
        </is>
      </c>
      <c r="I206" s="2" t="n"/>
      <c r="J206" s="2" t="n"/>
      <c r="K206" s="2" t="inlineStr">
        <is>
          <t>diesel</t>
        </is>
      </c>
      <c r="L206" s="2" t="inlineStr">
        <is>
          <t>berlina</t>
        </is>
      </c>
      <c r="M206" s="2" t="n">
        <v>2008</v>
      </c>
      <c r="N206" s="2" t="n">
        <v>193000</v>
      </c>
      <c r="O206" s="2" t="n">
        <v>4399</v>
      </c>
      <c r="P206" s="2" t="inlineStr">
        <is>
          <t>manual</t>
        </is>
      </c>
      <c r="Q206" s="2" t="inlineStr">
        <is>
          <t>no</t>
        </is>
      </c>
      <c r="R206" s="2" t="inlineStr">
        <is>
          <t>particular</t>
        </is>
      </c>
      <c r="S206" s="2" t="inlineStr">
        <is>
          <t>Valencia</t>
        </is>
      </c>
      <c r="T206" s="2" t="inlineStr">
        <is>
          <t>2026-10-04T10:48:55Z</t>
        </is>
      </c>
      <c r="U206" s="2" t="n">
        <v>16</v>
      </c>
      <c r="V206" s="2" t="n"/>
      <c r="W206" s="2" t="n"/>
      <c r="X206" s="2" t="n"/>
      <c r="Y206" s="2" t="n">
        <v>2</v>
      </c>
      <c r="Z206" s="2" t="inlineStr">
        <is>
          <t>no</t>
        </is>
      </c>
      <c r="AA206" s="2" t="n"/>
      <c r="AB206" s="2" t="n"/>
      <c r="AC206" s="2" t="n"/>
      <c r="AD206" s="2" t="n"/>
      <c r="AE206" s="2" t="n"/>
      <c r="AF206" s="2" t="n"/>
      <c r="AG206" s="2" t="n"/>
      <c r="AH206" s="2" t="n">
        <v>4399</v>
      </c>
      <c r="AI206" s="2" t="n"/>
      <c r="AJ206" s="2" t="n"/>
      <c r="AK206" s="2" t="n"/>
      <c r="AL206" s="2" t="n"/>
      <c r="AM206" s="2" t="n">
        <v>0.1</v>
      </c>
      <c r="AN206" s="2" t="n"/>
      <c r="AO206" s="2" t="inlineStr">
        <is>
          <t>07/2008</t>
        </is>
      </c>
      <c r="AP206" s="2" t="n">
        <v>2008</v>
      </c>
      <c r="AQ206" s="2" t="n">
        <v>7</v>
      </c>
      <c r="AR206" s="2" t="n"/>
      <c r="AS206" s="2" t="inlineStr">
        <is>
          <t>regla</t>
        </is>
      </c>
      <c r="AT206" s="2" t="n">
        <v>4399</v>
      </c>
      <c r="AU206" s="2" t="n">
        <v>7</v>
      </c>
      <c r="AV206" s="2" t="inlineStr">
        <is>
          <t>modelo+año</t>
        </is>
      </c>
      <c r="AW206" s="2" t="n"/>
      <c r="AX206" s="2" t="inlineStr">
        <is>
          <t>cuota fija ITP: &gt;12 años, más de 2.000 cc; diésel: motor sin fuente de fiabilidad (fiabilidad limitada a neutra); carrocería berlina: -4 puntos</t>
        </is>
      </c>
      <c r="AY206" s="2" t="inlineStr">
        <is>
          <t>Buen estado, 2 propietarios siempre en la misma familia. Se vende por no usar, chequeable en km de ITVs. Buen estado, se enseña sin compromiso y se puede chequear estado.</t>
        </is>
      </c>
      <c r="AZ206" s="2" t="inlineStr">
        <is>
          <t>https://www.coches.net/toyota-avensis-22-d4d-executive-5p-diesel-2008-en-valencia-70377758-covo.aspx (window.__INITIAL_PROPS__.ad) /home/user/Alopecia/buscador-coches/raw/cochesnet/b5dfbfb5efdd36b1.json</t>
        </is>
      </c>
      <c r="BA206" s="3">
        <f>MAX(ANIO_ACTUAL-M206,0)</f>
        <v/>
      </c>
      <c r="BB206" s="4">
        <f>N206/MAX(BA206,0.5)</f>
        <v/>
      </c>
      <c r="BC206" s="4">
        <f>F206</f>
        <v/>
      </c>
      <c r="BD206" s="3">
        <f>BC206&amp;"|"&amp;INT(M206/SEG_ANIO)*SEG_ANIO</f>
        <v/>
      </c>
      <c r="BE206" s="3">
        <f>BD206&amp;"|"&amp;INT(N206/SEG_KM)*SEG_KM</f>
        <v/>
      </c>
      <c r="BF206" s="4">
        <f>COUNTIF($BC$2:$BC$545,BC206)</f>
        <v/>
      </c>
      <c r="BG206" s="4">
        <f>COUNTIF($BD$2:$BD$545,BD206)</f>
        <v/>
      </c>
      <c r="BH206" s="4">
        <f>COUNTIF($BE$2:$BE$545,BE206)</f>
        <v/>
      </c>
      <c r="BI206" s="3">
        <f t="array" ref="BI206">IF(N(AU206)&gt;=MIN_N,AT206,IF(BH206&gt;=MIN_N,MEDIAN(IF($BE$2:$BE$545=BE206,$O$2:$O$545)),IF(BG206&gt;=MIN_N,MEDIAN(IF($BD$2:$BD$545=BD206,$O$2:$O$545)),MEDIAN(IF($BC$2:$BC$545=BC206,$O$2:$O$545)))))</f>
        <v/>
      </c>
      <c r="BJ206" s="3">
        <f>IF(N(AU206)&gt;=MIN_N,"mercado "&amp;AV206,IF(BH206&gt;=MIN_N,"modelo+año+km",IF(BG206&gt;=MIN_N,"modelo+año","modelo")))</f>
        <v/>
      </c>
      <c r="BK206" s="4">
        <f>(BI206-O206)/BI206</f>
        <v/>
      </c>
      <c r="BL206" s="3">
        <f>IF(COUNTIFS(FR_FUEL,K206,FR_YEAR,AP206)&gt;0,1,0)</f>
        <v/>
      </c>
      <c r="BM206" s="3">
        <f>IF(COUNTIFS(FR_FUEL,K206,FR_YEAR,AP206-1)&gt;0,1,0)</f>
        <v/>
      </c>
      <c r="BN206" s="4">
        <f>IF(N(AQ206)&gt;0,AP206*100+AQ206,IF(AND(BL206=1,BM206=1),(AP206-1)*100+1,AP206*100+1))</f>
        <v/>
      </c>
      <c r="BO206" s="3">
        <f>IF(OR(K206="hibrido",K206="glp",K206="gnc",K206="phev"),"ECO",IF(K206="electrico","CERO",IF(K206="gasolina",IF(BN206&gt;=GAS_C_YM,"C",IF(BN206&gt;=GAS_B_YM,"B","A")),IF(K206="diesel",IF(BN206&gt;=DIE_C_YM,"C",IF(BN206&gt;=DIE_B_YM,"B","A")),""))))</f>
        <v/>
      </c>
      <c r="BP206" s="4">
        <f>BO206</f>
        <v/>
      </c>
      <c r="BQ206" s="4">
        <f>IF(AS206="regla",IF(AND(N(AQ206)=0,BL206=1),"sí","no"),"no")</f>
        <v/>
      </c>
      <c r="BR206" s="3">
        <f>IFERROR(VLOOKUP(F206,MOD_TBL,11,0),IFERROR(VLOOKUP(E206,OCU_TBL,2,0),NEUTRO))</f>
        <v/>
      </c>
      <c r="BS206" s="3">
        <f>SUMIFS(MOT_AJUSTE,MOT_MOTOR,G206,MOT_MARCA,E206,MOT_DESDE,"&lt;="&amp;M206,MOT_HASTA,"&gt;="&amp;M206)+SUMIFS(MOT_AJUSTE,MOT_MOTOR,G206,MOT_MARCA,"(todas)",MOT_DESDE,"&lt;="&amp;M206,MOT_HASTA,"&gt;="&amp;M206)</f>
        <v/>
      </c>
      <c r="BT206" s="3">
        <f>SUMIFS(COMB_AJUSTE,COMB_COMB,K206)</f>
        <v/>
      </c>
      <c r="BU206" s="3">
        <f>COUNTIFS(MOT_MOTOR,G206,MOT_MARCA,E206,MOT_DESDE,"&lt;="&amp;M206,MOT_HASTA,"&gt;="&amp;M206)+COUNTIFS(MOT_MOTOR,G206,MOT_MARCA,"(todas)",MOT_DESDE,"&lt;="&amp;M206,MOT_HASTA,"&gt;="&amp;M206)</f>
        <v/>
      </c>
      <c r="BV206" s="3">
        <f>IF(AND(K206="diesel",BU206=0),MIN(BR206,NEUTRO),BR206)</f>
        <v/>
      </c>
      <c r="BW206" s="4">
        <f>MAX(0,MIN(100,BV206+BS206+BT206))</f>
        <v/>
      </c>
      <c r="BX206" s="3">
        <f>MAX(0,MIN(100,50+BK206*PRECIO_PEND))</f>
        <v/>
      </c>
      <c r="BY206" s="3">
        <f>MAX(0,100*(1-N206/KM_MAX))</f>
        <v/>
      </c>
      <c r="BZ206" s="3">
        <f>IF(BB206&lt;KMA_SOSP,IF(AA206="sí",100,KMA_PEN),IF(BB206&lt;=KMA_IDEAL_MAX,100,MAX(0,100*(KMA_CERO-BB206)/(KMA_CERO-KMA_IDEAL_MAX))))</f>
        <v/>
      </c>
      <c r="CA206" s="3">
        <f>MAX(0,MIN(100,100*(M206-ANIO_MIN)/(ANIO_ACTUAL-ANIO_MIN)))</f>
        <v/>
      </c>
      <c r="CB206" s="3">
        <f>W_KMT*BY206+W_KMA*BZ206+W_EDAD*CA206</f>
        <v/>
      </c>
      <c r="CC206" s="3">
        <f>P_ITV*(V206="sí")+P_LIBRO*(W206="sí")+P_CORREA*(X206="sí")+P_PROP*(Y206=1)+P_GAR*(Z206="sí")+P_FOTOS*MIN(1,N(U206)/FOTOS_OBJ)</f>
        <v/>
      </c>
      <c r="CD206" s="3">
        <f>MAX(0,MIN(100,IFERROR(VLOOKUP(BP206,ETQ_TBL,2,0),0)-IF(BQ206="sí",ETQ_PEN_DUD,IF(AS206="regla",ETQ_PEN_REGLA,0))))</f>
        <v/>
      </c>
      <c r="CE206" s="3">
        <f>NEUTRO</f>
        <v/>
      </c>
      <c r="CF206" s="3">
        <f>IFERROR(VLOOKUP(L206,SEGURO_TBL,3,0),"")</f>
        <v/>
      </c>
      <c r="CG206" s="3">
        <f>IF(CF206="",NEUTRO,MAX(0,MIN(100,100*(SEG_REF_MAX-CF206)/(SEG_REF_MAX-SEG_REF_MIN))))</f>
        <v/>
      </c>
      <c r="CH206" s="3">
        <f>W_CONS*CE206+W_SEG*CG206</f>
        <v/>
      </c>
      <c r="CI206" s="3">
        <f>IF(N(AB206)&gt;0,AB206,IF(AND(R206="profesional",SG_LEGAL_ON=1),GAR_LEGAL,0))</f>
        <v/>
      </c>
      <c r="CJ206" s="3">
        <f>SG_GAR*MIN(1,CI206/SG_GAR_FULL)+SG_AMPL*(AC206="sí")+SG_KMC*(AF206="sí")+SG_REV*(N(AE206)&gt;0)+SG_DEV*MIN(1,N(AG206)/SG_DEV_FULL)+SG_HIST*(W206="sí")</f>
        <v/>
      </c>
      <c r="CK206" s="3">
        <f>IFERROR(VLOOKUP(L206,CARR_PEN_TBL,2,0),0)</f>
        <v/>
      </c>
      <c r="CL206" s="3">
        <f>W_FIAB*BW206+W_PRECIO*BX206+W_KMEDAD*CB206+W_ANUNCIO*CC206+W_USO*CH206+W_SEGURIDAD*CJ206+W_ETIQUETA*CD206-CK206</f>
        <v/>
      </c>
      <c r="CM206" s="4">
        <f>IF(N(I206)&gt;0,I206,IFERROR(ROUND(_xlfn.NUMBERVALUE(LEFT(G206,FIND(" ",G206&amp;" ")-1),".")*1000,0),99999))</f>
        <v/>
      </c>
      <c r="CN206" s="3">
        <f>IF(R206="profesional",0,IF(O206&lt;CUOTA_VALOR_MAX,IF(BA206&gt;ITP_TRAMO_ALTO,SUMIFS(CF_CUOTA,CF_MAS,ITP_TRAMO_ALTO,CF_CCMIN,"&lt;="&amp;CM206,CF_CCMAX,"&gt;="&amp;CM206),IF(BA206&gt;ITP_TRAMO_BAJO,SUMIFS(CF_CUOTA,CF_MAS,ITP_TRAMO_BAJO,CF_CCMIN,"&lt;="&amp;CM206,CF_CCMAX,"&gt;="&amp;CM206),O206*ITP_TIPO)),O206*ITP_TIPO))</f>
        <v/>
      </c>
      <c r="CO206" s="4">
        <f>IF(R206="profesional",N(AK206),0)</f>
        <v/>
      </c>
      <c r="CP206" s="3">
        <f>IF(AND(R206="profesional",ISNUMBER(AK206),AL206="sí"),0,TASA_DGT)</f>
        <v/>
      </c>
      <c r="CQ206" s="3">
        <f>INFORME_DGT</f>
        <v/>
      </c>
      <c r="CR206" s="4">
        <f>O206+CO206+CN206+CP206+CQ206</f>
        <v/>
      </c>
      <c r="CS206" s="4">
        <f>CR206+N(CF206)</f>
        <v/>
      </c>
      <c r="CT206" s="3">
        <f>IF(CR206&lt;=TOTAL_MAX,"sí",IF(CR206&lt;=TOTAL_MAX+MARGEN_NEG,"negociar","no"))</f>
        <v/>
      </c>
      <c r="CU206" s="4">
        <f>IF(CT206&lt;&gt;"no",COUNTIFS($CT$2:$CT$545,"&lt;&gt;no",$CL$2:$CL$545,"&gt;"&amp;CL206)+COUNTIFS($CT$2:CT206,"&lt;&gt;no",$CL$2:CL206,CL206),"")</f>
        <v/>
      </c>
    </row>
    <row r="207">
      <c r="A207" s="2" t="inlineStr">
        <is>
          <t>cochesnet:71368442</t>
        </is>
      </c>
      <c r="B207" s="2" t="inlineStr">
        <is>
          <t>cochesnet</t>
        </is>
      </c>
      <c r="C207" s="2" t="inlineStr">
        <is>
          <t>https://www.coches.net/honda-jazz-gasolina-2008-en-valencia-71368442-covo.aspx</t>
        </is>
      </c>
      <c r="D207" s="2" t="inlineStr">
        <is>
          <t>HONDA Jazz</t>
        </is>
      </c>
      <c r="E207" s="2" t="inlineStr">
        <is>
          <t>Honda</t>
        </is>
      </c>
      <c r="F207" s="2" t="inlineStr">
        <is>
          <t>Honda Jazz</t>
        </is>
      </c>
      <c r="G207" s="2" t="n"/>
      <c r="H207" s="2" t="n"/>
      <c r="I207" s="2" t="n"/>
      <c r="J207" s="2" t="n"/>
      <c r="K207" s="2" t="inlineStr">
        <is>
          <t>gasolina</t>
        </is>
      </c>
      <c r="L207" s="2" t="inlineStr">
        <is>
          <t>utilitario</t>
        </is>
      </c>
      <c r="M207" s="2" t="n">
        <v>2008</v>
      </c>
      <c r="N207" s="2" t="n">
        <v>185000</v>
      </c>
      <c r="O207" s="2" t="n">
        <v>5000</v>
      </c>
      <c r="P207" s="2" t="inlineStr">
        <is>
          <t>manual</t>
        </is>
      </c>
      <c r="Q207" s="2" t="inlineStr">
        <is>
          <t>no</t>
        </is>
      </c>
      <c r="R207" s="2" t="inlineStr">
        <is>
          <t>particular</t>
        </is>
      </c>
      <c r="S207" s="2" t="n"/>
      <c r="T207" s="2" t="inlineStr">
        <is>
          <t>2026-08-26T10:29:52Z</t>
        </is>
      </c>
      <c r="U207" s="2" t="n">
        <v>9</v>
      </c>
      <c r="V207" s="2" t="n"/>
      <c r="W207" s="2" t="n"/>
      <c r="X207" s="2" t="n"/>
      <c r="Y207" s="2" t="n"/>
      <c r="Z207" s="2" t="inlineStr">
        <is>
          <t>no</t>
        </is>
      </c>
      <c r="AA207" s="2" t="n"/>
      <c r="AB207" s="2" t="n"/>
      <c r="AC207" s="2" t="n"/>
      <c r="AD207" s="2" t="n"/>
      <c r="AE207" s="2" t="n"/>
      <c r="AF207" s="2" t="n"/>
      <c r="AG207" s="2" t="n"/>
      <c r="AH207" s="2" t="n">
        <v>5000</v>
      </c>
      <c r="AI207" s="2" t="n"/>
      <c r="AJ207" s="2" t="n"/>
      <c r="AK207" s="2" t="n"/>
      <c r="AL207" s="2" t="n"/>
      <c r="AM207" s="2" t="n"/>
      <c r="AN207" s="2" t="n"/>
      <c r="AO207" s="2" t="inlineStr">
        <is>
          <t>2008</t>
        </is>
      </c>
      <c r="AP207" s="2" t="n">
        <v>2008</v>
      </c>
      <c r="AQ207" s="2" t="n"/>
      <c r="AR207" s="2" t="n"/>
      <c r="AS207" s="2" t="inlineStr">
        <is>
          <t>regla</t>
        </is>
      </c>
      <c r="AT207" s="2" t="n"/>
      <c r="AU207" s="2" t="n"/>
      <c r="AV207" s="2" t="n"/>
      <c r="AW207" s="2" t="n"/>
      <c r="AX207" s="2" t="inlineStr">
        <is>
          <t>por encima del presupuesto (5204 €), negociar; cilindrada desconocida: se aplica el tramo de cuota fija más alto; cuota fija ITP: &gt;12 años, más de 2.000 cc; distancia no verificable (el anuncio solo indica la provincia): confirmar que está a &lt;= 70 km; fiabilidad del modelo PENDIENTE de fuente (puntuación neutra); mediana con solo 1 anuncio(s)</t>
        </is>
      </c>
      <c r="AY207" s="2" t="inlineStr">
        <is>
          <t xml:space="preserve">Honda jazz  full equip, año 2009
</t>
        </is>
      </c>
      <c r="AZ207" s="2" t="inlineStr">
        <is>
          <t>https://www.coches.net/honda-jazz-gasolina-2008-en-valencia-71368442-covo.aspx (window.__INITIAL_PROPS__.ad) /home/user/Alopecia/buscador-coches/raw/cochesnet/41bbcfa8ce468382.json</t>
        </is>
      </c>
      <c r="BA207" s="3">
        <f>MAX(ANIO_ACTUAL-M207,0)</f>
        <v/>
      </c>
      <c r="BB207" s="4">
        <f>N207/MAX(BA207,0.5)</f>
        <v/>
      </c>
      <c r="BC207" s="4">
        <f>F207</f>
        <v/>
      </c>
      <c r="BD207" s="3">
        <f>BC207&amp;"|"&amp;INT(M207/SEG_ANIO)*SEG_ANIO</f>
        <v/>
      </c>
      <c r="BE207" s="3">
        <f>BD207&amp;"|"&amp;INT(N207/SEG_KM)*SEG_KM</f>
        <v/>
      </c>
      <c r="BF207" s="4">
        <f>COUNTIF($BC$2:$BC$545,BC207)</f>
        <v/>
      </c>
      <c r="BG207" s="4">
        <f>COUNTIF($BD$2:$BD$545,BD207)</f>
        <v/>
      </c>
      <c r="BH207" s="4">
        <f>COUNTIF($BE$2:$BE$545,BE207)</f>
        <v/>
      </c>
      <c r="BI207" s="3">
        <f t="array" ref="BI207">IF(N(AU207)&gt;=MIN_N,AT207,IF(BH207&gt;=MIN_N,MEDIAN(IF($BE$2:$BE$545=BE207,$O$2:$O$545)),IF(BG207&gt;=MIN_N,MEDIAN(IF($BD$2:$BD$545=BD207,$O$2:$O$545)),MEDIAN(IF($BC$2:$BC$545=BC207,$O$2:$O$545)))))</f>
        <v/>
      </c>
      <c r="BJ207" s="3">
        <f>IF(N(AU207)&gt;=MIN_N,"mercado "&amp;AV207,IF(BH207&gt;=MIN_N,"modelo+año+km",IF(BG207&gt;=MIN_N,"modelo+año","modelo")))</f>
        <v/>
      </c>
      <c r="BK207" s="4">
        <f>(BI207-O207)/BI207</f>
        <v/>
      </c>
      <c r="BL207" s="3">
        <f>IF(COUNTIFS(FR_FUEL,K207,FR_YEAR,AP207)&gt;0,1,0)</f>
        <v/>
      </c>
      <c r="BM207" s="3">
        <f>IF(COUNTIFS(FR_FUEL,K207,FR_YEAR,AP207-1)&gt;0,1,0)</f>
        <v/>
      </c>
      <c r="BN207" s="4">
        <f>IF(N(AQ207)&gt;0,AP207*100+AQ207,IF(AND(BL207=1,BM207=1),(AP207-1)*100+1,AP207*100+1))</f>
        <v/>
      </c>
      <c r="BO207" s="3">
        <f>IF(OR(K207="hibrido",K207="glp",K207="gnc",K207="phev"),"ECO",IF(K207="electrico","CERO",IF(K207="gasolina",IF(BN207&gt;=GAS_C_YM,"C",IF(BN207&gt;=GAS_B_YM,"B","A")),IF(K207="diesel",IF(BN207&gt;=DIE_C_YM,"C",IF(BN207&gt;=DIE_B_YM,"B","A")),""))))</f>
        <v/>
      </c>
      <c r="BP207" s="4">
        <f>BO207</f>
        <v/>
      </c>
      <c r="BQ207" s="4">
        <f>IF(AS207="regla",IF(AND(N(AQ207)=0,BL207=1),"sí","no"),"no")</f>
        <v/>
      </c>
      <c r="BR207" s="3">
        <f>IFERROR(VLOOKUP(F207,MOD_TBL,11,0),IFERROR(VLOOKUP(E207,OCU_TBL,2,0),NEUTRO))</f>
        <v/>
      </c>
      <c r="BS207" s="3">
        <f>SUMIFS(MOT_AJUSTE,MOT_MOTOR,G207,MOT_MARCA,E207,MOT_DESDE,"&lt;="&amp;M207,MOT_HASTA,"&gt;="&amp;M207)+SUMIFS(MOT_AJUSTE,MOT_MOTOR,G207,MOT_MARCA,"(todas)",MOT_DESDE,"&lt;="&amp;M207,MOT_HASTA,"&gt;="&amp;M207)</f>
        <v/>
      </c>
      <c r="BT207" s="3">
        <f>SUMIFS(COMB_AJUSTE,COMB_COMB,K207)</f>
        <v/>
      </c>
      <c r="BU207" s="3">
        <f>COUNTIFS(MOT_MOTOR,G207,MOT_MARCA,E207,MOT_DESDE,"&lt;="&amp;M207,MOT_HASTA,"&gt;="&amp;M207)+COUNTIFS(MOT_MOTOR,G207,MOT_MARCA,"(todas)",MOT_DESDE,"&lt;="&amp;M207,MOT_HASTA,"&gt;="&amp;M207)</f>
        <v/>
      </c>
      <c r="BV207" s="3">
        <f>IF(AND(K207="diesel",BU207=0),MIN(BR207,NEUTRO),BR207)</f>
        <v/>
      </c>
      <c r="BW207" s="4">
        <f>MAX(0,MIN(100,BV207+BS207+BT207))</f>
        <v/>
      </c>
      <c r="BX207" s="3">
        <f>MAX(0,MIN(100,50+BK207*PRECIO_PEND))</f>
        <v/>
      </c>
      <c r="BY207" s="3">
        <f>MAX(0,100*(1-N207/KM_MAX))</f>
        <v/>
      </c>
      <c r="BZ207" s="3">
        <f>IF(BB207&lt;KMA_SOSP,IF(AA207="sí",100,KMA_PEN),IF(BB207&lt;=KMA_IDEAL_MAX,100,MAX(0,100*(KMA_CERO-BB207)/(KMA_CERO-KMA_IDEAL_MAX))))</f>
        <v/>
      </c>
      <c r="CA207" s="3">
        <f>MAX(0,MIN(100,100*(M207-ANIO_MIN)/(ANIO_ACTUAL-ANIO_MIN)))</f>
        <v/>
      </c>
      <c r="CB207" s="3">
        <f>W_KMT*BY207+W_KMA*BZ207+W_EDAD*CA207</f>
        <v/>
      </c>
      <c r="CC207" s="3">
        <f>P_ITV*(V207="sí")+P_LIBRO*(W207="sí")+P_CORREA*(X207="sí")+P_PROP*(Y207=1)+P_GAR*(Z207="sí")+P_FOTOS*MIN(1,N(U207)/FOTOS_OBJ)</f>
        <v/>
      </c>
      <c r="CD207" s="3">
        <f>MAX(0,MIN(100,IFERROR(VLOOKUP(BP207,ETQ_TBL,2,0),0)-IF(BQ207="sí",ETQ_PEN_DUD,IF(AS207="regla",ETQ_PEN_REGLA,0))))</f>
        <v/>
      </c>
      <c r="CE207" s="3">
        <f>NEUTRO</f>
        <v/>
      </c>
      <c r="CF207" s="3">
        <f>IFERROR(VLOOKUP(L207,SEGURO_TBL,3,0),"")</f>
        <v/>
      </c>
      <c r="CG207" s="3">
        <f>IF(CF207="",NEUTRO,MAX(0,MIN(100,100*(SEG_REF_MAX-CF207)/(SEG_REF_MAX-SEG_REF_MIN))))</f>
        <v/>
      </c>
      <c r="CH207" s="3">
        <f>W_CONS*CE207+W_SEG*CG207</f>
        <v/>
      </c>
      <c r="CI207" s="3">
        <f>IF(N(AB207)&gt;0,AB207,IF(AND(R207="profesional",SG_LEGAL_ON=1),GAR_LEGAL,0))</f>
        <v/>
      </c>
      <c r="CJ207" s="3">
        <f>SG_GAR*MIN(1,CI207/SG_GAR_FULL)+SG_AMPL*(AC207="sí")+SG_KMC*(AF207="sí")+SG_REV*(N(AE207)&gt;0)+SG_DEV*MIN(1,N(AG207)/SG_DEV_FULL)+SG_HIST*(W207="sí")</f>
        <v/>
      </c>
      <c r="CK207" s="3">
        <f>IFERROR(VLOOKUP(L207,CARR_PEN_TBL,2,0),0)</f>
        <v/>
      </c>
      <c r="CL207" s="3">
        <f>W_FIAB*BW207+W_PRECIO*BX207+W_KMEDAD*CB207+W_ANUNCIO*CC207+W_USO*CH207+W_SEGURIDAD*CJ207+W_ETIQUETA*CD207-CK207</f>
        <v/>
      </c>
      <c r="CM207" s="4">
        <f>IF(N(I207)&gt;0,I207,IFERROR(ROUND(_xlfn.NUMBERVALUE(LEFT(G207,FIND(" ",G207&amp;" ")-1),".")*1000,0),99999))</f>
        <v/>
      </c>
      <c r="CN207" s="3">
        <f>IF(R207="profesional",0,IF(O207&lt;CUOTA_VALOR_MAX,IF(BA207&gt;ITP_TRAMO_ALTO,SUMIFS(CF_CUOTA,CF_MAS,ITP_TRAMO_ALTO,CF_CCMIN,"&lt;="&amp;CM207,CF_CCMAX,"&gt;="&amp;CM207),IF(BA207&gt;ITP_TRAMO_BAJO,SUMIFS(CF_CUOTA,CF_MAS,ITP_TRAMO_BAJO,CF_CCMIN,"&lt;="&amp;CM207,CF_CCMAX,"&gt;="&amp;CM207),O207*ITP_TIPO)),O207*ITP_TIPO))</f>
        <v/>
      </c>
      <c r="CO207" s="4">
        <f>IF(R207="profesional",N(AK207),0)</f>
        <v/>
      </c>
      <c r="CP207" s="3">
        <f>IF(AND(R207="profesional",ISNUMBER(AK207),AL207="sí"),0,TASA_DGT)</f>
        <v/>
      </c>
      <c r="CQ207" s="3">
        <f>INFORME_DGT</f>
        <v/>
      </c>
      <c r="CR207" s="4">
        <f>O207+CO207+CN207+CP207+CQ207</f>
        <v/>
      </c>
      <c r="CS207" s="4">
        <f>CR207+N(CF207)</f>
        <v/>
      </c>
      <c r="CT207" s="3">
        <f>IF(CR207&lt;=TOTAL_MAX,"sí",IF(CR207&lt;=TOTAL_MAX+MARGEN_NEG,"negociar","no"))</f>
        <v/>
      </c>
      <c r="CU207" s="4">
        <f>IF(CT207&lt;&gt;"no",COUNTIFS($CT$2:$CT$545,"&lt;&gt;no",$CL$2:$CL$545,"&gt;"&amp;CL207)+COUNTIFS($CT$2:CT207,"&lt;&gt;no",$CL$2:CL207,CL207),"")</f>
        <v/>
      </c>
    </row>
    <row r="208">
      <c r="A208" s="2" t="inlineStr">
        <is>
          <t>cochesnet:71732041</t>
        </is>
      </c>
      <c r="B208" s="2" t="inlineStr">
        <is>
          <t>cochesnet</t>
        </is>
      </c>
      <c r="C208" s="2" t="inlineStr">
        <is>
          <t>https://www.coches.net/mazda-mazda2-active-14-crtd-5p-diesel-2007-en-valencia-71732041-covo.aspx</t>
        </is>
      </c>
      <c r="D208" s="2" t="inlineStr">
        <is>
          <t>MAZDA Mazda2 Active 1.4 CRTD</t>
        </is>
      </c>
      <c r="E208" s="2" t="inlineStr">
        <is>
          <t>Mazda</t>
        </is>
      </c>
      <c r="F208" s="2" t="inlineStr">
        <is>
          <t>Mazda 2</t>
        </is>
      </c>
      <c r="G208" s="2" t="inlineStr">
        <is>
          <t>1.4</t>
        </is>
      </c>
      <c r="H208" s="2" t="inlineStr">
        <is>
          <t>Active 1.4 CRTD</t>
        </is>
      </c>
      <c r="I208" s="2" t="n"/>
      <c r="J208" s="2" t="n"/>
      <c r="K208" s="2" t="inlineStr">
        <is>
          <t>diesel</t>
        </is>
      </c>
      <c r="L208" s="2" t="inlineStr">
        <is>
          <t>utilitario</t>
        </is>
      </c>
      <c r="M208" s="2" t="n">
        <v>2008</v>
      </c>
      <c r="N208" s="2" t="n">
        <v>111000</v>
      </c>
      <c r="O208" s="2" t="n">
        <v>4990</v>
      </c>
      <c r="P208" s="2" t="inlineStr">
        <is>
          <t>manual</t>
        </is>
      </c>
      <c r="Q208" s="2" t="inlineStr">
        <is>
          <t>no</t>
        </is>
      </c>
      <c r="R208" s="2" t="inlineStr">
        <is>
          <t>profesional</t>
        </is>
      </c>
      <c r="S208" s="2" t="inlineStr">
        <is>
          <t>Only Cars Valencia Aldaia</t>
        </is>
      </c>
      <c r="T208" s="2" t="inlineStr">
        <is>
          <t>2026-10-13T12:02:29Z</t>
        </is>
      </c>
      <c r="U208" s="2" t="n">
        <v>10</v>
      </c>
      <c r="V208" s="2" t="n"/>
      <c r="W208" s="2" t="n"/>
      <c r="X208" s="2" t="n"/>
      <c r="Y208" s="2" t="n">
        <v>1</v>
      </c>
      <c r="Z208" s="2" t="inlineStr">
        <is>
          <t>sí</t>
        </is>
      </c>
      <c r="AA208" s="2" t="n"/>
      <c r="AB208" s="2" t="n">
        <v>12</v>
      </c>
      <c r="AC208" s="2" t="n"/>
      <c r="AD208" s="2" t="n"/>
      <c r="AE208" s="2" t="n"/>
      <c r="AF208" s="2" t="n"/>
      <c r="AG208" s="2" t="n"/>
      <c r="AH208" s="2" t="n">
        <v>4990</v>
      </c>
      <c r="AI208" s="2" t="n"/>
      <c r="AJ208" s="2" t="n"/>
      <c r="AK208" s="2" t="n"/>
      <c r="AL208" s="2" t="n"/>
      <c r="AM208" s="2" t="n">
        <v>7.5</v>
      </c>
      <c r="AN208" s="2" t="n"/>
      <c r="AO208" s="2" t="inlineStr">
        <is>
          <t>2008</t>
        </is>
      </c>
      <c r="AP208" s="2" t="n">
        <v>2008</v>
      </c>
      <c r="AQ208" s="2" t="n"/>
      <c r="AR208" s="2" t="inlineStr">
        <is>
          <t>B</t>
        </is>
      </c>
      <c r="AS208" s="2" t="inlineStr">
        <is>
          <t>anuncio</t>
        </is>
      </c>
      <c r="AT208" s="2" t="n">
        <v>5000</v>
      </c>
      <c r="AU208" s="2" t="n">
        <v>12</v>
      </c>
      <c r="AV208" s="2" t="inlineStr">
        <is>
          <t>modelo+año</t>
        </is>
      </c>
      <c r="AW208" s="2" t="n"/>
      <c r="AX208"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208" s="2" t="inlineStr">
        <is>
          <t>Mazda 2 1.4 Diesel CRTD Active año 2008 con 111.000Kms 70CV.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208" s="2" t="inlineStr">
        <is>
          <t>https://www.coches.net/mazda-mazda2-active-14-crtd-5p-diesel-2007-en-valencia-71732041-covo.aspx (window.__INITIAL_PROPS__.ad) /home/user/Alopecia/buscador-coches/raw/cochesnet/787c54b4e793f020.json</t>
        </is>
      </c>
      <c r="BA208" s="3">
        <f>MAX(ANIO_ACTUAL-M208,0)</f>
        <v/>
      </c>
      <c r="BB208" s="4">
        <f>N208/MAX(BA208,0.5)</f>
        <v/>
      </c>
      <c r="BC208" s="4">
        <f>F208</f>
        <v/>
      </c>
      <c r="BD208" s="3">
        <f>BC208&amp;"|"&amp;INT(M208/SEG_ANIO)*SEG_ANIO</f>
        <v/>
      </c>
      <c r="BE208" s="3">
        <f>BD208&amp;"|"&amp;INT(N208/SEG_KM)*SEG_KM</f>
        <v/>
      </c>
      <c r="BF208" s="4">
        <f>COUNTIF($BC$2:$BC$545,BC208)</f>
        <v/>
      </c>
      <c r="BG208" s="4">
        <f>COUNTIF($BD$2:$BD$545,BD208)</f>
        <v/>
      </c>
      <c r="BH208" s="4">
        <f>COUNTIF($BE$2:$BE$545,BE208)</f>
        <v/>
      </c>
      <c r="BI208" s="3">
        <f t="array" ref="BI208">IF(N(AU208)&gt;=MIN_N,AT208,IF(BH208&gt;=MIN_N,MEDIAN(IF($BE$2:$BE$545=BE208,$O$2:$O$545)),IF(BG208&gt;=MIN_N,MEDIAN(IF($BD$2:$BD$545=BD208,$O$2:$O$545)),MEDIAN(IF($BC$2:$BC$545=BC208,$O$2:$O$545)))))</f>
        <v/>
      </c>
      <c r="BJ208" s="3">
        <f>IF(N(AU208)&gt;=MIN_N,"mercado "&amp;AV208,IF(BH208&gt;=MIN_N,"modelo+año+km",IF(BG208&gt;=MIN_N,"modelo+año","modelo")))</f>
        <v/>
      </c>
      <c r="BK208" s="4">
        <f>(BI208-O208)/BI208</f>
        <v/>
      </c>
      <c r="BL208" s="3">
        <f>IF(COUNTIFS(FR_FUEL,K208,FR_YEAR,AP208)&gt;0,1,0)</f>
        <v/>
      </c>
      <c r="BM208" s="3">
        <f>IF(COUNTIFS(FR_FUEL,K208,FR_YEAR,AP208-1)&gt;0,1,0)</f>
        <v/>
      </c>
      <c r="BN208" s="4">
        <f>IF(N(AQ208)&gt;0,AP208*100+AQ208,IF(AND(BL208=1,BM208=1),(AP208-1)*100+1,AP208*100+1))</f>
        <v/>
      </c>
      <c r="BO208" s="3">
        <f>IF(OR(K208="hibrido",K208="glp",K208="gnc",K208="phev"),"ECO",IF(K208="electrico","CERO",IF(K208="gasolina",IF(BN208&gt;=GAS_C_YM,"C",IF(BN208&gt;=GAS_B_YM,"B","A")),IF(K208="diesel",IF(BN208&gt;=DIE_C_YM,"C",IF(BN208&gt;=DIE_B_YM,"B","A")),""))))</f>
        <v/>
      </c>
      <c r="BP208" s="2" t="inlineStr">
        <is>
          <t>B</t>
        </is>
      </c>
      <c r="BQ208" s="4">
        <f>IF(AS208="regla",IF(AND(N(AQ208)=0,BL208=1),"sí","no"),"no")</f>
        <v/>
      </c>
      <c r="BR208" s="3">
        <f>IFERROR(VLOOKUP(F208,MOD_TBL,11,0),IFERROR(VLOOKUP(E208,OCU_TBL,2,0),NEUTRO))</f>
        <v/>
      </c>
      <c r="BS208" s="3">
        <f>SUMIFS(MOT_AJUSTE,MOT_MOTOR,G208,MOT_MARCA,E208,MOT_DESDE,"&lt;="&amp;M208,MOT_HASTA,"&gt;="&amp;M208)+SUMIFS(MOT_AJUSTE,MOT_MOTOR,G208,MOT_MARCA,"(todas)",MOT_DESDE,"&lt;="&amp;M208,MOT_HASTA,"&gt;="&amp;M208)</f>
        <v/>
      </c>
      <c r="BT208" s="3">
        <f>SUMIFS(COMB_AJUSTE,COMB_COMB,K208)</f>
        <v/>
      </c>
      <c r="BU208" s="3">
        <f>COUNTIFS(MOT_MOTOR,G208,MOT_MARCA,E208,MOT_DESDE,"&lt;="&amp;M208,MOT_HASTA,"&gt;="&amp;M208)+COUNTIFS(MOT_MOTOR,G208,MOT_MARCA,"(todas)",MOT_DESDE,"&lt;="&amp;M208,MOT_HASTA,"&gt;="&amp;M208)</f>
        <v/>
      </c>
      <c r="BV208" s="3">
        <f>IF(AND(K208="diesel",BU208=0),MIN(BR208,NEUTRO),BR208)</f>
        <v/>
      </c>
      <c r="BW208" s="4">
        <f>MAX(0,MIN(100,BV208+BS208+BT208))</f>
        <v/>
      </c>
      <c r="BX208" s="3">
        <f>MAX(0,MIN(100,50+BK208*PRECIO_PEND))</f>
        <v/>
      </c>
      <c r="BY208" s="3">
        <f>MAX(0,100*(1-N208/KM_MAX))</f>
        <v/>
      </c>
      <c r="BZ208" s="3">
        <f>IF(BB208&lt;KMA_SOSP,IF(AA208="sí",100,KMA_PEN),IF(BB208&lt;=KMA_IDEAL_MAX,100,MAX(0,100*(KMA_CERO-BB208)/(KMA_CERO-KMA_IDEAL_MAX))))</f>
        <v/>
      </c>
      <c r="CA208" s="3">
        <f>MAX(0,MIN(100,100*(M208-ANIO_MIN)/(ANIO_ACTUAL-ANIO_MIN)))</f>
        <v/>
      </c>
      <c r="CB208" s="3">
        <f>W_KMT*BY208+W_KMA*BZ208+W_EDAD*CA208</f>
        <v/>
      </c>
      <c r="CC208" s="3">
        <f>P_ITV*(V208="sí")+P_LIBRO*(W208="sí")+P_CORREA*(X208="sí")+P_PROP*(Y208=1)+P_GAR*(Z208="sí")+P_FOTOS*MIN(1,N(U208)/FOTOS_OBJ)</f>
        <v/>
      </c>
      <c r="CD208" s="3">
        <f>MAX(0,MIN(100,IFERROR(VLOOKUP(BP208,ETQ_TBL,2,0),0)-IF(BQ208="sí",ETQ_PEN_DUD,IF(AS208="regla",ETQ_PEN_REGLA,0))))</f>
        <v/>
      </c>
      <c r="CE208" s="3">
        <f>NEUTRO</f>
        <v/>
      </c>
      <c r="CF208" s="3">
        <f>IFERROR(VLOOKUP(L208,SEGURO_TBL,3,0),"")</f>
        <v/>
      </c>
      <c r="CG208" s="3">
        <f>IF(CF208="",NEUTRO,MAX(0,MIN(100,100*(SEG_REF_MAX-CF208)/(SEG_REF_MAX-SEG_REF_MIN))))</f>
        <v/>
      </c>
      <c r="CH208" s="3">
        <f>W_CONS*CE208+W_SEG*CG208</f>
        <v/>
      </c>
      <c r="CI208" s="3">
        <f>IF(N(AB208)&gt;0,AB208,IF(AND(R208="profesional",SG_LEGAL_ON=1),GAR_LEGAL,0))</f>
        <v/>
      </c>
      <c r="CJ208" s="3">
        <f>SG_GAR*MIN(1,CI208/SG_GAR_FULL)+SG_AMPL*(AC208="sí")+SG_KMC*(AF208="sí")+SG_REV*(N(AE208)&gt;0)+SG_DEV*MIN(1,N(AG208)/SG_DEV_FULL)+SG_HIST*(W208="sí")</f>
        <v/>
      </c>
      <c r="CK208" s="3">
        <f>IFERROR(VLOOKUP(L208,CARR_PEN_TBL,2,0),0)</f>
        <v/>
      </c>
      <c r="CL208" s="3">
        <f>W_FIAB*BW208+W_PRECIO*BX208+W_KMEDAD*CB208+W_ANUNCIO*CC208+W_USO*CH208+W_SEGURIDAD*CJ208+W_ETIQUETA*CD208-CK208</f>
        <v/>
      </c>
      <c r="CM208" s="4">
        <f>IF(N(I208)&gt;0,I208,IFERROR(ROUND(_xlfn.NUMBERVALUE(LEFT(G208,FIND(" ",G208&amp;" ")-1),".")*1000,0),99999))</f>
        <v/>
      </c>
      <c r="CN208" s="3">
        <f>IF(R208="profesional",0,IF(O208&lt;CUOTA_VALOR_MAX,IF(BA208&gt;ITP_TRAMO_ALTO,SUMIFS(CF_CUOTA,CF_MAS,ITP_TRAMO_ALTO,CF_CCMIN,"&lt;="&amp;CM208,CF_CCMAX,"&gt;="&amp;CM208),IF(BA208&gt;ITP_TRAMO_BAJO,SUMIFS(CF_CUOTA,CF_MAS,ITP_TRAMO_BAJO,CF_CCMIN,"&lt;="&amp;CM208,CF_CCMAX,"&gt;="&amp;CM208),O208*ITP_TIPO)),O208*ITP_TIPO))</f>
        <v/>
      </c>
      <c r="CO208" s="4">
        <f>IF(R208="profesional",N(AK208),0)</f>
        <v/>
      </c>
      <c r="CP208" s="3">
        <f>IF(AND(R208="profesional",ISNUMBER(AK208),AL208="sí"),0,TASA_DGT)</f>
        <v/>
      </c>
      <c r="CQ208" s="3">
        <f>INFORME_DGT</f>
        <v/>
      </c>
      <c r="CR208" s="4">
        <f>O208+CO208+CN208+CP208+CQ208</f>
        <v/>
      </c>
      <c r="CS208" s="4">
        <f>CR208+N(CF208)</f>
        <v/>
      </c>
      <c r="CT208" s="3">
        <f>IF(CR208&lt;=TOTAL_MAX,"sí",IF(CR208&lt;=TOTAL_MAX+MARGEN_NEG,"negociar","no"))</f>
        <v/>
      </c>
      <c r="CU208" s="4">
        <f>IF(CT208&lt;&gt;"no",COUNTIFS($CT$2:$CT$545,"&lt;&gt;no",$CL$2:$CL$545,"&gt;"&amp;CL208)+COUNTIFS($CT$2:CT208,"&lt;&gt;no",$CL$2:CL208,CL208),"")</f>
        <v/>
      </c>
    </row>
    <row r="209">
      <c r="A209" s="2" t="inlineStr">
        <is>
          <t>cochesnet:71822936</t>
        </is>
      </c>
      <c r="B209" s="2" t="inlineStr">
        <is>
          <t>cochesnet</t>
        </is>
      </c>
      <c r="C209" s="2" t="inlineStr">
        <is>
          <t>https://www.coches.net/mazda-mazda2-active-13-5p-gasolina-2007-en-valencia-71822936-covo.aspx</t>
        </is>
      </c>
      <c r="D209" s="2" t="inlineStr">
        <is>
          <t>MAZDA Mazda2 Active 1.3</t>
        </is>
      </c>
      <c r="E209" s="2" t="inlineStr">
        <is>
          <t>Mazda</t>
        </is>
      </c>
      <c r="F209" s="2" t="inlineStr">
        <is>
          <t>Mazda 2</t>
        </is>
      </c>
      <c r="G209" s="2" t="inlineStr">
        <is>
          <t>1.3</t>
        </is>
      </c>
      <c r="H209" s="2" t="inlineStr">
        <is>
          <t>Active 1.3</t>
        </is>
      </c>
      <c r="I209" s="2" t="n"/>
      <c r="J209" s="2" t="n"/>
      <c r="K209" s="2" t="inlineStr">
        <is>
          <t>gasolina</t>
        </is>
      </c>
      <c r="L209" s="2" t="inlineStr">
        <is>
          <t>utilitario</t>
        </is>
      </c>
      <c r="M209" s="2" t="n">
        <v>2007</v>
      </c>
      <c r="N209" s="2" t="n">
        <v>70000</v>
      </c>
      <c r="O209" s="2" t="n">
        <v>5000</v>
      </c>
      <c r="P209" s="2" t="inlineStr">
        <is>
          <t>manual</t>
        </is>
      </c>
      <c r="Q209" s="2" t="inlineStr">
        <is>
          <t>no</t>
        </is>
      </c>
      <c r="R209" s="2" t="inlineStr">
        <is>
          <t>particular</t>
        </is>
      </c>
      <c r="S209" s="2" t="n"/>
      <c r="T209" s="2" t="inlineStr">
        <is>
          <t>2026-10-24T08:57:47Z</t>
        </is>
      </c>
      <c r="U209" s="2" t="n"/>
      <c r="V209" s="2" t="inlineStr">
        <is>
          <t>sí</t>
        </is>
      </c>
      <c r="W209" s="2" t="n"/>
      <c r="X209" s="2" t="n"/>
      <c r="Y209" s="2" t="n"/>
      <c r="Z209" s="2" t="inlineStr">
        <is>
          <t>no</t>
        </is>
      </c>
      <c r="AA209" s="2" t="n"/>
      <c r="AB209" s="2" t="n"/>
      <c r="AC209" s="2" t="n"/>
      <c r="AD209" s="2" t="n"/>
      <c r="AE209" s="2" t="n"/>
      <c r="AF209" s="2" t="n"/>
      <c r="AG209" s="2" t="n"/>
      <c r="AH209" s="2" t="n">
        <v>5000</v>
      </c>
      <c r="AI209" s="2" t="n"/>
      <c r="AJ209" s="2" t="n"/>
      <c r="AK209" s="2" t="n"/>
      <c r="AL209" s="2" t="n"/>
      <c r="AM209" s="2" t="n"/>
      <c r="AN209" s="2" t="n"/>
      <c r="AO209" s="2" t="inlineStr">
        <is>
          <t>2007</t>
        </is>
      </c>
      <c r="AP209" s="2" t="n">
        <v>2007</v>
      </c>
      <c r="AQ209" s="2" t="n"/>
      <c r="AR209" s="2" t="n"/>
      <c r="AS209" s="2" t="inlineStr">
        <is>
          <t>regla</t>
        </is>
      </c>
      <c r="AT209" s="2" t="n">
        <v>5000</v>
      </c>
      <c r="AU209" s="2" t="n">
        <v>4</v>
      </c>
      <c r="AV209" s="2" t="inlineStr">
        <is>
          <t>modelo+año+km</t>
        </is>
      </c>
      <c r="AW209" s="2" t="inlineStr">
        <is>
          <t>cochesnet:71809182 (https://www.coches.net/mazda-mazda2-active-13-5p-gasolina-2007-en-valencia-71809182-covo.aspx); cochesnet:71809199 (https://www.coches.net/mazda-mazda2-active-13-5p-gasolina-2007-en-valencia-71809199-covo.aspx)</t>
        </is>
      </c>
      <c r="AX209" s="2" t="inlineStr">
        <is>
          <t>por encima del presupuesto (5104 €), negociar; cuota fija ITP: &gt;12 años, hasta 1.500 cc; distancia no verificable (el anuncio solo indica la provincia): confirmar que está a &lt;= 70 km</t>
        </is>
      </c>
      <c r="AY209" s="2" t="inlineStr">
        <is>
          <t>ITV válida hasta junio 2027</t>
        </is>
      </c>
      <c r="AZ209" s="2" t="inlineStr">
        <is>
          <t>https://www.coches.net/mazda-mazda2-active-13-5p-gasolina-2007-en-valencia-71822936-covo.aspx (window.__INITIAL_PROPS__.ad) /home/user/Alopecia/buscador-coches/raw/cochesnet/95cb3748f89043f8.json</t>
        </is>
      </c>
      <c r="BA209" s="3">
        <f>MAX(ANIO_ACTUAL-M209,0)</f>
        <v/>
      </c>
      <c r="BB209" s="4">
        <f>N209/MAX(BA209,0.5)</f>
        <v/>
      </c>
      <c r="BC209" s="4">
        <f>F209</f>
        <v/>
      </c>
      <c r="BD209" s="3">
        <f>BC209&amp;"|"&amp;INT(M209/SEG_ANIO)*SEG_ANIO</f>
        <v/>
      </c>
      <c r="BE209" s="3">
        <f>BD209&amp;"|"&amp;INT(N209/SEG_KM)*SEG_KM</f>
        <v/>
      </c>
      <c r="BF209" s="4">
        <f>COUNTIF($BC$2:$BC$545,BC209)</f>
        <v/>
      </c>
      <c r="BG209" s="4">
        <f>COUNTIF($BD$2:$BD$545,BD209)</f>
        <v/>
      </c>
      <c r="BH209" s="4">
        <f>COUNTIF($BE$2:$BE$545,BE209)</f>
        <v/>
      </c>
      <c r="BI209" s="3">
        <f t="array" ref="BI209">IF(N(AU209)&gt;=MIN_N,AT209,IF(BH209&gt;=MIN_N,MEDIAN(IF($BE$2:$BE$545=BE209,$O$2:$O$545)),IF(BG209&gt;=MIN_N,MEDIAN(IF($BD$2:$BD$545=BD209,$O$2:$O$545)),MEDIAN(IF($BC$2:$BC$545=BC209,$O$2:$O$545)))))</f>
        <v/>
      </c>
      <c r="BJ209" s="3">
        <f>IF(N(AU209)&gt;=MIN_N,"mercado "&amp;AV209,IF(BH209&gt;=MIN_N,"modelo+año+km",IF(BG209&gt;=MIN_N,"modelo+año","modelo")))</f>
        <v/>
      </c>
      <c r="BK209" s="4">
        <f>(BI209-O209)/BI209</f>
        <v/>
      </c>
      <c r="BL209" s="3">
        <f>IF(COUNTIFS(FR_FUEL,K209,FR_YEAR,AP209)&gt;0,1,0)</f>
        <v/>
      </c>
      <c r="BM209" s="3">
        <f>IF(COUNTIFS(FR_FUEL,K209,FR_YEAR,AP209-1)&gt;0,1,0)</f>
        <v/>
      </c>
      <c r="BN209" s="4">
        <f>IF(N(AQ209)&gt;0,AP209*100+AQ209,IF(AND(BL209=1,BM209=1),(AP209-1)*100+1,AP209*100+1))</f>
        <v/>
      </c>
      <c r="BO209" s="3">
        <f>IF(OR(K209="hibrido",K209="glp",K209="gnc",K209="phev"),"ECO",IF(K209="electrico","CERO",IF(K209="gasolina",IF(BN209&gt;=GAS_C_YM,"C",IF(BN209&gt;=GAS_B_YM,"B","A")),IF(K209="diesel",IF(BN209&gt;=DIE_C_YM,"C",IF(BN209&gt;=DIE_B_YM,"B","A")),""))))</f>
        <v/>
      </c>
      <c r="BP209" s="4">
        <f>BO209</f>
        <v/>
      </c>
      <c r="BQ209" s="4">
        <f>IF(AS209="regla",IF(AND(N(AQ209)=0,BL209=1),"sí","no"),"no")</f>
        <v/>
      </c>
      <c r="BR209" s="3">
        <f>IFERROR(VLOOKUP(F209,MOD_TBL,11,0),IFERROR(VLOOKUP(E209,OCU_TBL,2,0),NEUTRO))</f>
        <v/>
      </c>
      <c r="BS209" s="3">
        <f>SUMIFS(MOT_AJUSTE,MOT_MOTOR,G209,MOT_MARCA,E209,MOT_DESDE,"&lt;="&amp;M209,MOT_HASTA,"&gt;="&amp;M209)+SUMIFS(MOT_AJUSTE,MOT_MOTOR,G209,MOT_MARCA,"(todas)",MOT_DESDE,"&lt;="&amp;M209,MOT_HASTA,"&gt;="&amp;M209)</f>
        <v/>
      </c>
      <c r="BT209" s="3">
        <f>SUMIFS(COMB_AJUSTE,COMB_COMB,K209)</f>
        <v/>
      </c>
      <c r="BU209" s="3">
        <f>COUNTIFS(MOT_MOTOR,G209,MOT_MARCA,E209,MOT_DESDE,"&lt;="&amp;M209,MOT_HASTA,"&gt;="&amp;M209)+COUNTIFS(MOT_MOTOR,G209,MOT_MARCA,"(todas)",MOT_DESDE,"&lt;="&amp;M209,MOT_HASTA,"&gt;="&amp;M209)</f>
        <v/>
      </c>
      <c r="BV209" s="3">
        <f>IF(AND(K209="diesel",BU209=0),MIN(BR209,NEUTRO),BR209)</f>
        <v/>
      </c>
      <c r="BW209" s="4">
        <f>MAX(0,MIN(100,BV209+BS209+BT209))</f>
        <v/>
      </c>
      <c r="BX209" s="3">
        <f>MAX(0,MIN(100,50+BK209*PRECIO_PEND))</f>
        <v/>
      </c>
      <c r="BY209" s="3">
        <f>MAX(0,100*(1-N209/KM_MAX))</f>
        <v/>
      </c>
      <c r="BZ209" s="3">
        <f>IF(BB209&lt;KMA_SOSP,IF(AA209="sí",100,KMA_PEN),IF(BB209&lt;=KMA_IDEAL_MAX,100,MAX(0,100*(KMA_CERO-BB209)/(KMA_CERO-KMA_IDEAL_MAX))))</f>
        <v/>
      </c>
      <c r="CA209" s="3">
        <f>MAX(0,MIN(100,100*(M209-ANIO_MIN)/(ANIO_ACTUAL-ANIO_MIN)))</f>
        <v/>
      </c>
      <c r="CB209" s="3">
        <f>W_KMT*BY209+W_KMA*BZ209+W_EDAD*CA209</f>
        <v/>
      </c>
      <c r="CC209" s="3">
        <f>P_ITV*(V209="sí")+P_LIBRO*(W209="sí")+P_CORREA*(X209="sí")+P_PROP*(Y209=1)+P_GAR*(Z209="sí")+P_FOTOS*MIN(1,N(U209)/FOTOS_OBJ)</f>
        <v/>
      </c>
      <c r="CD209" s="3">
        <f>MAX(0,MIN(100,IFERROR(VLOOKUP(BP209,ETQ_TBL,2,0),0)-IF(BQ209="sí",ETQ_PEN_DUD,IF(AS209="regla",ETQ_PEN_REGLA,0))))</f>
        <v/>
      </c>
      <c r="CE209" s="3">
        <f>NEUTRO</f>
        <v/>
      </c>
      <c r="CF209" s="3">
        <f>IFERROR(VLOOKUP(L209,SEGURO_TBL,3,0),"")</f>
        <v/>
      </c>
      <c r="CG209" s="3">
        <f>IF(CF209="",NEUTRO,MAX(0,MIN(100,100*(SEG_REF_MAX-CF209)/(SEG_REF_MAX-SEG_REF_MIN))))</f>
        <v/>
      </c>
      <c r="CH209" s="3">
        <f>W_CONS*CE209+W_SEG*CG209</f>
        <v/>
      </c>
      <c r="CI209" s="3">
        <f>IF(N(AB209)&gt;0,AB209,IF(AND(R209="profesional",SG_LEGAL_ON=1),GAR_LEGAL,0))</f>
        <v/>
      </c>
      <c r="CJ209" s="3">
        <f>SG_GAR*MIN(1,CI209/SG_GAR_FULL)+SG_AMPL*(AC209="sí")+SG_KMC*(AF209="sí")+SG_REV*(N(AE209)&gt;0)+SG_DEV*MIN(1,N(AG209)/SG_DEV_FULL)+SG_HIST*(W209="sí")</f>
        <v/>
      </c>
      <c r="CK209" s="3">
        <f>IFERROR(VLOOKUP(L209,CARR_PEN_TBL,2,0),0)</f>
        <v/>
      </c>
      <c r="CL209" s="3">
        <f>W_FIAB*BW209+W_PRECIO*BX209+W_KMEDAD*CB209+W_ANUNCIO*CC209+W_USO*CH209+W_SEGURIDAD*CJ209+W_ETIQUETA*CD209-CK209</f>
        <v/>
      </c>
      <c r="CM209" s="4">
        <f>IF(N(I209)&gt;0,I209,IFERROR(ROUND(_xlfn.NUMBERVALUE(LEFT(G209,FIND(" ",G209&amp;" ")-1),".")*1000,0),99999))</f>
        <v/>
      </c>
      <c r="CN209" s="3">
        <f>IF(R209="profesional",0,IF(O209&lt;CUOTA_VALOR_MAX,IF(BA209&gt;ITP_TRAMO_ALTO,SUMIFS(CF_CUOTA,CF_MAS,ITP_TRAMO_ALTO,CF_CCMIN,"&lt;="&amp;CM209,CF_CCMAX,"&gt;="&amp;CM209),IF(BA209&gt;ITP_TRAMO_BAJO,SUMIFS(CF_CUOTA,CF_MAS,ITP_TRAMO_BAJO,CF_CCMIN,"&lt;="&amp;CM209,CF_CCMAX,"&gt;="&amp;CM209),O209*ITP_TIPO)),O209*ITP_TIPO))</f>
        <v/>
      </c>
      <c r="CO209" s="4">
        <f>IF(R209="profesional",N(AK209),0)</f>
        <v/>
      </c>
      <c r="CP209" s="3">
        <f>IF(AND(R209="profesional",ISNUMBER(AK209),AL209="sí"),0,TASA_DGT)</f>
        <v/>
      </c>
      <c r="CQ209" s="3">
        <f>INFORME_DGT</f>
        <v/>
      </c>
      <c r="CR209" s="4">
        <f>O209+CO209+CN209+CP209+CQ209</f>
        <v/>
      </c>
      <c r="CS209" s="4">
        <f>CR209+N(CF209)</f>
        <v/>
      </c>
      <c r="CT209" s="3">
        <f>IF(CR209&lt;=TOTAL_MAX,"sí",IF(CR209&lt;=TOTAL_MAX+MARGEN_NEG,"negociar","no"))</f>
        <v/>
      </c>
      <c r="CU209" s="4">
        <f>IF(CT209&lt;&gt;"no",COUNTIFS($CT$2:$CT$545,"&lt;&gt;no",$CL$2:$CL$545,"&gt;"&amp;CL209)+COUNTIFS($CT$2:CT209,"&lt;&gt;no",$CL$2:CL209,CL209),"")</f>
        <v/>
      </c>
    </row>
    <row r="210">
      <c r="A210" s="2" t="inlineStr">
        <is>
          <t>cochesnet:71778568</t>
        </is>
      </c>
      <c r="B210" s="2" t="inlineStr">
        <is>
          <t>cochesnet</t>
        </is>
      </c>
      <c r="C210" s="2" t="inlineStr">
        <is>
          <t>https://www.coches.net/kia-picanto-11-sohc-lx-5p-gasolina-2007-en-valencia-71778568-covo.aspx</t>
        </is>
      </c>
      <c r="D210" s="2" t="inlineStr">
        <is>
          <t>KIA Picanto 1.1 SOHC LX</t>
        </is>
      </c>
      <c r="E210" s="2" t="inlineStr">
        <is>
          <t>Kia</t>
        </is>
      </c>
      <c r="F210" s="2" t="inlineStr">
        <is>
          <t>Kia Picanto</t>
        </is>
      </c>
      <c r="G210" s="2" t="inlineStr">
        <is>
          <t>1.1</t>
        </is>
      </c>
      <c r="H210" s="2" t="inlineStr">
        <is>
          <t>1.1 SOHC LX</t>
        </is>
      </c>
      <c r="I210" s="2" t="n"/>
      <c r="J210" s="2" t="n"/>
      <c r="K210" s="2" t="inlineStr">
        <is>
          <t>gasolina</t>
        </is>
      </c>
      <c r="L210" s="2" t="inlineStr">
        <is>
          <t>utilitario</t>
        </is>
      </c>
      <c r="M210" s="2" t="n">
        <v>2007</v>
      </c>
      <c r="N210" s="2" t="n">
        <v>200000</v>
      </c>
      <c r="O210" s="2" t="n">
        <v>2480</v>
      </c>
      <c r="P210" s="2" t="inlineStr">
        <is>
          <t>manual</t>
        </is>
      </c>
      <c r="Q210" s="2" t="inlineStr">
        <is>
          <t>no</t>
        </is>
      </c>
      <c r="R210" s="2" t="inlineStr">
        <is>
          <t>profesional</t>
        </is>
      </c>
      <c r="S210" s="2" t="inlineStr">
        <is>
          <t>AUTOMOVILES CASTILLO PEPE Manises</t>
        </is>
      </c>
      <c r="T210" s="2" t="inlineStr">
        <is>
          <t>2026-10-19T10:37:43Z</t>
        </is>
      </c>
      <c r="U210" s="2" t="n">
        <v>19</v>
      </c>
      <c r="V210" s="2" t="inlineStr">
        <is>
          <t>sí</t>
        </is>
      </c>
      <c r="W210" s="2" t="n"/>
      <c r="X210" s="2" t="inlineStr">
        <is>
          <t>sí</t>
        </is>
      </c>
      <c r="Y210" s="2" t="n"/>
      <c r="Z210" s="2" t="inlineStr">
        <is>
          <t>sí</t>
        </is>
      </c>
      <c r="AA210" s="2" t="n"/>
      <c r="AB210" s="2" t="n">
        <v>12</v>
      </c>
      <c r="AC210" s="2" t="n"/>
      <c r="AD210" s="2" t="n"/>
      <c r="AE210" s="2" t="n"/>
      <c r="AF210" s="2" t="inlineStr">
        <is>
          <t>sí</t>
        </is>
      </c>
      <c r="AG210" s="2" t="n"/>
      <c r="AH210" s="2" t="n">
        <v>2480</v>
      </c>
      <c r="AI210" s="2" t="n">
        <v>2480</v>
      </c>
      <c r="AJ210" s="2" t="n"/>
      <c r="AK210" s="2" t="n"/>
      <c r="AL210" s="2" t="n"/>
      <c r="AM210" s="2" t="n">
        <v>8.1</v>
      </c>
      <c r="AN210" s="2" t="n"/>
      <c r="AO210" s="2" t="inlineStr">
        <is>
          <t>2007</t>
        </is>
      </c>
      <c r="AP210" s="2" t="n">
        <v>2007</v>
      </c>
      <c r="AQ210" s="2" t="n"/>
      <c r="AR210" s="2" t="inlineStr">
        <is>
          <t>C</t>
        </is>
      </c>
      <c r="AS210" s="2" t="inlineStr">
        <is>
          <t>anuncio</t>
        </is>
      </c>
      <c r="AT210" s="2" t="n">
        <v>2590</v>
      </c>
      <c r="AU210" s="2" t="n">
        <v>4</v>
      </c>
      <c r="AV210" s="2" t="inlineStr">
        <is>
          <t>modelo+año</t>
        </is>
      </c>
      <c r="AW210" s="2" t="n"/>
      <c r="AX210" s="2" t="inlineStr">
        <is>
          <t>vendedor profesional: sin ITP (operación con IVA/REBU, confirmar en factura); gastos de gestión del vendedor no indicados: se suma la tasa DGT; preguntar el precio final</t>
        </is>
      </c>
      <c r="AY210" s="2" t="inlineStr">
        <is>
          <t>1. KIT DE DISTRIBUCIÓN NUEVO 
DISCOS DELANTEROS NUEVOS A TRENAR CON LAS PASTILLAS DE FRENO 
2. suspensión revisada y he cambiado piezas como rotula izquierda que estaba en mal estado 
3. Correa servicio nueva 
4. Aceite nuevo 
5. Filtro de aire nuevo
6.bomba de agua nueva 
7. Kit de embrague nuevo completo 
8. Cable de embrague al pedal nuevo
9. Bieletas de suspensión nuevas 
10. Bujías nuevas y cables de bujías nuevos también 
 TODO CON FACTURA DEMOSTRABLE 
ITV HASTA JULIO 2027 RECIEN PASADA 
* KILOMETROS CERTIFICADOS.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Z210" s="2" t="inlineStr">
        <is>
          <t>https://www.coches.net/kia-picanto-11-sohc-lx-5p-gasolina-2007-en-valencia-71778568-covo.aspx (window.__INITIAL_PROPS__.ad) /home/user/Alopecia/buscador-coches/raw/cochesnet/3d35ecebcd70427d.json</t>
        </is>
      </c>
      <c r="BA210" s="3">
        <f>MAX(ANIO_ACTUAL-M210,0)</f>
        <v/>
      </c>
      <c r="BB210" s="4">
        <f>N210/MAX(BA210,0.5)</f>
        <v/>
      </c>
      <c r="BC210" s="4">
        <f>F210</f>
        <v/>
      </c>
      <c r="BD210" s="3">
        <f>BC210&amp;"|"&amp;INT(M210/SEG_ANIO)*SEG_ANIO</f>
        <v/>
      </c>
      <c r="BE210" s="3">
        <f>BD210&amp;"|"&amp;INT(N210/SEG_KM)*SEG_KM</f>
        <v/>
      </c>
      <c r="BF210" s="4">
        <f>COUNTIF($BC$2:$BC$545,BC210)</f>
        <v/>
      </c>
      <c r="BG210" s="4">
        <f>COUNTIF($BD$2:$BD$545,BD210)</f>
        <v/>
      </c>
      <c r="BH210" s="4">
        <f>COUNTIF($BE$2:$BE$545,BE210)</f>
        <v/>
      </c>
      <c r="BI210" s="3">
        <f t="array" ref="BI210">IF(N(AU210)&gt;=MIN_N,AT210,IF(BH210&gt;=MIN_N,MEDIAN(IF($BE$2:$BE$545=BE210,$O$2:$O$545)),IF(BG210&gt;=MIN_N,MEDIAN(IF($BD$2:$BD$545=BD210,$O$2:$O$545)),MEDIAN(IF($BC$2:$BC$545=BC210,$O$2:$O$545)))))</f>
        <v/>
      </c>
      <c r="BJ210" s="3">
        <f>IF(N(AU210)&gt;=MIN_N,"mercado "&amp;AV210,IF(BH210&gt;=MIN_N,"modelo+año+km",IF(BG210&gt;=MIN_N,"modelo+año","modelo")))</f>
        <v/>
      </c>
      <c r="BK210" s="4">
        <f>(BI210-O210)/BI210</f>
        <v/>
      </c>
      <c r="BL210" s="3">
        <f>IF(COUNTIFS(FR_FUEL,K210,FR_YEAR,AP210)&gt;0,1,0)</f>
        <v/>
      </c>
      <c r="BM210" s="3">
        <f>IF(COUNTIFS(FR_FUEL,K210,FR_YEAR,AP210-1)&gt;0,1,0)</f>
        <v/>
      </c>
      <c r="BN210" s="4">
        <f>IF(N(AQ210)&gt;0,AP210*100+AQ210,IF(AND(BL210=1,BM210=1),(AP210-1)*100+1,AP210*100+1))</f>
        <v/>
      </c>
      <c r="BO210" s="3">
        <f>IF(OR(K210="hibrido",K210="glp",K210="gnc",K210="phev"),"ECO",IF(K210="electrico","CERO",IF(K210="gasolina",IF(BN210&gt;=GAS_C_YM,"C",IF(BN210&gt;=GAS_B_YM,"B","A")),IF(K210="diesel",IF(BN210&gt;=DIE_C_YM,"C",IF(BN210&gt;=DIE_B_YM,"B","A")),""))))</f>
        <v/>
      </c>
      <c r="BP210" s="2" t="inlineStr">
        <is>
          <t>C</t>
        </is>
      </c>
      <c r="BQ210" s="4">
        <f>IF(AS210="regla",IF(AND(N(AQ210)=0,BL210=1),"sí","no"),"no")</f>
        <v/>
      </c>
      <c r="BR210" s="3">
        <f>IFERROR(VLOOKUP(F210,MOD_TBL,11,0),IFERROR(VLOOKUP(E210,OCU_TBL,2,0),NEUTRO))</f>
        <v/>
      </c>
      <c r="BS210" s="3">
        <f>SUMIFS(MOT_AJUSTE,MOT_MOTOR,G210,MOT_MARCA,E210,MOT_DESDE,"&lt;="&amp;M210,MOT_HASTA,"&gt;="&amp;M210)+SUMIFS(MOT_AJUSTE,MOT_MOTOR,G210,MOT_MARCA,"(todas)",MOT_DESDE,"&lt;="&amp;M210,MOT_HASTA,"&gt;="&amp;M210)</f>
        <v/>
      </c>
      <c r="BT210" s="3">
        <f>SUMIFS(COMB_AJUSTE,COMB_COMB,K210)</f>
        <v/>
      </c>
      <c r="BU210" s="3">
        <f>COUNTIFS(MOT_MOTOR,G210,MOT_MARCA,E210,MOT_DESDE,"&lt;="&amp;M210,MOT_HASTA,"&gt;="&amp;M210)+COUNTIFS(MOT_MOTOR,G210,MOT_MARCA,"(todas)",MOT_DESDE,"&lt;="&amp;M210,MOT_HASTA,"&gt;="&amp;M210)</f>
        <v/>
      </c>
      <c r="BV210" s="3">
        <f>IF(AND(K210="diesel",BU210=0),MIN(BR210,NEUTRO),BR210)</f>
        <v/>
      </c>
      <c r="BW210" s="4">
        <f>MAX(0,MIN(100,BV210+BS210+BT210))</f>
        <v/>
      </c>
      <c r="BX210" s="3">
        <f>MAX(0,MIN(100,50+BK210*PRECIO_PEND))</f>
        <v/>
      </c>
      <c r="BY210" s="3">
        <f>MAX(0,100*(1-N210/KM_MAX))</f>
        <v/>
      </c>
      <c r="BZ210" s="3">
        <f>IF(BB210&lt;KMA_SOSP,IF(AA210="sí",100,KMA_PEN),IF(BB210&lt;=KMA_IDEAL_MAX,100,MAX(0,100*(KMA_CERO-BB210)/(KMA_CERO-KMA_IDEAL_MAX))))</f>
        <v/>
      </c>
      <c r="CA210" s="3">
        <f>MAX(0,MIN(100,100*(M210-ANIO_MIN)/(ANIO_ACTUAL-ANIO_MIN)))</f>
        <v/>
      </c>
      <c r="CB210" s="3">
        <f>W_KMT*BY210+W_KMA*BZ210+W_EDAD*CA210</f>
        <v/>
      </c>
      <c r="CC210" s="3">
        <f>P_ITV*(V210="sí")+P_LIBRO*(W210="sí")+P_CORREA*(X210="sí")+P_PROP*(Y210=1)+P_GAR*(Z210="sí")+P_FOTOS*MIN(1,N(U210)/FOTOS_OBJ)</f>
        <v/>
      </c>
      <c r="CD210" s="3">
        <f>MAX(0,MIN(100,IFERROR(VLOOKUP(BP210,ETQ_TBL,2,0),0)-IF(BQ210="sí",ETQ_PEN_DUD,IF(AS210="regla",ETQ_PEN_REGLA,0))))</f>
        <v/>
      </c>
      <c r="CE210" s="3">
        <f>NEUTRO</f>
        <v/>
      </c>
      <c r="CF210" s="3">
        <f>IFERROR(VLOOKUP(L210,SEGURO_TBL,3,0),"")</f>
        <v/>
      </c>
      <c r="CG210" s="3">
        <f>IF(CF210="",NEUTRO,MAX(0,MIN(100,100*(SEG_REF_MAX-CF210)/(SEG_REF_MAX-SEG_REF_MIN))))</f>
        <v/>
      </c>
      <c r="CH210" s="3">
        <f>W_CONS*CE210+W_SEG*CG210</f>
        <v/>
      </c>
      <c r="CI210" s="3">
        <f>IF(N(AB210)&gt;0,AB210,IF(AND(R210="profesional",SG_LEGAL_ON=1),GAR_LEGAL,0))</f>
        <v/>
      </c>
      <c r="CJ210" s="3">
        <f>SG_GAR*MIN(1,CI210/SG_GAR_FULL)+SG_AMPL*(AC210="sí")+SG_KMC*(AF210="sí")+SG_REV*(N(AE210)&gt;0)+SG_DEV*MIN(1,N(AG210)/SG_DEV_FULL)+SG_HIST*(W210="sí")</f>
        <v/>
      </c>
      <c r="CK210" s="3">
        <f>IFERROR(VLOOKUP(L210,CARR_PEN_TBL,2,0),0)</f>
        <v/>
      </c>
      <c r="CL210" s="3">
        <f>W_FIAB*BW210+W_PRECIO*BX210+W_KMEDAD*CB210+W_ANUNCIO*CC210+W_USO*CH210+W_SEGURIDAD*CJ210+W_ETIQUETA*CD210-CK210</f>
        <v/>
      </c>
      <c r="CM210" s="4">
        <f>IF(N(I210)&gt;0,I210,IFERROR(ROUND(_xlfn.NUMBERVALUE(LEFT(G210,FIND(" ",G210&amp;" ")-1),".")*1000,0),99999))</f>
        <v/>
      </c>
      <c r="CN210" s="3">
        <f>IF(R210="profesional",0,IF(O210&lt;CUOTA_VALOR_MAX,IF(BA210&gt;ITP_TRAMO_ALTO,SUMIFS(CF_CUOTA,CF_MAS,ITP_TRAMO_ALTO,CF_CCMIN,"&lt;="&amp;CM210,CF_CCMAX,"&gt;="&amp;CM210),IF(BA210&gt;ITP_TRAMO_BAJO,SUMIFS(CF_CUOTA,CF_MAS,ITP_TRAMO_BAJO,CF_CCMIN,"&lt;="&amp;CM210,CF_CCMAX,"&gt;="&amp;CM210),O210*ITP_TIPO)),O210*ITP_TIPO))</f>
        <v/>
      </c>
      <c r="CO210" s="4">
        <f>IF(R210="profesional",N(AK210),0)</f>
        <v/>
      </c>
      <c r="CP210" s="3">
        <f>IF(AND(R210="profesional",ISNUMBER(AK210),AL210="sí"),0,TASA_DGT)</f>
        <v/>
      </c>
      <c r="CQ210" s="3">
        <f>INFORME_DGT</f>
        <v/>
      </c>
      <c r="CR210" s="4">
        <f>O210+CO210+CN210+CP210+CQ210</f>
        <v/>
      </c>
      <c r="CS210" s="4">
        <f>CR210+N(CF210)</f>
        <v/>
      </c>
      <c r="CT210" s="3">
        <f>IF(CR210&lt;=TOTAL_MAX,"sí",IF(CR210&lt;=TOTAL_MAX+MARGEN_NEG,"negociar","no"))</f>
        <v/>
      </c>
      <c r="CU210" s="4">
        <f>IF(CT210&lt;&gt;"no",COUNTIFS($CT$2:$CT$545,"&lt;&gt;no",$CL$2:$CL$545,"&gt;"&amp;CL210)+COUNTIFS($CT$2:CT210,"&lt;&gt;no",$CL$2:CL210,CL210),"")</f>
        <v/>
      </c>
    </row>
    <row r="211">
      <c r="A211" s="2" t="inlineStr">
        <is>
          <t>cochesnet:71687938</t>
        </is>
      </c>
      <c r="B211" s="2" t="inlineStr">
        <is>
          <t>cochesnet</t>
        </is>
      </c>
      <c r="C211" s="2" t="inlineStr">
        <is>
          <t>https://www.coches.net/kia-picanto-11-sohc-ex-5p-gasolina-2006-en-valencia-71687938-covo.aspx</t>
        </is>
      </c>
      <c r="D211" s="2" t="inlineStr">
        <is>
          <t>KIA Picanto 1.1 SOHC EX</t>
        </is>
      </c>
      <c r="E211" s="2" t="inlineStr">
        <is>
          <t>Kia</t>
        </is>
      </c>
      <c r="F211" s="2" t="inlineStr">
        <is>
          <t>Kia Picanto</t>
        </is>
      </c>
      <c r="G211" s="2" t="inlineStr">
        <is>
          <t>1.1</t>
        </is>
      </c>
      <c r="H211" s="2" t="inlineStr">
        <is>
          <t>1.1 SOHC EX</t>
        </is>
      </c>
      <c r="I211" s="2" t="n"/>
      <c r="J211" s="2" t="n"/>
      <c r="K211" s="2" t="inlineStr">
        <is>
          <t>gasolina</t>
        </is>
      </c>
      <c r="L211" s="2" t="inlineStr">
        <is>
          <t>utilitario</t>
        </is>
      </c>
      <c r="M211" s="2" t="n">
        <v>2006</v>
      </c>
      <c r="N211" s="2" t="n">
        <v>117000</v>
      </c>
      <c r="O211" s="2" t="n">
        <v>3400</v>
      </c>
      <c r="P211" s="2" t="inlineStr">
        <is>
          <t>manual</t>
        </is>
      </c>
      <c r="Q211" s="2" t="inlineStr">
        <is>
          <t>no</t>
        </is>
      </c>
      <c r="R211" s="2" t="inlineStr">
        <is>
          <t>profesional</t>
        </is>
      </c>
      <c r="S211" s="2" t="inlineStr">
        <is>
          <t>FERNANDO SEBASTIAN Valencia</t>
        </is>
      </c>
      <c r="T211" s="2" t="inlineStr">
        <is>
          <t>2026-10-06T17:47:32Z</t>
        </is>
      </c>
      <c r="U211" s="2" t="n">
        <v>17</v>
      </c>
      <c r="V211" s="2" t="n"/>
      <c r="W211" s="2" t="n"/>
      <c r="X211" s="2" t="n"/>
      <c r="Y211" s="2" t="n"/>
      <c r="Z211" s="2" t="inlineStr">
        <is>
          <t>sí</t>
        </is>
      </c>
      <c r="AA211" s="2" t="n"/>
      <c r="AB211" s="2" t="n">
        <v>12</v>
      </c>
      <c r="AC211" s="2" t="n"/>
      <c r="AD211" s="2" t="n"/>
      <c r="AE211" s="2" t="n"/>
      <c r="AF211" s="2" t="n"/>
      <c r="AG211" s="2" t="n"/>
      <c r="AH211" s="2" t="n">
        <v>3400</v>
      </c>
      <c r="AI211" s="2" t="n"/>
      <c r="AJ211" s="2" t="n"/>
      <c r="AK211" s="2" t="n"/>
      <c r="AL211" s="2" t="n"/>
      <c r="AM211" s="2" t="n">
        <v>0.1</v>
      </c>
      <c r="AN211" s="2" t="n"/>
      <c r="AO211" s="2" t="inlineStr">
        <is>
          <t>2006</t>
        </is>
      </c>
      <c r="AP211" s="2" t="n">
        <v>2006</v>
      </c>
      <c r="AQ211" s="2" t="n"/>
      <c r="AR211" s="2" t="inlineStr">
        <is>
          <t>C</t>
        </is>
      </c>
      <c r="AS211" s="2" t="inlineStr">
        <is>
          <t>anuncio</t>
        </is>
      </c>
      <c r="AT211" s="2" t="n">
        <v>3100</v>
      </c>
      <c r="AU211" s="2" t="n">
        <v>6</v>
      </c>
      <c r="AV211" s="2" t="inlineStr">
        <is>
          <t>modelo+año</t>
        </is>
      </c>
      <c r="AW211" s="2" t="n"/>
      <c r="AX211" s="2" t="inlineStr">
        <is>
          <t>vendedor profesional: sin ITP (operación con IVA/REBU, confirmar en factura); gastos de gestión del vendedor no indicados: se suma la tasa DGT; preguntar el precio final</t>
        </is>
      </c>
      <c r="AY211" s="2" t="inlineStr">
        <is>
          <t>Kia Picanto excelente estado general Etiqueta ambiente verde C, ITV vigente, aire acondicionado, elevalunas en las 4 ventanas, retrovisores electrónico. Excelente estado general.</t>
        </is>
      </c>
      <c r="AZ211" s="2" t="inlineStr">
        <is>
          <t>https://www.coches.net/kia-picanto-11-sohc-ex-5p-gasolina-2006-en-valencia-71687938-covo.aspx (window.__INITIAL_PROPS__.ad) /home/user/Alopecia/buscador-coches/raw/cochesnet/f992aa3ba941a317.json</t>
        </is>
      </c>
      <c r="BA211" s="3">
        <f>MAX(ANIO_ACTUAL-M211,0)</f>
        <v/>
      </c>
      <c r="BB211" s="4">
        <f>N211/MAX(BA211,0.5)</f>
        <v/>
      </c>
      <c r="BC211" s="4">
        <f>F211</f>
        <v/>
      </c>
      <c r="BD211" s="3">
        <f>BC211&amp;"|"&amp;INT(M211/SEG_ANIO)*SEG_ANIO</f>
        <v/>
      </c>
      <c r="BE211" s="3">
        <f>BD211&amp;"|"&amp;INT(N211/SEG_KM)*SEG_KM</f>
        <v/>
      </c>
      <c r="BF211" s="4">
        <f>COUNTIF($BC$2:$BC$545,BC211)</f>
        <v/>
      </c>
      <c r="BG211" s="4">
        <f>COUNTIF($BD$2:$BD$545,BD211)</f>
        <v/>
      </c>
      <c r="BH211" s="4">
        <f>COUNTIF($BE$2:$BE$545,BE211)</f>
        <v/>
      </c>
      <c r="BI211" s="3">
        <f t="array" ref="BI211">IF(N(AU211)&gt;=MIN_N,AT211,IF(BH211&gt;=MIN_N,MEDIAN(IF($BE$2:$BE$545=BE211,$O$2:$O$545)),IF(BG211&gt;=MIN_N,MEDIAN(IF($BD$2:$BD$545=BD211,$O$2:$O$545)),MEDIAN(IF($BC$2:$BC$545=BC211,$O$2:$O$545)))))</f>
        <v/>
      </c>
      <c r="BJ211" s="3">
        <f>IF(N(AU211)&gt;=MIN_N,"mercado "&amp;AV211,IF(BH211&gt;=MIN_N,"modelo+año+km",IF(BG211&gt;=MIN_N,"modelo+año","modelo")))</f>
        <v/>
      </c>
      <c r="BK211" s="4">
        <f>(BI211-O211)/BI211</f>
        <v/>
      </c>
      <c r="BL211" s="3">
        <f>IF(COUNTIFS(FR_FUEL,K211,FR_YEAR,AP211)&gt;0,1,0)</f>
        <v/>
      </c>
      <c r="BM211" s="3">
        <f>IF(COUNTIFS(FR_FUEL,K211,FR_YEAR,AP211-1)&gt;0,1,0)</f>
        <v/>
      </c>
      <c r="BN211" s="4">
        <f>IF(N(AQ211)&gt;0,AP211*100+AQ211,IF(AND(BL211=1,BM211=1),(AP211-1)*100+1,AP211*100+1))</f>
        <v/>
      </c>
      <c r="BO211" s="3">
        <f>IF(OR(K211="hibrido",K211="glp",K211="gnc",K211="phev"),"ECO",IF(K211="electrico","CERO",IF(K211="gasolina",IF(BN211&gt;=GAS_C_YM,"C",IF(BN211&gt;=GAS_B_YM,"B","A")),IF(K211="diesel",IF(BN211&gt;=DIE_C_YM,"C",IF(BN211&gt;=DIE_B_YM,"B","A")),""))))</f>
        <v/>
      </c>
      <c r="BP211" s="2" t="inlineStr">
        <is>
          <t>C</t>
        </is>
      </c>
      <c r="BQ211" s="4">
        <f>IF(AS211="regla",IF(AND(N(AQ211)=0,BL211=1),"sí","no"),"no")</f>
        <v/>
      </c>
      <c r="BR211" s="3">
        <f>IFERROR(VLOOKUP(F211,MOD_TBL,11,0),IFERROR(VLOOKUP(E211,OCU_TBL,2,0),NEUTRO))</f>
        <v/>
      </c>
      <c r="BS211" s="3">
        <f>SUMIFS(MOT_AJUSTE,MOT_MOTOR,G211,MOT_MARCA,E211,MOT_DESDE,"&lt;="&amp;M211,MOT_HASTA,"&gt;="&amp;M211)+SUMIFS(MOT_AJUSTE,MOT_MOTOR,G211,MOT_MARCA,"(todas)",MOT_DESDE,"&lt;="&amp;M211,MOT_HASTA,"&gt;="&amp;M211)</f>
        <v/>
      </c>
      <c r="BT211" s="3">
        <f>SUMIFS(COMB_AJUSTE,COMB_COMB,K211)</f>
        <v/>
      </c>
      <c r="BU211" s="3">
        <f>COUNTIFS(MOT_MOTOR,G211,MOT_MARCA,E211,MOT_DESDE,"&lt;="&amp;M211,MOT_HASTA,"&gt;="&amp;M211)+COUNTIFS(MOT_MOTOR,G211,MOT_MARCA,"(todas)",MOT_DESDE,"&lt;="&amp;M211,MOT_HASTA,"&gt;="&amp;M211)</f>
        <v/>
      </c>
      <c r="BV211" s="3">
        <f>IF(AND(K211="diesel",BU211=0),MIN(BR211,NEUTRO),BR211)</f>
        <v/>
      </c>
      <c r="BW211" s="4">
        <f>MAX(0,MIN(100,BV211+BS211+BT211))</f>
        <v/>
      </c>
      <c r="BX211" s="3">
        <f>MAX(0,MIN(100,50+BK211*PRECIO_PEND))</f>
        <v/>
      </c>
      <c r="BY211" s="3">
        <f>MAX(0,100*(1-N211/KM_MAX))</f>
        <v/>
      </c>
      <c r="BZ211" s="3">
        <f>IF(BB211&lt;KMA_SOSP,IF(AA211="sí",100,KMA_PEN),IF(BB211&lt;=KMA_IDEAL_MAX,100,MAX(0,100*(KMA_CERO-BB211)/(KMA_CERO-KMA_IDEAL_MAX))))</f>
        <v/>
      </c>
      <c r="CA211" s="3">
        <f>MAX(0,MIN(100,100*(M211-ANIO_MIN)/(ANIO_ACTUAL-ANIO_MIN)))</f>
        <v/>
      </c>
      <c r="CB211" s="3">
        <f>W_KMT*BY211+W_KMA*BZ211+W_EDAD*CA211</f>
        <v/>
      </c>
      <c r="CC211" s="3">
        <f>P_ITV*(V211="sí")+P_LIBRO*(W211="sí")+P_CORREA*(X211="sí")+P_PROP*(Y211=1)+P_GAR*(Z211="sí")+P_FOTOS*MIN(1,N(U211)/FOTOS_OBJ)</f>
        <v/>
      </c>
      <c r="CD211" s="3">
        <f>MAX(0,MIN(100,IFERROR(VLOOKUP(BP211,ETQ_TBL,2,0),0)-IF(BQ211="sí",ETQ_PEN_DUD,IF(AS211="regla",ETQ_PEN_REGLA,0))))</f>
        <v/>
      </c>
      <c r="CE211" s="3">
        <f>NEUTRO</f>
        <v/>
      </c>
      <c r="CF211" s="3">
        <f>IFERROR(VLOOKUP(L211,SEGURO_TBL,3,0),"")</f>
        <v/>
      </c>
      <c r="CG211" s="3">
        <f>IF(CF211="",NEUTRO,MAX(0,MIN(100,100*(SEG_REF_MAX-CF211)/(SEG_REF_MAX-SEG_REF_MIN))))</f>
        <v/>
      </c>
      <c r="CH211" s="3">
        <f>W_CONS*CE211+W_SEG*CG211</f>
        <v/>
      </c>
      <c r="CI211" s="3">
        <f>IF(N(AB211)&gt;0,AB211,IF(AND(R211="profesional",SG_LEGAL_ON=1),GAR_LEGAL,0))</f>
        <v/>
      </c>
      <c r="CJ211" s="3">
        <f>SG_GAR*MIN(1,CI211/SG_GAR_FULL)+SG_AMPL*(AC211="sí")+SG_KMC*(AF211="sí")+SG_REV*(N(AE211)&gt;0)+SG_DEV*MIN(1,N(AG211)/SG_DEV_FULL)+SG_HIST*(W211="sí")</f>
        <v/>
      </c>
      <c r="CK211" s="3">
        <f>IFERROR(VLOOKUP(L211,CARR_PEN_TBL,2,0),0)</f>
        <v/>
      </c>
      <c r="CL211" s="3">
        <f>W_FIAB*BW211+W_PRECIO*BX211+W_KMEDAD*CB211+W_ANUNCIO*CC211+W_USO*CH211+W_SEGURIDAD*CJ211+W_ETIQUETA*CD211-CK211</f>
        <v/>
      </c>
      <c r="CM211" s="4">
        <f>IF(N(I211)&gt;0,I211,IFERROR(ROUND(_xlfn.NUMBERVALUE(LEFT(G211,FIND(" ",G211&amp;" ")-1),".")*1000,0),99999))</f>
        <v/>
      </c>
      <c r="CN211" s="3">
        <f>IF(R211="profesional",0,IF(O211&lt;CUOTA_VALOR_MAX,IF(BA211&gt;ITP_TRAMO_ALTO,SUMIFS(CF_CUOTA,CF_MAS,ITP_TRAMO_ALTO,CF_CCMIN,"&lt;="&amp;CM211,CF_CCMAX,"&gt;="&amp;CM211),IF(BA211&gt;ITP_TRAMO_BAJO,SUMIFS(CF_CUOTA,CF_MAS,ITP_TRAMO_BAJO,CF_CCMIN,"&lt;="&amp;CM211,CF_CCMAX,"&gt;="&amp;CM211),O211*ITP_TIPO)),O211*ITP_TIPO))</f>
        <v/>
      </c>
      <c r="CO211" s="4">
        <f>IF(R211="profesional",N(AK211),0)</f>
        <v/>
      </c>
      <c r="CP211" s="3">
        <f>IF(AND(R211="profesional",ISNUMBER(AK211),AL211="sí"),0,TASA_DGT)</f>
        <v/>
      </c>
      <c r="CQ211" s="3">
        <f>INFORME_DGT</f>
        <v/>
      </c>
      <c r="CR211" s="4">
        <f>O211+CO211+CN211+CP211+CQ211</f>
        <v/>
      </c>
      <c r="CS211" s="4">
        <f>CR211+N(CF211)</f>
        <v/>
      </c>
      <c r="CT211" s="3">
        <f>IF(CR211&lt;=TOTAL_MAX,"sí",IF(CR211&lt;=TOTAL_MAX+MARGEN_NEG,"negociar","no"))</f>
        <v/>
      </c>
      <c r="CU211" s="4">
        <f>IF(CT211&lt;&gt;"no",COUNTIFS($CT$2:$CT$545,"&lt;&gt;no",$CL$2:$CL$545,"&gt;"&amp;CL211)+COUNTIFS($CT$2:CT211,"&lt;&gt;no",$CL$2:CL211,CL211),"")</f>
        <v/>
      </c>
    </row>
    <row r="212">
      <c r="A212" s="2" t="inlineStr">
        <is>
          <t>cochesnet:71704887</t>
        </is>
      </c>
      <c r="B212" s="2" t="inlineStr">
        <is>
          <t>cochesnet</t>
        </is>
      </c>
      <c r="C212" s="2" t="inlineStr">
        <is>
          <t>https://www.coches.net/kia-ceed-16-crdi-115cv-emotion-5p-diesel-2009-en-valencia-71704887-covo.aspx</t>
        </is>
      </c>
      <c r="D212" s="2" t="inlineStr">
        <is>
          <t>KIA cee'd 1.6 CRDi Emotion</t>
        </is>
      </c>
      <c r="E212" s="2" t="inlineStr">
        <is>
          <t>Kia</t>
        </is>
      </c>
      <c r="F212" s="2" t="inlineStr">
        <is>
          <t>Kia Ceed</t>
        </is>
      </c>
      <c r="G212" s="2" t="inlineStr">
        <is>
          <t>1.6 CRDi</t>
        </is>
      </c>
      <c r="H212" s="2" t="inlineStr">
        <is>
          <t>1.6 CRDi 115cv Emotion</t>
        </is>
      </c>
      <c r="I212" s="2" t="n"/>
      <c r="J212" s="2" t="n">
        <v>115</v>
      </c>
      <c r="K212" s="2" t="inlineStr">
        <is>
          <t>diesel</t>
        </is>
      </c>
      <c r="L212" s="2" t="inlineStr">
        <is>
          <t>compacto</t>
        </is>
      </c>
      <c r="M212" s="2" t="n">
        <v>2008</v>
      </c>
      <c r="N212" s="2" t="n">
        <v>110000</v>
      </c>
      <c r="O212" s="2" t="n">
        <v>4990</v>
      </c>
      <c r="P212" s="2" t="inlineStr">
        <is>
          <t>manual</t>
        </is>
      </c>
      <c r="Q212" s="2" t="inlineStr">
        <is>
          <t>no</t>
        </is>
      </c>
      <c r="R212" s="2" t="inlineStr">
        <is>
          <t>profesional</t>
        </is>
      </c>
      <c r="S212" s="2" t="inlineStr">
        <is>
          <t>Autos Solea Alboraya</t>
        </is>
      </c>
      <c r="T212" s="2" t="inlineStr">
        <is>
          <t>2026-10-08T17:37:41Z</t>
        </is>
      </c>
      <c r="U212" s="2" t="n">
        <v>17</v>
      </c>
      <c r="V212" s="2" t="n"/>
      <c r="W212" s="2" t="n"/>
      <c r="X212" s="2" t="n"/>
      <c r="Y212" s="2" t="n"/>
      <c r="Z212" s="2" t="inlineStr">
        <is>
          <t>sí</t>
        </is>
      </c>
      <c r="AA212" s="2" t="n"/>
      <c r="AB212" s="2" t="n">
        <v>12</v>
      </c>
      <c r="AC212" s="2" t="n"/>
      <c r="AD212" s="2" t="n"/>
      <c r="AE212" s="2" t="n"/>
      <c r="AF212" s="2" t="n"/>
      <c r="AG212" s="2" t="n"/>
      <c r="AH212" s="2" t="n">
        <v>4990</v>
      </c>
      <c r="AI212" s="2" t="n">
        <v>4990</v>
      </c>
      <c r="AJ212" s="2" t="n"/>
      <c r="AK212" s="2" t="n"/>
      <c r="AL212" s="2" t="n"/>
      <c r="AM212" s="2" t="n">
        <v>4</v>
      </c>
      <c r="AN212" s="2" t="n"/>
      <c r="AO212" s="2" t="inlineStr">
        <is>
          <t>2008</t>
        </is>
      </c>
      <c r="AP212" s="2" t="n">
        <v>2008</v>
      </c>
      <c r="AQ212" s="2" t="n"/>
      <c r="AR212" s="2" t="inlineStr">
        <is>
          <t>B</t>
        </is>
      </c>
      <c r="AS212" s="2" t="inlineStr">
        <is>
          <t>anuncio</t>
        </is>
      </c>
      <c r="AT212" s="2" t="n"/>
      <c r="AU212" s="2" t="n"/>
      <c r="AV212" s="2" t="n"/>
      <c r="AW212" s="2" t="n"/>
      <c r="AX212"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mediana con solo 2 anuncio(s)</t>
        </is>
      </c>
      <c r="AY212" s="2" t="inlineStr">
        <is>
          <t>Kia Ceed Pro_Cee’d 1.6 CRDi Diésel – 2008 | 110.000 km | 3 puertas
Se vende Kia Ceed 1.6 CRDi diésel del año 2008, con únicamente 110.000 km y carrocería deportiva de 3 puertas.
Vehículo que destaca por su bajo kilometraje para su antigüedad, su diseño deportivo y su motor 1.6 CRDi diésel, conocido por ofrecer un buen equilibrio entre prestaciones, fiabilidad y consumo de combustible.
Una opción ideal para quien busca un coche económico, práctico y cómodo tanto para ciudad como para carretera.
* Motor 1.6 CRDi turbodiésel
* Año 2008
* Solo 110.000 km
* Carrocería deportiva de 3 puertas
* Cambio manual
* 5 plazas
* Bajo consumo de combustible
* Dirección asistida
* Aire acondicionado / climatizador según equipamiento
* Elevalunas eléctricos
* Cierre centralizado con mando
* Ordenador de a bordo
* Radio / sistema de sonido
* Volante regulable
* Retrovisores eléctricos según versión
* ABS
* Control de estabilidad según equipamiento
* Airbags frontales y laterales
* Anclajes ISOFIX
* Asientos traseros abatibles
* Buen espacio interior
* Maletero amplio para su segmento
Estado
Una unidad especialmente interesante por contar con tan solo 110.000 km, un kilometraje reducido para un vehículo del año 2008.
El Kia Ceed destaca por su comodidad, practicidad y economía de uso. Su carrocería de tres puertas le aporta una estética más deportiva sin renunciar a la funcionalidad de un compacto.
Una excelente oportunidad para adquirir un Kia Ceed 1.6 CRDi diésel con pocos kilómetros y</t>
        </is>
      </c>
      <c r="AZ212" s="2" t="inlineStr">
        <is>
          <t>https://www.coches.net/kia-ceed-16-crdi-115cv-emotion-5p-diesel-2009-en-valencia-71704887-covo.aspx (window.__INITIAL_PROPS__.ad) /home/user/Alopecia/buscador-coches/raw/cochesnet/078396f3bbbe76a5.json</t>
        </is>
      </c>
      <c r="BA212" s="3">
        <f>MAX(ANIO_ACTUAL-M212,0)</f>
        <v/>
      </c>
      <c r="BB212" s="4">
        <f>N212/MAX(BA212,0.5)</f>
        <v/>
      </c>
      <c r="BC212" s="4">
        <f>F212</f>
        <v/>
      </c>
      <c r="BD212" s="3">
        <f>BC212&amp;"|"&amp;INT(M212/SEG_ANIO)*SEG_ANIO</f>
        <v/>
      </c>
      <c r="BE212" s="3">
        <f>BD212&amp;"|"&amp;INT(N212/SEG_KM)*SEG_KM</f>
        <v/>
      </c>
      <c r="BF212" s="4">
        <f>COUNTIF($BC$2:$BC$545,BC212)</f>
        <v/>
      </c>
      <c r="BG212" s="4">
        <f>COUNTIF($BD$2:$BD$545,BD212)</f>
        <v/>
      </c>
      <c r="BH212" s="4">
        <f>COUNTIF($BE$2:$BE$545,BE212)</f>
        <v/>
      </c>
      <c r="BI212" s="3">
        <f t="array" ref="BI212">IF(N(AU212)&gt;=MIN_N,AT212,IF(BH212&gt;=MIN_N,MEDIAN(IF($BE$2:$BE$545=BE212,$O$2:$O$545)),IF(BG212&gt;=MIN_N,MEDIAN(IF($BD$2:$BD$545=BD212,$O$2:$O$545)),MEDIAN(IF($BC$2:$BC$545=BC212,$O$2:$O$545)))))</f>
        <v/>
      </c>
      <c r="BJ212" s="3">
        <f>IF(N(AU212)&gt;=MIN_N,"mercado "&amp;AV212,IF(BH212&gt;=MIN_N,"modelo+año+km",IF(BG212&gt;=MIN_N,"modelo+año","modelo")))</f>
        <v/>
      </c>
      <c r="BK212" s="4">
        <f>(BI212-O212)/BI212</f>
        <v/>
      </c>
      <c r="BL212" s="3">
        <f>IF(COUNTIFS(FR_FUEL,K212,FR_YEAR,AP212)&gt;0,1,0)</f>
        <v/>
      </c>
      <c r="BM212" s="3">
        <f>IF(COUNTIFS(FR_FUEL,K212,FR_YEAR,AP212-1)&gt;0,1,0)</f>
        <v/>
      </c>
      <c r="BN212" s="4">
        <f>IF(N(AQ212)&gt;0,AP212*100+AQ212,IF(AND(BL212=1,BM212=1),(AP212-1)*100+1,AP212*100+1))</f>
        <v/>
      </c>
      <c r="BO212" s="3">
        <f>IF(OR(K212="hibrido",K212="glp",K212="gnc",K212="phev"),"ECO",IF(K212="electrico","CERO",IF(K212="gasolina",IF(BN212&gt;=GAS_C_YM,"C",IF(BN212&gt;=GAS_B_YM,"B","A")),IF(K212="diesel",IF(BN212&gt;=DIE_C_YM,"C",IF(BN212&gt;=DIE_B_YM,"B","A")),""))))</f>
        <v/>
      </c>
      <c r="BP212" s="2" t="inlineStr">
        <is>
          <t>B</t>
        </is>
      </c>
      <c r="BQ212" s="4">
        <f>IF(AS212="regla",IF(AND(N(AQ212)=0,BL212=1),"sí","no"),"no")</f>
        <v/>
      </c>
      <c r="BR212" s="3">
        <f>IFERROR(VLOOKUP(F212,MOD_TBL,11,0),IFERROR(VLOOKUP(E212,OCU_TBL,2,0),NEUTRO))</f>
        <v/>
      </c>
      <c r="BS212" s="3">
        <f>SUMIFS(MOT_AJUSTE,MOT_MOTOR,G212,MOT_MARCA,E212,MOT_DESDE,"&lt;="&amp;M212,MOT_HASTA,"&gt;="&amp;M212)+SUMIFS(MOT_AJUSTE,MOT_MOTOR,G212,MOT_MARCA,"(todas)",MOT_DESDE,"&lt;="&amp;M212,MOT_HASTA,"&gt;="&amp;M212)</f>
        <v/>
      </c>
      <c r="BT212" s="3">
        <f>SUMIFS(COMB_AJUSTE,COMB_COMB,K212)</f>
        <v/>
      </c>
      <c r="BU212" s="3">
        <f>COUNTIFS(MOT_MOTOR,G212,MOT_MARCA,E212,MOT_DESDE,"&lt;="&amp;M212,MOT_HASTA,"&gt;="&amp;M212)+COUNTIFS(MOT_MOTOR,G212,MOT_MARCA,"(todas)",MOT_DESDE,"&lt;="&amp;M212,MOT_HASTA,"&gt;="&amp;M212)</f>
        <v/>
      </c>
      <c r="BV212" s="3">
        <f>IF(AND(K212="diesel",BU212=0),MIN(BR212,NEUTRO),BR212)</f>
        <v/>
      </c>
      <c r="BW212" s="4">
        <f>MAX(0,MIN(100,BV212+BS212+BT212))</f>
        <v/>
      </c>
      <c r="BX212" s="3">
        <f>MAX(0,MIN(100,50+BK212*PRECIO_PEND))</f>
        <v/>
      </c>
      <c r="BY212" s="3">
        <f>MAX(0,100*(1-N212/KM_MAX))</f>
        <v/>
      </c>
      <c r="BZ212" s="3">
        <f>IF(BB212&lt;KMA_SOSP,IF(AA212="sí",100,KMA_PEN),IF(BB212&lt;=KMA_IDEAL_MAX,100,MAX(0,100*(KMA_CERO-BB212)/(KMA_CERO-KMA_IDEAL_MAX))))</f>
        <v/>
      </c>
      <c r="CA212" s="3">
        <f>MAX(0,MIN(100,100*(M212-ANIO_MIN)/(ANIO_ACTUAL-ANIO_MIN)))</f>
        <v/>
      </c>
      <c r="CB212" s="3">
        <f>W_KMT*BY212+W_KMA*BZ212+W_EDAD*CA212</f>
        <v/>
      </c>
      <c r="CC212" s="3">
        <f>P_ITV*(V212="sí")+P_LIBRO*(W212="sí")+P_CORREA*(X212="sí")+P_PROP*(Y212=1)+P_GAR*(Z212="sí")+P_FOTOS*MIN(1,N(U212)/FOTOS_OBJ)</f>
        <v/>
      </c>
      <c r="CD212" s="3">
        <f>MAX(0,MIN(100,IFERROR(VLOOKUP(BP212,ETQ_TBL,2,0),0)-IF(BQ212="sí",ETQ_PEN_DUD,IF(AS212="regla",ETQ_PEN_REGLA,0))))</f>
        <v/>
      </c>
      <c r="CE212" s="3">
        <f>NEUTRO</f>
        <v/>
      </c>
      <c r="CF212" s="3">
        <f>IFERROR(VLOOKUP(L212,SEGURO_TBL,3,0),"")</f>
        <v/>
      </c>
      <c r="CG212" s="3">
        <f>IF(CF212="",NEUTRO,MAX(0,MIN(100,100*(SEG_REF_MAX-CF212)/(SEG_REF_MAX-SEG_REF_MIN))))</f>
        <v/>
      </c>
      <c r="CH212" s="3">
        <f>W_CONS*CE212+W_SEG*CG212</f>
        <v/>
      </c>
      <c r="CI212" s="3">
        <f>IF(N(AB212)&gt;0,AB212,IF(AND(R212="profesional",SG_LEGAL_ON=1),GAR_LEGAL,0))</f>
        <v/>
      </c>
      <c r="CJ212" s="3">
        <f>SG_GAR*MIN(1,CI212/SG_GAR_FULL)+SG_AMPL*(AC212="sí")+SG_KMC*(AF212="sí")+SG_REV*(N(AE212)&gt;0)+SG_DEV*MIN(1,N(AG212)/SG_DEV_FULL)+SG_HIST*(W212="sí")</f>
        <v/>
      </c>
      <c r="CK212" s="3">
        <f>IFERROR(VLOOKUP(L212,CARR_PEN_TBL,2,0),0)</f>
        <v/>
      </c>
      <c r="CL212" s="3">
        <f>W_FIAB*BW212+W_PRECIO*BX212+W_KMEDAD*CB212+W_ANUNCIO*CC212+W_USO*CH212+W_SEGURIDAD*CJ212+W_ETIQUETA*CD212-CK212</f>
        <v/>
      </c>
      <c r="CM212" s="4">
        <f>IF(N(I212)&gt;0,I212,IFERROR(ROUND(_xlfn.NUMBERVALUE(LEFT(G212,FIND(" ",G212&amp;" ")-1),".")*1000,0),99999))</f>
        <v/>
      </c>
      <c r="CN212" s="3">
        <f>IF(R212="profesional",0,IF(O212&lt;CUOTA_VALOR_MAX,IF(BA212&gt;ITP_TRAMO_ALTO,SUMIFS(CF_CUOTA,CF_MAS,ITP_TRAMO_ALTO,CF_CCMIN,"&lt;="&amp;CM212,CF_CCMAX,"&gt;="&amp;CM212),IF(BA212&gt;ITP_TRAMO_BAJO,SUMIFS(CF_CUOTA,CF_MAS,ITP_TRAMO_BAJO,CF_CCMIN,"&lt;="&amp;CM212,CF_CCMAX,"&gt;="&amp;CM212),O212*ITP_TIPO)),O212*ITP_TIPO))</f>
        <v/>
      </c>
      <c r="CO212" s="4">
        <f>IF(R212="profesional",N(AK212),0)</f>
        <v/>
      </c>
      <c r="CP212" s="3">
        <f>IF(AND(R212="profesional",ISNUMBER(AK212),AL212="sí"),0,TASA_DGT)</f>
        <v/>
      </c>
      <c r="CQ212" s="3">
        <f>INFORME_DGT</f>
        <v/>
      </c>
      <c r="CR212" s="4">
        <f>O212+CO212+CN212+CP212+CQ212</f>
        <v/>
      </c>
      <c r="CS212" s="4">
        <f>CR212+N(CF212)</f>
        <v/>
      </c>
      <c r="CT212" s="3">
        <f>IF(CR212&lt;=TOTAL_MAX,"sí",IF(CR212&lt;=TOTAL_MAX+MARGEN_NEG,"negociar","no"))</f>
        <v/>
      </c>
      <c r="CU212" s="4">
        <f>IF(CT212&lt;&gt;"no",COUNTIFS($CT$2:$CT$545,"&lt;&gt;no",$CL$2:$CL$545,"&gt;"&amp;CL212)+COUNTIFS($CT$2:CT212,"&lt;&gt;no",$CL$2:CL212,CL212),"")</f>
        <v/>
      </c>
    </row>
    <row r="213">
      <c r="A213" s="2" t="inlineStr">
        <is>
          <t>cochesnet:71871606</t>
        </is>
      </c>
      <c r="B213" s="2" t="inlineStr">
        <is>
          <t>cochesnet</t>
        </is>
      </c>
      <c r="C213" s="2" t="inlineStr">
        <is>
          <t>https://www.coches.net/hyundai-matrix-15-16v-crdi-110cv-gls-full-5p-diesel-2005-en-valencia-71871606-covo.aspx</t>
        </is>
      </c>
      <c r="D213" s="2" t="inlineStr">
        <is>
          <t>HYUNDAI Matrix 1.5 16v CRDi GLS Full</t>
        </is>
      </c>
      <c r="E213" s="2" t="inlineStr">
        <is>
          <t>Hyundai</t>
        </is>
      </c>
      <c r="F213" s="2" t="inlineStr">
        <is>
          <t>Hyundai Matrix</t>
        </is>
      </c>
      <c r="G213" s="2" t="inlineStr">
        <is>
          <t>1.5 CRDi</t>
        </is>
      </c>
      <c r="H213" s="2" t="inlineStr">
        <is>
          <t>1.5 16v CRDi 110cv GLS Full</t>
        </is>
      </c>
      <c r="I213" s="2" t="n"/>
      <c r="J213" s="2" t="n">
        <v>110</v>
      </c>
      <c r="K213" s="2" t="inlineStr">
        <is>
          <t>diesel</t>
        </is>
      </c>
      <c r="L213" s="2" t="inlineStr">
        <is>
          <t>monovolumen_pequeno</t>
        </is>
      </c>
      <c r="M213" s="2" t="n">
        <v>2006</v>
      </c>
      <c r="N213" s="2" t="n">
        <v>170000</v>
      </c>
      <c r="O213" s="2" t="n">
        <v>2490</v>
      </c>
      <c r="P213" s="2" t="inlineStr">
        <is>
          <t>manual</t>
        </is>
      </c>
      <c r="Q213" s="2" t="inlineStr">
        <is>
          <t>no</t>
        </is>
      </c>
      <c r="R213" s="2" t="inlineStr">
        <is>
          <t>profesional</t>
        </is>
      </c>
      <c r="S213" s="2" t="inlineStr">
        <is>
          <t>AutoEco Valencia</t>
        </is>
      </c>
      <c r="T213" s="2" t="inlineStr">
        <is>
          <t>2026-10-30T14:58:17Z</t>
        </is>
      </c>
      <c r="U213" s="2" t="n">
        <v>9</v>
      </c>
      <c r="V213" s="2" t="n"/>
      <c r="W213" s="2" t="inlineStr">
        <is>
          <t>sí</t>
        </is>
      </c>
      <c r="X213" s="2" t="n"/>
      <c r="Y213" s="2" t="n"/>
      <c r="Z213" s="2" t="inlineStr">
        <is>
          <t>sí</t>
        </is>
      </c>
      <c r="AA213" s="2" t="n"/>
      <c r="AB213" s="2" t="n">
        <v>12</v>
      </c>
      <c r="AC213" s="2" t="n"/>
      <c r="AD213" s="2" t="n"/>
      <c r="AE213" s="2" t="n"/>
      <c r="AF213" s="2" t="n"/>
      <c r="AG213" s="2" t="n"/>
      <c r="AH213" s="2" t="n">
        <v>2490</v>
      </c>
      <c r="AI213" s="2" t="n">
        <v>2490</v>
      </c>
      <c r="AJ213" s="2" t="n"/>
      <c r="AK213" s="2" t="n"/>
      <c r="AL213" s="2" t="n"/>
      <c r="AM213" s="2" t="n">
        <v>0.1</v>
      </c>
      <c r="AN213" s="2" t="n"/>
      <c r="AO213" s="2" t="inlineStr">
        <is>
          <t>2006</t>
        </is>
      </c>
      <c r="AP213" s="2" t="n">
        <v>2006</v>
      </c>
      <c r="AQ213" s="2" t="n"/>
      <c r="AR213" s="2" t="inlineStr">
        <is>
          <t>B</t>
        </is>
      </c>
      <c r="AS213" s="2" t="inlineStr">
        <is>
          <t>anuncio</t>
        </is>
      </c>
      <c r="AT213" s="2" t="n"/>
      <c r="AU213" s="2" t="n"/>
      <c r="AV213" s="2" t="n"/>
      <c r="AW213" s="2" t="n"/>
      <c r="AX213"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3 anuncio(s)</t>
        </is>
      </c>
      <c r="AY213"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-Desgaste exterior de chapa (Opcion de pintar Capo y techo + 250€)
-Interior impecable.
-Motor Hyundai CADENA de distribución, no correa.
-Aire acondicionado.
-Dirección asistida.
-Radio CD. 
- 1 año de Garantía incluida en precio con opción de ampliación. 
*Se entrega con ITV y mantenimiento al día, listo para circular.*
Este anuncio puede contener algún error tipográfico o de transcripción. 
Para más información contacten sin compromiso.</t>
        </is>
      </c>
      <c r="AZ213" s="2" t="inlineStr">
        <is>
          <t>https://www.coches.net/hyundai-matrix-15-16v-crdi-110cv-gls-full-5p-diesel-2005-en-valencia-71871606-covo.aspx (window.__INITIAL_PROPS__.ad) /home/user/Alopecia/buscador-coches/raw/cochesnet/c92d11b2be67b96f.json</t>
        </is>
      </c>
      <c r="BA213" s="3">
        <f>MAX(ANIO_ACTUAL-M213,0)</f>
        <v/>
      </c>
      <c r="BB213" s="4">
        <f>N213/MAX(BA213,0.5)</f>
        <v/>
      </c>
      <c r="BC213" s="4">
        <f>F213</f>
        <v/>
      </c>
      <c r="BD213" s="3">
        <f>BC213&amp;"|"&amp;INT(M213/SEG_ANIO)*SEG_ANIO</f>
        <v/>
      </c>
      <c r="BE213" s="3">
        <f>BD213&amp;"|"&amp;INT(N213/SEG_KM)*SEG_KM</f>
        <v/>
      </c>
      <c r="BF213" s="4">
        <f>COUNTIF($BC$2:$BC$545,BC213)</f>
        <v/>
      </c>
      <c r="BG213" s="4">
        <f>COUNTIF($BD$2:$BD$545,BD213)</f>
        <v/>
      </c>
      <c r="BH213" s="4">
        <f>COUNTIF($BE$2:$BE$545,BE213)</f>
        <v/>
      </c>
      <c r="BI213" s="3">
        <f t="array" ref="BI213">IF(N(AU213)&gt;=MIN_N,AT213,IF(BH213&gt;=MIN_N,MEDIAN(IF($BE$2:$BE$545=BE213,$O$2:$O$545)),IF(BG213&gt;=MIN_N,MEDIAN(IF($BD$2:$BD$545=BD213,$O$2:$O$545)),MEDIAN(IF($BC$2:$BC$545=BC213,$O$2:$O$545)))))</f>
        <v/>
      </c>
      <c r="BJ213" s="3">
        <f>IF(N(AU213)&gt;=MIN_N,"mercado "&amp;AV213,IF(BH213&gt;=MIN_N,"modelo+año+km",IF(BG213&gt;=MIN_N,"modelo+año","modelo")))</f>
        <v/>
      </c>
      <c r="BK213" s="4">
        <f>(BI213-O213)/BI213</f>
        <v/>
      </c>
      <c r="BL213" s="3">
        <f>IF(COUNTIFS(FR_FUEL,K213,FR_YEAR,AP213)&gt;0,1,0)</f>
        <v/>
      </c>
      <c r="BM213" s="3">
        <f>IF(COUNTIFS(FR_FUEL,K213,FR_YEAR,AP213-1)&gt;0,1,0)</f>
        <v/>
      </c>
      <c r="BN213" s="4">
        <f>IF(N(AQ213)&gt;0,AP213*100+AQ213,IF(AND(BL213=1,BM213=1),(AP213-1)*100+1,AP213*100+1))</f>
        <v/>
      </c>
      <c r="BO213" s="3">
        <f>IF(OR(K213="hibrido",K213="glp",K213="gnc",K213="phev"),"ECO",IF(K213="electrico","CERO",IF(K213="gasolina",IF(BN213&gt;=GAS_C_YM,"C",IF(BN213&gt;=GAS_B_YM,"B","A")),IF(K213="diesel",IF(BN213&gt;=DIE_C_YM,"C",IF(BN213&gt;=DIE_B_YM,"B","A")),""))))</f>
        <v/>
      </c>
      <c r="BP213" s="2" t="inlineStr">
        <is>
          <t>B</t>
        </is>
      </c>
      <c r="BQ213" s="4">
        <f>IF(AS213="regla",IF(AND(N(AQ213)=0,BL213=1),"sí","no"),"no")</f>
        <v/>
      </c>
      <c r="BR213" s="3">
        <f>IFERROR(VLOOKUP(F213,MOD_TBL,11,0),IFERROR(VLOOKUP(E213,OCU_TBL,2,0),NEUTRO))</f>
        <v/>
      </c>
      <c r="BS213" s="3">
        <f>SUMIFS(MOT_AJUSTE,MOT_MOTOR,G213,MOT_MARCA,E213,MOT_DESDE,"&lt;="&amp;M213,MOT_HASTA,"&gt;="&amp;M213)+SUMIFS(MOT_AJUSTE,MOT_MOTOR,G213,MOT_MARCA,"(todas)",MOT_DESDE,"&lt;="&amp;M213,MOT_HASTA,"&gt;="&amp;M213)</f>
        <v/>
      </c>
      <c r="BT213" s="3">
        <f>SUMIFS(COMB_AJUSTE,COMB_COMB,K213)</f>
        <v/>
      </c>
      <c r="BU213" s="3">
        <f>COUNTIFS(MOT_MOTOR,G213,MOT_MARCA,E213,MOT_DESDE,"&lt;="&amp;M213,MOT_HASTA,"&gt;="&amp;M213)+COUNTIFS(MOT_MOTOR,G213,MOT_MARCA,"(todas)",MOT_DESDE,"&lt;="&amp;M213,MOT_HASTA,"&gt;="&amp;M213)</f>
        <v/>
      </c>
      <c r="BV213" s="3">
        <f>IF(AND(K213="diesel",BU213=0),MIN(BR213,NEUTRO),BR213)</f>
        <v/>
      </c>
      <c r="BW213" s="4">
        <f>MAX(0,MIN(100,BV213+BS213+BT213))</f>
        <v/>
      </c>
      <c r="BX213" s="3">
        <f>MAX(0,MIN(100,50+BK213*PRECIO_PEND))</f>
        <v/>
      </c>
      <c r="BY213" s="3">
        <f>MAX(0,100*(1-N213/KM_MAX))</f>
        <v/>
      </c>
      <c r="BZ213" s="3">
        <f>IF(BB213&lt;KMA_SOSP,IF(AA213="sí",100,KMA_PEN),IF(BB213&lt;=KMA_IDEAL_MAX,100,MAX(0,100*(KMA_CERO-BB213)/(KMA_CERO-KMA_IDEAL_MAX))))</f>
        <v/>
      </c>
      <c r="CA213" s="3">
        <f>MAX(0,MIN(100,100*(M213-ANIO_MIN)/(ANIO_ACTUAL-ANIO_MIN)))</f>
        <v/>
      </c>
      <c r="CB213" s="3">
        <f>W_KMT*BY213+W_KMA*BZ213+W_EDAD*CA213</f>
        <v/>
      </c>
      <c r="CC213" s="3">
        <f>P_ITV*(V213="sí")+P_LIBRO*(W213="sí")+P_CORREA*(X213="sí")+P_PROP*(Y213=1)+P_GAR*(Z213="sí")+P_FOTOS*MIN(1,N(U213)/FOTOS_OBJ)</f>
        <v/>
      </c>
      <c r="CD213" s="3">
        <f>MAX(0,MIN(100,IFERROR(VLOOKUP(BP213,ETQ_TBL,2,0),0)-IF(BQ213="sí",ETQ_PEN_DUD,IF(AS213="regla",ETQ_PEN_REGLA,0))))</f>
        <v/>
      </c>
      <c r="CE213" s="3">
        <f>NEUTRO</f>
        <v/>
      </c>
      <c r="CF213" s="3">
        <f>IFERROR(VLOOKUP(L213,SEGURO_TBL,3,0),"")</f>
        <v/>
      </c>
      <c r="CG213" s="3">
        <f>IF(CF213="",NEUTRO,MAX(0,MIN(100,100*(SEG_REF_MAX-CF213)/(SEG_REF_MAX-SEG_REF_MIN))))</f>
        <v/>
      </c>
      <c r="CH213" s="3">
        <f>W_CONS*CE213+W_SEG*CG213</f>
        <v/>
      </c>
      <c r="CI213" s="3">
        <f>IF(N(AB213)&gt;0,AB213,IF(AND(R213="profesional",SG_LEGAL_ON=1),GAR_LEGAL,0))</f>
        <v/>
      </c>
      <c r="CJ213" s="3">
        <f>SG_GAR*MIN(1,CI213/SG_GAR_FULL)+SG_AMPL*(AC213="sí")+SG_KMC*(AF213="sí")+SG_REV*(N(AE213)&gt;0)+SG_DEV*MIN(1,N(AG213)/SG_DEV_FULL)+SG_HIST*(W213="sí")</f>
        <v/>
      </c>
      <c r="CK213" s="3">
        <f>IFERROR(VLOOKUP(L213,CARR_PEN_TBL,2,0),0)</f>
        <v/>
      </c>
      <c r="CL213" s="3">
        <f>W_FIAB*BW213+W_PRECIO*BX213+W_KMEDAD*CB213+W_ANUNCIO*CC213+W_USO*CH213+W_SEGURIDAD*CJ213+W_ETIQUETA*CD213-CK213</f>
        <v/>
      </c>
      <c r="CM213" s="4">
        <f>IF(N(I213)&gt;0,I213,IFERROR(ROUND(_xlfn.NUMBERVALUE(LEFT(G213,FIND(" ",G213&amp;" ")-1),".")*1000,0),99999))</f>
        <v/>
      </c>
      <c r="CN213" s="3">
        <f>IF(R213="profesional",0,IF(O213&lt;CUOTA_VALOR_MAX,IF(BA213&gt;ITP_TRAMO_ALTO,SUMIFS(CF_CUOTA,CF_MAS,ITP_TRAMO_ALTO,CF_CCMIN,"&lt;="&amp;CM213,CF_CCMAX,"&gt;="&amp;CM213),IF(BA213&gt;ITP_TRAMO_BAJO,SUMIFS(CF_CUOTA,CF_MAS,ITP_TRAMO_BAJO,CF_CCMIN,"&lt;="&amp;CM213,CF_CCMAX,"&gt;="&amp;CM213),O213*ITP_TIPO)),O213*ITP_TIPO))</f>
        <v/>
      </c>
      <c r="CO213" s="4">
        <f>IF(R213="profesional",N(AK213),0)</f>
        <v/>
      </c>
      <c r="CP213" s="3">
        <f>IF(AND(R213="profesional",ISNUMBER(AK213),AL213="sí"),0,TASA_DGT)</f>
        <v/>
      </c>
      <c r="CQ213" s="3">
        <f>INFORME_DGT</f>
        <v/>
      </c>
      <c r="CR213" s="4">
        <f>O213+CO213+CN213+CP213+CQ213</f>
        <v/>
      </c>
      <c r="CS213" s="4">
        <f>CR213+N(CF213)</f>
        <v/>
      </c>
      <c r="CT213" s="3">
        <f>IF(CR213&lt;=TOTAL_MAX,"sí",IF(CR213&lt;=TOTAL_MAX+MARGEN_NEG,"negociar","no"))</f>
        <v/>
      </c>
      <c r="CU213" s="4">
        <f>IF(CT213&lt;&gt;"no",COUNTIFS($CT$2:$CT$545,"&lt;&gt;no",$CL$2:$CL$545,"&gt;"&amp;CL213)+COUNTIFS($CT$2:CT213,"&lt;&gt;no",$CL$2:CL213,CL213),"")</f>
        <v/>
      </c>
    </row>
    <row r="214">
      <c r="A214" s="2" t="inlineStr">
        <is>
          <t>cochesnet:71817936</t>
        </is>
      </c>
      <c r="B214" s="2" t="inlineStr">
        <is>
          <t>cochesnet</t>
        </is>
      </c>
      <c r="C214" s="2" t="inlineStr">
        <is>
          <t>https://www.coches.net/hyundai-matrix-15-16v-crdi-110cv-gls-full-5p-diesel-2005-en-valencia-71817936-covo.aspx</t>
        </is>
      </c>
      <c r="D214" s="2" t="inlineStr">
        <is>
          <t>HYUNDAI Matrix 1.5 16v CRDi GLS Full</t>
        </is>
      </c>
      <c r="E214" s="2" t="inlineStr">
        <is>
          <t>Hyundai</t>
        </is>
      </c>
      <c r="F214" s="2" t="inlineStr">
        <is>
          <t>Hyundai Matrix</t>
        </is>
      </c>
      <c r="G214" s="2" t="inlineStr">
        <is>
          <t>1.5 CRDi</t>
        </is>
      </c>
      <c r="H214" s="2" t="inlineStr">
        <is>
          <t>1.5 16v CRDi 110cv GLS Full</t>
        </is>
      </c>
      <c r="I214" s="2" t="n"/>
      <c r="J214" s="2" t="n">
        <v>110</v>
      </c>
      <c r="K214" s="2" t="inlineStr">
        <is>
          <t>diesel</t>
        </is>
      </c>
      <c r="L214" s="2" t="inlineStr">
        <is>
          <t>monovolumen_pequeno</t>
        </is>
      </c>
      <c r="M214" s="2" t="n">
        <v>2007</v>
      </c>
      <c r="N214" s="2" t="n">
        <v>129000</v>
      </c>
      <c r="O214" s="2" t="n">
        <v>3990</v>
      </c>
      <c r="P214" s="2" t="inlineStr">
        <is>
          <t>manual</t>
        </is>
      </c>
      <c r="Q214" s="2" t="inlineStr">
        <is>
          <t>no</t>
        </is>
      </c>
      <c r="R214" s="2" t="inlineStr">
        <is>
          <t>profesional</t>
        </is>
      </c>
      <c r="S214" s="2" t="inlineStr">
        <is>
          <t>Only Cars Valencia Aldaia</t>
        </is>
      </c>
      <c r="T214" s="2" t="inlineStr">
        <is>
          <t>2026-10-23T16:00:18Z</t>
        </is>
      </c>
      <c r="U214" s="2" t="n">
        <v>11</v>
      </c>
      <c r="V214" s="2" t="n"/>
      <c r="W214" s="2" t="n"/>
      <c r="X214" s="2" t="n"/>
      <c r="Y214" s="2" t="n"/>
      <c r="Z214" s="2" t="inlineStr">
        <is>
          <t>sí</t>
        </is>
      </c>
      <c r="AA214" s="2" t="n"/>
      <c r="AB214" s="2" t="n">
        <v>12</v>
      </c>
      <c r="AC214" s="2" t="n"/>
      <c r="AD214" s="2" t="n"/>
      <c r="AE214" s="2" t="n"/>
      <c r="AF214" s="2" t="n"/>
      <c r="AG214" s="2" t="n"/>
      <c r="AH214" s="2" t="n">
        <v>3990</v>
      </c>
      <c r="AI214" s="2" t="n"/>
      <c r="AJ214" s="2" t="n"/>
      <c r="AK214" s="2" t="n"/>
      <c r="AL214" s="2" t="n"/>
      <c r="AM214" s="2" t="n">
        <v>7.5</v>
      </c>
      <c r="AN214" s="2" t="n"/>
      <c r="AO214" s="2" t="inlineStr">
        <is>
          <t>2007</t>
        </is>
      </c>
      <c r="AP214" s="2" t="n">
        <v>2007</v>
      </c>
      <c r="AQ214" s="2" t="n"/>
      <c r="AR214" s="2" t="inlineStr">
        <is>
          <t>B</t>
        </is>
      </c>
      <c r="AS214" s="2" t="inlineStr">
        <is>
          <t>anuncio</t>
        </is>
      </c>
      <c r="AT214" s="2" t="n"/>
      <c r="AU214" s="2" t="n"/>
      <c r="AV214" s="2" t="n"/>
      <c r="AW214" s="2" t="n"/>
      <c r="AX214"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3 anuncio(s)</t>
        </is>
      </c>
      <c r="AY214" s="2" t="inlineStr">
        <is>
          <t>Hyundai Matrix 1.5 CRDi CRDI VGT Elegance año 2007 con 129.000Kms 110CV.
Equipamiento:
- elevalunas eléctricos 
- Espejos eléctricos 
- Aire acondicionado 
- Dirección asistida
- Mando a distancia 
- Ordenador de abordo
Mantenimiento:
   - cambio de filtro de aire
   - cambio de filtro de aceite
   - cambio de aceite 
   - Dos juegos de llave
   - Alfombrillas</t>
        </is>
      </c>
      <c r="AZ214" s="2" t="inlineStr">
        <is>
          <t>https://www.coches.net/hyundai-matrix-15-16v-crdi-110cv-gls-full-5p-diesel-2005-en-valencia-71817936-covo.aspx (window.__INITIAL_PROPS__.ad) /home/user/Alopecia/buscador-coches/raw/cochesnet/505192faca31b657.json</t>
        </is>
      </c>
      <c r="BA214" s="3">
        <f>MAX(ANIO_ACTUAL-M214,0)</f>
        <v/>
      </c>
      <c r="BB214" s="4">
        <f>N214/MAX(BA214,0.5)</f>
        <v/>
      </c>
      <c r="BC214" s="4">
        <f>F214</f>
        <v/>
      </c>
      <c r="BD214" s="3">
        <f>BC214&amp;"|"&amp;INT(M214/SEG_ANIO)*SEG_ANIO</f>
        <v/>
      </c>
      <c r="BE214" s="3">
        <f>BD214&amp;"|"&amp;INT(N214/SEG_KM)*SEG_KM</f>
        <v/>
      </c>
      <c r="BF214" s="4">
        <f>COUNTIF($BC$2:$BC$545,BC214)</f>
        <v/>
      </c>
      <c r="BG214" s="4">
        <f>COUNTIF($BD$2:$BD$545,BD214)</f>
        <v/>
      </c>
      <c r="BH214" s="4">
        <f>COUNTIF($BE$2:$BE$545,BE214)</f>
        <v/>
      </c>
      <c r="BI214" s="3">
        <f t="array" ref="BI214">IF(N(AU214)&gt;=MIN_N,AT214,IF(BH214&gt;=MIN_N,MEDIAN(IF($BE$2:$BE$545=BE214,$O$2:$O$545)),IF(BG214&gt;=MIN_N,MEDIAN(IF($BD$2:$BD$545=BD214,$O$2:$O$545)),MEDIAN(IF($BC$2:$BC$545=BC214,$O$2:$O$545)))))</f>
        <v/>
      </c>
      <c r="BJ214" s="3">
        <f>IF(N(AU214)&gt;=MIN_N,"mercado "&amp;AV214,IF(BH214&gt;=MIN_N,"modelo+año+km",IF(BG214&gt;=MIN_N,"modelo+año","modelo")))</f>
        <v/>
      </c>
      <c r="BK214" s="4">
        <f>(BI214-O214)/BI214</f>
        <v/>
      </c>
      <c r="BL214" s="3">
        <f>IF(COUNTIFS(FR_FUEL,K214,FR_YEAR,AP214)&gt;0,1,0)</f>
        <v/>
      </c>
      <c r="BM214" s="3">
        <f>IF(COUNTIFS(FR_FUEL,K214,FR_YEAR,AP214-1)&gt;0,1,0)</f>
        <v/>
      </c>
      <c r="BN214" s="4">
        <f>IF(N(AQ214)&gt;0,AP214*100+AQ214,IF(AND(BL214=1,BM214=1),(AP214-1)*100+1,AP214*100+1))</f>
        <v/>
      </c>
      <c r="BO214" s="3">
        <f>IF(OR(K214="hibrido",K214="glp",K214="gnc",K214="phev"),"ECO",IF(K214="electrico","CERO",IF(K214="gasolina",IF(BN214&gt;=GAS_C_YM,"C",IF(BN214&gt;=GAS_B_YM,"B","A")),IF(K214="diesel",IF(BN214&gt;=DIE_C_YM,"C",IF(BN214&gt;=DIE_B_YM,"B","A")),""))))</f>
        <v/>
      </c>
      <c r="BP214" s="2" t="inlineStr">
        <is>
          <t>B</t>
        </is>
      </c>
      <c r="BQ214" s="4">
        <f>IF(AS214="regla",IF(AND(N(AQ214)=0,BL214=1),"sí","no"),"no")</f>
        <v/>
      </c>
      <c r="BR214" s="3">
        <f>IFERROR(VLOOKUP(F214,MOD_TBL,11,0),IFERROR(VLOOKUP(E214,OCU_TBL,2,0),NEUTRO))</f>
        <v/>
      </c>
      <c r="BS214" s="3">
        <f>SUMIFS(MOT_AJUSTE,MOT_MOTOR,G214,MOT_MARCA,E214,MOT_DESDE,"&lt;="&amp;M214,MOT_HASTA,"&gt;="&amp;M214)+SUMIFS(MOT_AJUSTE,MOT_MOTOR,G214,MOT_MARCA,"(todas)",MOT_DESDE,"&lt;="&amp;M214,MOT_HASTA,"&gt;="&amp;M214)</f>
        <v/>
      </c>
      <c r="BT214" s="3">
        <f>SUMIFS(COMB_AJUSTE,COMB_COMB,K214)</f>
        <v/>
      </c>
      <c r="BU214" s="3">
        <f>COUNTIFS(MOT_MOTOR,G214,MOT_MARCA,E214,MOT_DESDE,"&lt;="&amp;M214,MOT_HASTA,"&gt;="&amp;M214)+COUNTIFS(MOT_MOTOR,G214,MOT_MARCA,"(todas)",MOT_DESDE,"&lt;="&amp;M214,MOT_HASTA,"&gt;="&amp;M214)</f>
        <v/>
      </c>
      <c r="BV214" s="3">
        <f>IF(AND(K214="diesel",BU214=0),MIN(BR214,NEUTRO),BR214)</f>
        <v/>
      </c>
      <c r="BW214" s="4">
        <f>MAX(0,MIN(100,BV214+BS214+BT214))</f>
        <v/>
      </c>
      <c r="BX214" s="3">
        <f>MAX(0,MIN(100,50+BK214*PRECIO_PEND))</f>
        <v/>
      </c>
      <c r="BY214" s="3">
        <f>MAX(0,100*(1-N214/KM_MAX))</f>
        <v/>
      </c>
      <c r="BZ214" s="3">
        <f>IF(BB214&lt;KMA_SOSP,IF(AA214="sí",100,KMA_PEN),IF(BB214&lt;=KMA_IDEAL_MAX,100,MAX(0,100*(KMA_CERO-BB214)/(KMA_CERO-KMA_IDEAL_MAX))))</f>
        <v/>
      </c>
      <c r="CA214" s="3">
        <f>MAX(0,MIN(100,100*(M214-ANIO_MIN)/(ANIO_ACTUAL-ANIO_MIN)))</f>
        <v/>
      </c>
      <c r="CB214" s="3">
        <f>W_KMT*BY214+W_KMA*BZ214+W_EDAD*CA214</f>
        <v/>
      </c>
      <c r="CC214" s="3">
        <f>P_ITV*(V214="sí")+P_LIBRO*(W214="sí")+P_CORREA*(X214="sí")+P_PROP*(Y214=1)+P_GAR*(Z214="sí")+P_FOTOS*MIN(1,N(U214)/FOTOS_OBJ)</f>
        <v/>
      </c>
      <c r="CD214" s="3">
        <f>MAX(0,MIN(100,IFERROR(VLOOKUP(BP214,ETQ_TBL,2,0),0)-IF(BQ214="sí",ETQ_PEN_DUD,IF(AS214="regla",ETQ_PEN_REGLA,0))))</f>
        <v/>
      </c>
      <c r="CE214" s="3">
        <f>NEUTRO</f>
        <v/>
      </c>
      <c r="CF214" s="3">
        <f>IFERROR(VLOOKUP(L214,SEGURO_TBL,3,0),"")</f>
        <v/>
      </c>
      <c r="CG214" s="3">
        <f>IF(CF214="",NEUTRO,MAX(0,MIN(100,100*(SEG_REF_MAX-CF214)/(SEG_REF_MAX-SEG_REF_MIN))))</f>
        <v/>
      </c>
      <c r="CH214" s="3">
        <f>W_CONS*CE214+W_SEG*CG214</f>
        <v/>
      </c>
      <c r="CI214" s="3">
        <f>IF(N(AB214)&gt;0,AB214,IF(AND(R214="profesional",SG_LEGAL_ON=1),GAR_LEGAL,0))</f>
        <v/>
      </c>
      <c r="CJ214" s="3">
        <f>SG_GAR*MIN(1,CI214/SG_GAR_FULL)+SG_AMPL*(AC214="sí")+SG_KMC*(AF214="sí")+SG_REV*(N(AE214)&gt;0)+SG_DEV*MIN(1,N(AG214)/SG_DEV_FULL)+SG_HIST*(W214="sí")</f>
        <v/>
      </c>
      <c r="CK214" s="3">
        <f>IFERROR(VLOOKUP(L214,CARR_PEN_TBL,2,0),0)</f>
        <v/>
      </c>
      <c r="CL214" s="3">
        <f>W_FIAB*BW214+W_PRECIO*BX214+W_KMEDAD*CB214+W_ANUNCIO*CC214+W_USO*CH214+W_SEGURIDAD*CJ214+W_ETIQUETA*CD214-CK214</f>
        <v/>
      </c>
      <c r="CM214" s="4">
        <f>IF(N(I214)&gt;0,I214,IFERROR(ROUND(_xlfn.NUMBERVALUE(LEFT(G214,FIND(" ",G214&amp;" ")-1),".")*1000,0),99999))</f>
        <v/>
      </c>
      <c r="CN214" s="3">
        <f>IF(R214="profesional",0,IF(O214&lt;CUOTA_VALOR_MAX,IF(BA214&gt;ITP_TRAMO_ALTO,SUMIFS(CF_CUOTA,CF_MAS,ITP_TRAMO_ALTO,CF_CCMIN,"&lt;="&amp;CM214,CF_CCMAX,"&gt;="&amp;CM214),IF(BA214&gt;ITP_TRAMO_BAJO,SUMIFS(CF_CUOTA,CF_MAS,ITP_TRAMO_BAJO,CF_CCMIN,"&lt;="&amp;CM214,CF_CCMAX,"&gt;="&amp;CM214),O214*ITP_TIPO)),O214*ITP_TIPO))</f>
        <v/>
      </c>
      <c r="CO214" s="4">
        <f>IF(R214="profesional",N(AK214),0)</f>
        <v/>
      </c>
      <c r="CP214" s="3">
        <f>IF(AND(R214="profesional",ISNUMBER(AK214),AL214="sí"),0,TASA_DGT)</f>
        <v/>
      </c>
      <c r="CQ214" s="3">
        <f>INFORME_DGT</f>
        <v/>
      </c>
      <c r="CR214" s="4">
        <f>O214+CO214+CN214+CP214+CQ214</f>
        <v/>
      </c>
      <c r="CS214" s="4">
        <f>CR214+N(CF214)</f>
        <v/>
      </c>
      <c r="CT214" s="3">
        <f>IF(CR214&lt;=TOTAL_MAX,"sí",IF(CR214&lt;=TOTAL_MAX+MARGEN_NEG,"negociar","no"))</f>
        <v/>
      </c>
      <c r="CU214" s="4">
        <f>IF(CT214&lt;&gt;"no",COUNTIFS($CT$2:$CT$545,"&lt;&gt;no",$CL$2:$CL$545,"&gt;"&amp;CL214)+COUNTIFS($CT$2:CT214,"&lt;&gt;no",$CL$2:CL214,CL214),"")</f>
        <v/>
      </c>
    </row>
    <row r="215">
      <c r="A215" s="2" t="inlineStr">
        <is>
          <t>cochesnet:71863815</t>
        </is>
      </c>
      <c r="B215" s="2" t="inlineStr">
        <is>
          <t>cochesnet</t>
        </is>
      </c>
      <c r="C215" s="2" t="inlineStr">
        <is>
          <t>https://www.coches.net/hyundai-getz-15-crdi-88cv-5p-diesel-2005-en-valencia-71863815-covo.aspx</t>
        </is>
      </c>
      <c r="D215" s="2" t="inlineStr">
        <is>
          <t>HYUNDAI Getz 1.5 CRDi</t>
        </is>
      </c>
      <c r="E215" s="2" t="inlineStr">
        <is>
          <t>Hyundai</t>
        </is>
      </c>
      <c r="F215" s="2" t="inlineStr">
        <is>
          <t>Hyundai Getz</t>
        </is>
      </c>
      <c r="G215" s="2" t="inlineStr">
        <is>
          <t>1.5 CRDi</t>
        </is>
      </c>
      <c r="H215" s="2" t="inlineStr">
        <is>
          <t>1.5 CRDi 88cv</t>
        </is>
      </c>
      <c r="I215" s="2" t="n"/>
      <c r="J215" s="2" t="n">
        <v>88</v>
      </c>
      <c r="K215" s="2" t="inlineStr">
        <is>
          <t>diesel</t>
        </is>
      </c>
      <c r="L215" s="2" t="inlineStr">
        <is>
          <t>utilitario</t>
        </is>
      </c>
      <c r="M215" s="2" t="n">
        <v>2006</v>
      </c>
      <c r="N215" s="2" t="n">
        <v>108000</v>
      </c>
      <c r="O215" s="2" t="n">
        <v>3850</v>
      </c>
      <c r="P215" s="2" t="inlineStr">
        <is>
          <t>manual</t>
        </is>
      </c>
      <c r="Q215" s="2" t="inlineStr">
        <is>
          <t>no</t>
        </is>
      </c>
      <c r="R215" s="2" t="inlineStr">
        <is>
          <t>profesional</t>
        </is>
      </c>
      <c r="S215" s="2" t="inlineStr">
        <is>
          <t>Beniparrell</t>
        </is>
      </c>
      <c r="T215" s="2" t="inlineStr">
        <is>
          <t>2026-10-29T17:16:21Z</t>
        </is>
      </c>
      <c r="U215" s="2" t="n">
        <v>13</v>
      </c>
      <c r="V215" s="2" t="n"/>
      <c r="W215" s="2" t="n"/>
      <c r="X215" s="2" t="n"/>
      <c r="Y215" s="2" t="n"/>
      <c r="Z215" s="2" t="inlineStr">
        <is>
          <t>sí</t>
        </is>
      </c>
      <c r="AA215" s="2" t="n"/>
      <c r="AB215" s="2" t="n">
        <v>12</v>
      </c>
      <c r="AC215" s="2" t="n"/>
      <c r="AD215" s="2" t="n"/>
      <c r="AE215" s="2" t="n"/>
      <c r="AF215" s="2" t="n"/>
      <c r="AG215" s="2" t="n"/>
      <c r="AH215" s="2" t="n">
        <v>3850</v>
      </c>
      <c r="AI215" s="2" t="n"/>
      <c r="AJ215" s="2" t="n"/>
      <c r="AK215" s="2" t="n"/>
      <c r="AL215" s="2" t="n"/>
      <c r="AM215" s="2" t="n">
        <v>10.2</v>
      </c>
      <c r="AN215" s="2" t="n"/>
      <c r="AO215" s="2" t="inlineStr">
        <is>
          <t>2006</t>
        </is>
      </c>
      <c r="AP215" s="2" t="n">
        <v>2006</v>
      </c>
      <c r="AQ215" s="2" t="n"/>
      <c r="AR215" s="2" t="inlineStr">
        <is>
          <t>B</t>
        </is>
      </c>
      <c r="AS215" s="2" t="inlineStr">
        <is>
          <t>anuncio</t>
        </is>
      </c>
      <c r="AT215" s="2" t="n">
        <v>2700</v>
      </c>
      <c r="AU215" s="2" t="n">
        <v>6</v>
      </c>
      <c r="AV215" s="2" t="inlineStr">
        <is>
          <t>modelo+año</t>
        </is>
      </c>
      <c r="AW215" s="2" t="n"/>
      <c r="AX215" s="2" t="inlineStr">
        <is>
          <t>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t>
        </is>
      </c>
      <c r="AY215" s="2" t="inlineStr">
        <is>
          <t>Este Getz destaca por su equipo de audio Alpine con reproductor de CD, radio RDS y ARI/EON, complementado con seis altavoces. Incluye cristales tintados en toda la cabina y elevalunas eléctricos delanteros y traseros. Su etiqueta medioambiental facilita el acceso a zonas ZBE. Equipa cierre centralizado con mando a distancia y protección antirrobo.GARANTÍA 12 meses (cobertura de 25 componentes del vehículo )cobertura de reparación hasta 2.000e en cualquier taller)</t>
        </is>
      </c>
      <c r="AZ215" s="2" t="inlineStr">
        <is>
          <t>https://www.coches.net/hyundai-getz-15-crdi-88cv-5p-diesel-2005-en-valencia-71863815-covo.aspx (window.__INITIAL_PROPS__.ad) /home/user/Alopecia/buscador-coches/raw/cochesnet/b6e519ad6a307c38.json</t>
        </is>
      </c>
      <c r="BA215" s="3">
        <f>MAX(ANIO_ACTUAL-M215,0)</f>
        <v/>
      </c>
      <c r="BB215" s="4">
        <f>N215/MAX(BA215,0.5)</f>
        <v/>
      </c>
      <c r="BC215" s="4">
        <f>F215</f>
        <v/>
      </c>
      <c r="BD215" s="3">
        <f>BC215&amp;"|"&amp;INT(M215/SEG_ANIO)*SEG_ANIO</f>
        <v/>
      </c>
      <c r="BE215" s="3">
        <f>BD215&amp;"|"&amp;INT(N215/SEG_KM)*SEG_KM</f>
        <v/>
      </c>
      <c r="BF215" s="4">
        <f>COUNTIF($BC$2:$BC$545,BC215)</f>
        <v/>
      </c>
      <c r="BG215" s="4">
        <f>COUNTIF($BD$2:$BD$545,BD215)</f>
        <v/>
      </c>
      <c r="BH215" s="4">
        <f>COUNTIF($BE$2:$BE$545,BE215)</f>
        <v/>
      </c>
      <c r="BI215" s="3">
        <f t="array" ref="BI215">IF(N(AU215)&gt;=MIN_N,AT215,IF(BH215&gt;=MIN_N,MEDIAN(IF($BE$2:$BE$545=BE215,$O$2:$O$545)),IF(BG215&gt;=MIN_N,MEDIAN(IF($BD$2:$BD$545=BD215,$O$2:$O$545)),MEDIAN(IF($BC$2:$BC$545=BC215,$O$2:$O$545)))))</f>
        <v/>
      </c>
      <c r="BJ215" s="3">
        <f>IF(N(AU215)&gt;=MIN_N,"mercado "&amp;AV215,IF(BH215&gt;=MIN_N,"modelo+año+km",IF(BG215&gt;=MIN_N,"modelo+año","modelo")))</f>
        <v/>
      </c>
      <c r="BK215" s="4">
        <f>(BI215-O215)/BI215</f>
        <v/>
      </c>
      <c r="BL215" s="3">
        <f>IF(COUNTIFS(FR_FUEL,K215,FR_YEAR,AP215)&gt;0,1,0)</f>
        <v/>
      </c>
      <c r="BM215" s="3">
        <f>IF(COUNTIFS(FR_FUEL,K215,FR_YEAR,AP215-1)&gt;0,1,0)</f>
        <v/>
      </c>
      <c r="BN215" s="4">
        <f>IF(N(AQ215)&gt;0,AP215*100+AQ215,IF(AND(BL215=1,BM215=1),(AP215-1)*100+1,AP215*100+1))</f>
        <v/>
      </c>
      <c r="BO215" s="3">
        <f>IF(OR(K215="hibrido",K215="glp",K215="gnc",K215="phev"),"ECO",IF(K215="electrico","CERO",IF(K215="gasolina",IF(BN215&gt;=GAS_C_YM,"C",IF(BN215&gt;=GAS_B_YM,"B","A")),IF(K215="diesel",IF(BN215&gt;=DIE_C_YM,"C",IF(BN215&gt;=DIE_B_YM,"B","A")),""))))</f>
        <v/>
      </c>
      <c r="BP215" s="2" t="inlineStr">
        <is>
          <t>B</t>
        </is>
      </c>
      <c r="BQ215" s="4">
        <f>IF(AS215="regla",IF(AND(N(AQ215)=0,BL215=1),"sí","no"),"no")</f>
        <v/>
      </c>
      <c r="BR215" s="3">
        <f>IFERROR(VLOOKUP(F215,MOD_TBL,11,0),IFERROR(VLOOKUP(E215,OCU_TBL,2,0),NEUTRO))</f>
        <v/>
      </c>
      <c r="BS215" s="3">
        <f>SUMIFS(MOT_AJUSTE,MOT_MOTOR,G215,MOT_MARCA,E215,MOT_DESDE,"&lt;="&amp;M215,MOT_HASTA,"&gt;="&amp;M215)+SUMIFS(MOT_AJUSTE,MOT_MOTOR,G215,MOT_MARCA,"(todas)",MOT_DESDE,"&lt;="&amp;M215,MOT_HASTA,"&gt;="&amp;M215)</f>
        <v/>
      </c>
      <c r="BT215" s="3">
        <f>SUMIFS(COMB_AJUSTE,COMB_COMB,K215)</f>
        <v/>
      </c>
      <c r="BU215" s="3">
        <f>COUNTIFS(MOT_MOTOR,G215,MOT_MARCA,E215,MOT_DESDE,"&lt;="&amp;M215,MOT_HASTA,"&gt;="&amp;M215)+COUNTIFS(MOT_MOTOR,G215,MOT_MARCA,"(todas)",MOT_DESDE,"&lt;="&amp;M215,MOT_HASTA,"&gt;="&amp;M215)</f>
        <v/>
      </c>
      <c r="BV215" s="3">
        <f>IF(AND(K215="diesel",BU215=0),MIN(BR215,NEUTRO),BR215)</f>
        <v/>
      </c>
      <c r="BW215" s="4">
        <f>MAX(0,MIN(100,BV215+BS215+BT215))</f>
        <v/>
      </c>
      <c r="BX215" s="3">
        <f>MAX(0,MIN(100,50+BK215*PRECIO_PEND))</f>
        <v/>
      </c>
      <c r="BY215" s="3">
        <f>MAX(0,100*(1-N215/KM_MAX))</f>
        <v/>
      </c>
      <c r="BZ215" s="3">
        <f>IF(BB215&lt;KMA_SOSP,IF(AA215="sí",100,KMA_PEN),IF(BB215&lt;=KMA_IDEAL_MAX,100,MAX(0,100*(KMA_CERO-BB215)/(KMA_CERO-KMA_IDEAL_MAX))))</f>
        <v/>
      </c>
      <c r="CA215" s="3">
        <f>MAX(0,MIN(100,100*(M215-ANIO_MIN)/(ANIO_ACTUAL-ANIO_MIN)))</f>
        <v/>
      </c>
      <c r="CB215" s="3">
        <f>W_KMT*BY215+W_KMA*BZ215+W_EDAD*CA215</f>
        <v/>
      </c>
      <c r="CC215" s="3">
        <f>P_ITV*(V215="sí")+P_LIBRO*(W215="sí")+P_CORREA*(X215="sí")+P_PROP*(Y215=1)+P_GAR*(Z215="sí")+P_FOTOS*MIN(1,N(U215)/FOTOS_OBJ)</f>
        <v/>
      </c>
      <c r="CD215" s="3">
        <f>MAX(0,MIN(100,IFERROR(VLOOKUP(BP215,ETQ_TBL,2,0),0)-IF(BQ215="sí",ETQ_PEN_DUD,IF(AS215="regla",ETQ_PEN_REGLA,0))))</f>
        <v/>
      </c>
      <c r="CE215" s="3">
        <f>NEUTRO</f>
        <v/>
      </c>
      <c r="CF215" s="3">
        <f>IFERROR(VLOOKUP(L215,SEGURO_TBL,3,0),"")</f>
        <v/>
      </c>
      <c r="CG215" s="3">
        <f>IF(CF215="",NEUTRO,MAX(0,MIN(100,100*(SEG_REF_MAX-CF215)/(SEG_REF_MAX-SEG_REF_MIN))))</f>
        <v/>
      </c>
      <c r="CH215" s="3">
        <f>W_CONS*CE215+W_SEG*CG215</f>
        <v/>
      </c>
      <c r="CI215" s="3">
        <f>IF(N(AB215)&gt;0,AB215,IF(AND(R215="profesional",SG_LEGAL_ON=1),GAR_LEGAL,0))</f>
        <v/>
      </c>
      <c r="CJ215" s="3">
        <f>SG_GAR*MIN(1,CI215/SG_GAR_FULL)+SG_AMPL*(AC215="sí")+SG_KMC*(AF215="sí")+SG_REV*(N(AE215)&gt;0)+SG_DEV*MIN(1,N(AG215)/SG_DEV_FULL)+SG_HIST*(W215="sí")</f>
        <v/>
      </c>
      <c r="CK215" s="3">
        <f>IFERROR(VLOOKUP(L215,CARR_PEN_TBL,2,0),0)</f>
        <v/>
      </c>
      <c r="CL215" s="3">
        <f>W_FIAB*BW215+W_PRECIO*BX215+W_KMEDAD*CB215+W_ANUNCIO*CC215+W_USO*CH215+W_SEGURIDAD*CJ215+W_ETIQUETA*CD215-CK215</f>
        <v/>
      </c>
      <c r="CM215" s="4">
        <f>IF(N(I215)&gt;0,I215,IFERROR(ROUND(_xlfn.NUMBERVALUE(LEFT(G215,FIND(" ",G215&amp;" ")-1),".")*1000,0),99999))</f>
        <v/>
      </c>
      <c r="CN215" s="3">
        <f>IF(R215="profesional",0,IF(O215&lt;CUOTA_VALOR_MAX,IF(BA215&gt;ITP_TRAMO_ALTO,SUMIFS(CF_CUOTA,CF_MAS,ITP_TRAMO_ALTO,CF_CCMIN,"&lt;="&amp;CM215,CF_CCMAX,"&gt;="&amp;CM215),IF(BA215&gt;ITP_TRAMO_BAJO,SUMIFS(CF_CUOTA,CF_MAS,ITP_TRAMO_BAJO,CF_CCMIN,"&lt;="&amp;CM215,CF_CCMAX,"&gt;="&amp;CM215),O215*ITP_TIPO)),O215*ITP_TIPO))</f>
        <v/>
      </c>
      <c r="CO215" s="4">
        <f>IF(R215="profesional",N(AK215),0)</f>
        <v/>
      </c>
      <c r="CP215" s="3">
        <f>IF(AND(R215="profesional",ISNUMBER(AK215),AL215="sí"),0,TASA_DGT)</f>
        <v/>
      </c>
      <c r="CQ215" s="3">
        <f>INFORME_DGT</f>
        <v/>
      </c>
      <c r="CR215" s="4">
        <f>O215+CO215+CN215+CP215+CQ215</f>
        <v/>
      </c>
      <c r="CS215" s="4">
        <f>CR215+N(CF215)</f>
        <v/>
      </c>
      <c r="CT215" s="3">
        <f>IF(CR215&lt;=TOTAL_MAX,"sí",IF(CR215&lt;=TOTAL_MAX+MARGEN_NEG,"negociar","no"))</f>
        <v/>
      </c>
      <c r="CU215" s="4">
        <f>IF(CT215&lt;&gt;"no",COUNTIFS($CT$2:$CT$545,"&lt;&gt;no",$CL$2:$CL$545,"&gt;"&amp;CL215)+COUNTIFS($CT$2:CT215,"&lt;&gt;no",$CL$2:CL215,CL215),"")</f>
        <v/>
      </c>
    </row>
    <row r="216">
      <c r="A216" s="2" t="inlineStr">
        <is>
          <t>cochesnet:71864447</t>
        </is>
      </c>
      <c r="B216" s="2" t="inlineStr">
        <is>
          <t>cochesnet</t>
        </is>
      </c>
      <c r="C216" s="2" t="inlineStr">
        <is>
          <t>https://www.coches.net/hyundai-i30-14-gls-fde-comfort-5p-gasolina-2010-en-valencia-71864447-covo.aspx</t>
        </is>
      </c>
      <c r="D216" s="2" t="inlineStr">
        <is>
          <t>HYUNDAI i30 1.4 GLS FDE Comfort</t>
        </is>
      </c>
      <c r="E216" s="2" t="inlineStr">
        <is>
          <t>Hyundai</t>
        </is>
      </c>
      <c r="F216" s="2" t="inlineStr">
        <is>
          <t>Hyundai i30</t>
        </is>
      </c>
      <c r="G216" s="2" t="inlineStr">
        <is>
          <t>1.4</t>
        </is>
      </c>
      <c r="H216" s="2" t="inlineStr">
        <is>
          <t>1.4 GLS FDE Comfort</t>
        </is>
      </c>
      <c r="I216" s="2" t="n"/>
      <c r="J216" s="2" t="n"/>
      <c r="K216" s="2" t="inlineStr">
        <is>
          <t>gasolina</t>
        </is>
      </c>
      <c r="L216" s="2" t="inlineStr">
        <is>
          <t>compacto</t>
        </is>
      </c>
      <c r="M216" s="2" t="n">
        <v>2010</v>
      </c>
      <c r="N216" s="2" t="n">
        <v>162000</v>
      </c>
      <c r="O216" s="2" t="n">
        <v>4950</v>
      </c>
      <c r="P216" s="2" t="inlineStr">
        <is>
          <t>manual</t>
        </is>
      </c>
      <c r="Q216" s="2" t="inlineStr">
        <is>
          <t>no</t>
        </is>
      </c>
      <c r="R216" s="2" t="inlineStr">
        <is>
          <t>particular</t>
        </is>
      </c>
      <c r="S216" s="2" t="inlineStr">
        <is>
          <t>Valencia</t>
        </is>
      </c>
      <c r="T216" s="2" t="inlineStr">
        <is>
          <t>2026-10-29T18:16:09Z</t>
        </is>
      </c>
      <c r="U216" s="2" t="n">
        <v>2</v>
      </c>
      <c r="V216" s="2" t="inlineStr">
        <is>
          <t>sí</t>
        </is>
      </c>
      <c r="W216" s="2" t="n"/>
      <c r="X216" s="2" t="n"/>
      <c r="Y216" s="2" t="n"/>
      <c r="Z216" s="2" t="inlineStr">
        <is>
          <t>no</t>
        </is>
      </c>
      <c r="AA216" s="2" t="n"/>
      <c r="AB216" s="2" t="n"/>
      <c r="AC216" s="2" t="n"/>
      <c r="AD216" s="2" t="n"/>
      <c r="AE216" s="2" t="n"/>
      <c r="AF216" s="2" t="n"/>
      <c r="AG216" s="2" t="n"/>
      <c r="AH216" s="2" t="n">
        <v>4950</v>
      </c>
      <c r="AI216" s="2" t="n"/>
      <c r="AJ216" s="2" t="n"/>
      <c r="AK216" s="2" t="n"/>
      <c r="AL216" s="2" t="n"/>
      <c r="AM216" s="2" t="n">
        <v>0.1</v>
      </c>
      <c r="AN216" s="2" t="n"/>
      <c r="AO216" s="2" t="inlineStr">
        <is>
          <t>02/2010</t>
        </is>
      </c>
      <c r="AP216" s="2" t="n">
        <v>2010</v>
      </c>
      <c r="AQ216" s="2" t="n">
        <v>2</v>
      </c>
      <c r="AR216" s="2" t="n"/>
      <c r="AS216" s="2" t="inlineStr">
        <is>
          <t>regla</t>
        </is>
      </c>
      <c r="AT216" s="2" t="n">
        <v>6290</v>
      </c>
      <c r="AU216" s="2" t="n">
        <v>9</v>
      </c>
      <c r="AV216" s="2" t="inlineStr">
        <is>
          <t>modelo+año</t>
        </is>
      </c>
      <c r="AW216" s="2" t="n"/>
      <c r="AX216" s="2" t="inlineStr">
        <is>
          <t>por encima del presupuesto (5054 €), negociar; cuota fija ITP: &gt;12 años, hasta 1.500 cc</t>
        </is>
      </c>
      <c r="AY216" s="2" t="inlineStr">
        <is>
          <t>ITV pasada hasta mayo de 2027.
No va el aire caliente. Ruedas nuevas batería revisión pasada.
Etiqueta C</t>
        </is>
      </c>
      <c r="AZ216" s="2" t="inlineStr">
        <is>
          <t>https://www.coches.net/hyundai-i30-14-gls-fde-comfort-5p-gasolina-2010-en-valencia-71864447-covo.aspx (window.__INITIAL_PROPS__.ad) /home/user/Alopecia/buscador-coches/raw/cochesnet/b0d4cd8d0cd8480b.json</t>
        </is>
      </c>
      <c r="BA216" s="3">
        <f>MAX(ANIO_ACTUAL-M216,0)</f>
        <v/>
      </c>
      <c r="BB216" s="4">
        <f>N216/MAX(BA216,0.5)</f>
        <v/>
      </c>
      <c r="BC216" s="4">
        <f>F216</f>
        <v/>
      </c>
      <c r="BD216" s="3">
        <f>BC216&amp;"|"&amp;INT(M216/SEG_ANIO)*SEG_ANIO</f>
        <v/>
      </c>
      <c r="BE216" s="3">
        <f>BD216&amp;"|"&amp;INT(N216/SEG_KM)*SEG_KM</f>
        <v/>
      </c>
      <c r="BF216" s="4">
        <f>COUNTIF($BC$2:$BC$545,BC216)</f>
        <v/>
      </c>
      <c r="BG216" s="4">
        <f>COUNTIF($BD$2:$BD$545,BD216)</f>
        <v/>
      </c>
      <c r="BH216" s="4">
        <f>COUNTIF($BE$2:$BE$545,BE216)</f>
        <v/>
      </c>
      <c r="BI216" s="3">
        <f t="array" ref="BI216">IF(N(AU216)&gt;=MIN_N,AT216,IF(BH216&gt;=MIN_N,MEDIAN(IF($BE$2:$BE$545=BE216,$O$2:$O$545)),IF(BG216&gt;=MIN_N,MEDIAN(IF($BD$2:$BD$545=BD216,$O$2:$O$545)),MEDIAN(IF($BC$2:$BC$545=BC216,$O$2:$O$545)))))</f>
        <v/>
      </c>
      <c r="BJ216" s="3">
        <f>IF(N(AU216)&gt;=MIN_N,"mercado "&amp;AV216,IF(BH216&gt;=MIN_N,"modelo+año+km",IF(BG216&gt;=MIN_N,"modelo+año","modelo")))</f>
        <v/>
      </c>
      <c r="BK216" s="4">
        <f>(BI216-O216)/BI216</f>
        <v/>
      </c>
      <c r="BL216" s="3">
        <f>IF(COUNTIFS(FR_FUEL,K216,FR_YEAR,AP216)&gt;0,1,0)</f>
        <v/>
      </c>
      <c r="BM216" s="3">
        <f>IF(COUNTIFS(FR_FUEL,K216,FR_YEAR,AP216-1)&gt;0,1,0)</f>
        <v/>
      </c>
      <c r="BN216" s="4">
        <f>IF(N(AQ216)&gt;0,AP216*100+AQ216,IF(AND(BL216=1,BM216=1),(AP216-1)*100+1,AP216*100+1))</f>
        <v/>
      </c>
      <c r="BO216" s="3">
        <f>IF(OR(K216="hibrido",K216="glp",K216="gnc",K216="phev"),"ECO",IF(K216="electrico","CERO",IF(K216="gasolina",IF(BN216&gt;=GAS_C_YM,"C",IF(BN216&gt;=GAS_B_YM,"B","A")),IF(K216="diesel",IF(BN216&gt;=DIE_C_YM,"C",IF(BN216&gt;=DIE_B_YM,"B","A")),""))))</f>
        <v/>
      </c>
      <c r="BP216" s="4">
        <f>BO216</f>
        <v/>
      </c>
      <c r="BQ216" s="4">
        <f>IF(AS216="regla",IF(AND(N(AQ216)=0,BL216=1),"sí","no"),"no")</f>
        <v/>
      </c>
      <c r="BR216" s="3">
        <f>IFERROR(VLOOKUP(F216,MOD_TBL,11,0),IFERROR(VLOOKUP(E216,OCU_TBL,2,0),NEUTRO))</f>
        <v/>
      </c>
      <c r="BS216" s="3">
        <f>SUMIFS(MOT_AJUSTE,MOT_MOTOR,G216,MOT_MARCA,E216,MOT_DESDE,"&lt;="&amp;M216,MOT_HASTA,"&gt;="&amp;M216)+SUMIFS(MOT_AJUSTE,MOT_MOTOR,G216,MOT_MARCA,"(todas)",MOT_DESDE,"&lt;="&amp;M216,MOT_HASTA,"&gt;="&amp;M216)</f>
        <v/>
      </c>
      <c r="BT216" s="3">
        <f>SUMIFS(COMB_AJUSTE,COMB_COMB,K216)</f>
        <v/>
      </c>
      <c r="BU216" s="3">
        <f>COUNTIFS(MOT_MOTOR,G216,MOT_MARCA,E216,MOT_DESDE,"&lt;="&amp;M216,MOT_HASTA,"&gt;="&amp;M216)+COUNTIFS(MOT_MOTOR,G216,MOT_MARCA,"(todas)",MOT_DESDE,"&lt;="&amp;M216,MOT_HASTA,"&gt;="&amp;M216)</f>
        <v/>
      </c>
      <c r="BV216" s="3">
        <f>IF(AND(K216="diesel",BU216=0),MIN(BR216,NEUTRO),BR216)</f>
        <v/>
      </c>
      <c r="BW216" s="4">
        <f>MAX(0,MIN(100,BV216+BS216+BT216))</f>
        <v/>
      </c>
      <c r="BX216" s="3">
        <f>MAX(0,MIN(100,50+BK216*PRECIO_PEND))</f>
        <v/>
      </c>
      <c r="BY216" s="3">
        <f>MAX(0,100*(1-N216/KM_MAX))</f>
        <v/>
      </c>
      <c r="BZ216" s="3">
        <f>IF(BB216&lt;KMA_SOSP,IF(AA216="sí",100,KMA_PEN),IF(BB216&lt;=KMA_IDEAL_MAX,100,MAX(0,100*(KMA_CERO-BB216)/(KMA_CERO-KMA_IDEAL_MAX))))</f>
        <v/>
      </c>
      <c r="CA216" s="3">
        <f>MAX(0,MIN(100,100*(M216-ANIO_MIN)/(ANIO_ACTUAL-ANIO_MIN)))</f>
        <v/>
      </c>
      <c r="CB216" s="3">
        <f>W_KMT*BY216+W_KMA*BZ216+W_EDAD*CA216</f>
        <v/>
      </c>
      <c r="CC216" s="3">
        <f>P_ITV*(V216="sí")+P_LIBRO*(W216="sí")+P_CORREA*(X216="sí")+P_PROP*(Y216=1)+P_GAR*(Z216="sí")+P_FOTOS*MIN(1,N(U216)/FOTOS_OBJ)</f>
        <v/>
      </c>
      <c r="CD216" s="3">
        <f>MAX(0,MIN(100,IFERROR(VLOOKUP(BP216,ETQ_TBL,2,0),0)-IF(BQ216="sí",ETQ_PEN_DUD,IF(AS216="regla",ETQ_PEN_REGLA,0))))</f>
        <v/>
      </c>
      <c r="CE216" s="3">
        <f>NEUTRO</f>
        <v/>
      </c>
      <c r="CF216" s="3">
        <f>IFERROR(VLOOKUP(L216,SEGURO_TBL,3,0),"")</f>
        <v/>
      </c>
      <c r="CG216" s="3">
        <f>IF(CF216="",NEUTRO,MAX(0,MIN(100,100*(SEG_REF_MAX-CF216)/(SEG_REF_MAX-SEG_REF_MIN))))</f>
        <v/>
      </c>
      <c r="CH216" s="3">
        <f>W_CONS*CE216+W_SEG*CG216</f>
        <v/>
      </c>
      <c r="CI216" s="3">
        <f>IF(N(AB216)&gt;0,AB216,IF(AND(R216="profesional",SG_LEGAL_ON=1),GAR_LEGAL,0))</f>
        <v/>
      </c>
      <c r="CJ216" s="3">
        <f>SG_GAR*MIN(1,CI216/SG_GAR_FULL)+SG_AMPL*(AC216="sí")+SG_KMC*(AF216="sí")+SG_REV*(N(AE216)&gt;0)+SG_DEV*MIN(1,N(AG216)/SG_DEV_FULL)+SG_HIST*(W216="sí")</f>
        <v/>
      </c>
      <c r="CK216" s="3">
        <f>IFERROR(VLOOKUP(L216,CARR_PEN_TBL,2,0),0)</f>
        <v/>
      </c>
      <c r="CL216" s="3">
        <f>W_FIAB*BW216+W_PRECIO*BX216+W_KMEDAD*CB216+W_ANUNCIO*CC216+W_USO*CH216+W_SEGURIDAD*CJ216+W_ETIQUETA*CD216-CK216</f>
        <v/>
      </c>
      <c r="CM216" s="4">
        <f>IF(N(I216)&gt;0,I216,IFERROR(ROUND(_xlfn.NUMBERVALUE(LEFT(G216,FIND(" ",G216&amp;" ")-1),".")*1000,0),99999))</f>
        <v/>
      </c>
      <c r="CN216" s="3">
        <f>IF(R216="profesional",0,IF(O216&lt;CUOTA_VALOR_MAX,IF(BA216&gt;ITP_TRAMO_ALTO,SUMIFS(CF_CUOTA,CF_MAS,ITP_TRAMO_ALTO,CF_CCMIN,"&lt;="&amp;CM216,CF_CCMAX,"&gt;="&amp;CM216),IF(BA216&gt;ITP_TRAMO_BAJO,SUMIFS(CF_CUOTA,CF_MAS,ITP_TRAMO_BAJO,CF_CCMIN,"&lt;="&amp;CM216,CF_CCMAX,"&gt;="&amp;CM216),O216*ITP_TIPO)),O216*ITP_TIPO))</f>
        <v/>
      </c>
      <c r="CO216" s="4">
        <f>IF(R216="profesional",N(AK216),0)</f>
        <v/>
      </c>
      <c r="CP216" s="3">
        <f>IF(AND(R216="profesional",ISNUMBER(AK216),AL216="sí"),0,TASA_DGT)</f>
        <v/>
      </c>
      <c r="CQ216" s="3">
        <f>INFORME_DGT</f>
        <v/>
      </c>
      <c r="CR216" s="4">
        <f>O216+CO216+CN216+CP216+CQ216</f>
        <v/>
      </c>
      <c r="CS216" s="4">
        <f>CR216+N(CF216)</f>
        <v/>
      </c>
      <c r="CT216" s="3">
        <f>IF(CR216&lt;=TOTAL_MAX,"sí",IF(CR216&lt;=TOTAL_MAX+MARGEN_NEG,"negociar","no"))</f>
        <v/>
      </c>
      <c r="CU216" s="4">
        <f>IF(CT216&lt;&gt;"no",COUNTIFS($CT$2:$CT$545,"&lt;&gt;no",$CL$2:$CL$545,"&gt;"&amp;CL216)+COUNTIFS($CT$2:CT216,"&lt;&gt;no",$CL$2:CL216,CL216),"")</f>
        <v/>
      </c>
    </row>
    <row r="217">
      <c r="A217" s="2" t="inlineStr">
        <is>
          <t>cochesnet:71790682</t>
        </is>
      </c>
      <c r="B217" s="2" t="inlineStr">
        <is>
          <t>cochesnet</t>
        </is>
      </c>
      <c r="C217" s="2" t="inlineStr">
        <is>
          <t>https://www.coches.net/skoda-fabia-combi-14-tdi-80cv-comfort-5p-diesel-2006-en-valencia-71790682-covo.aspx</t>
        </is>
      </c>
      <c r="D217" s="2" t="inlineStr">
        <is>
          <t>SKODA Fabia Combi 1.4 TDi Comfort</t>
        </is>
      </c>
      <c r="E217" s="2" t="inlineStr">
        <is>
          <t>Skoda</t>
        </is>
      </c>
      <c r="F217" s="2" t="inlineStr">
        <is>
          <t>Skoda Fabia</t>
        </is>
      </c>
      <c r="G217" s="2" t="inlineStr">
        <is>
          <t>1.4 TDI</t>
        </is>
      </c>
      <c r="H217" s="2" t="inlineStr">
        <is>
          <t>Combi 1.4 TDi 80CV Comfort</t>
        </is>
      </c>
      <c r="I217" s="2" t="n"/>
      <c r="J217" s="2" t="n">
        <v>80</v>
      </c>
      <c r="K217" s="2" t="inlineStr">
        <is>
          <t>diesel</t>
        </is>
      </c>
      <c r="L217" s="2" t="inlineStr">
        <is>
          <t>familiar</t>
        </is>
      </c>
      <c r="M217" s="2" t="n">
        <v>2006</v>
      </c>
      <c r="N217" s="2" t="n">
        <v>198000</v>
      </c>
      <c r="O217" s="2" t="n">
        <v>3000</v>
      </c>
      <c r="P217" s="2" t="inlineStr">
        <is>
          <t>manual</t>
        </is>
      </c>
      <c r="Q217" s="2" t="inlineStr">
        <is>
          <t>no</t>
        </is>
      </c>
      <c r="R217" s="2" t="inlineStr">
        <is>
          <t>particular</t>
        </is>
      </c>
      <c r="S217" s="2" t="n"/>
      <c r="T217" s="2" t="inlineStr">
        <is>
          <t>2026-10-20T11:09:40Z</t>
        </is>
      </c>
      <c r="U217" s="2" t="n">
        <v>8</v>
      </c>
      <c r="V217" s="2" t="inlineStr">
        <is>
          <t>sí</t>
        </is>
      </c>
      <c r="W217" s="2" t="n"/>
      <c r="X217" s="2" t="n"/>
      <c r="Y217" s="2" t="n"/>
      <c r="Z217" s="2" t="inlineStr">
        <is>
          <t>no</t>
        </is>
      </c>
      <c r="AA217" s="2" t="n"/>
      <c r="AB217" s="2" t="n"/>
      <c r="AC217" s="2" t="n"/>
      <c r="AD217" s="2" t="n"/>
      <c r="AE217" s="2" t="n"/>
      <c r="AF217" s="2" t="n"/>
      <c r="AG217" s="2" t="n"/>
      <c r="AH217" s="2" t="n">
        <v>3000</v>
      </c>
      <c r="AI217" s="2" t="n"/>
      <c r="AJ217" s="2" t="n"/>
      <c r="AK217" s="2" t="n"/>
      <c r="AL217" s="2" t="n"/>
      <c r="AM217" s="2" t="n"/>
      <c r="AN217" s="2" t="inlineStr">
        <is>
          <t>EN2026LE</t>
        </is>
      </c>
      <c r="AO217" s="2" t="inlineStr">
        <is>
          <t>2006</t>
        </is>
      </c>
      <c r="AP217" s="2" t="n">
        <v>2006</v>
      </c>
      <c r="AQ217" s="2" t="n"/>
      <c r="AR217" s="2" t="n"/>
      <c r="AS217" s="2" t="inlineStr">
        <is>
          <t>regla</t>
        </is>
      </c>
      <c r="AT217" s="2" t="n">
        <v>3000</v>
      </c>
      <c r="AU217" s="2" t="n">
        <v>5</v>
      </c>
      <c r="AV217" s="2" t="inlineStr">
        <is>
          <t>modelo+año</t>
        </is>
      </c>
      <c r="AW217" s="2" t="n"/>
      <c r="AX217" s="2" t="inlineStr">
        <is>
          <t>etiqueta A dudosa: confirmar etiqueta con la DGT antes de comprar; cuota fija ITP: &gt;12 años, hasta 1.500 cc; diésel: motor sin fuente de fiabilidad (fiabilidad limitada a neutra); carrocería familiar: -3 puntos; distancia no verificable (el anuncio solo indica la provincia): confirmar que está a &lt;= 70 km</t>
        </is>
      </c>
      <c r="AY217" s="2" t="inlineStr">
        <is>
          <t>Lo vendo porque tengo ahora uno nuevo.
ITV RECIÉN PASADA. Etiqueta B DGT.
Ha dormido en garaje hasta la llegada del nuevo.
Coche muy cuidado, con el mantenimiento realizado escrupulosamente. Conservo las facturas.
Este verano he hecho con él un viaje a Francia de casi 2000km.
Aire acondicionado. Regulador de velocidad. Guantera-refrigerador. Ordenador de abordo. 5 marchas. Cristales delanteros eléctricos. Luces antiniebla. Motor bajo consumo.
En 2026 le he sustituido los 4 amortiguadores y el termostato.
En 2025 sustitución de batería.
En 2022 sustitución de los 4 neumáticos, que se encuentran con mucho dubujo debido al kilometraje contenido que se le ha hecho.
Aspecto general muy cuidado, tanto en el exterior como el interior.
La goma de la antena está un poco raída y uno de los respaldos de los asientos traseros está bloqueado y no deja doblarlo para ampliar el espacio del maletero, que por otra parte, ya es de por si muy generoso.
Coche ideal para ir a trabajar con poco consumo.
PAPELEO EN LA GESTORÍA DE ALFARA.</t>
        </is>
      </c>
      <c r="AZ217" s="2" t="inlineStr">
        <is>
          <t>https://www.coches.net/skoda-fabia-combi-14-tdi-80cv-comfort-5p-diesel-2006-en-valencia-71790682-covo.aspx (window.__INITIAL_PROPS__.ad) /home/user/Alopecia/buscador-coches/raw/cochesnet/21ad06145bb00ca9.json</t>
        </is>
      </c>
      <c r="BA217" s="3">
        <f>MAX(ANIO_ACTUAL-M217,0)</f>
        <v/>
      </c>
      <c r="BB217" s="4">
        <f>N217/MAX(BA217,0.5)</f>
        <v/>
      </c>
      <c r="BC217" s="4">
        <f>F217</f>
        <v/>
      </c>
      <c r="BD217" s="3">
        <f>BC217&amp;"|"&amp;INT(M217/SEG_ANIO)*SEG_ANIO</f>
        <v/>
      </c>
      <c r="BE217" s="3">
        <f>BD217&amp;"|"&amp;INT(N217/SEG_KM)*SEG_KM</f>
        <v/>
      </c>
      <c r="BF217" s="4">
        <f>COUNTIF($BC$2:$BC$545,BC217)</f>
        <v/>
      </c>
      <c r="BG217" s="4">
        <f>COUNTIF($BD$2:$BD$545,BD217)</f>
        <v/>
      </c>
      <c r="BH217" s="4">
        <f>COUNTIF($BE$2:$BE$545,BE217)</f>
        <v/>
      </c>
      <c r="BI217" s="3">
        <f t="array" ref="BI217">IF(N(AU217)&gt;=MIN_N,AT217,IF(BH217&gt;=MIN_N,MEDIAN(IF($BE$2:$BE$545=BE217,$O$2:$O$545)),IF(BG217&gt;=MIN_N,MEDIAN(IF($BD$2:$BD$545=BD217,$O$2:$O$545)),MEDIAN(IF($BC$2:$BC$545=BC217,$O$2:$O$545)))))</f>
        <v/>
      </c>
      <c r="BJ217" s="3">
        <f>IF(N(AU217)&gt;=MIN_N,"mercado "&amp;AV217,IF(BH217&gt;=MIN_N,"modelo+año+km",IF(BG217&gt;=MIN_N,"modelo+año","modelo")))</f>
        <v/>
      </c>
      <c r="BK217" s="4">
        <f>(BI217-O217)/BI217</f>
        <v/>
      </c>
      <c r="BL217" s="3">
        <f>IF(COUNTIFS(FR_FUEL,K217,FR_YEAR,AP217)&gt;0,1,0)</f>
        <v/>
      </c>
      <c r="BM217" s="3">
        <f>IF(COUNTIFS(FR_FUEL,K217,FR_YEAR,AP217-1)&gt;0,1,0)</f>
        <v/>
      </c>
      <c r="BN217" s="4">
        <f>IF(N(AQ217)&gt;0,AP217*100+AQ217,IF(AND(BL217=1,BM217=1),(AP217-1)*100+1,AP217*100+1))</f>
        <v/>
      </c>
      <c r="BO217" s="3">
        <f>IF(OR(K217="hibrido",K217="glp",K217="gnc",K217="phev"),"ECO",IF(K217="electrico","CERO",IF(K217="gasolina",IF(BN217&gt;=GAS_C_YM,"C",IF(BN217&gt;=GAS_B_YM,"B","A")),IF(K217="diesel",IF(BN217&gt;=DIE_C_YM,"C",IF(BN217&gt;=DIE_B_YM,"B","A")),""))))</f>
        <v/>
      </c>
      <c r="BP217" s="4">
        <f>BO217</f>
        <v/>
      </c>
      <c r="BQ217" s="4">
        <f>IF(AS217="regla",IF(AND(N(AQ217)=0,BL217=1),"sí","no"),"no")</f>
        <v/>
      </c>
      <c r="BR217" s="3">
        <f>IFERROR(VLOOKUP(F217,MOD_TBL,11,0),IFERROR(VLOOKUP(E217,OCU_TBL,2,0),NEUTRO))</f>
        <v/>
      </c>
      <c r="BS217" s="3">
        <f>SUMIFS(MOT_AJUSTE,MOT_MOTOR,G217,MOT_MARCA,E217,MOT_DESDE,"&lt;="&amp;M217,MOT_HASTA,"&gt;="&amp;M217)+SUMIFS(MOT_AJUSTE,MOT_MOTOR,G217,MOT_MARCA,"(todas)",MOT_DESDE,"&lt;="&amp;M217,MOT_HASTA,"&gt;="&amp;M217)</f>
        <v/>
      </c>
      <c r="BT217" s="3">
        <f>SUMIFS(COMB_AJUSTE,COMB_COMB,K217)</f>
        <v/>
      </c>
      <c r="BU217" s="3">
        <f>COUNTIFS(MOT_MOTOR,G217,MOT_MARCA,E217,MOT_DESDE,"&lt;="&amp;M217,MOT_HASTA,"&gt;="&amp;M217)+COUNTIFS(MOT_MOTOR,G217,MOT_MARCA,"(todas)",MOT_DESDE,"&lt;="&amp;M217,MOT_HASTA,"&gt;="&amp;M217)</f>
        <v/>
      </c>
      <c r="BV217" s="3">
        <f>IF(AND(K217="diesel",BU217=0),MIN(BR217,NEUTRO),BR217)</f>
        <v/>
      </c>
      <c r="BW217" s="4">
        <f>MAX(0,MIN(100,BV217+BS217+BT217))</f>
        <v/>
      </c>
      <c r="BX217" s="3">
        <f>MAX(0,MIN(100,50+BK217*PRECIO_PEND))</f>
        <v/>
      </c>
      <c r="BY217" s="3">
        <f>MAX(0,100*(1-N217/KM_MAX))</f>
        <v/>
      </c>
      <c r="BZ217" s="3">
        <f>IF(BB217&lt;KMA_SOSP,IF(AA217="sí",100,KMA_PEN),IF(BB217&lt;=KMA_IDEAL_MAX,100,MAX(0,100*(KMA_CERO-BB217)/(KMA_CERO-KMA_IDEAL_MAX))))</f>
        <v/>
      </c>
      <c r="CA217" s="3">
        <f>MAX(0,MIN(100,100*(M217-ANIO_MIN)/(ANIO_ACTUAL-ANIO_MIN)))</f>
        <v/>
      </c>
      <c r="CB217" s="3">
        <f>W_KMT*BY217+W_KMA*BZ217+W_EDAD*CA217</f>
        <v/>
      </c>
      <c r="CC217" s="3">
        <f>P_ITV*(V217="sí")+P_LIBRO*(W217="sí")+P_CORREA*(X217="sí")+P_PROP*(Y217=1)+P_GAR*(Z217="sí")+P_FOTOS*MIN(1,N(U217)/FOTOS_OBJ)</f>
        <v/>
      </c>
      <c r="CD217" s="3">
        <f>MAX(0,MIN(100,IFERROR(VLOOKUP(BP217,ETQ_TBL,2,0),0)-IF(BQ217="sí",ETQ_PEN_DUD,IF(AS217="regla",ETQ_PEN_REGLA,0))))</f>
        <v/>
      </c>
      <c r="CE217" s="3">
        <f>NEUTRO</f>
        <v/>
      </c>
      <c r="CF217" s="3">
        <f>IFERROR(VLOOKUP(L217,SEGURO_TBL,3,0),"")</f>
        <v/>
      </c>
      <c r="CG217" s="3">
        <f>IF(CF217="",NEUTRO,MAX(0,MIN(100,100*(SEG_REF_MAX-CF217)/(SEG_REF_MAX-SEG_REF_MIN))))</f>
        <v/>
      </c>
      <c r="CH217" s="3">
        <f>W_CONS*CE217+W_SEG*CG217</f>
        <v/>
      </c>
      <c r="CI217" s="3">
        <f>IF(N(AB217)&gt;0,AB217,IF(AND(R217="profesional",SG_LEGAL_ON=1),GAR_LEGAL,0))</f>
        <v/>
      </c>
      <c r="CJ217" s="3">
        <f>SG_GAR*MIN(1,CI217/SG_GAR_FULL)+SG_AMPL*(AC217="sí")+SG_KMC*(AF217="sí")+SG_REV*(N(AE217)&gt;0)+SG_DEV*MIN(1,N(AG217)/SG_DEV_FULL)+SG_HIST*(W217="sí")</f>
        <v/>
      </c>
      <c r="CK217" s="3">
        <f>IFERROR(VLOOKUP(L217,CARR_PEN_TBL,2,0),0)</f>
        <v/>
      </c>
      <c r="CL217" s="3">
        <f>W_FIAB*BW217+W_PRECIO*BX217+W_KMEDAD*CB217+W_ANUNCIO*CC217+W_USO*CH217+W_SEGURIDAD*CJ217+W_ETIQUETA*CD217-CK217</f>
        <v/>
      </c>
      <c r="CM217" s="4">
        <f>IF(N(I217)&gt;0,I217,IFERROR(ROUND(_xlfn.NUMBERVALUE(LEFT(G217,FIND(" ",G217&amp;" ")-1),".")*1000,0),99999))</f>
        <v/>
      </c>
      <c r="CN217" s="3">
        <f>IF(R217="profesional",0,IF(O217&lt;CUOTA_VALOR_MAX,IF(BA217&gt;ITP_TRAMO_ALTO,SUMIFS(CF_CUOTA,CF_MAS,ITP_TRAMO_ALTO,CF_CCMIN,"&lt;="&amp;CM217,CF_CCMAX,"&gt;="&amp;CM217),IF(BA217&gt;ITP_TRAMO_BAJO,SUMIFS(CF_CUOTA,CF_MAS,ITP_TRAMO_BAJO,CF_CCMIN,"&lt;="&amp;CM217,CF_CCMAX,"&gt;="&amp;CM217),O217*ITP_TIPO)),O217*ITP_TIPO))</f>
        <v/>
      </c>
      <c r="CO217" s="4">
        <f>IF(R217="profesional",N(AK217),0)</f>
        <v/>
      </c>
      <c r="CP217" s="3">
        <f>IF(AND(R217="profesional",ISNUMBER(AK217),AL217="sí"),0,TASA_DGT)</f>
        <v/>
      </c>
      <c r="CQ217" s="3">
        <f>INFORME_DGT</f>
        <v/>
      </c>
      <c r="CR217" s="4">
        <f>O217+CO217+CN217+CP217+CQ217</f>
        <v/>
      </c>
      <c r="CS217" s="4">
        <f>CR217+N(CF217)</f>
        <v/>
      </c>
      <c r="CT217" s="3">
        <f>IF(CR217&lt;=TOTAL_MAX,"sí",IF(CR217&lt;=TOTAL_MAX+MARGEN_NEG,"negociar","no"))</f>
        <v/>
      </c>
      <c r="CU217" s="4">
        <f>IF(CT217&lt;&gt;"no",COUNTIFS($CT$2:$CT$545,"&lt;&gt;no",$CL$2:$CL$545,"&gt;"&amp;CL217)+COUNTIFS($CT$2:CT217,"&lt;&gt;no",$CL$2:CL217,CL217),"")</f>
        <v/>
      </c>
    </row>
    <row r="218">
      <c r="A218" s="2" t="inlineStr">
        <is>
          <t>cochesnet:71648429</t>
        </is>
      </c>
      <c r="B218" s="2" t="inlineStr">
        <is>
          <t>cochesnet</t>
        </is>
      </c>
      <c r="C218" s="2" t="inlineStr">
        <is>
          <t>https://www.coches.net/skoda-citigo-10-mpi-60cv-ambition-3p-gasolina-2015-en-valencia-71648429-covo.aspx</t>
        </is>
      </c>
      <c r="D218" s="2" t="inlineStr">
        <is>
          <t>SKODA Citigo 1.0 MPI Ambition</t>
        </is>
      </c>
      <c r="E218" s="2" t="inlineStr">
        <is>
          <t>Skoda</t>
        </is>
      </c>
      <c r="F218" s="2" t="inlineStr">
        <is>
          <t>Skoda Citigo</t>
        </is>
      </c>
      <c r="G218" s="2" t="inlineStr">
        <is>
          <t>1.0 MPI</t>
        </is>
      </c>
      <c r="H218" s="2" t="inlineStr">
        <is>
          <t>1.0 MPI 60cv Ambition</t>
        </is>
      </c>
      <c r="I218" s="2" t="n"/>
      <c r="J218" s="2" t="n">
        <v>60</v>
      </c>
      <c r="K218" s="2" t="inlineStr">
        <is>
          <t>gasolina</t>
        </is>
      </c>
      <c r="L218" s="2" t="inlineStr">
        <is>
          <t>utilitario</t>
        </is>
      </c>
      <c r="M218" s="2" t="n">
        <v>2014</v>
      </c>
      <c r="N218" s="2" t="n">
        <v>169000</v>
      </c>
      <c r="O218" s="2" t="n">
        <v>4990</v>
      </c>
      <c r="P218" s="2" t="inlineStr">
        <is>
          <t>manual</t>
        </is>
      </c>
      <c r="Q218" s="2" t="inlineStr">
        <is>
          <t>no</t>
        </is>
      </c>
      <c r="R218" s="2" t="inlineStr">
        <is>
          <t>profesional</t>
        </is>
      </c>
      <c r="S218" s="2" t="inlineStr">
        <is>
          <t>APEX MOTOR GALLERY Bétera</t>
        </is>
      </c>
      <c r="T218" s="2" t="inlineStr">
        <is>
          <t>2026-10-01T16:02:53Z</t>
        </is>
      </c>
      <c r="U218" s="2" t="n">
        <v>6</v>
      </c>
      <c r="V218" s="2" t="n"/>
      <c r="W218" s="2" t="n"/>
      <c r="X218" s="2" t="n"/>
      <c r="Y218" s="2" t="n"/>
      <c r="Z218" s="2" t="inlineStr">
        <is>
          <t>sí</t>
        </is>
      </c>
      <c r="AA218" s="2" t="n"/>
      <c r="AB218" s="2" t="n">
        <v>12</v>
      </c>
      <c r="AC218" s="2" t="n"/>
      <c r="AD218" s="2" t="n"/>
      <c r="AE218" s="2" t="n"/>
      <c r="AF218" s="2" t="n"/>
      <c r="AG218" s="2" t="n"/>
      <c r="AH218" s="2" t="n">
        <v>4990</v>
      </c>
      <c r="AI218" s="2" t="n"/>
      <c r="AJ218" s="2" t="n"/>
      <c r="AK218" s="2" t="n"/>
      <c r="AL218" s="2" t="n"/>
      <c r="AM218" s="2" t="n">
        <v>14.1</v>
      </c>
      <c r="AN218" s="2" t="n"/>
      <c r="AO218" s="2" t="inlineStr">
        <is>
          <t>2014</t>
        </is>
      </c>
      <c r="AP218" s="2" t="n">
        <v>2014</v>
      </c>
      <c r="AQ218" s="2" t="n"/>
      <c r="AR218" s="2" t="inlineStr">
        <is>
          <t>C</t>
        </is>
      </c>
      <c r="AS218" s="2" t="inlineStr">
        <is>
          <t>anuncio</t>
        </is>
      </c>
      <c r="AT218" s="2" t="n"/>
      <c r="AU218" s="2" t="n"/>
      <c r="AV218" s="2" t="n"/>
      <c r="AW218" s="2" t="n"/>
      <c r="AX218"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 mediana con solo 2 anuncio(s)</t>
        </is>
      </c>
      <c r="AY218" s="2" t="inlineStr"/>
      <c r="AZ218" s="2" t="inlineStr">
        <is>
          <t>https://www.coches.net/skoda-citigo-10-mpi-60cv-ambition-3p-gasolina-2015-en-valencia-71648429-covo.aspx (window.__INITIAL_PROPS__.ad) /home/user/Alopecia/buscador-coches/raw/cochesnet/9df83f74e56aa603.json</t>
        </is>
      </c>
      <c r="BA218" s="3">
        <f>MAX(ANIO_ACTUAL-M218,0)</f>
        <v/>
      </c>
      <c r="BB218" s="4">
        <f>N218/MAX(BA218,0.5)</f>
        <v/>
      </c>
      <c r="BC218" s="4">
        <f>F218</f>
        <v/>
      </c>
      <c r="BD218" s="3">
        <f>BC218&amp;"|"&amp;INT(M218/SEG_ANIO)*SEG_ANIO</f>
        <v/>
      </c>
      <c r="BE218" s="3">
        <f>BD218&amp;"|"&amp;INT(N218/SEG_KM)*SEG_KM</f>
        <v/>
      </c>
      <c r="BF218" s="4">
        <f>COUNTIF($BC$2:$BC$545,BC218)</f>
        <v/>
      </c>
      <c r="BG218" s="4">
        <f>COUNTIF($BD$2:$BD$545,BD218)</f>
        <v/>
      </c>
      <c r="BH218" s="4">
        <f>COUNTIF($BE$2:$BE$545,BE218)</f>
        <v/>
      </c>
      <c r="BI218" s="3">
        <f t="array" ref="BI218">IF(N(AU218)&gt;=MIN_N,AT218,IF(BH218&gt;=MIN_N,MEDIAN(IF($BE$2:$BE$545=BE218,$O$2:$O$545)),IF(BG218&gt;=MIN_N,MEDIAN(IF($BD$2:$BD$545=BD218,$O$2:$O$545)),MEDIAN(IF($BC$2:$BC$545=BC218,$O$2:$O$545)))))</f>
        <v/>
      </c>
      <c r="BJ218" s="3">
        <f>IF(N(AU218)&gt;=MIN_N,"mercado "&amp;AV218,IF(BH218&gt;=MIN_N,"modelo+año+km",IF(BG218&gt;=MIN_N,"modelo+año","modelo")))</f>
        <v/>
      </c>
      <c r="BK218" s="4">
        <f>(BI218-O218)/BI218</f>
        <v/>
      </c>
      <c r="BL218" s="3">
        <f>IF(COUNTIFS(FR_FUEL,K218,FR_YEAR,AP218)&gt;0,1,0)</f>
        <v/>
      </c>
      <c r="BM218" s="3">
        <f>IF(COUNTIFS(FR_FUEL,K218,FR_YEAR,AP218-1)&gt;0,1,0)</f>
        <v/>
      </c>
      <c r="BN218" s="4">
        <f>IF(N(AQ218)&gt;0,AP218*100+AQ218,IF(AND(BL218=1,BM218=1),(AP218-1)*100+1,AP218*100+1))</f>
        <v/>
      </c>
      <c r="BO218" s="3">
        <f>IF(OR(K218="hibrido",K218="glp",K218="gnc",K218="phev"),"ECO",IF(K218="electrico","CERO",IF(K218="gasolina",IF(BN218&gt;=GAS_C_YM,"C",IF(BN218&gt;=GAS_B_YM,"B","A")),IF(K218="diesel",IF(BN218&gt;=DIE_C_YM,"C",IF(BN218&gt;=DIE_B_YM,"B","A")),""))))</f>
        <v/>
      </c>
      <c r="BP218" s="2" t="inlineStr">
        <is>
          <t>C</t>
        </is>
      </c>
      <c r="BQ218" s="4">
        <f>IF(AS218="regla",IF(AND(N(AQ218)=0,BL218=1),"sí","no"),"no")</f>
        <v/>
      </c>
      <c r="BR218" s="3">
        <f>IFERROR(VLOOKUP(F218,MOD_TBL,11,0),IFERROR(VLOOKUP(E218,OCU_TBL,2,0),NEUTRO))</f>
        <v/>
      </c>
      <c r="BS218" s="3">
        <f>SUMIFS(MOT_AJUSTE,MOT_MOTOR,G218,MOT_MARCA,E218,MOT_DESDE,"&lt;="&amp;M218,MOT_HASTA,"&gt;="&amp;M218)+SUMIFS(MOT_AJUSTE,MOT_MOTOR,G218,MOT_MARCA,"(todas)",MOT_DESDE,"&lt;="&amp;M218,MOT_HASTA,"&gt;="&amp;M218)</f>
        <v/>
      </c>
      <c r="BT218" s="3">
        <f>SUMIFS(COMB_AJUSTE,COMB_COMB,K218)</f>
        <v/>
      </c>
      <c r="BU218" s="3">
        <f>COUNTIFS(MOT_MOTOR,G218,MOT_MARCA,E218,MOT_DESDE,"&lt;="&amp;M218,MOT_HASTA,"&gt;="&amp;M218)+COUNTIFS(MOT_MOTOR,G218,MOT_MARCA,"(todas)",MOT_DESDE,"&lt;="&amp;M218,MOT_HASTA,"&gt;="&amp;M218)</f>
        <v/>
      </c>
      <c r="BV218" s="3">
        <f>IF(AND(K218="diesel",BU218=0),MIN(BR218,NEUTRO),BR218)</f>
        <v/>
      </c>
      <c r="BW218" s="4">
        <f>MAX(0,MIN(100,BV218+BS218+BT218))</f>
        <v/>
      </c>
      <c r="BX218" s="3">
        <f>MAX(0,MIN(100,50+BK218*PRECIO_PEND))</f>
        <v/>
      </c>
      <c r="BY218" s="3">
        <f>MAX(0,100*(1-N218/KM_MAX))</f>
        <v/>
      </c>
      <c r="BZ218" s="3">
        <f>IF(BB218&lt;KMA_SOSP,IF(AA218="sí",100,KMA_PEN),IF(BB218&lt;=KMA_IDEAL_MAX,100,MAX(0,100*(KMA_CERO-BB218)/(KMA_CERO-KMA_IDEAL_MAX))))</f>
        <v/>
      </c>
      <c r="CA218" s="3">
        <f>MAX(0,MIN(100,100*(M218-ANIO_MIN)/(ANIO_ACTUAL-ANIO_MIN)))</f>
        <v/>
      </c>
      <c r="CB218" s="3">
        <f>W_KMT*BY218+W_KMA*BZ218+W_EDAD*CA218</f>
        <v/>
      </c>
      <c r="CC218" s="3">
        <f>P_ITV*(V218="sí")+P_LIBRO*(W218="sí")+P_CORREA*(X218="sí")+P_PROP*(Y218=1)+P_GAR*(Z218="sí")+P_FOTOS*MIN(1,N(U218)/FOTOS_OBJ)</f>
        <v/>
      </c>
      <c r="CD218" s="3">
        <f>MAX(0,MIN(100,IFERROR(VLOOKUP(BP218,ETQ_TBL,2,0),0)-IF(BQ218="sí",ETQ_PEN_DUD,IF(AS218="regla",ETQ_PEN_REGLA,0))))</f>
        <v/>
      </c>
      <c r="CE218" s="3">
        <f>NEUTRO</f>
        <v/>
      </c>
      <c r="CF218" s="3">
        <f>IFERROR(VLOOKUP(L218,SEGURO_TBL,3,0),"")</f>
        <v/>
      </c>
      <c r="CG218" s="3">
        <f>IF(CF218="",NEUTRO,MAX(0,MIN(100,100*(SEG_REF_MAX-CF218)/(SEG_REF_MAX-SEG_REF_MIN))))</f>
        <v/>
      </c>
      <c r="CH218" s="3">
        <f>W_CONS*CE218+W_SEG*CG218</f>
        <v/>
      </c>
      <c r="CI218" s="3">
        <f>IF(N(AB218)&gt;0,AB218,IF(AND(R218="profesional",SG_LEGAL_ON=1),GAR_LEGAL,0))</f>
        <v/>
      </c>
      <c r="CJ218" s="3">
        <f>SG_GAR*MIN(1,CI218/SG_GAR_FULL)+SG_AMPL*(AC218="sí")+SG_KMC*(AF218="sí")+SG_REV*(N(AE218)&gt;0)+SG_DEV*MIN(1,N(AG218)/SG_DEV_FULL)+SG_HIST*(W218="sí")</f>
        <v/>
      </c>
      <c r="CK218" s="3">
        <f>IFERROR(VLOOKUP(L218,CARR_PEN_TBL,2,0),0)</f>
        <v/>
      </c>
      <c r="CL218" s="3">
        <f>W_FIAB*BW218+W_PRECIO*BX218+W_KMEDAD*CB218+W_ANUNCIO*CC218+W_USO*CH218+W_SEGURIDAD*CJ218+W_ETIQUETA*CD218-CK218</f>
        <v/>
      </c>
      <c r="CM218" s="4">
        <f>IF(N(I218)&gt;0,I218,IFERROR(ROUND(_xlfn.NUMBERVALUE(LEFT(G218,FIND(" ",G218&amp;" ")-1),".")*1000,0),99999))</f>
        <v/>
      </c>
      <c r="CN218" s="3">
        <f>IF(R218="profesional",0,IF(O218&lt;CUOTA_VALOR_MAX,IF(BA218&gt;ITP_TRAMO_ALTO,SUMIFS(CF_CUOTA,CF_MAS,ITP_TRAMO_ALTO,CF_CCMIN,"&lt;="&amp;CM218,CF_CCMAX,"&gt;="&amp;CM218),IF(BA218&gt;ITP_TRAMO_BAJO,SUMIFS(CF_CUOTA,CF_MAS,ITP_TRAMO_BAJO,CF_CCMIN,"&lt;="&amp;CM218,CF_CCMAX,"&gt;="&amp;CM218),O218*ITP_TIPO)),O218*ITP_TIPO))</f>
        <v/>
      </c>
      <c r="CO218" s="4">
        <f>IF(R218="profesional",N(AK218),0)</f>
        <v/>
      </c>
      <c r="CP218" s="3">
        <f>IF(AND(R218="profesional",ISNUMBER(AK218),AL218="sí"),0,TASA_DGT)</f>
        <v/>
      </c>
      <c r="CQ218" s="3">
        <f>INFORME_DGT</f>
        <v/>
      </c>
      <c r="CR218" s="4">
        <f>O218+CO218+CN218+CP218+CQ218</f>
        <v/>
      </c>
      <c r="CS218" s="4">
        <f>CR218+N(CF218)</f>
        <v/>
      </c>
      <c r="CT218" s="3">
        <f>IF(CR218&lt;=TOTAL_MAX,"sí",IF(CR218&lt;=TOTAL_MAX+MARGEN_NEG,"negociar","no"))</f>
        <v/>
      </c>
      <c r="CU218" s="4">
        <f>IF(CT218&lt;&gt;"no",COUNTIFS($CT$2:$CT$545,"&lt;&gt;no",$CL$2:$CL$545,"&gt;"&amp;CL218)+COUNTIFS($CT$2:CT218,"&lt;&gt;no",$CL$2:CL218,CL218),"")</f>
        <v/>
      </c>
    </row>
    <row r="219">
      <c r="A219" s="2" t="inlineStr">
        <is>
          <t>cochesnet:71619015</t>
        </is>
      </c>
      <c r="B219" s="2" t="inlineStr">
        <is>
          <t>cochesnet</t>
        </is>
      </c>
      <c r="C219" s="2" t="inlineStr">
        <is>
          <t>https://www.coches.net/skoda-fabia-sedan-14-tdi-80cv-comfort-4p-diesel-2006-en-valencia-71619015-covo.aspx</t>
        </is>
      </c>
      <c r="D219" s="2" t="inlineStr">
        <is>
          <t>SKODA Fabia Sedan 1.4 TDi Comfort</t>
        </is>
      </c>
      <c r="E219" s="2" t="inlineStr">
        <is>
          <t>Skoda</t>
        </is>
      </c>
      <c r="F219" s="2" t="inlineStr">
        <is>
          <t>Skoda Fabia</t>
        </is>
      </c>
      <c r="G219" s="2" t="inlineStr">
        <is>
          <t>1.4 TDI</t>
        </is>
      </c>
      <c r="H219" s="2" t="inlineStr">
        <is>
          <t>Sedan 1.4 TDi 80cv Comfort</t>
        </is>
      </c>
      <c r="I219" s="2" t="n"/>
      <c r="J219" s="2" t="n">
        <v>80</v>
      </c>
      <c r="K219" s="2" t="inlineStr">
        <is>
          <t>diesel</t>
        </is>
      </c>
      <c r="L219" s="2" t="inlineStr">
        <is>
          <t>berlina</t>
        </is>
      </c>
      <c r="M219" s="2" t="n">
        <v>2006</v>
      </c>
      <c r="N219" s="2" t="n">
        <v>131000</v>
      </c>
      <c r="O219" s="2" t="n">
        <v>3990</v>
      </c>
      <c r="P219" s="2" t="inlineStr">
        <is>
          <t>manual</t>
        </is>
      </c>
      <c r="Q219" s="2" t="inlineStr">
        <is>
          <t>no</t>
        </is>
      </c>
      <c r="R219" s="2" t="inlineStr">
        <is>
          <t>profesional</t>
        </is>
      </c>
      <c r="S219" s="2" t="inlineStr">
        <is>
          <t>Garageng Foios Foios</t>
        </is>
      </c>
      <c r="T219" s="2" t="inlineStr">
        <is>
          <t>2026-09-28T20:25:59Z</t>
        </is>
      </c>
      <c r="U219" s="2" t="n">
        <v>27</v>
      </c>
      <c r="V219" s="2" t="inlineStr">
        <is>
          <t>sí</t>
        </is>
      </c>
      <c r="W219" s="2" t="n"/>
      <c r="X219" s="2" t="n"/>
      <c r="Y219" s="2" t="n">
        <v>1</v>
      </c>
      <c r="Z219" s="2" t="inlineStr">
        <is>
          <t>no</t>
        </is>
      </c>
      <c r="AA219" s="2" t="n"/>
      <c r="AB219" s="2" t="n"/>
      <c r="AC219" s="2" t="n"/>
      <c r="AD219" s="2" t="n"/>
      <c r="AE219" s="2" t="n"/>
      <c r="AF219" s="2" t="n"/>
      <c r="AG219" s="2" t="n"/>
      <c r="AH219" s="2" t="n">
        <v>3990</v>
      </c>
      <c r="AI219" s="2" t="n"/>
      <c r="AJ219" s="2" t="n"/>
      <c r="AK219" s="2" t="n"/>
      <c r="AL219" s="2" t="n"/>
      <c r="AM219" s="2" t="n">
        <v>7.7</v>
      </c>
      <c r="AN219" s="2" t="n"/>
      <c r="AO219" s="2" t="inlineStr">
        <is>
          <t>2006</t>
        </is>
      </c>
      <c r="AP219" s="2" t="n">
        <v>2006</v>
      </c>
      <c r="AQ219" s="2" t="n"/>
      <c r="AR219" s="2" t="inlineStr">
        <is>
          <t>B</t>
        </is>
      </c>
      <c r="AS219" s="2" t="inlineStr">
        <is>
          <t>anuncio</t>
        </is>
      </c>
      <c r="AT219" s="2" t="n">
        <v>3000</v>
      </c>
      <c r="AU219" s="2" t="n">
        <v>5</v>
      </c>
      <c r="AV219" s="2" t="inlineStr">
        <is>
          <t>modelo+año</t>
        </is>
      </c>
      <c r="AW219" s="2" t="n"/>
      <c r="AX219" s="2" t="inlineStr">
        <is>
          <t>vendedor profesional: sin ITP (operación con IVA/REBU, confirmar en factura); gastos de gestión del vendedor no indicados: se suma la tasa DGT; preguntar el precio final; diésel: motor sin fuente de fiabilidad (fiabilidad limitada a neutra); carrocería berlina: -4 puntos</t>
        </is>
      </c>
      <c r="AY219" s="2" t="inlineStr">
        <is>
          <t>SKODA MODELO FABIA MOTOR  1.4 TDI CON 80CV  DE POTENCIA Y CONSUMO REDUCIDO.
VEHICULO NACIONAL PROCEDENTE DE UNICO PROPIETARIO CON KILOMETRAJE REAL Y CERTIFICADO.
DISPONE DE DISTINTIVO AMBIENTAL
SE ENTREGA CON MANTENIMIENTO RECIEN HECHO E ITV EN VIGOR 10/26.
CONSERVA LIBROS ORIGINALES.
DESTACADOS:
- CIERRE CENTRALIZADO CON MANDO Y DOS LLAVES
- CLIMATIZADOR A/C
- RADIO ORIGINAL
- ELEVALUNAS ELECTRICOS
- TAPICERIA DE TELA MIXTA MUY CONSERVADA
- POSA-VASOS 
- VEHICULO CON IVA/(REBU) INCLUIDO.
- ACEPTAMOS VEHÍCULOS COMO PARTE DE PAGO, TASACIÓN MÁXIMA Y PAGO INMEDIATO.
- ESTE ANUNCIO PUEDE CONTENER ALGÚN ERROR SE MUESTRA A TITULO INFORMATIVO Y NO CONTRACTUAL, PARA MAS INFORMACIÓN CONTACTE CON NOSOTROS.
- CARRER DE LA HORTA 14, FOIOS, POLIGONO INDUSTRIAL EL MOLI, CAMPA AMARILLA</t>
        </is>
      </c>
      <c r="AZ219" s="2" t="inlineStr">
        <is>
          <t>https://www.coches.net/skoda-fabia-sedan-14-tdi-80cv-comfort-4p-diesel-2006-en-valencia-71619015-covo.aspx (window.__INITIAL_PROPS__.ad) /home/user/Alopecia/buscador-coches/raw/cochesnet/3d94a7fdd41195d7.json</t>
        </is>
      </c>
      <c r="BA219" s="3">
        <f>MAX(ANIO_ACTUAL-M219,0)</f>
        <v/>
      </c>
      <c r="BB219" s="4">
        <f>N219/MAX(BA219,0.5)</f>
        <v/>
      </c>
      <c r="BC219" s="4">
        <f>F219</f>
        <v/>
      </c>
      <c r="BD219" s="3">
        <f>BC219&amp;"|"&amp;INT(M219/SEG_ANIO)*SEG_ANIO</f>
        <v/>
      </c>
      <c r="BE219" s="3">
        <f>BD219&amp;"|"&amp;INT(N219/SEG_KM)*SEG_KM</f>
        <v/>
      </c>
      <c r="BF219" s="4">
        <f>COUNTIF($BC$2:$BC$545,BC219)</f>
        <v/>
      </c>
      <c r="BG219" s="4">
        <f>COUNTIF($BD$2:$BD$545,BD219)</f>
        <v/>
      </c>
      <c r="BH219" s="4">
        <f>COUNTIF($BE$2:$BE$545,BE219)</f>
        <v/>
      </c>
      <c r="BI219" s="3">
        <f t="array" ref="BI219">IF(N(AU219)&gt;=MIN_N,AT219,IF(BH219&gt;=MIN_N,MEDIAN(IF($BE$2:$BE$545=BE219,$O$2:$O$545)),IF(BG219&gt;=MIN_N,MEDIAN(IF($BD$2:$BD$545=BD219,$O$2:$O$545)),MEDIAN(IF($BC$2:$BC$545=BC219,$O$2:$O$545)))))</f>
        <v/>
      </c>
      <c r="BJ219" s="3">
        <f>IF(N(AU219)&gt;=MIN_N,"mercado "&amp;AV219,IF(BH219&gt;=MIN_N,"modelo+año+km",IF(BG219&gt;=MIN_N,"modelo+año","modelo")))</f>
        <v/>
      </c>
      <c r="BK219" s="4">
        <f>(BI219-O219)/BI219</f>
        <v/>
      </c>
      <c r="BL219" s="3">
        <f>IF(COUNTIFS(FR_FUEL,K219,FR_YEAR,AP219)&gt;0,1,0)</f>
        <v/>
      </c>
      <c r="BM219" s="3">
        <f>IF(COUNTIFS(FR_FUEL,K219,FR_YEAR,AP219-1)&gt;0,1,0)</f>
        <v/>
      </c>
      <c r="BN219" s="4">
        <f>IF(N(AQ219)&gt;0,AP219*100+AQ219,IF(AND(BL219=1,BM219=1),(AP219-1)*100+1,AP219*100+1))</f>
        <v/>
      </c>
      <c r="BO219" s="3">
        <f>IF(OR(K219="hibrido",K219="glp",K219="gnc",K219="phev"),"ECO",IF(K219="electrico","CERO",IF(K219="gasolina",IF(BN219&gt;=GAS_C_YM,"C",IF(BN219&gt;=GAS_B_YM,"B","A")),IF(K219="diesel",IF(BN219&gt;=DIE_C_YM,"C",IF(BN219&gt;=DIE_B_YM,"B","A")),""))))</f>
        <v/>
      </c>
      <c r="BP219" s="2" t="inlineStr">
        <is>
          <t>B</t>
        </is>
      </c>
      <c r="BQ219" s="4">
        <f>IF(AS219="regla",IF(AND(N(AQ219)=0,BL219=1),"sí","no"),"no")</f>
        <v/>
      </c>
      <c r="BR219" s="3">
        <f>IFERROR(VLOOKUP(F219,MOD_TBL,11,0),IFERROR(VLOOKUP(E219,OCU_TBL,2,0),NEUTRO))</f>
        <v/>
      </c>
      <c r="BS219" s="3">
        <f>SUMIFS(MOT_AJUSTE,MOT_MOTOR,G219,MOT_MARCA,E219,MOT_DESDE,"&lt;="&amp;M219,MOT_HASTA,"&gt;="&amp;M219)+SUMIFS(MOT_AJUSTE,MOT_MOTOR,G219,MOT_MARCA,"(todas)",MOT_DESDE,"&lt;="&amp;M219,MOT_HASTA,"&gt;="&amp;M219)</f>
        <v/>
      </c>
      <c r="BT219" s="3">
        <f>SUMIFS(COMB_AJUSTE,COMB_COMB,K219)</f>
        <v/>
      </c>
      <c r="BU219" s="3">
        <f>COUNTIFS(MOT_MOTOR,G219,MOT_MARCA,E219,MOT_DESDE,"&lt;="&amp;M219,MOT_HASTA,"&gt;="&amp;M219)+COUNTIFS(MOT_MOTOR,G219,MOT_MARCA,"(todas)",MOT_DESDE,"&lt;="&amp;M219,MOT_HASTA,"&gt;="&amp;M219)</f>
        <v/>
      </c>
      <c r="BV219" s="3">
        <f>IF(AND(K219="diesel",BU219=0),MIN(BR219,NEUTRO),BR219)</f>
        <v/>
      </c>
      <c r="BW219" s="4">
        <f>MAX(0,MIN(100,BV219+BS219+BT219))</f>
        <v/>
      </c>
      <c r="BX219" s="3">
        <f>MAX(0,MIN(100,50+BK219*PRECIO_PEND))</f>
        <v/>
      </c>
      <c r="BY219" s="3">
        <f>MAX(0,100*(1-N219/KM_MAX))</f>
        <v/>
      </c>
      <c r="BZ219" s="3">
        <f>IF(BB219&lt;KMA_SOSP,IF(AA219="sí",100,KMA_PEN),IF(BB219&lt;=KMA_IDEAL_MAX,100,MAX(0,100*(KMA_CERO-BB219)/(KMA_CERO-KMA_IDEAL_MAX))))</f>
        <v/>
      </c>
      <c r="CA219" s="3">
        <f>MAX(0,MIN(100,100*(M219-ANIO_MIN)/(ANIO_ACTUAL-ANIO_MIN)))</f>
        <v/>
      </c>
      <c r="CB219" s="3">
        <f>W_KMT*BY219+W_KMA*BZ219+W_EDAD*CA219</f>
        <v/>
      </c>
      <c r="CC219" s="3">
        <f>P_ITV*(V219="sí")+P_LIBRO*(W219="sí")+P_CORREA*(X219="sí")+P_PROP*(Y219=1)+P_GAR*(Z219="sí")+P_FOTOS*MIN(1,N(U219)/FOTOS_OBJ)</f>
        <v/>
      </c>
      <c r="CD219" s="3">
        <f>MAX(0,MIN(100,IFERROR(VLOOKUP(BP219,ETQ_TBL,2,0),0)-IF(BQ219="sí",ETQ_PEN_DUD,IF(AS219="regla",ETQ_PEN_REGLA,0))))</f>
        <v/>
      </c>
      <c r="CE219" s="3">
        <f>NEUTRO</f>
        <v/>
      </c>
      <c r="CF219" s="3">
        <f>IFERROR(VLOOKUP(L219,SEGURO_TBL,3,0),"")</f>
        <v/>
      </c>
      <c r="CG219" s="3">
        <f>IF(CF219="",NEUTRO,MAX(0,MIN(100,100*(SEG_REF_MAX-CF219)/(SEG_REF_MAX-SEG_REF_MIN))))</f>
        <v/>
      </c>
      <c r="CH219" s="3">
        <f>W_CONS*CE219+W_SEG*CG219</f>
        <v/>
      </c>
      <c r="CI219" s="3">
        <f>IF(N(AB219)&gt;0,AB219,IF(AND(R219="profesional",SG_LEGAL_ON=1),GAR_LEGAL,0))</f>
        <v/>
      </c>
      <c r="CJ219" s="3">
        <f>SG_GAR*MIN(1,CI219/SG_GAR_FULL)+SG_AMPL*(AC219="sí")+SG_KMC*(AF219="sí")+SG_REV*(N(AE219)&gt;0)+SG_DEV*MIN(1,N(AG219)/SG_DEV_FULL)+SG_HIST*(W219="sí")</f>
        <v/>
      </c>
      <c r="CK219" s="3">
        <f>IFERROR(VLOOKUP(L219,CARR_PEN_TBL,2,0),0)</f>
        <v/>
      </c>
      <c r="CL219" s="3">
        <f>W_FIAB*BW219+W_PRECIO*BX219+W_KMEDAD*CB219+W_ANUNCIO*CC219+W_USO*CH219+W_SEGURIDAD*CJ219+W_ETIQUETA*CD219-CK219</f>
        <v/>
      </c>
      <c r="CM219" s="4">
        <f>IF(N(I219)&gt;0,I219,IFERROR(ROUND(_xlfn.NUMBERVALUE(LEFT(G219,FIND(" ",G219&amp;" ")-1),".")*1000,0),99999))</f>
        <v/>
      </c>
      <c r="CN219" s="3">
        <f>IF(R219="profesional",0,IF(O219&lt;CUOTA_VALOR_MAX,IF(BA219&gt;ITP_TRAMO_ALTO,SUMIFS(CF_CUOTA,CF_MAS,ITP_TRAMO_ALTO,CF_CCMIN,"&lt;="&amp;CM219,CF_CCMAX,"&gt;="&amp;CM219),IF(BA219&gt;ITP_TRAMO_BAJO,SUMIFS(CF_CUOTA,CF_MAS,ITP_TRAMO_BAJO,CF_CCMIN,"&lt;="&amp;CM219,CF_CCMAX,"&gt;="&amp;CM219),O219*ITP_TIPO)),O219*ITP_TIPO))</f>
        <v/>
      </c>
      <c r="CO219" s="4">
        <f>IF(R219="profesional",N(AK219),0)</f>
        <v/>
      </c>
      <c r="CP219" s="3">
        <f>IF(AND(R219="profesional",ISNUMBER(AK219),AL219="sí"),0,TASA_DGT)</f>
        <v/>
      </c>
      <c r="CQ219" s="3">
        <f>INFORME_DGT</f>
        <v/>
      </c>
      <c r="CR219" s="4">
        <f>O219+CO219+CN219+CP219+CQ219</f>
        <v/>
      </c>
      <c r="CS219" s="4">
        <f>CR219+N(CF219)</f>
        <v/>
      </c>
      <c r="CT219" s="3">
        <f>IF(CR219&lt;=TOTAL_MAX,"sí",IF(CR219&lt;=TOTAL_MAX+MARGEN_NEG,"negociar","no"))</f>
        <v/>
      </c>
      <c r="CU219" s="4">
        <f>IF(CT219&lt;&gt;"no",COUNTIFS($CT$2:$CT$545,"&lt;&gt;no",$CL$2:$CL$545,"&gt;"&amp;CL219)+COUNTIFS($CT$2:CT219,"&lt;&gt;no",$CL$2:CL219,CL219),"")</f>
        <v/>
      </c>
    </row>
    <row r="220">
      <c r="A220" s="2" t="inlineStr">
        <is>
          <t>cochesnet:71668261</t>
        </is>
      </c>
      <c r="B220" s="2" t="inlineStr">
        <is>
          <t>cochesnet</t>
        </is>
      </c>
      <c r="C220" s="2" t="inlineStr">
        <is>
          <t>https://www.coches.net/skoda-fabia-gasolina-2006-en-valencia-71668261-covo.aspx</t>
        </is>
      </c>
      <c r="D220" s="2" t="inlineStr">
        <is>
          <t>SKODA Fabia</t>
        </is>
      </c>
      <c r="E220" s="2" t="inlineStr">
        <is>
          <t>Skoda</t>
        </is>
      </c>
      <c r="F220" s="2" t="inlineStr">
        <is>
          <t>Skoda Fabia</t>
        </is>
      </c>
      <c r="G220" s="2" t="n"/>
      <c r="H220" s="2" t="n"/>
      <c r="I220" s="2" t="n"/>
      <c r="J220" s="2" t="n"/>
      <c r="K220" s="2" t="inlineStr">
        <is>
          <t>gasolina</t>
        </is>
      </c>
      <c r="L220" s="2" t="inlineStr">
        <is>
          <t>utilitario</t>
        </is>
      </c>
      <c r="M220" s="2" t="n">
        <v>2006</v>
      </c>
      <c r="N220" s="2" t="n">
        <v>97716</v>
      </c>
      <c r="O220" s="2" t="n">
        <v>5000</v>
      </c>
      <c r="P220" s="2" t="inlineStr">
        <is>
          <t>manual</t>
        </is>
      </c>
      <c r="Q220" s="2" t="inlineStr">
        <is>
          <t>no</t>
        </is>
      </c>
      <c r="R220" s="2" t="inlineStr">
        <is>
          <t>particular</t>
        </is>
      </c>
      <c r="S220" s="2" t="n"/>
      <c r="T220" s="2" t="inlineStr">
        <is>
          <t>2026-10-04T08:42:23Z</t>
        </is>
      </c>
      <c r="U220" s="2" t="n">
        <v>6</v>
      </c>
      <c r="V220" s="2" t="inlineStr">
        <is>
          <t>sí</t>
        </is>
      </c>
      <c r="W220" s="2" t="n"/>
      <c r="X220" s="2" t="n"/>
      <c r="Y220" s="2" t="n"/>
      <c r="Z220" s="2" t="inlineStr">
        <is>
          <t>no</t>
        </is>
      </c>
      <c r="AA220" s="2" t="n"/>
      <c r="AB220" s="2" t="n"/>
      <c r="AC220" s="2" t="n"/>
      <c r="AD220" s="2" t="n"/>
      <c r="AE220" s="2" t="n"/>
      <c r="AF220" s="2" t="n"/>
      <c r="AG220" s="2" t="n"/>
      <c r="AH220" s="2" t="n">
        <v>5000</v>
      </c>
      <c r="AI220" s="2" t="n"/>
      <c r="AJ220" s="2" t="n"/>
      <c r="AK220" s="2" t="n"/>
      <c r="AL220" s="2" t="n"/>
      <c r="AM220" s="2" t="n"/>
      <c r="AN220" s="2" t="n"/>
      <c r="AO220" s="2" t="inlineStr">
        <is>
          <t>2006</t>
        </is>
      </c>
      <c r="AP220" s="2" t="n">
        <v>2006</v>
      </c>
      <c r="AQ220" s="2" t="n"/>
      <c r="AR220" s="2" t="n"/>
      <c r="AS220" s="2" t="inlineStr">
        <is>
          <t>regla</t>
        </is>
      </c>
      <c r="AT220" s="2" t="n">
        <v>3000</v>
      </c>
      <c r="AU220" s="2" t="n">
        <v>5</v>
      </c>
      <c r="AV220" s="2" t="inlineStr">
        <is>
          <t>modelo+año</t>
        </is>
      </c>
      <c r="AW220" s="2" t="n"/>
      <c r="AX220" s="2" t="inlineStr">
        <is>
          <t>por encima del presupuesto (5204 €), negociar; cilindrada desconocida: se aplica el tramo de cuota fija más alto; cuota fija ITP: &gt;12 años, más de 2.000 cc; distancia no verificable (el anuncio solo indica la provincia): confirmar que está a &lt;= 70 km</t>
        </is>
      </c>
      <c r="AY220" s="2" t="inlineStr">
        <is>
          <t>coche bien cuidado, de bajo mantenimiento y muy práctico para la ciudad.
ITV pasada en agosto.
Pantalla táctil multimedia.</t>
        </is>
      </c>
      <c r="AZ220" s="2" t="inlineStr">
        <is>
          <t>https://www.coches.net/skoda-fabia-gasolina-2006-en-valencia-71668261-covo.aspx (window.__INITIAL_PROPS__.ad) /home/user/Alopecia/buscador-coches/raw/cochesnet/efc62aeefe702b0e.json</t>
        </is>
      </c>
      <c r="BA220" s="3">
        <f>MAX(ANIO_ACTUAL-M220,0)</f>
        <v/>
      </c>
      <c r="BB220" s="4">
        <f>N220/MAX(BA220,0.5)</f>
        <v/>
      </c>
      <c r="BC220" s="4">
        <f>F220</f>
        <v/>
      </c>
      <c r="BD220" s="3">
        <f>BC220&amp;"|"&amp;INT(M220/SEG_ANIO)*SEG_ANIO</f>
        <v/>
      </c>
      <c r="BE220" s="3">
        <f>BD220&amp;"|"&amp;INT(N220/SEG_KM)*SEG_KM</f>
        <v/>
      </c>
      <c r="BF220" s="4">
        <f>COUNTIF($BC$2:$BC$545,BC220)</f>
        <v/>
      </c>
      <c r="BG220" s="4">
        <f>COUNTIF($BD$2:$BD$545,BD220)</f>
        <v/>
      </c>
      <c r="BH220" s="4">
        <f>COUNTIF($BE$2:$BE$545,BE220)</f>
        <v/>
      </c>
      <c r="BI220" s="3">
        <f t="array" ref="BI220">IF(N(AU220)&gt;=MIN_N,AT220,IF(BH220&gt;=MIN_N,MEDIAN(IF($BE$2:$BE$545=BE220,$O$2:$O$545)),IF(BG220&gt;=MIN_N,MEDIAN(IF($BD$2:$BD$545=BD220,$O$2:$O$545)),MEDIAN(IF($BC$2:$BC$545=BC220,$O$2:$O$545)))))</f>
        <v/>
      </c>
      <c r="BJ220" s="3">
        <f>IF(N(AU220)&gt;=MIN_N,"mercado "&amp;AV220,IF(BH220&gt;=MIN_N,"modelo+año+km",IF(BG220&gt;=MIN_N,"modelo+año","modelo")))</f>
        <v/>
      </c>
      <c r="BK220" s="4">
        <f>(BI220-O220)/BI220</f>
        <v/>
      </c>
      <c r="BL220" s="3">
        <f>IF(COUNTIFS(FR_FUEL,K220,FR_YEAR,AP220)&gt;0,1,0)</f>
        <v/>
      </c>
      <c r="BM220" s="3">
        <f>IF(COUNTIFS(FR_FUEL,K220,FR_YEAR,AP220-1)&gt;0,1,0)</f>
        <v/>
      </c>
      <c r="BN220" s="4">
        <f>IF(N(AQ220)&gt;0,AP220*100+AQ220,IF(AND(BL220=1,BM220=1),(AP220-1)*100+1,AP220*100+1))</f>
        <v/>
      </c>
      <c r="BO220" s="3">
        <f>IF(OR(K220="hibrido",K220="glp",K220="gnc",K220="phev"),"ECO",IF(K220="electrico","CERO",IF(K220="gasolina",IF(BN220&gt;=GAS_C_YM,"C",IF(BN220&gt;=GAS_B_YM,"B","A")),IF(K220="diesel",IF(BN220&gt;=DIE_C_YM,"C",IF(BN220&gt;=DIE_B_YM,"B","A")),""))))</f>
        <v/>
      </c>
      <c r="BP220" s="4">
        <f>BO220</f>
        <v/>
      </c>
      <c r="BQ220" s="4">
        <f>IF(AS220="regla",IF(AND(N(AQ220)=0,BL220=1),"sí","no"),"no")</f>
        <v/>
      </c>
      <c r="BR220" s="3">
        <f>IFERROR(VLOOKUP(F220,MOD_TBL,11,0),IFERROR(VLOOKUP(E220,OCU_TBL,2,0),NEUTRO))</f>
        <v/>
      </c>
      <c r="BS220" s="3">
        <f>SUMIFS(MOT_AJUSTE,MOT_MOTOR,G220,MOT_MARCA,E220,MOT_DESDE,"&lt;="&amp;M220,MOT_HASTA,"&gt;="&amp;M220)+SUMIFS(MOT_AJUSTE,MOT_MOTOR,G220,MOT_MARCA,"(todas)",MOT_DESDE,"&lt;="&amp;M220,MOT_HASTA,"&gt;="&amp;M220)</f>
        <v/>
      </c>
      <c r="BT220" s="3">
        <f>SUMIFS(COMB_AJUSTE,COMB_COMB,K220)</f>
        <v/>
      </c>
      <c r="BU220" s="3">
        <f>COUNTIFS(MOT_MOTOR,G220,MOT_MARCA,E220,MOT_DESDE,"&lt;="&amp;M220,MOT_HASTA,"&gt;="&amp;M220)+COUNTIFS(MOT_MOTOR,G220,MOT_MARCA,"(todas)",MOT_DESDE,"&lt;="&amp;M220,MOT_HASTA,"&gt;="&amp;M220)</f>
        <v/>
      </c>
      <c r="BV220" s="3">
        <f>IF(AND(K220="diesel",BU220=0),MIN(BR220,NEUTRO),BR220)</f>
        <v/>
      </c>
      <c r="BW220" s="4">
        <f>MAX(0,MIN(100,BV220+BS220+BT220))</f>
        <v/>
      </c>
      <c r="BX220" s="3">
        <f>MAX(0,MIN(100,50+BK220*PRECIO_PEND))</f>
        <v/>
      </c>
      <c r="BY220" s="3">
        <f>MAX(0,100*(1-N220/KM_MAX))</f>
        <v/>
      </c>
      <c r="BZ220" s="3">
        <f>IF(BB220&lt;KMA_SOSP,IF(AA220="sí",100,KMA_PEN),IF(BB220&lt;=KMA_IDEAL_MAX,100,MAX(0,100*(KMA_CERO-BB220)/(KMA_CERO-KMA_IDEAL_MAX))))</f>
        <v/>
      </c>
      <c r="CA220" s="3">
        <f>MAX(0,MIN(100,100*(M220-ANIO_MIN)/(ANIO_ACTUAL-ANIO_MIN)))</f>
        <v/>
      </c>
      <c r="CB220" s="3">
        <f>W_KMT*BY220+W_KMA*BZ220+W_EDAD*CA220</f>
        <v/>
      </c>
      <c r="CC220" s="3">
        <f>P_ITV*(V220="sí")+P_LIBRO*(W220="sí")+P_CORREA*(X220="sí")+P_PROP*(Y220=1)+P_GAR*(Z220="sí")+P_FOTOS*MIN(1,N(U220)/FOTOS_OBJ)</f>
        <v/>
      </c>
      <c r="CD220" s="3">
        <f>MAX(0,MIN(100,IFERROR(VLOOKUP(BP220,ETQ_TBL,2,0),0)-IF(BQ220="sí",ETQ_PEN_DUD,IF(AS220="regla",ETQ_PEN_REGLA,0))))</f>
        <v/>
      </c>
      <c r="CE220" s="3">
        <f>NEUTRO</f>
        <v/>
      </c>
      <c r="CF220" s="3">
        <f>IFERROR(VLOOKUP(L220,SEGURO_TBL,3,0),"")</f>
        <v/>
      </c>
      <c r="CG220" s="3">
        <f>IF(CF220="",NEUTRO,MAX(0,MIN(100,100*(SEG_REF_MAX-CF220)/(SEG_REF_MAX-SEG_REF_MIN))))</f>
        <v/>
      </c>
      <c r="CH220" s="3">
        <f>W_CONS*CE220+W_SEG*CG220</f>
        <v/>
      </c>
      <c r="CI220" s="3">
        <f>IF(N(AB220)&gt;0,AB220,IF(AND(R220="profesional",SG_LEGAL_ON=1),GAR_LEGAL,0))</f>
        <v/>
      </c>
      <c r="CJ220" s="3">
        <f>SG_GAR*MIN(1,CI220/SG_GAR_FULL)+SG_AMPL*(AC220="sí")+SG_KMC*(AF220="sí")+SG_REV*(N(AE220)&gt;0)+SG_DEV*MIN(1,N(AG220)/SG_DEV_FULL)+SG_HIST*(W220="sí")</f>
        <v/>
      </c>
      <c r="CK220" s="3">
        <f>IFERROR(VLOOKUP(L220,CARR_PEN_TBL,2,0),0)</f>
        <v/>
      </c>
      <c r="CL220" s="3">
        <f>W_FIAB*BW220+W_PRECIO*BX220+W_KMEDAD*CB220+W_ANUNCIO*CC220+W_USO*CH220+W_SEGURIDAD*CJ220+W_ETIQUETA*CD220-CK220</f>
        <v/>
      </c>
      <c r="CM220" s="4">
        <f>IF(N(I220)&gt;0,I220,IFERROR(ROUND(_xlfn.NUMBERVALUE(LEFT(G220,FIND(" ",G220&amp;" ")-1),".")*1000,0),99999))</f>
        <v/>
      </c>
      <c r="CN220" s="3">
        <f>IF(R220="profesional",0,IF(O220&lt;CUOTA_VALOR_MAX,IF(BA220&gt;ITP_TRAMO_ALTO,SUMIFS(CF_CUOTA,CF_MAS,ITP_TRAMO_ALTO,CF_CCMIN,"&lt;="&amp;CM220,CF_CCMAX,"&gt;="&amp;CM220),IF(BA220&gt;ITP_TRAMO_BAJO,SUMIFS(CF_CUOTA,CF_MAS,ITP_TRAMO_BAJO,CF_CCMIN,"&lt;="&amp;CM220,CF_CCMAX,"&gt;="&amp;CM220),O220*ITP_TIPO)),O220*ITP_TIPO))</f>
        <v/>
      </c>
      <c r="CO220" s="4">
        <f>IF(R220="profesional",N(AK220),0)</f>
        <v/>
      </c>
      <c r="CP220" s="3">
        <f>IF(AND(R220="profesional",ISNUMBER(AK220),AL220="sí"),0,TASA_DGT)</f>
        <v/>
      </c>
      <c r="CQ220" s="3">
        <f>INFORME_DGT</f>
        <v/>
      </c>
      <c r="CR220" s="4">
        <f>O220+CO220+CN220+CP220+CQ220</f>
        <v/>
      </c>
      <c r="CS220" s="4">
        <f>CR220+N(CF220)</f>
        <v/>
      </c>
      <c r="CT220" s="3">
        <f>IF(CR220&lt;=TOTAL_MAX,"sí",IF(CR220&lt;=TOTAL_MAX+MARGEN_NEG,"negociar","no"))</f>
        <v/>
      </c>
      <c r="CU220" s="4">
        <f>IF(CT220&lt;&gt;"no",COUNTIFS($CT$2:$CT$545,"&lt;&gt;no",$CL$2:$CL$545,"&gt;"&amp;CL220)+COUNTIFS($CT$2:CT220,"&lt;&gt;no",$CL$2:CL220,CL220),"")</f>
        <v/>
      </c>
    </row>
    <row r="221">
      <c r="A221" s="2" t="inlineStr">
        <is>
          <t>cochesnet:71594775</t>
        </is>
      </c>
      <c r="B221" s="2" t="inlineStr">
        <is>
          <t>cochesnet</t>
        </is>
      </c>
      <c r="C221" s="2" t="inlineStr">
        <is>
          <t>https://www.coches.net/skoda-superb-diesel-2010-en-valencia-71594775-covo.aspx</t>
        </is>
      </c>
      <c r="D221" s="2" t="inlineStr">
        <is>
          <t>SKODA Superb</t>
        </is>
      </c>
      <c r="E221" s="2" t="inlineStr">
        <is>
          <t>Skoda</t>
        </is>
      </c>
      <c r="F221" s="2" t="inlineStr">
        <is>
          <t>Skoda Superb</t>
        </is>
      </c>
      <c r="G221" s="2" t="n"/>
      <c r="H221" s="2" t="n"/>
      <c r="I221" s="2" t="n"/>
      <c r="J221" s="2" t="n"/>
      <c r="K221" s="2" t="inlineStr">
        <is>
          <t>diesel</t>
        </is>
      </c>
      <c r="L221" s="2" t="inlineStr">
        <is>
          <t>berlina</t>
        </is>
      </c>
      <c r="M221" s="2" t="n">
        <v>2010</v>
      </c>
      <c r="N221" s="2" t="n">
        <v>210000</v>
      </c>
      <c r="O221" s="2" t="n">
        <v>3900</v>
      </c>
      <c r="P221" s="2" t="inlineStr">
        <is>
          <t>manual</t>
        </is>
      </c>
      <c r="Q221" s="2" t="inlineStr">
        <is>
          <t>no</t>
        </is>
      </c>
      <c r="R221" s="2" t="inlineStr">
        <is>
          <t>particular</t>
        </is>
      </c>
      <c r="S221" s="2" t="n"/>
      <c r="T221" s="2" t="inlineStr">
        <is>
          <t>2026-09-25T05:00:19Z</t>
        </is>
      </c>
      <c r="U221" s="2" t="n">
        <v>9</v>
      </c>
      <c r="V221" s="2" t="n"/>
      <c r="W221" s="2" t="n"/>
      <c r="X221" s="2" t="n"/>
      <c r="Y221" s="2" t="n"/>
      <c r="Z221" s="2" t="inlineStr">
        <is>
          <t>no</t>
        </is>
      </c>
      <c r="AA221" s="2" t="n"/>
      <c r="AB221" s="2" t="n"/>
      <c r="AC221" s="2" t="n"/>
      <c r="AD221" s="2" t="n"/>
      <c r="AE221" s="2" t="n"/>
      <c r="AF221" s="2" t="n"/>
      <c r="AG221" s="2" t="n"/>
      <c r="AH221" s="2" t="n">
        <v>3900</v>
      </c>
      <c r="AI221" s="2" t="n"/>
      <c r="AJ221" s="2" t="n"/>
      <c r="AK221" s="2" t="n"/>
      <c r="AL221" s="2" t="n"/>
      <c r="AM221" s="2" t="n"/>
      <c r="AN221" s="2" t="n"/>
      <c r="AO221" s="2" t="inlineStr">
        <is>
          <t>2010</t>
        </is>
      </c>
      <c r="AP221" s="2" t="n">
        <v>2010</v>
      </c>
      <c r="AQ221" s="2" t="n"/>
      <c r="AR221" s="2" t="n"/>
      <c r="AS221" s="2" t="inlineStr">
        <is>
          <t>regla</t>
        </is>
      </c>
      <c r="AT221" s="2" t="n"/>
      <c r="AU221" s="2" t="n"/>
      <c r="AV221" s="2" t="n"/>
      <c r="AW221" s="2" t="n"/>
      <c r="AX221" s="2" t="inlineStr">
        <is>
          <t>cilindrada desconocida: se aplica el tramo de cuota fija más alto; cuota fija ITP: &gt;12 años, más de 2.000 cc; diésel: motor sin fuente de fiabilidad (fiabilidad limitada a neutra); carrocería berlina: -4 puntos; distancia no verificable (el anuncio solo indica la provincia): confirmar que está a &lt;= 70 km; fiabilidad del modelo PENDIENTE de fuente (puntuación neutra); mediana con solo 1 anuncio(s)</t>
        </is>
      </c>
      <c r="AY221" s="2" t="inlineStr">
        <is>
          <t>skoda superb 1.9 en buen estado</t>
        </is>
      </c>
      <c r="AZ221" s="2" t="inlineStr">
        <is>
          <t>https://www.coches.net/skoda-superb-diesel-2010-en-valencia-71594775-covo.aspx (window.__INITIAL_PROPS__.ad) /home/user/Alopecia/buscador-coches/raw/cochesnet/0d5ba3b65f80a41e.json</t>
        </is>
      </c>
      <c r="BA221" s="3">
        <f>MAX(ANIO_ACTUAL-M221,0)</f>
        <v/>
      </c>
      <c r="BB221" s="4">
        <f>N221/MAX(BA221,0.5)</f>
        <v/>
      </c>
      <c r="BC221" s="4">
        <f>F221</f>
        <v/>
      </c>
      <c r="BD221" s="3">
        <f>BC221&amp;"|"&amp;INT(M221/SEG_ANIO)*SEG_ANIO</f>
        <v/>
      </c>
      <c r="BE221" s="3">
        <f>BD221&amp;"|"&amp;INT(N221/SEG_KM)*SEG_KM</f>
        <v/>
      </c>
      <c r="BF221" s="4">
        <f>COUNTIF($BC$2:$BC$545,BC221)</f>
        <v/>
      </c>
      <c r="BG221" s="4">
        <f>COUNTIF($BD$2:$BD$545,BD221)</f>
        <v/>
      </c>
      <c r="BH221" s="4">
        <f>COUNTIF($BE$2:$BE$545,BE221)</f>
        <v/>
      </c>
      <c r="BI221" s="3">
        <f t="array" ref="BI221">IF(N(AU221)&gt;=MIN_N,AT221,IF(BH221&gt;=MIN_N,MEDIAN(IF($BE$2:$BE$545=BE221,$O$2:$O$545)),IF(BG221&gt;=MIN_N,MEDIAN(IF($BD$2:$BD$545=BD221,$O$2:$O$545)),MEDIAN(IF($BC$2:$BC$545=BC221,$O$2:$O$545)))))</f>
        <v/>
      </c>
      <c r="BJ221" s="3">
        <f>IF(N(AU221)&gt;=MIN_N,"mercado "&amp;AV221,IF(BH221&gt;=MIN_N,"modelo+año+km",IF(BG221&gt;=MIN_N,"modelo+año","modelo")))</f>
        <v/>
      </c>
      <c r="BK221" s="4">
        <f>(BI221-O221)/BI221</f>
        <v/>
      </c>
      <c r="BL221" s="3">
        <f>IF(COUNTIFS(FR_FUEL,K221,FR_YEAR,AP221)&gt;0,1,0)</f>
        <v/>
      </c>
      <c r="BM221" s="3">
        <f>IF(COUNTIFS(FR_FUEL,K221,FR_YEAR,AP221-1)&gt;0,1,0)</f>
        <v/>
      </c>
      <c r="BN221" s="4">
        <f>IF(N(AQ221)&gt;0,AP221*100+AQ221,IF(AND(BL221=1,BM221=1),(AP221-1)*100+1,AP221*100+1))</f>
        <v/>
      </c>
      <c r="BO221" s="3">
        <f>IF(OR(K221="hibrido",K221="glp",K221="gnc",K221="phev"),"ECO",IF(K221="electrico","CERO",IF(K221="gasolina",IF(BN221&gt;=GAS_C_YM,"C",IF(BN221&gt;=GAS_B_YM,"B","A")),IF(K221="diesel",IF(BN221&gt;=DIE_C_YM,"C",IF(BN221&gt;=DIE_B_YM,"B","A")),""))))</f>
        <v/>
      </c>
      <c r="BP221" s="4">
        <f>BO221</f>
        <v/>
      </c>
      <c r="BQ221" s="4">
        <f>IF(AS221="regla",IF(AND(N(AQ221)=0,BL221=1),"sí","no"),"no")</f>
        <v/>
      </c>
      <c r="BR221" s="3">
        <f>IFERROR(VLOOKUP(F221,MOD_TBL,11,0),IFERROR(VLOOKUP(E221,OCU_TBL,2,0),NEUTRO))</f>
        <v/>
      </c>
      <c r="BS221" s="3">
        <f>SUMIFS(MOT_AJUSTE,MOT_MOTOR,G221,MOT_MARCA,E221,MOT_DESDE,"&lt;="&amp;M221,MOT_HASTA,"&gt;="&amp;M221)+SUMIFS(MOT_AJUSTE,MOT_MOTOR,G221,MOT_MARCA,"(todas)",MOT_DESDE,"&lt;="&amp;M221,MOT_HASTA,"&gt;="&amp;M221)</f>
        <v/>
      </c>
      <c r="BT221" s="3">
        <f>SUMIFS(COMB_AJUSTE,COMB_COMB,K221)</f>
        <v/>
      </c>
      <c r="BU221" s="3">
        <f>COUNTIFS(MOT_MOTOR,G221,MOT_MARCA,E221,MOT_DESDE,"&lt;="&amp;M221,MOT_HASTA,"&gt;="&amp;M221)+COUNTIFS(MOT_MOTOR,G221,MOT_MARCA,"(todas)",MOT_DESDE,"&lt;="&amp;M221,MOT_HASTA,"&gt;="&amp;M221)</f>
        <v/>
      </c>
      <c r="BV221" s="3">
        <f>IF(AND(K221="diesel",BU221=0),MIN(BR221,NEUTRO),BR221)</f>
        <v/>
      </c>
      <c r="BW221" s="4">
        <f>MAX(0,MIN(100,BV221+BS221+BT221))</f>
        <v/>
      </c>
      <c r="BX221" s="3">
        <f>MAX(0,MIN(100,50+BK221*PRECIO_PEND))</f>
        <v/>
      </c>
      <c r="BY221" s="3">
        <f>MAX(0,100*(1-N221/KM_MAX))</f>
        <v/>
      </c>
      <c r="BZ221" s="3">
        <f>IF(BB221&lt;KMA_SOSP,IF(AA221="sí",100,KMA_PEN),IF(BB221&lt;=KMA_IDEAL_MAX,100,MAX(0,100*(KMA_CERO-BB221)/(KMA_CERO-KMA_IDEAL_MAX))))</f>
        <v/>
      </c>
      <c r="CA221" s="3">
        <f>MAX(0,MIN(100,100*(M221-ANIO_MIN)/(ANIO_ACTUAL-ANIO_MIN)))</f>
        <v/>
      </c>
      <c r="CB221" s="3">
        <f>W_KMT*BY221+W_KMA*BZ221+W_EDAD*CA221</f>
        <v/>
      </c>
      <c r="CC221" s="3">
        <f>P_ITV*(V221="sí")+P_LIBRO*(W221="sí")+P_CORREA*(X221="sí")+P_PROP*(Y221=1)+P_GAR*(Z221="sí")+P_FOTOS*MIN(1,N(U221)/FOTOS_OBJ)</f>
        <v/>
      </c>
      <c r="CD221" s="3">
        <f>MAX(0,MIN(100,IFERROR(VLOOKUP(BP221,ETQ_TBL,2,0),0)-IF(BQ221="sí",ETQ_PEN_DUD,IF(AS221="regla",ETQ_PEN_REGLA,0))))</f>
        <v/>
      </c>
      <c r="CE221" s="3">
        <f>NEUTRO</f>
        <v/>
      </c>
      <c r="CF221" s="3">
        <f>IFERROR(VLOOKUP(L221,SEGURO_TBL,3,0),"")</f>
        <v/>
      </c>
      <c r="CG221" s="3">
        <f>IF(CF221="",NEUTRO,MAX(0,MIN(100,100*(SEG_REF_MAX-CF221)/(SEG_REF_MAX-SEG_REF_MIN))))</f>
        <v/>
      </c>
      <c r="CH221" s="3">
        <f>W_CONS*CE221+W_SEG*CG221</f>
        <v/>
      </c>
      <c r="CI221" s="3">
        <f>IF(N(AB221)&gt;0,AB221,IF(AND(R221="profesional",SG_LEGAL_ON=1),GAR_LEGAL,0))</f>
        <v/>
      </c>
      <c r="CJ221" s="3">
        <f>SG_GAR*MIN(1,CI221/SG_GAR_FULL)+SG_AMPL*(AC221="sí")+SG_KMC*(AF221="sí")+SG_REV*(N(AE221)&gt;0)+SG_DEV*MIN(1,N(AG221)/SG_DEV_FULL)+SG_HIST*(W221="sí")</f>
        <v/>
      </c>
      <c r="CK221" s="3">
        <f>IFERROR(VLOOKUP(L221,CARR_PEN_TBL,2,0),0)</f>
        <v/>
      </c>
      <c r="CL221" s="3">
        <f>W_FIAB*BW221+W_PRECIO*BX221+W_KMEDAD*CB221+W_ANUNCIO*CC221+W_USO*CH221+W_SEGURIDAD*CJ221+W_ETIQUETA*CD221-CK221</f>
        <v/>
      </c>
      <c r="CM221" s="4">
        <f>IF(N(I221)&gt;0,I221,IFERROR(ROUND(_xlfn.NUMBERVALUE(LEFT(G221,FIND(" ",G221&amp;" ")-1),".")*1000,0),99999))</f>
        <v/>
      </c>
      <c r="CN221" s="3">
        <f>IF(R221="profesional",0,IF(O221&lt;CUOTA_VALOR_MAX,IF(BA221&gt;ITP_TRAMO_ALTO,SUMIFS(CF_CUOTA,CF_MAS,ITP_TRAMO_ALTO,CF_CCMIN,"&lt;="&amp;CM221,CF_CCMAX,"&gt;="&amp;CM221),IF(BA221&gt;ITP_TRAMO_BAJO,SUMIFS(CF_CUOTA,CF_MAS,ITP_TRAMO_BAJO,CF_CCMIN,"&lt;="&amp;CM221,CF_CCMAX,"&gt;="&amp;CM221),O221*ITP_TIPO)),O221*ITP_TIPO))</f>
        <v/>
      </c>
      <c r="CO221" s="4">
        <f>IF(R221="profesional",N(AK221),0)</f>
        <v/>
      </c>
      <c r="CP221" s="3">
        <f>IF(AND(R221="profesional",ISNUMBER(AK221),AL221="sí"),0,TASA_DGT)</f>
        <v/>
      </c>
      <c r="CQ221" s="3">
        <f>INFORME_DGT</f>
        <v/>
      </c>
      <c r="CR221" s="4">
        <f>O221+CO221+CN221+CP221+CQ221</f>
        <v/>
      </c>
      <c r="CS221" s="4">
        <f>CR221+N(CF221)</f>
        <v/>
      </c>
      <c r="CT221" s="3">
        <f>IF(CR221&lt;=TOTAL_MAX,"sí",IF(CR221&lt;=TOTAL_MAX+MARGEN_NEG,"negociar","no"))</f>
        <v/>
      </c>
      <c r="CU221" s="4">
        <f>IF(CT221&lt;&gt;"no",COUNTIFS($CT$2:$CT$545,"&lt;&gt;no",$CL$2:$CL$545,"&gt;"&amp;CL221)+COUNTIFS($CT$2:CT221,"&lt;&gt;no",$CL$2:CL221,CL221),"")</f>
        <v/>
      </c>
    </row>
    <row r="222">
      <c r="A222" s="2" t="inlineStr">
        <is>
          <t>cochesnet:71322051</t>
        </is>
      </c>
      <c r="B222" s="2" t="inlineStr">
        <is>
          <t>cochesnet</t>
        </is>
      </c>
      <c r="C222" s="2" t="inlineStr">
        <is>
          <t>https://www.coches.net/skoda-citigo-10-mpi-60cv-active-5p-gasolina-2013-en-valencia-71322051-covo.aspx</t>
        </is>
      </c>
      <c r="D222" s="2" t="inlineStr">
        <is>
          <t>SKODA Citigo 1.0 MPI Active</t>
        </is>
      </c>
      <c r="E222" s="2" t="inlineStr">
        <is>
          <t>Skoda</t>
        </is>
      </c>
      <c r="F222" s="2" t="inlineStr">
        <is>
          <t>Skoda Citigo</t>
        </is>
      </c>
      <c r="G222" s="2" t="inlineStr">
        <is>
          <t>1.0 MPI</t>
        </is>
      </c>
      <c r="H222" s="2" t="inlineStr">
        <is>
          <t>1.0 MPI 60cv Active</t>
        </is>
      </c>
      <c r="I222" s="2" t="n"/>
      <c r="J222" s="2" t="n">
        <v>60</v>
      </c>
      <c r="K222" s="2" t="inlineStr">
        <is>
          <t>gasolina</t>
        </is>
      </c>
      <c r="L222" s="2" t="inlineStr">
        <is>
          <t>utilitario</t>
        </is>
      </c>
      <c r="M222" s="2" t="n">
        <v>2013</v>
      </c>
      <c r="N222" s="2" t="n">
        <v>87400</v>
      </c>
      <c r="O222" s="2" t="n">
        <v>5100</v>
      </c>
      <c r="P222" s="2" t="inlineStr">
        <is>
          <t>manual</t>
        </is>
      </c>
      <c r="Q222" s="2" t="inlineStr">
        <is>
          <t>no</t>
        </is>
      </c>
      <c r="R222" s="2" t="inlineStr">
        <is>
          <t>particular</t>
        </is>
      </c>
      <c r="S222" s="2" t="inlineStr">
        <is>
          <t>Valencia</t>
        </is>
      </c>
      <c r="T222" s="2" t="inlineStr">
        <is>
          <t>2026-08-19T13:48:11Z</t>
        </is>
      </c>
      <c r="U222" s="2" t="n">
        <v>13</v>
      </c>
      <c r="V222" s="2" t="inlineStr">
        <is>
          <t>sí</t>
        </is>
      </c>
      <c r="W222" s="2" t="n"/>
      <c r="X222" s="2" t="n"/>
      <c r="Y222" s="2" t="n"/>
      <c r="Z222" s="2" t="inlineStr">
        <is>
          <t>no</t>
        </is>
      </c>
      <c r="AA222" s="2" t="n"/>
      <c r="AB222" s="2" t="n"/>
      <c r="AC222" s="2" t="n"/>
      <c r="AD222" s="2" t="n"/>
      <c r="AE222" s="2" t="n"/>
      <c r="AF222" s="2" t="n"/>
      <c r="AG222" s="2" t="n"/>
      <c r="AH222" s="2" t="n">
        <v>5100</v>
      </c>
      <c r="AI222" s="2" t="n"/>
      <c r="AJ222" s="2" t="n"/>
      <c r="AK222" s="2" t="n"/>
      <c r="AL222" s="2" t="n"/>
      <c r="AM222" s="2" t="n">
        <v>0.1</v>
      </c>
      <c r="AN222" s="2" t="inlineStr">
        <is>
          <t>EN2021E</t>
        </is>
      </c>
      <c r="AO222" s="2" t="inlineStr">
        <is>
          <t>2013</t>
        </is>
      </c>
      <c r="AP222" s="2" t="n">
        <v>2013</v>
      </c>
      <c r="AQ222" s="2" t="n"/>
      <c r="AR222" s="2" t="inlineStr">
        <is>
          <t>C</t>
        </is>
      </c>
      <c r="AS222" s="2" t="inlineStr">
        <is>
          <t>anuncio</t>
        </is>
      </c>
      <c r="AT222" s="2" t="n"/>
      <c r="AU222" s="2" t="n"/>
      <c r="AV222" s="2" t="n"/>
      <c r="AW222" s="2" t="n"/>
      <c r="AX222" s="2" t="inlineStr">
        <is>
          <t>por encima del presupuesto (5204 €), negociar; antigüedad en el límite del tramo: depende de la fecha exacta de matriculación; cuota fija ITP: &gt;12 años, hasta 1.500 cc; fiabilidad del modelo PENDIENTE de fuente (puntuación neutra); mediana con solo 2 anuncio(s)</t>
        </is>
      </c>
      <c r="AY222" s="2" t="inlineStr">
        <is>
          <t>Se vende SKODA Citigo 1.0 MPI Active en perfecto estado por motivo de aumento familiar. Coche ideal tanto para ciudad como para viajes largos, con un consumo mínimo.
Datos clave:
- Modelo: SKODA Citigo 1.0 MPI Active
- Año: 2013
- Kilometraje: 87.400 km
- Consumo: 3,5 – 4,5 L / 100 km
- Etiqueta ambiental: C (DGT)
- Impuesto de circulación: 20 euro / año
Historial y estado:
- Adquirido en Países Bajos en 2021 e importado a España en 2025.
- Guardado siempre en garaje en España.
- ITV pasada en primavera de este año, válida por (14/03/2027).
- Todo funciona perfectamente.
Mantenimiento reciente:
- Finales de 2025: cambio de aceite y neumáticos nuevos.
- 2024: batería nueva.
Equipamiento (Acabado Active con extras):
- Asistente de frenada de emergencia en ciudad (City Safe Drive)
- Control de crucero
- Aire acondicionado
- Asistente de arranque en pendiente
- Sistema Start-Stop
- Elevalunas eléctricos
- Faros antiniebla
- Volante y asiento del conductor regulables en altura
- Anclajes ISOFIX para sillas infantiles
- Asientos traseros abatibles
- Rueda de repuesto de tamaño normal
Extras añadidos:
- Reposabrazos central con compartimento de almacenaje y tomas USB (delante y detrás)
- Cámara de grabación / Dashcam (delantera y trasera)</t>
        </is>
      </c>
      <c r="AZ222" s="2" t="inlineStr">
        <is>
          <t>https://www.coches.net/skoda-citigo-10-mpi-60cv-active-5p-gasolina-2013-en-valencia-71322051-covo.aspx (window.__INITIAL_PROPS__.ad) /home/user/Alopecia/buscador-coches/raw/cochesnet/2d427694a0b15eac.json</t>
        </is>
      </c>
      <c r="BA222" s="3">
        <f>MAX(ANIO_ACTUAL-M222,0)</f>
        <v/>
      </c>
      <c r="BB222" s="4">
        <f>N222/MAX(BA222,0.5)</f>
        <v/>
      </c>
      <c r="BC222" s="4">
        <f>F222</f>
        <v/>
      </c>
      <c r="BD222" s="3">
        <f>BC222&amp;"|"&amp;INT(M222/SEG_ANIO)*SEG_ANIO</f>
        <v/>
      </c>
      <c r="BE222" s="3">
        <f>BD222&amp;"|"&amp;INT(N222/SEG_KM)*SEG_KM</f>
        <v/>
      </c>
      <c r="BF222" s="4">
        <f>COUNTIF($BC$2:$BC$545,BC222)</f>
        <v/>
      </c>
      <c r="BG222" s="4">
        <f>COUNTIF($BD$2:$BD$545,BD222)</f>
        <v/>
      </c>
      <c r="BH222" s="4">
        <f>COUNTIF($BE$2:$BE$545,BE222)</f>
        <v/>
      </c>
      <c r="BI222" s="3">
        <f t="array" ref="BI222">IF(N(AU222)&gt;=MIN_N,AT222,IF(BH222&gt;=MIN_N,MEDIAN(IF($BE$2:$BE$545=BE222,$O$2:$O$545)),IF(BG222&gt;=MIN_N,MEDIAN(IF($BD$2:$BD$545=BD222,$O$2:$O$545)),MEDIAN(IF($BC$2:$BC$545=BC222,$O$2:$O$545)))))</f>
        <v/>
      </c>
      <c r="BJ222" s="3">
        <f>IF(N(AU222)&gt;=MIN_N,"mercado "&amp;AV222,IF(BH222&gt;=MIN_N,"modelo+año+km",IF(BG222&gt;=MIN_N,"modelo+año","modelo")))</f>
        <v/>
      </c>
      <c r="BK222" s="4">
        <f>(BI222-O222)/BI222</f>
        <v/>
      </c>
      <c r="BL222" s="3">
        <f>IF(COUNTIFS(FR_FUEL,K222,FR_YEAR,AP222)&gt;0,1,0)</f>
        <v/>
      </c>
      <c r="BM222" s="3">
        <f>IF(COUNTIFS(FR_FUEL,K222,FR_YEAR,AP222-1)&gt;0,1,0)</f>
        <v/>
      </c>
      <c r="BN222" s="4">
        <f>IF(N(AQ222)&gt;0,AP222*100+AQ222,IF(AND(BL222=1,BM222=1),(AP222-1)*100+1,AP222*100+1))</f>
        <v/>
      </c>
      <c r="BO222" s="3">
        <f>IF(OR(K222="hibrido",K222="glp",K222="gnc",K222="phev"),"ECO",IF(K222="electrico","CERO",IF(K222="gasolina",IF(BN222&gt;=GAS_C_YM,"C",IF(BN222&gt;=GAS_B_YM,"B","A")),IF(K222="diesel",IF(BN222&gt;=DIE_C_YM,"C",IF(BN222&gt;=DIE_B_YM,"B","A")),""))))</f>
        <v/>
      </c>
      <c r="BP222" s="2" t="inlineStr">
        <is>
          <t>C</t>
        </is>
      </c>
      <c r="BQ222" s="4">
        <f>IF(AS222="regla",IF(AND(N(AQ222)=0,BL222=1),"sí","no"),"no")</f>
        <v/>
      </c>
      <c r="BR222" s="3">
        <f>IFERROR(VLOOKUP(F222,MOD_TBL,11,0),IFERROR(VLOOKUP(E222,OCU_TBL,2,0),NEUTRO))</f>
        <v/>
      </c>
      <c r="BS222" s="3">
        <f>SUMIFS(MOT_AJUSTE,MOT_MOTOR,G222,MOT_MARCA,E222,MOT_DESDE,"&lt;="&amp;M222,MOT_HASTA,"&gt;="&amp;M222)+SUMIFS(MOT_AJUSTE,MOT_MOTOR,G222,MOT_MARCA,"(todas)",MOT_DESDE,"&lt;="&amp;M222,MOT_HASTA,"&gt;="&amp;M222)</f>
        <v/>
      </c>
      <c r="BT222" s="3">
        <f>SUMIFS(COMB_AJUSTE,COMB_COMB,K222)</f>
        <v/>
      </c>
      <c r="BU222" s="3">
        <f>COUNTIFS(MOT_MOTOR,G222,MOT_MARCA,E222,MOT_DESDE,"&lt;="&amp;M222,MOT_HASTA,"&gt;="&amp;M222)+COUNTIFS(MOT_MOTOR,G222,MOT_MARCA,"(todas)",MOT_DESDE,"&lt;="&amp;M222,MOT_HASTA,"&gt;="&amp;M222)</f>
        <v/>
      </c>
      <c r="BV222" s="3">
        <f>IF(AND(K222="diesel",BU222=0),MIN(BR222,NEUTRO),BR222)</f>
        <v/>
      </c>
      <c r="BW222" s="4">
        <f>MAX(0,MIN(100,BV222+BS222+BT222))</f>
        <v/>
      </c>
      <c r="BX222" s="3">
        <f>MAX(0,MIN(100,50+BK222*PRECIO_PEND))</f>
        <v/>
      </c>
      <c r="BY222" s="3">
        <f>MAX(0,100*(1-N222/KM_MAX))</f>
        <v/>
      </c>
      <c r="BZ222" s="3">
        <f>IF(BB222&lt;KMA_SOSP,IF(AA222="sí",100,KMA_PEN),IF(BB222&lt;=KMA_IDEAL_MAX,100,MAX(0,100*(KMA_CERO-BB222)/(KMA_CERO-KMA_IDEAL_MAX))))</f>
        <v/>
      </c>
      <c r="CA222" s="3">
        <f>MAX(0,MIN(100,100*(M222-ANIO_MIN)/(ANIO_ACTUAL-ANIO_MIN)))</f>
        <v/>
      </c>
      <c r="CB222" s="3">
        <f>W_KMT*BY222+W_KMA*BZ222+W_EDAD*CA222</f>
        <v/>
      </c>
      <c r="CC222" s="3">
        <f>P_ITV*(V222="sí")+P_LIBRO*(W222="sí")+P_CORREA*(X222="sí")+P_PROP*(Y222=1)+P_GAR*(Z222="sí")+P_FOTOS*MIN(1,N(U222)/FOTOS_OBJ)</f>
        <v/>
      </c>
      <c r="CD222" s="3">
        <f>MAX(0,MIN(100,IFERROR(VLOOKUP(BP222,ETQ_TBL,2,0),0)-IF(BQ222="sí",ETQ_PEN_DUD,IF(AS222="regla",ETQ_PEN_REGLA,0))))</f>
        <v/>
      </c>
      <c r="CE222" s="3">
        <f>NEUTRO</f>
        <v/>
      </c>
      <c r="CF222" s="3">
        <f>IFERROR(VLOOKUP(L222,SEGURO_TBL,3,0),"")</f>
        <v/>
      </c>
      <c r="CG222" s="3">
        <f>IF(CF222="",NEUTRO,MAX(0,MIN(100,100*(SEG_REF_MAX-CF222)/(SEG_REF_MAX-SEG_REF_MIN))))</f>
        <v/>
      </c>
      <c r="CH222" s="3">
        <f>W_CONS*CE222+W_SEG*CG222</f>
        <v/>
      </c>
      <c r="CI222" s="3">
        <f>IF(N(AB222)&gt;0,AB222,IF(AND(R222="profesional",SG_LEGAL_ON=1),GAR_LEGAL,0))</f>
        <v/>
      </c>
      <c r="CJ222" s="3">
        <f>SG_GAR*MIN(1,CI222/SG_GAR_FULL)+SG_AMPL*(AC222="sí")+SG_KMC*(AF222="sí")+SG_REV*(N(AE222)&gt;0)+SG_DEV*MIN(1,N(AG222)/SG_DEV_FULL)+SG_HIST*(W222="sí")</f>
        <v/>
      </c>
      <c r="CK222" s="3">
        <f>IFERROR(VLOOKUP(L222,CARR_PEN_TBL,2,0),0)</f>
        <v/>
      </c>
      <c r="CL222" s="3">
        <f>W_FIAB*BW222+W_PRECIO*BX222+W_KMEDAD*CB222+W_ANUNCIO*CC222+W_USO*CH222+W_SEGURIDAD*CJ222+W_ETIQUETA*CD222-CK222</f>
        <v/>
      </c>
      <c r="CM222" s="4">
        <f>IF(N(I222)&gt;0,I222,IFERROR(ROUND(_xlfn.NUMBERVALUE(LEFT(G222,FIND(" ",G222&amp;" ")-1),".")*1000,0),99999))</f>
        <v/>
      </c>
      <c r="CN222" s="3">
        <f>IF(R222="profesional",0,IF(O222&lt;CUOTA_VALOR_MAX,IF(BA222&gt;ITP_TRAMO_ALTO,SUMIFS(CF_CUOTA,CF_MAS,ITP_TRAMO_ALTO,CF_CCMIN,"&lt;="&amp;CM222,CF_CCMAX,"&gt;="&amp;CM222),IF(BA222&gt;ITP_TRAMO_BAJO,SUMIFS(CF_CUOTA,CF_MAS,ITP_TRAMO_BAJO,CF_CCMIN,"&lt;="&amp;CM222,CF_CCMAX,"&gt;="&amp;CM222),O222*ITP_TIPO)),O222*ITP_TIPO))</f>
        <v/>
      </c>
      <c r="CO222" s="4">
        <f>IF(R222="profesional",N(AK222),0)</f>
        <v/>
      </c>
      <c r="CP222" s="3">
        <f>IF(AND(R222="profesional",ISNUMBER(AK222),AL222="sí"),0,TASA_DGT)</f>
        <v/>
      </c>
      <c r="CQ222" s="3">
        <f>INFORME_DGT</f>
        <v/>
      </c>
      <c r="CR222" s="4">
        <f>O222+CO222+CN222+CP222+CQ222</f>
        <v/>
      </c>
      <c r="CS222" s="4">
        <f>CR222+N(CF222)</f>
        <v/>
      </c>
      <c r="CT222" s="3">
        <f>IF(CR222&lt;=TOTAL_MAX,"sí",IF(CR222&lt;=TOTAL_MAX+MARGEN_NEG,"negociar","no"))</f>
        <v/>
      </c>
      <c r="CU222" s="4">
        <f>IF(CT222&lt;&gt;"no",COUNTIFS($CT$2:$CT$545,"&lt;&gt;no",$CL$2:$CL$545,"&gt;"&amp;CL222)+COUNTIFS($CT$2:CT222,"&lt;&gt;no",$CL$2:CL222,CL222),"")</f>
        <v/>
      </c>
    </row>
    <row r="223">
      <c r="A223" s="2" t="inlineStr">
        <is>
          <t>cochesnet:71867781</t>
        </is>
      </c>
      <c r="B223" s="2" t="inlineStr">
        <is>
          <t>cochesnet</t>
        </is>
      </c>
      <c r="C223" s="2" t="inlineStr">
        <is>
          <t>https://www.coches.net/seat-ibiza-19-tdi-100cv-sport-5p-diesel-2008-en-valencia-71867781-covo.aspx</t>
        </is>
      </c>
      <c r="D223" s="2" t="inlineStr">
        <is>
          <t>SEAT Ibiza 1.9 TDI Sport</t>
        </is>
      </c>
      <c r="E223" s="2" t="inlineStr">
        <is>
          <t>Seat</t>
        </is>
      </c>
      <c r="F223" s="2" t="inlineStr">
        <is>
          <t>Seat Ibiza</t>
        </is>
      </c>
      <c r="G223" s="2" t="inlineStr">
        <is>
          <t>1.9 TDI</t>
        </is>
      </c>
      <c r="H223" s="2" t="inlineStr">
        <is>
          <t>1.9 TDI 100cv Sport</t>
        </is>
      </c>
      <c r="I223" s="2" t="n"/>
      <c r="J223" s="2" t="n">
        <v>100</v>
      </c>
      <c r="K223" s="2" t="inlineStr">
        <is>
          <t>diesel</t>
        </is>
      </c>
      <c r="L223" s="2" t="inlineStr">
        <is>
          <t>utilitario</t>
        </is>
      </c>
      <c r="M223" s="2" t="n">
        <v>2007</v>
      </c>
      <c r="N223" s="2" t="n">
        <v>117000</v>
      </c>
      <c r="O223" s="2" t="n">
        <v>4990</v>
      </c>
      <c r="P223" s="2" t="inlineStr">
        <is>
          <t>manual</t>
        </is>
      </c>
      <c r="Q223" s="2" t="inlineStr">
        <is>
          <t>no</t>
        </is>
      </c>
      <c r="R223" s="2" t="inlineStr">
        <is>
          <t>profesional</t>
        </is>
      </c>
      <c r="S223" s="2" t="inlineStr">
        <is>
          <t>MSG Car 4 Valencia</t>
        </is>
      </c>
      <c r="T223" s="2" t="inlineStr">
        <is>
          <t>2026-10-30T09:30:55Z</t>
        </is>
      </c>
      <c r="U223" s="2" t="n">
        <v>13</v>
      </c>
      <c r="V223" s="2" t="n"/>
      <c r="W223" s="2" t="n"/>
      <c r="X223" s="2" t="n"/>
      <c r="Y223" s="2" t="n"/>
      <c r="Z223" s="2" t="inlineStr">
        <is>
          <t>sí</t>
        </is>
      </c>
      <c r="AA223" s="2" t="inlineStr">
        <is>
          <t>sí</t>
        </is>
      </c>
      <c r="AB223" s="2" t="n">
        <v>12</v>
      </c>
      <c r="AC223" s="2" t="n"/>
      <c r="AD223" s="2" t="n"/>
      <c r="AE223" s="2" t="n"/>
      <c r="AF223" s="2" t="inlineStr">
        <is>
          <t>sí</t>
        </is>
      </c>
      <c r="AG223" s="2" t="n"/>
      <c r="AH223" s="2" t="n">
        <v>4990</v>
      </c>
      <c r="AI223" s="2" t="n"/>
      <c r="AJ223" s="2" t="n"/>
      <c r="AK223" s="2" t="n"/>
      <c r="AL223" s="2" t="n"/>
      <c r="AM223" s="2" t="n">
        <v>0.1</v>
      </c>
      <c r="AN223" s="2" t="n"/>
      <c r="AO223" s="2" t="inlineStr">
        <is>
          <t>2007</t>
        </is>
      </c>
      <c r="AP223" s="2" t="n">
        <v>2007</v>
      </c>
      <c r="AQ223" s="2" t="n"/>
      <c r="AR223" s="2" t="inlineStr">
        <is>
          <t>B</t>
        </is>
      </c>
      <c r="AS223" s="2" t="inlineStr">
        <is>
          <t>anuncio</t>
        </is>
      </c>
      <c r="AT223" s="2" t="n">
        <v>3850</v>
      </c>
      <c r="AU223" s="2" t="n">
        <v>26</v>
      </c>
      <c r="AV223" s="2" t="inlineStr">
        <is>
          <t>modelo+año</t>
        </is>
      </c>
      <c r="AW223" s="2" t="n"/>
      <c r="AX223"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223" s="2" t="inlineStr">
        <is>
          <t>-Nacional-Kilometraje certificado-Etiqueta medioambiental B-Recién revisado-
Extras: climatizador, cierre centralizado...
- Se acepta su vehículo como parte de pago.
- Posibilidad de envío a domicilio dentro de la península.
- Aceptamos prueba mecánica.
*Exposición en Segorbe (CS), en la avda. Mediterráneo, 138*Opción de ver el vehículo en Valencia capital*Consulte disponibilidad antes de visitarnos*
Horario de atención telefónica: Lunes a viernes de 10:00h a 14:00h - 16:00h a 19:00h.</t>
        </is>
      </c>
      <c r="AZ223" s="2" t="inlineStr">
        <is>
          <t>https://www.coches.net/seat-ibiza-19-tdi-100cv-sport-5p-diesel-2008-en-valencia-71867781-covo.aspx (window.__INITIAL_PROPS__.ad) /home/user/Alopecia/buscador-coches/raw/cochesnet/04fc7723d9dff820.json</t>
        </is>
      </c>
      <c r="BA223" s="3">
        <f>MAX(ANIO_ACTUAL-M223,0)</f>
        <v/>
      </c>
      <c r="BB223" s="4">
        <f>N223/MAX(BA223,0.5)</f>
        <v/>
      </c>
      <c r="BC223" s="4">
        <f>F223</f>
        <v/>
      </c>
      <c r="BD223" s="3">
        <f>BC223&amp;"|"&amp;INT(M223/SEG_ANIO)*SEG_ANIO</f>
        <v/>
      </c>
      <c r="BE223" s="3">
        <f>BD223&amp;"|"&amp;INT(N223/SEG_KM)*SEG_KM</f>
        <v/>
      </c>
      <c r="BF223" s="4">
        <f>COUNTIF($BC$2:$BC$545,BC223)</f>
        <v/>
      </c>
      <c r="BG223" s="4">
        <f>COUNTIF($BD$2:$BD$545,BD223)</f>
        <v/>
      </c>
      <c r="BH223" s="4">
        <f>COUNTIF($BE$2:$BE$545,BE223)</f>
        <v/>
      </c>
      <c r="BI223" s="3">
        <f t="array" ref="BI223">IF(N(AU223)&gt;=MIN_N,AT223,IF(BH223&gt;=MIN_N,MEDIAN(IF($BE$2:$BE$545=BE223,$O$2:$O$545)),IF(BG223&gt;=MIN_N,MEDIAN(IF($BD$2:$BD$545=BD223,$O$2:$O$545)),MEDIAN(IF($BC$2:$BC$545=BC223,$O$2:$O$545)))))</f>
        <v/>
      </c>
      <c r="BJ223" s="3">
        <f>IF(N(AU223)&gt;=MIN_N,"mercado "&amp;AV223,IF(BH223&gt;=MIN_N,"modelo+año+km",IF(BG223&gt;=MIN_N,"modelo+año","modelo")))</f>
        <v/>
      </c>
      <c r="BK223" s="4">
        <f>(BI223-O223)/BI223</f>
        <v/>
      </c>
      <c r="BL223" s="3">
        <f>IF(COUNTIFS(FR_FUEL,K223,FR_YEAR,AP223)&gt;0,1,0)</f>
        <v/>
      </c>
      <c r="BM223" s="3">
        <f>IF(COUNTIFS(FR_FUEL,K223,FR_YEAR,AP223-1)&gt;0,1,0)</f>
        <v/>
      </c>
      <c r="BN223" s="4">
        <f>IF(N(AQ223)&gt;0,AP223*100+AQ223,IF(AND(BL223=1,BM223=1),(AP223-1)*100+1,AP223*100+1))</f>
        <v/>
      </c>
      <c r="BO223" s="3">
        <f>IF(OR(K223="hibrido",K223="glp",K223="gnc",K223="phev"),"ECO",IF(K223="electrico","CERO",IF(K223="gasolina",IF(BN223&gt;=GAS_C_YM,"C",IF(BN223&gt;=GAS_B_YM,"B","A")),IF(K223="diesel",IF(BN223&gt;=DIE_C_YM,"C",IF(BN223&gt;=DIE_B_YM,"B","A")),""))))</f>
        <v/>
      </c>
      <c r="BP223" s="2" t="inlineStr">
        <is>
          <t>B</t>
        </is>
      </c>
      <c r="BQ223" s="4">
        <f>IF(AS223="regla",IF(AND(N(AQ223)=0,BL223=1),"sí","no"),"no")</f>
        <v/>
      </c>
      <c r="BR223" s="3">
        <f>IFERROR(VLOOKUP(F223,MOD_TBL,11,0),IFERROR(VLOOKUP(E223,OCU_TBL,2,0),NEUTRO))</f>
        <v/>
      </c>
      <c r="BS223" s="3">
        <f>SUMIFS(MOT_AJUSTE,MOT_MOTOR,G223,MOT_MARCA,E223,MOT_DESDE,"&lt;="&amp;M223,MOT_HASTA,"&gt;="&amp;M223)+SUMIFS(MOT_AJUSTE,MOT_MOTOR,G223,MOT_MARCA,"(todas)",MOT_DESDE,"&lt;="&amp;M223,MOT_HASTA,"&gt;="&amp;M223)</f>
        <v/>
      </c>
      <c r="BT223" s="3">
        <f>SUMIFS(COMB_AJUSTE,COMB_COMB,K223)</f>
        <v/>
      </c>
      <c r="BU223" s="3">
        <f>COUNTIFS(MOT_MOTOR,G223,MOT_MARCA,E223,MOT_DESDE,"&lt;="&amp;M223,MOT_HASTA,"&gt;="&amp;M223)+COUNTIFS(MOT_MOTOR,G223,MOT_MARCA,"(todas)",MOT_DESDE,"&lt;="&amp;M223,MOT_HASTA,"&gt;="&amp;M223)</f>
        <v/>
      </c>
      <c r="BV223" s="3">
        <f>IF(AND(K223="diesel",BU223=0),MIN(BR223,NEUTRO),BR223)</f>
        <v/>
      </c>
      <c r="BW223" s="4">
        <f>MAX(0,MIN(100,BV223+BS223+BT223))</f>
        <v/>
      </c>
      <c r="BX223" s="3">
        <f>MAX(0,MIN(100,50+BK223*PRECIO_PEND))</f>
        <v/>
      </c>
      <c r="BY223" s="3">
        <f>MAX(0,100*(1-N223/KM_MAX))</f>
        <v/>
      </c>
      <c r="BZ223" s="3">
        <f>IF(BB223&lt;KMA_SOSP,IF(AA223="sí",100,KMA_PEN),IF(BB223&lt;=KMA_IDEAL_MAX,100,MAX(0,100*(KMA_CERO-BB223)/(KMA_CERO-KMA_IDEAL_MAX))))</f>
        <v/>
      </c>
      <c r="CA223" s="3">
        <f>MAX(0,MIN(100,100*(M223-ANIO_MIN)/(ANIO_ACTUAL-ANIO_MIN)))</f>
        <v/>
      </c>
      <c r="CB223" s="3">
        <f>W_KMT*BY223+W_KMA*BZ223+W_EDAD*CA223</f>
        <v/>
      </c>
      <c r="CC223" s="3">
        <f>P_ITV*(V223="sí")+P_LIBRO*(W223="sí")+P_CORREA*(X223="sí")+P_PROP*(Y223=1)+P_GAR*(Z223="sí")+P_FOTOS*MIN(1,N(U223)/FOTOS_OBJ)</f>
        <v/>
      </c>
      <c r="CD223" s="3">
        <f>MAX(0,MIN(100,IFERROR(VLOOKUP(BP223,ETQ_TBL,2,0),0)-IF(BQ223="sí",ETQ_PEN_DUD,IF(AS223="regla",ETQ_PEN_REGLA,0))))</f>
        <v/>
      </c>
      <c r="CE223" s="3">
        <f>NEUTRO</f>
        <v/>
      </c>
      <c r="CF223" s="3">
        <f>IFERROR(VLOOKUP(L223,SEGURO_TBL,3,0),"")</f>
        <v/>
      </c>
      <c r="CG223" s="3">
        <f>IF(CF223="",NEUTRO,MAX(0,MIN(100,100*(SEG_REF_MAX-CF223)/(SEG_REF_MAX-SEG_REF_MIN))))</f>
        <v/>
      </c>
      <c r="CH223" s="3">
        <f>W_CONS*CE223+W_SEG*CG223</f>
        <v/>
      </c>
      <c r="CI223" s="3">
        <f>IF(N(AB223)&gt;0,AB223,IF(AND(R223="profesional",SG_LEGAL_ON=1),GAR_LEGAL,0))</f>
        <v/>
      </c>
      <c r="CJ223" s="3">
        <f>SG_GAR*MIN(1,CI223/SG_GAR_FULL)+SG_AMPL*(AC223="sí")+SG_KMC*(AF223="sí")+SG_REV*(N(AE223)&gt;0)+SG_DEV*MIN(1,N(AG223)/SG_DEV_FULL)+SG_HIST*(W223="sí")</f>
        <v/>
      </c>
      <c r="CK223" s="3">
        <f>IFERROR(VLOOKUP(L223,CARR_PEN_TBL,2,0),0)</f>
        <v/>
      </c>
      <c r="CL223" s="3">
        <f>W_FIAB*BW223+W_PRECIO*BX223+W_KMEDAD*CB223+W_ANUNCIO*CC223+W_USO*CH223+W_SEGURIDAD*CJ223+W_ETIQUETA*CD223-CK223</f>
        <v/>
      </c>
      <c r="CM223" s="4">
        <f>IF(N(I223)&gt;0,I223,IFERROR(ROUND(_xlfn.NUMBERVALUE(LEFT(G223,FIND(" ",G223&amp;" ")-1),".")*1000,0),99999))</f>
        <v/>
      </c>
      <c r="CN223" s="3">
        <f>IF(R223="profesional",0,IF(O223&lt;CUOTA_VALOR_MAX,IF(BA223&gt;ITP_TRAMO_ALTO,SUMIFS(CF_CUOTA,CF_MAS,ITP_TRAMO_ALTO,CF_CCMIN,"&lt;="&amp;CM223,CF_CCMAX,"&gt;="&amp;CM223),IF(BA223&gt;ITP_TRAMO_BAJO,SUMIFS(CF_CUOTA,CF_MAS,ITP_TRAMO_BAJO,CF_CCMIN,"&lt;="&amp;CM223,CF_CCMAX,"&gt;="&amp;CM223),O223*ITP_TIPO)),O223*ITP_TIPO))</f>
        <v/>
      </c>
      <c r="CO223" s="4">
        <f>IF(R223="profesional",N(AK223),0)</f>
        <v/>
      </c>
      <c r="CP223" s="3">
        <f>IF(AND(R223="profesional",ISNUMBER(AK223),AL223="sí"),0,TASA_DGT)</f>
        <v/>
      </c>
      <c r="CQ223" s="3">
        <f>INFORME_DGT</f>
        <v/>
      </c>
      <c r="CR223" s="4">
        <f>O223+CO223+CN223+CP223+CQ223</f>
        <v/>
      </c>
      <c r="CS223" s="4">
        <f>CR223+N(CF223)</f>
        <v/>
      </c>
      <c r="CT223" s="3">
        <f>IF(CR223&lt;=TOTAL_MAX,"sí",IF(CR223&lt;=TOTAL_MAX+MARGEN_NEG,"negociar","no"))</f>
        <v/>
      </c>
      <c r="CU223" s="4">
        <f>IF(CT223&lt;&gt;"no",COUNTIFS($CT$2:$CT$545,"&lt;&gt;no",$CL$2:$CL$545,"&gt;"&amp;CL223)+COUNTIFS($CT$2:CT223,"&lt;&gt;no",$CL$2:CL223,CL223),"")</f>
        <v/>
      </c>
    </row>
    <row r="224">
      <c r="A224" s="2" t="inlineStr">
        <is>
          <t>cochesnet:71775991</t>
        </is>
      </c>
      <c r="B224" s="2" t="inlineStr">
        <is>
          <t>cochesnet</t>
        </is>
      </c>
      <c r="C224" s="2" t="inlineStr">
        <is>
          <t>https://www.coches.net/seat-ibiza-14-16v-85cv-sport-5p-gasolina-2009-en-valencia-71775991-covo.aspx</t>
        </is>
      </c>
      <c r="D224" s="2" t="inlineStr">
        <is>
          <t>SEAT Ibiza 1.4 16v Sport</t>
        </is>
      </c>
      <c r="E224" s="2" t="inlineStr">
        <is>
          <t>Seat</t>
        </is>
      </c>
      <c r="F224" s="2" t="inlineStr">
        <is>
          <t>Seat Ibiza</t>
        </is>
      </c>
      <c r="G224" s="2" t="inlineStr">
        <is>
          <t>1.4</t>
        </is>
      </c>
      <c r="H224" s="2" t="inlineStr">
        <is>
          <t>1.4 16v 85cv Sport</t>
        </is>
      </c>
      <c r="I224" s="2" t="n"/>
      <c r="J224" s="2" t="n">
        <v>85</v>
      </c>
      <c r="K224" s="2" t="inlineStr">
        <is>
          <t>gasolina</t>
        </is>
      </c>
      <c r="L224" s="2" t="inlineStr">
        <is>
          <t>utilitario</t>
        </is>
      </c>
      <c r="M224" s="2" t="n">
        <v>2009</v>
      </c>
      <c r="N224" s="2" t="n">
        <v>185000</v>
      </c>
      <c r="O224" s="2" t="n">
        <v>4700</v>
      </c>
      <c r="P224" s="2" t="inlineStr">
        <is>
          <t>manual</t>
        </is>
      </c>
      <c r="Q224" s="2" t="inlineStr">
        <is>
          <t>no</t>
        </is>
      </c>
      <c r="R224" s="2" t="inlineStr">
        <is>
          <t>particular</t>
        </is>
      </c>
      <c r="S224" s="2" t="n"/>
      <c r="T224" s="2" t="inlineStr">
        <is>
          <t>2026-10-18T17:05:48Z</t>
        </is>
      </c>
      <c r="U224" s="2" t="n">
        <v>1</v>
      </c>
      <c r="V224" s="2" t="inlineStr">
        <is>
          <t>sí</t>
        </is>
      </c>
      <c r="W224" s="2" t="n"/>
      <c r="X224" s="2" t="inlineStr">
        <is>
          <t>sí</t>
        </is>
      </c>
      <c r="Y224" s="2" t="n"/>
      <c r="Z224" s="2" t="inlineStr">
        <is>
          <t>no</t>
        </is>
      </c>
      <c r="AA224" s="2" t="n"/>
      <c r="AB224" s="2" t="n"/>
      <c r="AC224" s="2" t="n"/>
      <c r="AD224" s="2" t="n"/>
      <c r="AE224" s="2" t="n"/>
      <c r="AF224" s="2" t="n"/>
      <c r="AG224" s="2" t="n"/>
      <c r="AH224" s="2" t="n">
        <v>4700</v>
      </c>
      <c r="AI224" s="2" t="n"/>
      <c r="AJ224" s="2" t="n"/>
      <c r="AK224" s="2" t="n"/>
      <c r="AL224" s="2" t="n"/>
      <c r="AM224" s="2" t="n"/>
      <c r="AN224" s="2" t="n"/>
      <c r="AO224" s="2" t="inlineStr">
        <is>
          <t>2009</t>
        </is>
      </c>
      <c r="AP224" s="2" t="n">
        <v>2009</v>
      </c>
      <c r="AQ224" s="2" t="n"/>
      <c r="AR224" s="2" t="n"/>
      <c r="AS224" s="2" t="inlineStr">
        <is>
          <t>regla</t>
        </is>
      </c>
      <c r="AT224" s="2" t="n">
        <v>4750</v>
      </c>
      <c r="AU224" s="2" t="n">
        <v>4</v>
      </c>
      <c r="AV224" s="2" t="inlineStr">
        <is>
          <t>modelo+año+km</t>
        </is>
      </c>
      <c r="AW224" s="2" t="n"/>
      <c r="AX224" s="2" t="inlineStr">
        <is>
          <t>cuota fija ITP: &gt;12 años, hasta 1.500 cc; distancia no verificable (el anuncio solo indica la provincia): confirmar que está a &lt;= 70 km</t>
        </is>
      </c>
      <c r="AY224" s="2" t="inlineStr">
        <is>
          <t>?? SE VENDE SEAT IBIZA 1.4 SPORT – GASOLINA
?? Año: 2009
? Motor: Gasolina 1.4
?? Versión: Sport
?? Kilómetros: 180.000 km
? ITV pasada en mayo de 2026
? Sin accidentes
? Sin reparaciones graves
? Buen estado general
? Sistema multimedia Android instalado
?? Pantalla tipo tablet con Bluetooth y navegador GPS
Coche ideal para uso diario, económico de mantener y con motor fiable.
Se vende por cambio de vehículo.
Caja de cambios y correa cambiados a los 140.000 kms por desgaste.</t>
        </is>
      </c>
      <c r="AZ224" s="2" t="inlineStr">
        <is>
          <t>https://www.coches.net/seat-ibiza-14-16v-85cv-sport-5p-gasolina-2009-en-valencia-71775991-covo.aspx (window.__INITIAL_PROPS__.ad) /home/user/Alopecia/buscador-coches/raw/cochesnet/635e8fadafb8760e.json</t>
        </is>
      </c>
      <c r="BA224" s="3">
        <f>MAX(ANIO_ACTUAL-M224,0)</f>
        <v/>
      </c>
      <c r="BB224" s="4">
        <f>N224/MAX(BA224,0.5)</f>
        <v/>
      </c>
      <c r="BC224" s="4">
        <f>F224</f>
        <v/>
      </c>
      <c r="BD224" s="3">
        <f>BC224&amp;"|"&amp;INT(M224/SEG_ANIO)*SEG_ANIO</f>
        <v/>
      </c>
      <c r="BE224" s="3">
        <f>BD224&amp;"|"&amp;INT(N224/SEG_KM)*SEG_KM</f>
        <v/>
      </c>
      <c r="BF224" s="4">
        <f>COUNTIF($BC$2:$BC$545,BC224)</f>
        <v/>
      </c>
      <c r="BG224" s="4">
        <f>COUNTIF($BD$2:$BD$545,BD224)</f>
        <v/>
      </c>
      <c r="BH224" s="4">
        <f>COUNTIF($BE$2:$BE$545,BE224)</f>
        <v/>
      </c>
      <c r="BI224" s="3">
        <f t="array" ref="BI224">IF(N(AU224)&gt;=MIN_N,AT224,IF(BH224&gt;=MIN_N,MEDIAN(IF($BE$2:$BE$545=BE224,$O$2:$O$545)),IF(BG224&gt;=MIN_N,MEDIAN(IF($BD$2:$BD$545=BD224,$O$2:$O$545)),MEDIAN(IF($BC$2:$BC$545=BC224,$O$2:$O$545)))))</f>
        <v/>
      </c>
      <c r="BJ224" s="3">
        <f>IF(N(AU224)&gt;=MIN_N,"mercado "&amp;AV224,IF(BH224&gt;=MIN_N,"modelo+año+km",IF(BG224&gt;=MIN_N,"modelo+año","modelo")))</f>
        <v/>
      </c>
      <c r="BK224" s="4">
        <f>(BI224-O224)/BI224</f>
        <v/>
      </c>
      <c r="BL224" s="3">
        <f>IF(COUNTIFS(FR_FUEL,K224,FR_YEAR,AP224)&gt;0,1,0)</f>
        <v/>
      </c>
      <c r="BM224" s="3">
        <f>IF(COUNTIFS(FR_FUEL,K224,FR_YEAR,AP224-1)&gt;0,1,0)</f>
        <v/>
      </c>
      <c r="BN224" s="4">
        <f>IF(N(AQ224)&gt;0,AP224*100+AQ224,IF(AND(BL224=1,BM224=1),(AP224-1)*100+1,AP224*100+1))</f>
        <v/>
      </c>
      <c r="BO224" s="3">
        <f>IF(OR(K224="hibrido",K224="glp",K224="gnc",K224="phev"),"ECO",IF(K224="electrico","CERO",IF(K224="gasolina",IF(BN224&gt;=GAS_C_YM,"C",IF(BN224&gt;=GAS_B_YM,"B","A")),IF(K224="diesel",IF(BN224&gt;=DIE_C_YM,"C",IF(BN224&gt;=DIE_B_YM,"B","A")),""))))</f>
        <v/>
      </c>
      <c r="BP224" s="4">
        <f>BO224</f>
        <v/>
      </c>
      <c r="BQ224" s="4">
        <f>IF(AS224="regla",IF(AND(N(AQ224)=0,BL224=1),"sí","no"),"no")</f>
        <v/>
      </c>
      <c r="BR224" s="3">
        <f>IFERROR(VLOOKUP(F224,MOD_TBL,11,0),IFERROR(VLOOKUP(E224,OCU_TBL,2,0),NEUTRO))</f>
        <v/>
      </c>
      <c r="BS224" s="3">
        <f>SUMIFS(MOT_AJUSTE,MOT_MOTOR,G224,MOT_MARCA,E224,MOT_DESDE,"&lt;="&amp;M224,MOT_HASTA,"&gt;="&amp;M224)+SUMIFS(MOT_AJUSTE,MOT_MOTOR,G224,MOT_MARCA,"(todas)",MOT_DESDE,"&lt;="&amp;M224,MOT_HASTA,"&gt;="&amp;M224)</f>
        <v/>
      </c>
      <c r="BT224" s="3">
        <f>SUMIFS(COMB_AJUSTE,COMB_COMB,K224)</f>
        <v/>
      </c>
      <c r="BU224" s="3">
        <f>COUNTIFS(MOT_MOTOR,G224,MOT_MARCA,E224,MOT_DESDE,"&lt;="&amp;M224,MOT_HASTA,"&gt;="&amp;M224)+COUNTIFS(MOT_MOTOR,G224,MOT_MARCA,"(todas)",MOT_DESDE,"&lt;="&amp;M224,MOT_HASTA,"&gt;="&amp;M224)</f>
        <v/>
      </c>
      <c r="BV224" s="3">
        <f>IF(AND(K224="diesel",BU224=0),MIN(BR224,NEUTRO),BR224)</f>
        <v/>
      </c>
      <c r="BW224" s="4">
        <f>MAX(0,MIN(100,BV224+BS224+BT224))</f>
        <v/>
      </c>
      <c r="BX224" s="3">
        <f>MAX(0,MIN(100,50+BK224*PRECIO_PEND))</f>
        <v/>
      </c>
      <c r="BY224" s="3">
        <f>MAX(0,100*(1-N224/KM_MAX))</f>
        <v/>
      </c>
      <c r="BZ224" s="3">
        <f>IF(BB224&lt;KMA_SOSP,IF(AA224="sí",100,KMA_PEN),IF(BB224&lt;=KMA_IDEAL_MAX,100,MAX(0,100*(KMA_CERO-BB224)/(KMA_CERO-KMA_IDEAL_MAX))))</f>
        <v/>
      </c>
      <c r="CA224" s="3">
        <f>MAX(0,MIN(100,100*(M224-ANIO_MIN)/(ANIO_ACTUAL-ANIO_MIN)))</f>
        <v/>
      </c>
      <c r="CB224" s="3">
        <f>W_KMT*BY224+W_KMA*BZ224+W_EDAD*CA224</f>
        <v/>
      </c>
      <c r="CC224" s="3">
        <f>P_ITV*(V224="sí")+P_LIBRO*(W224="sí")+P_CORREA*(X224="sí")+P_PROP*(Y224=1)+P_GAR*(Z224="sí")+P_FOTOS*MIN(1,N(U224)/FOTOS_OBJ)</f>
        <v/>
      </c>
      <c r="CD224" s="3">
        <f>MAX(0,MIN(100,IFERROR(VLOOKUP(BP224,ETQ_TBL,2,0),0)-IF(BQ224="sí",ETQ_PEN_DUD,IF(AS224="regla",ETQ_PEN_REGLA,0))))</f>
        <v/>
      </c>
      <c r="CE224" s="3">
        <f>NEUTRO</f>
        <v/>
      </c>
      <c r="CF224" s="3">
        <f>IFERROR(VLOOKUP(L224,SEGURO_TBL,3,0),"")</f>
        <v/>
      </c>
      <c r="CG224" s="3">
        <f>IF(CF224="",NEUTRO,MAX(0,MIN(100,100*(SEG_REF_MAX-CF224)/(SEG_REF_MAX-SEG_REF_MIN))))</f>
        <v/>
      </c>
      <c r="CH224" s="3">
        <f>W_CONS*CE224+W_SEG*CG224</f>
        <v/>
      </c>
      <c r="CI224" s="3">
        <f>IF(N(AB224)&gt;0,AB224,IF(AND(R224="profesional",SG_LEGAL_ON=1),GAR_LEGAL,0))</f>
        <v/>
      </c>
      <c r="CJ224" s="3">
        <f>SG_GAR*MIN(1,CI224/SG_GAR_FULL)+SG_AMPL*(AC224="sí")+SG_KMC*(AF224="sí")+SG_REV*(N(AE224)&gt;0)+SG_DEV*MIN(1,N(AG224)/SG_DEV_FULL)+SG_HIST*(W224="sí")</f>
        <v/>
      </c>
      <c r="CK224" s="3">
        <f>IFERROR(VLOOKUP(L224,CARR_PEN_TBL,2,0),0)</f>
        <v/>
      </c>
      <c r="CL224" s="3">
        <f>W_FIAB*BW224+W_PRECIO*BX224+W_KMEDAD*CB224+W_ANUNCIO*CC224+W_USO*CH224+W_SEGURIDAD*CJ224+W_ETIQUETA*CD224-CK224</f>
        <v/>
      </c>
      <c r="CM224" s="4">
        <f>IF(N(I224)&gt;0,I224,IFERROR(ROUND(_xlfn.NUMBERVALUE(LEFT(G224,FIND(" ",G224&amp;" ")-1),".")*1000,0),99999))</f>
        <v/>
      </c>
      <c r="CN224" s="3">
        <f>IF(R224="profesional",0,IF(O224&lt;CUOTA_VALOR_MAX,IF(BA224&gt;ITP_TRAMO_ALTO,SUMIFS(CF_CUOTA,CF_MAS,ITP_TRAMO_ALTO,CF_CCMIN,"&lt;="&amp;CM224,CF_CCMAX,"&gt;="&amp;CM224),IF(BA224&gt;ITP_TRAMO_BAJO,SUMIFS(CF_CUOTA,CF_MAS,ITP_TRAMO_BAJO,CF_CCMIN,"&lt;="&amp;CM224,CF_CCMAX,"&gt;="&amp;CM224),O224*ITP_TIPO)),O224*ITP_TIPO))</f>
        <v/>
      </c>
      <c r="CO224" s="4">
        <f>IF(R224="profesional",N(AK224),0)</f>
        <v/>
      </c>
      <c r="CP224" s="3">
        <f>IF(AND(R224="profesional",ISNUMBER(AK224),AL224="sí"),0,TASA_DGT)</f>
        <v/>
      </c>
      <c r="CQ224" s="3">
        <f>INFORME_DGT</f>
        <v/>
      </c>
      <c r="CR224" s="4">
        <f>O224+CO224+CN224+CP224+CQ224</f>
        <v/>
      </c>
      <c r="CS224" s="4">
        <f>CR224+N(CF224)</f>
        <v/>
      </c>
      <c r="CT224" s="3">
        <f>IF(CR224&lt;=TOTAL_MAX,"sí",IF(CR224&lt;=TOTAL_MAX+MARGEN_NEG,"negociar","no"))</f>
        <v/>
      </c>
      <c r="CU224" s="4">
        <f>IF(CT224&lt;&gt;"no",COUNTIFS($CT$2:$CT$545,"&lt;&gt;no",$CL$2:$CL$545,"&gt;"&amp;CL224)+COUNTIFS($CT$2:CT224,"&lt;&gt;no",$CL$2:CL224,CL224),"")</f>
        <v/>
      </c>
    </row>
    <row r="225">
      <c r="A225" s="2" t="inlineStr">
        <is>
          <t>cochesnet:71575805</t>
        </is>
      </c>
      <c r="B225" s="2" t="inlineStr">
        <is>
          <t>cochesnet</t>
        </is>
      </c>
      <c r="C225" s="2" t="inlineStr">
        <is>
          <t>https://www.coches.net/seat-ibiza-diesel-2007-en-valencia-71575805-covo.aspx</t>
        </is>
      </c>
      <c r="D225" s="2" t="inlineStr">
        <is>
          <t>SEAT Ibiza</t>
        </is>
      </c>
      <c r="E225" s="2" t="inlineStr">
        <is>
          <t>Seat</t>
        </is>
      </c>
      <c r="F225" s="2" t="inlineStr">
        <is>
          <t>Seat Ibiza</t>
        </is>
      </c>
      <c r="G225" s="2" t="n"/>
      <c r="H225" s="2" t="n"/>
      <c r="I225" s="2" t="n"/>
      <c r="J225" s="2" t="n"/>
      <c r="K225" s="2" t="inlineStr">
        <is>
          <t>diesel</t>
        </is>
      </c>
      <c r="L225" s="2" t="inlineStr">
        <is>
          <t>utilitario</t>
        </is>
      </c>
      <c r="M225" s="2" t="n">
        <v>2007</v>
      </c>
      <c r="N225" s="2" t="n">
        <v>207000</v>
      </c>
      <c r="O225" s="2" t="n">
        <v>3300</v>
      </c>
      <c r="P225" s="2" t="inlineStr">
        <is>
          <t>manual</t>
        </is>
      </c>
      <c r="Q225" s="2" t="inlineStr">
        <is>
          <t>no</t>
        </is>
      </c>
      <c r="R225" s="2" t="inlineStr">
        <is>
          <t>particular</t>
        </is>
      </c>
      <c r="S225" s="2" t="inlineStr">
        <is>
          <t>Valencia</t>
        </is>
      </c>
      <c r="T225" s="2" t="inlineStr">
        <is>
          <t>2026-09-22T17:45:04Z</t>
        </is>
      </c>
      <c r="U225" s="2" t="n">
        <v>5</v>
      </c>
      <c r="V225" s="2" t="inlineStr">
        <is>
          <t>sí</t>
        </is>
      </c>
      <c r="W225" s="2" t="n"/>
      <c r="X225" s="2" t="inlineStr">
        <is>
          <t>sí</t>
        </is>
      </c>
      <c r="Y225" s="2" t="n"/>
      <c r="Z225" s="2" t="inlineStr">
        <is>
          <t>no</t>
        </is>
      </c>
      <c r="AA225" s="2" t="n"/>
      <c r="AB225" s="2" t="n"/>
      <c r="AC225" s="2" t="n"/>
      <c r="AD225" s="2" t="n"/>
      <c r="AE225" s="2" t="n"/>
      <c r="AF225" s="2" t="n"/>
      <c r="AG225" s="2" t="n"/>
      <c r="AH225" s="2" t="n">
        <v>3300</v>
      </c>
      <c r="AI225" s="2" t="n"/>
      <c r="AJ225" s="2" t="n"/>
      <c r="AK225" s="2" t="n"/>
      <c r="AL225" s="2" t="n"/>
      <c r="AM225" s="2" t="n">
        <v>0.1</v>
      </c>
      <c r="AN225" s="2" t="n"/>
      <c r="AO225" s="2" t="inlineStr">
        <is>
          <t>2007</t>
        </is>
      </c>
      <c r="AP225" s="2" t="n">
        <v>2007</v>
      </c>
      <c r="AQ225" s="2" t="n"/>
      <c r="AR225" s="2" t="n"/>
      <c r="AS225" s="2" t="inlineStr">
        <is>
          <t>regla</t>
        </is>
      </c>
      <c r="AT225" s="2" t="n">
        <v>3100</v>
      </c>
      <c r="AU225" s="2" t="n">
        <v>10</v>
      </c>
      <c r="AV225" s="2" t="inlineStr">
        <is>
          <t>modelo+año+km</t>
        </is>
      </c>
      <c r="AW225" s="2" t="n"/>
      <c r="AX225" s="2" t="inlineStr">
        <is>
          <t>cilindrada desconocida: se aplica el tramo de cuota fija más alto; cuota fija ITP: &gt;12 años, más de 2.000 cc; diésel: motor sin fuente de fiabilidad (fiabilidad limitada a neutra)</t>
        </is>
      </c>
      <c r="AY225" s="2" t="inlineStr">
        <is>
          <t>vende Seat Ibiza 2007
Motor 1.4 Diesel
Con 207 mil kms
??El coche cuenta con:
Correa de distribución cambiada hace 1 año
Itv hasta mayo 2027
4 neumáticos nuevos
Revisión hecha hace 5 meses
Cuenta con 2 llaves
El coche está en muy buen estado como se puede apreciar en las fotos,es un coche que no requiere inversión,no consume casi nada de combustible y tiene un andar muy bonito,es un coche digno de ver</t>
        </is>
      </c>
      <c r="AZ225" s="2" t="inlineStr">
        <is>
          <t>https://www.coches.net/seat-ibiza-diesel-2007-en-valencia-71575805-covo.aspx (window.__INITIAL_PROPS__.ad) /home/user/Alopecia/buscador-coches/raw/cochesnet/eda882896fb224cc.json</t>
        </is>
      </c>
      <c r="BA225" s="3">
        <f>MAX(ANIO_ACTUAL-M225,0)</f>
        <v/>
      </c>
      <c r="BB225" s="4">
        <f>N225/MAX(BA225,0.5)</f>
        <v/>
      </c>
      <c r="BC225" s="4">
        <f>F225</f>
        <v/>
      </c>
      <c r="BD225" s="3">
        <f>BC225&amp;"|"&amp;INT(M225/SEG_ANIO)*SEG_ANIO</f>
        <v/>
      </c>
      <c r="BE225" s="3">
        <f>BD225&amp;"|"&amp;INT(N225/SEG_KM)*SEG_KM</f>
        <v/>
      </c>
      <c r="BF225" s="4">
        <f>COUNTIF($BC$2:$BC$545,BC225)</f>
        <v/>
      </c>
      <c r="BG225" s="4">
        <f>COUNTIF($BD$2:$BD$545,BD225)</f>
        <v/>
      </c>
      <c r="BH225" s="4">
        <f>COUNTIF($BE$2:$BE$545,BE225)</f>
        <v/>
      </c>
      <c r="BI225" s="3">
        <f t="array" ref="BI225">IF(N(AU225)&gt;=MIN_N,AT225,IF(BH225&gt;=MIN_N,MEDIAN(IF($BE$2:$BE$545=BE225,$O$2:$O$545)),IF(BG225&gt;=MIN_N,MEDIAN(IF($BD$2:$BD$545=BD225,$O$2:$O$545)),MEDIAN(IF($BC$2:$BC$545=BC225,$O$2:$O$545)))))</f>
        <v/>
      </c>
      <c r="BJ225" s="3">
        <f>IF(N(AU225)&gt;=MIN_N,"mercado "&amp;AV225,IF(BH225&gt;=MIN_N,"modelo+año+km",IF(BG225&gt;=MIN_N,"modelo+año","modelo")))</f>
        <v/>
      </c>
      <c r="BK225" s="4">
        <f>(BI225-O225)/BI225</f>
        <v/>
      </c>
      <c r="BL225" s="3">
        <f>IF(COUNTIFS(FR_FUEL,K225,FR_YEAR,AP225)&gt;0,1,0)</f>
        <v/>
      </c>
      <c r="BM225" s="3">
        <f>IF(COUNTIFS(FR_FUEL,K225,FR_YEAR,AP225-1)&gt;0,1,0)</f>
        <v/>
      </c>
      <c r="BN225" s="4">
        <f>IF(N(AQ225)&gt;0,AP225*100+AQ225,IF(AND(BL225=1,BM225=1),(AP225-1)*100+1,AP225*100+1))</f>
        <v/>
      </c>
      <c r="BO225" s="3">
        <f>IF(OR(K225="hibrido",K225="glp",K225="gnc",K225="phev"),"ECO",IF(K225="electrico","CERO",IF(K225="gasolina",IF(BN225&gt;=GAS_C_YM,"C",IF(BN225&gt;=GAS_B_YM,"B","A")),IF(K225="diesel",IF(BN225&gt;=DIE_C_YM,"C",IF(BN225&gt;=DIE_B_YM,"B","A")),""))))</f>
        <v/>
      </c>
      <c r="BP225" s="4">
        <f>BO225</f>
        <v/>
      </c>
      <c r="BQ225" s="4">
        <f>IF(AS225="regla",IF(AND(N(AQ225)=0,BL225=1),"sí","no"),"no")</f>
        <v/>
      </c>
      <c r="BR225" s="3">
        <f>IFERROR(VLOOKUP(F225,MOD_TBL,11,0),IFERROR(VLOOKUP(E225,OCU_TBL,2,0),NEUTRO))</f>
        <v/>
      </c>
      <c r="BS225" s="3">
        <f>SUMIFS(MOT_AJUSTE,MOT_MOTOR,G225,MOT_MARCA,E225,MOT_DESDE,"&lt;="&amp;M225,MOT_HASTA,"&gt;="&amp;M225)+SUMIFS(MOT_AJUSTE,MOT_MOTOR,G225,MOT_MARCA,"(todas)",MOT_DESDE,"&lt;="&amp;M225,MOT_HASTA,"&gt;="&amp;M225)</f>
        <v/>
      </c>
      <c r="BT225" s="3">
        <f>SUMIFS(COMB_AJUSTE,COMB_COMB,K225)</f>
        <v/>
      </c>
      <c r="BU225" s="3">
        <f>COUNTIFS(MOT_MOTOR,G225,MOT_MARCA,E225,MOT_DESDE,"&lt;="&amp;M225,MOT_HASTA,"&gt;="&amp;M225)+COUNTIFS(MOT_MOTOR,G225,MOT_MARCA,"(todas)",MOT_DESDE,"&lt;="&amp;M225,MOT_HASTA,"&gt;="&amp;M225)</f>
        <v/>
      </c>
      <c r="BV225" s="3">
        <f>IF(AND(K225="diesel",BU225=0),MIN(BR225,NEUTRO),BR225)</f>
        <v/>
      </c>
      <c r="BW225" s="4">
        <f>MAX(0,MIN(100,BV225+BS225+BT225))</f>
        <v/>
      </c>
      <c r="BX225" s="3">
        <f>MAX(0,MIN(100,50+BK225*PRECIO_PEND))</f>
        <v/>
      </c>
      <c r="BY225" s="3">
        <f>MAX(0,100*(1-N225/KM_MAX))</f>
        <v/>
      </c>
      <c r="BZ225" s="3">
        <f>IF(BB225&lt;KMA_SOSP,IF(AA225="sí",100,KMA_PEN),IF(BB225&lt;=KMA_IDEAL_MAX,100,MAX(0,100*(KMA_CERO-BB225)/(KMA_CERO-KMA_IDEAL_MAX))))</f>
        <v/>
      </c>
      <c r="CA225" s="3">
        <f>MAX(0,MIN(100,100*(M225-ANIO_MIN)/(ANIO_ACTUAL-ANIO_MIN)))</f>
        <v/>
      </c>
      <c r="CB225" s="3">
        <f>W_KMT*BY225+W_KMA*BZ225+W_EDAD*CA225</f>
        <v/>
      </c>
      <c r="CC225" s="3">
        <f>P_ITV*(V225="sí")+P_LIBRO*(W225="sí")+P_CORREA*(X225="sí")+P_PROP*(Y225=1)+P_GAR*(Z225="sí")+P_FOTOS*MIN(1,N(U225)/FOTOS_OBJ)</f>
        <v/>
      </c>
      <c r="CD225" s="3">
        <f>MAX(0,MIN(100,IFERROR(VLOOKUP(BP225,ETQ_TBL,2,0),0)-IF(BQ225="sí",ETQ_PEN_DUD,IF(AS225="regla",ETQ_PEN_REGLA,0))))</f>
        <v/>
      </c>
      <c r="CE225" s="3">
        <f>NEUTRO</f>
        <v/>
      </c>
      <c r="CF225" s="3">
        <f>IFERROR(VLOOKUP(L225,SEGURO_TBL,3,0),"")</f>
        <v/>
      </c>
      <c r="CG225" s="3">
        <f>IF(CF225="",NEUTRO,MAX(0,MIN(100,100*(SEG_REF_MAX-CF225)/(SEG_REF_MAX-SEG_REF_MIN))))</f>
        <v/>
      </c>
      <c r="CH225" s="3">
        <f>W_CONS*CE225+W_SEG*CG225</f>
        <v/>
      </c>
      <c r="CI225" s="3">
        <f>IF(N(AB225)&gt;0,AB225,IF(AND(R225="profesional",SG_LEGAL_ON=1),GAR_LEGAL,0))</f>
        <v/>
      </c>
      <c r="CJ225" s="3">
        <f>SG_GAR*MIN(1,CI225/SG_GAR_FULL)+SG_AMPL*(AC225="sí")+SG_KMC*(AF225="sí")+SG_REV*(N(AE225)&gt;0)+SG_DEV*MIN(1,N(AG225)/SG_DEV_FULL)+SG_HIST*(W225="sí")</f>
        <v/>
      </c>
      <c r="CK225" s="3">
        <f>IFERROR(VLOOKUP(L225,CARR_PEN_TBL,2,0),0)</f>
        <v/>
      </c>
      <c r="CL225" s="3">
        <f>W_FIAB*BW225+W_PRECIO*BX225+W_KMEDAD*CB225+W_ANUNCIO*CC225+W_USO*CH225+W_SEGURIDAD*CJ225+W_ETIQUETA*CD225-CK225</f>
        <v/>
      </c>
      <c r="CM225" s="4">
        <f>IF(N(I225)&gt;0,I225,IFERROR(ROUND(_xlfn.NUMBERVALUE(LEFT(G225,FIND(" ",G225&amp;" ")-1),".")*1000,0),99999))</f>
        <v/>
      </c>
      <c r="CN225" s="3">
        <f>IF(R225="profesional",0,IF(O225&lt;CUOTA_VALOR_MAX,IF(BA225&gt;ITP_TRAMO_ALTO,SUMIFS(CF_CUOTA,CF_MAS,ITP_TRAMO_ALTO,CF_CCMIN,"&lt;="&amp;CM225,CF_CCMAX,"&gt;="&amp;CM225),IF(BA225&gt;ITP_TRAMO_BAJO,SUMIFS(CF_CUOTA,CF_MAS,ITP_TRAMO_BAJO,CF_CCMIN,"&lt;="&amp;CM225,CF_CCMAX,"&gt;="&amp;CM225),O225*ITP_TIPO)),O225*ITP_TIPO))</f>
        <v/>
      </c>
      <c r="CO225" s="4">
        <f>IF(R225="profesional",N(AK225),0)</f>
        <v/>
      </c>
      <c r="CP225" s="3">
        <f>IF(AND(R225="profesional",ISNUMBER(AK225),AL225="sí"),0,TASA_DGT)</f>
        <v/>
      </c>
      <c r="CQ225" s="3">
        <f>INFORME_DGT</f>
        <v/>
      </c>
      <c r="CR225" s="4">
        <f>O225+CO225+CN225+CP225+CQ225</f>
        <v/>
      </c>
      <c r="CS225" s="4">
        <f>CR225+N(CF225)</f>
        <v/>
      </c>
      <c r="CT225" s="3">
        <f>IF(CR225&lt;=TOTAL_MAX,"sí",IF(CR225&lt;=TOTAL_MAX+MARGEN_NEG,"negociar","no"))</f>
        <v/>
      </c>
      <c r="CU225" s="4">
        <f>IF(CT225&lt;&gt;"no",COUNTIFS($CT$2:$CT$545,"&lt;&gt;no",$CL$2:$CL$545,"&gt;"&amp;CL225)+COUNTIFS($CT$2:CT225,"&lt;&gt;no",$CL$2:CL225,CL225),"")</f>
        <v/>
      </c>
    </row>
    <row r="226">
      <c r="A226" s="2" t="inlineStr">
        <is>
          <t>cochesnet:70849377</t>
        </is>
      </c>
      <c r="B226" s="2" t="inlineStr">
        <is>
          <t>cochesnet</t>
        </is>
      </c>
      <c r="C226" s="2" t="inlineStr">
        <is>
          <t>https://www.coches.net/seat-leon-20-fsi-150cv-tiptronic-sport-up-5p-gasolina-2009-en-valencia-70849377-covo.aspx</t>
        </is>
      </c>
      <c r="D226" s="2" t="inlineStr">
        <is>
          <t>SEAT Leon 2.0 FSI Tiptronic Sport Up</t>
        </is>
      </c>
      <c r="E226" s="2" t="inlineStr">
        <is>
          <t>Seat</t>
        </is>
      </c>
      <c r="F226" s="2" t="inlineStr">
        <is>
          <t>Seat León</t>
        </is>
      </c>
      <c r="G226" s="2" t="inlineStr">
        <is>
          <t>2.0 FSI</t>
        </is>
      </c>
      <c r="H226" s="2" t="inlineStr">
        <is>
          <t>2.0 FSI 150cv Tiptronic Sport Up</t>
        </is>
      </c>
      <c r="I226" s="2" t="n"/>
      <c r="J226" s="2" t="n">
        <v>150</v>
      </c>
      <c r="K226" s="2" t="inlineStr">
        <is>
          <t>gasolina</t>
        </is>
      </c>
      <c r="L226" s="2" t="inlineStr">
        <is>
          <t>compacto</t>
        </is>
      </c>
      <c r="M226" s="2" t="n">
        <v>2009</v>
      </c>
      <c r="N226" s="2" t="n">
        <v>157000</v>
      </c>
      <c r="O226" s="2" t="n">
        <v>5200</v>
      </c>
      <c r="P226" s="2" t="inlineStr">
        <is>
          <t>automatico</t>
        </is>
      </c>
      <c r="Q226" s="2" t="inlineStr">
        <is>
          <t>sí</t>
        </is>
      </c>
      <c r="R226" s="2" t="inlineStr">
        <is>
          <t>particular</t>
        </is>
      </c>
      <c r="S226" s="2" t="inlineStr">
        <is>
          <t>Valencia</t>
        </is>
      </c>
      <c r="T226" s="2" t="inlineStr">
        <is>
          <t>2026-09-29T21:37:05Z</t>
        </is>
      </c>
      <c r="U226" s="2" t="n">
        <v>9</v>
      </c>
      <c r="V226" s="2" t="inlineStr">
        <is>
          <t>sí</t>
        </is>
      </c>
      <c r="W226" s="2" t="n"/>
      <c r="X226" s="2" t="n"/>
      <c r="Y226" s="2" t="n">
        <v>1</v>
      </c>
      <c r="Z226" s="2" t="inlineStr">
        <is>
          <t>no</t>
        </is>
      </c>
      <c r="AA226" s="2" t="n"/>
      <c r="AB226" s="2" t="n"/>
      <c r="AC226" s="2" t="n"/>
      <c r="AD226" s="2" t="n"/>
      <c r="AE226" s="2" t="n"/>
      <c r="AF226" s="2" t="n"/>
      <c r="AG226" s="2" t="n"/>
      <c r="AH226" s="2" t="n">
        <v>5200</v>
      </c>
      <c r="AI226" s="2" t="n"/>
      <c r="AJ226" s="2" t="n"/>
      <c r="AK226" s="2" t="n"/>
      <c r="AL226" s="2" t="n"/>
      <c r="AM226" s="2" t="n">
        <v>0.1</v>
      </c>
      <c r="AN226" s="2" t="n"/>
      <c r="AO226" s="2" t="inlineStr">
        <is>
          <t>10/2009</t>
        </is>
      </c>
      <c r="AP226" s="2" t="n">
        <v>2009</v>
      </c>
      <c r="AQ226" s="2" t="n">
        <v>10</v>
      </c>
      <c r="AR226" s="2" t="n"/>
      <c r="AS226" s="2" t="inlineStr">
        <is>
          <t>regla</t>
        </is>
      </c>
      <c r="AT226" s="2" t="n">
        <v>5345</v>
      </c>
      <c r="AU226" s="2" t="n">
        <v>4</v>
      </c>
      <c r="AV226" s="2" t="inlineStr">
        <is>
          <t>modelo+año+km</t>
        </is>
      </c>
      <c r="AW226" s="2" t="n"/>
      <c r="AX226" s="2" t="inlineStr">
        <is>
          <t>cuota fija ITP: &gt;12 años, 1.501-2.000 cc</t>
        </is>
      </c>
      <c r="AY226" s="2" t="inlineStr">
        <is>
          <t>Coche en perfecto estado. Único propietario. ITV pasada con éxito 02.06.2026. Recién pintado.</t>
        </is>
      </c>
      <c r="AZ226" s="2" t="inlineStr">
        <is>
          <t>https://www.coches.net/seat-leon-20-fsi-150cv-tiptronic-sport-up-5p-gasolina-2009-en-valencia-70849377-covo.aspx (window.__INITIAL_PROPS__.ad) /home/user/Alopecia/buscador-coches/raw/cochesnet/5ea1c4a31f500385.json</t>
        </is>
      </c>
      <c r="BA226" s="3">
        <f>MAX(ANIO_ACTUAL-M226,0)</f>
        <v/>
      </c>
      <c r="BB226" s="4">
        <f>N226/MAX(BA226,0.5)</f>
        <v/>
      </c>
      <c r="BC226" s="4">
        <f>F226</f>
        <v/>
      </c>
      <c r="BD226" s="3">
        <f>BC226&amp;"|"&amp;INT(M226/SEG_ANIO)*SEG_ANIO</f>
        <v/>
      </c>
      <c r="BE226" s="3">
        <f>BD226&amp;"|"&amp;INT(N226/SEG_KM)*SEG_KM</f>
        <v/>
      </c>
      <c r="BF226" s="4">
        <f>COUNTIF($BC$2:$BC$545,BC226)</f>
        <v/>
      </c>
      <c r="BG226" s="4">
        <f>COUNTIF($BD$2:$BD$545,BD226)</f>
        <v/>
      </c>
      <c r="BH226" s="4">
        <f>COUNTIF($BE$2:$BE$545,BE226)</f>
        <v/>
      </c>
      <c r="BI226" s="3">
        <f t="array" ref="BI226">IF(N(AU226)&gt;=MIN_N,AT226,IF(BH226&gt;=MIN_N,MEDIAN(IF($BE$2:$BE$545=BE226,$O$2:$O$545)),IF(BG226&gt;=MIN_N,MEDIAN(IF($BD$2:$BD$545=BD226,$O$2:$O$545)),MEDIAN(IF($BC$2:$BC$545=BC226,$O$2:$O$545)))))</f>
        <v/>
      </c>
      <c r="BJ226" s="3">
        <f>IF(N(AU226)&gt;=MIN_N,"mercado "&amp;AV226,IF(BH226&gt;=MIN_N,"modelo+año+km",IF(BG226&gt;=MIN_N,"modelo+año","modelo")))</f>
        <v/>
      </c>
      <c r="BK226" s="4">
        <f>(BI226-O226)/BI226</f>
        <v/>
      </c>
      <c r="BL226" s="3">
        <f>IF(COUNTIFS(FR_FUEL,K226,FR_YEAR,AP226)&gt;0,1,0)</f>
        <v/>
      </c>
      <c r="BM226" s="3">
        <f>IF(COUNTIFS(FR_FUEL,K226,FR_YEAR,AP226-1)&gt;0,1,0)</f>
        <v/>
      </c>
      <c r="BN226" s="4">
        <f>IF(N(AQ226)&gt;0,AP226*100+AQ226,IF(AND(BL226=1,BM226=1),(AP226-1)*100+1,AP226*100+1))</f>
        <v/>
      </c>
      <c r="BO226" s="3">
        <f>IF(OR(K226="hibrido",K226="glp",K226="gnc",K226="phev"),"ECO",IF(K226="electrico","CERO",IF(K226="gasolina",IF(BN226&gt;=GAS_C_YM,"C",IF(BN226&gt;=GAS_B_YM,"B","A")),IF(K226="diesel",IF(BN226&gt;=DIE_C_YM,"C",IF(BN226&gt;=DIE_B_YM,"B","A")),""))))</f>
        <v/>
      </c>
      <c r="BP226" s="4">
        <f>BO226</f>
        <v/>
      </c>
      <c r="BQ226" s="4">
        <f>IF(AS226="regla",IF(AND(N(AQ226)=0,BL226=1),"sí","no"),"no")</f>
        <v/>
      </c>
      <c r="BR226" s="3">
        <f>IFERROR(VLOOKUP(F226,MOD_TBL,11,0),IFERROR(VLOOKUP(E226,OCU_TBL,2,0),NEUTRO))</f>
        <v/>
      </c>
      <c r="BS226" s="3">
        <f>SUMIFS(MOT_AJUSTE,MOT_MOTOR,G226,MOT_MARCA,E226,MOT_DESDE,"&lt;="&amp;M226,MOT_HASTA,"&gt;="&amp;M226)+SUMIFS(MOT_AJUSTE,MOT_MOTOR,G226,MOT_MARCA,"(todas)",MOT_DESDE,"&lt;="&amp;M226,MOT_HASTA,"&gt;="&amp;M226)</f>
        <v/>
      </c>
      <c r="BT226" s="3">
        <f>SUMIFS(COMB_AJUSTE,COMB_COMB,K226)</f>
        <v/>
      </c>
      <c r="BU226" s="3">
        <f>COUNTIFS(MOT_MOTOR,G226,MOT_MARCA,E226,MOT_DESDE,"&lt;="&amp;M226,MOT_HASTA,"&gt;="&amp;M226)+COUNTIFS(MOT_MOTOR,G226,MOT_MARCA,"(todas)",MOT_DESDE,"&lt;="&amp;M226,MOT_HASTA,"&gt;="&amp;M226)</f>
        <v/>
      </c>
      <c r="BV226" s="3">
        <f>IF(AND(K226="diesel",BU226=0),MIN(BR226,NEUTRO),BR226)</f>
        <v/>
      </c>
      <c r="BW226" s="4">
        <f>MAX(0,MIN(100,BV226+BS226+BT226))</f>
        <v/>
      </c>
      <c r="BX226" s="3">
        <f>MAX(0,MIN(100,50+BK226*PRECIO_PEND))</f>
        <v/>
      </c>
      <c r="BY226" s="3">
        <f>MAX(0,100*(1-N226/KM_MAX))</f>
        <v/>
      </c>
      <c r="BZ226" s="3">
        <f>IF(BB226&lt;KMA_SOSP,IF(AA226="sí",100,KMA_PEN),IF(BB226&lt;=KMA_IDEAL_MAX,100,MAX(0,100*(KMA_CERO-BB226)/(KMA_CERO-KMA_IDEAL_MAX))))</f>
        <v/>
      </c>
      <c r="CA226" s="3">
        <f>MAX(0,MIN(100,100*(M226-ANIO_MIN)/(ANIO_ACTUAL-ANIO_MIN)))</f>
        <v/>
      </c>
      <c r="CB226" s="3">
        <f>W_KMT*BY226+W_KMA*BZ226+W_EDAD*CA226</f>
        <v/>
      </c>
      <c r="CC226" s="3">
        <f>P_ITV*(V226="sí")+P_LIBRO*(W226="sí")+P_CORREA*(X226="sí")+P_PROP*(Y226=1)+P_GAR*(Z226="sí")+P_FOTOS*MIN(1,N(U226)/FOTOS_OBJ)</f>
        <v/>
      </c>
      <c r="CD226" s="3">
        <f>MAX(0,MIN(100,IFERROR(VLOOKUP(BP226,ETQ_TBL,2,0),0)-IF(BQ226="sí",ETQ_PEN_DUD,IF(AS226="regla",ETQ_PEN_REGLA,0))))</f>
        <v/>
      </c>
      <c r="CE226" s="3">
        <f>NEUTRO</f>
        <v/>
      </c>
      <c r="CF226" s="3">
        <f>IFERROR(VLOOKUP(L226,SEGURO_TBL,3,0),"")</f>
        <v/>
      </c>
      <c r="CG226" s="3">
        <f>IF(CF226="",NEUTRO,MAX(0,MIN(100,100*(SEG_REF_MAX-CF226)/(SEG_REF_MAX-SEG_REF_MIN))))</f>
        <v/>
      </c>
      <c r="CH226" s="3">
        <f>W_CONS*CE226+W_SEG*CG226</f>
        <v/>
      </c>
      <c r="CI226" s="3">
        <f>IF(N(AB226)&gt;0,AB226,IF(AND(R226="profesional",SG_LEGAL_ON=1),GAR_LEGAL,0))</f>
        <v/>
      </c>
      <c r="CJ226" s="3">
        <f>SG_GAR*MIN(1,CI226/SG_GAR_FULL)+SG_AMPL*(AC226="sí")+SG_KMC*(AF226="sí")+SG_REV*(N(AE226)&gt;0)+SG_DEV*MIN(1,N(AG226)/SG_DEV_FULL)+SG_HIST*(W226="sí")</f>
        <v/>
      </c>
      <c r="CK226" s="3">
        <f>IFERROR(VLOOKUP(L226,CARR_PEN_TBL,2,0),0)</f>
        <v/>
      </c>
      <c r="CL226" s="3">
        <f>W_FIAB*BW226+W_PRECIO*BX226+W_KMEDAD*CB226+W_ANUNCIO*CC226+W_USO*CH226+W_SEGURIDAD*CJ226+W_ETIQUETA*CD226-CK226</f>
        <v/>
      </c>
      <c r="CM226" s="4">
        <f>IF(N(I226)&gt;0,I226,IFERROR(ROUND(_xlfn.NUMBERVALUE(LEFT(G226,FIND(" ",G226&amp;" ")-1),".")*1000,0),99999))</f>
        <v/>
      </c>
      <c r="CN226" s="3">
        <f>IF(R226="profesional",0,IF(O226&lt;CUOTA_VALOR_MAX,IF(BA226&gt;ITP_TRAMO_ALTO,SUMIFS(CF_CUOTA,CF_MAS,ITP_TRAMO_ALTO,CF_CCMIN,"&lt;="&amp;CM226,CF_CCMAX,"&gt;="&amp;CM226),IF(BA226&gt;ITP_TRAMO_BAJO,SUMIFS(CF_CUOTA,CF_MAS,ITP_TRAMO_BAJO,CF_CCMIN,"&lt;="&amp;CM226,CF_CCMAX,"&gt;="&amp;CM226),O226*ITP_TIPO)),O226*ITP_TIPO))</f>
        <v/>
      </c>
      <c r="CO226" s="4">
        <f>IF(R226="profesional",N(AK226),0)</f>
        <v/>
      </c>
      <c r="CP226" s="3">
        <f>IF(AND(R226="profesional",ISNUMBER(AK226),AL226="sí"),0,TASA_DGT)</f>
        <v/>
      </c>
      <c r="CQ226" s="3">
        <f>INFORME_DGT</f>
        <v/>
      </c>
      <c r="CR226" s="4">
        <f>O226+CO226+CN226+CP226+CQ226</f>
        <v/>
      </c>
      <c r="CS226" s="4">
        <f>CR226+N(CF226)</f>
        <v/>
      </c>
      <c r="CT226" s="3">
        <f>IF(CR226&lt;=TOTAL_MAX,"sí",IF(CR226&lt;=TOTAL_MAX+MARGEN_NEG,"negociar","no"))</f>
        <v/>
      </c>
      <c r="CU226" s="4">
        <f>IF(CT226&lt;&gt;"no",COUNTIFS($CT$2:$CT$545,"&lt;&gt;no",$CL$2:$CL$545,"&gt;"&amp;CL226)+COUNTIFS($CT$2:CT226,"&lt;&gt;no",$CL$2:CL226,CL226),"")</f>
        <v/>
      </c>
    </row>
    <row r="227">
      <c r="A227" s="2" t="inlineStr">
        <is>
          <t>cochesnet:71667405</t>
        </is>
      </c>
      <c r="B227" s="2" t="inlineStr">
        <is>
          <t>cochesnet</t>
        </is>
      </c>
      <c r="C227" s="2" t="inlineStr">
        <is>
          <t>https://www.coches.net/seat-leon-diesel-2011-en-valencia-71667405-covo.aspx</t>
        </is>
      </c>
      <c r="D227" s="2" t="inlineStr">
        <is>
          <t>SEAT Leon</t>
        </is>
      </c>
      <c r="E227" s="2" t="inlineStr">
        <is>
          <t>Seat</t>
        </is>
      </c>
      <c r="F227" s="2" t="inlineStr">
        <is>
          <t>Seat León</t>
        </is>
      </c>
      <c r="G227" s="2" t="n"/>
      <c r="H227" s="2" t="n"/>
      <c r="I227" s="2" t="n"/>
      <c r="J227" s="2" t="n"/>
      <c r="K227" s="2" t="inlineStr">
        <is>
          <t>diesel</t>
        </is>
      </c>
      <c r="L227" s="2" t="inlineStr">
        <is>
          <t>compacto</t>
        </is>
      </c>
      <c r="M227" s="2" t="n">
        <v>2011</v>
      </c>
      <c r="N227" s="2" t="n">
        <v>158646</v>
      </c>
      <c r="O227" s="2" t="n">
        <v>5100</v>
      </c>
      <c r="P227" s="2" t="inlineStr">
        <is>
          <t>manual</t>
        </is>
      </c>
      <c r="Q227" s="2" t="inlineStr">
        <is>
          <t>no</t>
        </is>
      </c>
      <c r="R227" s="2" t="inlineStr">
        <is>
          <t>particular</t>
        </is>
      </c>
      <c r="S227" s="2" t="n"/>
      <c r="T227" s="2" t="inlineStr">
        <is>
          <t>2026-10-03T23:41:58Z</t>
        </is>
      </c>
      <c r="U227" s="2" t="n">
        <v>5</v>
      </c>
      <c r="V227" s="2" t="n"/>
      <c r="W227" s="2" t="inlineStr">
        <is>
          <t>sí</t>
        </is>
      </c>
      <c r="X227" s="2" t="n"/>
      <c r="Y227" s="2" t="n"/>
      <c r="Z227" s="2" t="inlineStr">
        <is>
          <t>no</t>
        </is>
      </c>
      <c r="AA227" s="2" t="n"/>
      <c r="AB227" s="2" t="n"/>
      <c r="AC227" s="2" t="n"/>
      <c r="AD227" s="2" t="n"/>
      <c r="AE227" s="2" t="n"/>
      <c r="AF227" s="2" t="n"/>
      <c r="AG227" s="2" t="n"/>
      <c r="AH227" s="2" t="n">
        <v>5100</v>
      </c>
      <c r="AI227" s="2" t="n"/>
      <c r="AJ227" s="2" t="n"/>
      <c r="AK227" s="2" t="n"/>
      <c r="AL227" s="2" t="n"/>
      <c r="AM227" s="2" t="n"/>
      <c r="AN227" s="2" t="n"/>
      <c r="AO227" s="2" t="inlineStr">
        <is>
          <t>2011</t>
        </is>
      </c>
      <c r="AP227" s="2" t="n">
        <v>2011</v>
      </c>
      <c r="AQ227" s="2" t="n"/>
      <c r="AR227" s="2" t="n"/>
      <c r="AS227" s="2" t="inlineStr">
        <is>
          <t>regla</t>
        </is>
      </c>
      <c r="AT227" s="2" t="n">
        <v>5300</v>
      </c>
      <c r="AU227" s="2" t="n">
        <v>5</v>
      </c>
      <c r="AV227" s="2" t="inlineStr">
        <is>
          <t>modelo+año+km</t>
        </is>
      </c>
      <c r="AW227" s="2" t="n"/>
      <c r="AX227"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227" s="2" t="inlineStr">
        <is>
          <t xml:space="preserve">se vebde un seat leon del 2011 1.6 tdi una bestia mantenimiento al día ITV todo el día, esta actual en ibiza mas infora por fa al wasp  
gracias </t>
        </is>
      </c>
      <c r="AZ227" s="2" t="inlineStr">
        <is>
          <t>https://www.coches.net/seat-leon-diesel-2011-en-valencia-71667405-covo.aspx (window.__INITIAL_PROPS__.ad) /home/user/Alopecia/buscador-coches/raw/cochesnet/19ee857abd4a0702.json</t>
        </is>
      </c>
      <c r="BA227" s="3">
        <f>MAX(ANIO_ACTUAL-M227,0)</f>
        <v/>
      </c>
      <c r="BB227" s="4">
        <f>N227/MAX(BA227,0.5)</f>
        <v/>
      </c>
      <c r="BC227" s="4">
        <f>F227</f>
        <v/>
      </c>
      <c r="BD227" s="3">
        <f>BC227&amp;"|"&amp;INT(M227/SEG_ANIO)*SEG_ANIO</f>
        <v/>
      </c>
      <c r="BE227" s="3">
        <f>BD227&amp;"|"&amp;INT(N227/SEG_KM)*SEG_KM</f>
        <v/>
      </c>
      <c r="BF227" s="4">
        <f>COUNTIF($BC$2:$BC$545,BC227)</f>
        <v/>
      </c>
      <c r="BG227" s="4">
        <f>COUNTIF($BD$2:$BD$545,BD227)</f>
        <v/>
      </c>
      <c r="BH227" s="4">
        <f>COUNTIF($BE$2:$BE$545,BE227)</f>
        <v/>
      </c>
      <c r="BI227" s="3">
        <f t="array" ref="BI227">IF(N(AU227)&gt;=MIN_N,AT227,IF(BH227&gt;=MIN_N,MEDIAN(IF($BE$2:$BE$545=BE227,$O$2:$O$545)),IF(BG227&gt;=MIN_N,MEDIAN(IF($BD$2:$BD$545=BD227,$O$2:$O$545)),MEDIAN(IF($BC$2:$BC$545=BC227,$O$2:$O$545)))))</f>
        <v/>
      </c>
      <c r="BJ227" s="3">
        <f>IF(N(AU227)&gt;=MIN_N,"mercado "&amp;AV227,IF(BH227&gt;=MIN_N,"modelo+año+km",IF(BG227&gt;=MIN_N,"modelo+año","modelo")))</f>
        <v/>
      </c>
      <c r="BK227" s="4">
        <f>(BI227-O227)/BI227</f>
        <v/>
      </c>
      <c r="BL227" s="3">
        <f>IF(COUNTIFS(FR_FUEL,K227,FR_YEAR,AP227)&gt;0,1,0)</f>
        <v/>
      </c>
      <c r="BM227" s="3">
        <f>IF(COUNTIFS(FR_FUEL,K227,FR_YEAR,AP227-1)&gt;0,1,0)</f>
        <v/>
      </c>
      <c r="BN227" s="4">
        <f>IF(N(AQ227)&gt;0,AP227*100+AQ227,IF(AND(BL227=1,BM227=1),(AP227-1)*100+1,AP227*100+1))</f>
        <v/>
      </c>
      <c r="BO227" s="3">
        <f>IF(OR(K227="hibrido",K227="glp",K227="gnc",K227="phev"),"ECO",IF(K227="electrico","CERO",IF(K227="gasolina",IF(BN227&gt;=GAS_C_YM,"C",IF(BN227&gt;=GAS_B_YM,"B","A")),IF(K227="diesel",IF(BN227&gt;=DIE_C_YM,"C",IF(BN227&gt;=DIE_B_YM,"B","A")),""))))</f>
        <v/>
      </c>
      <c r="BP227" s="4">
        <f>BO227</f>
        <v/>
      </c>
      <c r="BQ227" s="4">
        <f>IF(AS227="regla",IF(AND(N(AQ227)=0,BL227=1),"sí","no"),"no")</f>
        <v/>
      </c>
      <c r="BR227" s="3">
        <f>IFERROR(VLOOKUP(F227,MOD_TBL,11,0),IFERROR(VLOOKUP(E227,OCU_TBL,2,0),NEUTRO))</f>
        <v/>
      </c>
      <c r="BS227" s="3">
        <f>SUMIFS(MOT_AJUSTE,MOT_MOTOR,G227,MOT_MARCA,E227,MOT_DESDE,"&lt;="&amp;M227,MOT_HASTA,"&gt;="&amp;M227)+SUMIFS(MOT_AJUSTE,MOT_MOTOR,G227,MOT_MARCA,"(todas)",MOT_DESDE,"&lt;="&amp;M227,MOT_HASTA,"&gt;="&amp;M227)</f>
        <v/>
      </c>
      <c r="BT227" s="3">
        <f>SUMIFS(COMB_AJUSTE,COMB_COMB,K227)</f>
        <v/>
      </c>
      <c r="BU227" s="3">
        <f>COUNTIFS(MOT_MOTOR,G227,MOT_MARCA,E227,MOT_DESDE,"&lt;="&amp;M227,MOT_HASTA,"&gt;="&amp;M227)+COUNTIFS(MOT_MOTOR,G227,MOT_MARCA,"(todas)",MOT_DESDE,"&lt;="&amp;M227,MOT_HASTA,"&gt;="&amp;M227)</f>
        <v/>
      </c>
      <c r="BV227" s="3">
        <f>IF(AND(K227="diesel",BU227=0),MIN(BR227,NEUTRO),BR227)</f>
        <v/>
      </c>
      <c r="BW227" s="4">
        <f>MAX(0,MIN(100,BV227+BS227+BT227))</f>
        <v/>
      </c>
      <c r="BX227" s="3">
        <f>MAX(0,MIN(100,50+BK227*PRECIO_PEND))</f>
        <v/>
      </c>
      <c r="BY227" s="3">
        <f>MAX(0,100*(1-N227/KM_MAX))</f>
        <v/>
      </c>
      <c r="BZ227" s="3">
        <f>IF(BB227&lt;KMA_SOSP,IF(AA227="sí",100,KMA_PEN),IF(BB227&lt;=KMA_IDEAL_MAX,100,MAX(0,100*(KMA_CERO-BB227)/(KMA_CERO-KMA_IDEAL_MAX))))</f>
        <v/>
      </c>
      <c r="CA227" s="3">
        <f>MAX(0,MIN(100,100*(M227-ANIO_MIN)/(ANIO_ACTUAL-ANIO_MIN)))</f>
        <v/>
      </c>
      <c r="CB227" s="3">
        <f>W_KMT*BY227+W_KMA*BZ227+W_EDAD*CA227</f>
        <v/>
      </c>
      <c r="CC227" s="3">
        <f>P_ITV*(V227="sí")+P_LIBRO*(W227="sí")+P_CORREA*(X227="sí")+P_PROP*(Y227=1)+P_GAR*(Z227="sí")+P_FOTOS*MIN(1,N(U227)/FOTOS_OBJ)</f>
        <v/>
      </c>
      <c r="CD227" s="3">
        <f>MAX(0,MIN(100,IFERROR(VLOOKUP(BP227,ETQ_TBL,2,0),0)-IF(BQ227="sí",ETQ_PEN_DUD,IF(AS227="regla",ETQ_PEN_REGLA,0))))</f>
        <v/>
      </c>
      <c r="CE227" s="3">
        <f>NEUTRO</f>
        <v/>
      </c>
      <c r="CF227" s="3">
        <f>IFERROR(VLOOKUP(L227,SEGURO_TBL,3,0),"")</f>
        <v/>
      </c>
      <c r="CG227" s="3">
        <f>IF(CF227="",NEUTRO,MAX(0,MIN(100,100*(SEG_REF_MAX-CF227)/(SEG_REF_MAX-SEG_REF_MIN))))</f>
        <v/>
      </c>
      <c r="CH227" s="3">
        <f>W_CONS*CE227+W_SEG*CG227</f>
        <v/>
      </c>
      <c r="CI227" s="3">
        <f>IF(N(AB227)&gt;0,AB227,IF(AND(R227="profesional",SG_LEGAL_ON=1),GAR_LEGAL,0))</f>
        <v/>
      </c>
      <c r="CJ227" s="3">
        <f>SG_GAR*MIN(1,CI227/SG_GAR_FULL)+SG_AMPL*(AC227="sí")+SG_KMC*(AF227="sí")+SG_REV*(N(AE227)&gt;0)+SG_DEV*MIN(1,N(AG227)/SG_DEV_FULL)+SG_HIST*(W227="sí")</f>
        <v/>
      </c>
      <c r="CK227" s="3">
        <f>IFERROR(VLOOKUP(L227,CARR_PEN_TBL,2,0),0)</f>
        <v/>
      </c>
      <c r="CL227" s="3">
        <f>W_FIAB*BW227+W_PRECIO*BX227+W_KMEDAD*CB227+W_ANUNCIO*CC227+W_USO*CH227+W_SEGURIDAD*CJ227+W_ETIQUETA*CD227-CK227</f>
        <v/>
      </c>
      <c r="CM227" s="4">
        <f>IF(N(I227)&gt;0,I227,IFERROR(ROUND(_xlfn.NUMBERVALUE(LEFT(G227,FIND(" ",G227&amp;" ")-1),".")*1000,0),99999))</f>
        <v/>
      </c>
      <c r="CN227" s="3">
        <f>IF(R227="profesional",0,IF(O227&lt;CUOTA_VALOR_MAX,IF(BA227&gt;ITP_TRAMO_ALTO,SUMIFS(CF_CUOTA,CF_MAS,ITP_TRAMO_ALTO,CF_CCMIN,"&lt;="&amp;CM227,CF_CCMAX,"&gt;="&amp;CM227),IF(BA227&gt;ITP_TRAMO_BAJO,SUMIFS(CF_CUOTA,CF_MAS,ITP_TRAMO_BAJO,CF_CCMIN,"&lt;="&amp;CM227,CF_CCMAX,"&gt;="&amp;CM227),O227*ITP_TIPO)),O227*ITP_TIPO))</f>
        <v/>
      </c>
      <c r="CO227" s="4">
        <f>IF(R227="profesional",N(AK227),0)</f>
        <v/>
      </c>
      <c r="CP227" s="3">
        <f>IF(AND(R227="profesional",ISNUMBER(AK227),AL227="sí"),0,TASA_DGT)</f>
        <v/>
      </c>
      <c r="CQ227" s="3">
        <f>INFORME_DGT</f>
        <v/>
      </c>
      <c r="CR227" s="4">
        <f>O227+CO227+CN227+CP227+CQ227</f>
        <v/>
      </c>
      <c r="CS227" s="4">
        <f>CR227+N(CF227)</f>
        <v/>
      </c>
      <c r="CT227" s="3">
        <f>IF(CR227&lt;=TOTAL_MAX,"sí",IF(CR227&lt;=TOTAL_MAX+MARGEN_NEG,"negociar","no"))</f>
        <v/>
      </c>
      <c r="CU227" s="4">
        <f>IF(CT227&lt;&gt;"no",COUNTIFS($CT$2:$CT$545,"&lt;&gt;no",$CL$2:$CL$545,"&gt;"&amp;CL227)+COUNTIFS($CT$2:CT227,"&lt;&gt;no",$CL$2:CL227,CL227),"")</f>
        <v/>
      </c>
    </row>
    <row r="228">
      <c r="A228" s="2" t="inlineStr">
        <is>
          <t>cochesnet:71615876</t>
        </is>
      </c>
      <c r="B228" s="2" t="inlineStr">
        <is>
          <t>cochesnet</t>
        </is>
      </c>
      <c r="C228" s="2" t="inlineStr">
        <is>
          <t>https://www.coches.net/seat-leon-diesel-2008-en-valencia-71615876-covo.aspx</t>
        </is>
      </c>
      <c r="D228" s="2" t="inlineStr">
        <is>
          <t>SEAT Leon</t>
        </is>
      </c>
      <c r="E228" s="2" t="inlineStr">
        <is>
          <t>Seat</t>
        </is>
      </c>
      <c r="F228" s="2" t="inlineStr">
        <is>
          <t>Seat León</t>
        </is>
      </c>
      <c r="G228" s="2" t="n"/>
      <c r="H228" s="2" t="n"/>
      <c r="I228" s="2" t="n"/>
      <c r="J228" s="2" t="n"/>
      <c r="K228" s="2" t="inlineStr">
        <is>
          <t>diesel</t>
        </is>
      </c>
      <c r="L228" s="2" t="inlineStr">
        <is>
          <t>compacto</t>
        </is>
      </c>
      <c r="M228" s="2" t="n">
        <v>2008</v>
      </c>
      <c r="N228" s="2" t="n">
        <v>215000</v>
      </c>
      <c r="O228" s="2" t="n">
        <v>4900</v>
      </c>
      <c r="P228" s="2" t="inlineStr">
        <is>
          <t>manual</t>
        </is>
      </c>
      <c r="Q228" s="2" t="inlineStr">
        <is>
          <t>no</t>
        </is>
      </c>
      <c r="R228" s="2" t="inlineStr">
        <is>
          <t>particular</t>
        </is>
      </c>
      <c r="S228" s="2" t="inlineStr">
        <is>
          <t>Valencia</t>
        </is>
      </c>
      <c r="T228" s="2" t="inlineStr">
        <is>
          <t>2026-09-28T13:04:02Z</t>
        </is>
      </c>
      <c r="U228" s="2" t="n">
        <v>9</v>
      </c>
      <c r="V228" s="2" t="inlineStr">
        <is>
          <t>sí</t>
        </is>
      </c>
      <c r="W228" s="2" t="n"/>
      <c r="X228" s="2" t="n"/>
      <c r="Y228" s="2" t="n"/>
      <c r="Z228" s="2" t="inlineStr">
        <is>
          <t>no</t>
        </is>
      </c>
      <c r="AA228" s="2" t="n"/>
      <c r="AB228" s="2" t="n"/>
      <c r="AC228" s="2" t="n"/>
      <c r="AD228" s="2" t="n"/>
      <c r="AE228" s="2" t="n"/>
      <c r="AF228" s="2" t="n"/>
      <c r="AG228" s="2" t="n"/>
      <c r="AH228" s="2" t="n">
        <v>4900</v>
      </c>
      <c r="AI228" s="2" t="n"/>
      <c r="AJ228" s="2" t="n"/>
      <c r="AK228" s="2" t="n"/>
      <c r="AL228" s="2" t="n"/>
      <c r="AM228" s="2" t="n">
        <v>0.1</v>
      </c>
      <c r="AN228" s="2" t="n"/>
      <c r="AO228" s="2" t="inlineStr">
        <is>
          <t>2008</t>
        </is>
      </c>
      <c r="AP228" s="2" t="n">
        <v>2008</v>
      </c>
      <c r="AQ228" s="2" t="n"/>
      <c r="AR228" s="2" t="n"/>
      <c r="AS228" s="2" t="inlineStr">
        <is>
          <t>regla</t>
        </is>
      </c>
      <c r="AT228" s="2" t="n">
        <v>4500</v>
      </c>
      <c r="AU228" s="2" t="n">
        <v>10</v>
      </c>
      <c r="AV228" s="2" t="inlineStr">
        <is>
          <t>modelo+año+km</t>
        </is>
      </c>
      <c r="AW228" s="2" t="n"/>
      <c r="AX228" s="2" t="inlineStr">
        <is>
          <t>por encima del presupuesto (5104 €), negociar; cilindrada desconocida: se aplica el tramo de cuota fija más alto; cuota fija ITP: &gt;12 años, más de 2.000 cc; diésel: motor sin fuente de fiabilidad (fiabilidad limitada a neutra)</t>
        </is>
      </c>
      <c r="AY228" s="2" t="inlineStr">
        <is>
          <t>Vendo Seat Leon 1.9 TDI, año 2008, buen estado-
 ITV recién pasada, válida hasta el 17/09/2027
Año de fabricación: 2008
Kilometraje: 215 000 km
Cilindrada: 1.896 cm³
Potencia: 77 kW (104 CV)
Combustible: diésel
Estado: bueno
Caja de cambios: manual de 5 velocidades
Carrocería: hatchback
Color: gris metalizado
Equipamiento y sistemas de seguridad:
* 6 airbags
* ABS
* ESP
Sistemas de seguridad del vehículo:
* Inmovilizador
* Cierre centralizado
* Cierre centralizado con mando a distancia
Equipamiento interior y confort:
* Climatizador bizona
* Elevalunas eléctricos delanteros
* Retrovisores eléctricos
* Volante multifunción
* Volante regulable
* Termómetro exterior
* Retrovisores calefactables
Sistemas multimedia y de a bordo:
* Radio original
* Bluetooth
* Reproductor de CD
* USB
* Ordenador de a bordo
Asientos:
* Asiento del conductor regulable en altura
* ITV recién pasada, válida hasta el 17/09/2027.
* 2 llaves.
Por favor, contacten por WhatsApp</t>
        </is>
      </c>
      <c r="AZ228" s="2" t="inlineStr">
        <is>
          <t>https://www.coches.net/seat-leon-diesel-2008-en-valencia-71615876-covo.aspx (window.__INITIAL_PROPS__.ad) /home/user/Alopecia/buscador-coches/raw/cochesnet/8d559c54762ba194.json</t>
        </is>
      </c>
      <c r="BA228" s="3">
        <f>MAX(ANIO_ACTUAL-M228,0)</f>
        <v/>
      </c>
      <c r="BB228" s="4">
        <f>N228/MAX(BA228,0.5)</f>
        <v/>
      </c>
      <c r="BC228" s="4">
        <f>F228</f>
        <v/>
      </c>
      <c r="BD228" s="3">
        <f>BC228&amp;"|"&amp;INT(M228/SEG_ANIO)*SEG_ANIO</f>
        <v/>
      </c>
      <c r="BE228" s="3">
        <f>BD228&amp;"|"&amp;INT(N228/SEG_KM)*SEG_KM</f>
        <v/>
      </c>
      <c r="BF228" s="4">
        <f>COUNTIF($BC$2:$BC$545,BC228)</f>
        <v/>
      </c>
      <c r="BG228" s="4">
        <f>COUNTIF($BD$2:$BD$545,BD228)</f>
        <v/>
      </c>
      <c r="BH228" s="4">
        <f>COUNTIF($BE$2:$BE$545,BE228)</f>
        <v/>
      </c>
      <c r="BI228" s="3">
        <f t="array" ref="BI228">IF(N(AU228)&gt;=MIN_N,AT228,IF(BH228&gt;=MIN_N,MEDIAN(IF($BE$2:$BE$545=BE228,$O$2:$O$545)),IF(BG228&gt;=MIN_N,MEDIAN(IF($BD$2:$BD$545=BD228,$O$2:$O$545)),MEDIAN(IF($BC$2:$BC$545=BC228,$O$2:$O$545)))))</f>
        <v/>
      </c>
      <c r="BJ228" s="3">
        <f>IF(N(AU228)&gt;=MIN_N,"mercado "&amp;AV228,IF(BH228&gt;=MIN_N,"modelo+año+km",IF(BG228&gt;=MIN_N,"modelo+año","modelo")))</f>
        <v/>
      </c>
      <c r="BK228" s="4">
        <f>(BI228-O228)/BI228</f>
        <v/>
      </c>
      <c r="BL228" s="3">
        <f>IF(COUNTIFS(FR_FUEL,K228,FR_YEAR,AP228)&gt;0,1,0)</f>
        <v/>
      </c>
      <c r="BM228" s="3">
        <f>IF(COUNTIFS(FR_FUEL,K228,FR_YEAR,AP228-1)&gt;0,1,0)</f>
        <v/>
      </c>
      <c r="BN228" s="4">
        <f>IF(N(AQ228)&gt;0,AP228*100+AQ228,IF(AND(BL228=1,BM228=1),(AP228-1)*100+1,AP228*100+1))</f>
        <v/>
      </c>
      <c r="BO228" s="3">
        <f>IF(OR(K228="hibrido",K228="glp",K228="gnc",K228="phev"),"ECO",IF(K228="electrico","CERO",IF(K228="gasolina",IF(BN228&gt;=GAS_C_YM,"C",IF(BN228&gt;=GAS_B_YM,"B","A")),IF(K228="diesel",IF(BN228&gt;=DIE_C_YM,"C",IF(BN228&gt;=DIE_B_YM,"B","A")),""))))</f>
        <v/>
      </c>
      <c r="BP228" s="4">
        <f>BO228</f>
        <v/>
      </c>
      <c r="BQ228" s="4">
        <f>IF(AS228="regla",IF(AND(N(AQ228)=0,BL228=1),"sí","no"),"no")</f>
        <v/>
      </c>
      <c r="BR228" s="3">
        <f>IFERROR(VLOOKUP(F228,MOD_TBL,11,0),IFERROR(VLOOKUP(E228,OCU_TBL,2,0),NEUTRO))</f>
        <v/>
      </c>
      <c r="BS228" s="3">
        <f>SUMIFS(MOT_AJUSTE,MOT_MOTOR,G228,MOT_MARCA,E228,MOT_DESDE,"&lt;="&amp;M228,MOT_HASTA,"&gt;="&amp;M228)+SUMIFS(MOT_AJUSTE,MOT_MOTOR,G228,MOT_MARCA,"(todas)",MOT_DESDE,"&lt;="&amp;M228,MOT_HASTA,"&gt;="&amp;M228)</f>
        <v/>
      </c>
      <c r="BT228" s="3">
        <f>SUMIFS(COMB_AJUSTE,COMB_COMB,K228)</f>
        <v/>
      </c>
      <c r="BU228" s="3">
        <f>COUNTIFS(MOT_MOTOR,G228,MOT_MARCA,E228,MOT_DESDE,"&lt;="&amp;M228,MOT_HASTA,"&gt;="&amp;M228)+COUNTIFS(MOT_MOTOR,G228,MOT_MARCA,"(todas)",MOT_DESDE,"&lt;="&amp;M228,MOT_HASTA,"&gt;="&amp;M228)</f>
        <v/>
      </c>
      <c r="BV228" s="3">
        <f>IF(AND(K228="diesel",BU228=0),MIN(BR228,NEUTRO),BR228)</f>
        <v/>
      </c>
      <c r="BW228" s="4">
        <f>MAX(0,MIN(100,BV228+BS228+BT228))</f>
        <v/>
      </c>
      <c r="BX228" s="3">
        <f>MAX(0,MIN(100,50+BK228*PRECIO_PEND))</f>
        <v/>
      </c>
      <c r="BY228" s="3">
        <f>MAX(0,100*(1-N228/KM_MAX))</f>
        <v/>
      </c>
      <c r="BZ228" s="3">
        <f>IF(BB228&lt;KMA_SOSP,IF(AA228="sí",100,KMA_PEN),IF(BB228&lt;=KMA_IDEAL_MAX,100,MAX(0,100*(KMA_CERO-BB228)/(KMA_CERO-KMA_IDEAL_MAX))))</f>
        <v/>
      </c>
      <c r="CA228" s="3">
        <f>MAX(0,MIN(100,100*(M228-ANIO_MIN)/(ANIO_ACTUAL-ANIO_MIN)))</f>
        <v/>
      </c>
      <c r="CB228" s="3">
        <f>W_KMT*BY228+W_KMA*BZ228+W_EDAD*CA228</f>
        <v/>
      </c>
      <c r="CC228" s="3">
        <f>P_ITV*(V228="sí")+P_LIBRO*(W228="sí")+P_CORREA*(X228="sí")+P_PROP*(Y228=1)+P_GAR*(Z228="sí")+P_FOTOS*MIN(1,N(U228)/FOTOS_OBJ)</f>
        <v/>
      </c>
      <c r="CD228" s="3">
        <f>MAX(0,MIN(100,IFERROR(VLOOKUP(BP228,ETQ_TBL,2,0),0)-IF(BQ228="sí",ETQ_PEN_DUD,IF(AS228="regla",ETQ_PEN_REGLA,0))))</f>
        <v/>
      </c>
      <c r="CE228" s="3">
        <f>NEUTRO</f>
        <v/>
      </c>
      <c r="CF228" s="3">
        <f>IFERROR(VLOOKUP(L228,SEGURO_TBL,3,0),"")</f>
        <v/>
      </c>
      <c r="CG228" s="3">
        <f>IF(CF228="",NEUTRO,MAX(0,MIN(100,100*(SEG_REF_MAX-CF228)/(SEG_REF_MAX-SEG_REF_MIN))))</f>
        <v/>
      </c>
      <c r="CH228" s="3">
        <f>W_CONS*CE228+W_SEG*CG228</f>
        <v/>
      </c>
      <c r="CI228" s="3">
        <f>IF(N(AB228)&gt;0,AB228,IF(AND(R228="profesional",SG_LEGAL_ON=1),GAR_LEGAL,0))</f>
        <v/>
      </c>
      <c r="CJ228" s="3">
        <f>SG_GAR*MIN(1,CI228/SG_GAR_FULL)+SG_AMPL*(AC228="sí")+SG_KMC*(AF228="sí")+SG_REV*(N(AE228)&gt;0)+SG_DEV*MIN(1,N(AG228)/SG_DEV_FULL)+SG_HIST*(W228="sí")</f>
        <v/>
      </c>
      <c r="CK228" s="3">
        <f>IFERROR(VLOOKUP(L228,CARR_PEN_TBL,2,0),0)</f>
        <v/>
      </c>
      <c r="CL228" s="3">
        <f>W_FIAB*BW228+W_PRECIO*BX228+W_KMEDAD*CB228+W_ANUNCIO*CC228+W_USO*CH228+W_SEGURIDAD*CJ228+W_ETIQUETA*CD228-CK228</f>
        <v/>
      </c>
      <c r="CM228" s="4">
        <f>IF(N(I228)&gt;0,I228,IFERROR(ROUND(_xlfn.NUMBERVALUE(LEFT(G228,FIND(" ",G228&amp;" ")-1),".")*1000,0),99999))</f>
        <v/>
      </c>
      <c r="CN228" s="3">
        <f>IF(R228="profesional",0,IF(O228&lt;CUOTA_VALOR_MAX,IF(BA228&gt;ITP_TRAMO_ALTO,SUMIFS(CF_CUOTA,CF_MAS,ITP_TRAMO_ALTO,CF_CCMIN,"&lt;="&amp;CM228,CF_CCMAX,"&gt;="&amp;CM228),IF(BA228&gt;ITP_TRAMO_BAJO,SUMIFS(CF_CUOTA,CF_MAS,ITP_TRAMO_BAJO,CF_CCMIN,"&lt;="&amp;CM228,CF_CCMAX,"&gt;="&amp;CM228),O228*ITP_TIPO)),O228*ITP_TIPO))</f>
        <v/>
      </c>
      <c r="CO228" s="4">
        <f>IF(R228="profesional",N(AK228),0)</f>
        <v/>
      </c>
      <c r="CP228" s="3">
        <f>IF(AND(R228="profesional",ISNUMBER(AK228),AL228="sí"),0,TASA_DGT)</f>
        <v/>
      </c>
      <c r="CQ228" s="3">
        <f>INFORME_DGT</f>
        <v/>
      </c>
      <c r="CR228" s="4">
        <f>O228+CO228+CN228+CP228+CQ228</f>
        <v/>
      </c>
      <c r="CS228" s="4">
        <f>CR228+N(CF228)</f>
        <v/>
      </c>
      <c r="CT228" s="3">
        <f>IF(CR228&lt;=TOTAL_MAX,"sí",IF(CR228&lt;=TOTAL_MAX+MARGEN_NEG,"negociar","no"))</f>
        <v/>
      </c>
      <c r="CU228" s="4">
        <f>IF(CT228&lt;&gt;"no",COUNTIFS($CT$2:$CT$545,"&lt;&gt;no",$CL$2:$CL$545,"&gt;"&amp;CL228)+COUNTIFS($CT$2:CT228,"&lt;&gt;no",$CL$2:CL228,CL228),"")</f>
        <v/>
      </c>
    </row>
    <row r="229">
      <c r="A229" s="2" t="inlineStr">
        <is>
          <t>cochesnet:71866787</t>
        </is>
      </c>
      <c r="B229" s="2" t="inlineStr">
        <is>
          <t>cochesnet</t>
        </is>
      </c>
      <c r="C229" s="2" t="inlineStr">
        <is>
          <t>https://www.coches.net/volkswagen-polo-12-edition-70cv-5p-gasolina-2008-en-valencia-71866787-covo.aspx</t>
        </is>
      </c>
      <c r="D229" s="2" t="inlineStr">
        <is>
          <t>VOLKSWAGEN Polo 1.2 Edition</t>
        </is>
      </c>
      <c r="E229" s="2" t="inlineStr">
        <is>
          <t>Volkswagen</t>
        </is>
      </c>
      <c r="F229" s="2" t="inlineStr">
        <is>
          <t>Volkswagen Polo</t>
        </is>
      </c>
      <c r="G229" s="2" t="inlineStr">
        <is>
          <t>1.2</t>
        </is>
      </c>
      <c r="H229" s="2" t="inlineStr">
        <is>
          <t>1.2 Edition 70cv</t>
        </is>
      </c>
      <c r="I229" s="2" t="n"/>
      <c r="J229" s="2" t="n">
        <v>70</v>
      </c>
      <c r="K229" s="2" t="inlineStr">
        <is>
          <t>gasolina</t>
        </is>
      </c>
      <c r="L229" s="2" t="inlineStr">
        <is>
          <t>utilitario</t>
        </is>
      </c>
      <c r="M229" s="2" t="n">
        <v>2008</v>
      </c>
      <c r="N229" s="2" t="n">
        <v>134000</v>
      </c>
      <c r="O229" s="2" t="n">
        <v>4990</v>
      </c>
      <c r="P229" s="2" t="inlineStr">
        <is>
          <t>manual</t>
        </is>
      </c>
      <c r="Q229" s="2" t="inlineStr">
        <is>
          <t>no</t>
        </is>
      </c>
      <c r="R229" s="2" t="inlineStr">
        <is>
          <t>profesional</t>
        </is>
      </c>
      <c r="S229" s="2" t="inlineStr">
        <is>
          <t>Alboraya</t>
        </is>
      </c>
      <c r="T229" s="2" t="inlineStr">
        <is>
          <t>2026-10-29T23:22:57Z</t>
        </is>
      </c>
      <c r="U229" s="2" t="n">
        <v>13</v>
      </c>
      <c r="V229" s="2" t="inlineStr">
        <is>
          <t>sí</t>
        </is>
      </c>
      <c r="W229" s="2" t="n"/>
      <c r="X229" s="2" t="n"/>
      <c r="Y229" s="2" t="n"/>
      <c r="Z229" s="2" t="inlineStr">
        <is>
          <t>sí</t>
        </is>
      </c>
      <c r="AA229" s="2" t="n"/>
      <c r="AB229" s="2" t="n">
        <v>12</v>
      </c>
      <c r="AC229" s="2" t="n"/>
      <c r="AD229" s="2" t="n"/>
      <c r="AE229" s="2" t="n"/>
      <c r="AF229" s="2" t="n"/>
      <c r="AG229" s="2" t="n"/>
      <c r="AH229" s="2" t="n">
        <v>4990</v>
      </c>
      <c r="AI229" s="2" t="n">
        <v>4990</v>
      </c>
      <c r="AJ229" s="2" t="n"/>
      <c r="AK229" s="2" t="n"/>
      <c r="AL229" s="2" t="n"/>
      <c r="AM229" s="2" t="n">
        <v>4</v>
      </c>
      <c r="AN229" s="2" t="n"/>
      <c r="AO229" s="2" t="inlineStr">
        <is>
          <t>2008</t>
        </is>
      </c>
      <c r="AP229" s="2" t="n">
        <v>2008</v>
      </c>
      <c r="AQ229" s="2" t="n"/>
      <c r="AR229" s="2" t="inlineStr">
        <is>
          <t>C</t>
        </is>
      </c>
      <c r="AS229" s="2" t="inlineStr">
        <is>
          <t>anuncio</t>
        </is>
      </c>
      <c r="AT229" s="2" t="n">
        <v>4990</v>
      </c>
      <c r="AU229" s="2" t="n">
        <v>7</v>
      </c>
      <c r="AV229" s="2" t="inlineStr">
        <is>
          <t>modelo+año+km</t>
        </is>
      </c>
      <c r="AW229" s="2" t="inlineStr">
        <is>
          <t>wallapop:1315758352 (https://es.wallapop.com/item/volkswagen-polo-2008-1315758352)</t>
        </is>
      </c>
      <c r="AX229" s="2" t="inlineStr">
        <is>
          <t>por encima del presupuesto (5054 €), negociar; vendedor profesional: sin ITP (operación con IVA/REBU, confirmar en factura); gastos de gestión del vendedor no indicados: se suma la tasa DGT; preguntar el precio final</t>
        </is>
      </c>
      <c r="AY229" s="2" t="inlineStr">
        <is>
          <t>VOLKSWAGEN POLO 1.2i GASOLINA · 2008 · 134.000 KM
Un urbano práctico, económico y versátil, ideal para moverse por la ciudad y para el día a día. Este Volkswagen Polo destaca por su motor gasolina 1.2i, su tamaño compacto y su facilidad de conducción y aparcamiento.
??? Estado y mantenimiento:
?? Vehículo nacional.
?? 134.000 km.
?? Se entrega con la ITV en vigor.
?? Revisión recién realizada antes de la entrega.
?? Equipamiento destacado:
?? Confort y conducción: Dirección asistida Servotronic, aire acondicionado y manejo cómodo y sencillo.
?? Tecnología y multimedia: Ordenador de a bordo y equipo de música MP3.
?? Comodidad y funcionalidad: Elevalunas eléctricos y retrovisores eléctricos.
?? Seguridad y familia: Anclajes ISOFIX para sillas infantiles.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AZ229" s="2" t="inlineStr">
        <is>
          <t>https://www.coches.net/volkswagen-polo-12-edition-70cv-5p-gasolina-2008-en-valencia-71866787-covo.aspx (window.__INITIAL_PROPS__.ad) /home/user/Alopecia/buscador-coches/raw/cochesnet/b16c9cb1905015d4.json</t>
        </is>
      </c>
      <c r="BA229" s="3">
        <f>MAX(ANIO_ACTUAL-M229,0)</f>
        <v/>
      </c>
      <c r="BB229" s="4">
        <f>N229/MAX(BA229,0.5)</f>
        <v/>
      </c>
      <c r="BC229" s="4">
        <f>F229</f>
        <v/>
      </c>
      <c r="BD229" s="3">
        <f>BC229&amp;"|"&amp;INT(M229/SEG_ANIO)*SEG_ANIO</f>
        <v/>
      </c>
      <c r="BE229" s="3">
        <f>BD229&amp;"|"&amp;INT(N229/SEG_KM)*SEG_KM</f>
        <v/>
      </c>
      <c r="BF229" s="4">
        <f>COUNTIF($BC$2:$BC$545,BC229)</f>
        <v/>
      </c>
      <c r="BG229" s="4">
        <f>COUNTIF($BD$2:$BD$545,BD229)</f>
        <v/>
      </c>
      <c r="BH229" s="4">
        <f>COUNTIF($BE$2:$BE$545,BE229)</f>
        <v/>
      </c>
      <c r="BI229" s="3">
        <f t="array" ref="BI229">IF(N(AU229)&gt;=MIN_N,AT229,IF(BH229&gt;=MIN_N,MEDIAN(IF($BE$2:$BE$545=BE229,$O$2:$O$545)),IF(BG229&gt;=MIN_N,MEDIAN(IF($BD$2:$BD$545=BD229,$O$2:$O$545)),MEDIAN(IF($BC$2:$BC$545=BC229,$O$2:$O$545)))))</f>
        <v/>
      </c>
      <c r="BJ229" s="3">
        <f>IF(N(AU229)&gt;=MIN_N,"mercado "&amp;AV229,IF(BH229&gt;=MIN_N,"modelo+año+km",IF(BG229&gt;=MIN_N,"modelo+año","modelo")))</f>
        <v/>
      </c>
      <c r="BK229" s="4">
        <f>(BI229-O229)/BI229</f>
        <v/>
      </c>
      <c r="BL229" s="3">
        <f>IF(COUNTIFS(FR_FUEL,K229,FR_YEAR,AP229)&gt;0,1,0)</f>
        <v/>
      </c>
      <c r="BM229" s="3">
        <f>IF(COUNTIFS(FR_FUEL,K229,FR_YEAR,AP229-1)&gt;0,1,0)</f>
        <v/>
      </c>
      <c r="BN229" s="4">
        <f>IF(N(AQ229)&gt;0,AP229*100+AQ229,IF(AND(BL229=1,BM229=1),(AP229-1)*100+1,AP229*100+1))</f>
        <v/>
      </c>
      <c r="BO229" s="3">
        <f>IF(OR(K229="hibrido",K229="glp",K229="gnc",K229="phev"),"ECO",IF(K229="electrico","CERO",IF(K229="gasolina",IF(BN229&gt;=GAS_C_YM,"C",IF(BN229&gt;=GAS_B_YM,"B","A")),IF(K229="diesel",IF(BN229&gt;=DIE_C_YM,"C",IF(BN229&gt;=DIE_B_YM,"B","A")),""))))</f>
        <v/>
      </c>
      <c r="BP229" s="2" t="inlineStr">
        <is>
          <t>C</t>
        </is>
      </c>
      <c r="BQ229" s="4">
        <f>IF(AS229="regla",IF(AND(N(AQ229)=0,BL229=1),"sí","no"),"no")</f>
        <v/>
      </c>
      <c r="BR229" s="3">
        <f>IFERROR(VLOOKUP(F229,MOD_TBL,11,0),IFERROR(VLOOKUP(E229,OCU_TBL,2,0),NEUTRO))</f>
        <v/>
      </c>
      <c r="BS229" s="3">
        <f>SUMIFS(MOT_AJUSTE,MOT_MOTOR,G229,MOT_MARCA,E229,MOT_DESDE,"&lt;="&amp;M229,MOT_HASTA,"&gt;="&amp;M229)+SUMIFS(MOT_AJUSTE,MOT_MOTOR,G229,MOT_MARCA,"(todas)",MOT_DESDE,"&lt;="&amp;M229,MOT_HASTA,"&gt;="&amp;M229)</f>
        <v/>
      </c>
      <c r="BT229" s="3">
        <f>SUMIFS(COMB_AJUSTE,COMB_COMB,K229)</f>
        <v/>
      </c>
      <c r="BU229" s="3">
        <f>COUNTIFS(MOT_MOTOR,G229,MOT_MARCA,E229,MOT_DESDE,"&lt;="&amp;M229,MOT_HASTA,"&gt;="&amp;M229)+COUNTIFS(MOT_MOTOR,G229,MOT_MARCA,"(todas)",MOT_DESDE,"&lt;="&amp;M229,MOT_HASTA,"&gt;="&amp;M229)</f>
        <v/>
      </c>
      <c r="BV229" s="3">
        <f>IF(AND(K229="diesel",BU229=0),MIN(BR229,NEUTRO),BR229)</f>
        <v/>
      </c>
      <c r="BW229" s="4">
        <f>MAX(0,MIN(100,BV229+BS229+BT229))</f>
        <v/>
      </c>
      <c r="BX229" s="3">
        <f>MAX(0,MIN(100,50+BK229*PRECIO_PEND))</f>
        <v/>
      </c>
      <c r="BY229" s="3">
        <f>MAX(0,100*(1-N229/KM_MAX))</f>
        <v/>
      </c>
      <c r="BZ229" s="3">
        <f>IF(BB229&lt;KMA_SOSP,IF(AA229="sí",100,KMA_PEN),IF(BB229&lt;=KMA_IDEAL_MAX,100,MAX(0,100*(KMA_CERO-BB229)/(KMA_CERO-KMA_IDEAL_MAX))))</f>
        <v/>
      </c>
      <c r="CA229" s="3">
        <f>MAX(0,MIN(100,100*(M229-ANIO_MIN)/(ANIO_ACTUAL-ANIO_MIN)))</f>
        <v/>
      </c>
      <c r="CB229" s="3">
        <f>W_KMT*BY229+W_KMA*BZ229+W_EDAD*CA229</f>
        <v/>
      </c>
      <c r="CC229" s="3">
        <f>P_ITV*(V229="sí")+P_LIBRO*(W229="sí")+P_CORREA*(X229="sí")+P_PROP*(Y229=1)+P_GAR*(Z229="sí")+P_FOTOS*MIN(1,N(U229)/FOTOS_OBJ)</f>
        <v/>
      </c>
      <c r="CD229" s="3">
        <f>MAX(0,MIN(100,IFERROR(VLOOKUP(BP229,ETQ_TBL,2,0),0)-IF(BQ229="sí",ETQ_PEN_DUD,IF(AS229="regla",ETQ_PEN_REGLA,0))))</f>
        <v/>
      </c>
      <c r="CE229" s="3">
        <f>NEUTRO</f>
        <v/>
      </c>
      <c r="CF229" s="3">
        <f>IFERROR(VLOOKUP(L229,SEGURO_TBL,3,0),"")</f>
        <v/>
      </c>
      <c r="CG229" s="3">
        <f>IF(CF229="",NEUTRO,MAX(0,MIN(100,100*(SEG_REF_MAX-CF229)/(SEG_REF_MAX-SEG_REF_MIN))))</f>
        <v/>
      </c>
      <c r="CH229" s="3">
        <f>W_CONS*CE229+W_SEG*CG229</f>
        <v/>
      </c>
      <c r="CI229" s="3">
        <f>IF(N(AB229)&gt;0,AB229,IF(AND(R229="profesional",SG_LEGAL_ON=1),GAR_LEGAL,0))</f>
        <v/>
      </c>
      <c r="CJ229" s="3">
        <f>SG_GAR*MIN(1,CI229/SG_GAR_FULL)+SG_AMPL*(AC229="sí")+SG_KMC*(AF229="sí")+SG_REV*(N(AE229)&gt;0)+SG_DEV*MIN(1,N(AG229)/SG_DEV_FULL)+SG_HIST*(W229="sí")</f>
        <v/>
      </c>
      <c r="CK229" s="3">
        <f>IFERROR(VLOOKUP(L229,CARR_PEN_TBL,2,0),0)</f>
        <v/>
      </c>
      <c r="CL229" s="3">
        <f>W_FIAB*BW229+W_PRECIO*BX229+W_KMEDAD*CB229+W_ANUNCIO*CC229+W_USO*CH229+W_SEGURIDAD*CJ229+W_ETIQUETA*CD229-CK229</f>
        <v/>
      </c>
      <c r="CM229" s="4">
        <f>IF(N(I229)&gt;0,I229,IFERROR(ROUND(_xlfn.NUMBERVALUE(LEFT(G229,FIND(" ",G229&amp;" ")-1),".")*1000,0),99999))</f>
        <v/>
      </c>
      <c r="CN229" s="3">
        <f>IF(R229="profesional",0,IF(O229&lt;CUOTA_VALOR_MAX,IF(BA229&gt;ITP_TRAMO_ALTO,SUMIFS(CF_CUOTA,CF_MAS,ITP_TRAMO_ALTO,CF_CCMIN,"&lt;="&amp;CM229,CF_CCMAX,"&gt;="&amp;CM229),IF(BA229&gt;ITP_TRAMO_BAJO,SUMIFS(CF_CUOTA,CF_MAS,ITP_TRAMO_BAJO,CF_CCMIN,"&lt;="&amp;CM229,CF_CCMAX,"&gt;="&amp;CM229),O229*ITP_TIPO)),O229*ITP_TIPO))</f>
        <v/>
      </c>
      <c r="CO229" s="4">
        <f>IF(R229="profesional",N(AK229),0)</f>
        <v/>
      </c>
      <c r="CP229" s="3">
        <f>IF(AND(R229="profesional",ISNUMBER(AK229),AL229="sí"),0,TASA_DGT)</f>
        <v/>
      </c>
      <c r="CQ229" s="3">
        <f>INFORME_DGT</f>
        <v/>
      </c>
      <c r="CR229" s="4">
        <f>O229+CO229+CN229+CP229+CQ229</f>
        <v/>
      </c>
      <c r="CS229" s="4">
        <f>CR229+N(CF229)</f>
        <v/>
      </c>
      <c r="CT229" s="3">
        <f>IF(CR229&lt;=TOTAL_MAX,"sí",IF(CR229&lt;=TOTAL_MAX+MARGEN_NEG,"negociar","no"))</f>
        <v/>
      </c>
      <c r="CU229" s="4">
        <f>IF(CT229&lt;&gt;"no",COUNTIFS($CT$2:$CT$545,"&lt;&gt;no",$CL$2:$CL$545,"&gt;"&amp;CL229)+COUNTIFS($CT$2:CT229,"&lt;&gt;no",$CL$2:CL229,CL229),"")</f>
        <v/>
      </c>
    </row>
    <row r="230">
      <c r="A230" s="2" t="inlineStr">
        <is>
          <t>cochesnet:71770392</t>
        </is>
      </c>
      <c r="B230" s="2" t="inlineStr">
        <is>
          <t>cochesnet</t>
        </is>
      </c>
      <c r="C230" s="2" t="inlineStr">
        <is>
          <t>https://www.coches.net/volkswagen-polo-14-united-80cv-5p-gasolina-2007-en-valencia-71770392-covo.aspx</t>
        </is>
      </c>
      <c r="D230" s="2" t="inlineStr">
        <is>
          <t>VOLKSWAGEN Polo 1.4 United</t>
        </is>
      </c>
      <c r="E230" s="2" t="inlineStr">
        <is>
          <t>Volkswagen</t>
        </is>
      </c>
      <c r="F230" s="2" t="inlineStr">
        <is>
          <t>Volkswagen Polo</t>
        </is>
      </c>
      <c r="G230" s="2" t="inlineStr">
        <is>
          <t>1.4</t>
        </is>
      </c>
      <c r="H230" s="2" t="inlineStr">
        <is>
          <t>1.4 United 80cv</t>
        </is>
      </c>
      <c r="I230" s="2" t="n"/>
      <c r="J230" s="2" t="n">
        <v>80</v>
      </c>
      <c r="K230" s="2" t="inlineStr">
        <is>
          <t>gasolina</t>
        </is>
      </c>
      <c r="L230" s="2" t="inlineStr">
        <is>
          <t>utilitario</t>
        </is>
      </c>
      <c r="M230" s="2" t="n">
        <v>2007</v>
      </c>
      <c r="N230" s="2" t="n">
        <v>189626</v>
      </c>
      <c r="O230" s="2" t="n">
        <v>3700</v>
      </c>
      <c r="P230" s="2" t="inlineStr">
        <is>
          <t>manual</t>
        </is>
      </c>
      <c r="Q230" s="2" t="inlineStr">
        <is>
          <t>no</t>
        </is>
      </c>
      <c r="R230" s="2" t="inlineStr">
        <is>
          <t>particular</t>
        </is>
      </c>
      <c r="S230" s="2" t="n"/>
      <c r="T230" s="2" t="inlineStr">
        <is>
          <t>2026-10-17T12:30:11Z</t>
        </is>
      </c>
      <c r="U230" s="2" t="n">
        <v>9</v>
      </c>
      <c r="V230" s="2" t="inlineStr">
        <is>
          <t>sí</t>
        </is>
      </c>
      <c r="W230" s="2" t="inlineStr">
        <is>
          <t>sí</t>
        </is>
      </c>
      <c r="X230" s="2" t="n"/>
      <c r="Y230" s="2" t="n"/>
      <c r="Z230" s="2" t="inlineStr">
        <is>
          <t>no</t>
        </is>
      </c>
      <c r="AA230" s="2" t="n"/>
      <c r="AB230" s="2" t="n"/>
      <c r="AC230" s="2" t="n"/>
      <c r="AD230" s="2" t="n"/>
      <c r="AE230" s="2" t="n"/>
      <c r="AF230" s="2" t="n"/>
      <c r="AG230" s="2" t="n"/>
      <c r="AH230" s="2" t="n">
        <v>3700</v>
      </c>
      <c r="AI230" s="2" t="n"/>
      <c r="AJ230" s="2" t="n"/>
      <c r="AK230" s="2" t="n"/>
      <c r="AL230" s="2" t="n"/>
      <c r="AM230" s="2" t="n"/>
      <c r="AN230" s="2" t="inlineStr">
        <is>
          <t>EN2007Y</t>
        </is>
      </c>
      <c r="AO230" s="2" t="inlineStr">
        <is>
          <t>2007</t>
        </is>
      </c>
      <c r="AP230" s="2" t="n">
        <v>2007</v>
      </c>
      <c r="AQ230" s="2" t="n"/>
      <c r="AR230" s="2" t="n"/>
      <c r="AS230" s="2" t="inlineStr">
        <is>
          <t>regla</t>
        </is>
      </c>
      <c r="AT230" s="2" t="n">
        <v>4850</v>
      </c>
      <c r="AU230" s="2" t="n">
        <v>6</v>
      </c>
      <c r="AV230" s="2" t="inlineStr">
        <is>
          <t>modelo+año+km</t>
        </is>
      </c>
      <c r="AW230" s="2" t="n"/>
      <c r="AX230" s="2" t="inlineStr">
        <is>
          <t>cuota fija ITP: &gt;12 años, hasta 1.500 cc; distancia no verificable (el anuncio solo indica la provincia): confirmar que está a &lt;= 70 km</t>
        </is>
      </c>
      <c r="AY230" s="2" t="inlineStr">
        <is>
          <t>?? VOLKSWAGEN POLO 1.4 GASOLINA | 5 PUERTAS | 2007
?? Precio: 3.700 €
Vendo Volkswagen Polo 1.4 gasolina, de 5 puertas, con primera matriculación en 2007 y 189.262 km.
? Nunca ha tenido accidentes ni golpes.
? Mantenimiento al día.
? Coche listo para seguir disfrutándolo.
? ITV en vigor hasta diciembre de 2026.
? Motor de gasolina, práctico y manejable.
? 5 puertas, ideal para el día a día.
Un coche cómodo y funcional, perfecto para desplazamientos diarios, ciudad o como primer vehículo.
?? Si estás interesado/a, escríbeme sin compromiso para más información o para concertar una visita.
¡Ven a verlo!</t>
        </is>
      </c>
      <c r="AZ230" s="2" t="inlineStr">
        <is>
          <t>https://www.coches.net/volkswagen-polo-14-united-80cv-5p-gasolina-2007-en-valencia-71770392-covo.aspx (window.__INITIAL_PROPS__.ad) /home/user/Alopecia/buscador-coches/raw/cochesnet/6980836857a3b29b.json</t>
        </is>
      </c>
      <c r="BA230" s="3">
        <f>MAX(ANIO_ACTUAL-M230,0)</f>
        <v/>
      </c>
      <c r="BB230" s="4">
        <f>N230/MAX(BA230,0.5)</f>
        <v/>
      </c>
      <c r="BC230" s="4">
        <f>F230</f>
        <v/>
      </c>
      <c r="BD230" s="3">
        <f>BC230&amp;"|"&amp;INT(M230/SEG_ANIO)*SEG_ANIO</f>
        <v/>
      </c>
      <c r="BE230" s="3">
        <f>BD230&amp;"|"&amp;INT(N230/SEG_KM)*SEG_KM</f>
        <v/>
      </c>
      <c r="BF230" s="4">
        <f>COUNTIF($BC$2:$BC$545,BC230)</f>
        <v/>
      </c>
      <c r="BG230" s="4">
        <f>COUNTIF($BD$2:$BD$545,BD230)</f>
        <v/>
      </c>
      <c r="BH230" s="4">
        <f>COUNTIF($BE$2:$BE$545,BE230)</f>
        <v/>
      </c>
      <c r="BI230" s="3">
        <f t="array" ref="BI230">IF(N(AU230)&gt;=MIN_N,AT230,IF(BH230&gt;=MIN_N,MEDIAN(IF($BE$2:$BE$545=BE230,$O$2:$O$545)),IF(BG230&gt;=MIN_N,MEDIAN(IF($BD$2:$BD$545=BD230,$O$2:$O$545)),MEDIAN(IF($BC$2:$BC$545=BC230,$O$2:$O$545)))))</f>
        <v/>
      </c>
      <c r="BJ230" s="3">
        <f>IF(N(AU230)&gt;=MIN_N,"mercado "&amp;AV230,IF(BH230&gt;=MIN_N,"modelo+año+km",IF(BG230&gt;=MIN_N,"modelo+año","modelo")))</f>
        <v/>
      </c>
      <c r="BK230" s="4">
        <f>(BI230-O230)/BI230</f>
        <v/>
      </c>
      <c r="BL230" s="3">
        <f>IF(COUNTIFS(FR_FUEL,K230,FR_YEAR,AP230)&gt;0,1,0)</f>
        <v/>
      </c>
      <c r="BM230" s="3">
        <f>IF(COUNTIFS(FR_FUEL,K230,FR_YEAR,AP230-1)&gt;0,1,0)</f>
        <v/>
      </c>
      <c r="BN230" s="4">
        <f>IF(N(AQ230)&gt;0,AP230*100+AQ230,IF(AND(BL230=1,BM230=1),(AP230-1)*100+1,AP230*100+1))</f>
        <v/>
      </c>
      <c r="BO230" s="3">
        <f>IF(OR(K230="hibrido",K230="glp",K230="gnc",K230="phev"),"ECO",IF(K230="electrico","CERO",IF(K230="gasolina",IF(BN230&gt;=GAS_C_YM,"C",IF(BN230&gt;=GAS_B_YM,"B","A")),IF(K230="diesel",IF(BN230&gt;=DIE_C_YM,"C",IF(BN230&gt;=DIE_B_YM,"B","A")),""))))</f>
        <v/>
      </c>
      <c r="BP230" s="4">
        <f>BO230</f>
        <v/>
      </c>
      <c r="BQ230" s="4">
        <f>IF(AS230="regla",IF(AND(N(AQ230)=0,BL230=1),"sí","no"),"no")</f>
        <v/>
      </c>
      <c r="BR230" s="3">
        <f>IFERROR(VLOOKUP(F230,MOD_TBL,11,0),IFERROR(VLOOKUP(E230,OCU_TBL,2,0),NEUTRO))</f>
        <v/>
      </c>
      <c r="BS230" s="3">
        <f>SUMIFS(MOT_AJUSTE,MOT_MOTOR,G230,MOT_MARCA,E230,MOT_DESDE,"&lt;="&amp;M230,MOT_HASTA,"&gt;="&amp;M230)+SUMIFS(MOT_AJUSTE,MOT_MOTOR,G230,MOT_MARCA,"(todas)",MOT_DESDE,"&lt;="&amp;M230,MOT_HASTA,"&gt;="&amp;M230)</f>
        <v/>
      </c>
      <c r="BT230" s="3">
        <f>SUMIFS(COMB_AJUSTE,COMB_COMB,K230)</f>
        <v/>
      </c>
      <c r="BU230" s="3">
        <f>COUNTIFS(MOT_MOTOR,G230,MOT_MARCA,E230,MOT_DESDE,"&lt;="&amp;M230,MOT_HASTA,"&gt;="&amp;M230)+COUNTIFS(MOT_MOTOR,G230,MOT_MARCA,"(todas)",MOT_DESDE,"&lt;="&amp;M230,MOT_HASTA,"&gt;="&amp;M230)</f>
        <v/>
      </c>
      <c r="BV230" s="3">
        <f>IF(AND(K230="diesel",BU230=0),MIN(BR230,NEUTRO),BR230)</f>
        <v/>
      </c>
      <c r="BW230" s="4">
        <f>MAX(0,MIN(100,BV230+BS230+BT230))</f>
        <v/>
      </c>
      <c r="BX230" s="3">
        <f>MAX(0,MIN(100,50+BK230*PRECIO_PEND))</f>
        <v/>
      </c>
      <c r="BY230" s="3">
        <f>MAX(0,100*(1-N230/KM_MAX))</f>
        <v/>
      </c>
      <c r="BZ230" s="3">
        <f>IF(BB230&lt;KMA_SOSP,IF(AA230="sí",100,KMA_PEN),IF(BB230&lt;=KMA_IDEAL_MAX,100,MAX(0,100*(KMA_CERO-BB230)/(KMA_CERO-KMA_IDEAL_MAX))))</f>
        <v/>
      </c>
      <c r="CA230" s="3">
        <f>MAX(0,MIN(100,100*(M230-ANIO_MIN)/(ANIO_ACTUAL-ANIO_MIN)))</f>
        <v/>
      </c>
      <c r="CB230" s="3">
        <f>W_KMT*BY230+W_KMA*BZ230+W_EDAD*CA230</f>
        <v/>
      </c>
      <c r="CC230" s="3">
        <f>P_ITV*(V230="sí")+P_LIBRO*(W230="sí")+P_CORREA*(X230="sí")+P_PROP*(Y230=1)+P_GAR*(Z230="sí")+P_FOTOS*MIN(1,N(U230)/FOTOS_OBJ)</f>
        <v/>
      </c>
      <c r="CD230" s="3">
        <f>MAX(0,MIN(100,IFERROR(VLOOKUP(BP230,ETQ_TBL,2,0),0)-IF(BQ230="sí",ETQ_PEN_DUD,IF(AS230="regla",ETQ_PEN_REGLA,0))))</f>
        <v/>
      </c>
      <c r="CE230" s="3">
        <f>NEUTRO</f>
        <v/>
      </c>
      <c r="CF230" s="3">
        <f>IFERROR(VLOOKUP(L230,SEGURO_TBL,3,0),"")</f>
        <v/>
      </c>
      <c r="CG230" s="3">
        <f>IF(CF230="",NEUTRO,MAX(0,MIN(100,100*(SEG_REF_MAX-CF230)/(SEG_REF_MAX-SEG_REF_MIN))))</f>
        <v/>
      </c>
      <c r="CH230" s="3">
        <f>W_CONS*CE230+W_SEG*CG230</f>
        <v/>
      </c>
      <c r="CI230" s="3">
        <f>IF(N(AB230)&gt;0,AB230,IF(AND(R230="profesional",SG_LEGAL_ON=1),GAR_LEGAL,0))</f>
        <v/>
      </c>
      <c r="CJ230" s="3">
        <f>SG_GAR*MIN(1,CI230/SG_GAR_FULL)+SG_AMPL*(AC230="sí")+SG_KMC*(AF230="sí")+SG_REV*(N(AE230)&gt;0)+SG_DEV*MIN(1,N(AG230)/SG_DEV_FULL)+SG_HIST*(W230="sí")</f>
        <v/>
      </c>
      <c r="CK230" s="3">
        <f>IFERROR(VLOOKUP(L230,CARR_PEN_TBL,2,0),0)</f>
        <v/>
      </c>
      <c r="CL230" s="3">
        <f>W_FIAB*BW230+W_PRECIO*BX230+W_KMEDAD*CB230+W_ANUNCIO*CC230+W_USO*CH230+W_SEGURIDAD*CJ230+W_ETIQUETA*CD230-CK230</f>
        <v/>
      </c>
      <c r="CM230" s="4">
        <f>IF(N(I230)&gt;0,I230,IFERROR(ROUND(_xlfn.NUMBERVALUE(LEFT(G230,FIND(" ",G230&amp;" ")-1),".")*1000,0),99999))</f>
        <v/>
      </c>
      <c r="CN230" s="3">
        <f>IF(R230="profesional",0,IF(O230&lt;CUOTA_VALOR_MAX,IF(BA230&gt;ITP_TRAMO_ALTO,SUMIFS(CF_CUOTA,CF_MAS,ITP_TRAMO_ALTO,CF_CCMIN,"&lt;="&amp;CM230,CF_CCMAX,"&gt;="&amp;CM230),IF(BA230&gt;ITP_TRAMO_BAJO,SUMIFS(CF_CUOTA,CF_MAS,ITP_TRAMO_BAJO,CF_CCMIN,"&lt;="&amp;CM230,CF_CCMAX,"&gt;="&amp;CM230),O230*ITP_TIPO)),O230*ITP_TIPO))</f>
        <v/>
      </c>
      <c r="CO230" s="4">
        <f>IF(R230="profesional",N(AK230),0)</f>
        <v/>
      </c>
      <c r="CP230" s="3">
        <f>IF(AND(R230="profesional",ISNUMBER(AK230),AL230="sí"),0,TASA_DGT)</f>
        <v/>
      </c>
      <c r="CQ230" s="3">
        <f>INFORME_DGT</f>
        <v/>
      </c>
      <c r="CR230" s="4">
        <f>O230+CO230+CN230+CP230+CQ230</f>
        <v/>
      </c>
      <c r="CS230" s="4">
        <f>CR230+N(CF230)</f>
        <v/>
      </c>
      <c r="CT230" s="3">
        <f>IF(CR230&lt;=TOTAL_MAX,"sí",IF(CR230&lt;=TOTAL_MAX+MARGEN_NEG,"negociar","no"))</f>
        <v/>
      </c>
      <c r="CU230" s="4">
        <f>IF(CT230&lt;&gt;"no",COUNTIFS($CT$2:$CT$545,"&lt;&gt;no",$CL$2:$CL$545,"&gt;"&amp;CL230)+COUNTIFS($CT$2:CT230,"&lt;&gt;no",$CL$2:CL230,CL230),"")</f>
        <v/>
      </c>
    </row>
    <row r="231">
      <c r="A231" s="2" t="inlineStr">
        <is>
          <t>cochesnet:71751370</t>
        </is>
      </c>
      <c r="B231" s="2" t="inlineStr">
        <is>
          <t>cochesnet</t>
        </is>
      </c>
      <c r="C231" s="2" t="inlineStr">
        <is>
          <t>https://www.coches.net/volkswagen-polo-14-tdi-advance-80cv-5p-diesel-2007-en-valencia-71751370-covo.aspx</t>
        </is>
      </c>
      <c r="D231" s="2" t="inlineStr">
        <is>
          <t>VOLKSWAGEN Polo 1.4 TDI Advance</t>
        </is>
      </c>
      <c r="E231" s="2" t="inlineStr">
        <is>
          <t>Volkswagen</t>
        </is>
      </c>
      <c r="F231" s="2" t="inlineStr">
        <is>
          <t>Volkswagen Polo</t>
        </is>
      </c>
      <c r="G231" s="2" t="inlineStr">
        <is>
          <t>1.4 TDI</t>
        </is>
      </c>
      <c r="H231" s="2" t="inlineStr">
        <is>
          <t>1.4 TDI Advance 80CV</t>
        </is>
      </c>
      <c r="I231" s="2" t="n"/>
      <c r="J231" s="2" t="n">
        <v>80</v>
      </c>
      <c r="K231" s="2" t="inlineStr">
        <is>
          <t>diesel</t>
        </is>
      </c>
      <c r="L231" s="2" t="inlineStr">
        <is>
          <t>utilitario</t>
        </is>
      </c>
      <c r="M231" s="2" t="n">
        <v>2007</v>
      </c>
      <c r="N231" s="2" t="n">
        <v>179000</v>
      </c>
      <c r="O231" s="2" t="n">
        <v>3999</v>
      </c>
      <c r="P231" s="2" t="inlineStr">
        <is>
          <t>manual</t>
        </is>
      </c>
      <c r="Q231" s="2" t="inlineStr">
        <is>
          <t>no</t>
        </is>
      </c>
      <c r="R231" s="2" t="inlineStr">
        <is>
          <t>particular</t>
        </is>
      </c>
      <c r="S231" s="2" t="inlineStr">
        <is>
          <t>Valencia</t>
        </is>
      </c>
      <c r="T231" s="2" t="inlineStr">
        <is>
          <t>2026-10-15T15:29:27Z</t>
        </is>
      </c>
      <c r="U231" s="2" t="n">
        <v>9</v>
      </c>
      <c r="V231" s="2" t="n"/>
      <c r="W231" s="2" t="n"/>
      <c r="X231" s="2" t="n"/>
      <c r="Y231" s="2" t="n"/>
      <c r="Z231" s="2" t="inlineStr">
        <is>
          <t>no</t>
        </is>
      </c>
      <c r="AA231" s="2" t="n"/>
      <c r="AB231" s="2" t="n"/>
      <c r="AC231" s="2" t="n"/>
      <c r="AD231" s="2" t="n"/>
      <c r="AE231" s="2" t="n"/>
      <c r="AF231" s="2" t="n"/>
      <c r="AG231" s="2" t="n"/>
      <c r="AH231" s="2" t="n">
        <v>3999</v>
      </c>
      <c r="AI231" s="2" t="n"/>
      <c r="AJ231" s="2" t="n"/>
      <c r="AK231" s="2" t="n"/>
      <c r="AL231" s="2" t="n"/>
      <c r="AM231" s="2" t="n">
        <v>0.1</v>
      </c>
      <c r="AN231" s="2" t="n"/>
      <c r="AO231" s="2" t="inlineStr">
        <is>
          <t>07/2007</t>
        </is>
      </c>
      <c r="AP231" s="2" t="n">
        <v>2007</v>
      </c>
      <c r="AQ231" s="2" t="n">
        <v>7</v>
      </c>
      <c r="AR231" s="2" t="n"/>
      <c r="AS231" s="2" t="inlineStr">
        <is>
          <t>regla</t>
        </is>
      </c>
      <c r="AT231" s="2" t="n">
        <v>4850</v>
      </c>
      <c r="AU231" s="2" t="n">
        <v>6</v>
      </c>
      <c r="AV231" s="2" t="inlineStr">
        <is>
          <t>modelo+año+km</t>
        </is>
      </c>
      <c r="AW231" s="2" t="n"/>
      <c r="AX231" s="2" t="inlineStr">
        <is>
          <t>cuota fija ITP: &gt;12 años, hasta 1.500 cc; diésel: motor sin fuente de fiabilidad (fiabilidad limitada a neutra)</t>
        </is>
      </c>
      <c r="AY231" s="2" t="inlineStr">
        <is>
          <t>Perfecto para quienes buscan fiabilidad, eficiencia y buen rendimiento a un precio justo.
Te presento mi Volkswagen Polo 1.4 TDI Advance, un berlina compacto que combina lo mejor de la marca alemana: solidez, economía de combustible y versatilidad. Con motor diésel de 80 CV, ofrece una conducción suave y controlada, ideal tanto para desplazamientos urbanos como para recorridos por carretera.
El estado general del vehículo es bueno, tanto en el interior como en el exterior. Se trata de un coche que ha sido cuidado y que sigue funcionando con total normalidad. El motor diésel es una garantía de durabilidad y bajo consumo, lo que se traduce en menos visitas a la gasolinera y menores costes de mantenimiento a largo plazo.
Con cinco puertas y cinco plazas, ofrece la practicidad que necesitas en tu día a día, sin renunciar a la comodidad. El cambio manual proporciona una conexión directa con la conducción, permitiéndote optimizar el consumo según tus necesidades.
Estoy vendiendo este vehículo porque ya no lo utilizo. Si tienes dudas sobre aspectos específicos del coche o deseas conocer más detalles sobre su historia o funcionamiento, no dudes en contactarme a través del chat. Estaré encantado de resolver todas tus preguntas.
Contacta hoy mismo y descubre por qué este Polo es una excelente opción para tu próximo vehículo.</t>
        </is>
      </c>
      <c r="AZ231" s="2" t="inlineStr">
        <is>
          <t>https://www.coches.net/volkswagen-polo-14-tdi-advance-80cv-5p-diesel-2007-en-valencia-71751370-covo.aspx (window.__INITIAL_PROPS__.ad) /home/user/Alopecia/buscador-coches/raw/cochesnet/1bf36c2e1fc01909.json</t>
        </is>
      </c>
      <c r="BA231" s="3">
        <f>MAX(ANIO_ACTUAL-M231,0)</f>
        <v/>
      </c>
      <c r="BB231" s="4">
        <f>N231/MAX(BA231,0.5)</f>
        <v/>
      </c>
      <c r="BC231" s="4">
        <f>F231</f>
        <v/>
      </c>
      <c r="BD231" s="3">
        <f>BC231&amp;"|"&amp;INT(M231/SEG_ANIO)*SEG_ANIO</f>
        <v/>
      </c>
      <c r="BE231" s="3">
        <f>BD231&amp;"|"&amp;INT(N231/SEG_KM)*SEG_KM</f>
        <v/>
      </c>
      <c r="BF231" s="4">
        <f>COUNTIF($BC$2:$BC$545,BC231)</f>
        <v/>
      </c>
      <c r="BG231" s="4">
        <f>COUNTIF($BD$2:$BD$545,BD231)</f>
        <v/>
      </c>
      <c r="BH231" s="4">
        <f>COUNTIF($BE$2:$BE$545,BE231)</f>
        <v/>
      </c>
      <c r="BI231" s="3">
        <f t="array" ref="BI231">IF(N(AU231)&gt;=MIN_N,AT231,IF(BH231&gt;=MIN_N,MEDIAN(IF($BE$2:$BE$545=BE231,$O$2:$O$545)),IF(BG231&gt;=MIN_N,MEDIAN(IF($BD$2:$BD$545=BD231,$O$2:$O$545)),MEDIAN(IF($BC$2:$BC$545=BC231,$O$2:$O$545)))))</f>
        <v/>
      </c>
      <c r="BJ231" s="3">
        <f>IF(N(AU231)&gt;=MIN_N,"mercado "&amp;AV231,IF(BH231&gt;=MIN_N,"modelo+año+km",IF(BG231&gt;=MIN_N,"modelo+año","modelo")))</f>
        <v/>
      </c>
      <c r="BK231" s="4">
        <f>(BI231-O231)/BI231</f>
        <v/>
      </c>
      <c r="BL231" s="3">
        <f>IF(COUNTIFS(FR_FUEL,K231,FR_YEAR,AP231)&gt;0,1,0)</f>
        <v/>
      </c>
      <c r="BM231" s="3">
        <f>IF(COUNTIFS(FR_FUEL,K231,FR_YEAR,AP231-1)&gt;0,1,0)</f>
        <v/>
      </c>
      <c r="BN231" s="4">
        <f>IF(N(AQ231)&gt;0,AP231*100+AQ231,IF(AND(BL231=1,BM231=1),(AP231-1)*100+1,AP231*100+1))</f>
        <v/>
      </c>
      <c r="BO231" s="3">
        <f>IF(OR(K231="hibrido",K231="glp",K231="gnc",K231="phev"),"ECO",IF(K231="electrico","CERO",IF(K231="gasolina",IF(BN231&gt;=GAS_C_YM,"C",IF(BN231&gt;=GAS_B_YM,"B","A")),IF(K231="diesel",IF(BN231&gt;=DIE_C_YM,"C",IF(BN231&gt;=DIE_B_YM,"B","A")),""))))</f>
        <v/>
      </c>
      <c r="BP231" s="4">
        <f>BO231</f>
        <v/>
      </c>
      <c r="BQ231" s="4">
        <f>IF(AS231="regla",IF(AND(N(AQ231)=0,BL231=1),"sí","no"),"no")</f>
        <v/>
      </c>
      <c r="BR231" s="3">
        <f>IFERROR(VLOOKUP(F231,MOD_TBL,11,0),IFERROR(VLOOKUP(E231,OCU_TBL,2,0),NEUTRO))</f>
        <v/>
      </c>
      <c r="BS231" s="3">
        <f>SUMIFS(MOT_AJUSTE,MOT_MOTOR,G231,MOT_MARCA,E231,MOT_DESDE,"&lt;="&amp;M231,MOT_HASTA,"&gt;="&amp;M231)+SUMIFS(MOT_AJUSTE,MOT_MOTOR,G231,MOT_MARCA,"(todas)",MOT_DESDE,"&lt;="&amp;M231,MOT_HASTA,"&gt;="&amp;M231)</f>
        <v/>
      </c>
      <c r="BT231" s="3">
        <f>SUMIFS(COMB_AJUSTE,COMB_COMB,K231)</f>
        <v/>
      </c>
      <c r="BU231" s="3">
        <f>COUNTIFS(MOT_MOTOR,G231,MOT_MARCA,E231,MOT_DESDE,"&lt;="&amp;M231,MOT_HASTA,"&gt;="&amp;M231)+COUNTIFS(MOT_MOTOR,G231,MOT_MARCA,"(todas)",MOT_DESDE,"&lt;="&amp;M231,MOT_HASTA,"&gt;="&amp;M231)</f>
        <v/>
      </c>
      <c r="BV231" s="3">
        <f>IF(AND(K231="diesel",BU231=0),MIN(BR231,NEUTRO),BR231)</f>
        <v/>
      </c>
      <c r="BW231" s="4">
        <f>MAX(0,MIN(100,BV231+BS231+BT231))</f>
        <v/>
      </c>
      <c r="BX231" s="3">
        <f>MAX(0,MIN(100,50+BK231*PRECIO_PEND))</f>
        <v/>
      </c>
      <c r="BY231" s="3">
        <f>MAX(0,100*(1-N231/KM_MAX))</f>
        <v/>
      </c>
      <c r="BZ231" s="3">
        <f>IF(BB231&lt;KMA_SOSP,IF(AA231="sí",100,KMA_PEN),IF(BB231&lt;=KMA_IDEAL_MAX,100,MAX(0,100*(KMA_CERO-BB231)/(KMA_CERO-KMA_IDEAL_MAX))))</f>
        <v/>
      </c>
      <c r="CA231" s="3">
        <f>MAX(0,MIN(100,100*(M231-ANIO_MIN)/(ANIO_ACTUAL-ANIO_MIN)))</f>
        <v/>
      </c>
      <c r="CB231" s="3">
        <f>W_KMT*BY231+W_KMA*BZ231+W_EDAD*CA231</f>
        <v/>
      </c>
      <c r="CC231" s="3">
        <f>P_ITV*(V231="sí")+P_LIBRO*(W231="sí")+P_CORREA*(X231="sí")+P_PROP*(Y231=1)+P_GAR*(Z231="sí")+P_FOTOS*MIN(1,N(U231)/FOTOS_OBJ)</f>
        <v/>
      </c>
      <c r="CD231" s="3">
        <f>MAX(0,MIN(100,IFERROR(VLOOKUP(BP231,ETQ_TBL,2,0),0)-IF(BQ231="sí",ETQ_PEN_DUD,IF(AS231="regla",ETQ_PEN_REGLA,0))))</f>
        <v/>
      </c>
      <c r="CE231" s="3">
        <f>NEUTRO</f>
        <v/>
      </c>
      <c r="CF231" s="3">
        <f>IFERROR(VLOOKUP(L231,SEGURO_TBL,3,0),"")</f>
        <v/>
      </c>
      <c r="CG231" s="3">
        <f>IF(CF231="",NEUTRO,MAX(0,MIN(100,100*(SEG_REF_MAX-CF231)/(SEG_REF_MAX-SEG_REF_MIN))))</f>
        <v/>
      </c>
      <c r="CH231" s="3">
        <f>W_CONS*CE231+W_SEG*CG231</f>
        <v/>
      </c>
      <c r="CI231" s="3">
        <f>IF(N(AB231)&gt;0,AB231,IF(AND(R231="profesional",SG_LEGAL_ON=1),GAR_LEGAL,0))</f>
        <v/>
      </c>
      <c r="CJ231" s="3">
        <f>SG_GAR*MIN(1,CI231/SG_GAR_FULL)+SG_AMPL*(AC231="sí")+SG_KMC*(AF231="sí")+SG_REV*(N(AE231)&gt;0)+SG_DEV*MIN(1,N(AG231)/SG_DEV_FULL)+SG_HIST*(W231="sí")</f>
        <v/>
      </c>
      <c r="CK231" s="3">
        <f>IFERROR(VLOOKUP(L231,CARR_PEN_TBL,2,0),0)</f>
        <v/>
      </c>
      <c r="CL231" s="3">
        <f>W_FIAB*BW231+W_PRECIO*BX231+W_KMEDAD*CB231+W_ANUNCIO*CC231+W_USO*CH231+W_SEGURIDAD*CJ231+W_ETIQUETA*CD231-CK231</f>
        <v/>
      </c>
      <c r="CM231" s="4">
        <f>IF(N(I231)&gt;0,I231,IFERROR(ROUND(_xlfn.NUMBERVALUE(LEFT(G231,FIND(" ",G231&amp;" ")-1),".")*1000,0),99999))</f>
        <v/>
      </c>
      <c r="CN231" s="3">
        <f>IF(R231="profesional",0,IF(O231&lt;CUOTA_VALOR_MAX,IF(BA231&gt;ITP_TRAMO_ALTO,SUMIFS(CF_CUOTA,CF_MAS,ITP_TRAMO_ALTO,CF_CCMIN,"&lt;="&amp;CM231,CF_CCMAX,"&gt;="&amp;CM231),IF(BA231&gt;ITP_TRAMO_BAJO,SUMIFS(CF_CUOTA,CF_MAS,ITP_TRAMO_BAJO,CF_CCMIN,"&lt;="&amp;CM231,CF_CCMAX,"&gt;="&amp;CM231),O231*ITP_TIPO)),O231*ITP_TIPO))</f>
        <v/>
      </c>
      <c r="CO231" s="4">
        <f>IF(R231="profesional",N(AK231),0)</f>
        <v/>
      </c>
      <c r="CP231" s="3">
        <f>IF(AND(R231="profesional",ISNUMBER(AK231),AL231="sí"),0,TASA_DGT)</f>
        <v/>
      </c>
      <c r="CQ231" s="3">
        <f>INFORME_DGT</f>
        <v/>
      </c>
      <c r="CR231" s="4">
        <f>O231+CO231+CN231+CP231+CQ231</f>
        <v/>
      </c>
      <c r="CS231" s="4">
        <f>CR231+N(CF231)</f>
        <v/>
      </c>
      <c r="CT231" s="3">
        <f>IF(CR231&lt;=TOTAL_MAX,"sí",IF(CR231&lt;=TOTAL_MAX+MARGEN_NEG,"negociar","no"))</f>
        <v/>
      </c>
      <c r="CU231" s="4">
        <f>IF(CT231&lt;&gt;"no",COUNTIFS($CT$2:$CT$545,"&lt;&gt;no",$CL$2:$CL$545,"&gt;"&amp;CL231)+COUNTIFS($CT$2:CT231,"&lt;&gt;no",$CL$2:CL231,CL231),"")</f>
        <v/>
      </c>
    </row>
    <row r="232">
      <c r="A232" s="2" t="inlineStr">
        <is>
          <t>cochesnet:71746730</t>
        </is>
      </c>
      <c r="B232" s="2" t="inlineStr">
        <is>
          <t>cochesnet</t>
        </is>
      </c>
      <c r="C232" s="2" t="inlineStr">
        <is>
          <t>https://www.coches.net/volkswagen-polo-14-match-80cv-5p-gasolina-2006-en-valencia-71746730-covo.aspx</t>
        </is>
      </c>
      <c r="D232" s="2" t="inlineStr">
        <is>
          <t>VOLKSWAGEN Polo 1.4 Match</t>
        </is>
      </c>
      <c r="E232" s="2" t="inlineStr">
        <is>
          <t>Volkswagen</t>
        </is>
      </c>
      <c r="F232" s="2" t="inlineStr">
        <is>
          <t>Volkswagen Polo</t>
        </is>
      </c>
      <c r="G232" s="2" t="inlineStr">
        <is>
          <t>1.4</t>
        </is>
      </c>
      <c r="H232" s="2" t="inlineStr">
        <is>
          <t>1.4 Match 80cv</t>
        </is>
      </c>
      <c r="I232" s="2" t="n"/>
      <c r="J232" s="2" t="n">
        <v>80</v>
      </c>
      <c r="K232" s="2" t="inlineStr">
        <is>
          <t>gasolina</t>
        </is>
      </c>
      <c r="L232" s="2" t="inlineStr">
        <is>
          <t>utilitario</t>
        </is>
      </c>
      <c r="M232" s="2" t="n">
        <v>2006</v>
      </c>
      <c r="N232" s="2" t="n">
        <v>149520</v>
      </c>
      <c r="O232" s="2" t="n">
        <v>3400</v>
      </c>
      <c r="P232" s="2" t="inlineStr">
        <is>
          <t>manual</t>
        </is>
      </c>
      <c r="Q232" s="2" t="inlineStr">
        <is>
          <t>no</t>
        </is>
      </c>
      <c r="R232" s="2" t="inlineStr">
        <is>
          <t>particular</t>
        </is>
      </c>
      <c r="S232" s="2" t="inlineStr">
        <is>
          <t>Puig</t>
        </is>
      </c>
      <c r="T232" s="2" t="inlineStr">
        <is>
          <t>2026-10-14T19:39:40Z</t>
        </is>
      </c>
      <c r="U232" s="2" t="n">
        <v>7</v>
      </c>
      <c r="V232" s="2" t="n"/>
      <c r="W232" s="2" t="n"/>
      <c r="X232" s="2" t="n"/>
      <c r="Y232" s="2" t="n"/>
      <c r="Z232" s="2" t="inlineStr">
        <is>
          <t>no</t>
        </is>
      </c>
      <c r="AA232" s="2" t="n"/>
      <c r="AB232" s="2" t="n"/>
      <c r="AC232" s="2" t="n"/>
      <c r="AD232" s="2" t="n"/>
      <c r="AE232" s="2" t="n"/>
      <c r="AF232" s="2" t="n"/>
      <c r="AG232" s="2" t="n"/>
      <c r="AH232" s="2" t="n">
        <v>3400</v>
      </c>
      <c r="AI232" s="2" t="n"/>
      <c r="AJ232" s="2" t="n"/>
      <c r="AK232" s="2" t="n"/>
      <c r="AL232" s="2" t="n"/>
      <c r="AM232" s="2" t="n"/>
      <c r="AN232" s="2" t="n"/>
      <c r="AO232" s="2" t="inlineStr">
        <is>
          <t>10/2006</t>
        </is>
      </c>
      <c r="AP232" s="2" t="n">
        <v>2006</v>
      </c>
      <c r="AQ232" s="2" t="n">
        <v>10</v>
      </c>
      <c r="AR232" s="2" t="n"/>
      <c r="AS232" s="2" t="inlineStr">
        <is>
          <t>regla</t>
        </is>
      </c>
      <c r="AT232" s="2" t="n">
        <v>4195</v>
      </c>
      <c r="AU232" s="2" t="n">
        <v>8</v>
      </c>
      <c r="AV232" s="2" t="inlineStr">
        <is>
          <t>modelo+año+km</t>
        </is>
      </c>
      <c r="AW232" s="2" t="n"/>
      <c r="AX232" s="2" t="inlineStr">
        <is>
          <t>cuota fija ITP: &gt;12 años, hasta 1.500 cc; distancia no verificable (el anuncio solo indica la provincia): confirmar que está a &lt;= 70 km</t>
        </is>
      </c>
      <c r="AY232" s="2" t="inlineStr">
        <is>
          <t>Vehículo en muy buen estado. Por los km que tiene actualmente le toca hacer la correa de distribución, de ahí su precio. No hay que hacerle nada más. Pasa las ITV sin problemas.</t>
        </is>
      </c>
      <c r="AZ232" s="2" t="inlineStr">
        <is>
          <t>https://www.coches.net/volkswagen-polo-14-match-80cv-5p-gasolina-2006-en-valencia-71746730-covo.aspx (window.__INITIAL_PROPS__.ad) /home/user/Alopecia/buscador-coches/raw/cochesnet/709e5433661cf0a7.json</t>
        </is>
      </c>
      <c r="BA232" s="3">
        <f>MAX(ANIO_ACTUAL-M232,0)</f>
        <v/>
      </c>
      <c r="BB232" s="4">
        <f>N232/MAX(BA232,0.5)</f>
        <v/>
      </c>
      <c r="BC232" s="4">
        <f>F232</f>
        <v/>
      </c>
      <c r="BD232" s="3">
        <f>BC232&amp;"|"&amp;INT(M232/SEG_ANIO)*SEG_ANIO</f>
        <v/>
      </c>
      <c r="BE232" s="3">
        <f>BD232&amp;"|"&amp;INT(N232/SEG_KM)*SEG_KM</f>
        <v/>
      </c>
      <c r="BF232" s="4">
        <f>COUNTIF($BC$2:$BC$545,BC232)</f>
        <v/>
      </c>
      <c r="BG232" s="4">
        <f>COUNTIF($BD$2:$BD$545,BD232)</f>
        <v/>
      </c>
      <c r="BH232" s="4">
        <f>COUNTIF($BE$2:$BE$545,BE232)</f>
        <v/>
      </c>
      <c r="BI232" s="3">
        <f t="array" ref="BI232">IF(N(AU232)&gt;=MIN_N,AT232,IF(BH232&gt;=MIN_N,MEDIAN(IF($BE$2:$BE$545=BE232,$O$2:$O$545)),IF(BG232&gt;=MIN_N,MEDIAN(IF($BD$2:$BD$545=BD232,$O$2:$O$545)),MEDIAN(IF($BC$2:$BC$545=BC232,$O$2:$O$545)))))</f>
        <v/>
      </c>
      <c r="BJ232" s="3">
        <f>IF(N(AU232)&gt;=MIN_N,"mercado "&amp;AV232,IF(BH232&gt;=MIN_N,"modelo+año+km",IF(BG232&gt;=MIN_N,"modelo+año","modelo")))</f>
        <v/>
      </c>
      <c r="BK232" s="4">
        <f>(BI232-O232)/BI232</f>
        <v/>
      </c>
      <c r="BL232" s="3">
        <f>IF(COUNTIFS(FR_FUEL,K232,FR_YEAR,AP232)&gt;0,1,0)</f>
        <v/>
      </c>
      <c r="BM232" s="3">
        <f>IF(COUNTIFS(FR_FUEL,K232,FR_YEAR,AP232-1)&gt;0,1,0)</f>
        <v/>
      </c>
      <c r="BN232" s="4">
        <f>IF(N(AQ232)&gt;0,AP232*100+AQ232,IF(AND(BL232=1,BM232=1),(AP232-1)*100+1,AP232*100+1))</f>
        <v/>
      </c>
      <c r="BO232" s="3">
        <f>IF(OR(K232="hibrido",K232="glp",K232="gnc",K232="phev"),"ECO",IF(K232="electrico","CERO",IF(K232="gasolina",IF(BN232&gt;=GAS_C_YM,"C",IF(BN232&gt;=GAS_B_YM,"B","A")),IF(K232="diesel",IF(BN232&gt;=DIE_C_YM,"C",IF(BN232&gt;=DIE_B_YM,"B","A")),""))))</f>
        <v/>
      </c>
      <c r="BP232" s="4">
        <f>BO232</f>
        <v/>
      </c>
      <c r="BQ232" s="4">
        <f>IF(AS232="regla",IF(AND(N(AQ232)=0,BL232=1),"sí","no"),"no")</f>
        <v/>
      </c>
      <c r="BR232" s="3">
        <f>IFERROR(VLOOKUP(F232,MOD_TBL,11,0),IFERROR(VLOOKUP(E232,OCU_TBL,2,0),NEUTRO))</f>
        <v/>
      </c>
      <c r="BS232" s="3">
        <f>SUMIFS(MOT_AJUSTE,MOT_MOTOR,G232,MOT_MARCA,E232,MOT_DESDE,"&lt;="&amp;M232,MOT_HASTA,"&gt;="&amp;M232)+SUMIFS(MOT_AJUSTE,MOT_MOTOR,G232,MOT_MARCA,"(todas)",MOT_DESDE,"&lt;="&amp;M232,MOT_HASTA,"&gt;="&amp;M232)</f>
        <v/>
      </c>
      <c r="BT232" s="3">
        <f>SUMIFS(COMB_AJUSTE,COMB_COMB,K232)</f>
        <v/>
      </c>
      <c r="BU232" s="3">
        <f>COUNTIFS(MOT_MOTOR,G232,MOT_MARCA,E232,MOT_DESDE,"&lt;="&amp;M232,MOT_HASTA,"&gt;="&amp;M232)+COUNTIFS(MOT_MOTOR,G232,MOT_MARCA,"(todas)",MOT_DESDE,"&lt;="&amp;M232,MOT_HASTA,"&gt;="&amp;M232)</f>
        <v/>
      </c>
      <c r="BV232" s="3">
        <f>IF(AND(K232="diesel",BU232=0),MIN(BR232,NEUTRO),BR232)</f>
        <v/>
      </c>
      <c r="BW232" s="4">
        <f>MAX(0,MIN(100,BV232+BS232+BT232))</f>
        <v/>
      </c>
      <c r="BX232" s="3">
        <f>MAX(0,MIN(100,50+BK232*PRECIO_PEND))</f>
        <v/>
      </c>
      <c r="BY232" s="3">
        <f>MAX(0,100*(1-N232/KM_MAX))</f>
        <v/>
      </c>
      <c r="BZ232" s="3">
        <f>IF(BB232&lt;KMA_SOSP,IF(AA232="sí",100,KMA_PEN),IF(BB232&lt;=KMA_IDEAL_MAX,100,MAX(0,100*(KMA_CERO-BB232)/(KMA_CERO-KMA_IDEAL_MAX))))</f>
        <v/>
      </c>
      <c r="CA232" s="3">
        <f>MAX(0,MIN(100,100*(M232-ANIO_MIN)/(ANIO_ACTUAL-ANIO_MIN)))</f>
        <v/>
      </c>
      <c r="CB232" s="3">
        <f>W_KMT*BY232+W_KMA*BZ232+W_EDAD*CA232</f>
        <v/>
      </c>
      <c r="CC232" s="3">
        <f>P_ITV*(V232="sí")+P_LIBRO*(W232="sí")+P_CORREA*(X232="sí")+P_PROP*(Y232=1)+P_GAR*(Z232="sí")+P_FOTOS*MIN(1,N(U232)/FOTOS_OBJ)</f>
        <v/>
      </c>
      <c r="CD232" s="3">
        <f>MAX(0,MIN(100,IFERROR(VLOOKUP(BP232,ETQ_TBL,2,0),0)-IF(BQ232="sí",ETQ_PEN_DUD,IF(AS232="regla",ETQ_PEN_REGLA,0))))</f>
        <v/>
      </c>
      <c r="CE232" s="3">
        <f>NEUTRO</f>
        <v/>
      </c>
      <c r="CF232" s="3">
        <f>IFERROR(VLOOKUP(L232,SEGURO_TBL,3,0),"")</f>
        <v/>
      </c>
      <c r="CG232" s="3">
        <f>IF(CF232="",NEUTRO,MAX(0,MIN(100,100*(SEG_REF_MAX-CF232)/(SEG_REF_MAX-SEG_REF_MIN))))</f>
        <v/>
      </c>
      <c r="CH232" s="3">
        <f>W_CONS*CE232+W_SEG*CG232</f>
        <v/>
      </c>
      <c r="CI232" s="3">
        <f>IF(N(AB232)&gt;0,AB232,IF(AND(R232="profesional",SG_LEGAL_ON=1),GAR_LEGAL,0))</f>
        <v/>
      </c>
      <c r="CJ232" s="3">
        <f>SG_GAR*MIN(1,CI232/SG_GAR_FULL)+SG_AMPL*(AC232="sí")+SG_KMC*(AF232="sí")+SG_REV*(N(AE232)&gt;0)+SG_DEV*MIN(1,N(AG232)/SG_DEV_FULL)+SG_HIST*(W232="sí")</f>
        <v/>
      </c>
      <c r="CK232" s="3">
        <f>IFERROR(VLOOKUP(L232,CARR_PEN_TBL,2,0),0)</f>
        <v/>
      </c>
      <c r="CL232" s="3">
        <f>W_FIAB*BW232+W_PRECIO*BX232+W_KMEDAD*CB232+W_ANUNCIO*CC232+W_USO*CH232+W_SEGURIDAD*CJ232+W_ETIQUETA*CD232-CK232</f>
        <v/>
      </c>
      <c r="CM232" s="4">
        <f>IF(N(I232)&gt;0,I232,IFERROR(ROUND(_xlfn.NUMBERVALUE(LEFT(G232,FIND(" ",G232&amp;" ")-1),".")*1000,0),99999))</f>
        <v/>
      </c>
      <c r="CN232" s="3">
        <f>IF(R232="profesional",0,IF(O232&lt;CUOTA_VALOR_MAX,IF(BA232&gt;ITP_TRAMO_ALTO,SUMIFS(CF_CUOTA,CF_MAS,ITP_TRAMO_ALTO,CF_CCMIN,"&lt;="&amp;CM232,CF_CCMAX,"&gt;="&amp;CM232),IF(BA232&gt;ITP_TRAMO_BAJO,SUMIFS(CF_CUOTA,CF_MAS,ITP_TRAMO_BAJO,CF_CCMIN,"&lt;="&amp;CM232,CF_CCMAX,"&gt;="&amp;CM232),O232*ITP_TIPO)),O232*ITP_TIPO))</f>
        <v/>
      </c>
      <c r="CO232" s="4">
        <f>IF(R232="profesional",N(AK232),0)</f>
        <v/>
      </c>
      <c r="CP232" s="3">
        <f>IF(AND(R232="profesional",ISNUMBER(AK232),AL232="sí"),0,TASA_DGT)</f>
        <v/>
      </c>
      <c r="CQ232" s="3">
        <f>INFORME_DGT</f>
        <v/>
      </c>
      <c r="CR232" s="4">
        <f>O232+CO232+CN232+CP232+CQ232</f>
        <v/>
      </c>
      <c r="CS232" s="4">
        <f>CR232+N(CF232)</f>
        <v/>
      </c>
      <c r="CT232" s="3">
        <f>IF(CR232&lt;=TOTAL_MAX,"sí",IF(CR232&lt;=TOTAL_MAX+MARGEN_NEG,"negociar","no"))</f>
        <v/>
      </c>
      <c r="CU232" s="4">
        <f>IF(CT232&lt;&gt;"no",COUNTIFS($CT$2:$CT$545,"&lt;&gt;no",$CL$2:$CL$545,"&gt;"&amp;CL232)+COUNTIFS($CT$2:CT232,"&lt;&gt;no",$CL$2:CL232,CL232),"")</f>
        <v/>
      </c>
    </row>
    <row r="233">
      <c r="A233" s="2" t="inlineStr">
        <is>
          <t>cochesnet:71357112</t>
        </is>
      </c>
      <c r="B233" s="2" t="inlineStr">
        <is>
          <t>cochesnet</t>
        </is>
      </c>
      <c r="C233" s="2" t="inlineStr">
        <is>
          <t>https://www.coches.net/volkswagen-polo-gasolina-2007-en-valencia-71357112-covo.aspx</t>
        </is>
      </c>
      <c r="D233" s="2" t="inlineStr">
        <is>
          <t>VOLKSWAGEN Polo</t>
        </is>
      </c>
      <c r="E233" s="2" t="inlineStr">
        <is>
          <t>Volkswagen</t>
        </is>
      </c>
      <c r="F233" s="2" t="inlineStr">
        <is>
          <t>Volkswagen Polo</t>
        </is>
      </c>
      <c r="G233" s="2" t="n"/>
      <c r="H233" s="2" t="n"/>
      <c r="I233" s="2" t="n"/>
      <c r="J233" s="2" t="n"/>
      <c r="K233" s="2" t="inlineStr">
        <is>
          <t>gasolina</t>
        </is>
      </c>
      <c r="L233" s="2" t="inlineStr">
        <is>
          <t>utilitario</t>
        </is>
      </c>
      <c r="M233" s="2" t="n">
        <v>2007</v>
      </c>
      <c r="N233" s="2" t="n">
        <v>214664</v>
      </c>
      <c r="O233" s="2" t="n">
        <v>3800</v>
      </c>
      <c r="P233" s="2" t="inlineStr">
        <is>
          <t>manual</t>
        </is>
      </c>
      <c r="Q233" s="2" t="inlineStr">
        <is>
          <t>no</t>
        </is>
      </c>
      <c r="R233" s="2" t="inlineStr">
        <is>
          <t>particular</t>
        </is>
      </c>
      <c r="S233" s="2" t="n"/>
      <c r="T233" s="2" t="inlineStr">
        <is>
          <t>2026-08-24T20:34:11Z</t>
        </is>
      </c>
      <c r="U233" s="2" t="n">
        <v>7</v>
      </c>
      <c r="V233" s="2" t="n"/>
      <c r="W233" s="2" t="n"/>
      <c r="X233" s="2" t="n"/>
      <c r="Y233" s="2" t="n"/>
      <c r="Z233" s="2" t="inlineStr">
        <is>
          <t>no</t>
        </is>
      </c>
      <c r="AA233" s="2" t="n"/>
      <c r="AB233" s="2" t="n"/>
      <c r="AC233" s="2" t="n"/>
      <c r="AD233" s="2" t="n"/>
      <c r="AE233" s="2" t="n"/>
      <c r="AF233" s="2" t="n"/>
      <c r="AG233" s="2" t="n"/>
      <c r="AH233" s="2" t="n">
        <v>3800</v>
      </c>
      <c r="AI233" s="2" t="n"/>
      <c r="AJ233" s="2" t="n"/>
      <c r="AK233" s="2" t="n"/>
      <c r="AL233" s="2" t="n"/>
      <c r="AM233" s="2" t="n"/>
      <c r="AN233" s="2" t="n"/>
      <c r="AO233" s="2" t="inlineStr">
        <is>
          <t>2007</t>
        </is>
      </c>
      <c r="AP233" s="2" t="n">
        <v>2007</v>
      </c>
      <c r="AQ233" s="2" t="n"/>
      <c r="AR233" s="2" t="n"/>
      <c r="AS233" s="2" t="inlineStr">
        <is>
          <t>regla</t>
        </is>
      </c>
      <c r="AT233" s="2" t="n">
        <v>3800</v>
      </c>
      <c r="AU233" s="2" t="n">
        <v>8</v>
      </c>
      <c r="AV233" s="2" t="inlineStr">
        <is>
          <t>modelo+año+km</t>
        </is>
      </c>
      <c r="AW233" s="2" t="n"/>
      <c r="AX233" s="2" t="inlineStr">
        <is>
          <t>cilindrada desconocida: se aplica el tramo de cuota fija más alto; cuota fija ITP: &gt;12 años, más de 2.000 cc; distancia no verificable (el anuncio solo indica la provincia): confirmar que está a &lt;= 70 km</t>
        </is>
      </c>
      <c r="AY233" s="2" t="inlineStr">
        <is>
          <t>Vendo Volkswagen Polo 5 puertas en excelente estado mecánico, ideal tanto para diario como para viajes por su bajo consumo y fiabilidad. Coche muy bien mantenido y con todo al día para no tener que invertirle un solo euro.</t>
        </is>
      </c>
      <c r="AZ233" s="2" t="inlineStr">
        <is>
          <t>https://www.coches.net/volkswagen-polo-gasolina-2007-en-valencia-71357112-covo.aspx (window.__INITIAL_PROPS__.ad) /home/user/Alopecia/buscador-coches/raw/cochesnet/fd105407ec032410.json</t>
        </is>
      </c>
      <c r="BA233" s="3">
        <f>MAX(ANIO_ACTUAL-M233,0)</f>
        <v/>
      </c>
      <c r="BB233" s="4">
        <f>N233/MAX(BA233,0.5)</f>
        <v/>
      </c>
      <c r="BC233" s="4">
        <f>F233</f>
        <v/>
      </c>
      <c r="BD233" s="3">
        <f>BC233&amp;"|"&amp;INT(M233/SEG_ANIO)*SEG_ANIO</f>
        <v/>
      </c>
      <c r="BE233" s="3">
        <f>BD233&amp;"|"&amp;INT(N233/SEG_KM)*SEG_KM</f>
        <v/>
      </c>
      <c r="BF233" s="4">
        <f>COUNTIF($BC$2:$BC$545,BC233)</f>
        <v/>
      </c>
      <c r="BG233" s="4">
        <f>COUNTIF($BD$2:$BD$545,BD233)</f>
        <v/>
      </c>
      <c r="BH233" s="4">
        <f>COUNTIF($BE$2:$BE$545,BE233)</f>
        <v/>
      </c>
      <c r="BI233" s="3">
        <f t="array" ref="BI233">IF(N(AU233)&gt;=MIN_N,AT233,IF(BH233&gt;=MIN_N,MEDIAN(IF($BE$2:$BE$545=BE233,$O$2:$O$545)),IF(BG233&gt;=MIN_N,MEDIAN(IF($BD$2:$BD$545=BD233,$O$2:$O$545)),MEDIAN(IF($BC$2:$BC$545=BC233,$O$2:$O$545)))))</f>
        <v/>
      </c>
      <c r="BJ233" s="3">
        <f>IF(N(AU233)&gt;=MIN_N,"mercado "&amp;AV233,IF(BH233&gt;=MIN_N,"modelo+año+km",IF(BG233&gt;=MIN_N,"modelo+año","modelo")))</f>
        <v/>
      </c>
      <c r="BK233" s="4">
        <f>(BI233-O233)/BI233</f>
        <v/>
      </c>
      <c r="BL233" s="3">
        <f>IF(COUNTIFS(FR_FUEL,K233,FR_YEAR,AP233)&gt;0,1,0)</f>
        <v/>
      </c>
      <c r="BM233" s="3">
        <f>IF(COUNTIFS(FR_FUEL,K233,FR_YEAR,AP233-1)&gt;0,1,0)</f>
        <v/>
      </c>
      <c r="BN233" s="4">
        <f>IF(N(AQ233)&gt;0,AP233*100+AQ233,IF(AND(BL233=1,BM233=1),(AP233-1)*100+1,AP233*100+1))</f>
        <v/>
      </c>
      <c r="BO233" s="3">
        <f>IF(OR(K233="hibrido",K233="glp",K233="gnc",K233="phev"),"ECO",IF(K233="electrico","CERO",IF(K233="gasolina",IF(BN233&gt;=GAS_C_YM,"C",IF(BN233&gt;=GAS_B_YM,"B","A")),IF(K233="diesel",IF(BN233&gt;=DIE_C_YM,"C",IF(BN233&gt;=DIE_B_YM,"B","A")),""))))</f>
        <v/>
      </c>
      <c r="BP233" s="4">
        <f>BO233</f>
        <v/>
      </c>
      <c r="BQ233" s="4">
        <f>IF(AS233="regla",IF(AND(N(AQ233)=0,BL233=1),"sí","no"),"no")</f>
        <v/>
      </c>
      <c r="BR233" s="3">
        <f>IFERROR(VLOOKUP(F233,MOD_TBL,11,0),IFERROR(VLOOKUP(E233,OCU_TBL,2,0),NEUTRO))</f>
        <v/>
      </c>
      <c r="BS233" s="3">
        <f>SUMIFS(MOT_AJUSTE,MOT_MOTOR,G233,MOT_MARCA,E233,MOT_DESDE,"&lt;="&amp;M233,MOT_HASTA,"&gt;="&amp;M233)+SUMIFS(MOT_AJUSTE,MOT_MOTOR,G233,MOT_MARCA,"(todas)",MOT_DESDE,"&lt;="&amp;M233,MOT_HASTA,"&gt;="&amp;M233)</f>
        <v/>
      </c>
      <c r="BT233" s="3">
        <f>SUMIFS(COMB_AJUSTE,COMB_COMB,K233)</f>
        <v/>
      </c>
      <c r="BU233" s="3">
        <f>COUNTIFS(MOT_MOTOR,G233,MOT_MARCA,E233,MOT_DESDE,"&lt;="&amp;M233,MOT_HASTA,"&gt;="&amp;M233)+COUNTIFS(MOT_MOTOR,G233,MOT_MARCA,"(todas)",MOT_DESDE,"&lt;="&amp;M233,MOT_HASTA,"&gt;="&amp;M233)</f>
        <v/>
      </c>
      <c r="BV233" s="3">
        <f>IF(AND(K233="diesel",BU233=0),MIN(BR233,NEUTRO),BR233)</f>
        <v/>
      </c>
      <c r="BW233" s="4">
        <f>MAX(0,MIN(100,BV233+BS233+BT233))</f>
        <v/>
      </c>
      <c r="BX233" s="3">
        <f>MAX(0,MIN(100,50+BK233*PRECIO_PEND))</f>
        <v/>
      </c>
      <c r="BY233" s="3">
        <f>MAX(0,100*(1-N233/KM_MAX))</f>
        <v/>
      </c>
      <c r="BZ233" s="3">
        <f>IF(BB233&lt;KMA_SOSP,IF(AA233="sí",100,KMA_PEN),IF(BB233&lt;=KMA_IDEAL_MAX,100,MAX(0,100*(KMA_CERO-BB233)/(KMA_CERO-KMA_IDEAL_MAX))))</f>
        <v/>
      </c>
      <c r="CA233" s="3">
        <f>MAX(0,MIN(100,100*(M233-ANIO_MIN)/(ANIO_ACTUAL-ANIO_MIN)))</f>
        <v/>
      </c>
      <c r="CB233" s="3">
        <f>W_KMT*BY233+W_KMA*BZ233+W_EDAD*CA233</f>
        <v/>
      </c>
      <c r="CC233" s="3">
        <f>P_ITV*(V233="sí")+P_LIBRO*(W233="sí")+P_CORREA*(X233="sí")+P_PROP*(Y233=1)+P_GAR*(Z233="sí")+P_FOTOS*MIN(1,N(U233)/FOTOS_OBJ)</f>
        <v/>
      </c>
      <c r="CD233" s="3">
        <f>MAX(0,MIN(100,IFERROR(VLOOKUP(BP233,ETQ_TBL,2,0),0)-IF(BQ233="sí",ETQ_PEN_DUD,IF(AS233="regla",ETQ_PEN_REGLA,0))))</f>
        <v/>
      </c>
      <c r="CE233" s="3">
        <f>NEUTRO</f>
        <v/>
      </c>
      <c r="CF233" s="3">
        <f>IFERROR(VLOOKUP(L233,SEGURO_TBL,3,0),"")</f>
        <v/>
      </c>
      <c r="CG233" s="3">
        <f>IF(CF233="",NEUTRO,MAX(0,MIN(100,100*(SEG_REF_MAX-CF233)/(SEG_REF_MAX-SEG_REF_MIN))))</f>
        <v/>
      </c>
      <c r="CH233" s="3">
        <f>W_CONS*CE233+W_SEG*CG233</f>
        <v/>
      </c>
      <c r="CI233" s="3">
        <f>IF(N(AB233)&gt;0,AB233,IF(AND(R233="profesional",SG_LEGAL_ON=1),GAR_LEGAL,0))</f>
        <v/>
      </c>
      <c r="CJ233" s="3">
        <f>SG_GAR*MIN(1,CI233/SG_GAR_FULL)+SG_AMPL*(AC233="sí")+SG_KMC*(AF233="sí")+SG_REV*(N(AE233)&gt;0)+SG_DEV*MIN(1,N(AG233)/SG_DEV_FULL)+SG_HIST*(W233="sí")</f>
        <v/>
      </c>
      <c r="CK233" s="3">
        <f>IFERROR(VLOOKUP(L233,CARR_PEN_TBL,2,0),0)</f>
        <v/>
      </c>
      <c r="CL233" s="3">
        <f>W_FIAB*BW233+W_PRECIO*BX233+W_KMEDAD*CB233+W_ANUNCIO*CC233+W_USO*CH233+W_SEGURIDAD*CJ233+W_ETIQUETA*CD233-CK233</f>
        <v/>
      </c>
      <c r="CM233" s="4">
        <f>IF(N(I233)&gt;0,I233,IFERROR(ROUND(_xlfn.NUMBERVALUE(LEFT(G233,FIND(" ",G233&amp;" ")-1),".")*1000,0),99999))</f>
        <v/>
      </c>
      <c r="CN233" s="3">
        <f>IF(R233="profesional",0,IF(O233&lt;CUOTA_VALOR_MAX,IF(BA233&gt;ITP_TRAMO_ALTO,SUMIFS(CF_CUOTA,CF_MAS,ITP_TRAMO_ALTO,CF_CCMIN,"&lt;="&amp;CM233,CF_CCMAX,"&gt;="&amp;CM233),IF(BA233&gt;ITP_TRAMO_BAJO,SUMIFS(CF_CUOTA,CF_MAS,ITP_TRAMO_BAJO,CF_CCMIN,"&lt;="&amp;CM233,CF_CCMAX,"&gt;="&amp;CM233),O233*ITP_TIPO)),O233*ITP_TIPO))</f>
        <v/>
      </c>
      <c r="CO233" s="4">
        <f>IF(R233="profesional",N(AK233),0)</f>
        <v/>
      </c>
      <c r="CP233" s="3">
        <f>IF(AND(R233="profesional",ISNUMBER(AK233),AL233="sí"),0,TASA_DGT)</f>
        <v/>
      </c>
      <c r="CQ233" s="3">
        <f>INFORME_DGT</f>
        <v/>
      </c>
      <c r="CR233" s="4">
        <f>O233+CO233+CN233+CP233+CQ233</f>
        <v/>
      </c>
      <c r="CS233" s="4">
        <f>CR233+N(CF233)</f>
        <v/>
      </c>
      <c r="CT233" s="3">
        <f>IF(CR233&lt;=TOTAL_MAX,"sí",IF(CR233&lt;=TOTAL_MAX+MARGEN_NEG,"negociar","no"))</f>
        <v/>
      </c>
      <c r="CU233" s="4">
        <f>IF(CT233&lt;&gt;"no",COUNTIFS($CT$2:$CT$545,"&lt;&gt;no",$CL$2:$CL$545,"&gt;"&amp;CL233)+COUNTIFS($CT$2:CT233,"&lt;&gt;no",$CL$2:CL233,CL233),"")</f>
        <v/>
      </c>
    </row>
    <row r="234">
      <c r="A234" s="2" t="inlineStr">
        <is>
          <t>cochesnet:71302718</t>
        </is>
      </c>
      <c r="B234" s="2" t="inlineStr">
        <is>
          <t>cochesnet</t>
        </is>
      </c>
      <c r="C234" s="2" t="inlineStr">
        <is>
          <t>https://www.coches.net/volkswagen-polo-14-tdi-edition-70cv-5p-diesel-2007-en-valencia-71302718-covo.aspx</t>
        </is>
      </c>
      <c r="D234" s="2" t="inlineStr">
        <is>
          <t>VOLKSWAGEN Polo 1.4 TDI Edition</t>
        </is>
      </c>
      <c r="E234" s="2" t="inlineStr">
        <is>
          <t>Volkswagen</t>
        </is>
      </c>
      <c r="F234" s="2" t="inlineStr">
        <is>
          <t>Volkswagen Polo</t>
        </is>
      </c>
      <c r="G234" s="2" t="inlineStr">
        <is>
          <t>1.4 TDI</t>
        </is>
      </c>
      <c r="H234" s="2" t="inlineStr">
        <is>
          <t>1.4 TDI Edition 70cv</t>
        </is>
      </c>
      <c r="I234" s="2" t="n"/>
      <c r="J234" s="2" t="n">
        <v>70</v>
      </c>
      <c r="K234" s="2" t="inlineStr">
        <is>
          <t>diesel</t>
        </is>
      </c>
      <c r="L234" s="2" t="inlineStr">
        <is>
          <t>utilitario</t>
        </is>
      </c>
      <c r="M234" s="2" t="n">
        <v>2007</v>
      </c>
      <c r="N234" s="2" t="n">
        <v>163000</v>
      </c>
      <c r="O234" s="2" t="n">
        <v>5200</v>
      </c>
      <c r="P234" s="2" t="inlineStr">
        <is>
          <t>manual</t>
        </is>
      </c>
      <c r="Q234" s="2" t="inlineStr">
        <is>
          <t>no</t>
        </is>
      </c>
      <c r="R234" s="2" t="inlineStr">
        <is>
          <t>particular</t>
        </is>
      </c>
      <c r="S234" s="2" t="inlineStr">
        <is>
          <t>Torrent</t>
        </is>
      </c>
      <c r="T234" s="2" t="inlineStr">
        <is>
          <t>2026-08-16T21:13:54Z</t>
        </is>
      </c>
      <c r="U234" s="2" t="n">
        <v>16</v>
      </c>
      <c r="V234" s="2" t="n"/>
      <c r="W234" s="2" t="n"/>
      <c r="X234" s="2" t="n"/>
      <c r="Y234" s="2" t="n"/>
      <c r="Z234" s="2" t="inlineStr">
        <is>
          <t>no</t>
        </is>
      </c>
      <c r="AA234" s="2" t="n"/>
      <c r="AB234" s="2" t="n"/>
      <c r="AC234" s="2" t="n"/>
      <c r="AD234" s="2" t="n"/>
      <c r="AE234" s="2" t="n"/>
      <c r="AF234" s="2" t="n"/>
      <c r="AG234" s="2" t="n"/>
      <c r="AH234" s="2" t="n">
        <v>5200</v>
      </c>
      <c r="AI234" s="2" t="n"/>
      <c r="AJ234" s="2" t="n"/>
      <c r="AK234" s="2" t="n"/>
      <c r="AL234" s="2" t="n"/>
      <c r="AM234" s="2" t="n">
        <v>8.800000000000001</v>
      </c>
      <c r="AN234" s="2" t="n"/>
      <c r="AO234" s="2" t="inlineStr">
        <is>
          <t>2007</t>
        </is>
      </c>
      <c r="AP234" s="2" t="n">
        <v>2007</v>
      </c>
      <c r="AQ234" s="2" t="n"/>
      <c r="AR234" s="2" t="inlineStr">
        <is>
          <t>B</t>
        </is>
      </c>
      <c r="AS234" s="2" t="inlineStr">
        <is>
          <t>anuncio</t>
        </is>
      </c>
      <c r="AT234" s="2" t="n">
        <v>4850</v>
      </c>
      <c r="AU234" s="2" t="n">
        <v>6</v>
      </c>
      <c r="AV234" s="2" t="inlineStr">
        <is>
          <t>modelo+año+km</t>
        </is>
      </c>
      <c r="AW234" s="2" t="n"/>
      <c r="AX234" s="2" t="inlineStr">
        <is>
          <t>cuota fija ITP: &gt;12 años, hasta 1.500 cc; diésel: motor sin fuente de fiabilidad (fiabilidad limitada a neutra)</t>
        </is>
      </c>
      <c r="AY234" s="2" t="inlineStr">
        <is>
          <t xml:space="preserve">La ITV está vigente hasta marzo 2027.
</t>
        </is>
      </c>
      <c r="AZ234" s="2" t="inlineStr">
        <is>
          <t>https://www.coches.net/volkswagen-polo-14-tdi-edition-70cv-5p-diesel-2007-en-valencia-71302718-covo.aspx (window.__INITIAL_PROPS__.ad) /home/user/Alopecia/buscador-coches/raw/cochesnet/e1036891363be021.json</t>
        </is>
      </c>
      <c r="BA234" s="3">
        <f>MAX(ANIO_ACTUAL-M234,0)</f>
        <v/>
      </c>
      <c r="BB234" s="4">
        <f>N234/MAX(BA234,0.5)</f>
        <v/>
      </c>
      <c r="BC234" s="4">
        <f>F234</f>
        <v/>
      </c>
      <c r="BD234" s="3">
        <f>BC234&amp;"|"&amp;INT(M234/SEG_ANIO)*SEG_ANIO</f>
        <v/>
      </c>
      <c r="BE234" s="3">
        <f>BD234&amp;"|"&amp;INT(N234/SEG_KM)*SEG_KM</f>
        <v/>
      </c>
      <c r="BF234" s="4">
        <f>COUNTIF($BC$2:$BC$545,BC234)</f>
        <v/>
      </c>
      <c r="BG234" s="4">
        <f>COUNTIF($BD$2:$BD$545,BD234)</f>
        <v/>
      </c>
      <c r="BH234" s="4">
        <f>COUNTIF($BE$2:$BE$545,BE234)</f>
        <v/>
      </c>
      <c r="BI234" s="3">
        <f t="array" ref="BI234">IF(N(AU234)&gt;=MIN_N,AT234,IF(BH234&gt;=MIN_N,MEDIAN(IF($BE$2:$BE$545=BE234,$O$2:$O$545)),IF(BG234&gt;=MIN_N,MEDIAN(IF($BD$2:$BD$545=BD234,$O$2:$O$545)),MEDIAN(IF($BC$2:$BC$545=BC234,$O$2:$O$545)))))</f>
        <v/>
      </c>
      <c r="BJ234" s="3">
        <f>IF(N(AU234)&gt;=MIN_N,"mercado "&amp;AV234,IF(BH234&gt;=MIN_N,"modelo+año+km",IF(BG234&gt;=MIN_N,"modelo+año","modelo")))</f>
        <v/>
      </c>
      <c r="BK234" s="4">
        <f>(BI234-O234)/BI234</f>
        <v/>
      </c>
      <c r="BL234" s="3">
        <f>IF(COUNTIFS(FR_FUEL,K234,FR_YEAR,AP234)&gt;0,1,0)</f>
        <v/>
      </c>
      <c r="BM234" s="3">
        <f>IF(COUNTIFS(FR_FUEL,K234,FR_YEAR,AP234-1)&gt;0,1,0)</f>
        <v/>
      </c>
      <c r="BN234" s="4">
        <f>IF(N(AQ234)&gt;0,AP234*100+AQ234,IF(AND(BL234=1,BM234=1),(AP234-1)*100+1,AP234*100+1))</f>
        <v/>
      </c>
      <c r="BO234" s="3">
        <f>IF(OR(K234="hibrido",K234="glp",K234="gnc",K234="phev"),"ECO",IF(K234="electrico","CERO",IF(K234="gasolina",IF(BN234&gt;=GAS_C_YM,"C",IF(BN234&gt;=GAS_B_YM,"B","A")),IF(K234="diesel",IF(BN234&gt;=DIE_C_YM,"C",IF(BN234&gt;=DIE_B_YM,"B","A")),""))))</f>
        <v/>
      </c>
      <c r="BP234" s="2" t="inlineStr">
        <is>
          <t>B</t>
        </is>
      </c>
      <c r="BQ234" s="4">
        <f>IF(AS234="regla",IF(AND(N(AQ234)=0,BL234=1),"sí","no"),"no")</f>
        <v/>
      </c>
      <c r="BR234" s="3">
        <f>IFERROR(VLOOKUP(F234,MOD_TBL,11,0),IFERROR(VLOOKUP(E234,OCU_TBL,2,0),NEUTRO))</f>
        <v/>
      </c>
      <c r="BS234" s="3">
        <f>SUMIFS(MOT_AJUSTE,MOT_MOTOR,G234,MOT_MARCA,E234,MOT_DESDE,"&lt;="&amp;M234,MOT_HASTA,"&gt;="&amp;M234)+SUMIFS(MOT_AJUSTE,MOT_MOTOR,G234,MOT_MARCA,"(todas)",MOT_DESDE,"&lt;="&amp;M234,MOT_HASTA,"&gt;="&amp;M234)</f>
        <v/>
      </c>
      <c r="BT234" s="3">
        <f>SUMIFS(COMB_AJUSTE,COMB_COMB,K234)</f>
        <v/>
      </c>
      <c r="BU234" s="3">
        <f>COUNTIFS(MOT_MOTOR,G234,MOT_MARCA,E234,MOT_DESDE,"&lt;="&amp;M234,MOT_HASTA,"&gt;="&amp;M234)+COUNTIFS(MOT_MOTOR,G234,MOT_MARCA,"(todas)",MOT_DESDE,"&lt;="&amp;M234,MOT_HASTA,"&gt;="&amp;M234)</f>
        <v/>
      </c>
      <c r="BV234" s="3">
        <f>IF(AND(K234="diesel",BU234=0),MIN(BR234,NEUTRO),BR234)</f>
        <v/>
      </c>
      <c r="BW234" s="4">
        <f>MAX(0,MIN(100,BV234+BS234+BT234))</f>
        <v/>
      </c>
      <c r="BX234" s="3">
        <f>MAX(0,MIN(100,50+BK234*PRECIO_PEND))</f>
        <v/>
      </c>
      <c r="BY234" s="3">
        <f>MAX(0,100*(1-N234/KM_MAX))</f>
        <v/>
      </c>
      <c r="BZ234" s="3">
        <f>IF(BB234&lt;KMA_SOSP,IF(AA234="sí",100,KMA_PEN),IF(BB234&lt;=KMA_IDEAL_MAX,100,MAX(0,100*(KMA_CERO-BB234)/(KMA_CERO-KMA_IDEAL_MAX))))</f>
        <v/>
      </c>
      <c r="CA234" s="3">
        <f>MAX(0,MIN(100,100*(M234-ANIO_MIN)/(ANIO_ACTUAL-ANIO_MIN)))</f>
        <v/>
      </c>
      <c r="CB234" s="3">
        <f>W_KMT*BY234+W_KMA*BZ234+W_EDAD*CA234</f>
        <v/>
      </c>
      <c r="CC234" s="3">
        <f>P_ITV*(V234="sí")+P_LIBRO*(W234="sí")+P_CORREA*(X234="sí")+P_PROP*(Y234=1)+P_GAR*(Z234="sí")+P_FOTOS*MIN(1,N(U234)/FOTOS_OBJ)</f>
        <v/>
      </c>
      <c r="CD234" s="3">
        <f>MAX(0,MIN(100,IFERROR(VLOOKUP(BP234,ETQ_TBL,2,0),0)-IF(BQ234="sí",ETQ_PEN_DUD,IF(AS234="regla",ETQ_PEN_REGLA,0))))</f>
        <v/>
      </c>
      <c r="CE234" s="3">
        <f>NEUTRO</f>
        <v/>
      </c>
      <c r="CF234" s="3">
        <f>IFERROR(VLOOKUP(L234,SEGURO_TBL,3,0),"")</f>
        <v/>
      </c>
      <c r="CG234" s="3">
        <f>IF(CF234="",NEUTRO,MAX(0,MIN(100,100*(SEG_REF_MAX-CF234)/(SEG_REF_MAX-SEG_REF_MIN))))</f>
        <v/>
      </c>
      <c r="CH234" s="3">
        <f>W_CONS*CE234+W_SEG*CG234</f>
        <v/>
      </c>
      <c r="CI234" s="3">
        <f>IF(N(AB234)&gt;0,AB234,IF(AND(R234="profesional",SG_LEGAL_ON=1),GAR_LEGAL,0))</f>
        <v/>
      </c>
      <c r="CJ234" s="3">
        <f>SG_GAR*MIN(1,CI234/SG_GAR_FULL)+SG_AMPL*(AC234="sí")+SG_KMC*(AF234="sí")+SG_REV*(N(AE234)&gt;0)+SG_DEV*MIN(1,N(AG234)/SG_DEV_FULL)+SG_HIST*(W234="sí")</f>
        <v/>
      </c>
      <c r="CK234" s="3">
        <f>IFERROR(VLOOKUP(L234,CARR_PEN_TBL,2,0),0)</f>
        <v/>
      </c>
      <c r="CL234" s="3">
        <f>W_FIAB*BW234+W_PRECIO*BX234+W_KMEDAD*CB234+W_ANUNCIO*CC234+W_USO*CH234+W_SEGURIDAD*CJ234+W_ETIQUETA*CD234-CK234</f>
        <v/>
      </c>
      <c r="CM234" s="4">
        <f>IF(N(I234)&gt;0,I234,IFERROR(ROUND(_xlfn.NUMBERVALUE(LEFT(G234,FIND(" ",G234&amp;" ")-1),".")*1000,0),99999))</f>
        <v/>
      </c>
      <c r="CN234" s="3">
        <f>IF(R234="profesional",0,IF(O234&lt;CUOTA_VALOR_MAX,IF(BA234&gt;ITP_TRAMO_ALTO,SUMIFS(CF_CUOTA,CF_MAS,ITP_TRAMO_ALTO,CF_CCMIN,"&lt;="&amp;CM234,CF_CCMAX,"&gt;="&amp;CM234),IF(BA234&gt;ITP_TRAMO_BAJO,SUMIFS(CF_CUOTA,CF_MAS,ITP_TRAMO_BAJO,CF_CCMIN,"&lt;="&amp;CM234,CF_CCMAX,"&gt;="&amp;CM234),O234*ITP_TIPO)),O234*ITP_TIPO))</f>
        <v/>
      </c>
      <c r="CO234" s="4">
        <f>IF(R234="profesional",N(AK234),0)</f>
        <v/>
      </c>
      <c r="CP234" s="3">
        <f>IF(AND(R234="profesional",ISNUMBER(AK234),AL234="sí"),0,TASA_DGT)</f>
        <v/>
      </c>
      <c r="CQ234" s="3">
        <f>INFORME_DGT</f>
        <v/>
      </c>
      <c r="CR234" s="4">
        <f>O234+CO234+CN234+CP234+CQ234</f>
        <v/>
      </c>
      <c r="CS234" s="4">
        <f>CR234+N(CF234)</f>
        <v/>
      </c>
      <c r="CT234" s="3">
        <f>IF(CR234&lt;=TOTAL_MAX,"sí",IF(CR234&lt;=TOTAL_MAX+MARGEN_NEG,"negociar","no"))</f>
        <v/>
      </c>
      <c r="CU234" s="4">
        <f>IF(CT234&lt;&gt;"no",COUNTIFS($CT$2:$CT$545,"&lt;&gt;no",$CL$2:$CL$545,"&gt;"&amp;CL234)+COUNTIFS($CT$2:CT234,"&lt;&gt;no",$CL$2:CL234,CL234),"")</f>
        <v/>
      </c>
    </row>
    <row r="235">
      <c r="A235" s="2" t="inlineStr">
        <is>
          <t>cochesnet:71806576</t>
        </is>
      </c>
      <c r="B235" s="2" t="inlineStr">
        <is>
          <t>cochesnet</t>
        </is>
      </c>
      <c r="C235" s="2" t="inlineStr">
        <is>
          <t>https://www.coches.net/opel-corsa-enjoy-12-5p-gasolina-2008-en-valencia-71806576-covo.aspx</t>
        </is>
      </c>
      <c r="D235" s="2" t="inlineStr">
        <is>
          <t>OPEL Corsa Enjoy 1.2</t>
        </is>
      </c>
      <c r="E235" s="2" t="inlineStr">
        <is>
          <t>Opel</t>
        </is>
      </c>
      <c r="F235" s="2" t="inlineStr">
        <is>
          <t>Opel Corsa</t>
        </is>
      </c>
      <c r="G235" s="2" t="inlineStr">
        <is>
          <t>1.2</t>
        </is>
      </c>
      <c r="H235" s="2" t="inlineStr">
        <is>
          <t>Enjoy 1.2</t>
        </is>
      </c>
      <c r="I235" s="2" t="n"/>
      <c r="J235" s="2" t="n"/>
      <c r="K235" s="2" t="inlineStr">
        <is>
          <t>gasolina</t>
        </is>
      </c>
      <c r="L235" s="2" t="inlineStr">
        <is>
          <t>utilitario</t>
        </is>
      </c>
      <c r="M235" s="2" t="n">
        <v>2008</v>
      </c>
      <c r="N235" s="2" t="n">
        <v>93267</v>
      </c>
      <c r="O235" s="2" t="n">
        <v>4990</v>
      </c>
      <c r="P235" s="2" t="inlineStr">
        <is>
          <t>manual</t>
        </is>
      </c>
      <c r="Q235" s="2" t="inlineStr">
        <is>
          <t>no</t>
        </is>
      </c>
      <c r="R235" s="2" t="inlineStr">
        <is>
          <t>profesional</t>
        </is>
      </c>
      <c r="S235" s="2" t="inlineStr">
        <is>
          <t>Alzira</t>
        </is>
      </c>
      <c r="T235" s="2" t="inlineStr">
        <is>
          <t>2026-10-22T10:45:15Z</t>
        </is>
      </c>
      <c r="U235" s="2" t="n">
        <v>18</v>
      </c>
      <c r="V235" s="2" t="n"/>
      <c r="W235" s="2" t="n"/>
      <c r="X235" s="2" t="n"/>
      <c r="Y235" s="2" t="n"/>
      <c r="Z235" s="2" t="inlineStr">
        <is>
          <t>no</t>
        </is>
      </c>
      <c r="AA235" s="2" t="n"/>
      <c r="AB235" s="2" t="n"/>
      <c r="AC235" s="2" t="n"/>
      <c r="AD235" s="2" t="n"/>
      <c r="AE235" s="2" t="n"/>
      <c r="AF235" s="2" t="n"/>
      <c r="AG235" s="2" t="n"/>
      <c r="AH235" s="2" t="n">
        <v>4990</v>
      </c>
      <c r="AI235" s="2" t="n"/>
      <c r="AJ235" s="2" t="n"/>
      <c r="AK235" s="2" t="n"/>
      <c r="AL235" s="2" t="n"/>
      <c r="AM235" s="2" t="n">
        <v>35.7</v>
      </c>
      <c r="AN235" s="2" t="n"/>
      <c r="AO235" s="2" t="inlineStr">
        <is>
          <t>2008</t>
        </is>
      </c>
      <c r="AP235" s="2" t="n">
        <v>2008</v>
      </c>
      <c r="AQ235" s="2" t="n"/>
      <c r="AR235" s="2" t="inlineStr">
        <is>
          <t>C</t>
        </is>
      </c>
      <c r="AS235" s="2" t="inlineStr">
        <is>
          <t>anuncio</t>
        </is>
      </c>
      <c r="AT235" s="2" t="n">
        <v>3000</v>
      </c>
      <c r="AU235" s="2" t="n">
        <v>35</v>
      </c>
      <c r="AV235" s="2" t="inlineStr">
        <is>
          <t>modelo+año</t>
        </is>
      </c>
      <c r="AW235" s="2" t="n"/>
      <c r="AX235" s="2" t="inlineStr">
        <is>
          <t>por encima del presupuesto (5054 €), negociar; vendedor profesional: sin ITP (operación con IVA/REBU, confirmar en factura); gastos de gestión del vendedor no indicados: se suma la tasa DGT; preguntar el precio final</t>
        </is>
      </c>
      <c r="AY235" s="2" t="inlineStr">
        <is>
          <t>Con garantía y cambio de nombre 5.500
Lo clave en 5 datos
Motor: 1.2 Gasolina (Fiable, suave y de mantenimiento muy económico)
Año: 2008
Kilómetros: 93.267 km (Certificados, kilometraje muy bajo para su año)
Acabado: Enjoy
Etiqueta DGT: C (Verde)
¿Por qué destaca esta unidad?
Poco rodaje: Menos de 95.000 km acumulados, lo que garantiza un estado mecánico con mucha vida útil por delante.
Mecánica sencilla y duradera: Motor de gasolina atmosférico de baja complejidad, ideal para evitar averías costosas.
Agilidad en ciudad: Tamaño compacto, fácil de aparcar y respuesta ágil en el tráfico urbano.
Acabado Enjoy: Incluye aire acondicionado, elevalunas eléctricos, dirección asistida con modo de maniobra y mandos en el volante.
¿Buscas un coche práctico, duradero y económico de mantener? Contáctanos ahora para consultar opciones de financiación a tu medida o agendar una prueba de conducción sin compromiso.</t>
        </is>
      </c>
      <c r="AZ235" s="2" t="inlineStr">
        <is>
          <t>https://www.coches.net/opel-corsa-enjoy-12-5p-gasolina-2008-en-valencia-71806576-covo.aspx (window.__INITIAL_PROPS__.ad) /home/user/Alopecia/buscador-coches/raw/cochesnet/06d5c7ae03c437e7.json</t>
        </is>
      </c>
      <c r="BA235" s="3">
        <f>MAX(ANIO_ACTUAL-M235,0)</f>
        <v/>
      </c>
      <c r="BB235" s="4">
        <f>N235/MAX(BA235,0.5)</f>
        <v/>
      </c>
      <c r="BC235" s="4">
        <f>F235</f>
        <v/>
      </c>
      <c r="BD235" s="3">
        <f>BC235&amp;"|"&amp;INT(M235/SEG_ANIO)*SEG_ANIO</f>
        <v/>
      </c>
      <c r="BE235" s="3">
        <f>BD235&amp;"|"&amp;INT(N235/SEG_KM)*SEG_KM</f>
        <v/>
      </c>
      <c r="BF235" s="4">
        <f>COUNTIF($BC$2:$BC$545,BC235)</f>
        <v/>
      </c>
      <c r="BG235" s="4">
        <f>COUNTIF($BD$2:$BD$545,BD235)</f>
        <v/>
      </c>
      <c r="BH235" s="4">
        <f>COUNTIF($BE$2:$BE$545,BE235)</f>
        <v/>
      </c>
      <c r="BI235" s="3">
        <f t="array" ref="BI235">IF(N(AU235)&gt;=MIN_N,AT235,IF(BH235&gt;=MIN_N,MEDIAN(IF($BE$2:$BE$545=BE235,$O$2:$O$545)),IF(BG235&gt;=MIN_N,MEDIAN(IF($BD$2:$BD$545=BD235,$O$2:$O$545)),MEDIAN(IF($BC$2:$BC$545=BC235,$O$2:$O$545)))))</f>
        <v/>
      </c>
      <c r="BJ235" s="3">
        <f>IF(N(AU235)&gt;=MIN_N,"mercado "&amp;AV235,IF(BH235&gt;=MIN_N,"modelo+año+km",IF(BG235&gt;=MIN_N,"modelo+año","modelo")))</f>
        <v/>
      </c>
      <c r="BK235" s="4">
        <f>(BI235-O235)/BI235</f>
        <v/>
      </c>
      <c r="BL235" s="3">
        <f>IF(COUNTIFS(FR_FUEL,K235,FR_YEAR,AP235)&gt;0,1,0)</f>
        <v/>
      </c>
      <c r="BM235" s="3">
        <f>IF(COUNTIFS(FR_FUEL,K235,FR_YEAR,AP235-1)&gt;0,1,0)</f>
        <v/>
      </c>
      <c r="BN235" s="4">
        <f>IF(N(AQ235)&gt;0,AP235*100+AQ235,IF(AND(BL235=1,BM235=1),(AP235-1)*100+1,AP235*100+1))</f>
        <v/>
      </c>
      <c r="BO235" s="3">
        <f>IF(OR(K235="hibrido",K235="glp",K235="gnc",K235="phev"),"ECO",IF(K235="electrico","CERO",IF(K235="gasolina",IF(BN235&gt;=GAS_C_YM,"C",IF(BN235&gt;=GAS_B_YM,"B","A")),IF(K235="diesel",IF(BN235&gt;=DIE_C_YM,"C",IF(BN235&gt;=DIE_B_YM,"B","A")),""))))</f>
        <v/>
      </c>
      <c r="BP235" s="2" t="inlineStr">
        <is>
          <t>C</t>
        </is>
      </c>
      <c r="BQ235" s="4">
        <f>IF(AS235="regla",IF(AND(N(AQ235)=0,BL235=1),"sí","no"),"no")</f>
        <v/>
      </c>
      <c r="BR235" s="3">
        <f>IFERROR(VLOOKUP(F235,MOD_TBL,11,0),IFERROR(VLOOKUP(E235,OCU_TBL,2,0),NEUTRO))</f>
        <v/>
      </c>
      <c r="BS235" s="3">
        <f>SUMIFS(MOT_AJUSTE,MOT_MOTOR,G235,MOT_MARCA,E235,MOT_DESDE,"&lt;="&amp;M235,MOT_HASTA,"&gt;="&amp;M235)+SUMIFS(MOT_AJUSTE,MOT_MOTOR,G235,MOT_MARCA,"(todas)",MOT_DESDE,"&lt;="&amp;M235,MOT_HASTA,"&gt;="&amp;M235)</f>
        <v/>
      </c>
      <c r="BT235" s="3">
        <f>SUMIFS(COMB_AJUSTE,COMB_COMB,K235)</f>
        <v/>
      </c>
      <c r="BU235" s="3">
        <f>COUNTIFS(MOT_MOTOR,G235,MOT_MARCA,E235,MOT_DESDE,"&lt;="&amp;M235,MOT_HASTA,"&gt;="&amp;M235)+COUNTIFS(MOT_MOTOR,G235,MOT_MARCA,"(todas)",MOT_DESDE,"&lt;="&amp;M235,MOT_HASTA,"&gt;="&amp;M235)</f>
        <v/>
      </c>
      <c r="BV235" s="3">
        <f>IF(AND(K235="diesel",BU235=0),MIN(BR235,NEUTRO),BR235)</f>
        <v/>
      </c>
      <c r="BW235" s="4">
        <f>MAX(0,MIN(100,BV235+BS235+BT235))</f>
        <v/>
      </c>
      <c r="BX235" s="3">
        <f>MAX(0,MIN(100,50+BK235*PRECIO_PEND))</f>
        <v/>
      </c>
      <c r="BY235" s="3">
        <f>MAX(0,100*(1-N235/KM_MAX))</f>
        <v/>
      </c>
      <c r="BZ235" s="3">
        <f>IF(BB235&lt;KMA_SOSP,IF(AA235="sí",100,KMA_PEN),IF(BB235&lt;=KMA_IDEAL_MAX,100,MAX(0,100*(KMA_CERO-BB235)/(KMA_CERO-KMA_IDEAL_MAX))))</f>
        <v/>
      </c>
      <c r="CA235" s="3">
        <f>MAX(0,MIN(100,100*(M235-ANIO_MIN)/(ANIO_ACTUAL-ANIO_MIN)))</f>
        <v/>
      </c>
      <c r="CB235" s="3">
        <f>W_KMT*BY235+W_KMA*BZ235+W_EDAD*CA235</f>
        <v/>
      </c>
      <c r="CC235" s="3">
        <f>P_ITV*(V235="sí")+P_LIBRO*(W235="sí")+P_CORREA*(X235="sí")+P_PROP*(Y235=1)+P_GAR*(Z235="sí")+P_FOTOS*MIN(1,N(U235)/FOTOS_OBJ)</f>
        <v/>
      </c>
      <c r="CD235" s="3">
        <f>MAX(0,MIN(100,IFERROR(VLOOKUP(BP235,ETQ_TBL,2,0),0)-IF(BQ235="sí",ETQ_PEN_DUD,IF(AS235="regla",ETQ_PEN_REGLA,0))))</f>
        <v/>
      </c>
      <c r="CE235" s="3">
        <f>NEUTRO</f>
        <v/>
      </c>
      <c r="CF235" s="3">
        <f>IFERROR(VLOOKUP(L235,SEGURO_TBL,3,0),"")</f>
        <v/>
      </c>
      <c r="CG235" s="3">
        <f>IF(CF235="",NEUTRO,MAX(0,MIN(100,100*(SEG_REF_MAX-CF235)/(SEG_REF_MAX-SEG_REF_MIN))))</f>
        <v/>
      </c>
      <c r="CH235" s="3">
        <f>W_CONS*CE235+W_SEG*CG235</f>
        <v/>
      </c>
      <c r="CI235" s="3">
        <f>IF(N(AB235)&gt;0,AB235,IF(AND(R235="profesional",SG_LEGAL_ON=1),GAR_LEGAL,0))</f>
        <v/>
      </c>
      <c r="CJ235" s="3">
        <f>SG_GAR*MIN(1,CI235/SG_GAR_FULL)+SG_AMPL*(AC235="sí")+SG_KMC*(AF235="sí")+SG_REV*(N(AE235)&gt;0)+SG_DEV*MIN(1,N(AG235)/SG_DEV_FULL)+SG_HIST*(W235="sí")</f>
        <v/>
      </c>
      <c r="CK235" s="3">
        <f>IFERROR(VLOOKUP(L235,CARR_PEN_TBL,2,0),0)</f>
        <v/>
      </c>
      <c r="CL235" s="3">
        <f>W_FIAB*BW235+W_PRECIO*BX235+W_KMEDAD*CB235+W_ANUNCIO*CC235+W_USO*CH235+W_SEGURIDAD*CJ235+W_ETIQUETA*CD235-CK235</f>
        <v/>
      </c>
      <c r="CM235" s="4">
        <f>IF(N(I235)&gt;0,I235,IFERROR(ROUND(_xlfn.NUMBERVALUE(LEFT(G235,FIND(" ",G235&amp;" ")-1),".")*1000,0),99999))</f>
        <v/>
      </c>
      <c r="CN235" s="3">
        <f>IF(R235="profesional",0,IF(O235&lt;CUOTA_VALOR_MAX,IF(BA235&gt;ITP_TRAMO_ALTO,SUMIFS(CF_CUOTA,CF_MAS,ITP_TRAMO_ALTO,CF_CCMIN,"&lt;="&amp;CM235,CF_CCMAX,"&gt;="&amp;CM235),IF(BA235&gt;ITP_TRAMO_BAJO,SUMIFS(CF_CUOTA,CF_MAS,ITP_TRAMO_BAJO,CF_CCMIN,"&lt;="&amp;CM235,CF_CCMAX,"&gt;="&amp;CM235),O235*ITP_TIPO)),O235*ITP_TIPO))</f>
        <v/>
      </c>
      <c r="CO235" s="4">
        <f>IF(R235="profesional",N(AK235),0)</f>
        <v/>
      </c>
      <c r="CP235" s="3">
        <f>IF(AND(R235="profesional",ISNUMBER(AK235),AL235="sí"),0,TASA_DGT)</f>
        <v/>
      </c>
      <c r="CQ235" s="3">
        <f>INFORME_DGT</f>
        <v/>
      </c>
      <c r="CR235" s="4">
        <f>O235+CO235+CN235+CP235+CQ235</f>
        <v/>
      </c>
      <c r="CS235" s="4">
        <f>CR235+N(CF235)</f>
        <v/>
      </c>
      <c r="CT235" s="3">
        <f>IF(CR235&lt;=TOTAL_MAX,"sí",IF(CR235&lt;=TOTAL_MAX+MARGEN_NEG,"negociar","no"))</f>
        <v/>
      </c>
      <c r="CU235" s="4">
        <f>IF(CT235&lt;&gt;"no",COUNTIFS($CT$2:$CT$545,"&lt;&gt;no",$CL$2:$CL$545,"&gt;"&amp;CL235)+COUNTIFS($CT$2:CT235,"&lt;&gt;no",$CL$2:CL235,CL235),"")</f>
        <v/>
      </c>
    </row>
    <row r="236">
      <c r="A236" s="2" t="inlineStr">
        <is>
          <t>cochesnet:71790451</t>
        </is>
      </c>
      <c r="B236" s="2" t="inlineStr">
        <is>
          <t>cochesnet</t>
        </is>
      </c>
      <c r="C236" s="2" t="inlineStr">
        <is>
          <t>https://www.coches.net/opel-corsa-enjoy-12-3p-gasolina-2007-en-valencia-71790451-covo.aspx</t>
        </is>
      </c>
      <c r="D236" s="2" t="inlineStr">
        <is>
          <t>OPEL Corsa Enjoy 1.2</t>
        </is>
      </c>
      <c r="E236" s="2" t="inlineStr">
        <is>
          <t>Opel</t>
        </is>
      </c>
      <c r="F236" s="2" t="inlineStr">
        <is>
          <t>Opel Corsa</t>
        </is>
      </c>
      <c r="G236" s="2" t="inlineStr">
        <is>
          <t>1.2</t>
        </is>
      </c>
      <c r="H236" s="2" t="inlineStr">
        <is>
          <t>Enjoy 1.2</t>
        </is>
      </c>
      <c r="I236" s="2" t="n"/>
      <c r="J236" s="2" t="n"/>
      <c r="K236" s="2" t="inlineStr">
        <is>
          <t>gasolina</t>
        </is>
      </c>
      <c r="L236" s="2" t="inlineStr">
        <is>
          <t>utilitario</t>
        </is>
      </c>
      <c r="M236" s="2" t="n">
        <v>2007</v>
      </c>
      <c r="N236" s="2" t="n">
        <v>206000</v>
      </c>
      <c r="O236" s="2" t="n">
        <v>2990</v>
      </c>
      <c r="P236" s="2" t="inlineStr">
        <is>
          <t>manual</t>
        </is>
      </c>
      <c r="Q236" s="2" t="inlineStr">
        <is>
          <t>no</t>
        </is>
      </c>
      <c r="R236" s="2" t="inlineStr">
        <is>
          <t>profesional</t>
        </is>
      </c>
      <c r="S236" s="2" t="inlineStr">
        <is>
          <t>Blessed drive Torrent</t>
        </is>
      </c>
      <c r="T236" s="2" t="inlineStr">
        <is>
          <t>2026-10-20T13:40:40Z</t>
        </is>
      </c>
      <c r="U236" s="2" t="n">
        <v>18</v>
      </c>
      <c r="V236" s="2" t="n"/>
      <c r="W236" s="2" t="n"/>
      <c r="X236" s="2" t="n"/>
      <c r="Y236" s="2" t="n"/>
      <c r="Z236" s="2" t="inlineStr">
        <is>
          <t>sí</t>
        </is>
      </c>
      <c r="AA236" s="2" t="n"/>
      <c r="AB236" s="2" t="n">
        <v>12</v>
      </c>
      <c r="AC236" s="2" t="n"/>
      <c r="AD236" s="2" t="n"/>
      <c r="AE236" s="2" t="n"/>
      <c r="AF236" s="2" t="n"/>
      <c r="AG236" s="2" t="n"/>
      <c r="AH236" s="2" t="n">
        <v>2990</v>
      </c>
      <c r="AI236" s="2" t="n">
        <v>2999</v>
      </c>
      <c r="AJ236" s="2" t="n"/>
      <c r="AK236" s="2" t="n"/>
      <c r="AL236" s="2" t="n"/>
      <c r="AM236" s="2" t="n">
        <v>8.800000000000001</v>
      </c>
      <c r="AN236" s="2" t="n"/>
      <c r="AO236" s="2" t="inlineStr">
        <is>
          <t>2007</t>
        </is>
      </c>
      <c r="AP236" s="2" t="n">
        <v>2007</v>
      </c>
      <c r="AQ236" s="2" t="n"/>
      <c r="AR236" s="2" t="inlineStr">
        <is>
          <t>C</t>
        </is>
      </c>
      <c r="AS236" s="2" t="inlineStr">
        <is>
          <t>anuncio</t>
        </is>
      </c>
      <c r="AT236" s="2" t="n">
        <v>2990</v>
      </c>
      <c r="AU236" s="2" t="n">
        <v>11</v>
      </c>
      <c r="AV236" s="2" t="inlineStr">
        <is>
          <t>modelo+año+km</t>
        </is>
      </c>
      <c r="AW236" s="2" t="inlineStr">
        <is>
          <t>wallapop:1313126578 (https://es.wallapop.com/item/opel-corsa-2007-1313126578)</t>
        </is>
      </c>
      <c r="AX236" s="2" t="inlineStr">
        <is>
          <t>vendedor profesional: sin ITP (operación con IVA/REBU, confirmar en factura); gastos de gestión del vendedor no indicados: se suma la tasa DGT; preguntar el precio final</t>
        </is>
      </c>
      <c r="AY236" s="2" t="inlineStr">
        <is>
          <t xml:space="preserve">SE VENDE 
CON 1AÑO DE GARANTÍA 
CON POSIBILIDAD DE TRANSPORTAR A CUALQUIER PUNTO 
SE ENTREGA CON TODOS SUS MANTENIMIENTOS HECHOS 
EXTRAS
LLANTAS 
CLIMA
ELEVALUNAS ELÉCTRICOS 
DIRECCIÓN ASISTIDA 
AIRBAG 
ORDENADOR ABORDO 
ABS
VOLANTE MULTIFUNCION 
SISTEMA DE AUDIO 
RETROVISORES ELÉCTRICOS 
ANCLAJES ISOFIX 
CIERRE CENTRALIZADO 
MUCHISIMOS EXTRAS MAS 
</t>
        </is>
      </c>
      <c r="AZ236" s="2" t="inlineStr">
        <is>
          <t>https://www.coches.net/opel-corsa-enjoy-12-3p-gasolina-2007-en-valencia-71790451-covo.aspx (window.__INITIAL_PROPS__.ad) /home/user/Alopecia/buscador-coches/raw/cochesnet/e73d25cb95237e9a.json</t>
        </is>
      </c>
      <c r="BA236" s="3">
        <f>MAX(ANIO_ACTUAL-M236,0)</f>
        <v/>
      </c>
      <c r="BB236" s="4">
        <f>N236/MAX(BA236,0.5)</f>
        <v/>
      </c>
      <c r="BC236" s="4">
        <f>F236</f>
        <v/>
      </c>
      <c r="BD236" s="3">
        <f>BC236&amp;"|"&amp;INT(M236/SEG_ANIO)*SEG_ANIO</f>
        <v/>
      </c>
      <c r="BE236" s="3">
        <f>BD236&amp;"|"&amp;INT(N236/SEG_KM)*SEG_KM</f>
        <v/>
      </c>
      <c r="BF236" s="4">
        <f>COUNTIF($BC$2:$BC$545,BC236)</f>
        <v/>
      </c>
      <c r="BG236" s="4">
        <f>COUNTIF($BD$2:$BD$545,BD236)</f>
        <v/>
      </c>
      <c r="BH236" s="4">
        <f>COUNTIF($BE$2:$BE$545,BE236)</f>
        <v/>
      </c>
      <c r="BI236" s="3">
        <f t="array" ref="BI236">IF(N(AU236)&gt;=MIN_N,AT236,IF(BH236&gt;=MIN_N,MEDIAN(IF($BE$2:$BE$545=BE236,$O$2:$O$545)),IF(BG236&gt;=MIN_N,MEDIAN(IF($BD$2:$BD$545=BD236,$O$2:$O$545)),MEDIAN(IF($BC$2:$BC$545=BC236,$O$2:$O$545)))))</f>
        <v/>
      </c>
      <c r="BJ236" s="3">
        <f>IF(N(AU236)&gt;=MIN_N,"mercado "&amp;AV236,IF(BH236&gt;=MIN_N,"modelo+año+km",IF(BG236&gt;=MIN_N,"modelo+año","modelo")))</f>
        <v/>
      </c>
      <c r="BK236" s="4">
        <f>(BI236-O236)/BI236</f>
        <v/>
      </c>
      <c r="BL236" s="3">
        <f>IF(COUNTIFS(FR_FUEL,K236,FR_YEAR,AP236)&gt;0,1,0)</f>
        <v/>
      </c>
      <c r="BM236" s="3">
        <f>IF(COUNTIFS(FR_FUEL,K236,FR_YEAR,AP236-1)&gt;0,1,0)</f>
        <v/>
      </c>
      <c r="BN236" s="4">
        <f>IF(N(AQ236)&gt;0,AP236*100+AQ236,IF(AND(BL236=1,BM236=1),(AP236-1)*100+1,AP236*100+1))</f>
        <v/>
      </c>
      <c r="BO236" s="3">
        <f>IF(OR(K236="hibrido",K236="glp",K236="gnc",K236="phev"),"ECO",IF(K236="electrico","CERO",IF(K236="gasolina",IF(BN236&gt;=GAS_C_YM,"C",IF(BN236&gt;=GAS_B_YM,"B","A")),IF(K236="diesel",IF(BN236&gt;=DIE_C_YM,"C",IF(BN236&gt;=DIE_B_YM,"B","A")),""))))</f>
        <v/>
      </c>
      <c r="BP236" s="2" t="inlineStr">
        <is>
          <t>C</t>
        </is>
      </c>
      <c r="BQ236" s="4">
        <f>IF(AS236="regla",IF(AND(N(AQ236)=0,BL236=1),"sí","no"),"no")</f>
        <v/>
      </c>
      <c r="BR236" s="3">
        <f>IFERROR(VLOOKUP(F236,MOD_TBL,11,0),IFERROR(VLOOKUP(E236,OCU_TBL,2,0),NEUTRO))</f>
        <v/>
      </c>
      <c r="BS236" s="3">
        <f>SUMIFS(MOT_AJUSTE,MOT_MOTOR,G236,MOT_MARCA,E236,MOT_DESDE,"&lt;="&amp;M236,MOT_HASTA,"&gt;="&amp;M236)+SUMIFS(MOT_AJUSTE,MOT_MOTOR,G236,MOT_MARCA,"(todas)",MOT_DESDE,"&lt;="&amp;M236,MOT_HASTA,"&gt;="&amp;M236)</f>
        <v/>
      </c>
      <c r="BT236" s="3">
        <f>SUMIFS(COMB_AJUSTE,COMB_COMB,K236)</f>
        <v/>
      </c>
      <c r="BU236" s="3">
        <f>COUNTIFS(MOT_MOTOR,G236,MOT_MARCA,E236,MOT_DESDE,"&lt;="&amp;M236,MOT_HASTA,"&gt;="&amp;M236)+COUNTIFS(MOT_MOTOR,G236,MOT_MARCA,"(todas)",MOT_DESDE,"&lt;="&amp;M236,MOT_HASTA,"&gt;="&amp;M236)</f>
        <v/>
      </c>
      <c r="BV236" s="3">
        <f>IF(AND(K236="diesel",BU236=0),MIN(BR236,NEUTRO),BR236)</f>
        <v/>
      </c>
      <c r="BW236" s="4">
        <f>MAX(0,MIN(100,BV236+BS236+BT236))</f>
        <v/>
      </c>
      <c r="BX236" s="3">
        <f>MAX(0,MIN(100,50+BK236*PRECIO_PEND))</f>
        <v/>
      </c>
      <c r="BY236" s="3">
        <f>MAX(0,100*(1-N236/KM_MAX))</f>
        <v/>
      </c>
      <c r="BZ236" s="3">
        <f>IF(BB236&lt;KMA_SOSP,IF(AA236="sí",100,KMA_PEN),IF(BB236&lt;=KMA_IDEAL_MAX,100,MAX(0,100*(KMA_CERO-BB236)/(KMA_CERO-KMA_IDEAL_MAX))))</f>
        <v/>
      </c>
      <c r="CA236" s="3">
        <f>MAX(0,MIN(100,100*(M236-ANIO_MIN)/(ANIO_ACTUAL-ANIO_MIN)))</f>
        <v/>
      </c>
      <c r="CB236" s="3">
        <f>W_KMT*BY236+W_KMA*BZ236+W_EDAD*CA236</f>
        <v/>
      </c>
      <c r="CC236" s="3">
        <f>P_ITV*(V236="sí")+P_LIBRO*(W236="sí")+P_CORREA*(X236="sí")+P_PROP*(Y236=1)+P_GAR*(Z236="sí")+P_FOTOS*MIN(1,N(U236)/FOTOS_OBJ)</f>
        <v/>
      </c>
      <c r="CD236" s="3">
        <f>MAX(0,MIN(100,IFERROR(VLOOKUP(BP236,ETQ_TBL,2,0),0)-IF(BQ236="sí",ETQ_PEN_DUD,IF(AS236="regla",ETQ_PEN_REGLA,0))))</f>
        <v/>
      </c>
      <c r="CE236" s="3">
        <f>NEUTRO</f>
        <v/>
      </c>
      <c r="CF236" s="3">
        <f>IFERROR(VLOOKUP(L236,SEGURO_TBL,3,0),"")</f>
        <v/>
      </c>
      <c r="CG236" s="3">
        <f>IF(CF236="",NEUTRO,MAX(0,MIN(100,100*(SEG_REF_MAX-CF236)/(SEG_REF_MAX-SEG_REF_MIN))))</f>
        <v/>
      </c>
      <c r="CH236" s="3">
        <f>W_CONS*CE236+W_SEG*CG236</f>
        <v/>
      </c>
      <c r="CI236" s="3">
        <f>IF(N(AB236)&gt;0,AB236,IF(AND(R236="profesional",SG_LEGAL_ON=1),GAR_LEGAL,0))</f>
        <v/>
      </c>
      <c r="CJ236" s="3">
        <f>SG_GAR*MIN(1,CI236/SG_GAR_FULL)+SG_AMPL*(AC236="sí")+SG_KMC*(AF236="sí")+SG_REV*(N(AE236)&gt;0)+SG_DEV*MIN(1,N(AG236)/SG_DEV_FULL)+SG_HIST*(W236="sí")</f>
        <v/>
      </c>
      <c r="CK236" s="3">
        <f>IFERROR(VLOOKUP(L236,CARR_PEN_TBL,2,0),0)</f>
        <v/>
      </c>
      <c r="CL236" s="3">
        <f>W_FIAB*BW236+W_PRECIO*BX236+W_KMEDAD*CB236+W_ANUNCIO*CC236+W_USO*CH236+W_SEGURIDAD*CJ236+W_ETIQUETA*CD236-CK236</f>
        <v/>
      </c>
      <c r="CM236" s="4">
        <f>IF(N(I236)&gt;0,I236,IFERROR(ROUND(_xlfn.NUMBERVALUE(LEFT(G236,FIND(" ",G236&amp;" ")-1),".")*1000,0),99999))</f>
        <v/>
      </c>
      <c r="CN236" s="3">
        <f>IF(R236="profesional",0,IF(O236&lt;CUOTA_VALOR_MAX,IF(BA236&gt;ITP_TRAMO_ALTO,SUMIFS(CF_CUOTA,CF_MAS,ITP_TRAMO_ALTO,CF_CCMIN,"&lt;="&amp;CM236,CF_CCMAX,"&gt;="&amp;CM236),IF(BA236&gt;ITP_TRAMO_BAJO,SUMIFS(CF_CUOTA,CF_MAS,ITP_TRAMO_BAJO,CF_CCMIN,"&lt;="&amp;CM236,CF_CCMAX,"&gt;="&amp;CM236),O236*ITP_TIPO)),O236*ITP_TIPO))</f>
        <v/>
      </c>
      <c r="CO236" s="4">
        <f>IF(R236="profesional",N(AK236),0)</f>
        <v/>
      </c>
      <c r="CP236" s="3">
        <f>IF(AND(R236="profesional",ISNUMBER(AK236),AL236="sí"),0,TASA_DGT)</f>
        <v/>
      </c>
      <c r="CQ236" s="3">
        <f>INFORME_DGT</f>
        <v/>
      </c>
      <c r="CR236" s="4">
        <f>O236+CO236+CN236+CP236+CQ236</f>
        <v/>
      </c>
      <c r="CS236" s="4">
        <f>CR236+N(CF236)</f>
        <v/>
      </c>
      <c r="CT236" s="3">
        <f>IF(CR236&lt;=TOTAL_MAX,"sí",IF(CR236&lt;=TOTAL_MAX+MARGEN_NEG,"negociar","no"))</f>
        <v/>
      </c>
      <c r="CU236" s="4">
        <f>IF(CT236&lt;&gt;"no",COUNTIFS($CT$2:$CT$545,"&lt;&gt;no",$CL$2:$CL$545,"&gt;"&amp;CL236)+COUNTIFS($CT$2:CT236,"&lt;&gt;no",$CL$2:CL236,CL236),"")</f>
        <v/>
      </c>
    </row>
    <row r="237">
      <c r="A237" s="2" t="inlineStr">
        <is>
          <t>cochesnet:71818280</t>
        </is>
      </c>
      <c r="B237" s="2" t="inlineStr">
        <is>
          <t>cochesnet</t>
        </is>
      </c>
      <c r="C237" s="2" t="inlineStr">
        <is>
          <t>https://www.coches.net/opel-corsa-13-ecoflex-cosmo-5p-diesel-2010-en-valencia-71818280-covo.aspx</t>
        </is>
      </c>
      <c r="D237" s="2" t="inlineStr">
        <is>
          <t>OPEL Corsa 1.3 ecoFLEX Cosmo</t>
        </is>
      </c>
      <c r="E237" s="2" t="inlineStr">
        <is>
          <t>Opel</t>
        </is>
      </c>
      <c r="F237" s="2" t="inlineStr">
        <is>
          <t>Opel Corsa</t>
        </is>
      </c>
      <c r="G237" s="2" t="inlineStr">
        <is>
          <t>1.3</t>
        </is>
      </c>
      <c r="H237" s="2" t="inlineStr">
        <is>
          <t>1.3 ecoFLEX Cosmo</t>
        </is>
      </c>
      <c r="I237" s="2" t="n"/>
      <c r="J237" s="2" t="n"/>
      <c r="K237" s="2" t="inlineStr">
        <is>
          <t>diesel</t>
        </is>
      </c>
      <c r="L237" s="2" t="inlineStr">
        <is>
          <t>utilitario</t>
        </is>
      </c>
      <c r="M237" s="2" t="n">
        <v>2010</v>
      </c>
      <c r="N237" s="2" t="n">
        <v>176000</v>
      </c>
      <c r="O237" s="2" t="n">
        <v>4950</v>
      </c>
      <c r="P237" s="2" t="inlineStr">
        <is>
          <t>manual</t>
        </is>
      </c>
      <c r="Q237" s="2" t="inlineStr">
        <is>
          <t>no</t>
        </is>
      </c>
      <c r="R237" s="2" t="inlineStr">
        <is>
          <t>particular</t>
        </is>
      </c>
      <c r="S237" s="2" t="inlineStr">
        <is>
          <t>Mislata</t>
        </is>
      </c>
      <c r="T237" s="2" t="inlineStr">
        <is>
          <t>2026-10-23T16:47:31Z</t>
        </is>
      </c>
      <c r="U237" s="2" t="n">
        <v>7</v>
      </c>
      <c r="V237" s="2" t="n"/>
      <c r="W237" s="2" t="n"/>
      <c r="X237" s="2" t="n"/>
      <c r="Y237" s="2" t="n"/>
      <c r="Z237" s="2" t="inlineStr">
        <is>
          <t>no</t>
        </is>
      </c>
      <c r="AA237" s="2" t="n"/>
      <c r="AB237" s="2" t="n"/>
      <c r="AC237" s="2" t="n"/>
      <c r="AD237" s="2" t="n"/>
      <c r="AE237" s="2" t="n"/>
      <c r="AF237" s="2" t="n"/>
      <c r="AG237" s="2" t="n"/>
      <c r="AH237" s="2" t="n">
        <v>4950</v>
      </c>
      <c r="AI237" s="2" t="n"/>
      <c r="AJ237" s="2" t="n"/>
      <c r="AK237" s="2" t="n"/>
      <c r="AL237" s="2" t="n"/>
      <c r="AM237" s="2" t="n">
        <v>3</v>
      </c>
      <c r="AN237" s="2" t="n"/>
      <c r="AO237" s="2" t="inlineStr">
        <is>
          <t>01/2010</t>
        </is>
      </c>
      <c r="AP237" s="2" t="n">
        <v>2010</v>
      </c>
      <c r="AQ237" s="2" t="n">
        <v>1</v>
      </c>
      <c r="AR237" s="2" t="inlineStr">
        <is>
          <t>B</t>
        </is>
      </c>
      <c r="AS237" s="2" t="inlineStr">
        <is>
          <t>anuncio</t>
        </is>
      </c>
      <c r="AT237" s="2" t="n">
        <v>3500</v>
      </c>
      <c r="AU237" s="2" t="n">
        <v>7</v>
      </c>
      <c r="AV237" s="2" t="inlineStr">
        <is>
          <t>modelo+año+km</t>
        </is>
      </c>
      <c r="AW237" s="2" t="n"/>
      <c r="AX237" s="2" t="inlineStr">
        <is>
          <t>por encima del presupuesto (5054 €), negociar; cuota fija ITP: &gt;12 años, hasta 1.500 cc; diésel: motor sin fuente de fiabilidad (fiabilidad limitada a neutra)</t>
        </is>
      </c>
      <c r="AY237" s="2" t="inlineStr">
        <is>
          <t xml:space="preserve">ITV completa.
Poco uso. Buen estado interior y exterior.
Techo recién pintado.
</t>
        </is>
      </c>
      <c r="AZ237" s="2" t="inlineStr">
        <is>
          <t>https://www.coches.net/opel-corsa-13-ecoflex-cosmo-5p-diesel-2010-en-valencia-71818280-covo.aspx (window.__INITIAL_PROPS__.ad) /home/user/Alopecia/buscador-coches/raw/cochesnet/0d00317535c90425.json</t>
        </is>
      </c>
      <c r="BA237" s="3">
        <f>MAX(ANIO_ACTUAL-M237,0)</f>
        <v/>
      </c>
      <c r="BB237" s="4">
        <f>N237/MAX(BA237,0.5)</f>
        <v/>
      </c>
      <c r="BC237" s="4">
        <f>F237</f>
        <v/>
      </c>
      <c r="BD237" s="3">
        <f>BC237&amp;"|"&amp;INT(M237/SEG_ANIO)*SEG_ANIO</f>
        <v/>
      </c>
      <c r="BE237" s="3">
        <f>BD237&amp;"|"&amp;INT(N237/SEG_KM)*SEG_KM</f>
        <v/>
      </c>
      <c r="BF237" s="4">
        <f>COUNTIF($BC$2:$BC$545,BC237)</f>
        <v/>
      </c>
      <c r="BG237" s="4">
        <f>COUNTIF($BD$2:$BD$545,BD237)</f>
        <v/>
      </c>
      <c r="BH237" s="4">
        <f>COUNTIF($BE$2:$BE$545,BE237)</f>
        <v/>
      </c>
      <c r="BI237" s="3">
        <f t="array" ref="BI237">IF(N(AU237)&gt;=MIN_N,AT237,IF(BH237&gt;=MIN_N,MEDIAN(IF($BE$2:$BE$545=BE237,$O$2:$O$545)),IF(BG237&gt;=MIN_N,MEDIAN(IF($BD$2:$BD$545=BD237,$O$2:$O$545)),MEDIAN(IF($BC$2:$BC$545=BC237,$O$2:$O$545)))))</f>
        <v/>
      </c>
      <c r="BJ237" s="3">
        <f>IF(N(AU237)&gt;=MIN_N,"mercado "&amp;AV237,IF(BH237&gt;=MIN_N,"modelo+año+km",IF(BG237&gt;=MIN_N,"modelo+año","modelo")))</f>
        <v/>
      </c>
      <c r="BK237" s="4">
        <f>(BI237-O237)/BI237</f>
        <v/>
      </c>
      <c r="BL237" s="3">
        <f>IF(COUNTIFS(FR_FUEL,K237,FR_YEAR,AP237)&gt;0,1,0)</f>
        <v/>
      </c>
      <c r="BM237" s="3">
        <f>IF(COUNTIFS(FR_FUEL,K237,FR_YEAR,AP237-1)&gt;0,1,0)</f>
        <v/>
      </c>
      <c r="BN237" s="4">
        <f>IF(N(AQ237)&gt;0,AP237*100+AQ237,IF(AND(BL237=1,BM237=1),(AP237-1)*100+1,AP237*100+1))</f>
        <v/>
      </c>
      <c r="BO237" s="3">
        <f>IF(OR(K237="hibrido",K237="glp",K237="gnc",K237="phev"),"ECO",IF(K237="electrico","CERO",IF(K237="gasolina",IF(BN237&gt;=GAS_C_YM,"C",IF(BN237&gt;=GAS_B_YM,"B","A")),IF(K237="diesel",IF(BN237&gt;=DIE_C_YM,"C",IF(BN237&gt;=DIE_B_YM,"B","A")),""))))</f>
        <v/>
      </c>
      <c r="BP237" s="2" t="inlineStr">
        <is>
          <t>B</t>
        </is>
      </c>
      <c r="BQ237" s="4">
        <f>IF(AS237="regla",IF(AND(N(AQ237)=0,BL237=1),"sí","no"),"no")</f>
        <v/>
      </c>
      <c r="BR237" s="3">
        <f>IFERROR(VLOOKUP(F237,MOD_TBL,11,0),IFERROR(VLOOKUP(E237,OCU_TBL,2,0),NEUTRO))</f>
        <v/>
      </c>
      <c r="BS237" s="3">
        <f>SUMIFS(MOT_AJUSTE,MOT_MOTOR,G237,MOT_MARCA,E237,MOT_DESDE,"&lt;="&amp;M237,MOT_HASTA,"&gt;="&amp;M237)+SUMIFS(MOT_AJUSTE,MOT_MOTOR,G237,MOT_MARCA,"(todas)",MOT_DESDE,"&lt;="&amp;M237,MOT_HASTA,"&gt;="&amp;M237)</f>
        <v/>
      </c>
      <c r="BT237" s="3">
        <f>SUMIFS(COMB_AJUSTE,COMB_COMB,K237)</f>
        <v/>
      </c>
      <c r="BU237" s="3">
        <f>COUNTIFS(MOT_MOTOR,G237,MOT_MARCA,E237,MOT_DESDE,"&lt;="&amp;M237,MOT_HASTA,"&gt;="&amp;M237)+COUNTIFS(MOT_MOTOR,G237,MOT_MARCA,"(todas)",MOT_DESDE,"&lt;="&amp;M237,MOT_HASTA,"&gt;="&amp;M237)</f>
        <v/>
      </c>
      <c r="BV237" s="3">
        <f>IF(AND(K237="diesel",BU237=0),MIN(BR237,NEUTRO),BR237)</f>
        <v/>
      </c>
      <c r="BW237" s="4">
        <f>MAX(0,MIN(100,BV237+BS237+BT237))</f>
        <v/>
      </c>
      <c r="BX237" s="3">
        <f>MAX(0,MIN(100,50+BK237*PRECIO_PEND))</f>
        <v/>
      </c>
      <c r="BY237" s="3">
        <f>MAX(0,100*(1-N237/KM_MAX))</f>
        <v/>
      </c>
      <c r="BZ237" s="3">
        <f>IF(BB237&lt;KMA_SOSP,IF(AA237="sí",100,KMA_PEN),IF(BB237&lt;=KMA_IDEAL_MAX,100,MAX(0,100*(KMA_CERO-BB237)/(KMA_CERO-KMA_IDEAL_MAX))))</f>
        <v/>
      </c>
      <c r="CA237" s="3">
        <f>MAX(0,MIN(100,100*(M237-ANIO_MIN)/(ANIO_ACTUAL-ANIO_MIN)))</f>
        <v/>
      </c>
      <c r="CB237" s="3">
        <f>W_KMT*BY237+W_KMA*BZ237+W_EDAD*CA237</f>
        <v/>
      </c>
      <c r="CC237" s="3">
        <f>P_ITV*(V237="sí")+P_LIBRO*(W237="sí")+P_CORREA*(X237="sí")+P_PROP*(Y237=1)+P_GAR*(Z237="sí")+P_FOTOS*MIN(1,N(U237)/FOTOS_OBJ)</f>
        <v/>
      </c>
      <c r="CD237" s="3">
        <f>MAX(0,MIN(100,IFERROR(VLOOKUP(BP237,ETQ_TBL,2,0),0)-IF(BQ237="sí",ETQ_PEN_DUD,IF(AS237="regla",ETQ_PEN_REGLA,0))))</f>
        <v/>
      </c>
      <c r="CE237" s="3">
        <f>NEUTRO</f>
        <v/>
      </c>
      <c r="CF237" s="3">
        <f>IFERROR(VLOOKUP(L237,SEGURO_TBL,3,0),"")</f>
        <v/>
      </c>
      <c r="CG237" s="3">
        <f>IF(CF237="",NEUTRO,MAX(0,MIN(100,100*(SEG_REF_MAX-CF237)/(SEG_REF_MAX-SEG_REF_MIN))))</f>
        <v/>
      </c>
      <c r="CH237" s="3">
        <f>W_CONS*CE237+W_SEG*CG237</f>
        <v/>
      </c>
      <c r="CI237" s="3">
        <f>IF(N(AB237)&gt;0,AB237,IF(AND(R237="profesional",SG_LEGAL_ON=1),GAR_LEGAL,0))</f>
        <v/>
      </c>
      <c r="CJ237" s="3">
        <f>SG_GAR*MIN(1,CI237/SG_GAR_FULL)+SG_AMPL*(AC237="sí")+SG_KMC*(AF237="sí")+SG_REV*(N(AE237)&gt;0)+SG_DEV*MIN(1,N(AG237)/SG_DEV_FULL)+SG_HIST*(W237="sí")</f>
        <v/>
      </c>
      <c r="CK237" s="3">
        <f>IFERROR(VLOOKUP(L237,CARR_PEN_TBL,2,0),0)</f>
        <v/>
      </c>
      <c r="CL237" s="3">
        <f>W_FIAB*BW237+W_PRECIO*BX237+W_KMEDAD*CB237+W_ANUNCIO*CC237+W_USO*CH237+W_SEGURIDAD*CJ237+W_ETIQUETA*CD237-CK237</f>
        <v/>
      </c>
      <c r="CM237" s="4">
        <f>IF(N(I237)&gt;0,I237,IFERROR(ROUND(_xlfn.NUMBERVALUE(LEFT(G237,FIND(" ",G237&amp;" ")-1),".")*1000,0),99999))</f>
        <v/>
      </c>
      <c r="CN237" s="3">
        <f>IF(R237="profesional",0,IF(O237&lt;CUOTA_VALOR_MAX,IF(BA237&gt;ITP_TRAMO_ALTO,SUMIFS(CF_CUOTA,CF_MAS,ITP_TRAMO_ALTO,CF_CCMIN,"&lt;="&amp;CM237,CF_CCMAX,"&gt;="&amp;CM237),IF(BA237&gt;ITP_TRAMO_BAJO,SUMIFS(CF_CUOTA,CF_MAS,ITP_TRAMO_BAJO,CF_CCMIN,"&lt;="&amp;CM237,CF_CCMAX,"&gt;="&amp;CM237),O237*ITP_TIPO)),O237*ITP_TIPO))</f>
        <v/>
      </c>
      <c r="CO237" s="4">
        <f>IF(R237="profesional",N(AK237),0)</f>
        <v/>
      </c>
      <c r="CP237" s="3">
        <f>IF(AND(R237="profesional",ISNUMBER(AK237),AL237="sí"),0,TASA_DGT)</f>
        <v/>
      </c>
      <c r="CQ237" s="3">
        <f>INFORME_DGT</f>
        <v/>
      </c>
      <c r="CR237" s="4">
        <f>O237+CO237+CN237+CP237+CQ237</f>
        <v/>
      </c>
      <c r="CS237" s="4">
        <f>CR237+N(CF237)</f>
        <v/>
      </c>
      <c r="CT237" s="3">
        <f>IF(CR237&lt;=TOTAL_MAX,"sí",IF(CR237&lt;=TOTAL_MAX+MARGEN_NEG,"negociar","no"))</f>
        <v/>
      </c>
      <c r="CU237" s="4">
        <f>IF(CT237&lt;&gt;"no",COUNTIFS($CT$2:$CT$545,"&lt;&gt;no",$CL$2:$CL$545,"&gt;"&amp;CL237)+COUNTIFS($CT$2:CT237,"&lt;&gt;no",$CL$2:CL237,CL237),"")</f>
        <v/>
      </c>
    </row>
    <row r="238">
      <c r="A238" s="2" t="inlineStr">
        <is>
          <t>cochesnet:71305472</t>
        </is>
      </c>
      <c r="B238" s="2" t="inlineStr">
        <is>
          <t>cochesnet</t>
        </is>
      </c>
      <c r="C238" s="2" t="inlineStr">
        <is>
          <t>https://www.coches.net/opel-corsa-14-selective-start--stop-5p-gasolina-2014-en-valencia-71305472-covo.aspx</t>
        </is>
      </c>
      <c r="D238" s="2" t="inlineStr">
        <is>
          <t>OPEL Corsa 1.4 Selective Start Stop</t>
        </is>
      </c>
      <c r="E238" s="2" t="inlineStr">
        <is>
          <t>Opel</t>
        </is>
      </c>
      <c r="F238" s="2" t="inlineStr">
        <is>
          <t>Opel Corsa</t>
        </is>
      </c>
      <c r="G238" s="2" t="inlineStr">
        <is>
          <t>1.4</t>
        </is>
      </c>
      <c r="H238" s="2" t="inlineStr">
        <is>
          <t>1.4 Selective Start  Stop</t>
        </is>
      </c>
      <c r="I238" s="2" t="n"/>
      <c r="J238" s="2" t="n"/>
      <c r="K238" s="2" t="inlineStr">
        <is>
          <t>gasolina</t>
        </is>
      </c>
      <c r="L238" s="2" t="inlineStr">
        <is>
          <t>utilitario</t>
        </is>
      </c>
      <c r="M238" s="2" t="n">
        <v>2014</v>
      </c>
      <c r="N238" s="2" t="n">
        <v>217000</v>
      </c>
      <c r="O238" s="2" t="n">
        <v>4890</v>
      </c>
      <c r="P238" s="2" t="inlineStr">
        <is>
          <t>manual</t>
        </is>
      </c>
      <c r="Q238" s="2" t="inlineStr">
        <is>
          <t>no</t>
        </is>
      </c>
      <c r="R238" s="2" t="inlineStr">
        <is>
          <t>particular</t>
        </is>
      </c>
      <c r="S238" s="2" t="inlineStr">
        <is>
          <t>Sagunto (Sagunt)</t>
        </is>
      </c>
      <c r="T238" s="2" t="inlineStr">
        <is>
          <t>2026-10-24T14:12:45Z</t>
        </is>
      </c>
      <c r="U238" s="2" t="n">
        <v>22</v>
      </c>
      <c r="V238" s="2" t="n"/>
      <c r="W238" s="2" t="n"/>
      <c r="X238" s="2" t="n"/>
      <c r="Y238" s="2" t="n"/>
      <c r="Z238" s="2" t="inlineStr">
        <is>
          <t>no</t>
        </is>
      </c>
      <c r="AA238" s="2" t="n"/>
      <c r="AB238" s="2" t="n"/>
      <c r="AC238" s="2" t="n"/>
      <c r="AD238" s="2" t="n"/>
      <c r="AE238" s="2" t="n"/>
      <c r="AF238" s="2" t="n"/>
      <c r="AG238" s="2" t="n"/>
      <c r="AH238" s="2" t="n">
        <v>4890</v>
      </c>
      <c r="AI238" s="2" t="n"/>
      <c r="AJ238" s="2" t="n"/>
      <c r="AK238" s="2" t="n"/>
      <c r="AL238" s="2" t="n"/>
      <c r="AM238" s="2" t="n"/>
      <c r="AN238" s="2" t="n"/>
      <c r="AO238" s="2" t="inlineStr">
        <is>
          <t>10/2014</t>
        </is>
      </c>
      <c r="AP238" s="2" t="n">
        <v>2014</v>
      </c>
      <c r="AQ238" s="2" t="n">
        <v>10</v>
      </c>
      <c r="AR238" s="2" t="n"/>
      <c r="AS238" s="2" t="inlineStr">
        <is>
          <t>regla</t>
        </is>
      </c>
      <c r="AT238" s="2" t="n">
        <v>4690</v>
      </c>
      <c r="AU238" s="2" t="n">
        <v>8</v>
      </c>
      <c r="AV238" s="2" t="inlineStr">
        <is>
          <t>modelo+año+km</t>
        </is>
      </c>
      <c r="AW238" s="2" t="n"/>
      <c r="AX238" s="2" t="inlineStr">
        <is>
          <t>por encima del presupuesto (5074 €), negociar; cuota fija ITP: &gt;5 y &lt;=12 años, hasta 1.500 cc; distancia no verificable (el anuncio solo indica la provincia): confirmar que está a &lt;= 70 km</t>
        </is>
      </c>
      <c r="AY238" s="2" t="inlineStr">
        <is>
          <t>Vehículo conducido únicamente por el propietario. Neumáticos nuevos y batería recién cambiada. Interiores en perfecto estado y pintura exterior en muy buen estado. Motor muy bien cuidado que proporciona un consumo de poco más de 5 l/100Km. Rueda de repuesto nueva. Características del vehículo: OPEL Corsa 1.4 Selective Start Stop 100 Cv - Sistema de Navegación GPS - Aire acondicionado - Volante multifunción - Elevalunas eléctricas delante - Consola navegador, radio, teléfono integrados. - USB - Ordenador de a bordo - Indicador de la temperatura exterior - Retrovisor exterior color carrocería - Retrovisores exteriores regulables eléctricamente - Espejo interior - Luces antiniebla - Limpiaparabrisas trasero - Luneta trasera calefactable - ABS - Programa electrónico de estabilidad (ESP) - Sistema de anclajes ISOFIX - Airbag conductor - Airbags laterales - Airbag acompañante desconectable - Pintura metalizada - Dirección asistida - Tracción delantera - Modo ECO - Parachoques color carrocería - Carrocería: 5 puertas - Reducción polución según norma gases escape Euro 5 Confort - Luz en el maletero - Testigo de cinturones - Regulación de los faros con ajuste de altura manual - Cierre centralizado con mando a distancia - Volante multi-función ajustable en altura - Dirección asistida eléctrica con endurecimiento progresivo s/velocidad - Sistema de ventilación con filtro de pólen - Aire acondicionado (Carga de gas en mayo 2026) - Limpiaparabrisas trasero - Elevalunas eléctricos delanter</t>
        </is>
      </c>
      <c r="AZ238" s="2" t="inlineStr">
        <is>
          <t>https://www.coches.net/opel-corsa-14-selective-start--stop-5p-gasolina-2014-en-valencia-71305472-covo.aspx (window.__INITIAL_PROPS__.ad) /home/user/Alopecia/buscador-coches/raw/cochesnet/d1f3d31b04fa56c3.json</t>
        </is>
      </c>
      <c r="BA238" s="3">
        <f>MAX(ANIO_ACTUAL-M238,0)</f>
        <v/>
      </c>
      <c r="BB238" s="4">
        <f>N238/MAX(BA238,0.5)</f>
        <v/>
      </c>
      <c r="BC238" s="4">
        <f>F238</f>
        <v/>
      </c>
      <c r="BD238" s="3">
        <f>BC238&amp;"|"&amp;INT(M238/SEG_ANIO)*SEG_ANIO</f>
        <v/>
      </c>
      <c r="BE238" s="3">
        <f>BD238&amp;"|"&amp;INT(N238/SEG_KM)*SEG_KM</f>
        <v/>
      </c>
      <c r="BF238" s="4">
        <f>COUNTIF($BC$2:$BC$545,BC238)</f>
        <v/>
      </c>
      <c r="BG238" s="4">
        <f>COUNTIF($BD$2:$BD$545,BD238)</f>
        <v/>
      </c>
      <c r="BH238" s="4">
        <f>COUNTIF($BE$2:$BE$545,BE238)</f>
        <v/>
      </c>
      <c r="BI238" s="3">
        <f t="array" ref="BI238">IF(N(AU238)&gt;=MIN_N,AT238,IF(BH238&gt;=MIN_N,MEDIAN(IF($BE$2:$BE$545=BE238,$O$2:$O$545)),IF(BG238&gt;=MIN_N,MEDIAN(IF($BD$2:$BD$545=BD238,$O$2:$O$545)),MEDIAN(IF($BC$2:$BC$545=BC238,$O$2:$O$545)))))</f>
        <v/>
      </c>
      <c r="BJ238" s="3">
        <f>IF(N(AU238)&gt;=MIN_N,"mercado "&amp;AV238,IF(BH238&gt;=MIN_N,"modelo+año+km",IF(BG238&gt;=MIN_N,"modelo+año","modelo")))</f>
        <v/>
      </c>
      <c r="BK238" s="4">
        <f>(BI238-O238)/BI238</f>
        <v/>
      </c>
      <c r="BL238" s="3">
        <f>IF(COUNTIFS(FR_FUEL,K238,FR_YEAR,AP238)&gt;0,1,0)</f>
        <v/>
      </c>
      <c r="BM238" s="3">
        <f>IF(COUNTIFS(FR_FUEL,K238,FR_YEAR,AP238-1)&gt;0,1,0)</f>
        <v/>
      </c>
      <c r="BN238" s="4">
        <f>IF(N(AQ238)&gt;0,AP238*100+AQ238,IF(AND(BL238=1,BM238=1),(AP238-1)*100+1,AP238*100+1))</f>
        <v/>
      </c>
      <c r="BO238" s="3">
        <f>IF(OR(K238="hibrido",K238="glp",K238="gnc",K238="phev"),"ECO",IF(K238="electrico","CERO",IF(K238="gasolina",IF(BN238&gt;=GAS_C_YM,"C",IF(BN238&gt;=GAS_B_YM,"B","A")),IF(K238="diesel",IF(BN238&gt;=DIE_C_YM,"C",IF(BN238&gt;=DIE_B_YM,"B","A")),""))))</f>
        <v/>
      </c>
      <c r="BP238" s="4">
        <f>BO238</f>
        <v/>
      </c>
      <c r="BQ238" s="4">
        <f>IF(AS238="regla",IF(AND(N(AQ238)=0,BL238=1),"sí","no"),"no")</f>
        <v/>
      </c>
      <c r="BR238" s="3">
        <f>IFERROR(VLOOKUP(F238,MOD_TBL,11,0),IFERROR(VLOOKUP(E238,OCU_TBL,2,0),NEUTRO))</f>
        <v/>
      </c>
      <c r="BS238" s="3">
        <f>SUMIFS(MOT_AJUSTE,MOT_MOTOR,G238,MOT_MARCA,E238,MOT_DESDE,"&lt;="&amp;M238,MOT_HASTA,"&gt;="&amp;M238)+SUMIFS(MOT_AJUSTE,MOT_MOTOR,G238,MOT_MARCA,"(todas)",MOT_DESDE,"&lt;="&amp;M238,MOT_HASTA,"&gt;="&amp;M238)</f>
        <v/>
      </c>
      <c r="BT238" s="3">
        <f>SUMIFS(COMB_AJUSTE,COMB_COMB,K238)</f>
        <v/>
      </c>
      <c r="BU238" s="3">
        <f>COUNTIFS(MOT_MOTOR,G238,MOT_MARCA,E238,MOT_DESDE,"&lt;="&amp;M238,MOT_HASTA,"&gt;="&amp;M238)+COUNTIFS(MOT_MOTOR,G238,MOT_MARCA,"(todas)",MOT_DESDE,"&lt;="&amp;M238,MOT_HASTA,"&gt;="&amp;M238)</f>
        <v/>
      </c>
      <c r="BV238" s="3">
        <f>IF(AND(K238="diesel",BU238=0),MIN(BR238,NEUTRO),BR238)</f>
        <v/>
      </c>
      <c r="BW238" s="4">
        <f>MAX(0,MIN(100,BV238+BS238+BT238))</f>
        <v/>
      </c>
      <c r="BX238" s="3">
        <f>MAX(0,MIN(100,50+BK238*PRECIO_PEND))</f>
        <v/>
      </c>
      <c r="BY238" s="3">
        <f>MAX(0,100*(1-N238/KM_MAX))</f>
        <v/>
      </c>
      <c r="BZ238" s="3">
        <f>IF(BB238&lt;KMA_SOSP,IF(AA238="sí",100,KMA_PEN),IF(BB238&lt;=KMA_IDEAL_MAX,100,MAX(0,100*(KMA_CERO-BB238)/(KMA_CERO-KMA_IDEAL_MAX))))</f>
        <v/>
      </c>
      <c r="CA238" s="3">
        <f>MAX(0,MIN(100,100*(M238-ANIO_MIN)/(ANIO_ACTUAL-ANIO_MIN)))</f>
        <v/>
      </c>
      <c r="CB238" s="3">
        <f>W_KMT*BY238+W_KMA*BZ238+W_EDAD*CA238</f>
        <v/>
      </c>
      <c r="CC238" s="3">
        <f>P_ITV*(V238="sí")+P_LIBRO*(W238="sí")+P_CORREA*(X238="sí")+P_PROP*(Y238=1)+P_GAR*(Z238="sí")+P_FOTOS*MIN(1,N(U238)/FOTOS_OBJ)</f>
        <v/>
      </c>
      <c r="CD238" s="3">
        <f>MAX(0,MIN(100,IFERROR(VLOOKUP(BP238,ETQ_TBL,2,0),0)-IF(BQ238="sí",ETQ_PEN_DUD,IF(AS238="regla",ETQ_PEN_REGLA,0))))</f>
        <v/>
      </c>
      <c r="CE238" s="3">
        <f>NEUTRO</f>
        <v/>
      </c>
      <c r="CF238" s="3">
        <f>IFERROR(VLOOKUP(L238,SEGURO_TBL,3,0),"")</f>
        <v/>
      </c>
      <c r="CG238" s="3">
        <f>IF(CF238="",NEUTRO,MAX(0,MIN(100,100*(SEG_REF_MAX-CF238)/(SEG_REF_MAX-SEG_REF_MIN))))</f>
        <v/>
      </c>
      <c r="CH238" s="3">
        <f>W_CONS*CE238+W_SEG*CG238</f>
        <v/>
      </c>
      <c r="CI238" s="3">
        <f>IF(N(AB238)&gt;0,AB238,IF(AND(R238="profesional",SG_LEGAL_ON=1),GAR_LEGAL,0))</f>
        <v/>
      </c>
      <c r="CJ238" s="3">
        <f>SG_GAR*MIN(1,CI238/SG_GAR_FULL)+SG_AMPL*(AC238="sí")+SG_KMC*(AF238="sí")+SG_REV*(N(AE238)&gt;0)+SG_DEV*MIN(1,N(AG238)/SG_DEV_FULL)+SG_HIST*(W238="sí")</f>
        <v/>
      </c>
      <c r="CK238" s="3">
        <f>IFERROR(VLOOKUP(L238,CARR_PEN_TBL,2,0),0)</f>
        <v/>
      </c>
      <c r="CL238" s="3">
        <f>W_FIAB*BW238+W_PRECIO*BX238+W_KMEDAD*CB238+W_ANUNCIO*CC238+W_USO*CH238+W_SEGURIDAD*CJ238+W_ETIQUETA*CD238-CK238</f>
        <v/>
      </c>
      <c r="CM238" s="4">
        <f>IF(N(I238)&gt;0,I238,IFERROR(ROUND(_xlfn.NUMBERVALUE(LEFT(G238,FIND(" ",G238&amp;" ")-1),".")*1000,0),99999))</f>
        <v/>
      </c>
      <c r="CN238" s="3">
        <f>IF(R238="profesional",0,IF(O238&lt;CUOTA_VALOR_MAX,IF(BA238&gt;ITP_TRAMO_ALTO,SUMIFS(CF_CUOTA,CF_MAS,ITP_TRAMO_ALTO,CF_CCMIN,"&lt;="&amp;CM238,CF_CCMAX,"&gt;="&amp;CM238),IF(BA238&gt;ITP_TRAMO_BAJO,SUMIFS(CF_CUOTA,CF_MAS,ITP_TRAMO_BAJO,CF_CCMIN,"&lt;="&amp;CM238,CF_CCMAX,"&gt;="&amp;CM238),O238*ITP_TIPO)),O238*ITP_TIPO))</f>
        <v/>
      </c>
      <c r="CO238" s="4">
        <f>IF(R238="profesional",N(AK238),0)</f>
        <v/>
      </c>
      <c r="CP238" s="3">
        <f>IF(AND(R238="profesional",ISNUMBER(AK238),AL238="sí"),0,TASA_DGT)</f>
        <v/>
      </c>
      <c r="CQ238" s="3">
        <f>INFORME_DGT</f>
        <v/>
      </c>
      <c r="CR238" s="4">
        <f>O238+CO238+CN238+CP238+CQ238</f>
        <v/>
      </c>
      <c r="CS238" s="4">
        <f>CR238+N(CF238)</f>
        <v/>
      </c>
      <c r="CT238" s="3">
        <f>IF(CR238&lt;=TOTAL_MAX,"sí",IF(CR238&lt;=TOTAL_MAX+MARGEN_NEG,"negociar","no"))</f>
        <v/>
      </c>
      <c r="CU238" s="4">
        <f>IF(CT238&lt;&gt;"no",COUNTIFS($CT$2:$CT$545,"&lt;&gt;no",$CL$2:$CL$545,"&gt;"&amp;CL238)+COUNTIFS($CT$2:CT238,"&lt;&gt;no",$CL$2:CL238,CL238),"")</f>
        <v/>
      </c>
    </row>
    <row r="239">
      <c r="A239" s="2" t="inlineStr">
        <is>
          <t>cochesnet:71248981</t>
        </is>
      </c>
      <c r="B239" s="2" t="inlineStr">
        <is>
          <t>cochesnet</t>
        </is>
      </c>
      <c r="C239" s="2" t="inlineStr">
        <is>
          <t>https://www.coches.net/opel-corsa-13-cdti-color-edition-3p-diesel-2012-en-valencia-71248981-covo.aspx</t>
        </is>
      </c>
      <c r="D239" s="2" t="inlineStr">
        <is>
          <t>OPEL Corsa 1.3 CDTi Color Edition</t>
        </is>
      </c>
      <c r="E239" s="2" t="inlineStr">
        <is>
          <t>Opel</t>
        </is>
      </c>
      <c r="F239" s="2" t="inlineStr">
        <is>
          <t>Opel Corsa</t>
        </is>
      </c>
      <c r="G239" s="2" t="inlineStr">
        <is>
          <t>1.3 CDTi</t>
        </is>
      </c>
      <c r="H239" s="2" t="inlineStr">
        <is>
          <t>1.3 CDTi Color Edition</t>
        </is>
      </c>
      <c r="I239" s="2" t="n"/>
      <c r="J239" s="2" t="n"/>
      <c r="K239" s="2" t="inlineStr">
        <is>
          <t>diesel</t>
        </is>
      </c>
      <c r="L239" s="2" t="inlineStr">
        <is>
          <t>utilitario</t>
        </is>
      </c>
      <c r="M239" s="2" t="n">
        <v>2012</v>
      </c>
      <c r="N239" s="2" t="n">
        <v>120000</v>
      </c>
      <c r="O239" s="2" t="n">
        <v>4999</v>
      </c>
      <c r="P239" s="2" t="inlineStr">
        <is>
          <t>manual</t>
        </is>
      </c>
      <c r="Q239" s="2" t="inlineStr">
        <is>
          <t>no</t>
        </is>
      </c>
      <c r="R239" s="2" t="inlineStr">
        <is>
          <t>profesional</t>
        </is>
      </c>
      <c r="S239" s="2" t="inlineStr">
        <is>
          <t>Cars Premium Albal Albal</t>
        </is>
      </c>
      <c r="T239" s="2" t="inlineStr">
        <is>
          <t>2026-08-07T11:56:55Z</t>
        </is>
      </c>
      <c r="U239" s="2" t="n">
        <v>14</v>
      </c>
      <c r="V239" s="2" t="n"/>
      <c r="W239" s="2" t="n"/>
      <c r="X239" s="2" t="n"/>
      <c r="Y239" s="2" t="n"/>
      <c r="Z239" s="2" t="inlineStr">
        <is>
          <t>sí</t>
        </is>
      </c>
      <c r="AA239" s="2" t="n"/>
      <c r="AB239" s="2" t="n">
        <v>12</v>
      </c>
      <c r="AC239" s="2" t="n"/>
      <c r="AD239" s="2" t="n"/>
      <c r="AE239" s="2" t="n"/>
      <c r="AF239" s="2" t="n"/>
      <c r="AG239" s="2" t="n"/>
      <c r="AH239" s="2" t="n">
        <v>4999</v>
      </c>
      <c r="AI239" s="2" t="n">
        <v>4999</v>
      </c>
      <c r="AJ239" s="2" t="n"/>
      <c r="AK239" s="2" t="n"/>
      <c r="AL239" s="2" t="n"/>
      <c r="AM239" s="2" t="n">
        <v>8.699999999999999</v>
      </c>
      <c r="AN239" s="2" t="n"/>
      <c r="AO239" s="2" t="inlineStr">
        <is>
          <t>2012</t>
        </is>
      </c>
      <c r="AP239" s="2" t="n">
        <v>2012</v>
      </c>
      <c r="AQ239" s="2" t="n"/>
      <c r="AR239" s="2" t="inlineStr">
        <is>
          <t>B</t>
        </is>
      </c>
      <c r="AS239" s="2" t="inlineStr">
        <is>
          <t>anuncio</t>
        </is>
      </c>
      <c r="AT239" s="2" t="n">
        <v>4625</v>
      </c>
      <c r="AU239" s="2" t="n">
        <v>8</v>
      </c>
      <c r="AV239" s="2" t="inlineStr">
        <is>
          <t>modelo+año+km</t>
        </is>
      </c>
      <c r="AW239" s="2" t="n"/>
      <c r="AX239"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AY239" s="2" t="inlineStr">
        <is>
          <t>MARCA: Opel
MODELO: Corsa ( version muy equipada)
AÑO: 2012
KM: 120.000
MOTOR: 1.3Cdti 95cv ( motor a cadena )
ETIQUETA MEDIOAMBIENTAL: Tipo B
ITV: Se entregaria recien pasada
GARANTIA: 12 meses
TIPS: Vehiculo deportivo con unas medidas muy practicas tanto para circular como para aparcar con todo el equipamiento necesario.
EQUIPAMIENTO: Llanta aleacion negra, volante multi-funcion, 6 velocidades, Rcd con bluetooth, Navegador, retrovisotes electricos negro, ordenador a bordo, cierre centralizado con llave, elevalunas electricas, etc etc…
DIRECCION: Av padre Carlos Ferris 87, Albal, Valencia
Para mas info contacten</t>
        </is>
      </c>
      <c r="AZ239" s="2" t="inlineStr">
        <is>
          <t>https://www.coches.net/opel-corsa-13-cdti-color-edition-3p-diesel-2012-en-valencia-71248981-covo.aspx (window.__INITIAL_PROPS__.ad) /home/user/Alopecia/buscador-coches/raw/cochesnet/bb9e43134c341f33.json</t>
        </is>
      </c>
      <c r="BA239" s="3">
        <f>MAX(ANIO_ACTUAL-M239,0)</f>
        <v/>
      </c>
      <c r="BB239" s="4">
        <f>N239/MAX(BA239,0.5)</f>
        <v/>
      </c>
      <c r="BC239" s="4">
        <f>F239</f>
        <v/>
      </c>
      <c r="BD239" s="3">
        <f>BC239&amp;"|"&amp;INT(M239/SEG_ANIO)*SEG_ANIO</f>
        <v/>
      </c>
      <c r="BE239" s="3">
        <f>BD239&amp;"|"&amp;INT(N239/SEG_KM)*SEG_KM</f>
        <v/>
      </c>
      <c r="BF239" s="4">
        <f>COUNTIF($BC$2:$BC$545,BC239)</f>
        <v/>
      </c>
      <c r="BG239" s="4">
        <f>COUNTIF($BD$2:$BD$545,BD239)</f>
        <v/>
      </c>
      <c r="BH239" s="4">
        <f>COUNTIF($BE$2:$BE$545,BE239)</f>
        <v/>
      </c>
      <c r="BI239" s="3">
        <f t="array" ref="BI239">IF(N(AU239)&gt;=MIN_N,AT239,IF(BH239&gt;=MIN_N,MEDIAN(IF($BE$2:$BE$545=BE239,$O$2:$O$545)),IF(BG239&gt;=MIN_N,MEDIAN(IF($BD$2:$BD$545=BD239,$O$2:$O$545)),MEDIAN(IF($BC$2:$BC$545=BC239,$O$2:$O$545)))))</f>
        <v/>
      </c>
      <c r="BJ239" s="3">
        <f>IF(N(AU239)&gt;=MIN_N,"mercado "&amp;AV239,IF(BH239&gt;=MIN_N,"modelo+año+km",IF(BG239&gt;=MIN_N,"modelo+año","modelo")))</f>
        <v/>
      </c>
      <c r="BK239" s="4">
        <f>(BI239-O239)/BI239</f>
        <v/>
      </c>
      <c r="BL239" s="3">
        <f>IF(COUNTIFS(FR_FUEL,K239,FR_YEAR,AP239)&gt;0,1,0)</f>
        <v/>
      </c>
      <c r="BM239" s="3">
        <f>IF(COUNTIFS(FR_FUEL,K239,FR_YEAR,AP239-1)&gt;0,1,0)</f>
        <v/>
      </c>
      <c r="BN239" s="4">
        <f>IF(N(AQ239)&gt;0,AP239*100+AQ239,IF(AND(BL239=1,BM239=1),(AP239-1)*100+1,AP239*100+1))</f>
        <v/>
      </c>
      <c r="BO239" s="3">
        <f>IF(OR(K239="hibrido",K239="glp",K239="gnc",K239="phev"),"ECO",IF(K239="electrico","CERO",IF(K239="gasolina",IF(BN239&gt;=GAS_C_YM,"C",IF(BN239&gt;=GAS_B_YM,"B","A")),IF(K239="diesel",IF(BN239&gt;=DIE_C_YM,"C",IF(BN239&gt;=DIE_B_YM,"B","A")),""))))</f>
        <v/>
      </c>
      <c r="BP239" s="2" t="inlineStr">
        <is>
          <t>B</t>
        </is>
      </c>
      <c r="BQ239" s="4">
        <f>IF(AS239="regla",IF(AND(N(AQ239)=0,BL239=1),"sí","no"),"no")</f>
        <v/>
      </c>
      <c r="BR239" s="3">
        <f>IFERROR(VLOOKUP(F239,MOD_TBL,11,0),IFERROR(VLOOKUP(E239,OCU_TBL,2,0),NEUTRO))</f>
        <v/>
      </c>
      <c r="BS239" s="3">
        <f>SUMIFS(MOT_AJUSTE,MOT_MOTOR,G239,MOT_MARCA,E239,MOT_DESDE,"&lt;="&amp;M239,MOT_HASTA,"&gt;="&amp;M239)+SUMIFS(MOT_AJUSTE,MOT_MOTOR,G239,MOT_MARCA,"(todas)",MOT_DESDE,"&lt;="&amp;M239,MOT_HASTA,"&gt;="&amp;M239)</f>
        <v/>
      </c>
      <c r="BT239" s="3">
        <f>SUMIFS(COMB_AJUSTE,COMB_COMB,K239)</f>
        <v/>
      </c>
      <c r="BU239" s="3">
        <f>COUNTIFS(MOT_MOTOR,G239,MOT_MARCA,E239,MOT_DESDE,"&lt;="&amp;M239,MOT_HASTA,"&gt;="&amp;M239)+COUNTIFS(MOT_MOTOR,G239,MOT_MARCA,"(todas)",MOT_DESDE,"&lt;="&amp;M239,MOT_HASTA,"&gt;="&amp;M239)</f>
        <v/>
      </c>
      <c r="BV239" s="3">
        <f>IF(AND(K239="diesel",BU239=0),MIN(BR239,NEUTRO),BR239)</f>
        <v/>
      </c>
      <c r="BW239" s="4">
        <f>MAX(0,MIN(100,BV239+BS239+BT239))</f>
        <v/>
      </c>
      <c r="BX239" s="3">
        <f>MAX(0,MIN(100,50+BK239*PRECIO_PEND))</f>
        <v/>
      </c>
      <c r="BY239" s="3">
        <f>MAX(0,100*(1-N239/KM_MAX))</f>
        <v/>
      </c>
      <c r="BZ239" s="3">
        <f>IF(BB239&lt;KMA_SOSP,IF(AA239="sí",100,KMA_PEN),IF(BB239&lt;=KMA_IDEAL_MAX,100,MAX(0,100*(KMA_CERO-BB239)/(KMA_CERO-KMA_IDEAL_MAX))))</f>
        <v/>
      </c>
      <c r="CA239" s="3">
        <f>MAX(0,MIN(100,100*(M239-ANIO_MIN)/(ANIO_ACTUAL-ANIO_MIN)))</f>
        <v/>
      </c>
      <c r="CB239" s="3">
        <f>W_KMT*BY239+W_KMA*BZ239+W_EDAD*CA239</f>
        <v/>
      </c>
      <c r="CC239" s="3">
        <f>P_ITV*(V239="sí")+P_LIBRO*(W239="sí")+P_CORREA*(X239="sí")+P_PROP*(Y239=1)+P_GAR*(Z239="sí")+P_FOTOS*MIN(1,N(U239)/FOTOS_OBJ)</f>
        <v/>
      </c>
      <c r="CD239" s="3">
        <f>MAX(0,MIN(100,IFERROR(VLOOKUP(BP239,ETQ_TBL,2,0),0)-IF(BQ239="sí",ETQ_PEN_DUD,IF(AS239="regla",ETQ_PEN_REGLA,0))))</f>
        <v/>
      </c>
      <c r="CE239" s="3">
        <f>NEUTRO</f>
        <v/>
      </c>
      <c r="CF239" s="3">
        <f>IFERROR(VLOOKUP(L239,SEGURO_TBL,3,0),"")</f>
        <v/>
      </c>
      <c r="CG239" s="3">
        <f>IF(CF239="",NEUTRO,MAX(0,MIN(100,100*(SEG_REF_MAX-CF239)/(SEG_REF_MAX-SEG_REF_MIN))))</f>
        <v/>
      </c>
      <c r="CH239" s="3">
        <f>W_CONS*CE239+W_SEG*CG239</f>
        <v/>
      </c>
      <c r="CI239" s="3">
        <f>IF(N(AB239)&gt;0,AB239,IF(AND(R239="profesional",SG_LEGAL_ON=1),GAR_LEGAL,0))</f>
        <v/>
      </c>
      <c r="CJ239" s="3">
        <f>SG_GAR*MIN(1,CI239/SG_GAR_FULL)+SG_AMPL*(AC239="sí")+SG_KMC*(AF239="sí")+SG_REV*(N(AE239)&gt;0)+SG_DEV*MIN(1,N(AG239)/SG_DEV_FULL)+SG_HIST*(W239="sí")</f>
        <v/>
      </c>
      <c r="CK239" s="3">
        <f>IFERROR(VLOOKUP(L239,CARR_PEN_TBL,2,0),0)</f>
        <v/>
      </c>
      <c r="CL239" s="3">
        <f>W_FIAB*BW239+W_PRECIO*BX239+W_KMEDAD*CB239+W_ANUNCIO*CC239+W_USO*CH239+W_SEGURIDAD*CJ239+W_ETIQUETA*CD239-CK239</f>
        <v/>
      </c>
      <c r="CM239" s="4">
        <f>IF(N(I239)&gt;0,I239,IFERROR(ROUND(_xlfn.NUMBERVALUE(LEFT(G239,FIND(" ",G239&amp;" ")-1),".")*1000,0),99999))</f>
        <v/>
      </c>
      <c r="CN239" s="3">
        <f>IF(R239="profesional",0,IF(O239&lt;CUOTA_VALOR_MAX,IF(BA239&gt;ITP_TRAMO_ALTO,SUMIFS(CF_CUOTA,CF_MAS,ITP_TRAMO_ALTO,CF_CCMIN,"&lt;="&amp;CM239,CF_CCMAX,"&gt;="&amp;CM239),IF(BA239&gt;ITP_TRAMO_BAJO,SUMIFS(CF_CUOTA,CF_MAS,ITP_TRAMO_BAJO,CF_CCMIN,"&lt;="&amp;CM239,CF_CCMAX,"&gt;="&amp;CM239),O239*ITP_TIPO)),O239*ITP_TIPO))</f>
        <v/>
      </c>
      <c r="CO239" s="4">
        <f>IF(R239="profesional",N(AK239),0)</f>
        <v/>
      </c>
      <c r="CP239" s="3">
        <f>IF(AND(R239="profesional",ISNUMBER(AK239),AL239="sí"),0,TASA_DGT)</f>
        <v/>
      </c>
      <c r="CQ239" s="3">
        <f>INFORME_DGT</f>
        <v/>
      </c>
      <c r="CR239" s="4">
        <f>O239+CO239+CN239+CP239+CQ239</f>
        <v/>
      </c>
      <c r="CS239" s="4">
        <f>CR239+N(CF239)</f>
        <v/>
      </c>
      <c r="CT239" s="3">
        <f>IF(CR239&lt;=TOTAL_MAX,"sí",IF(CR239&lt;=TOTAL_MAX+MARGEN_NEG,"negociar","no"))</f>
        <v/>
      </c>
      <c r="CU239" s="4">
        <f>IF(CT239&lt;&gt;"no",COUNTIFS($CT$2:$CT$545,"&lt;&gt;no",$CL$2:$CL$545,"&gt;"&amp;CL239)+COUNTIFS($CT$2:CT239,"&lt;&gt;no",$CL$2:CL239,CL239),"")</f>
        <v/>
      </c>
    </row>
    <row r="240">
      <c r="A240" s="2" t="inlineStr">
        <is>
          <t>cochesnet:71580711</t>
        </is>
      </c>
      <c r="B240" s="2" t="inlineStr">
        <is>
          <t>cochesnet</t>
        </is>
      </c>
      <c r="C240" s="2" t="inlineStr">
        <is>
          <t>https://www.coches.net/opel-corsa-12-expression-start--stop-5p-gasolina-2014-en-valencia-71580711-covo.aspx</t>
        </is>
      </c>
      <c r="D240" s="2" t="inlineStr">
        <is>
          <t>OPEL Corsa 1.2 Expression Start Stop</t>
        </is>
      </c>
      <c r="E240" s="2" t="inlineStr">
        <is>
          <t>Opel</t>
        </is>
      </c>
      <c r="F240" s="2" t="inlineStr">
        <is>
          <t>Opel Corsa</t>
        </is>
      </c>
      <c r="G240" s="2" t="inlineStr">
        <is>
          <t>1.2</t>
        </is>
      </c>
      <c r="H240" s="2" t="inlineStr">
        <is>
          <t>1.2 Expression Start  Stop</t>
        </is>
      </c>
      <c r="I240" s="2" t="n"/>
      <c r="J240" s="2" t="n"/>
      <c r="K240" s="2" t="inlineStr">
        <is>
          <t>gasolina</t>
        </is>
      </c>
      <c r="L240" s="2" t="inlineStr">
        <is>
          <t>utilitario</t>
        </is>
      </c>
      <c r="M240" s="2" t="n">
        <v>2014</v>
      </c>
      <c r="N240" s="2" t="n">
        <v>122000</v>
      </c>
      <c r="O240" s="2" t="n">
        <v>5000</v>
      </c>
      <c r="P240" s="2" t="inlineStr">
        <is>
          <t>manual</t>
        </is>
      </c>
      <c r="Q240" s="2" t="inlineStr">
        <is>
          <t>no</t>
        </is>
      </c>
      <c r="R240" s="2" t="inlineStr">
        <is>
          <t>particular</t>
        </is>
      </c>
      <c r="S240" s="2" t="inlineStr">
        <is>
          <t>Almussafes</t>
        </is>
      </c>
      <c r="T240" s="2" t="inlineStr">
        <is>
          <t>2026-09-30T12:46:08Z</t>
        </is>
      </c>
      <c r="U240" s="2" t="n">
        <v>11</v>
      </c>
      <c r="V240" s="2" t="n"/>
      <c r="W240" s="2" t="n"/>
      <c r="X240" s="2" t="n"/>
      <c r="Y240" s="2" t="n"/>
      <c r="Z240" s="2" t="inlineStr">
        <is>
          <t>no</t>
        </is>
      </c>
      <c r="AA240" s="2" t="n"/>
      <c r="AB240" s="2" t="n"/>
      <c r="AC240" s="2" t="n"/>
      <c r="AD240" s="2" t="n"/>
      <c r="AE240" s="2" t="n"/>
      <c r="AF240" s="2" t="n"/>
      <c r="AG240" s="2" t="n"/>
      <c r="AH240" s="2" t="n">
        <v>5000</v>
      </c>
      <c r="AI240" s="2" t="n"/>
      <c r="AJ240" s="2" t="n"/>
      <c r="AK240" s="2" t="n"/>
      <c r="AL240" s="2" t="n"/>
      <c r="AM240" s="2" t="n">
        <v>20</v>
      </c>
      <c r="AN240" s="2" t="n"/>
      <c r="AO240" s="2" t="inlineStr">
        <is>
          <t>04/2014</t>
        </is>
      </c>
      <c r="AP240" s="2" t="n">
        <v>2014</v>
      </c>
      <c r="AQ240" s="2" t="n">
        <v>4</v>
      </c>
      <c r="AR240" s="2" t="n"/>
      <c r="AS240" s="2" t="inlineStr">
        <is>
          <t>regla</t>
        </is>
      </c>
      <c r="AT240" s="2" t="n">
        <v>5490</v>
      </c>
      <c r="AU240" s="2" t="n">
        <v>7</v>
      </c>
      <c r="AV240" s="2" t="inlineStr">
        <is>
          <t>modelo+año+km</t>
        </is>
      </c>
      <c r="AW240" s="2" t="n"/>
      <c r="AX240" s="2" t="inlineStr">
        <is>
          <t>por encima del presupuesto (5184 €), negociar; cuota fija ITP: &gt;5 y &lt;=12 años, hasta 1.500 cc</t>
        </is>
      </c>
      <c r="AY240" s="2" t="inlineStr">
        <is>
          <t>Se vende Opel Corsa 1200 86cv gasolina en buen estado. 
Tiene aire acondicionado.
Llantas de aleación.
Volante multifunción...
la aplicación no me dejaba cambiar el modelo, no es el start stop.</t>
        </is>
      </c>
      <c r="AZ240" s="2" t="inlineStr">
        <is>
          <t>https://www.coches.net/opel-corsa-12-expression-start--stop-5p-gasolina-2014-en-valencia-71580711-covo.aspx (window.__INITIAL_PROPS__.ad) /home/user/Alopecia/buscador-coches/raw/cochesnet/ee0776d58fdae07f.json</t>
        </is>
      </c>
      <c r="BA240" s="3">
        <f>MAX(ANIO_ACTUAL-M240,0)</f>
        <v/>
      </c>
      <c r="BB240" s="4">
        <f>N240/MAX(BA240,0.5)</f>
        <v/>
      </c>
      <c r="BC240" s="4">
        <f>F240</f>
        <v/>
      </c>
      <c r="BD240" s="3">
        <f>BC240&amp;"|"&amp;INT(M240/SEG_ANIO)*SEG_ANIO</f>
        <v/>
      </c>
      <c r="BE240" s="3">
        <f>BD240&amp;"|"&amp;INT(N240/SEG_KM)*SEG_KM</f>
        <v/>
      </c>
      <c r="BF240" s="4">
        <f>COUNTIF($BC$2:$BC$545,BC240)</f>
        <v/>
      </c>
      <c r="BG240" s="4">
        <f>COUNTIF($BD$2:$BD$545,BD240)</f>
        <v/>
      </c>
      <c r="BH240" s="4">
        <f>COUNTIF($BE$2:$BE$545,BE240)</f>
        <v/>
      </c>
      <c r="BI240" s="3">
        <f t="array" ref="BI240">IF(N(AU240)&gt;=MIN_N,AT240,IF(BH240&gt;=MIN_N,MEDIAN(IF($BE$2:$BE$545=BE240,$O$2:$O$545)),IF(BG240&gt;=MIN_N,MEDIAN(IF($BD$2:$BD$545=BD240,$O$2:$O$545)),MEDIAN(IF($BC$2:$BC$545=BC240,$O$2:$O$545)))))</f>
        <v/>
      </c>
      <c r="BJ240" s="3">
        <f>IF(N(AU240)&gt;=MIN_N,"mercado "&amp;AV240,IF(BH240&gt;=MIN_N,"modelo+año+km",IF(BG240&gt;=MIN_N,"modelo+año","modelo")))</f>
        <v/>
      </c>
      <c r="BK240" s="4">
        <f>(BI240-O240)/BI240</f>
        <v/>
      </c>
      <c r="BL240" s="3">
        <f>IF(COUNTIFS(FR_FUEL,K240,FR_YEAR,AP240)&gt;0,1,0)</f>
        <v/>
      </c>
      <c r="BM240" s="3">
        <f>IF(COUNTIFS(FR_FUEL,K240,FR_YEAR,AP240-1)&gt;0,1,0)</f>
        <v/>
      </c>
      <c r="BN240" s="4">
        <f>IF(N(AQ240)&gt;0,AP240*100+AQ240,IF(AND(BL240=1,BM240=1),(AP240-1)*100+1,AP240*100+1))</f>
        <v/>
      </c>
      <c r="BO240" s="3">
        <f>IF(OR(K240="hibrido",K240="glp",K240="gnc",K240="phev"),"ECO",IF(K240="electrico","CERO",IF(K240="gasolina",IF(BN240&gt;=GAS_C_YM,"C",IF(BN240&gt;=GAS_B_YM,"B","A")),IF(K240="diesel",IF(BN240&gt;=DIE_C_YM,"C",IF(BN240&gt;=DIE_B_YM,"B","A")),""))))</f>
        <v/>
      </c>
      <c r="BP240" s="4">
        <f>BO240</f>
        <v/>
      </c>
      <c r="BQ240" s="4">
        <f>IF(AS240="regla",IF(AND(N(AQ240)=0,BL240=1),"sí","no"),"no")</f>
        <v/>
      </c>
      <c r="BR240" s="3">
        <f>IFERROR(VLOOKUP(F240,MOD_TBL,11,0),IFERROR(VLOOKUP(E240,OCU_TBL,2,0),NEUTRO))</f>
        <v/>
      </c>
      <c r="BS240" s="3">
        <f>SUMIFS(MOT_AJUSTE,MOT_MOTOR,G240,MOT_MARCA,E240,MOT_DESDE,"&lt;="&amp;M240,MOT_HASTA,"&gt;="&amp;M240)+SUMIFS(MOT_AJUSTE,MOT_MOTOR,G240,MOT_MARCA,"(todas)",MOT_DESDE,"&lt;="&amp;M240,MOT_HASTA,"&gt;="&amp;M240)</f>
        <v/>
      </c>
      <c r="BT240" s="3">
        <f>SUMIFS(COMB_AJUSTE,COMB_COMB,K240)</f>
        <v/>
      </c>
      <c r="BU240" s="3">
        <f>COUNTIFS(MOT_MOTOR,G240,MOT_MARCA,E240,MOT_DESDE,"&lt;="&amp;M240,MOT_HASTA,"&gt;="&amp;M240)+COUNTIFS(MOT_MOTOR,G240,MOT_MARCA,"(todas)",MOT_DESDE,"&lt;="&amp;M240,MOT_HASTA,"&gt;="&amp;M240)</f>
        <v/>
      </c>
      <c r="BV240" s="3">
        <f>IF(AND(K240="diesel",BU240=0),MIN(BR240,NEUTRO),BR240)</f>
        <v/>
      </c>
      <c r="BW240" s="4">
        <f>MAX(0,MIN(100,BV240+BS240+BT240))</f>
        <v/>
      </c>
      <c r="BX240" s="3">
        <f>MAX(0,MIN(100,50+BK240*PRECIO_PEND))</f>
        <v/>
      </c>
      <c r="BY240" s="3">
        <f>MAX(0,100*(1-N240/KM_MAX))</f>
        <v/>
      </c>
      <c r="BZ240" s="3">
        <f>IF(BB240&lt;KMA_SOSP,IF(AA240="sí",100,KMA_PEN),IF(BB240&lt;=KMA_IDEAL_MAX,100,MAX(0,100*(KMA_CERO-BB240)/(KMA_CERO-KMA_IDEAL_MAX))))</f>
        <v/>
      </c>
      <c r="CA240" s="3">
        <f>MAX(0,MIN(100,100*(M240-ANIO_MIN)/(ANIO_ACTUAL-ANIO_MIN)))</f>
        <v/>
      </c>
      <c r="CB240" s="3">
        <f>W_KMT*BY240+W_KMA*BZ240+W_EDAD*CA240</f>
        <v/>
      </c>
      <c r="CC240" s="3">
        <f>P_ITV*(V240="sí")+P_LIBRO*(W240="sí")+P_CORREA*(X240="sí")+P_PROP*(Y240=1)+P_GAR*(Z240="sí")+P_FOTOS*MIN(1,N(U240)/FOTOS_OBJ)</f>
        <v/>
      </c>
      <c r="CD240" s="3">
        <f>MAX(0,MIN(100,IFERROR(VLOOKUP(BP240,ETQ_TBL,2,0),0)-IF(BQ240="sí",ETQ_PEN_DUD,IF(AS240="regla",ETQ_PEN_REGLA,0))))</f>
        <v/>
      </c>
      <c r="CE240" s="3">
        <f>NEUTRO</f>
        <v/>
      </c>
      <c r="CF240" s="3">
        <f>IFERROR(VLOOKUP(L240,SEGURO_TBL,3,0),"")</f>
        <v/>
      </c>
      <c r="CG240" s="3">
        <f>IF(CF240="",NEUTRO,MAX(0,MIN(100,100*(SEG_REF_MAX-CF240)/(SEG_REF_MAX-SEG_REF_MIN))))</f>
        <v/>
      </c>
      <c r="CH240" s="3">
        <f>W_CONS*CE240+W_SEG*CG240</f>
        <v/>
      </c>
      <c r="CI240" s="3">
        <f>IF(N(AB240)&gt;0,AB240,IF(AND(R240="profesional",SG_LEGAL_ON=1),GAR_LEGAL,0))</f>
        <v/>
      </c>
      <c r="CJ240" s="3">
        <f>SG_GAR*MIN(1,CI240/SG_GAR_FULL)+SG_AMPL*(AC240="sí")+SG_KMC*(AF240="sí")+SG_REV*(N(AE240)&gt;0)+SG_DEV*MIN(1,N(AG240)/SG_DEV_FULL)+SG_HIST*(W240="sí")</f>
        <v/>
      </c>
      <c r="CK240" s="3">
        <f>IFERROR(VLOOKUP(L240,CARR_PEN_TBL,2,0),0)</f>
        <v/>
      </c>
      <c r="CL240" s="3">
        <f>W_FIAB*BW240+W_PRECIO*BX240+W_KMEDAD*CB240+W_ANUNCIO*CC240+W_USO*CH240+W_SEGURIDAD*CJ240+W_ETIQUETA*CD240-CK240</f>
        <v/>
      </c>
      <c r="CM240" s="4">
        <f>IF(N(I240)&gt;0,I240,IFERROR(ROUND(_xlfn.NUMBERVALUE(LEFT(G240,FIND(" ",G240&amp;" ")-1),".")*1000,0),99999))</f>
        <v/>
      </c>
      <c r="CN240" s="3">
        <f>IF(R240="profesional",0,IF(O240&lt;CUOTA_VALOR_MAX,IF(BA240&gt;ITP_TRAMO_ALTO,SUMIFS(CF_CUOTA,CF_MAS,ITP_TRAMO_ALTO,CF_CCMIN,"&lt;="&amp;CM240,CF_CCMAX,"&gt;="&amp;CM240),IF(BA240&gt;ITP_TRAMO_BAJO,SUMIFS(CF_CUOTA,CF_MAS,ITP_TRAMO_BAJO,CF_CCMIN,"&lt;="&amp;CM240,CF_CCMAX,"&gt;="&amp;CM240),O240*ITP_TIPO)),O240*ITP_TIPO))</f>
        <v/>
      </c>
      <c r="CO240" s="4">
        <f>IF(R240="profesional",N(AK240),0)</f>
        <v/>
      </c>
      <c r="CP240" s="3">
        <f>IF(AND(R240="profesional",ISNUMBER(AK240),AL240="sí"),0,TASA_DGT)</f>
        <v/>
      </c>
      <c r="CQ240" s="3">
        <f>INFORME_DGT</f>
        <v/>
      </c>
      <c r="CR240" s="4">
        <f>O240+CO240+CN240+CP240+CQ240</f>
        <v/>
      </c>
      <c r="CS240" s="4">
        <f>CR240+N(CF240)</f>
        <v/>
      </c>
      <c r="CT240" s="3">
        <f>IF(CR240&lt;=TOTAL_MAX,"sí",IF(CR240&lt;=TOTAL_MAX+MARGEN_NEG,"negociar","no"))</f>
        <v/>
      </c>
      <c r="CU240" s="4">
        <f>IF(CT240&lt;&gt;"no",COUNTIFS($CT$2:$CT$545,"&lt;&gt;no",$CL$2:$CL$545,"&gt;"&amp;CL240)+COUNTIFS($CT$2:CT240,"&lt;&gt;no",$CL$2:CL240,CL240),"")</f>
        <v/>
      </c>
    </row>
    <row r="241">
      <c r="A241" s="2" t="inlineStr">
        <is>
          <t>cochesnet:71509899</t>
        </is>
      </c>
      <c r="B241" s="2" t="inlineStr">
        <is>
          <t>cochesnet</t>
        </is>
      </c>
      <c r="C241" s="2" t="inlineStr">
        <is>
          <t>https://www.coches.net/opel-corsa-diesel-2006-en-valencia-71509899-covo.aspx</t>
        </is>
      </c>
      <c r="D241" s="2" t="inlineStr">
        <is>
          <t>OPEL Corsa</t>
        </is>
      </c>
      <c r="E241" s="2" t="inlineStr">
        <is>
          <t>Opel</t>
        </is>
      </c>
      <c r="F241" s="2" t="inlineStr">
        <is>
          <t>Opel Corsa</t>
        </is>
      </c>
      <c r="G241" s="2" t="n"/>
      <c r="H241" s="2" t="n"/>
      <c r="I241" s="2" t="n"/>
      <c r="J241" s="2" t="n"/>
      <c r="K241" s="2" t="inlineStr">
        <is>
          <t>diesel</t>
        </is>
      </c>
      <c r="L241" s="2" t="inlineStr">
        <is>
          <t>utilitario</t>
        </is>
      </c>
      <c r="M241" s="2" t="n">
        <v>2006</v>
      </c>
      <c r="N241" s="2" t="n">
        <v>170000</v>
      </c>
      <c r="O241" s="2" t="n">
        <v>2100</v>
      </c>
      <c r="P241" s="2" t="inlineStr">
        <is>
          <t>manual</t>
        </is>
      </c>
      <c r="Q241" s="2" t="inlineStr">
        <is>
          <t>no</t>
        </is>
      </c>
      <c r="R241" s="2" t="inlineStr">
        <is>
          <t>particular</t>
        </is>
      </c>
      <c r="S241" s="2" t="n"/>
      <c r="T241" s="2" t="inlineStr">
        <is>
          <t>2026-09-14T12:21:10Z</t>
        </is>
      </c>
      <c r="U241" s="2" t="n">
        <v>2</v>
      </c>
      <c r="V241" s="2" t="n"/>
      <c r="W241" s="2" t="n"/>
      <c r="X241" s="2" t="n"/>
      <c r="Y241" s="2" t="n"/>
      <c r="Z241" s="2" t="inlineStr">
        <is>
          <t>no</t>
        </is>
      </c>
      <c r="AA241" s="2" t="n"/>
      <c r="AB241" s="2" t="n"/>
      <c r="AC241" s="2" t="n"/>
      <c r="AD241" s="2" t="n"/>
      <c r="AE241" s="2" t="n"/>
      <c r="AF241" s="2" t="n"/>
      <c r="AG241" s="2" t="n"/>
      <c r="AH241" s="2" t="n">
        <v>2100</v>
      </c>
      <c r="AI241" s="2" t="n"/>
      <c r="AJ241" s="2" t="n"/>
      <c r="AK241" s="2" t="n"/>
      <c r="AL241" s="2" t="n"/>
      <c r="AM241" s="2" t="n"/>
      <c r="AN241" s="2" t="n"/>
      <c r="AO241" s="2" t="inlineStr">
        <is>
          <t>2006</t>
        </is>
      </c>
      <c r="AP241" s="2" t="n">
        <v>2006</v>
      </c>
      <c r="AQ241" s="2" t="n"/>
      <c r="AR241" s="2" t="n"/>
      <c r="AS241" s="2" t="inlineStr">
        <is>
          <t>regla</t>
        </is>
      </c>
      <c r="AT241" s="2" t="n">
        <v>3100</v>
      </c>
      <c r="AU241" s="2" t="n">
        <v>8</v>
      </c>
      <c r="AV241" s="2" t="inlineStr">
        <is>
          <t>modelo+año+km</t>
        </is>
      </c>
      <c r="AW241" s="2" t="n"/>
      <c r="AX241"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241" s="2" t="inlineStr">
        <is>
          <t xml:space="preserve">Se vende coche, opel corsa buen estado. </t>
        </is>
      </c>
      <c r="AZ241" s="2" t="inlineStr">
        <is>
          <t>https://www.coches.net/opel-corsa-diesel-2006-en-valencia-71509899-covo.aspx (window.__INITIAL_PROPS__.ad) /home/user/Alopecia/buscador-coches/raw/cochesnet/f3e8039a5bdad936.json</t>
        </is>
      </c>
      <c r="BA241" s="3">
        <f>MAX(ANIO_ACTUAL-M241,0)</f>
        <v/>
      </c>
      <c r="BB241" s="4">
        <f>N241/MAX(BA241,0.5)</f>
        <v/>
      </c>
      <c r="BC241" s="4">
        <f>F241</f>
        <v/>
      </c>
      <c r="BD241" s="3">
        <f>BC241&amp;"|"&amp;INT(M241/SEG_ANIO)*SEG_ANIO</f>
        <v/>
      </c>
      <c r="BE241" s="3">
        <f>BD241&amp;"|"&amp;INT(N241/SEG_KM)*SEG_KM</f>
        <v/>
      </c>
      <c r="BF241" s="4">
        <f>COUNTIF($BC$2:$BC$545,BC241)</f>
        <v/>
      </c>
      <c r="BG241" s="4">
        <f>COUNTIF($BD$2:$BD$545,BD241)</f>
        <v/>
      </c>
      <c r="BH241" s="4">
        <f>COUNTIF($BE$2:$BE$545,BE241)</f>
        <v/>
      </c>
      <c r="BI241" s="3">
        <f t="array" ref="BI241">IF(N(AU241)&gt;=MIN_N,AT241,IF(BH241&gt;=MIN_N,MEDIAN(IF($BE$2:$BE$545=BE241,$O$2:$O$545)),IF(BG241&gt;=MIN_N,MEDIAN(IF($BD$2:$BD$545=BD241,$O$2:$O$545)),MEDIAN(IF($BC$2:$BC$545=BC241,$O$2:$O$545)))))</f>
        <v/>
      </c>
      <c r="BJ241" s="3">
        <f>IF(N(AU241)&gt;=MIN_N,"mercado "&amp;AV241,IF(BH241&gt;=MIN_N,"modelo+año+km",IF(BG241&gt;=MIN_N,"modelo+año","modelo")))</f>
        <v/>
      </c>
      <c r="BK241" s="4">
        <f>(BI241-O241)/BI241</f>
        <v/>
      </c>
      <c r="BL241" s="3">
        <f>IF(COUNTIFS(FR_FUEL,K241,FR_YEAR,AP241)&gt;0,1,0)</f>
        <v/>
      </c>
      <c r="BM241" s="3">
        <f>IF(COUNTIFS(FR_FUEL,K241,FR_YEAR,AP241-1)&gt;0,1,0)</f>
        <v/>
      </c>
      <c r="BN241" s="4">
        <f>IF(N(AQ241)&gt;0,AP241*100+AQ241,IF(AND(BL241=1,BM241=1),(AP241-1)*100+1,AP241*100+1))</f>
        <v/>
      </c>
      <c r="BO241" s="3">
        <f>IF(OR(K241="hibrido",K241="glp",K241="gnc",K241="phev"),"ECO",IF(K241="electrico","CERO",IF(K241="gasolina",IF(BN241&gt;=GAS_C_YM,"C",IF(BN241&gt;=GAS_B_YM,"B","A")),IF(K241="diesel",IF(BN241&gt;=DIE_C_YM,"C",IF(BN241&gt;=DIE_B_YM,"B","A")),""))))</f>
        <v/>
      </c>
      <c r="BP241" s="4">
        <f>BO241</f>
        <v/>
      </c>
      <c r="BQ241" s="4">
        <f>IF(AS241="regla",IF(AND(N(AQ241)=0,BL241=1),"sí","no"),"no")</f>
        <v/>
      </c>
      <c r="BR241" s="3">
        <f>IFERROR(VLOOKUP(F241,MOD_TBL,11,0),IFERROR(VLOOKUP(E241,OCU_TBL,2,0),NEUTRO))</f>
        <v/>
      </c>
      <c r="BS241" s="3">
        <f>SUMIFS(MOT_AJUSTE,MOT_MOTOR,G241,MOT_MARCA,E241,MOT_DESDE,"&lt;="&amp;M241,MOT_HASTA,"&gt;="&amp;M241)+SUMIFS(MOT_AJUSTE,MOT_MOTOR,G241,MOT_MARCA,"(todas)",MOT_DESDE,"&lt;="&amp;M241,MOT_HASTA,"&gt;="&amp;M241)</f>
        <v/>
      </c>
      <c r="BT241" s="3">
        <f>SUMIFS(COMB_AJUSTE,COMB_COMB,K241)</f>
        <v/>
      </c>
      <c r="BU241" s="3">
        <f>COUNTIFS(MOT_MOTOR,G241,MOT_MARCA,E241,MOT_DESDE,"&lt;="&amp;M241,MOT_HASTA,"&gt;="&amp;M241)+COUNTIFS(MOT_MOTOR,G241,MOT_MARCA,"(todas)",MOT_DESDE,"&lt;="&amp;M241,MOT_HASTA,"&gt;="&amp;M241)</f>
        <v/>
      </c>
      <c r="BV241" s="3">
        <f>IF(AND(K241="diesel",BU241=0),MIN(BR241,NEUTRO),BR241)</f>
        <v/>
      </c>
      <c r="BW241" s="4">
        <f>MAX(0,MIN(100,BV241+BS241+BT241))</f>
        <v/>
      </c>
      <c r="BX241" s="3">
        <f>MAX(0,MIN(100,50+BK241*PRECIO_PEND))</f>
        <v/>
      </c>
      <c r="BY241" s="3">
        <f>MAX(0,100*(1-N241/KM_MAX))</f>
        <v/>
      </c>
      <c r="BZ241" s="3">
        <f>IF(BB241&lt;KMA_SOSP,IF(AA241="sí",100,KMA_PEN),IF(BB241&lt;=KMA_IDEAL_MAX,100,MAX(0,100*(KMA_CERO-BB241)/(KMA_CERO-KMA_IDEAL_MAX))))</f>
        <v/>
      </c>
      <c r="CA241" s="3">
        <f>MAX(0,MIN(100,100*(M241-ANIO_MIN)/(ANIO_ACTUAL-ANIO_MIN)))</f>
        <v/>
      </c>
      <c r="CB241" s="3">
        <f>W_KMT*BY241+W_KMA*BZ241+W_EDAD*CA241</f>
        <v/>
      </c>
      <c r="CC241" s="3">
        <f>P_ITV*(V241="sí")+P_LIBRO*(W241="sí")+P_CORREA*(X241="sí")+P_PROP*(Y241=1)+P_GAR*(Z241="sí")+P_FOTOS*MIN(1,N(U241)/FOTOS_OBJ)</f>
        <v/>
      </c>
      <c r="CD241" s="3">
        <f>MAX(0,MIN(100,IFERROR(VLOOKUP(BP241,ETQ_TBL,2,0),0)-IF(BQ241="sí",ETQ_PEN_DUD,IF(AS241="regla",ETQ_PEN_REGLA,0))))</f>
        <v/>
      </c>
      <c r="CE241" s="3">
        <f>NEUTRO</f>
        <v/>
      </c>
      <c r="CF241" s="3">
        <f>IFERROR(VLOOKUP(L241,SEGURO_TBL,3,0),"")</f>
        <v/>
      </c>
      <c r="CG241" s="3">
        <f>IF(CF241="",NEUTRO,MAX(0,MIN(100,100*(SEG_REF_MAX-CF241)/(SEG_REF_MAX-SEG_REF_MIN))))</f>
        <v/>
      </c>
      <c r="CH241" s="3">
        <f>W_CONS*CE241+W_SEG*CG241</f>
        <v/>
      </c>
      <c r="CI241" s="3">
        <f>IF(N(AB241)&gt;0,AB241,IF(AND(R241="profesional",SG_LEGAL_ON=1),GAR_LEGAL,0))</f>
        <v/>
      </c>
      <c r="CJ241" s="3">
        <f>SG_GAR*MIN(1,CI241/SG_GAR_FULL)+SG_AMPL*(AC241="sí")+SG_KMC*(AF241="sí")+SG_REV*(N(AE241)&gt;0)+SG_DEV*MIN(1,N(AG241)/SG_DEV_FULL)+SG_HIST*(W241="sí")</f>
        <v/>
      </c>
      <c r="CK241" s="3">
        <f>IFERROR(VLOOKUP(L241,CARR_PEN_TBL,2,0),0)</f>
        <v/>
      </c>
      <c r="CL241" s="3">
        <f>W_FIAB*BW241+W_PRECIO*BX241+W_KMEDAD*CB241+W_ANUNCIO*CC241+W_USO*CH241+W_SEGURIDAD*CJ241+W_ETIQUETA*CD241-CK241</f>
        <v/>
      </c>
      <c r="CM241" s="4">
        <f>IF(N(I241)&gt;0,I241,IFERROR(ROUND(_xlfn.NUMBERVALUE(LEFT(G241,FIND(" ",G241&amp;" ")-1),".")*1000,0),99999))</f>
        <v/>
      </c>
      <c r="CN241" s="3">
        <f>IF(R241="profesional",0,IF(O241&lt;CUOTA_VALOR_MAX,IF(BA241&gt;ITP_TRAMO_ALTO,SUMIFS(CF_CUOTA,CF_MAS,ITP_TRAMO_ALTO,CF_CCMIN,"&lt;="&amp;CM241,CF_CCMAX,"&gt;="&amp;CM241),IF(BA241&gt;ITP_TRAMO_BAJO,SUMIFS(CF_CUOTA,CF_MAS,ITP_TRAMO_BAJO,CF_CCMIN,"&lt;="&amp;CM241,CF_CCMAX,"&gt;="&amp;CM241),O241*ITP_TIPO)),O241*ITP_TIPO))</f>
        <v/>
      </c>
      <c r="CO241" s="4">
        <f>IF(R241="profesional",N(AK241),0)</f>
        <v/>
      </c>
      <c r="CP241" s="3">
        <f>IF(AND(R241="profesional",ISNUMBER(AK241),AL241="sí"),0,TASA_DGT)</f>
        <v/>
      </c>
      <c r="CQ241" s="3">
        <f>INFORME_DGT</f>
        <v/>
      </c>
      <c r="CR241" s="4">
        <f>O241+CO241+CN241+CP241+CQ241</f>
        <v/>
      </c>
      <c r="CS241" s="4">
        <f>CR241+N(CF241)</f>
        <v/>
      </c>
      <c r="CT241" s="3">
        <f>IF(CR241&lt;=TOTAL_MAX,"sí",IF(CR241&lt;=TOTAL_MAX+MARGEN_NEG,"negociar","no"))</f>
        <v/>
      </c>
      <c r="CU241" s="4">
        <f>IF(CT241&lt;&gt;"no",COUNTIFS($CT$2:$CT$545,"&lt;&gt;no",$CL$2:$CL$545,"&gt;"&amp;CL241)+COUNTIFS($CT$2:CT241,"&lt;&gt;no",$CL$2:CL241,CL241),"")</f>
        <v/>
      </c>
    </row>
    <row r="242">
      <c r="A242" s="2" t="inlineStr">
        <is>
          <t>cochesnet:71502646</t>
        </is>
      </c>
      <c r="B242" s="2" t="inlineStr">
        <is>
          <t>cochesnet</t>
        </is>
      </c>
      <c r="C242" s="2" t="inlineStr">
        <is>
          <t>https://www.coches.net/opel-corsa-diesel-2012-en-valencia-71502646-covo.aspx</t>
        </is>
      </c>
      <c r="D242" s="2" t="inlineStr">
        <is>
          <t>OPEL Corsa</t>
        </is>
      </c>
      <c r="E242" s="2" t="inlineStr">
        <is>
          <t>Opel</t>
        </is>
      </c>
      <c r="F242" s="2" t="inlineStr">
        <is>
          <t>Opel Corsa</t>
        </is>
      </c>
      <c r="G242" s="2" t="n"/>
      <c r="H242" s="2" t="n"/>
      <c r="I242" s="2" t="n"/>
      <c r="J242" s="2" t="n"/>
      <c r="K242" s="2" t="inlineStr">
        <is>
          <t>diesel</t>
        </is>
      </c>
      <c r="L242" s="2" t="inlineStr">
        <is>
          <t>utilitario</t>
        </is>
      </c>
      <c r="M242" s="2" t="n">
        <v>2012</v>
      </c>
      <c r="N242" s="2" t="n">
        <v>144000</v>
      </c>
      <c r="O242" s="2" t="n">
        <v>4900</v>
      </c>
      <c r="P242" s="2" t="inlineStr">
        <is>
          <t>manual</t>
        </is>
      </c>
      <c r="Q242" s="2" t="inlineStr">
        <is>
          <t>no</t>
        </is>
      </c>
      <c r="R242" s="2" t="inlineStr">
        <is>
          <t>particular</t>
        </is>
      </c>
      <c r="S242" s="2" t="n"/>
      <c r="T242" s="2" t="inlineStr">
        <is>
          <t>2026-09-13T09:21:36Z</t>
        </is>
      </c>
      <c r="U242" s="2" t="n">
        <v>9</v>
      </c>
      <c r="V242" s="2" t="n"/>
      <c r="W242" s="2" t="n"/>
      <c r="X242" s="2" t="n"/>
      <c r="Y242" s="2" t="n"/>
      <c r="Z242" s="2" t="inlineStr">
        <is>
          <t>no</t>
        </is>
      </c>
      <c r="AA242" s="2" t="n"/>
      <c r="AB242" s="2" t="n"/>
      <c r="AC242" s="2" t="n"/>
      <c r="AD242" s="2" t="n"/>
      <c r="AE242" s="2" t="n"/>
      <c r="AF242" s="2" t="n"/>
      <c r="AG242" s="2" t="n"/>
      <c r="AH242" s="2" t="n">
        <v>4900</v>
      </c>
      <c r="AI242" s="2" t="n"/>
      <c r="AJ242" s="2" t="n"/>
      <c r="AK242" s="2" t="n"/>
      <c r="AL242" s="2" t="n"/>
      <c r="AM242" s="2" t="n"/>
      <c r="AN242" s="2" t="n"/>
      <c r="AO242" s="2" t="inlineStr">
        <is>
          <t>2012</t>
        </is>
      </c>
      <c r="AP242" s="2" t="n">
        <v>2012</v>
      </c>
      <c r="AQ242" s="2" t="n"/>
      <c r="AR242" s="2" t="n"/>
      <c r="AS242" s="2" t="inlineStr">
        <is>
          <t>regla</t>
        </is>
      </c>
      <c r="AT242" s="2" t="n">
        <v>4625</v>
      </c>
      <c r="AU242" s="2" t="n">
        <v>8</v>
      </c>
      <c r="AV242" s="2" t="inlineStr">
        <is>
          <t>modelo+año+km</t>
        </is>
      </c>
      <c r="AW242" s="2" t="n"/>
      <c r="AX242" s="2" t="inlineStr">
        <is>
          <t>por encima del presupuesto (5104 €),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242" s="2" t="inlineStr">
        <is>
          <t xml:space="preserve">1.3 CDTi 95 Color Edition 5p
</t>
        </is>
      </c>
      <c r="AZ242" s="2" t="inlineStr">
        <is>
          <t>https://www.coches.net/opel-corsa-diesel-2012-en-valencia-71502646-covo.aspx (window.__INITIAL_PROPS__.ad) /home/user/Alopecia/buscador-coches/raw/cochesnet/83f190a332360c53.json</t>
        </is>
      </c>
      <c r="BA242" s="3">
        <f>MAX(ANIO_ACTUAL-M242,0)</f>
        <v/>
      </c>
      <c r="BB242" s="4">
        <f>N242/MAX(BA242,0.5)</f>
        <v/>
      </c>
      <c r="BC242" s="4">
        <f>F242</f>
        <v/>
      </c>
      <c r="BD242" s="3">
        <f>BC242&amp;"|"&amp;INT(M242/SEG_ANIO)*SEG_ANIO</f>
        <v/>
      </c>
      <c r="BE242" s="3">
        <f>BD242&amp;"|"&amp;INT(N242/SEG_KM)*SEG_KM</f>
        <v/>
      </c>
      <c r="BF242" s="4">
        <f>COUNTIF($BC$2:$BC$545,BC242)</f>
        <v/>
      </c>
      <c r="BG242" s="4">
        <f>COUNTIF($BD$2:$BD$545,BD242)</f>
        <v/>
      </c>
      <c r="BH242" s="4">
        <f>COUNTIF($BE$2:$BE$545,BE242)</f>
        <v/>
      </c>
      <c r="BI242" s="3">
        <f t="array" ref="BI242">IF(N(AU242)&gt;=MIN_N,AT242,IF(BH242&gt;=MIN_N,MEDIAN(IF($BE$2:$BE$545=BE242,$O$2:$O$545)),IF(BG242&gt;=MIN_N,MEDIAN(IF($BD$2:$BD$545=BD242,$O$2:$O$545)),MEDIAN(IF($BC$2:$BC$545=BC242,$O$2:$O$545)))))</f>
        <v/>
      </c>
      <c r="BJ242" s="3">
        <f>IF(N(AU242)&gt;=MIN_N,"mercado "&amp;AV242,IF(BH242&gt;=MIN_N,"modelo+año+km",IF(BG242&gt;=MIN_N,"modelo+año","modelo")))</f>
        <v/>
      </c>
      <c r="BK242" s="4">
        <f>(BI242-O242)/BI242</f>
        <v/>
      </c>
      <c r="BL242" s="3">
        <f>IF(COUNTIFS(FR_FUEL,K242,FR_YEAR,AP242)&gt;0,1,0)</f>
        <v/>
      </c>
      <c r="BM242" s="3">
        <f>IF(COUNTIFS(FR_FUEL,K242,FR_YEAR,AP242-1)&gt;0,1,0)</f>
        <v/>
      </c>
      <c r="BN242" s="4">
        <f>IF(N(AQ242)&gt;0,AP242*100+AQ242,IF(AND(BL242=1,BM242=1),(AP242-1)*100+1,AP242*100+1))</f>
        <v/>
      </c>
      <c r="BO242" s="3">
        <f>IF(OR(K242="hibrido",K242="glp",K242="gnc",K242="phev"),"ECO",IF(K242="electrico","CERO",IF(K242="gasolina",IF(BN242&gt;=GAS_C_YM,"C",IF(BN242&gt;=GAS_B_YM,"B","A")),IF(K242="diesel",IF(BN242&gt;=DIE_C_YM,"C",IF(BN242&gt;=DIE_B_YM,"B","A")),""))))</f>
        <v/>
      </c>
      <c r="BP242" s="4">
        <f>BO242</f>
        <v/>
      </c>
      <c r="BQ242" s="4">
        <f>IF(AS242="regla",IF(AND(N(AQ242)=0,BL242=1),"sí","no"),"no")</f>
        <v/>
      </c>
      <c r="BR242" s="3">
        <f>IFERROR(VLOOKUP(F242,MOD_TBL,11,0),IFERROR(VLOOKUP(E242,OCU_TBL,2,0),NEUTRO))</f>
        <v/>
      </c>
      <c r="BS242" s="3">
        <f>SUMIFS(MOT_AJUSTE,MOT_MOTOR,G242,MOT_MARCA,E242,MOT_DESDE,"&lt;="&amp;M242,MOT_HASTA,"&gt;="&amp;M242)+SUMIFS(MOT_AJUSTE,MOT_MOTOR,G242,MOT_MARCA,"(todas)",MOT_DESDE,"&lt;="&amp;M242,MOT_HASTA,"&gt;="&amp;M242)</f>
        <v/>
      </c>
      <c r="BT242" s="3">
        <f>SUMIFS(COMB_AJUSTE,COMB_COMB,K242)</f>
        <v/>
      </c>
      <c r="BU242" s="3">
        <f>COUNTIFS(MOT_MOTOR,G242,MOT_MARCA,E242,MOT_DESDE,"&lt;="&amp;M242,MOT_HASTA,"&gt;="&amp;M242)+COUNTIFS(MOT_MOTOR,G242,MOT_MARCA,"(todas)",MOT_DESDE,"&lt;="&amp;M242,MOT_HASTA,"&gt;="&amp;M242)</f>
        <v/>
      </c>
      <c r="BV242" s="3">
        <f>IF(AND(K242="diesel",BU242=0),MIN(BR242,NEUTRO),BR242)</f>
        <v/>
      </c>
      <c r="BW242" s="4">
        <f>MAX(0,MIN(100,BV242+BS242+BT242))</f>
        <v/>
      </c>
      <c r="BX242" s="3">
        <f>MAX(0,MIN(100,50+BK242*PRECIO_PEND))</f>
        <v/>
      </c>
      <c r="BY242" s="3">
        <f>MAX(0,100*(1-N242/KM_MAX))</f>
        <v/>
      </c>
      <c r="BZ242" s="3">
        <f>IF(BB242&lt;KMA_SOSP,IF(AA242="sí",100,KMA_PEN),IF(BB242&lt;=KMA_IDEAL_MAX,100,MAX(0,100*(KMA_CERO-BB242)/(KMA_CERO-KMA_IDEAL_MAX))))</f>
        <v/>
      </c>
      <c r="CA242" s="3">
        <f>MAX(0,MIN(100,100*(M242-ANIO_MIN)/(ANIO_ACTUAL-ANIO_MIN)))</f>
        <v/>
      </c>
      <c r="CB242" s="3">
        <f>W_KMT*BY242+W_KMA*BZ242+W_EDAD*CA242</f>
        <v/>
      </c>
      <c r="CC242" s="3">
        <f>P_ITV*(V242="sí")+P_LIBRO*(W242="sí")+P_CORREA*(X242="sí")+P_PROP*(Y242=1)+P_GAR*(Z242="sí")+P_FOTOS*MIN(1,N(U242)/FOTOS_OBJ)</f>
        <v/>
      </c>
      <c r="CD242" s="3">
        <f>MAX(0,MIN(100,IFERROR(VLOOKUP(BP242,ETQ_TBL,2,0),0)-IF(BQ242="sí",ETQ_PEN_DUD,IF(AS242="regla",ETQ_PEN_REGLA,0))))</f>
        <v/>
      </c>
      <c r="CE242" s="3">
        <f>NEUTRO</f>
        <v/>
      </c>
      <c r="CF242" s="3">
        <f>IFERROR(VLOOKUP(L242,SEGURO_TBL,3,0),"")</f>
        <v/>
      </c>
      <c r="CG242" s="3">
        <f>IF(CF242="",NEUTRO,MAX(0,MIN(100,100*(SEG_REF_MAX-CF242)/(SEG_REF_MAX-SEG_REF_MIN))))</f>
        <v/>
      </c>
      <c r="CH242" s="3">
        <f>W_CONS*CE242+W_SEG*CG242</f>
        <v/>
      </c>
      <c r="CI242" s="3">
        <f>IF(N(AB242)&gt;0,AB242,IF(AND(R242="profesional",SG_LEGAL_ON=1),GAR_LEGAL,0))</f>
        <v/>
      </c>
      <c r="CJ242" s="3">
        <f>SG_GAR*MIN(1,CI242/SG_GAR_FULL)+SG_AMPL*(AC242="sí")+SG_KMC*(AF242="sí")+SG_REV*(N(AE242)&gt;0)+SG_DEV*MIN(1,N(AG242)/SG_DEV_FULL)+SG_HIST*(W242="sí")</f>
        <v/>
      </c>
      <c r="CK242" s="3">
        <f>IFERROR(VLOOKUP(L242,CARR_PEN_TBL,2,0),0)</f>
        <v/>
      </c>
      <c r="CL242" s="3">
        <f>W_FIAB*BW242+W_PRECIO*BX242+W_KMEDAD*CB242+W_ANUNCIO*CC242+W_USO*CH242+W_SEGURIDAD*CJ242+W_ETIQUETA*CD242-CK242</f>
        <v/>
      </c>
      <c r="CM242" s="4">
        <f>IF(N(I242)&gt;0,I242,IFERROR(ROUND(_xlfn.NUMBERVALUE(LEFT(G242,FIND(" ",G242&amp;" ")-1),".")*1000,0),99999))</f>
        <v/>
      </c>
      <c r="CN242" s="3">
        <f>IF(R242="profesional",0,IF(O242&lt;CUOTA_VALOR_MAX,IF(BA242&gt;ITP_TRAMO_ALTO,SUMIFS(CF_CUOTA,CF_MAS,ITP_TRAMO_ALTO,CF_CCMIN,"&lt;="&amp;CM242,CF_CCMAX,"&gt;="&amp;CM242),IF(BA242&gt;ITP_TRAMO_BAJO,SUMIFS(CF_CUOTA,CF_MAS,ITP_TRAMO_BAJO,CF_CCMIN,"&lt;="&amp;CM242,CF_CCMAX,"&gt;="&amp;CM242),O242*ITP_TIPO)),O242*ITP_TIPO))</f>
        <v/>
      </c>
      <c r="CO242" s="4">
        <f>IF(R242="profesional",N(AK242),0)</f>
        <v/>
      </c>
      <c r="CP242" s="3">
        <f>IF(AND(R242="profesional",ISNUMBER(AK242),AL242="sí"),0,TASA_DGT)</f>
        <v/>
      </c>
      <c r="CQ242" s="3">
        <f>INFORME_DGT</f>
        <v/>
      </c>
      <c r="CR242" s="4">
        <f>O242+CO242+CN242+CP242+CQ242</f>
        <v/>
      </c>
      <c r="CS242" s="4">
        <f>CR242+N(CF242)</f>
        <v/>
      </c>
      <c r="CT242" s="3">
        <f>IF(CR242&lt;=TOTAL_MAX,"sí",IF(CR242&lt;=TOTAL_MAX+MARGEN_NEG,"negociar","no"))</f>
        <v/>
      </c>
      <c r="CU242" s="4">
        <f>IF(CT242&lt;&gt;"no",COUNTIFS($CT$2:$CT$545,"&lt;&gt;no",$CL$2:$CL$545,"&gt;"&amp;CL242)+COUNTIFS($CT$2:CT242,"&lt;&gt;no",$CL$2:CL242,CL242),"")</f>
        <v/>
      </c>
    </row>
    <row r="243">
      <c r="A243" s="2" t="inlineStr">
        <is>
          <t>cochesnet:71474135</t>
        </is>
      </c>
      <c r="B243" s="2" t="inlineStr">
        <is>
          <t>cochesnet</t>
        </is>
      </c>
      <c r="C243" s="2" t="inlineStr">
        <is>
          <t>https://www.coches.net/opel-corsa-gasolina-2007-en-valencia-71474135-covo.aspx</t>
        </is>
      </c>
      <c r="D243" s="2" t="inlineStr">
        <is>
          <t>OPEL Corsa</t>
        </is>
      </c>
      <c r="E243" s="2" t="inlineStr">
        <is>
          <t>Opel</t>
        </is>
      </c>
      <c r="F243" s="2" t="inlineStr">
        <is>
          <t>Opel Corsa</t>
        </is>
      </c>
      <c r="G243" s="2" t="n"/>
      <c r="H243" s="2" t="n"/>
      <c r="I243" s="2" t="n"/>
      <c r="J243" s="2" t="n"/>
      <c r="K243" s="2" t="inlineStr">
        <is>
          <t>gasolina</t>
        </is>
      </c>
      <c r="L243" s="2" t="inlineStr">
        <is>
          <t>utilitario</t>
        </is>
      </c>
      <c r="M243" s="2" t="n">
        <v>2007</v>
      </c>
      <c r="N243" s="2" t="n">
        <v>215000</v>
      </c>
      <c r="O243" s="2" t="n">
        <v>2200</v>
      </c>
      <c r="P243" s="2" t="inlineStr">
        <is>
          <t>manual</t>
        </is>
      </c>
      <c r="Q243" s="2" t="inlineStr">
        <is>
          <t>no</t>
        </is>
      </c>
      <c r="R243" s="2" t="inlineStr">
        <is>
          <t>particular</t>
        </is>
      </c>
      <c r="S243" s="2" t="n"/>
      <c r="T243" s="2" t="inlineStr">
        <is>
          <t>2026-09-09T08:27:50Z</t>
        </is>
      </c>
      <c r="U243" s="2" t="n">
        <v>6</v>
      </c>
      <c r="V243" s="2" t="inlineStr">
        <is>
          <t>sí</t>
        </is>
      </c>
      <c r="W243" s="2" t="n"/>
      <c r="X243" s="2" t="n"/>
      <c r="Y243" s="2" t="n"/>
      <c r="Z243" s="2" t="inlineStr">
        <is>
          <t>no</t>
        </is>
      </c>
      <c r="AA243" s="2" t="n"/>
      <c r="AB243" s="2" t="n"/>
      <c r="AC243" s="2" t="n"/>
      <c r="AD243" s="2" t="n"/>
      <c r="AE243" s="2" t="n"/>
      <c r="AF243" s="2" t="n"/>
      <c r="AG243" s="2" t="n"/>
      <c r="AH243" s="2" t="n">
        <v>2200</v>
      </c>
      <c r="AI243" s="2" t="n"/>
      <c r="AJ243" s="2" t="n"/>
      <c r="AK243" s="2" t="n"/>
      <c r="AL243" s="2" t="n"/>
      <c r="AM243" s="2" t="n"/>
      <c r="AN243" s="2" t="n"/>
      <c r="AO243" s="2" t="inlineStr">
        <is>
          <t>2007</t>
        </is>
      </c>
      <c r="AP243" s="2" t="n">
        <v>2007</v>
      </c>
      <c r="AQ243" s="2" t="n"/>
      <c r="AR243" s="2" t="n"/>
      <c r="AS243" s="2" t="inlineStr">
        <is>
          <t>regla</t>
        </is>
      </c>
      <c r="AT243" s="2" t="n">
        <v>2990</v>
      </c>
      <c r="AU243" s="2" t="n">
        <v>11</v>
      </c>
      <c r="AV243" s="2" t="inlineStr">
        <is>
          <t>modelo+año+km</t>
        </is>
      </c>
      <c r="AW243" s="2" t="n"/>
      <c r="AX243" s="2" t="inlineStr">
        <is>
          <t>cilindrada desconocida: se aplica el tramo de cuota fija más alto; cuota fija ITP: &gt;12 años, más de 2.000 cc; distancia no verificable (el anuncio solo indica la provincia): confirmar que está a &lt;= 70 km</t>
        </is>
      </c>
      <c r="AY243" s="2" t="inlineStr">
        <is>
          <t>?? VEHÍCULO 100% LIBRE DE DANA: El coche se encuentra en Bétera y no ha sido afectado por las inundaciones. Mecánica y electrónica impecables, sin humedades de ningún tipo.Vendo Opel Corsa 5 puertas, motor gasolina de muy bajo consumo. Año de fabricación original 2002 (rematriculado en España en 2008 por importación desde Portugal). Tiene 215.000 km de chasis, pero el motor está muy rejuvenecido.Mecánica al día y muy saneada con facturas demostrables del taller:Motor cambiado hace 2 años: Se instaló un motor sustituto certificado con bastantes menos kilómetros que el chasis (tengo la factura).Puesta a punto actual: Bomba de agua y junta de culata recién cambiadas a estrenar tras una revisión completa. No consume aceite ni refrigerante, suena finísimo y no tiene fugas.Detalles del vehículo:ITV al día y documentación lista para transferir.Interiores cuidados y maletero limpio.Exterior bien conservado con los roces lógicos de su edad (ver fotos).Se encuentra en Bétera (Valencia). Se puede ver, probar y revisar por tu mecánico de confianza sin compromiso.</t>
        </is>
      </c>
      <c r="AZ243" s="2" t="inlineStr">
        <is>
          <t>https://www.coches.net/opel-corsa-gasolina-2007-en-valencia-71474135-covo.aspx (window.__INITIAL_PROPS__.ad) /home/user/Alopecia/buscador-coches/raw/cochesnet/57f2f95e2e0b2873.json</t>
        </is>
      </c>
      <c r="BA243" s="3">
        <f>MAX(ANIO_ACTUAL-M243,0)</f>
        <v/>
      </c>
      <c r="BB243" s="4">
        <f>N243/MAX(BA243,0.5)</f>
        <v/>
      </c>
      <c r="BC243" s="4">
        <f>F243</f>
        <v/>
      </c>
      <c r="BD243" s="3">
        <f>BC243&amp;"|"&amp;INT(M243/SEG_ANIO)*SEG_ANIO</f>
        <v/>
      </c>
      <c r="BE243" s="3">
        <f>BD243&amp;"|"&amp;INT(N243/SEG_KM)*SEG_KM</f>
        <v/>
      </c>
      <c r="BF243" s="4">
        <f>COUNTIF($BC$2:$BC$545,BC243)</f>
        <v/>
      </c>
      <c r="BG243" s="4">
        <f>COUNTIF($BD$2:$BD$545,BD243)</f>
        <v/>
      </c>
      <c r="BH243" s="4">
        <f>COUNTIF($BE$2:$BE$545,BE243)</f>
        <v/>
      </c>
      <c r="BI243" s="3">
        <f t="array" ref="BI243">IF(N(AU243)&gt;=MIN_N,AT243,IF(BH243&gt;=MIN_N,MEDIAN(IF($BE$2:$BE$545=BE243,$O$2:$O$545)),IF(BG243&gt;=MIN_N,MEDIAN(IF($BD$2:$BD$545=BD243,$O$2:$O$545)),MEDIAN(IF($BC$2:$BC$545=BC243,$O$2:$O$545)))))</f>
        <v/>
      </c>
      <c r="BJ243" s="3">
        <f>IF(N(AU243)&gt;=MIN_N,"mercado "&amp;AV243,IF(BH243&gt;=MIN_N,"modelo+año+km",IF(BG243&gt;=MIN_N,"modelo+año","modelo")))</f>
        <v/>
      </c>
      <c r="BK243" s="4">
        <f>(BI243-O243)/BI243</f>
        <v/>
      </c>
      <c r="BL243" s="3">
        <f>IF(COUNTIFS(FR_FUEL,K243,FR_YEAR,AP243)&gt;0,1,0)</f>
        <v/>
      </c>
      <c r="BM243" s="3">
        <f>IF(COUNTIFS(FR_FUEL,K243,FR_YEAR,AP243-1)&gt;0,1,0)</f>
        <v/>
      </c>
      <c r="BN243" s="4">
        <f>IF(N(AQ243)&gt;0,AP243*100+AQ243,IF(AND(BL243=1,BM243=1),(AP243-1)*100+1,AP243*100+1))</f>
        <v/>
      </c>
      <c r="BO243" s="3">
        <f>IF(OR(K243="hibrido",K243="glp",K243="gnc",K243="phev"),"ECO",IF(K243="electrico","CERO",IF(K243="gasolina",IF(BN243&gt;=GAS_C_YM,"C",IF(BN243&gt;=GAS_B_YM,"B","A")),IF(K243="diesel",IF(BN243&gt;=DIE_C_YM,"C",IF(BN243&gt;=DIE_B_YM,"B","A")),""))))</f>
        <v/>
      </c>
      <c r="BP243" s="4">
        <f>BO243</f>
        <v/>
      </c>
      <c r="BQ243" s="4">
        <f>IF(AS243="regla",IF(AND(N(AQ243)=0,BL243=1),"sí","no"),"no")</f>
        <v/>
      </c>
      <c r="BR243" s="3">
        <f>IFERROR(VLOOKUP(F243,MOD_TBL,11,0),IFERROR(VLOOKUP(E243,OCU_TBL,2,0),NEUTRO))</f>
        <v/>
      </c>
      <c r="BS243" s="3">
        <f>SUMIFS(MOT_AJUSTE,MOT_MOTOR,G243,MOT_MARCA,E243,MOT_DESDE,"&lt;="&amp;M243,MOT_HASTA,"&gt;="&amp;M243)+SUMIFS(MOT_AJUSTE,MOT_MOTOR,G243,MOT_MARCA,"(todas)",MOT_DESDE,"&lt;="&amp;M243,MOT_HASTA,"&gt;="&amp;M243)</f>
        <v/>
      </c>
      <c r="BT243" s="3">
        <f>SUMIFS(COMB_AJUSTE,COMB_COMB,K243)</f>
        <v/>
      </c>
      <c r="BU243" s="3">
        <f>COUNTIFS(MOT_MOTOR,G243,MOT_MARCA,E243,MOT_DESDE,"&lt;="&amp;M243,MOT_HASTA,"&gt;="&amp;M243)+COUNTIFS(MOT_MOTOR,G243,MOT_MARCA,"(todas)",MOT_DESDE,"&lt;="&amp;M243,MOT_HASTA,"&gt;="&amp;M243)</f>
        <v/>
      </c>
      <c r="BV243" s="3">
        <f>IF(AND(K243="diesel",BU243=0),MIN(BR243,NEUTRO),BR243)</f>
        <v/>
      </c>
      <c r="BW243" s="4">
        <f>MAX(0,MIN(100,BV243+BS243+BT243))</f>
        <v/>
      </c>
      <c r="BX243" s="3">
        <f>MAX(0,MIN(100,50+BK243*PRECIO_PEND))</f>
        <v/>
      </c>
      <c r="BY243" s="3">
        <f>MAX(0,100*(1-N243/KM_MAX))</f>
        <v/>
      </c>
      <c r="BZ243" s="3">
        <f>IF(BB243&lt;KMA_SOSP,IF(AA243="sí",100,KMA_PEN),IF(BB243&lt;=KMA_IDEAL_MAX,100,MAX(0,100*(KMA_CERO-BB243)/(KMA_CERO-KMA_IDEAL_MAX))))</f>
        <v/>
      </c>
      <c r="CA243" s="3">
        <f>MAX(0,MIN(100,100*(M243-ANIO_MIN)/(ANIO_ACTUAL-ANIO_MIN)))</f>
        <v/>
      </c>
      <c r="CB243" s="3">
        <f>W_KMT*BY243+W_KMA*BZ243+W_EDAD*CA243</f>
        <v/>
      </c>
      <c r="CC243" s="3">
        <f>P_ITV*(V243="sí")+P_LIBRO*(W243="sí")+P_CORREA*(X243="sí")+P_PROP*(Y243=1)+P_GAR*(Z243="sí")+P_FOTOS*MIN(1,N(U243)/FOTOS_OBJ)</f>
        <v/>
      </c>
      <c r="CD243" s="3">
        <f>MAX(0,MIN(100,IFERROR(VLOOKUP(BP243,ETQ_TBL,2,0),0)-IF(BQ243="sí",ETQ_PEN_DUD,IF(AS243="regla",ETQ_PEN_REGLA,0))))</f>
        <v/>
      </c>
      <c r="CE243" s="3">
        <f>NEUTRO</f>
        <v/>
      </c>
      <c r="CF243" s="3">
        <f>IFERROR(VLOOKUP(L243,SEGURO_TBL,3,0),"")</f>
        <v/>
      </c>
      <c r="CG243" s="3">
        <f>IF(CF243="",NEUTRO,MAX(0,MIN(100,100*(SEG_REF_MAX-CF243)/(SEG_REF_MAX-SEG_REF_MIN))))</f>
        <v/>
      </c>
      <c r="CH243" s="3">
        <f>W_CONS*CE243+W_SEG*CG243</f>
        <v/>
      </c>
      <c r="CI243" s="3">
        <f>IF(N(AB243)&gt;0,AB243,IF(AND(R243="profesional",SG_LEGAL_ON=1),GAR_LEGAL,0))</f>
        <v/>
      </c>
      <c r="CJ243" s="3">
        <f>SG_GAR*MIN(1,CI243/SG_GAR_FULL)+SG_AMPL*(AC243="sí")+SG_KMC*(AF243="sí")+SG_REV*(N(AE243)&gt;0)+SG_DEV*MIN(1,N(AG243)/SG_DEV_FULL)+SG_HIST*(W243="sí")</f>
        <v/>
      </c>
      <c r="CK243" s="3">
        <f>IFERROR(VLOOKUP(L243,CARR_PEN_TBL,2,0),0)</f>
        <v/>
      </c>
      <c r="CL243" s="3">
        <f>W_FIAB*BW243+W_PRECIO*BX243+W_KMEDAD*CB243+W_ANUNCIO*CC243+W_USO*CH243+W_SEGURIDAD*CJ243+W_ETIQUETA*CD243-CK243</f>
        <v/>
      </c>
      <c r="CM243" s="4">
        <f>IF(N(I243)&gt;0,I243,IFERROR(ROUND(_xlfn.NUMBERVALUE(LEFT(G243,FIND(" ",G243&amp;" ")-1),".")*1000,0),99999))</f>
        <v/>
      </c>
      <c r="CN243" s="3">
        <f>IF(R243="profesional",0,IF(O243&lt;CUOTA_VALOR_MAX,IF(BA243&gt;ITP_TRAMO_ALTO,SUMIFS(CF_CUOTA,CF_MAS,ITP_TRAMO_ALTO,CF_CCMIN,"&lt;="&amp;CM243,CF_CCMAX,"&gt;="&amp;CM243),IF(BA243&gt;ITP_TRAMO_BAJO,SUMIFS(CF_CUOTA,CF_MAS,ITP_TRAMO_BAJO,CF_CCMIN,"&lt;="&amp;CM243,CF_CCMAX,"&gt;="&amp;CM243),O243*ITP_TIPO)),O243*ITP_TIPO))</f>
        <v/>
      </c>
      <c r="CO243" s="4">
        <f>IF(R243="profesional",N(AK243),0)</f>
        <v/>
      </c>
      <c r="CP243" s="3">
        <f>IF(AND(R243="profesional",ISNUMBER(AK243),AL243="sí"),0,TASA_DGT)</f>
        <v/>
      </c>
      <c r="CQ243" s="3">
        <f>INFORME_DGT</f>
        <v/>
      </c>
      <c r="CR243" s="4">
        <f>O243+CO243+CN243+CP243+CQ243</f>
        <v/>
      </c>
      <c r="CS243" s="4">
        <f>CR243+N(CF243)</f>
        <v/>
      </c>
      <c r="CT243" s="3">
        <f>IF(CR243&lt;=TOTAL_MAX,"sí",IF(CR243&lt;=TOTAL_MAX+MARGEN_NEG,"negociar","no"))</f>
        <v/>
      </c>
      <c r="CU243" s="4">
        <f>IF(CT243&lt;&gt;"no",COUNTIFS($CT$2:$CT$545,"&lt;&gt;no",$CL$2:$CL$545,"&gt;"&amp;CL243)+COUNTIFS($CT$2:CT243,"&lt;&gt;no",$CL$2:CL243,CL243),"")</f>
        <v/>
      </c>
    </row>
    <row r="244">
      <c r="A244" s="2" t="inlineStr">
        <is>
          <t>cochesnet:71439003</t>
        </is>
      </c>
      <c r="B244" s="2" t="inlineStr">
        <is>
          <t>cochesnet</t>
        </is>
      </c>
      <c r="C244" s="2" t="inlineStr">
        <is>
          <t>https://www.coches.net/opel-corsa-enjoy-12-mta-3p-gasolina-2006-en-valencia-71439003-covo.aspx</t>
        </is>
      </c>
      <c r="D244" s="2" t="inlineStr">
        <is>
          <t>OPEL Corsa Enjoy 1.2 MTA</t>
        </is>
      </c>
      <c r="E244" s="2" t="inlineStr">
        <is>
          <t>Opel</t>
        </is>
      </c>
      <c r="F244" s="2" t="inlineStr">
        <is>
          <t>Opel Corsa</t>
        </is>
      </c>
      <c r="G244" s="2" t="inlineStr">
        <is>
          <t>1.2</t>
        </is>
      </c>
      <c r="H244" s="2" t="inlineStr">
        <is>
          <t>Enjoy 1.2 MTA</t>
        </is>
      </c>
      <c r="I244" s="2" t="n"/>
      <c r="J244" s="2" t="n"/>
      <c r="K244" s="2" t="inlineStr">
        <is>
          <t>gasolina</t>
        </is>
      </c>
      <c r="L244" s="2" t="inlineStr">
        <is>
          <t>utilitario</t>
        </is>
      </c>
      <c r="M244" s="2" t="n">
        <v>2006</v>
      </c>
      <c r="N244" s="2" t="n">
        <v>152000</v>
      </c>
      <c r="O244" s="2" t="n">
        <v>3200</v>
      </c>
      <c r="P244" s="2" t="inlineStr">
        <is>
          <t>manual</t>
        </is>
      </c>
      <c r="Q244" s="2" t="inlineStr">
        <is>
          <t>no</t>
        </is>
      </c>
      <c r="R244" s="2" t="inlineStr">
        <is>
          <t>particular</t>
        </is>
      </c>
      <c r="S244" s="2" t="inlineStr">
        <is>
          <t>Paterna</t>
        </is>
      </c>
      <c r="T244" s="2" t="inlineStr">
        <is>
          <t>2026-09-04T09:02:37Z</t>
        </is>
      </c>
      <c r="U244" s="2" t="n">
        <v>9</v>
      </c>
      <c r="V244" s="2" t="n"/>
      <c r="W244" s="2" t="n"/>
      <c r="X244" s="2" t="n"/>
      <c r="Y244" s="2" t="n"/>
      <c r="Z244" s="2" t="inlineStr">
        <is>
          <t>no</t>
        </is>
      </c>
      <c r="AA244" s="2" t="n"/>
      <c r="AB244" s="2" t="n"/>
      <c r="AC244" s="2" t="n"/>
      <c r="AD244" s="2" t="n"/>
      <c r="AE244" s="2" t="n"/>
      <c r="AF244" s="2" t="n"/>
      <c r="AG244" s="2" t="n"/>
      <c r="AH244" s="2" t="n">
        <v>3200</v>
      </c>
      <c r="AI244" s="2" t="n"/>
      <c r="AJ244" s="2" t="n"/>
      <c r="AK244" s="2" t="n"/>
      <c r="AL244" s="2" t="n"/>
      <c r="AM244" s="2" t="n">
        <v>6.8</v>
      </c>
      <c r="AN244" s="2" t="inlineStr">
        <is>
          <t>DE1229CC</t>
        </is>
      </c>
      <c r="AO244" s="2" t="inlineStr">
        <is>
          <t>11/2006</t>
        </is>
      </c>
      <c r="AP244" s="2" t="n">
        <v>2006</v>
      </c>
      <c r="AQ244" s="2" t="n">
        <v>11</v>
      </c>
      <c r="AR244" s="2" t="inlineStr">
        <is>
          <t>C</t>
        </is>
      </c>
      <c r="AS244" s="2" t="inlineStr">
        <is>
          <t>anuncio</t>
        </is>
      </c>
      <c r="AT244" s="2" t="n">
        <v>3100</v>
      </c>
      <c r="AU244" s="2" t="n">
        <v>8</v>
      </c>
      <c r="AV244" s="2" t="inlineStr">
        <is>
          <t>modelo+año+km</t>
        </is>
      </c>
      <c r="AW244" s="2" t="inlineStr">
        <is>
          <t>cochesnet:71439035 (https://www.coches.net/opel-corsa-gasolina-2006-en-valencia-71439035-covo.aspx)</t>
        </is>
      </c>
      <c r="AX244" s="2" t="inlineStr">
        <is>
          <t>cuota fija ITP: &gt;12 años, hasta 1.500 cc</t>
        </is>
      </c>
      <c r="AY244" s="2" t="inlineStr">
        <is>
          <t>Te presento este Opel Corsa Enjoy 1.2 MTA, un berlina práctico y funcional que busca un nuevo propietario. Se trata de un vehículo con años de servicio a sus espaldas y que mantiene lo esencial: un motor de 80 CV eficiente, cambio automático para una conducción cómoda, y capacidad para cinco ocupantes. Su carrocería de cinco puertas lo hace versátil tanto para desplazamientos urbanos como para viajes más largos.
Este Corsa ofrece una buena relación entre funcionalidad y precio. El motor de 1229 cc sin plomo proporciona un consumo ajustado, ideal si buscas economía en cada trayecto. La transmisión automática facilita la conducción en cualquier situación, eliminando la fatiga del cambio manual en ciudad.
Como particular, te ofrezco este coche tal como es, sin pretensiones de más. Tiene un uso habitual reflejado en su estado general, pero sigue siendo operativo y listo para seguir rodando. Si tienes dudas específicas sobre su funcionamiento, mantenimiento o cualquier aspecto técnico que no esté detallado aquí, no dudes en contactarme directamente. Estoy disponible por chat y teléfono para resolver cualquier pregunta que tengas.
Este es un vehículo asequible para quien necesite movilidad sin complicaciones. Si te interesa conocerlo mejor o tienes preguntas, contacta conmigo hoy mismo. ¡Aprovecha esta oportunidad!</t>
        </is>
      </c>
      <c r="AZ244" s="2" t="inlineStr">
        <is>
          <t>https://www.coches.net/opel-corsa-enjoy-12-mta-3p-gasolina-2006-en-valencia-71439003-covo.aspx (window.__INITIAL_PROPS__.ad) /home/user/Alopecia/buscador-coches/raw/cochesnet/4f033a23cc0489d4.json</t>
        </is>
      </c>
      <c r="BA244" s="3">
        <f>MAX(ANIO_ACTUAL-M244,0)</f>
        <v/>
      </c>
      <c r="BB244" s="4">
        <f>N244/MAX(BA244,0.5)</f>
        <v/>
      </c>
      <c r="BC244" s="4">
        <f>F244</f>
        <v/>
      </c>
      <c r="BD244" s="3">
        <f>BC244&amp;"|"&amp;INT(M244/SEG_ANIO)*SEG_ANIO</f>
        <v/>
      </c>
      <c r="BE244" s="3">
        <f>BD244&amp;"|"&amp;INT(N244/SEG_KM)*SEG_KM</f>
        <v/>
      </c>
      <c r="BF244" s="4">
        <f>COUNTIF($BC$2:$BC$545,BC244)</f>
        <v/>
      </c>
      <c r="BG244" s="4">
        <f>COUNTIF($BD$2:$BD$545,BD244)</f>
        <v/>
      </c>
      <c r="BH244" s="4">
        <f>COUNTIF($BE$2:$BE$545,BE244)</f>
        <v/>
      </c>
      <c r="BI244" s="3">
        <f t="array" ref="BI244">IF(N(AU244)&gt;=MIN_N,AT244,IF(BH244&gt;=MIN_N,MEDIAN(IF($BE$2:$BE$545=BE244,$O$2:$O$545)),IF(BG244&gt;=MIN_N,MEDIAN(IF($BD$2:$BD$545=BD244,$O$2:$O$545)),MEDIAN(IF($BC$2:$BC$545=BC244,$O$2:$O$545)))))</f>
        <v/>
      </c>
      <c r="BJ244" s="3">
        <f>IF(N(AU244)&gt;=MIN_N,"mercado "&amp;AV244,IF(BH244&gt;=MIN_N,"modelo+año+km",IF(BG244&gt;=MIN_N,"modelo+año","modelo")))</f>
        <v/>
      </c>
      <c r="BK244" s="4">
        <f>(BI244-O244)/BI244</f>
        <v/>
      </c>
      <c r="BL244" s="3">
        <f>IF(COUNTIFS(FR_FUEL,K244,FR_YEAR,AP244)&gt;0,1,0)</f>
        <v/>
      </c>
      <c r="BM244" s="3">
        <f>IF(COUNTIFS(FR_FUEL,K244,FR_YEAR,AP244-1)&gt;0,1,0)</f>
        <v/>
      </c>
      <c r="BN244" s="4">
        <f>IF(N(AQ244)&gt;0,AP244*100+AQ244,IF(AND(BL244=1,BM244=1),(AP244-1)*100+1,AP244*100+1))</f>
        <v/>
      </c>
      <c r="BO244" s="3">
        <f>IF(OR(K244="hibrido",K244="glp",K244="gnc",K244="phev"),"ECO",IF(K244="electrico","CERO",IF(K244="gasolina",IF(BN244&gt;=GAS_C_YM,"C",IF(BN244&gt;=GAS_B_YM,"B","A")),IF(K244="diesel",IF(BN244&gt;=DIE_C_YM,"C",IF(BN244&gt;=DIE_B_YM,"B","A")),""))))</f>
        <v/>
      </c>
      <c r="BP244" s="2" t="inlineStr">
        <is>
          <t>C</t>
        </is>
      </c>
      <c r="BQ244" s="4">
        <f>IF(AS244="regla",IF(AND(N(AQ244)=0,BL244=1),"sí","no"),"no")</f>
        <v/>
      </c>
      <c r="BR244" s="3">
        <f>IFERROR(VLOOKUP(F244,MOD_TBL,11,0),IFERROR(VLOOKUP(E244,OCU_TBL,2,0),NEUTRO))</f>
        <v/>
      </c>
      <c r="BS244" s="3">
        <f>SUMIFS(MOT_AJUSTE,MOT_MOTOR,G244,MOT_MARCA,E244,MOT_DESDE,"&lt;="&amp;M244,MOT_HASTA,"&gt;="&amp;M244)+SUMIFS(MOT_AJUSTE,MOT_MOTOR,G244,MOT_MARCA,"(todas)",MOT_DESDE,"&lt;="&amp;M244,MOT_HASTA,"&gt;="&amp;M244)</f>
        <v/>
      </c>
      <c r="BT244" s="3">
        <f>SUMIFS(COMB_AJUSTE,COMB_COMB,K244)</f>
        <v/>
      </c>
      <c r="BU244" s="3">
        <f>COUNTIFS(MOT_MOTOR,G244,MOT_MARCA,E244,MOT_DESDE,"&lt;="&amp;M244,MOT_HASTA,"&gt;="&amp;M244)+COUNTIFS(MOT_MOTOR,G244,MOT_MARCA,"(todas)",MOT_DESDE,"&lt;="&amp;M244,MOT_HASTA,"&gt;="&amp;M244)</f>
        <v/>
      </c>
      <c r="BV244" s="3">
        <f>IF(AND(K244="diesel",BU244=0),MIN(BR244,NEUTRO),BR244)</f>
        <v/>
      </c>
      <c r="BW244" s="4">
        <f>MAX(0,MIN(100,BV244+BS244+BT244))</f>
        <v/>
      </c>
      <c r="BX244" s="3">
        <f>MAX(0,MIN(100,50+BK244*PRECIO_PEND))</f>
        <v/>
      </c>
      <c r="BY244" s="3">
        <f>MAX(0,100*(1-N244/KM_MAX))</f>
        <v/>
      </c>
      <c r="BZ244" s="3">
        <f>IF(BB244&lt;KMA_SOSP,IF(AA244="sí",100,KMA_PEN),IF(BB244&lt;=KMA_IDEAL_MAX,100,MAX(0,100*(KMA_CERO-BB244)/(KMA_CERO-KMA_IDEAL_MAX))))</f>
        <v/>
      </c>
      <c r="CA244" s="3">
        <f>MAX(0,MIN(100,100*(M244-ANIO_MIN)/(ANIO_ACTUAL-ANIO_MIN)))</f>
        <v/>
      </c>
      <c r="CB244" s="3">
        <f>W_KMT*BY244+W_KMA*BZ244+W_EDAD*CA244</f>
        <v/>
      </c>
      <c r="CC244" s="3">
        <f>P_ITV*(V244="sí")+P_LIBRO*(W244="sí")+P_CORREA*(X244="sí")+P_PROP*(Y244=1)+P_GAR*(Z244="sí")+P_FOTOS*MIN(1,N(U244)/FOTOS_OBJ)</f>
        <v/>
      </c>
      <c r="CD244" s="3">
        <f>MAX(0,MIN(100,IFERROR(VLOOKUP(BP244,ETQ_TBL,2,0),0)-IF(BQ244="sí",ETQ_PEN_DUD,IF(AS244="regla",ETQ_PEN_REGLA,0))))</f>
        <v/>
      </c>
      <c r="CE244" s="3">
        <f>NEUTRO</f>
        <v/>
      </c>
      <c r="CF244" s="3">
        <f>IFERROR(VLOOKUP(L244,SEGURO_TBL,3,0),"")</f>
        <v/>
      </c>
      <c r="CG244" s="3">
        <f>IF(CF244="",NEUTRO,MAX(0,MIN(100,100*(SEG_REF_MAX-CF244)/(SEG_REF_MAX-SEG_REF_MIN))))</f>
        <v/>
      </c>
      <c r="CH244" s="3">
        <f>W_CONS*CE244+W_SEG*CG244</f>
        <v/>
      </c>
      <c r="CI244" s="3">
        <f>IF(N(AB244)&gt;0,AB244,IF(AND(R244="profesional",SG_LEGAL_ON=1),GAR_LEGAL,0))</f>
        <v/>
      </c>
      <c r="CJ244" s="3">
        <f>SG_GAR*MIN(1,CI244/SG_GAR_FULL)+SG_AMPL*(AC244="sí")+SG_KMC*(AF244="sí")+SG_REV*(N(AE244)&gt;0)+SG_DEV*MIN(1,N(AG244)/SG_DEV_FULL)+SG_HIST*(W244="sí")</f>
        <v/>
      </c>
      <c r="CK244" s="3">
        <f>IFERROR(VLOOKUP(L244,CARR_PEN_TBL,2,0),0)</f>
        <v/>
      </c>
      <c r="CL244" s="3">
        <f>W_FIAB*BW244+W_PRECIO*BX244+W_KMEDAD*CB244+W_ANUNCIO*CC244+W_USO*CH244+W_SEGURIDAD*CJ244+W_ETIQUETA*CD244-CK244</f>
        <v/>
      </c>
      <c r="CM244" s="4">
        <f>IF(N(I244)&gt;0,I244,IFERROR(ROUND(_xlfn.NUMBERVALUE(LEFT(G244,FIND(" ",G244&amp;" ")-1),".")*1000,0),99999))</f>
        <v/>
      </c>
      <c r="CN244" s="3">
        <f>IF(R244="profesional",0,IF(O244&lt;CUOTA_VALOR_MAX,IF(BA244&gt;ITP_TRAMO_ALTO,SUMIFS(CF_CUOTA,CF_MAS,ITP_TRAMO_ALTO,CF_CCMIN,"&lt;="&amp;CM244,CF_CCMAX,"&gt;="&amp;CM244),IF(BA244&gt;ITP_TRAMO_BAJO,SUMIFS(CF_CUOTA,CF_MAS,ITP_TRAMO_BAJO,CF_CCMIN,"&lt;="&amp;CM244,CF_CCMAX,"&gt;="&amp;CM244),O244*ITP_TIPO)),O244*ITP_TIPO))</f>
        <v/>
      </c>
      <c r="CO244" s="4">
        <f>IF(R244="profesional",N(AK244),0)</f>
        <v/>
      </c>
      <c r="CP244" s="3">
        <f>IF(AND(R244="profesional",ISNUMBER(AK244),AL244="sí"),0,TASA_DGT)</f>
        <v/>
      </c>
      <c r="CQ244" s="3">
        <f>INFORME_DGT</f>
        <v/>
      </c>
      <c r="CR244" s="4">
        <f>O244+CO244+CN244+CP244+CQ244</f>
        <v/>
      </c>
      <c r="CS244" s="4">
        <f>CR244+N(CF244)</f>
        <v/>
      </c>
      <c r="CT244" s="3">
        <f>IF(CR244&lt;=TOTAL_MAX,"sí",IF(CR244&lt;=TOTAL_MAX+MARGEN_NEG,"negociar","no"))</f>
        <v/>
      </c>
      <c r="CU244" s="4">
        <f>IF(CT244&lt;&gt;"no",COUNTIFS($CT$2:$CT$545,"&lt;&gt;no",$CL$2:$CL$545,"&gt;"&amp;CL244)+COUNTIFS($CT$2:CT244,"&lt;&gt;no",$CL$2:CL244,CL244),"")</f>
        <v/>
      </c>
    </row>
    <row r="245">
      <c r="A245" s="2" t="inlineStr">
        <is>
          <t>cochesnet:71385917</t>
        </is>
      </c>
      <c r="B245" s="2" t="inlineStr">
        <is>
          <t>cochesnet</t>
        </is>
      </c>
      <c r="C245" s="2" t="inlineStr">
        <is>
          <t>https://www.coches.net/opel-corsa-12-essentia-5p-gasolina-2011-en-valencia-71385917-covo.aspx</t>
        </is>
      </c>
      <c r="D245" s="2" t="inlineStr">
        <is>
          <t>OPEL Corsa 1.2 Essentia</t>
        </is>
      </c>
      <c r="E245" s="2" t="inlineStr">
        <is>
          <t>Opel</t>
        </is>
      </c>
      <c r="F245" s="2" t="inlineStr">
        <is>
          <t>Opel Corsa</t>
        </is>
      </c>
      <c r="G245" s="2" t="inlineStr">
        <is>
          <t>1.2</t>
        </is>
      </c>
      <c r="H245" s="2" t="inlineStr">
        <is>
          <t>1.2 Essentia</t>
        </is>
      </c>
      <c r="I245" s="2" t="n"/>
      <c r="J245" s="2" t="n"/>
      <c r="K245" s="2" t="inlineStr">
        <is>
          <t>gasolina</t>
        </is>
      </c>
      <c r="L245" s="2" t="inlineStr">
        <is>
          <t>utilitario</t>
        </is>
      </c>
      <c r="M245" s="2" t="n">
        <v>2011</v>
      </c>
      <c r="N245" s="2" t="n">
        <v>147530</v>
      </c>
      <c r="O245" s="2" t="n">
        <v>4800</v>
      </c>
      <c r="P245" s="2" t="inlineStr">
        <is>
          <t>manual</t>
        </is>
      </c>
      <c r="Q245" s="2" t="inlineStr">
        <is>
          <t>no</t>
        </is>
      </c>
      <c r="R245" s="2" t="inlineStr">
        <is>
          <t>particular</t>
        </is>
      </c>
      <c r="S245" s="2" t="inlineStr">
        <is>
          <t>Alzira</t>
        </is>
      </c>
      <c r="T245" s="2" t="inlineStr">
        <is>
          <t>2026-08-28T16:47:10Z</t>
        </is>
      </c>
      <c r="U245" s="2" t="n">
        <v>5</v>
      </c>
      <c r="V245" s="2" t="n"/>
      <c r="W245" s="2" t="n"/>
      <c r="X245" s="2" t="n"/>
      <c r="Y245" s="2" t="n"/>
      <c r="Z245" s="2" t="inlineStr">
        <is>
          <t>no</t>
        </is>
      </c>
      <c r="AA245" s="2" t="n"/>
      <c r="AB245" s="2" t="n"/>
      <c r="AC245" s="2" t="n"/>
      <c r="AD245" s="2" t="n"/>
      <c r="AE245" s="2" t="n"/>
      <c r="AF245" s="2" t="n"/>
      <c r="AG245" s="2" t="n"/>
      <c r="AH245" s="2" t="n">
        <v>4800</v>
      </c>
      <c r="AI245" s="2" t="n"/>
      <c r="AJ245" s="2" t="n"/>
      <c r="AK245" s="2" t="n"/>
      <c r="AL245" s="2" t="n"/>
      <c r="AM245" s="2" t="n">
        <v>35.7</v>
      </c>
      <c r="AN245" s="2" t="n"/>
      <c r="AO245" s="2" t="inlineStr">
        <is>
          <t>2011</t>
        </is>
      </c>
      <c r="AP245" s="2" t="n">
        <v>2011</v>
      </c>
      <c r="AQ245" s="2" t="n"/>
      <c r="AR245" s="2" t="inlineStr">
        <is>
          <t>B</t>
        </is>
      </c>
      <c r="AS245" s="2" t="inlineStr">
        <is>
          <t>anuncio</t>
        </is>
      </c>
      <c r="AT245" s="2" t="n">
        <v>4625</v>
      </c>
      <c r="AU245" s="2" t="n">
        <v>8</v>
      </c>
      <c r="AV245" s="2" t="inlineStr">
        <is>
          <t>modelo+año+km</t>
        </is>
      </c>
      <c r="AW245" s="2" t="n"/>
      <c r="AX245" s="2" t="inlineStr">
        <is>
          <t>cuota fija ITP: &gt;12 años, hasta 1.500 cc</t>
        </is>
      </c>
      <c r="AY245" s="2" t="inlineStr">
        <is>
          <t xml:space="preserve">Ha pasado la ITV sin ninguna anotación. Aire acondicionado perfecto.
El coche va perfecto, se vende por la compra de otro. 
Desgaste habitual de pintura por los años. 
Pueden escribir para solicitar algún video. </t>
        </is>
      </c>
      <c r="AZ245" s="2" t="inlineStr">
        <is>
          <t>https://www.coches.net/opel-corsa-12-essentia-5p-gasolina-2011-en-valencia-71385917-covo.aspx (window.__INITIAL_PROPS__.ad) /home/user/Alopecia/buscador-coches/raw/cochesnet/32ccebf349376fb8.json</t>
        </is>
      </c>
      <c r="BA245" s="3">
        <f>MAX(ANIO_ACTUAL-M245,0)</f>
        <v/>
      </c>
      <c r="BB245" s="4">
        <f>N245/MAX(BA245,0.5)</f>
        <v/>
      </c>
      <c r="BC245" s="4">
        <f>F245</f>
        <v/>
      </c>
      <c r="BD245" s="3">
        <f>BC245&amp;"|"&amp;INT(M245/SEG_ANIO)*SEG_ANIO</f>
        <v/>
      </c>
      <c r="BE245" s="3">
        <f>BD245&amp;"|"&amp;INT(N245/SEG_KM)*SEG_KM</f>
        <v/>
      </c>
      <c r="BF245" s="4">
        <f>COUNTIF($BC$2:$BC$545,BC245)</f>
        <v/>
      </c>
      <c r="BG245" s="4">
        <f>COUNTIF($BD$2:$BD$545,BD245)</f>
        <v/>
      </c>
      <c r="BH245" s="4">
        <f>COUNTIF($BE$2:$BE$545,BE245)</f>
        <v/>
      </c>
      <c r="BI245" s="3">
        <f t="array" ref="BI245">IF(N(AU245)&gt;=MIN_N,AT245,IF(BH245&gt;=MIN_N,MEDIAN(IF($BE$2:$BE$545=BE245,$O$2:$O$545)),IF(BG245&gt;=MIN_N,MEDIAN(IF($BD$2:$BD$545=BD245,$O$2:$O$545)),MEDIAN(IF($BC$2:$BC$545=BC245,$O$2:$O$545)))))</f>
        <v/>
      </c>
      <c r="BJ245" s="3">
        <f>IF(N(AU245)&gt;=MIN_N,"mercado "&amp;AV245,IF(BH245&gt;=MIN_N,"modelo+año+km",IF(BG245&gt;=MIN_N,"modelo+año","modelo")))</f>
        <v/>
      </c>
      <c r="BK245" s="4">
        <f>(BI245-O245)/BI245</f>
        <v/>
      </c>
      <c r="BL245" s="3">
        <f>IF(COUNTIFS(FR_FUEL,K245,FR_YEAR,AP245)&gt;0,1,0)</f>
        <v/>
      </c>
      <c r="BM245" s="3">
        <f>IF(COUNTIFS(FR_FUEL,K245,FR_YEAR,AP245-1)&gt;0,1,0)</f>
        <v/>
      </c>
      <c r="BN245" s="4">
        <f>IF(N(AQ245)&gt;0,AP245*100+AQ245,IF(AND(BL245=1,BM245=1),(AP245-1)*100+1,AP245*100+1))</f>
        <v/>
      </c>
      <c r="BO245" s="3">
        <f>IF(OR(K245="hibrido",K245="glp",K245="gnc",K245="phev"),"ECO",IF(K245="electrico","CERO",IF(K245="gasolina",IF(BN245&gt;=GAS_C_YM,"C",IF(BN245&gt;=GAS_B_YM,"B","A")),IF(K245="diesel",IF(BN245&gt;=DIE_C_YM,"C",IF(BN245&gt;=DIE_B_YM,"B","A")),""))))</f>
        <v/>
      </c>
      <c r="BP245" s="2" t="inlineStr">
        <is>
          <t>B</t>
        </is>
      </c>
      <c r="BQ245" s="4">
        <f>IF(AS245="regla",IF(AND(N(AQ245)=0,BL245=1),"sí","no"),"no")</f>
        <v/>
      </c>
      <c r="BR245" s="3">
        <f>IFERROR(VLOOKUP(F245,MOD_TBL,11,0),IFERROR(VLOOKUP(E245,OCU_TBL,2,0),NEUTRO))</f>
        <v/>
      </c>
      <c r="BS245" s="3">
        <f>SUMIFS(MOT_AJUSTE,MOT_MOTOR,G245,MOT_MARCA,E245,MOT_DESDE,"&lt;="&amp;M245,MOT_HASTA,"&gt;="&amp;M245)+SUMIFS(MOT_AJUSTE,MOT_MOTOR,G245,MOT_MARCA,"(todas)",MOT_DESDE,"&lt;="&amp;M245,MOT_HASTA,"&gt;="&amp;M245)</f>
        <v/>
      </c>
      <c r="BT245" s="3">
        <f>SUMIFS(COMB_AJUSTE,COMB_COMB,K245)</f>
        <v/>
      </c>
      <c r="BU245" s="3">
        <f>COUNTIFS(MOT_MOTOR,G245,MOT_MARCA,E245,MOT_DESDE,"&lt;="&amp;M245,MOT_HASTA,"&gt;="&amp;M245)+COUNTIFS(MOT_MOTOR,G245,MOT_MARCA,"(todas)",MOT_DESDE,"&lt;="&amp;M245,MOT_HASTA,"&gt;="&amp;M245)</f>
        <v/>
      </c>
      <c r="BV245" s="3">
        <f>IF(AND(K245="diesel",BU245=0),MIN(BR245,NEUTRO),BR245)</f>
        <v/>
      </c>
      <c r="BW245" s="4">
        <f>MAX(0,MIN(100,BV245+BS245+BT245))</f>
        <v/>
      </c>
      <c r="BX245" s="3">
        <f>MAX(0,MIN(100,50+BK245*PRECIO_PEND))</f>
        <v/>
      </c>
      <c r="BY245" s="3">
        <f>MAX(0,100*(1-N245/KM_MAX))</f>
        <v/>
      </c>
      <c r="BZ245" s="3">
        <f>IF(BB245&lt;KMA_SOSP,IF(AA245="sí",100,KMA_PEN),IF(BB245&lt;=KMA_IDEAL_MAX,100,MAX(0,100*(KMA_CERO-BB245)/(KMA_CERO-KMA_IDEAL_MAX))))</f>
        <v/>
      </c>
      <c r="CA245" s="3">
        <f>MAX(0,MIN(100,100*(M245-ANIO_MIN)/(ANIO_ACTUAL-ANIO_MIN)))</f>
        <v/>
      </c>
      <c r="CB245" s="3">
        <f>W_KMT*BY245+W_KMA*BZ245+W_EDAD*CA245</f>
        <v/>
      </c>
      <c r="CC245" s="3">
        <f>P_ITV*(V245="sí")+P_LIBRO*(W245="sí")+P_CORREA*(X245="sí")+P_PROP*(Y245=1)+P_GAR*(Z245="sí")+P_FOTOS*MIN(1,N(U245)/FOTOS_OBJ)</f>
        <v/>
      </c>
      <c r="CD245" s="3">
        <f>MAX(0,MIN(100,IFERROR(VLOOKUP(BP245,ETQ_TBL,2,0),0)-IF(BQ245="sí",ETQ_PEN_DUD,IF(AS245="regla",ETQ_PEN_REGLA,0))))</f>
        <v/>
      </c>
      <c r="CE245" s="3">
        <f>NEUTRO</f>
        <v/>
      </c>
      <c r="CF245" s="3">
        <f>IFERROR(VLOOKUP(L245,SEGURO_TBL,3,0),"")</f>
        <v/>
      </c>
      <c r="CG245" s="3">
        <f>IF(CF245="",NEUTRO,MAX(0,MIN(100,100*(SEG_REF_MAX-CF245)/(SEG_REF_MAX-SEG_REF_MIN))))</f>
        <v/>
      </c>
      <c r="CH245" s="3">
        <f>W_CONS*CE245+W_SEG*CG245</f>
        <v/>
      </c>
      <c r="CI245" s="3">
        <f>IF(N(AB245)&gt;0,AB245,IF(AND(R245="profesional",SG_LEGAL_ON=1),GAR_LEGAL,0))</f>
        <v/>
      </c>
      <c r="CJ245" s="3">
        <f>SG_GAR*MIN(1,CI245/SG_GAR_FULL)+SG_AMPL*(AC245="sí")+SG_KMC*(AF245="sí")+SG_REV*(N(AE245)&gt;0)+SG_DEV*MIN(1,N(AG245)/SG_DEV_FULL)+SG_HIST*(W245="sí")</f>
        <v/>
      </c>
      <c r="CK245" s="3">
        <f>IFERROR(VLOOKUP(L245,CARR_PEN_TBL,2,0),0)</f>
        <v/>
      </c>
      <c r="CL245" s="3">
        <f>W_FIAB*BW245+W_PRECIO*BX245+W_KMEDAD*CB245+W_ANUNCIO*CC245+W_USO*CH245+W_SEGURIDAD*CJ245+W_ETIQUETA*CD245-CK245</f>
        <v/>
      </c>
      <c r="CM245" s="4">
        <f>IF(N(I245)&gt;0,I245,IFERROR(ROUND(_xlfn.NUMBERVALUE(LEFT(G245,FIND(" ",G245&amp;" ")-1),".")*1000,0),99999))</f>
        <v/>
      </c>
      <c r="CN245" s="3">
        <f>IF(R245="profesional",0,IF(O245&lt;CUOTA_VALOR_MAX,IF(BA245&gt;ITP_TRAMO_ALTO,SUMIFS(CF_CUOTA,CF_MAS,ITP_TRAMO_ALTO,CF_CCMIN,"&lt;="&amp;CM245,CF_CCMAX,"&gt;="&amp;CM245),IF(BA245&gt;ITP_TRAMO_BAJO,SUMIFS(CF_CUOTA,CF_MAS,ITP_TRAMO_BAJO,CF_CCMIN,"&lt;="&amp;CM245,CF_CCMAX,"&gt;="&amp;CM245),O245*ITP_TIPO)),O245*ITP_TIPO))</f>
        <v/>
      </c>
      <c r="CO245" s="4">
        <f>IF(R245="profesional",N(AK245),0)</f>
        <v/>
      </c>
      <c r="CP245" s="3">
        <f>IF(AND(R245="profesional",ISNUMBER(AK245),AL245="sí"),0,TASA_DGT)</f>
        <v/>
      </c>
      <c r="CQ245" s="3">
        <f>INFORME_DGT</f>
        <v/>
      </c>
      <c r="CR245" s="4">
        <f>O245+CO245+CN245+CP245+CQ245</f>
        <v/>
      </c>
      <c r="CS245" s="4">
        <f>CR245+N(CF245)</f>
        <v/>
      </c>
      <c r="CT245" s="3">
        <f>IF(CR245&lt;=TOTAL_MAX,"sí",IF(CR245&lt;=TOTAL_MAX+MARGEN_NEG,"negociar","no"))</f>
        <v/>
      </c>
      <c r="CU245" s="4">
        <f>IF(CT245&lt;&gt;"no",COUNTIFS($CT$2:$CT$545,"&lt;&gt;no",$CL$2:$CL$545,"&gt;"&amp;CL245)+COUNTIFS($CT$2:CT245,"&lt;&gt;no",$CL$2:CL245,CL245),"")</f>
        <v/>
      </c>
    </row>
    <row r="246">
      <c r="A246" s="2" t="inlineStr">
        <is>
          <t>wallapop:1242429631</t>
        </is>
      </c>
      <c r="B246" s="2" t="inlineStr">
        <is>
          <t>wallapop</t>
        </is>
      </c>
      <c r="C246" s="2" t="inlineStr">
        <is>
          <t>https://es.wallapop.com/item/kia-picanto-2006-1242429631</t>
        </is>
      </c>
      <c r="D246" s="2" t="inlineStr">
        <is>
          <t>KIA Picanto 2006</t>
        </is>
      </c>
      <c r="E246" s="2" t="inlineStr">
        <is>
          <t>Kia</t>
        </is>
      </c>
      <c r="F246" s="2" t="inlineStr">
        <is>
          <t>Kia Picanto</t>
        </is>
      </c>
      <c r="G246" s="2" t="inlineStr">
        <is>
          <t>1.1</t>
        </is>
      </c>
      <c r="H246" s="2" t="inlineStr">
        <is>
          <t>1.1 65 EX 5p</t>
        </is>
      </c>
      <c r="I246" s="2" t="n"/>
      <c r="J246" s="2" t="n">
        <v>65</v>
      </c>
      <c r="K246" s="2" t="inlineStr">
        <is>
          <t>gasolina</t>
        </is>
      </c>
      <c r="L246" s="2" t="inlineStr">
        <is>
          <t>utilitario</t>
        </is>
      </c>
      <c r="M246" s="2" t="n">
        <v>2006</v>
      </c>
      <c r="N246" s="2" t="n">
        <v>87000</v>
      </c>
      <c r="O246" s="2" t="n">
        <v>3700</v>
      </c>
      <c r="P246" s="2" t="inlineStr">
        <is>
          <t>manual</t>
        </is>
      </c>
      <c r="Q246" s="2" t="inlineStr">
        <is>
          <t>no</t>
        </is>
      </c>
      <c r="R246" s="2" t="inlineStr">
        <is>
          <t>particular</t>
        </is>
      </c>
      <c r="S246" s="2" t="inlineStr">
        <is>
          <t>Valencia (46002)</t>
        </is>
      </c>
      <c r="T246" s="2" t="inlineStr">
        <is>
          <t>2026-10-22T08:47:15</t>
        </is>
      </c>
      <c r="U246" s="2" t="n">
        <v>7</v>
      </c>
      <c r="V246" s="2" t="inlineStr">
        <is>
          <t>sí</t>
        </is>
      </c>
      <c r="W246" s="2" t="n"/>
      <c r="X246" s="2" t="n"/>
      <c r="Y246" s="2" t="n"/>
      <c r="Z246" s="2" t="n"/>
      <c r="AA246" s="2" t="n"/>
      <c r="AB246" s="2" t="n"/>
      <c r="AC246" s="2" t="n"/>
      <c r="AD246" s="2" t="n"/>
      <c r="AE246" s="2" t="n"/>
      <c r="AF246" s="2" t="n"/>
      <c r="AG246" s="2" t="n"/>
      <c r="AH246" s="2" t="n"/>
      <c r="AI246" s="2" t="n"/>
      <c r="AJ246" s="2" t="n"/>
      <c r="AK246" s="2" t="n"/>
      <c r="AL246" s="2" t="n"/>
      <c r="AM246" s="2" t="n">
        <v>0.3</v>
      </c>
      <c r="AN246" s="2" t="n"/>
      <c r="AO246" s="2" t="inlineStr">
        <is>
          <t>2006</t>
        </is>
      </c>
      <c r="AP246" s="2" t="n">
        <v>2006</v>
      </c>
      <c r="AQ246" s="2" t="n"/>
      <c r="AR246" s="2" t="n"/>
      <c r="AS246" s="2" t="inlineStr">
        <is>
          <t>regla</t>
        </is>
      </c>
      <c r="AT246" s="2" t="n">
        <v>3100</v>
      </c>
      <c r="AU246" s="2" t="n">
        <v>6</v>
      </c>
      <c r="AV246" s="2" t="inlineStr">
        <is>
          <t>modelo+año</t>
        </is>
      </c>
      <c r="AW246" s="2" t="n"/>
      <c r="AX246" s="2" t="inlineStr">
        <is>
          <t>cuota fija ITP: &gt;12 años, hasta 1.500 cc</t>
        </is>
      </c>
      <c r="AY246" s="2" t="inlineStr">
        <is>
          <t>Coche en buen estado, tiene muchas extras, itv en vigor</t>
        </is>
      </c>
      <c r="AZ246" s="2" t="inlineStr">
        <is>
          <t>https://es.wallapop.com/item/kia-picanto-2006-1242429631 (__NEXT_DATA__ item) /home/user/Alopecia/buscador-coches/raw/wallapop/43552fb2cde7a072.json</t>
        </is>
      </c>
      <c r="BA246" s="3">
        <f>MAX(ANIO_ACTUAL-M246,0)</f>
        <v/>
      </c>
      <c r="BB246" s="4">
        <f>N246/MAX(BA246,0.5)</f>
        <v/>
      </c>
      <c r="BC246" s="4">
        <f>F246</f>
        <v/>
      </c>
      <c r="BD246" s="3">
        <f>BC246&amp;"|"&amp;INT(M246/SEG_ANIO)*SEG_ANIO</f>
        <v/>
      </c>
      <c r="BE246" s="3">
        <f>BD246&amp;"|"&amp;INT(N246/SEG_KM)*SEG_KM</f>
        <v/>
      </c>
      <c r="BF246" s="4">
        <f>COUNTIF($BC$2:$BC$545,BC246)</f>
        <v/>
      </c>
      <c r="BG246" s="4">
        <f>COUNTIF($BD$2:$BD$545,BD246)</f>
        <v/>
      </c>
      <c r="BH246" s="4">
        <f>COUNTIF($BE$2:$BE$545,BE246)</f>
        <v/>
      </c>
      <c r="BI246" s="3">
        <f t="array" ref="BI246">IF(N(AU246)&gt;=MIN_N,AT246,IF(BH246&gt;=MIN_N,MEDIAN(IF($BE$2:$BE$545=BE246,$O$2:$O$545)),IF(BG246&gt;=MIN_N,MEDIAN(IF($BD$2:$BD$545=BD246,$O$2:$O$545)),MEDIAN(IF($BC$2:$BC$545=BC246,$O$2:$O$545)))))</f>
        <v/>
      </c>
      <c r="BJ246" s="3">
        <f>IF(N(AU246)&gt;=MIN_N,"mercado "&amp;AV246,IF(BH246&gt;=MIN_N,"modelo+año+km",IF(BG246&gt;=MIN_N,"modelo+año","modelo")))</f>
        <v/>
      </c>
      <c r="BK246" s="4">
        <f>(BI246-O246)/BI246</f>
        <v/>
      </c>
      <c r="BL246" s="3">
        <f>IF(COUNTIFS(FR_FUEL,K246,FR_YEAR,AP246)&gt;0,1,0)</f>
        <v/>
      </c>
      <c r="BM246" s="3">
        <f>IF(COUNTIFS(FR_FUEL,K246,FR_YEAR,AP246-1)&gt;0,1,0)</f>
        <v/>
      </c>
      <c r="BN246" s="4">
        <f>IF(N(AQ246)&gt;0,AP246*100+AQ246,IF(AND(BL246=1,BM246=1),(AP246-1)*100+1,AP246*100+1))</f>
        <v/>
      </c>
      <c r="BO246" s="3">
        <f>IF(OR(K246="hibrido",K246="glp",K246="gnc",K246="phev"),"ECO",IF(K246="electrico","CERO",IF(K246="gasolina",IF(BN246&gt;=GAS_C_YM,"C",IF(BN246&gt;=GAS_B_YM,"B","A")),IF(K246="diesel",IF(BN246&gt;=DIE_C_YM,"C",IF(BN246&gt;=DIE_B_YM,"B","A")),""))))</f>
        <v/>
      </c>
      <c r="BP246" s="4">
        <f>BO246</f>
        <v/>
      </c>
      <c r="BQ246" s="4">
        <f>IF(AS246="regla",IF(AND(N(AQ246)=0,BL246=1),"sí","no"),"no")</f>
        <v/>
      </c>
      <c r="BR246" s="3">
        <f>IFERROR(VLOOKUP(F246,MOD_TBL,11,0),IFERROR(VLOOKUP(E246,OCU_TBL,2,0),NEUTRO))</f>
        <v/>
      </c>
      <c r="BS246" s="3">
        <f>SUMIFS(MOT_AJUSTE,MOT_MOTOR,G246,MOT_MARCA,E246,MOT_DESDE,"&lt;="&amp;M246,MOT_HASTA,"&gt;="&amp;M246)+SUMIFS(MOT_AJUSTE,MOT_MOTOR,G246,MOT_MARCA,"(todas)",MOT_DESDE,"&lt;="&amp;M246,MOT_HASTA,"&gt;="&amp;M246)</f>
        <v/>
      </c>
      <c r="BT246" s="3">
        <f>SUMIFS(COMB_AJUSTE,COMB_COMB,K246)</f>
        <v/>
      </c>
      <c r="BU246" s="3">
        <f>COUNTIFS(MOT_MOTOR,G246,MOT_MARCA,E246,MOT_DESDE,"&lt;="&amp;M246,MOT_HASTA,"&gt;="&amp;M246)+COUNTIFS(MOT_MOTOR,G246,MOT_MARCA,"(todas)",MOT_DESDE,"&lt;="&amp;M246,MOT_HASTA,"&gt;="&amp;M246)</f>
        <v/>
      </c>
      <c r="BV246" s="3">
        <f>IF(AND(K246="diesel",BU246=0),MIN(BR246,NEUTRO),BR246)</f>
        <v/>
      </c>
      <c r="BW246" s="4">
        <f>MAX(0,MIN(100,BV246+BS246+BT246))</f>
        <v/>
      </c>
      <c r="BX246" s="3">
        <f>MAX(0,MIN(100,50+BK246*PRECIO_PEND))</f>
        <v/>
      </c>
      <c r="BY246" s="3">
        <f>MAX(0,100*(1-N246/KM_MAX))</f>
        <v/>
      </c>
      <c r="BZ246" s="3">
        <f>IF(BB246&lt;KMA_SOSP,IF(AA246="sí",100,KMA_PEN),IF(BB246&lt;=KMA_IDEAL_MAX,100,MAX(0,100*(KMA_CERO-BB246)/(KMA_CERO-KMA_IDEAL_MAX))))</f>
        <v/>
      </c>
      <c r="CA246" s="3">
        <f>MAX(0,MIN(100,100*(M246-ANIO_MIN)/(ANIO_ACTUAL-ANIO_MIN)))</f>
        <v/>
      </c>
      <c r="CB246" s="3">
        <f>W_KMT*BY246+W_KMA*BZ246+W_EDAD*CA246</f>
        <v/>
      </c>
      <c r="CC246" s="3">
        <f>P_ITV*(V246="sí")+P_LIBRO*(W246="sí")+P_CORREA*(X246="sí")+P_PROP*(Y246=1)+P_GAR*(Z246="sí")+P_FOTOS*MIN(1,N(U246)/FOTOS_OBJ)</f>
        <v/>
      </c>
      <c r="CD246" s="3">
        <f>MAX(0,MIN(100,IFERROR(VLOOKUP(BP246,ETQ_TBL,2,0),0)-IF(BQ246="sí",ETQ_PEN_DUD,IF(AS246="regla",ETQ_PEN_REGLA,0))))</f>
        <v/>
      </c>
      <c r="CE246" s="3">
        <f>NEUTRO</f>
        <v/>
      </c>
      <c r="CF246" s="3">
        <f>IFERROR(VLOOKUP(L246,SEGURO_TBL,3,0),"")</f>
        <v/>
      </c>
      <c r="CG246" s="3">
        <f>IF(CF246="",NEUTRO,MAX(0,MIN(100,100*(SEG_REF_MAX-CF246)/(SEG_REF_MAX-SEG_REF_MIN))))</f>
        <v/>
      </c>
      <c r="CH246" s="3">
        <f>W_CONS*CE246+W_SEG*CG246</f>
        <v/>
      </c>
      <c r="CI246" s="3">
        <f>IF(N(AB246)&gt;0,AB246,IF(AND(R246="profesional",SG_LEGAL_ON=1),GAR_LEGAL,0))</f>
        <v/>
      </c>
      <c r="CJ246" s="3">
        <f>SG_GAR*MIN(1,CI246/SG_GAR_FULL)+SG_AMPL*(AC246="sí")+SG_KMC*(AF246="sí")+SG_REV*(N(AE246)&gt;0)+SG_DEV*MIN(1,N(AG246)/SG_DEV_FULL)+SG_HIST*(W246="sí")</f>
        <v/>
      </c>
      <c r="CK246" s="3">
        <f>IFERROR(VLOOKUP(L246,CARR_PEN_TBL,2,0),0)</f>
        <v/>
      </c>
      <c r="CL246" s="3">
        <f>W_FIAB*BW246+W_PRECIO*BX246+W_KMEDAD*CB246+W_ANUNCIO*CC246+W_USO*CH246+W_SEGURIDAD*CJ246+W_ETIQUETA*CD246-CK246</f>
        <v/>
      </c>
      <c r="CM246" s="4">
        <f>IF(N(I246)&gt;0,I246,IFERROR(ROUND(_xlfn.NUMBERVALUE(LEFT(G246,FIND(" ",G246&amp;" ")-1),".")*1000,0),99999))</f>
        <v/>
      </c>
      <c r="CN246" s="3">
        <f>IF(R246="profesional",0,IF(O246&lt;CUOTA_VALOR_MAX,IF(BA246&gt;ITP_TRAMO_ALTO,SUMIFS(CF_CUOTA,CF_MAS,ITP_TRAMO_ALTO,CF_CCMIN,"&lt;="&amp;CM246,CF_CCMAX,"&gt;="&amp;CM246),IF(BA246&gt;ITP_TRAMO_BAJO,SUMIFS(CF_CUOTA,CF_MAS,ITP_TRAMO_BAJO,CF_CCMIN,"&lt;="&amp;CM246,CF_CCMAX,"&gt;="&amp;CM246),O246*ITP_TIPO)),O246*ITP_TIPO))</f>
        <v/>
      </c>
      <c r="CO246" s="4">
        <f>IF(R246="profesional",N(AK246),0)</f>
        <v/>
      </c>
      <c r="CP246" s="3">
        <f>IF(AND(R246="profesional",ISNUMBER(AK246),AL246="sí"),0,TASA_DGT)</f>
        <v/>
      </c>
      <c r="CQ246" s="3">
        <f>INFORME_DGT</f>
        <v/>
      </c>
      <c r="CR246" s="4">
        <f>O246+CO246+CN246+CP246+CQ246</f>
        <v/>
      </c>
      <c r="CS246" s="4">
        <f>CR246+N(CF246)</f>
        <v/>
      </c>
      <c r="CT246" s="3">
        <f>IF(CR246&lt;=TOTAL_MAX,"sí",IF(CR246&lt;=TOTAL_MAX+MARGEN_NEG,"negociar","no"))</f>
        <v/>
      </c>
      <c r="CU246" s="4">
        <f>IF(CT246&lt;&gt;"no",COUNTIFS($CT$2:$CT$545,"&lt;&gt;no",$CL$2:$CL$545,"&gt;"&amp;CL246)+COUNTIFS($CT$2:CT246,"&lt;&gt;no",$CL$2:CL246,CL246),"")</f>
        <v/>
      </c>
    </row>
    <row r="247">
      <c r="A247" s="2" t="inlineStr">
        <is>
          <t>wallapop:1286345810</t>
        </is>
      </c>
      <c r="B247" s="2" t="inlineStr">
        <is>
          <t>wallapop</t>
        </is>
      </c>
      <c r="C247" s="2" t="inlineStr">
        <is>
          <t>https://es.wallapop.com/item/kia-picanto-1-1-active-48-kw-65-cv-1286345810</t>
        </is>
      </c>
      <c r="D247" s="2" t="inlineStr">
        <is>
          <t>Kia Picanto 1.1 Active 48 kW (65 CV)</t>
        </is>
      </c>
      <c r="E247" s="2" t="inlineStr">
        <is>
          <t>Kia</t>
        </is>
      </c>
      <c r="F247" s="2" t="inlineStr">
        <is>
          <t>Kia Picanto</t>
        </is>
      </c>
      <c r="G247" s="2" t="inlineStr">
        <is>
          <t>1.1</t>
        </is>
      </c>
      <c r="H247" s="2" t="inlineStr">
        <is>
          <t>1.1 Active 48 kW (65 CV)</t>
        </is>
      </c>
      <c r="I247" s="2" t="n"/>
      <c r="J247" s="2" t="n">
        <v>65</v>
      </c>
      <c r="K247" s="2" t="inlineStr">
        <is>
          <t>gasolina</t>
        </is>
      </c>
      <c r="L247" s="2" t="inlineStr">
        <is>
          <t>utilitario</t>
        </is>
      </c>
      <c r="M247" s="2" t="n">
        <v>2008</v>
      </c>
      <c r="N247" s="2" t="n">
        <v>61608</v>
      </c>
      <c r="O247" s="2" t="n">
        <v>5190</v>
      </c>
      <c r="P247" s="2" t="inlineStr">
        <is>
          <t>manual</t>
        </is>
      </c>
      <c r="Q247" s="2" t="inlineStr">
        <is>
          <t>no</t>
        </is>
      </c>
      <c r="R247" s="2" t="inlineStr">
        <is>
          <t>profesional</t>
        </is>
      </c>
      <c r="S247" s="2" t="inlineStr">
        <is>
          <t>Paterna (46980)</t>
        </is>
      </c>
      <c r="T247" s="2" t="inlineStr">
        <is>
          <t>2026-10-26T15:14:44</t>
        </is>
      </c>
      <c r="U247" s="2" t="n">
        <v>11</v>
      </c>
      <c r="V247" s="2" t="n"/>
      <c r="W247" s="2" t="inlineStr">
        <is>
          <t>sí</t>
        </is>
      </c>
      <c r="X247" s="2" t="n"/>
      <c r="Y247" s="2" t="n"/>
      <c r="Z247" s="2" t="inlineStr">
        <is>
          <t>sí</t>
        </is>
      </c>
      <c r="AA247" s="2" t="n"/>
      <c r="AB247" s="2" t="n"/>
      <c r="AC247" s="2" t="n"/>
      <c r="AD247" s="2" t="n"/>
      <c r="AE247" s="2" t="n"/>
      <c r="AF247" s="2" t="inlineStr">
        <is>
          <t>sí</t>
        </is>
      </c>
      <c r="AG247" s="2" t="n"/>
      <c r="AH247" s="2" t="n"/>
      <c r="AI247" s="2" t="n"/>
      <c r="AJ247" s="2" t="n"/>
      <c r="AK247" s="2" t="n"/>
      <c r="AL247" s="2" t="n"/>
      <c r="AM247" s="2" t="n">
        <v>6.4</v>
      </c>
      <c r="AN247" s="2" t="inlineStr">
        <is>
          <t>1000KMS</t>
        </is>
      </c>
      <c r="AO247" s="2" t="inlineStr">
        <is>
          <t>2008</t>
        </is>
      </c>
      <c r="AP247" s="2" t="n">
        <v>2008</v>
      </c>
      <c r="AQ247" s="2" t="n"/>
      <c r="AR247" s="2" t="inlineStr">
        <is>
          <t>B</t>
        </is>
      </c>
      <c r="AS247" s="2" t="inlineStr">
        <is>
          <t>DGT</t>
        </is>
      </c>
      <c r="AT247" s="2" t="n">
        <v>2590</v>
      </c>
      <c r="AU247" s="2" t="n">
        <v>4</v>
      </c>
      <c r="AV247" s="2" t="inlineStr">
        <is>
          <t>modelo+año</t>
        </is>
      </c>
      <c r="AW247" s="2" t="n"/>
      <c r="AX247" s="2" t="inlineStr">
        <is>
          <t>por encima del presupuesto (5254 €), negociar; vendedor profesional: sin ITP (operación con IVA/REBU, confirmar en factura); gastos de gestión del vendedor no indicados: se suma la tasa DGT; preguntar el precio final</t>
        </is>
      </c>
      <c r="AY247" s="2" t="inlineStr">
        <is>
          <t>Ref.174158524
¡VILLA TAMBIÉN FICHA POR OCASIONPLUS!
VEN A GANAR. ¡VEN A OCASIONPLUS!
OCASIONPLUS - 20.000 COCHES  - 120 CENTROS
OCASIONPLUS Nº1 CALIDAD - PRECIO
Elige el coche que te guste y te lo llevamos a tu ciudad sólo con reservarlo
15 DÍAS / 1000 KMS DE PRUEBA
Hasta 700€ de descuento en este coche
ADEMÁS, HACEMOS LAS MEJORES FINANCIACIONES DEL MERCADO, PREGÚNTANOS!!
            Equipamiento destacado: Aire Acondicionado.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47" s="2" t="inlineStr">
        <is>
          <t>https://es.wallapop.com/item/kia-picanto-1-1-active-48-kw-65-cv-1286345810 (__NEXT_DATA__ item) /home/user/Alopecia/buscador-coches/raw/wallapop/7fffdc11438be09e.json</t>
        </is>
      </c>
      <c r="BA247" s="3">
        <f>MAX(ANIO_ACTUAL-M247,0)</f>
        <v/>
      </c>
      <c r="BB247" s="4">
        <f>N247/MAX(BA247,0.5)</f>
        <v/>
      </c>
      <c r="BC247" s="4">
        <f>F247</f>
        <v/>
      </c>
      <c r="BD247" s="3">
        <f>BC247&amp;"|"&amp;INT(M247/SEG_ANIO)*SEG_ANIO</f>
        <v/>
      </c>
      <c r="BE247" s="3">
        <f>BD247&amp;"|"&amp;INT(N247/SEG_KM)*SEG_KM</f>
        <v/>
      </c>
      <c r="BF247" s="4">
        <f>COUNTIF($BC$2:$BC$545,BC247)</f>
        <v/>
      </c>
      <c r="BG247" s="4">
        <f>COUNTIF($BD$2:$BD$545,BD247)</f>
        <v/>
      </c>
      <c r="BH247" s="4">
        <f>COUNTIF($BE$2:$BE$545,BE247)</f>
        <v/>
      </c>
      <c r="BI247" s="3">
        <f t="array" ref="BI247">IF(N(AU247)&gt;=MIN_N,AT247,IF(BH247&gt;=MIN_N,MEDIAN(IF($BE$2:$BE$545=BE247,$O$2:$O$545)),IF(BG247&gt;=MIN_N,MEDIAN(IF($BD$2:$BD$545=BD247,$O$2:$O$545)),MEDIAN(IF($BC$2:$BC$545=BC247,$O$2:$O$545)))))</f>
        <v/>
      </c>
      <c r="BJ247" s="3">
        <f>IF(N(AU247)&gt;=MIN_N,"mercado "&amp;AV247,IF(BH247&gt;=MIN_N,"modelo+año+km",IF(BG247&gt;=MIN_N,"modelo+año","modelo")))</f>
        <v/>
      </c>
      <c r="BK247" s="4">
        <f>(BI247-O247)/BI247</f>
        <v/>
      </c>
      <c r="BL247" s="3">
        <f>IF(COUNTIFS(FR_FUEL,K247,FR_YEAR,AP247)&gt;0,1,0)</f>
        <v/>
      </c>
      <c r="BM247" s="3">
        <f>IF(COUNTIFS(FR_FUEL,K247,FR_YEAR,AP247-1)&gt;0,1,0)</f>
        <v/>
      </c>
      <c r="BN247" s="4">
        <f>IF(N(AQ247)&gt;0,AP247*100+AQ247,IF(AND(BL247=1,BM247=1),(AP247-1)*100+1,AP247*100+1))</f>
        <v/>
      </c>
      <c r="BO247" s="3">
        <f>IF(OR(K247="hibrido",K247="glp",K247="gnc",K247="phev"),"ECO",IF(K247="electrico","CERO",IF(K247="gasolina",IF(BN247&gt;=GAS_C_YM,"C",IF(BN247&gt;=GAS_B_YM,"B","A")),IF(K247="diesel",IF(BN247&gt;=DIE_C_YM,"C",IF(BN247&gt;=DIE_B_YM,"B","A")),""))))</f>
        <v/>
      </c>
      <c r="BP247" s="2" t="inlineStr">
        <is>
          <t>B</t>
        </is>
      </c>
      <c r="BQ247" s="4">
        <f>IF(AS247="regla",IF(AND(N(AQ247)=0,BL247=1),"sí","no"),"no")</f>
        <v/>
      </c>
      <c r="BR247" s="3">
        <f>IFERROR(VLOOKUP(F247,MOD_TBL,11,0),IFERROR(VLOOKUP(E247,OCU_TBL,2,0),NEUTRO))</f>
        <v/>
      </c>
      <c r="BS247" s="3">
        <f>SUMIFS(MOT_AJUSTE,MOT_MOTOR,G247,MOT_MARCA,E247,MOT_DESDE,"&lt;="&amp;M247,MOT_HASTA,"&gt;="&amp;M247)+SUMIFS(MOT_AJUSTE,MOT_MOTOR,G247,MOT_MARCA,"(todas)",MOT_DESDE,"&lt;="&amp;M247,MOT_HASTA,"&gt;="&amp;M247)</f>
        <v/>
      </c>
      <c r="BT247" s="3">
        <f>SUMIFS(COMB_AJUSTE,COMB_COMB,K247)</f>
        <v/>
      </c>
      <c r="BU247" s="3">
        <f>COUNTIFS(MOT_MOTOR,G247,MOT_MARCA,E247,MOT_DESDE,"&lt;="&amp;M247,MOT_HASTA,"&gt;="&amp;M247)+COUNTIFS(MOT_MOTOR,G247,MOT_MARCA,"(todas)",MOT_DESDE,"&lt;="&amp;M247,MOT_HASTA,"&gt;="&amp;M247)</f>
        <v/>
      </c>
      <c r="BV247" s="3">
        <f>IF(AND(K247="diesel",BU247=0),MIN(BR247,NEUTRO),BR247)</f>
        <v/>
      </c>
      <c r="BW247" s="4">
        <f>MAX(0,MIN(100,BV247+BS247+BT247))</f>
        <v/>
      </c>
      <c r="BX247" s="3">
        <f>MAX(0,MIN(100,50+BK247*PRECIO_PEND))</f>
        <v/>
      </c>
      <c r="BY247" s="3">
        <f>MAX(0,100*(1-N247/KM_MAX))</f>
        <v/>
      </c>
      <c r="BZ247" s="3">
        <f>IF(BB247&lt;KMA_SOSP,IF(AA247="sí",100,KMA_PEN),IF(BB247&lt;=KMA_IDEAL_MAX,100,MAX(0,100*(KMA_CERO-BB247)/(KMA_CERO-KMA_IDEAL_MAX))))</f>
        <v/>
      </c>
      <c r="CA247" s="3">
        <f>MAX(0,MIN(100,100*(M247-ANIO_MIN)/(ANIO_ACTUAL-ANIO_MIN)))</f>
        <v/>
      </c>
      <c r="CB247" s="3">
        <f>W_KMT*BY247+W_KMA*BZ247+W_EDAD*CA247</f>
        <v/>
      </c>
      <c r="CC247" s="3">
        <f>P_ITV*(V247="sí")+P_LIBRO*(W247="sí")+P_CORREA*(X247="sí")+P_PROP*(Y247=1)+P_GAR*(Z247="sí")+P_FOTOS*MIN(1,N(U247)/FOTOS_OBJ)</f>
        <v/>
      </c>
      <c r="CD247" s="3">
        <f>MAX(0,MIN(100,IFERROR(VLOOKUP(BP247,ETQ_TBL,2,0),0)-IF(BQ247="sí",ETQ_PEN_DUD,IF(AS247="regla",ETQ_PEN_REGLA,0))))</f>
        <v/>
      </c>
      <c r="CE247" s="3">
        <f>NEUTRO</f>
        <v/>
      </c>
      <c r="CF247" s="3">
        <f>IFERROR(VLOOKUP(L247,SEGURO_TBL,3,0),"")</f>
        <v/>
      </c>
      <c r="CG247" s="3">
        <f>IF(CF247="",NEUTRO,MAX(0,MIN(100,100*(SEG_REF_MAX-CF247)/(SEG_REF_MAX-SEG_REF_MIN))))</f>
        <v/>
      </c>
      <c r="CH247" s="3">
        <f>W_CONS*CE247+W_SEG*CG247</f>
        <v/>
      </c>
      <c r="CI247" s="3">
        <f>IF(N(AB247)&gt;0,AB247,IF(AND(R247="profesional",SG_LEGAL_ON=1),GAR_LEGAL,0))</f>
        <v/>
      </c>
      <c r="CJ247" s="3">
        <f>SG_GAR*MIN(1,CI247/SG_GAR_FULL)+SG_AMPL*(AC247="sí")+SG_KMC*(AF247="sí")+SG_REV*(N(AE247)&gt;0)+SG_DEV*MIN(1,N(AG247)/SG_DEV_FULL)+SG_HIST*(W247="sí")</f>
        <v/>
      </c>
      <c r="CK247" s="3">
        <f>IFERROR(VLOOKUP(L247,CARR_PEN_TBL,2,0),0)</f>
        <v/>
      </c>
      <c r="CL247" s="3">
        <f>W_FIAB*BW247+W_PRECIO*BX247+W_KMEDAD*CB247+W_ANUNCIO*CC247+W_USO*CH247+W_SEGURIDAD*CJ247+W_ETIQUETA*CD247-CK247</f>
        <v/>
      </c>
      <c r="CM247" s="4">
        <f>IF(N(I247)&gt;0,I247,IFERROR(ROUND(_xlfn.NUMBERVALUE(LEFT(G247,FIND(" ",G247&amp;" ")-1),".")*1000,0),99999))</f>
        <v/>
      </c>
      <c r="CN247" s="3">
        <f>IF(R247="profesional",0,IF(O247&lt;CUOTA_VALOR_MAX,IF(BA247&gt;ITP_TRAMO_ALTO,SUMIFS(CF_CUOTA,CF_MAS,ITP_TRAMO_ALTO,CF_CCMIN,"&lt;="&amp;CM247,CF_CCMAX,"&gt;="&amp;CM247),IF(BA247&gt;ITP_TRAMO_BAJO,SUMIFS(CF_CUOTA,CF_MAS,ITP_TRAMO_BAJO,CF_CCMIN,"&lt;="&amp;CM247,CF_CCMAX,"&gt;="&amp;CM247),O247*ITP_TIPO)),O247*ITP_TIPO))</f>
        <v/>
      </c>
      <c r="CO247" s="4">
        <f>IF(R247="profesional",N(AK247),0)</f>
        <v/>
      </c>
      <c r="CP247" s="3">
        <f>IF(AND(R247="profesional",ISNUMBER(AK247),AL247="sí"),0,TASA_DGT)</f>
        <v/>
      </c>
      <c r="CQ247" s="3">
        <f>INFORME_DGT</f>
        <v/>
      </c>
      <c r="CR247" s="4">
        <f>O247+CO247+CN247+CP247+CQ247</f>
        <v/>
      </c>
      <c r="CS247" s="4">
        <f>CR247+N(CF247)</f>
        <v/>
      </c>
      <c r="CT247" s="3">
        <f>IF(CR247&lt;=TOTAL_MAX,"sí",IF(CR247&lt;=TOTAL_MAX+MARGEN_NEG,"negociar","no"))</f>
        <v/>
      </c>
      <c r="CU247" s="4">
        <f>IF(CT247&lt;&gt;"no",COUNTIFS($CT$2:$CT$545,"&lt;&gt;no",$CL$2:$CL$545,"&gt;"&amp;CL247)+COUNTIFS($CT$2:CT247,"&lt;&gt;no",$CL$2:CL247,CL247),"")</f>
        <v/>
      </c>
    </row>
    <row r="248">
      <c r="A248" s="2" t="inlineStr">
        <is>
          <t>wallapop:1313372043</t>
        </is>
      </c>
      <c r="B248" s="2" t="inlineStr">
        <is>
          <t>wallapop</t>
        </is>
      </c>
      <c r="C248" s="2" t="inlineStr">
        <is>
          <t>https://es.wallapop.com/item/hyundai-i20-2009-1313372043</t>
        </is>
      </c>
      <c r="D248" s="2" t="inlineStr">
        <is>
          <t>Hyundai i20 2009</t>
        </is>
      </c>
      <c r="E248" s="2" t="inlineStr">
        <is>
          <t>Hyundai</t>
        </is>
      </c>
      <c r="F248" s="2" t="inlineStr">
        <is>
          <t>Hyundai i20</t>
        </is>
      </c>
      <c r="G248" s="2" t="inlineStr">
        <is>
          <t>1.4 CRDi</t>
        </is>
      </c>
      <c r="H248" s="2" t="inlineStr">
        <is>
          <t>1.4 CRDi 90 Comfort 3p AA ESP</t>
        </is>
      </c>
      <c r="I248" s="2" t="n"/>
      <c r="J248" s="2" t="n">
        <v>90</v>
      </c>
      <c r="K248" s="2" t="inlineStr">
        <is>
          <t>diesel</t>
        </is>
      </c>
      <c r="L248" s="2" t="inlineStr">
        <is>
          <t>utilitario</t>
        </is>
      </c>
      <c r="M248" s="2" t="n">
        <v>2009</v>
      </c>
      <c r="N248" s="2" t="n">
        <v>84744</v>
      </c>
      <c r="O248" s="2" t="n">
        <v>4900</v>
      </c>
      <c r="P248" s="2" t="inlineStr">
        <is>
          <t>manual</t>
        </is>
      </c>
      <c r="Q248" s="2" t="inlineStr">
        <is>
          <t>no</t>
        </is>
      </c>
      <c r="R248" s="2" t="inlineStr">
        <is>
          <t>particular</t>
        </is>
      </c>
      <c r="S248" s="2" t="inlineStr">
        <is>
          <t>Torrent (46900)</t>
        </is>
      </c>
      <c r="T248" s="2" t="inlineStr">
        <is>
          <t>2026-10-15T12:29:53</t>
        </is>
      </c>
      <c r="U248" s="2" t="n">
        <v>10</v>
      </c>
      <c r="V248" s="2" t="inlineStr">
        <is>
          <t>sí</t>
        </is>
      </c>
      <c r="W248" s="2" t="n"/>
      <c r="X248" s="2" t="n"/>
      <c r="Y248" s="2" t="n"/>
      <c r="Z248" s="2" t="n"/>
      <c r="AA248" s="2" t="n"/>
      <c r="AB248" s="2" t="n"/>
      <c r="AC248" s="2" t="n"/>
      <c r="AD248" s="2" t="n"/>
      <c r="AE248" s="2" t="n"/>
      <c r="AF248" s="2" t="n"/>
      <c r="AG248" s="2" t="n"/>
      <c r="AH248" s="2" t="n"/>
      <c r="AI248" s="2" t="n"/>
      <c r="AJ248" s="2" t="n"/>
      <c r="AK248" s="2" t="n"/>
      <c r="AL248" s="2" t="n"/>
      <c r="AM248" s="2" t="n">
        <v>8.9</v>
      </c>
      <c r="AN248" s="2" t="n"/>
      <c r="AO248" s="2" t="inlineStr">
        <is>
          <t>2009</t>
        </is>
      </c>
      <c r="AP248" s="2" t="n">
        <v>2009</v>
      </c>
      <c r="AQ248" s="2" t="n"/>
      <c r="AR248" s="2" t="n"/>
      <c r="AS248" s="2" t="inlineStr">
        <is>
          <t>regla</t>
        </is>
      </c>
      <c r="AT248" s="2" t="n"/>
      <c r="AU248" s="2" t="n"/>
      <c r="AV248" s="2" t="n"/>
      <c r="AW248" s="2" t="inlineStr">
        <is>
          <t>wallapop:1313351579 (https://es.wallapop.com/item/hyundai-i20-2009-1-4-gasolina-1313351579)</t>
        </is>
      </c>
      <c r="AX248" s="2" t="inlineStr">
        <is>
          <t>por encima del presupuesto (5004 €), negociar; cuota fija ITP: &gt;12 años, hasta 1.500 cc; diésel: motor sin fuente de fiabilidad (fiabilidad limitada a neutra); mediana con solo 3 anuncio(s)</t>
        </is>
      </c>
      <c r="AY248" s="2" t="inlineStr">
        <is>
          <t>Vendo Hyundai i20 1.4 gasolina de 2009, 3 puertas, con solo 85.000 km e ITV recién pasada.
Coche muy práctico, fiable y económico de mantener. Ideal para ciudad. Motor gasolina 1.4.
El coche funciona correctamente y se ha mantenido al día. Tiene algunos pequeños detalles estéticos, principalmente un roce lateral y un pequeño toque en una puerta.
Actualmente hace un “toc” al mover el volante en parado, proveniente del acoplador flexible de la dirección asistida eléctrica. La dirección funciona correctamente y se puede sustituir el acoplador.
Interior cuidado para su edad y kilometraje muy bajo teniendo en cuenta que es de 2009. Segundo propietario y se entrega con dos llaves.
Se puede ver y probar sin compromiso.
Precio: 4.900 € negociables.
Cambio por Fiat 500 o Smart.</t>
        </is>
      </c>
      <c r="AZ248" s="2" t="inlineStr">
        <is>
          <t>https://es.wallapop.com/item/hyundai-i20-2009-1313372043 (__NEXT_DATA__ item) /home/user/Alopecia/buscador-coches/raw/wallapop/0e394f4b276c38f7.json</t>
        </is>
      </c>
      <c r="BA248" s="3">
        <f>MAX(ANIO_ACTUAL-M248,0)</f>
        <v/>
      </c>
      <c r="BB248" s="4">
        <f>N248/MAX(BA248,0.5)</f>
        <v/>
      </c>
      <c r="BC248" s="4">
        <f>F248</f>
        <v/>
      </c>
      <c r="BD248" s="3">
        <f>BC248&amp;"|"&amp;INT(M248/SEG_ANIO)*SEG_ANIO</f>
        <v/>
      </c>
      <c r="BE248" s="3">
        <f>BD248&amp;"|"&amp;INT(N248/SEG_KM)*SEG_KM</f>
        <v/>
      </c>
      <c r="BF248" s="4">
        <f>COUNTIF($BC$2:$BC$545,BC248)</f>
        <v/>
      </c>
      <c r="BG248" s="4">
        <f>COUNTIF($BD$2:$BD$545,BD248)</f>
        <v/>
      </c>
      <c r="BH248" s="4">
        <f>COUNTIF($BE$2:$BE$545,BE248)</f>
        <v/>
      </c>
      <c r="BI248" s="3">
        <f t="array" ref="BI248">IF(N(AU248)&gt;=MIN_N,AT248,IF(BH248&gt;=MIN_N,MEDIAN(IF($BE$2:$BE$545=BE248,$O$2:$O$545)),IF(BG248&gt;=MIN_N,MEDIAN(IF($BD$2:$BD$545=BD248,$O$2:$O$545)),MEDIAN(IF($BC$2:$BC$545=BC248,$O$2:$O$545)))))</f>
        <v/>
      </c>
      <c r="BJ248" s="3">
        <f>IF(N(AU248)&gt;=MIN_N,"mercado "&amp;AV248,IF(BH248&gt;=MIN_N,"modelo+año+km",IF(BG248&gt;=MIN_N,"modelo+año","modelo")))</f>
        <v/>
      </c>
      <c r="BK248" s="4">
        <f>(BI248-O248)/BI248</f>
        <v/>
      </c>
      <c r="BL248" s="3">
        <f>IF(COUNTIFS(FR_FUEL,K248,FR_YEAR,AP248)&gt;0,1,0)</f>
        <v/>
      </c>
      <c r="BM248" s="3">
        <f>IF(COUNTIFS(FR_FUEL,K248,FR_YEAR,AP248-1)&gt;0,1,0)</f>
        <v/>
      </c>
      <c r="BN248" s="4">
        <f>IF(N(AQ248)&gt;0,AP248*100+AQ248,IF(AND(BL248=1,BM248=1),(AP248-1)*100+1,AP248*100+1))</f>
        <v/>
      </c>
      <c r="BO248" s="3">
        <f>IF(OR(K248="hibrido",K248="glp",K248="gnc",K248="phev"),"ECO",IF(K248="electrico","CERO",IF(K248="gasolina",IF(BN248&gt;=GAS_C_YM,"C",IF(BN248&gt;=GAS_B_YM,"B","A")),IF(K248="diesel",IF(BN248&gt;=DIE_C_YM,"C",IF(BN248&gt;=DIE_B_YM,"B","A")),""))))</f>
        <v/>
      </c>
      <c r="BP248" s="4">
        <f>BO248</f>
        <v/>
      </c>
      <c r="BQ248" s="4">
        <f>IF(AS248="regla",IF(AND(N(AQ248)=0,BL248=1),"sí","no"),"no")</f>
        <v/>
      </c>
      <c r="BR248" s="3">
        <f>IFERROR(VLOOKUP(F248,MOD_TBL,11,0),IFERROR(VLOOKUP(E248,OCU_TBL,2,0),NEUTRO))</f>
        <v/>
      </c>
      <c r="BS248" s="3">
        <f>SUMIFS(MOT_AJUSTE,MOT_MOTOR,G248,MOT_MARCA,E248,MOT_DESDE,"&lt;="&amp;M248,MOT_HASTA,"&gt;="&amp;M248)+SUMIFS(MOT_AJUSTE,MOT_MOTOR,G248,MOT_MARCA,"(todas)",MOT_DESDE,"&lt;="&amp;M248,MOT_HASTA,"&gt;="&amp;M248)</f>
        <v/>
      </c>
      <c r="BT248" s="3">
        <f>SUMIFS(COMB_AJUSTE,COMB_COMB,K248)</f>
        <v/>
      </c>
      <c r="BU248" s="3">
        <f>COUNTIFS(MOT_MOTOR,G248,MOT_MARCA,E248,MOT_DESDE,"&lt;="&amp;M248,MOT_HASTA,"&gt;="&amp;M248)+COUNTIFS(MOT_MOTOR,G248,MOT_MARCA,"(todas)",MOT_DESDE,"&lt;="&amp;M248,MOT_HASTA,"&gt;="&amp;M248)</f>
        <v/>
      </c>
      <c r="BV248" s="3">
        <f>IF(AND(K248="diesel",BU248=0),MIN(BR248,NEUTRO),BR248)</f>
        <v/>
      </c>
      <c r="BW248" s="4">
        <f>MAX(0,MIN(100,BV248+BS248+BT248))</f>
        <v/>
      </c>
      <c r="BX248" s="3">
        <f>MAX(0,MIN(100,50+BK248*PRECIO_PEND))</f>
        <v/>
      </c>
      <c r="BY248" s="3">
        <f>MAX(0,100*(1-N248/KM_MAX))</f>
        <v/>
      </c>
      <c r="BZ248" s="3">
        <f>IF(BB248&lt;KMA_SOSP,IF(AA248="sí",100,KMA_PEN),IF(BB248&lt;=KMA_IDEAL_MAX,100,MAX(0,100*(KMA_CERO-BB248)/(KMA_CERO-KMA_IDEAL_MAX))))</f>
        <v/>
      </c>
      <c r="CA248" s="3">
        <f>MAX(0,MIN(100,100*(M248-ANIO_MIN)/(ANIO_ACTUAL-ANIO_MIN)))</f>
        <v/>
      </c>
      <c r="CB248" s="3">
        <f>W_KMT*BY248+W_KMA*BZ248+W_EDAD*CA248</f>
        <v/>
      </c>
      <c r="CC248" s="3">
        <f>P_ITV*(V248="sí")+P_LIBRO*(W248="sí")+P_CORREA*(X248="sí")+P_PROP*(Y248=1)+P_GAR*(Z248="sí")+P_FOTOS*MIN(1,N(U248)/FOTOS_OBJ)</f>
        <v/>
      </c>
      <c r="CD248" s="3">
        <f>MAX(0,MIN(100,IFERROR(VLOOKUP(BP248,ETQ_TBL,2,0),0)-IF(BQ248="sí",ETQ_PEN_DUD,IF(AS248="regla",ETQ_PEN_REGLA,0))))</f>
        <v/>
      </c>
      <c r="CE248" s="3">
        <f>NEUTRO</f>
        <v/>
      </c>
      <c r="CF248" s="3">
        <f>IFERROR(VLOOKUP(L248,SEGURO_TBL,3,0),"")</f>
        <v/>
      </c>
      <c r="CG248" s="3">
        <f>IF(CF248="",NEUTRO,MAX(0,MIN(100,100*(SEG_REF_MAX-CF248)/(SEG_REF_MAX-SEG_REF_MIN))))</f>
        <v/>
      </c>
      <c r="CH248" s="3">
        <f>W_CONS*CE248+W_SEG*CG248</f>
        <v/>
      </c>
      <c r="CI248" s="3">
        <f>IF(N(AB248)&gt;0,AB248,IF(AND(R248="profesional",SG_LEGAL_ON=1),GAR_LEGAL,0))</f>
        <v/>
      </c>
      <c r="CJ248" s="3">
        <f>SG_GAR*MIN(1,CI248/SG_GAR_FULL)+SG_AMPL*(AC248="sí")+SG_KMC*(AF248="sí")+SG_REV*(N(AE248)&gt;0)+SG_DEV*MIN(1,N(AG248)/SG_DEV_FULL)+SG_HIST*(W248="sí")</f>
        <v/>
      </c>
      <c r="CK248" s="3">
        <f>IFERROR(VLOOKUP(L248,CARR_PEN_TBL,2,0),0)</f>
        <v/>
      </c>
      <c r="CL248" s="3">
        <f>W_FIAB*BW248+W_PRECIO*BX248+W_KMEDAD*CB248+W_ANUNCIO*CC248+W_USO*CH248+W_SEGURIDAD*CJ248+W_ETIQUETA*CD248-CK248</f>
        <v/>
      </c>
      <c r="CM248" s="4">
        <f>IF(N(I248)&gt;0,I248,IFERROR(ROUND(_xlfn.NUMBERVALUE(LEFT(G248,FIND(" ",G248&amp;" ")-1),".")*1000,0),99999))</f>
        <v/>
      </c>
      <c r="CN248" s="3">
        <f>IF(R248="profesional",0,IF(O248&lt;CUOTA_VALOR_MAX,IF(BA248&gt;ITP_TRAMO_ALTO,SUMIFS(CF_CUOTA,CF_MAS,ITP_TRAMO_ALTO,CF_CCMIN,"&lt;="&amp;CM248,CF_CCMAX,"&gt;="&amp;CM248),IF(BA248&gt;ITP_TRAMO_BAJO,SUMIFS(CF_CUOTA,CF_MAS,ITP_TRAMO_BAJO,CF_CCMIN,"&lt;="&amp;CM248,CF_CCMAX,"&gt;="&amp;CM248),O248*ITP_TIPO)),O248*ITP_TIPO))</f>
        <v/>
      </c>
      <c r="CO248" s="4">
        <f>IF(R248="profesional",N(AK248),0)</f>
        <v/>
      </c>
      <c r="CP248" s="3">
        <f>IF(AND(R248="profesional",ISNUMBER(AK248),AL248="sí"),0,TASA_DGT)</f>
        <v/>
      </c>
      <c r="CQ248" s="3">
        <f>INFORME_DGT</f>
        <v/>
      </c>
      <c r="CR248" s="4">
        <f>O248+CO248+CN248+CP248+CQ248</f>
        <v/>
      </c>
      <c r="CS248" s="4">
        <f>CR248+N(CF248)</f>
        <v/>
      </c>
      <c r="CT248" s="3">
        <f>IF(CR248&lt;=TOTAL_MAX,"sí",IF(CR248&lt;=TOTAL_MAX+MARGEN_NEG,"negociar","no"))</f>
        <v/>
      </c>
      <c r="CU248" s="4">
        <f>IF(CT248&lt;&gt;"no",COUNTIFS($CT$2:$CT$545,"&lt;&gt;no",$CL$2:$CL$545,"&gt;"&amp;CL248)+COUNTIFS($CT$2:CT248,"&lt;&gt;no",$CL$2:CL248,CL248),"")</f>
        <v/>
      </c>
    </row>
    <row r="249">
      <c r="A249" s="2" t="inlineStr">
        <is>
          <t>wallapop:1316295468</t>
        </is>
      </c>
      <c r="B249" s="2" t="inlineStr">
        <is>
          <t>wallapop</t>
        </is>
      </c>
      <c r="C249" s="2" t="inlineStr">
        <is>
          <t>https://es.wallapop.com/item/seat-ibiza-2006-1316295468</t>
        </is>
      </c>
      <c r="D249" s="2" t="inlineStr">
        <is>
          <t>SEAT Ibiza 2006</t>
        </is>
      </c>
      <c r="E249" s="2" t="inlineStr">
        <is>
          <t>Seat</t>
        </is>
      </c>
      <c r="F249" s="2" t="inlineStr">
        <is>
          <t>Seat Ibiza</t>
        </is>
      </c>
      <c r="G249" s="2" t="inlineStr">
        <is>
          <t>1.4</t>
        </is>
      </c>
      <c r="H249" s="2" t="inlineStr">
        <is>
          <t>1.4 16v 75 Cool 3p</t>
        </is>
      </c>
      <c r="I249" s="2" t="n"/>
      <c r="J249" s="2" t="n">
        <v>75</v>
      </c>
      <c r="K249" s="2" t="inlineStr">
        <is>
          <t>gasolina</t>
        </is>
      </c>
      <c r="L249" s="2" t="inlineStr">
        <is>
          <t>utilitario</t>
        </is>
      </c>
      <c r="M249" s="2" t="n">
        <v>2006</v>
      </c>
      <c r="N249" s="2" t="n">
        <v>135000</v>
      </c>
      <c r="O249" s="2" t="n">
        <v>2200</v>
      </c>
      <c r="P249" s="2" t="inlineStr">
        <is>
          <t>manual</t>
        </is>
      </c>
      <c r="Q249" s="2" t="inlineStr">
        <is>
          <t>no</t>
        </is>
      </c>
      <c r="R249" s="2" t="inlineStr">
        <is>
          <t>particular</t>
        </is>
      </c>
      <c r="S249" s="2" t="inlineStr">
        <is>
          <t>Valencia (46009)</t>
        </is>
      </c>
      <c r="T249" s="2" t="inlineStr">
        <is>
          <t>2026-10-23T10:41:28</t>
        </is>
      </c>
      <c r="U249" s="2" t="n">
        <v>7</v>
      </c>
      <c r="V249" s="2" t="inlineStr">
        <is>
          <t>sí</t>
        </is>
      </c>
      <c r="W249" s="2" t="n"/>
      <c r="X249" s="2" t="n"/>
      <c r="Y249" s="2" t="n"/>
      <c r="Z249" s="2" t="n"/>
      <c r="AA249" s="2" t="n"/>
      <c r="AB249" s="2" t="n"/>
      <c r="AC249" s="2" t="n"/>
      <c r="AD249" s="2" t="n"/>
      <c r="AE249" s="2" t="n"/>
      <c r="AF249" s="2" t="n"/>
      <c r="AG249" s="2" t="n"/>
      <c r="AH249" s="2" t="n"/>
      <c r="AI249" s="2" t="n"/>
      <c r="AJ249" s="2" t="n"/>
      <c r="AK249" s="2" t="n"/>
      <c r="AL249" s="2" t="n"/>
      <c r="AM249" s="2" t="n">
        <v>2.4</v>
      </c>
      <c r="AN249" s="2" t="n"/>
      <c r="AO249" s="2" t="inlineStr">
        <is>
          <t>2006</t>
        </is>
      </c>
      <c r="AP249" s="2" t="n">
        <v>2006</v>
      </c>
      <c r="AQ249" s="2" t="n"/>
      <c r="AR249" s="2" t="n"/>
      <c r="AS249" s="2" t="inlineStr">
        <is>
          <t>regla</t>
        </is>
      </c>
      <c r="AT249" s="2" t="n">
        <v>3100</v>
      </c>
      <c r="AU249" s="2" t="n">
        <v>28</v>
      </c>
      <c r="AV249" s="2" t="inlineStr">
        <is>
          <t>modelo+año</t>
        </is>
      </c>
      <c r="AW249" s="2" t="n"/>
      <c r="AX249" s="2" t="inlineStr">
        <is>
          <t>cuota fija ITP: &gt;12 años, hasta 1.500 cc</t>
        </is>
      </c>
      <c r="AY249" s="2" t="inlineStr">
        <is>
          <t xml:space="preserve">Seat Ibiza 1.4 75 cv gasolina
ITV hasta febrero 2027
Funciona perfecto
Sin aire acondicionado 
</t>
        </is>
      </c>
      <c r="AZ249" s="2" t="inlineStr">
        <is>
          <t>https://es.wallapop.com/item/seat-ibiza-2006-1316295468 (__NEXT_DATA__ item) /home/user/Alopecia/buscador-coches/raw/wallapop/585246fec61f4ea8.json</t>
        </is>
      </c>
      <c r="BA249" s="3">
        <f>MAX(ANIO_ACTUAL-M249,0)</f>
        <v/>
      </c>
      <c r="BB249" s="4">
        <f>N249/MAX(BA249,0.5)</f>
        <v/>
      </c>
      <c r="BC249" s="4">
        <f>F249</f>
        <v/>
      </c>
      <c r="BD249" s="3">
        <f>BC249&amp;"|"&amp;INT(M249/SEG_ANIO)*SEG_ANIO</f>
        <v/>
      </c>
      <c r="BE249" s="3">
        <f>BD249&amp;"|"&amp;INT(N249/SEG_KM)*SEG_KM</f>
        <v/>
      </c>
      <c r="BF249" s="4">
        <f>COUNTIF($BC$2:$BC$545,BC249)</f>
        <v/>
      </c>
      <c r="BG249" s="4">
        <f>COUNTIF($BD$2:$BD$545,BD249)</f>
        <v/>
      </c>
      <c r="BH249" s="4">
        <f>COUNTIF($BE$2:$BE$545,BE249)</f>
        <v/>
      </c>
      <c r="BI249" s="3">
        <f t="array" ref="BI249">IF(N(AU249)&gt;=MIN_N,AT249,IF(BH249&gt;=MIN_N,MEDIAN(IF($BE$2:$BE$545=BE249,$O$2:$O$545)),IF(BG249&gt;=MIN_N,MEDIAN(IF($BD$2:$BD$545=BD249,$O$2:$O$545)),MEDIAN(IF($BC$2:$BC$545=BC249,$O$2:$O$545)))))</f>
        <v/>
      </c>
      <c r="BJ249" s="3">
        <f>IF(N(AU249)&gt;=MIN_N,"mercado "&amp;AV249,IF(BH249&gt;=MIN_N,"modelo+año+km",IF(BG249&gt;=MIN_N,"modelo+año","modelo")))</f>
        <v/>
      </c>
      <c r="BK249" s="4">
        <f>(BI249-O249)/BI249</f>
        <v/>
      </c>
      <c r="BL249" s="3">
        <f>IF(COUNTIFS(FR_FUEL,K249,FR_YEAR,AP249)&gt;0,1,0)</f>
        <v/>
      </c>
      <c r="BM249" s="3">
        <f>IF(COUNTIFS(FR_FUEL,K249,FR_YEAR,AP249-1)&gt;0,1,0)</f>
        <v/>
      </c>
      <c r="BN249" s="4">
        <f>IF(N(AQ249)&gt;0,AP249*100+AQ249,IF(AND(BL249=1,BM249=1),(AP249-1)*100+1,AP249*100+1))</f>
        <v/>
      </c>
      <c r="BO249" s="3">
        <f>IF(OR(K249="hibrido",K249="glp",K249="gnc",K249="phev"),"ECO",IF(K249="electrico","CERO",IF(K249="gasolina",IF(BN249&gt;=GAS_C_YM,"C",IF(BN249&gt;=GAS_B_YM,"B","A")),IF(K249="diesel",IF(BN249&gt;=DIE_C_YM,"C",IF(BN249&gt;=DIE_B_YM,"B","A")),""))))</f>
        <v/>
      </c>
      <c r="BP249" s="4">
        <f>BO249</f>
        <v/>
      </c>
      <c r="BQ249" s="4">
        <f>IF(AS249="regla",IF(AND(N(AQ249)=0,BL249=1),"sí","no"),"no")</f>
        <v/>
      </c>
      <c r="BR249" s="3">
        <f>IFERROR(VLOOKUP(F249,MOD_TBL,11,0),IFERROR(VLOOKUP(E249,OCU_TBL,2,0),NEUTRO))</f>
        <v/>
      </c>
      <c r="BS249" s="3">
        <f>SUMIFS(MOT_AJUSTE,MOT_MOTOR,G249,MOT_MARCA,E249,MOT_DESDE,"&lt;="&amp;M249,MOT_HASTA,"&gt;="&amp;M249)+SUMIFS(MOT_AJUSTE,MOT_MOTOR,G249,MOT_MARCA,"(todas)",MOT_DESDE,"&lt;="&amp;M249,MOT_HASTA,"&gt;="&amp;M249)</f>
        <v/>
      </c>
      <c r="BT249" s="3">
        <f>SUMIFS(COMB_AJUSTE,COMB_COMB,K249)</f>
        <v/>
      </c>
      <c r="BU249" s="3">
        <f>COUNTIFS(MOT_MOTOR,G249,MOT_MARCA,E249,MOT_DESDE,"&lt;="&amp;M249,MOT_HASTA,"&gt;="&amp;M249)+COUNTIFS(MOT_MOTOR,G249,MOT_MARCA,"(todas)",MOT_DESDE,"&lt;="&amp;M249,MOT_HASTA,"&gt;="&amp;M249)</f>
        <v/>
      </c>
      <c r="BV249" s="3">
        <f>IF(AND(K249="diesel",BU249=0),MIN(BR249,NEUTRO),BR249)</f>
        <v/>
      </c>
      <c r="BW249" s="4">
        <f>MAX(0,MIN(100,BV249+BS249+BT249))</f>
        <v/>
      </c>
      <c r="BX249" s="3">
        <f>MAX(0,MIN(100,50+BK249*PRECIO_PEND))</f>
        <v/>
      </c>
      <c r="BY249" s="3">
        <f>MAX(0,100*(1-N249/KM_MAX))</f>
        <v/>
      </c>
      <c r="BZ249" s="3">
        <f>IF(BB249&lt;KMA_SOSP,IF(AA249="sí",100,KMA_PEN),IF(BB249&lt;=KMA_IDEAL_MAX,100,MAX(0,100*(KMA_CERO-BB249)/(KMA_CERO-KMA_IDEAL_MAX))))</f>
        <v/>
      </c>
      <c r="CA249" s="3">
        <f>MAX(0,MIN(100,100*(M249-ANIO_MIN)/(ANIO_ACTUAL-ANIO_MIN)))</f>
        <v/>
      </c>
      <c r="CB249" s="3">
        <f>W_KMT*BY249+W_KMA*BZ249+W_EDAD*CA249</f>
        <v/>
      </c>
      <c r="CC249" s="3">
        <f>P_ITV*(V249="sí")+P_LIBRO*(W249="sí")+P_CORREA*(X249="sí")+P_PROP*(Y249=1)+P_GAR*(Z249="sí")+P_FOTOS*MIN(1,N(U249)/FOTOS_OBJ)</f>
        <v/>
      </c>
      <c r="CD249" s="3">
        <f>MAX(0,MIN(100,IFERROR(VLOOKUP(BP249,ETQ_TBL,2,0),0)-IF(BQ249="sí",ETQ_PEN_DUD,IF(AS249="regla",ETQ_PEN_REGLA,0))))</f>
        <v/>
      </c>
      <c r="CE249" s="3">
        <f>NEUTRO</f>
        <v/>
      </c>
      <c r="CF249" s="3">
        <f>IFERROR(VLOOKUP(L249,SEGURO_TBL,3,0),"")</f>
        <v/>
      </c>
      <c r="CG249" s="3">
        <f>IF(CF249="",NEUTRO,MAX(0,MIN(100,100*(SEG_REF_MAX-CF249)/(SEG_REF_MAX-SEG_REF_MIN))))</f>
        <v/>
      </c>
      <c r="CH249" s="3">
        <f>W_CONS*CE249+W_SEG*CG249</f>
        <v/>
      </c>
      <c r="CI249" s="3">
        <f>IF(N(AB249)&gt;0,AB249,IF(AND(R249="profesional",SG_LEGAL_ON=1),GAR_LEGAL,0))</f>
        <v/>
      </c>
      <c r="CJ249" s="3">
        <f>SG_GAR*MIN(1,CI249/SG_GAR_FULL)+SG_AMPL*(AC249="sí")+SG_KMC*(AF249="sí")+SG_REV*(N(AE249)&gt;0)+SG_DEV*MIN(1,N(AG249)/SG_DEV_FULL)+SG_HIST*(W249="sí")</f>
        <v/>
      </c>
      <c r="CK249" s="3">
        <f>IFERROR(VLOOKUP(L249,CARR_PEN_TBL,2,0),0)</f>
        <v/>
      </c>
      <c r="CL249" s="3">
        <f>W_FIAB*BW249+W_PRECIO*BX249+W_KMEDAD*CB249+W_ANUNCIO*CC249+W_USO*CH249+W_SEGURIDAD*CJ249+W_ETIQUETA*CD249-CK249</f>
        <v/>
      </c>
      <c r="CM249" s="4">
        <f>IF(N(I249)&gt;0,I249,IFERROR(ROUND(_xlfn.NUMBERVALUE(LEFT(G249,FIND(" ",G249&amp;" ")-1),".")*1000,0),99999))</f>
        <v/>
      </c>
      <c r="CN249" s="3">
        <f>IF(R249="profesional",0,IF(O249&lt;CUOTA_VALOR_MAX,IF(BA249&gt;ITP_TRAMO_ALTO,SUMIFS(CF_CUOTA,CF_MAS,ITP_TRAMO_ALTO,CF_CCMIN,"&lt;="&amp;CM249,CF_CCMAX,"&gt;="&amp;CM249),IF(BA249&gt;ITP_TRAMO_BAJO,SUMIFS(CF_CUOTA,CF_MAS,ITP_TRAMO_BAJO,CF_CCMIN,"&lt;="&amp;CM249,CF_CCMAX,"&gt;="&amp;CM249),O249*ITP_TIPO)),O249*ITP_TIPO))</f>
        <v/>
      </c>
      <c r="CO249" s="4">
        <f>IF(R249="profesional",N(AK249),0)</f>
        <v/>
      </c>
      <c r="CP249" s="3">
        <f>IF(AND(R249="profesional",ISNUMBER(AK249),AL249="sí"),0,TASA_DGT)</f>
        <v/>
      </c>
      <c r="CQ249" s="3">
        <f>INFORME_DGT</f>
        <v/>
      </c>
      <c r="CR249" s="4">
        <f>O249+CO249+CN249+CP249+CQ249</f>
        <v/>
      </c>
      <c r="CS249" s="4">
        <f>CR249+N(CF249)</f>
        <v/>
      </c>
      <c r="CT249" s="3">
        <f>IF(CR249&lt;=TOTAL_MAX,"sí",IF(CR249&lt;=TOTAL_MAX+MARGEN_NEG,"negociar","no"))</f>
        <v/>
      </c>
      <c r="CU249" s="4">
        <f>IF(CT249&lt;&gt;"no",COUNTIFS($CT$2:$CT$545,"&lt;&gt;no",$CL$2:$CL$545,"&gt;"&amp;CL249)+COUNTIFS($CT$2:CT249,"&lt;&gt;no",$CL$2:CL249,CL249),"")</f>
        <v/>
      </c>
    </row>
    <row r="250">
      <c r="A250" s="2" t="inlineStr">
        <is>
          <t>wallapop:1316076190</t>
        </is>
      </c>
      <c r="B250" s="2" t="inlineStr">
        <is>
          <t>wallapop</t>
        </is>
      </c>
      <c r="C250" s="2" t="inlineStr">
        <is>
          <t>https://es.wallapop.com/item/seat-ibiza-2006-1316076190</t>
        </is>
      </c>
      <c r="D250" s="2" t="inlineStr">
        <is>
          <t>SEAT Ibiza 2006</t>
        </is>
      </c>
      <c r="E250" s="2" t="inlineStr">
        <is>
          <t>Seat</t>
        </is>
      </c>
      <c r="F250" s="2" t="inlineStr">
        <is>
          <t>Seat Ibiza</t>
        </is>
      </c>
      <c r="G250" s="2" t="n"/>
      <c r="H250" s="2" t="n"/>
      <c r="I250" s="2" t="n"/>
      <c r="J250" s="2" t="n"/>
      <c r="K250" s="2" t="inlineStr">
        <is>
          <t>gasolina</t>
        </is>
      </c>
      <c r="L250" s="2" t="inlineStr">
        <is>
          <t>utilitario</t>
        </is>
      </c>
      <c r="M250" s="2" t="n">
        <v>2006</v>
      </c>
      <c r="N250" s="2" t="n">
        <v>180000</v>
      </c>
      <c r="O250" s="2" t="n">
        <v>3500</v>
      </c>
      <c r="P250" s="2" t="inlineStr">
        <is>
          <t>manual</t>
        </is>
      </c>
      <c r="Q250" s="2" t="inlineStr">
        <is>
          <t>no</t>
        </is>
      </c>
      <c r="R250" s="2" t="inlineStr">
        <is>
          <t>particular</t>
        </is>
      </c>
      <c r="S250" s="2" t="inlineStr">
        <is>
          <t>Valencia (46022)</t>
        </is>
      </c>
      <c r="T250" s="2" t="inlineStr">
        <is>
          <t>2026-10-22T16:30:55</t>
        </is>
      </c>
      <c r="U250" s="2" t="n">
        <v>4</v>
      </c>
      <c r="V250" s="2" t="n"/>
      <c r="W250" s="2" t="n"/>
      <c r="X250" s="2" t="n"/>
      <c r="Y250" s="2" t="n"/>
      <c r="Z250" s="2" t="n"/>
      <c r="AA250" s="2" t="n"/>
      <c r="AB250" s="2" t="n"/>
      <c r="AC250" s="2" t="n"/>
      <c r="AD250" s="2" t="n"/>
      <c r="AE250" s="2" t="n"/>
      <c r="AF250" s="2" t="n"/>
      <c r="AG250" s="2" t="n"/>
      <c r="AH250" s="2" t="n"/>
      <c r="AI250" s="2" t="n"/>
      <c r="AJ250" s="2" t="n"/>
      <c r="AK250" s="2" t="n"/>
      <c r="AL250" s="2" t="n"/>
      <c r="AM250" s="2" t="n">
        <v>3.4</v>
      </c>
      <c r="AN250" s="2" t="n"/>
      <c r="AO250" s="2" t="inlineStr">
        <is>
          <t>2006</t>
        </is>
      </c>
      <c r="AP250" s="2" t="n">
        <v>2006</v>
      </c>
      <c r="AQ250" s="2" t="n"/>
      <c r="AR250" s="2" t="n"/>
      <c r="AS250" s="2" t="inlineStr">
        <is>
          <t>regla</t>
        </is>
      </c>
      <c r="AT250" s="2" t="n">
        <v>3750</v>
      </c>
      <c r="AU250" s="2" t="n">
        <v>8</v>
      </c>
      <c r="AV250" s="2" t="inlineStr">
        <is>
          <t>modelo+año+km</t>
        </is>
      </c>
      <c r="AW250" s="2" t="n"/>
      <c r="AX250" s="2" t="inlineStr">
        <is>
          <t>cilindrada desconocida: se aplica el tramo de cuota fija más alto; cuota fija ITP: &gt;12 años, más de 2.000 cc</t>
        </is>
      </c>
      <c r="AY250" s="2" t="inlineStr">
        <is>
          <t xml:space="preserve">
SEAT Ibiza en Valencia</t>
        </is>
      </c>
      <c r="AZ250" s="2" t="inlineStr">
        <is>
          <t>https://es.wallapop.com/item/seat-ibiza-2006-1316076190 (__NEXT_DATA__ item) /home/user/Alopecia/buscador-coches/raw/wallapop/e7cb15bdf3df9294.json</t>
        </is>
      </c>
      <c r="BA250" s="3">
        <f>MAX(ANIO_ACTUAL-M250,0)</f>
        <v/>
      </c>
      <c r="BB250" s="4">
        <f>N250/MAX(BA250,0.5)</f>
        <v/>
      </c>
      <c r="BC250" s="4">
        <f>F250</f>
        <v/>
      </c>
      <c r="BD250" s="3">
        <f>BC250&amp;"|"&amp;INT(M250/SEG_ANIO)*SEG_ANIO</f>
        <v/>
      </c>
      <c r="BE250" s="3">
        <f>BD250&amp;"|"&amp;INT(N250/SEG_KM)*SEG_KM</f>
        <v/>
      </c>
      <c r="BF250" s="4">
        <f>COUNTIF($BC$2:$BC$545,BC250)</f>
        <v/>
      </c>
      <c r="BG250" s="4">
        <f>COUNTIF($BD$2:$BD$545,BD250)</f>
        <v/>
      </c>
      <c r="BH250" s="4">
        <f>COUNTIF($BE$2:$BE$545,BE250)</f>
        <v/>
      </c>
      <c r="BI250" s="3">
        <f t="array" ref="BI250">IF(N(AU250)&gt;=MIN_N,AT250,IF(BH250&gt;=MIN_N,MEDIAN(IF($BE$2:$BE$545=BE250,$O$2:$O$545)),IF(BG250&gt;=MIN_N,MEDIAN(IF($BD$2:$BD$545=BD250,$O$2:$O$545)),MEDIAN(IF($BC$2:$BC$545=BC250,$O$2:$O$545)))))</f>
        <v/>
      </c>
      <c r="BJ250" s="3">
        <f>IF(N(AU250)&gt;=MIN_N,"mercado "&amp;AV250,IF(BH250&gt;=MIN_N,"modelo+año+km",IF(BG250&gt;=MIN_N,"modelo+año","modelo")))</f>
        <v/>
      </c>
      <c r="BK250" s="4">
        <f>(BI250-O250)/BI250</f>
        <v/>
      </c>
      <c r="BL250" s="3">
        <f>IF(COUNTIFS(FR_FUEL,K250,FR_YEAR,AP250)&gt;0,1,0)</f>
        <v/>
      </c>
      <c r="BM250" s="3">
        <f>IF(COUNTIFS(FR_FUEL,K250,FR_YEAR,AP250-1)&gt;0,1,0)</f>
        <v/>
      </c>
      <c r="BN250" s="4">
        <f>IF(N(AQ250)&gt;0,AP250*100+AQ250,IF(AND(BL250=1,BM250=1),(AP250-1)*100+1,AP250*100+1))</f>
        <v/>
      </c>
      <c r="BO250" s="3">
        <f>IF(OR(K250="hibrido",K250="glp",K250="gnc",K250="phev"),"ECO",IF(K250="electrico","CERO",IF(K250="gasolina",IF(BN250&gt;=GAS_C_YM,"C",IF(BN250&gt;=GAS_B_YM,"B","A")),IF(K250="diesel",IF(BN250&gt;=DIE_C_YM,"C",IF(BN250&gt;=DIE_B_YM,"B","A")),""))))</f>
        <v/>
      </c>
      <c r="BP250" s="4">
        <f>BO250</f>
        <v/>
      </c>
      <c r="BQ250" s="4">
        <f>IF(AS250="regla",IF(AND(N(AQ250)=0,BL250=1),"sí","no"),"no")</f>
        <v/>
      </c>
      <c r="BR250" s="3">
        <f>IFERROR(VLOOKUP(F250,MOD_TBL,11,0),IFERROR(VLOOKUP(E250,OCU_TBL,2,0),NEUTRO))</f>
        <v/>
      </c>
      <c r="BS250" s="3">
        <f>SUMIFS(MOT_AJUSTE,MOT_MOTOR,G250,MOT_MARCA,E250,MOT_DESDE,"&lt;="&amp;M250,MOT_HASTA,"&gt;="&amp;M250)+SUMIFS(MOT_AJUSTE,MOT_MOTOR,G250,MOT_MARCA,"(todas)",MOT_DESDE,"&lt;="&amp;M250,MOT_HASTA,"&gt;="&amp;M250)</f>
        <v/>
      </c>
      <c r="BT250" s="3">
        <f>SUMIFS(COMB_AJUSTE,COMB_COMB,K250)</f>
        <v/>
      </c>
      <c r="BU250" s="3">
        <f>COUNTIFS(MOT_MOTOR,G250,MOT_MARCA,E250,MOT_DESDE,"&lt;="&amp;M250,MOT_HASTA,"&gt;="&amp;M250)+COUNTIFS(MOT_MOTOR,G250,MOT_MARCA,"(todas)",MOT_DESDE,"&lt;="&amp;M250,MOT_HASTA,"&gt;="&amp;M250)</f>
        <v/>
      </c>
      <c r="BV250" s="3">
        <f>IF(AND(K250="diesel",BU250=0),MIN(BR250,NEUTRO),BR250)</f>
        <v/>
      </c>
      <c r="BW250" s="4">
        <f>MAX(0,MIN(100,BV250+BS250+BT250))</f>
        <v/>
      </c>
      <c r="BX250" s="3">
        <f>MAX(0,MIN(100,50+BK250*PRECIO_PEND))</f>
        <v/>
      </c>
      <c r="BY250" s="3">
        <f>MAX(0,100*(1-N250/KM_MAX))</f>
        <v/>
      </c>
      <c r="BZ250" s="3">
        <f>IF(BB250&lt;KMA_SOSP,IF(AA250="sí",100,KMA_PEN),IF(BB250&lt;=KMA_IDEAL_MAX,100,MAX(0,100*(KMA_CERO-BB250)/(KMA_CERO-KMA_IDEAL_MAX))))</f>
        <v/>
      </c>
      <c r="CA250" s="3">
        <f>MAX(0,MIN(100,100*(M250-ANIO_MIN)/(ANIO_ACTUAL-ANIO_MIN)))</f>
        <v/>
      </c>
      <c r="CB250" s="3">
        <f>W_KMT*BY250+W_KMA*BZ250+W_EDAD*CA250</f>
        <v/>
      </c>
      <c r="CC250" s="3">
        <f>P_ITV*(V250="sí")+P_LIBRO*(W250="sí")+P_CORREA*(X250="sí")+P_PROP*(Y250=1)+P_GAR*(Z250="sí")+P_FOTOS*MIN(1,N(U250)/FOTOS_OBJ)</f>
        <v/>
      </c>
      <c r="CD250" s="3">
        <f>MAX(0,MIN(100,IFERROR(VLOOKUP(BP250,ETQ_TBL,2,0),0)-IF(BQ250="sí",ETQ_PEN_DUD,IF(AS250="regla",ETQ_PEN_REGLA,0))))</f>
        <v/>
      </c>
      <c r="CE250" s="3">
        <f>NEUTRO</f>
        <v/>
      </c>
      <c r="CF250" s="3">
        <f>IFERROR(VLOOKUP(L250,SEGURO_TBL,3,0),"")</f>
        <v/>
      </c>
      <c r="CG250" s="3">
        <f>IF(CF250="",NEUTRO,MAX(0,MIN(100,100*(SEG_REF_MAX-CF250)/(SEG_REF_MAX-SEG_REF_MIN))))</f>
        <v/>
      </c>
      <c r="CH250" s="3">
        <f>W_CONS*CE250+W_SEG*CG250</f>
        <v/>
      </c>
      <c r="CI250" s="3">
        <f>IF(N(AB250)&gt;0,AB250,IF(AND(R250="profesional",SG_LEGAL_ON=1),GAR_LEGAL,0))</f>
        <v/>
      </c>
      <c r="CJ250" s="3">
        <f>SG_GAR*MIN(1,CI250/SG_GAR_FULL)+SG_AMPL*(AC250="sí")+SG_KMC*(AF250="sí")+SG_REV*(N(AE250)&gt;0)+SG_DEV*MIN(1,N(AG250)/SG_DEV_FULL)+SG_HIST*(W250="sí")</f>
        <v/>
      </c>
      <c r="CK250" s="3">
        <f>IFERROR(VLOOKUP(L250,CARR_PEN_TBL,2,0),0)</f>
        <v/>
      </c>
      <c r="CL250" s="3">
        <f>W_FIAB*BW250+W_PRECIO*BX250+W_KMEDAD*CB250+W_ANUNCIO*CC250+W_USO*CH250+W_SEGURIDAD*CJ250+W_ETIQUETA*CD250-CK250</f>
        <v/>
      </c>
      <c r="CM250" s="4">
        <f>IF(N(I250)&gt;0,I250,IFERROR(ROUND(_xlfn.NUMBERVALUE(LEFT(G250,FIND(" ",G250&amp;" ")-1),".")*1000,0),99999))</f>
        <v/>
      </c>
      <c r="CN250" s="3">
        <f>IF(R250="profesional",0,IF(O250&lt;CUOTA_VALOR_MAX,IF(BA250&gt;ITP_TRAMO_ALTO,SUMIFS(CF_CUOTA,CF_MAS,ITP_TRAMO_ALTO,CF_CCMIN,"&lt;="&amp;CM250,CF_CCMAX,"&gt;="&amp;CM250),IF(BA250&gt;ITP_TRAMO_BAJO,SUMIFS(CF_CUOTA,CF_MAS,ITP_TRAMO_BAJO,CF_CCMIN,"&lt;="&amp;CM250,CF_CCMAX,"&gt;="&amp;CM250),O250*ITP_TIPO)),O250*ITP_TIPO))</f>
        <v/>
      </c>
      <c r="CO250" s="4">
        <f>IF(R250="profesional",N(AK250),0)</f>
        <v/>
      </c>
      <c r="CP250" s="3">
        <f>IF(AND(R250="profesional",ISNUMBER(AK250),AL250="sí"),0,TASA_DGT)</f>
        <v/>
      </c>
      <c r="CQ250" s="3">
        <f>INFORME_DGT</f>
        <v/>
      </c>
      <c r="CR250" s="4">
        <f>O250+CO250+CN250+CP250+CQ250</f>
        <v/>
      </c>
      <c r="CS250" s="4">
        <f>CR250+N(CF250)</f>
        <v/>
      </c>
      <c r="CT250" s="3">
        <f>IF(CR250&lt;=TOTAL_MAX,"sí",IF(CR250&lt;=TOTAL_MAX+MARGEN_NEG,"negociar","no"))</f>
        <v/>
      </c>
      <c r="CU250" s="4">
        <f>IF(CT250&lt;&gt;"no",COUNTIFS($CT$2:$CT$545,"&lt;&gt;no",$CL$2:$CL$545,"&gt;"&amp;CL250)+COUNTIFS($CT$2:CT250,"&lt;&gt;no",$CL$2:CL250,CL250),"")</f>
        <v/>
      </c>
    </row>
    <row r="251">
      <c r="A251" s="2" t="inlineStr">
        <is>
          <t>wallapop:1306122565</t>
        </is>
      </c>
      <c r="B251" s="2" t="inlineStr">
        <is>
          <t>wallapop</t>
        </is>
      </c>
      <c r="C251" s="2" t="inlineStr">
        <is>
          <t>https://es.wallapop.com/item/seat-ibiza-2008-1306122565</t>
        </is>
      </c>
      <c r="D251" s="2" t="inlineStr">
        <is>
          <t>SEAT Ibiza 2008</t>
        </is>
      </c>
      <c r="E251" s="2" t="inlineStr">
        <is>
          <t>Seat</t>
        </is>
      </c>
      <c r="F251" s="2" t="inlineStr">
        <is>
          <t>Seat Ibiza</t>
        </is>
      </c>
      <c r="G251" s="2" t="inlineStr">
        <is>
          <t>1.9 TDI</t>
        </is>
      </c>
      <c r="H251" s="2" t="inlineStr">
        <is>
          <t>1.9 TDI 105 REFERENCE 5p DPF MY09</t>
        </is>
      </c>
      <c r="I251" s="2" t="n"/>
      <c r="J251" s="2" t="n">
        <v>105</v>
      </c>
      <c r="K251" s="2" t="inlineStr">
        <is>
          <t>diesel</t>
        </is>
      </c>
      <c r="L251" s="2" t="inlineStr">
        <is>
          <t>utilitario</t>
        </is>
      </c>
      <c r="M251" s="2" t="n">
        <v>2008</v>
      </c>
      <c r="N251" s="2" t="n">
        <v>207000</v>
      </c>
      <c r="O251" s="2" t="n">
        <v>4000</v>
      </c>
      <c r="P251" s="2" t="inlineStr">
        <is>
          <t>manual</t>
        </is>
      </c>
      <c r="Q251" s="2" t="inlineStr">
        <is>
          <t>no</t>
        </is>
      </c>
      <c r="R251" s="2" t="inlineStr">
        <is>
          <t>particular</t>
        </is>
      </c>
      <c r="S251" s="2" t="inlineStr">
        <is>
          <t>Paterna (46980)</t>
        </is>
      </c>
      <c r="T251" s="2" t="inlineStr">
        <is>
          <t>2026-10-28T12:25:54</t>
        </is>
      </c>
      <c r="U251" s="2" t="n">
        <v>9</v>
      </c>
      <c r="V251" s="2" t="inlineStr">
        <is>
          <t>sí</t>
        </is>
      </c>
      <c r="W251" s="2" t="n"/>
      <c r="X251" s="2" t="n"/>
      <c r="Y251" s="2" t="n"/>
      <c r="Z251" s="2" t="n"/>
      <c r="AA251" s="2" t="n"/>
      <c r="AB251" s="2" t="n"/>
      <c r="AC251" s="2" t="n"/>
      <c r="AD251" s="2" t="n"/>
      <c r="AE251" s="2" t="n"/>
      <c r="AF251" s="2" t="n"/>
      <c r="AG251" s="2" t="n"/>
      <c r="AH251" s="2" t="n"/>
      <c r="AI251" s="2" t="n"/>
      <c r="AJ251" s="2" t="n"/>
      <c r="AK251" s="2" t="n"/>
      <c r="AL251" s="2" t="n"/>
      <c r="AM251" s="2" t="n">
        <v>6.8</v>
      </c>
      <c r="AN251" s="2" t="n"/>
      <c r="AO251" s="2" t="inlineStr">
        <is>
          <t>2008</t>
        </is>
      </c>
      <c r="AP251" s="2" t="n">
        <v>2008</v>
      </c>
      <c r="AQ251" s="2" t="n"/>
      <c r="AR251" s="2" t="n"/>
      <c r="AS251" s="2" t="inlineStr">
        <is>
          <t>regla</t>
        </is>
      </c>
      <c r="AT251" s="2" t="n">
        <v>3100</v>
      </c>
      <c r="AU251" s="2" t="n">
        <v>10</v>
      </c>
      <c r="AV251" s="2" t="inlineStr">
        <is>
          <t>modelo+año+km</t>
        </is>
      </c>
      <c r="AW251" s="2" t="n"/>
      <c r="AX251" s="2" t="inlineStr">
        <is>
          <t>cuota fija ITP: &gt;12 años, 1.501-2.000 cc; diésel: motor sin fuente de fiabilidad (fiabilidad limitada a neutra)</t>
        </is>
      </c>
      <c r="AY251" s="2" t="inlineStr">
        <is>
          <t xml:space="preserve">LEER BIEN 
Itv recien pasada sin fallos.
Algo negociable, abstenerse a ofertas absurdas y mareantes.
Lo utilizo diariamente.
Tiene hecho el embrague entero reciente.
Aceite y filtros le quedan 3 mil kilómetros.
Y los 4 neumáticos entre 80/90%
Le suena un poco el turbo, pero el coche funciona perfectamente
De pintura hay que mimarlo un poco, duerme en la calle. 
Ver y probar 
</t>
        </is>
      </c>
      <c r="AZ251" s="2" t="inlineStr">
        <is>
          <t>https://es.wallapop.com/item/seat-ibiza-2008-1306122565 (__NEXT_DATA__ item) /home/user/Alopecia/buscador-coches/raw/wallapop/d5cefc2b4c98b1fa.json</t>
        </is>
      </c>
      <c r="BA251" s="3">
        <f>MAX(ANIO_ACTUAL-M251,0)</f>
        <v/>
      </c>
      <c r="BB251" s="4">
        <f>N251/MAX(BA251,0.5)</f>
        <v/>
      </c>
      <c r="BC251" s="4">
        <f>F251</f>
        <v/>
      </c>
      <c r="BD251" s="3">
        <f>BC251&amp;"|"&amp;INT(M251/SEG_ANIO)*SEG_ANIO</f>
        <v/>
      </c>
      <c r="BE251" s="3">
        <f>BD251&amp;"|"&amp;INT(N251/SEG_KM)*SEG_KM</f>
        <v/>
      </c>
      <c r="BF251" s="4">
        <f>COUNTIF($BC$2:$BC$545,BC251)</f>
        <v/>
      </c>
      <c r="BG251" s="4">
        <f>COUNTIF($BD$2:$BD$545,BD251)</f>
        <v/>
      </c>
      <c r="BH251" s="4">
        <f>COUNTIF($BE$2:$BE$545,BE251)</f>
        <v/>
      </c>
      <c r="BI251" s="3">
        <f t="array" ref="BI251">IF(N(AU251)&gt;=MIN_N,AT251,IF(BH251&gt;=MIN_N,MEDIAN(IF($BE$2:$BE$545=BE251,$O$2:$O$545)),IF(BG251&gt;=MIN_N,MEDIAN(IF($BD$2:$BD$545=BD251,$O$2:$O$545)),MEDIAN(IF($BC$2:$BC$545=BC251,$O$2:$O$545)))))</f>
        <v/>
      </c>
      <c r="BJ251" s="3">
        <f>IF(N(AU251)&gt;=MIN_N,"mercado "&amp;AV251,IF(BH251&gt;=MIN_N,"modelo+año+km",IF(BG251&gt;=MIN_N,"modelo+año","modelo")))</f>
        <v/>
      </c>
      <c r="BK251" s="4">
        <f>(BI251-O251)/BI251</f>
        <v/>
      </c>
      <c r="BL251" s="3">
        <f>IF(COUNTIFS(FR_FUEL,K251,FR_YEAR,AP251)&gt;0,1,0)</f>
        <v/>
      </c>
      <c r="BM251" s="3">
        <f>IF(COUNTIFS(FR_FUEL,K251,FR_YEAR,AP251-1)&gt;0,1,0)</f>
        <v/>
      </c>
      <c r="BN251" s="4">
        <f>IF(N(AQ251)&gt;0,AP251*100+AQ251,IF(AND(BL251=1,BM251=1),(AP251-1)*100+1,AP251*100+1))</f>
        <v/>
      </c>
      <c r="BO251" s="3">
        <f>IF(OR(K251="hibrido",K251="glp",K251="gnc",K251="phev"),"ECO",IF(K251="electrico","CERO",IF(K251="gasolina",IF(BN251&gt;=GAS_C_YM,"C",IF(BN251&gt;=GAS_B_YM,"B","A")),IF(K251="diesel",IF(BN251&gt;=DIE_C_YM,"C",IF(BN251&gt;=DIE_B_YM,"B","A")),""))))</f>
        <v/>
      </c>
      <c r="BP251" s="4">
        <f>BO251</f>
        <v/>
      </c>
      <c r="BQ251" s="4">
        <f>IF(AS251="regla",IF(AND(N(AQ251)=0,BL251=1),"sí","no"),"no")</f>
        <v/>
      </c>
      <c r="BR251" s="3">
        <f>IFERROR(VLOOKUP(F251,MOD_TBL,11,0),IFERROR(VLOOKUP(E251,OCU_TBL,2,0),NEUTRO))</f>
        <v/>
      </c>
      <c r="BS251" s="3">
        <f>SUMIFS(MOT_AJUSTE,MOT_MOTOR,G251,MOT_MARCA,E251,MOT_DESDE,"&lt;="&amp;M251,MOT_HASTA,"&gt;="&amp;M251)+SUMIFS(MOT_AJUSTE,MOT_MOTOR,G251,MOT_MARCA,"(todas)",MOT_DESDE,"&lt;="&amp;M251,MOT_HASTA,"&gt;="&amp;M251)</f>
        <v/>
      </c>
      <c r="BT251" s="3">
        <f>SUMIFS(COMB_AJUSTE,COMB_COMB,K251)</f>
        <v/>
      </c>
      <c r="BU251" s="3">
        <f>COUNTIFS(MOT_MOTOR,G251,MOT_MARCA,E251,MOT_DESDE,"&lt;="&amp;M251,MOT_HASTA,"&gt;="&amp;M251)+COUNTIFS(MOT_MOTOR,G251,MOT_MARCA,"(todas)",MOT_DESDE,"&lt;="&amp;M251,MOT_HASTA,"&gt;="&amp;M251)</f>
        <v/>
      </c>
      <c r="BV251" s="3">
        <f>IF(AND(K251="diesel",BU251=0),MIN(BR251,NEUTRO),BR251)</f>
        <v/>
      </c>
      <c r="BW251" s="4">
        <f>MAX(0,MIN(100,BV251+BS251+BT251))</f>
        <v/>
      </c>
      <c r="BX251" s="3">
        <f>MAX(0,MIN(100,50+BK251*PRECIO_PEND))</f>
        <v/>
      </c>
      <c r="BY251" s="3">
        <f>MAX(0,100*(1-N251/KM_MAX))</f>
        <v/>
      </c>
      <c r="BZ251" s="3">
        <f>IF(BB251&lt;KMA_SOSP,IF(AA251="sí",100,KMA_PEN),IF(BB251&lt;=KMA_IDEAL_MAX,100,MAX(0,100*(KMA_CERO-BB251)/(KMA_CERO-KMA_IDEAL_MAX))))</f>
        <v/>
      </c>
      <c r="CA251" s="3">
        <f>MAX(0,MIN(100,100*(M251-ANIO_MIN)/(ANIO_ACTUAL-ANIO_MIN)))</f>
        <v/>
      </c>
      <c r="CB251" s="3">
        <f>W_KMT*BY251+W_KMA*BZ251+W_EDAD*CA251</f>
        <v/>
      </c>
      <c r="CC251" s="3">
        <f>P_ITV*(V251="sí")+P_LIBRO*(W251="sí")+P_CORREA*(X251="sí")+P_PROP*(Y251=1)+P_GAR*(Z251="sí")+P_FOTOS*MIN(1,N(U251)/FOTOS_OBJ)</f>
        <v/>
      </c>
      <c r="CD251" s="3">
        <f>MAX(0,MIN(100,IFERROR(VLOOKUP(BP251,ETQ_TBL,2,0),0)-IF(BQ251="sí",ETQ_PEN_DUD,IF(AS251="regla",ETQ_PEN_REGLA,0))))</f>
        <v/>
      </c>
      <c r="CE251" s="3">
        <f>NEUTRO</f>
        <v/>
      </c>
      <c r="CF251" s="3">
        <f>IFERROR(VLOOKUP(L251,SEGURO_TBL,3,0),"")</f>
        <v/>
      </c>
      <c r="CG251" s="3">
        <f>IF(CF251="",NEUTRO,MAX(0,MIN(100,100*(SEG_REF_MAX-CF251)/(SEG_REF_MAX-SEG_REF_MIN))))</f>
        <v/>
      </c>
      <c r="CH251" s="3">
        <f>W_CONS*CE251+W_SEG*CG251</f>
        <v/>
      </c>
      <c r="CI251" s="3">
        <f>IF(N(AB251)&gt;0,AB251,IF(AND(R251="profesional",SG_LEGAL_ON=1),GAR_LEGAL,0))</f>
        <v/>
      </c>
      <c r="CJ251" s="3">
        <f>SG_GAR*MIN(1,CI251/SG_GAR_FULL)+SG_AMPL*(AC251="sí")+SG_KMC*(AF251="sí")+SG_REV*(N(AE251)&gt;0)+SG_DEV*MIN(1,N(AG251)/SG_DEV_FULL)+SG_HIST*(W251="sí")</f>
        <v/>
      </c>
      <c r="CK251" s="3">
        <f>IFERROR(VLOOKUP(L251,CARR_PEN_TBL,2,0),0)</f>
        <v/>
      </c>
      <c r="CL251" s="3">
        <f>W_FIAB*BW251+W_PRECIO*BX251+W_KMEDAD*CB251+W_ANUNCIO*CC251+W_USO*CH251+W_SEGURIDAD*CJ251+W_ETIQUETA*CD251-CK251</f>
        <v/>
      </c>
      <c r="CM251" s="4">
        <f>IF(N(I251)&gt;0,I251,IFERROR(ROUND(_xlfn.NUMBERVALUE(LEFT(G251,FIND(" ",G251&amp;" ")-1),".")*1000,0),99999))</f>
        <v/>
      </c>
      <c r="CN251" s="3">
        <f>IF(R251="profesional",0,IF(O251&lt;CUOTA_VALOR_MAX,IF(BA251&gt;ITP_TRAMO_ALTO,SUMIFS(CF_CUOTA,CF_MAS,ITP_TRAMO_ALTO,CF_CCMIN,"&lt;="&amp;CM251,CF_CCMAX,"&gt;="&amp;CM251),IF(BA251&gt;ITP_TRAMO_BAJO,SUMIFS(CF_CUOTA,CF_MAS,ITP_TRAMO_BAJO,CF_CCMIN,"&lt;="&amp;CM251,CF_CCMAX,"&gt;="&amp;CM251),O251*ITP_TIPO)),O251*ITP_TIPO))</f>
        <v/>
      </c>
      <c r="CO251" s="4">
        <f>IF(R251="profesional",N(AK251),0)</f>
        <v/>
      </c>
      <c r="CP251" s="3">
        <f>IF(AND(R251="profesional",ISNUMBER(AK251),AL251="sí"),0,TASA_DGT)</f>
        <v/>
      </c>
      <c r="CQ251" s="3">
        <f>INFORME_DGT</f>
        <v/>
      </c>
      <c r="CR251" s="4">
        <f>O251+CO251+CN251+CP251+CQ251</f>
        <v/>
      </c>
      <c r="CS251" s="4">
        <f>CR251+N(CF251)</f>
        <v/>
      </c>
      <c r="CT251" s="3">
        <f>IF(CR251&lt;=TOTAL_MAX,"sí",IF(CR251&lt;=TOTAL_MAX+MARGEN_NEG,"negociar","no"))</f>
        <v/>
      </c>
      <c r="CU251" s="4">
        <f>IF(CT251&lt;&gt;"no",COUNTIFS($CT$2:$CT$545,"&lt;&gt;no",$CL$2:$CL$545,"&gt;"&amp;CL251)+COUNTIFS($CT$2:CT251,"&lt;&gt;no",$CL$2:CL251,CL251),"")</f>
        <v/>
      </c>
    </row>
    <row r="252">
      <c r="A252" s="2" t="inlineStr">
        <is>
          <t>wallapop:1316858354</t>
        </is>
      </c>
      <c r="B252" s="2" t="inlineStr">
        <is>
          <t>wallapop</t>
        </is>
      </c>
      <c r="C252" s="2" t="inlineStr">
        <is>
          <t>https://es.wallapop.com/item/seat-leon-2006-1316858354</t>
        </is>
      </c>
      <c r="D252" s="2" t="inlineStr">
        <is>
          <t>SEAT Leon 2006</t>
        </is>
      </c>
      <c r="E252" s="2" t="inlineStr">
        <is>
          <t>Seat</t>
        </is>
      </c>
      <c r="F252" s="2" t="inlineStr">
        <is>
          <t>Seat León</t>
        </is>
      </c>
      <c r="G252" s="2" t="inlineStr">
        <is>
          <t>1.9 TDI</t>
        </is>
      </c>
      <c r="H252" s="2" t="inlineStr">
        <is>
          <t>1.9 TDI 105 Reference 5p</t>
        </is>
      </c>
      <c r="I252" s="2" t="n"/>
      <c r="J252" s="2" t="n">
        <v>105</v>
      </c>
      <c r="K252" s="2" t="inlineStr">
        <is>
          <t>diesel</t>
        </is>
      </c>
      <c r="L252" s="2" t="inlineStr">
        <is>
          <t>compacto</t>
        </is>
      </c>
      <c r="M252" s="2" t="n">
        <v>2006</v>
      </c>
      <c r="N252" s="2" t="n">
        <v>33000</v>
      </c>
      <c r="O252" s="2" t="n">
        <v>3700</v>
      </c>
      <c r="P252" s="2" t="inlineStr">
        <is>
          <t>manual</t>
        </is>
      </c>
      <c r="Q252" s="2" t="inlineStr">
        <is>
          <t>no</t>
        </is>
      </c>
      <c r="R252" s="2" t="inlineStr">
        <is>
          <t>particular</t>
        </is>
      </c>
      <c r="S252" s="2" t="inlineStr">
        <is>
          <t>Valencia (46003)</t>
        </is>
      </c>
      <c r="T252" s="2" t="inlineStr">
        <is>
          <t>2026-10-24T23:25:06</t>
        </is>
      </c>
      <c r="U252" s="2" t="n">
        <v>8</v>
      </c>
      <c r="V252" s="2" t="n"/>
      <c r="W252" s="2" t="n"/>
      <c r="X252" s="2" t="n"/>
      <c r="Y252" s="2" t="n"/>
      <c r="Z252" s="2" t="n"/>
      <c r="AA252" s="2" t="n"/>
      <c r="AB252" s="2" t="n"/>
      <c r="AC252" s="2" t="n"/>
      <c r="AD252" s="2" t="n"/>
      <c r="AE252" s="2" t="n"/>
      <c r="AF252" s="2" t="n"/>
      <c r="AG252" s="2" t="n"/>
      <c r="AH252" s="2" t="n"/>
      <c r="AI252" s="2" t="n"/>
      <c r="AJ252" s="2" t="n"/>
      <c r="AK252" s="2" t="n"/>
      <c r="AL252" s="2" t="n"/>
      <c r="AM252" s="2" t="n">
        <v>0.8</v>
      </c>
      <c r="AN252" s="2" t="n"/>
      <c r="AO252" s="2" t="inlineStr">
        <is>
          <t>2006</t>
        </is>
      </c>
      <c r="AP252" s="2" t="n">
        <v>2006</v>
      </c>
      <c r="AQ252" s="2" t="n"/>
      <c r="AR252" s="2" t="n"/>
      <c r="AS252" s="2" t="inlineStr">
        <is>
          <t>regla</t>
        </is>
      </c>
      <c r="AT252" s="2" t="n">
        <v>3200</v>
      </c>
      <c r="AU252" s="2" t="n">
        <v>28</v>
      </c>
      <c r="AV252" s="2" t="inlineStr">
        <is>
          <t>modelo+año</t>
        </is>
      </c>
      <c r="AW252" s="2" t="n"/>
      <c r="AX252" s="2" t="inlineStr">
        <is>
          <t>etiqueta A dudosa: confirmar etiqueta con la DGT antes de comprar; cuota fija ITP: &gt;12 años, 1.501-2.000 cc; diésel: motor sin fuente de fiabilidad (fiabilidad limitada a neutra)</t>
        </is>
      </c>
      <c r="AY252" s="2" t="inlineStr">
        <is>
          <t xml:space="preserve">En buen estado </t>
        </is>
      </c>
      <c r="AZ252" s="2" t="inlineStr">
        <is>
          <t>https://es.wallapop.com/item/seat-leon-2006-1316858354 (__NEXT_DATA__ item) /home/user/Alopecia/buscador-coches/raw/wallapop/fc17b5e282d802ce.json</t>
        </is>
      </c>
      <c r="BA252" s="3">
        <f>MAX(ANIO_ACTUAL-M252,0)</f>
        <v/>
      </c>
      <c r="BB252" s="4">
        <f>N252/MAX(BA252,0.5)</f>
        <v/>
      </c>
      <c r="BC252" s="4">
        <f>F252</f>
        <v/>
      </c>
      <c r="BD252" s="3">
        <f>BC252&amp;"|"&amp;INT(M252/SEG_ANIO)*SEG_ANIO</f>
        <v/>
      </c>
      <c r="BE252" s="3">
        <f>BD252&amp;"|"&amp;INT(N252/SEG_KM)*SEG_KM</f>
        <v/>
      </c>
      <c r="BF252" s="4">
        <f>COUNTIF($BC$2:$BC$545,BC252)</f>
        <v/>
      </c>
      <c r="BG252" s="4">
        <f>COUNTIF($BD$2:$BD$545,BD252)</f>
        <v/>
      </c>
      <c r="BH252" s="4">
        <f>COUNTIF($BE$2:$BE$545,BE252)</f>
        <v/>
      </c>
      <c r="BI252" s="3">
        <f t="array" ref="BI252">IF(N(AU252)&gt;=MIN_N,AT252,IF(BH252&gt;=MIN_N,MEDIAN(IF($BE$2:$BE$545=BE252,$O$2:$O$545)),IF(BG252&gt;=MIN_N,MEDIAN(IF($BD$2:$BD$545=BD252,$O$2:$O$545)),MEDIAN(IF($BC$2:$BC$545=BC252,$O$2:$O$545)))))</f>
        <v/>
      </c>
      <c r="BJ252" s="3">
        <f>IF(N(AU252)&gt;=MIN_N,"mercado "&amp;AV252,IF(BH252&gt;=MIN_N,"modelo+año+km",IF(BG252&gt;=MIN_N,"modelo+año","modelo")))</f>
        <v/>
      </c>
      <c r="BK252" s="4">
        <f>(BI252-O252)/BI252</f>
        <v/>
      </c>
      <c r="BL252" s="3">
        <f>IF(COUNTIFS(FR_FUEL,K252,FR_YEAR,AP252)&gt;0,1,0)</f>
        <v/>
      </c>
      <c r="BM252" s="3">
        <f>IF(COUNTIFS(FR_FUEL,K252,FR_YEAR,AP252-1)&gt;0,1,0)</f>
        <v/>
      </c>
      <c r="BN252" s="4">
        <f>IF(N(AQ252)&gt;0,AP252*100+AQ252,IF(AND(BL252=1,BM252=1),(AP252-1)*100+1,AP252*100+1))</f>
        <v/>
      </c>
      <c r="BO252" s="3">
        <f>IF(OR(K252="hibrido",K252="glp",K252="gnc",K252="phev"),"ECO",IF(K252="electrico","CERO",IF(K252="gasolina",IF(BN252&gt;=GAS_C_YM,"C",IF(BN252&gt;=GAS_B_YM,"B","A")),IF(K252="diesel",IF(BN252&gt;=DIE_C_YM,"C",IF(BN252&gt;=DIE_B_YM,"B","A")),""))))</f>
        <v/>
      </c>
      <c r="BP252" s="4">
        <f>BO252</f>
        <v/>
      </c>
      <c r="BQ252" s="4">
        <f>IF(AS252="regla",IF(AND(N(AQ252)=0,BL252=1),"sí","no"),"no")</f>
        <v/>
      </c>
      <c r="BR252" s="3">
        <f>IFERROR(VLOOKUP(F252,MOD_TBL,11,0),IFERROR(VLOOKUP(E252,OCU_TBL,2,0),NEUTRO))</f>
        <v/>
      </c>
      <c r="BS252" s="3">
        <f>SUMIFS(MOT_AJUSTE,MOT_MOTOR,G252,MOT_MARCA,E252,MOT_DESDE,"&lt;="&amp;M252,MOT_HASTA,"&gt;="&amp;M252)+SUMIFS(MOT_AJUSTE,MOT_MOTOR,G252,MOT_MARCA,"(todas)",MOT_DESDE,"&lt;="&amp;M252,MOT_HASTA,"&gt;="&amp;M252)</f>
        <v/>
      </c>
      <c r="BT252" s="3">
        <f>SUMIFS(COMB_AJUSTE,COMB_COMB,K252)</f>
        <v/>
      </c>
      <c r="BU252" s="3">
        <f>COUNTIFS(MOT_MOTOR,G252,MOT_MARCA,E252,MOT_DESDE,"&lt;="&amp;M252,MOT_HASTA,"&gt;="&amp;M252)+COUNTIFS(MOT_MOTOR,G252,MOT_MARCA,"(todas)",MOT_DESDE,"&lt;="&amp;M252,MOT_HASTA,"&gt;="&amp;M252)</f>
        <v/>
      </c>
      <c r="BV252" s="3">
        <f>IF(AND(K252="diesel",BU252=0),MIN(BR252,NEUTRO),BR252)</f>
        <v/>
      </c>
      <c r="BW252" s="4">
        <f>MAX(0,MIN(100,BV252+BS252+BT252))</f>
        <v/>
      </c>
      <c r="BX252" s="3">
        <f>MAX(0,MIN(100,50+BK252*PRECIO_PEND))</f>
        <v/>
      </c>
      <c r="BY252" s="3">
        <f>MAX(0,100*(1-N252/KM_MAX))</f>
        <v/>
      </c>
      <c r="BZ252" s="3">
        <f>IF(BB252&lt;KMA_SOSP,IF(AA252="sí",100,KMA_PEN),IF(BB252&lt;=KMA_IDEAL_MAX,100,MAX(0,100*(KMA_CERO-BB252)/(KMA_CERO-KMA_IDEAL_MAX))))</f>
        <v/>
      </c>
      <c r="CA252" s="3">
        <f>MAX(0,MIN(100,100*(M252-ANIO_MIN)/(ANIO_ACTUAL-ANIO_MIN)))</f>
        <v/>
      </c>
      <c r="CB252" s="3">
        <f>W_KMT*BY252+W_KMA*BZ252+W_EDAD*CA252</f>
        <v/>
      </c>
      <c r="CC252" s="3">
        <f>P_ITV*(V252="sí")+P_LIBRO*(W252="sí")+P_CORREA*(X252="sí")+P_PROP*(Y252=1)+P_GAR*(Z252="sí")+P_FOTOS*MIN(1,N(U252)/FOTOS_OBJ)</f>
        <v/>
      </c>
      <c r="CD252" s="3">
        <f>MAX(0,MIN(100,IFERROR(VLOOKUP(BP252,ETQ_TBL,2,0),0)-IF(BQ252="sí",ETQ_PEN_DUD,IF(AS252="regla",ETQ_PEN_REGLA,0))))</f>
        <v/>
      </c>
      <c r="CE252" s="3">
        <f>NEUTRO</f>
        <v/>
      </c>
      <c r="CF252" s="3">
        <f>IFERROR(VLOOKUP(L252,SEGURO_TBL,3,0),"")</f>
        <v/>
      </c>
      <c r="CG252" s="3">
        <f>IF(CF252="",NEUTRO,MAX(0,MIN(100,100*(SEG_REF_MAX-CF252)/(SEG_REF_MAX-SEG_REF_MIN))))</f>
        <v/>
      </c>
      <c r="CH252" s="3">
        <f>W_CONS*CE252+W_SEG*CG252</f>
        <v/>
      </c>
      <c r="CI252" s="3">
        <f>IF(N(AB252)&gt;0,AB252,IF(AND(R252="profesional",SG_LEGAL_ON=1),GAR_LEGAL,0))</f>
        <v/>
      </c>
      <c r="CJ252" s="3">
        <f>SG_GAR*MIN(1,CI252/SG_GAR_FULL)+SG_AMPL*(AC252="sí")+SG_KMC*(AF252="sí")+SG_REV*(N(AE252)&gt;0)+SG_DEV*MIN(1,N(AG252)/SG_DEV_FULL)+SG_HIST*(W252="sí")</f>
        <v/>
      </c>
      <c r="CK252" s="3">
        <f>IFERROR(VLOOKUP(L252,CARR_PEN_TBL,2,0),0)</f>
        <v/>
      </c>
      <c r="CL252" s="3">
        <f>W_FIAB*BW252+W_PRECIO*BX252+W_KMEDAD*CB252+W_ANUNCIO*CC252+W_USO*CH252+W_SEGURIDAD*CJ252+W_ETIQUETA*CD252-CK252</f>
        <v/>
      </c>
      <c r="CM252" s="4">
        <f>IF(N(I252)&gt;0,I252,IFERROR(ROUND(_xlfn.NUMBERVALUE(LEFT(G252,FIND(" ",G252&amp;" ")-1),".")*1000,0),99999))</f>
        <v/>
      </c>
      <c r="CN252" s="3">
        <f>IF(R252="profesional",0,IF(O252&lt;CUOTA_VALOR_MAX,IF(BA252&gt;ITP_TRAMO_ALTO,SUMIFS(CF_CUOTA,CF_MAS,ITP_TRAMO_ALTO,CF_CCMIN,"&lt;="&amp;CM252,CF_CCMAX,"&gt;="&amp;CM252),IF(BA252&gt;ITP_TRAMO_BAJO,SUMIFS(CF_CUOTA,CF_MAS,ITP_TRAMO_BAJO,CF_CCMIN,"&lt;="&amp;CM252,CF_CCMAX,"&gt;="&amp;CM252),O252*ITP_TIPO)),O252*ITP_TIPO))</f>
        <v/>
      </c>
      <c r="CO252" s="4">
        <f>IF(R252="profesional",N(AK252),0)</f>
        <v/>
      </c>
      <c r="CP252" s="3">
        <f>IF(AND(R252="profesional",ISNUMBER(AK252),AL252="sí"),0,TASA_DGT)</f>
        <v/>
      </c>
      <c r="CQ252" s="3">
        <f>INFORME_DGT</f>
        <v/>
      </c>
      <c r="CR252" s="4">
        <f>O252+CO252+CN252+CP252+CQ252</f>
        <v/>
      </c>
      <c r="CS252" s="4">
        <f>CR252+N(CF252)</f>
        <v/>
      </c>
      <c r="CT252" s="3">
        <f>IF(CR252&lt;=TOTAL_MAX,"sí",IF(CR252&lt;=TOTAL_MAX+MARGEN_NEG,"negociar","no"))</f>
        <v/>
      </c>
      <c r="CU252" s="4">
        <f>IF(CT252&lt;&gt;"no",COUNTIFS($CT$2:$CT$545,"&lt;&gt;no",$CL$2:$CL$545,"&gt;"&amp;CL252)+COUNTIFS($CT$2:CT252,"&lt;&gt;no",$CL$2:CL252,CL252),"")</f>
        <v/>
      </c>
    </row>
    <row r="253">
      <c r="A253" s="2" t="inlineStr">
        <is>
          <t>wallapop:1287440903</t>
        </is>
      </c>
      <c r="B253" s="2" t="inlineStr">
        <is>
          <t>wallapop</t>
        </is>
      </c>
      <c r="C253" s="2" t="inlineStr">
        <is>
          <t>https://es.wallapop.com/item/seat-leon-2007-1287440903</t>
        </is>
      </c>
      <c r="D253" s="2" t="inlineStr">
        <is>
          <t>SEAT Leon 2007</t>
        </is>
      </c>
      <c r="E253" s="2" t="inlineStr">
        <is>
          <t>Seat</t>
        </is>
      </c>
      <c r="F253" s="2" t="inlineStr">
        <is>
          <t>Seat León</t>
        </is>
      </c>
      <c r="G253" s="2" t="inlineStr">
        <is>
          <t>2.0 TDI</t>
        </is>
      </c>
      <c r="H253" s="2" t="inlineStr">
        <is>
          <t>2.0 TDI 170 FR 5p DPF</t>
        </is>
      </c>
      <c r="I253" s="2" t="n"/>
      <c r="J253" s="2" t="n">
        <v>170</v>
      </c>
      <c r="K253" s="2" t="inlineStr">
        <is>
          <t>diesel</t>
        </is>
      </c>
      <c r="L253" s="2" t="inlineStr">
        <is>
          <t>compacto</t>
        </is>
      </c>
      <c r="M253" s="2" t="n">
        <v>2007</v>
      </c>
      <c r="N253" s="2" t="n">
        <v>220000</v>
      </c>
      <c r="O253" s="2" t="n">
        <v>4500</v>
      </c>
      <c r="P253" s="2" t="inlineStr">
        <is>
          <t>manual</t>
        </is>
      </c>
      <c r="Q253" s="2" t="inlineStr">
        <is>
          <t>no</t>
        </is>
      </c>
      <c r="R253" s="2" t="inlineStr">
        <is>
          <t>particular</t>
        </is>
      </c>
      <c r="S253" s="2" t="inlineStr">
        <is>
          <t>Paterna (46980)</t>
        </is>
      </c>
      <c r="T253" s="2" t="inlineStr">
        <is>
          <t>2026-10-17T21:34:26</t>
        </is>
      </c>
      <c r="U253" s="2" t="n">
        <v>10</v>
      </c>
      <c r="V253" s="2" t="inlineStr">
        <is>
          <t>sí</t>
        </is>
      </c>
      <c r="W253" s="2" t="inlineStr">
        <is>
          <t>sí</t>
        </is>
      </c>
      <c r="X253" s="2" t="n"/>
      <c r="Y253" s="2" t="n">
        <v>2</v>
      </c>
      <c r="Z253" s="2" t="n"/>
      <c r="AA253" s="2" t="n"/>
      <c r="AB253" s="2" t="n"/>
      <c r="AC253" s="2" t="n"/>
      <c r="AD253" s="2" t="n"/>
      <c r="AE253" s="2" t="n"/>
      <c r="AF253" s="2" t="n"/>
      <c r="AG253" s="2" t="n"/>
      <c r="AH253" s="2" t="n"/>
      <c r="AI253" s="2" t="n"/>
      <c r="AJ253" s="2" t="n"/>
      <c r="AK253" s="2" t="n"/>
      <c r="AL253" s="2" t="n"/>
      <c r="AM253" s="2" t="n">
        <v>7.1</v>
      </c>
      <c r="AN253" s="2" t="n"/>
      <c r="AO253" s="2" t="inlineStr">
        <is>
          <t>2007</t>
        </is>
      </c>
      <c r="AP253" s="2" t="n">
        <v>2007</v>
      </c>
      <c r="AQ253" s="2" t="n"/>
      <c r="AR253" s="2" t="n"/>
      <c r="AS253" s="2" t="inlineStr">
        <is>
          <t>regla</t>
        </is>
      </c>
      <c r="AT253" s="2" t="n">
        <v>4500</v>
      </c>
      <c r="AU253" s="2" t="n">
        <v>10</v>
      </c>
      <c r="AV253" s="2" t="inlineStr">
        <is>
          <t>modelo+año+km</t>
        </is>
      </c>
      <c r="AW253" s="2" t="n"/>
      <c r="AX253" s="2" t="inlineStr">
        <is>
          <t>cuota fija ITP: &gt;12 años, 1.501-2.000 cc; diésel: motor sin fuente de fiabilidad (fiabilidad limitada a neutra)</t>
        </is>
      </c>
      <c r="AY253" s="2" t="inlineStr">
        <is>
          <t>Se vende magnifico seat leon 2.0 170cv diesel con mantenimiento al dia.
Filtros y aceite, discos y pastillas delanteros y liquido de frenos, techo recien tapizado, bateria varta nueva, neumaticos michelin  pilot sport 5 , las 2 cerraduras de las puertas del copiloto nuevas,  correa de distribucion y bomba de agua realizada en concesionario seat, los 2 brazos de suspension delanteros, el aire enfria de categoria, itv al dia, consumo 5L/100 un mechero, kilometros por carretera,pantalla, paragolpes de cupra, control crucero, volante multifuncion, escape original de seat, Solo 2 propietarios, 2 llaves,tengo facturas de todo, se vende por aumento de familia y compra de vehiculo nuevo, tiene desperfectos de chapa del paso de los años (nada grave).
Precio algo negociable.</t>
        </is>
      </c>
      <c r="AZ253" s="2" t="inlineStr">
        <is>
          <t>https://es.wallapop.com/item/seat-leon-2007-1287440903 (__NEXT_DATA__ item) /home/user/Alopecia/buscador-coches/raw/wallapop/c0ea394dc7f34b2c.json</t>
        </is>
      </c>
      <c r="BA253" s="3">
        <f>MAX(ANIO_ACTUAL-M253,0)</f>
        <v/>
      </c>
      <c r="BB253" s="4">
        <f>N253/MAX(BA253,0.5)</f>
        <v/>
      </c>
      <c r="BC253" s="4">
        <f>F253</f>
        <v/>
      </c>
      <c r="BD253" s="3">
        <f>BC253&amp;"|"&amp;INT(M253/SEG_ANIO)*SEG_ANIO</f>
        <v/>
      </c>
      <c r="BE253" s="3">
        <f>BD253&amp;"|"&amp;INT(N253/SEG_KM)*SEG_KM</f>
        <v/>
      </c>
      <c r="BF253" s="4">
        <f>COUNTIF($BC$2:$BC$545,BC253)</f>
        <v/>
      </c>
      <c r="BG253" s="4">
        <f>COUNTIF($BD$2:$BD$545,BD253)</f>
        <v/>
      </c>
      <c r="BH253" s="4">
        <f>COUNTIF($BE$2:$BE$545,BE253)</f>
        <v/>
      </c>
      <c r="BI253" s="3">
        <f t="array" ref="BI253">IF(N(AU253)&gt;=MIN_N,AT253,IF(BH253&gt;=MIN_N,MEDIAN(IF($BE$2:$BE$545=BE253,$O$2:$O$545)),IF(BG253&gt;=MIN_N,MEDIAN(IF($BD$2:$BD$545=BD253,$O$2:$O$545)),MEDIAN(IF($BC$2:$BC$545=BC253,$O$2:$O$545)))))</f>
        <v/>
      </c>
      <c r="BJ253" s="3">
        <f>IF(N(AU253)&gt;=MIN_N,"mercado "&amp;AV253,IF(BH253&gt;=MIN_N,"modelo+año+km",IF(BG253&gt;=MIN_N,"modelo+año","modelo")))</f>
        <v/>
      </c>
      <c r="BK253" s="4">
        <f>(BI253-O253)/BI253</f>
        <v/>
      </c>
      <c r="BL253" s="3">
        <f>IF(COUNTIFS(FR_FUEL,K253,FR_YEAR,AP253)&gt;0,1,0)</f>
        <v/>
      </c>
      <c r="BM253" s="3">
        <f>IF(COUNTIFS(FR_FUEL,K253,FR_YEAR,AP253-1)&gt;0,1,0)</f>
        <v/>
      </c>
      <c r="BN253" s="4">
        <f>IF(N(AQ253)&gt;0,AP253*100+AQ253,IF(AND(BL253=1,BM253=1),(AP253-1)*100+1,AP253*100+1))</f>
        <v/>
      </c>
      <c r="BO253" s="3">
        <f>IF(OR(K253="hibrido",K253="glp",K253="gnc",K253="phev"),"ECO",IF(K253="electrico","CERO",IF(K253="gasolina",IF(BN253&gt;=GAS_C_YM,"C",IF(BN253&gt;=GAS_B_YM,"B","A")),IF(K253="diesel",IF(BN253&gt;=DIE_C_YM,"C",IF(BN253&gt;=DIE_B_YM,"B","A")),""))))</f>
        <v/>
      </c>
      <c r="BP253" s="4">
        <f>BO253</f>
        <v/>
      </c>
      <c r="BQ253" s="4">
        <f>IF(AS253="regla",IF(AND(N(AQ253)=0,BL253=1),"sí","no"),"no")</f>
        <v/>
      </c>
      <c r="BR253" s="3">
        <f>IFERROR(VLOOKUP(F253,MOD_TBL,11,0),IFERROR(VLOOKUP(E253,OCU_TBL,2,0),NEUTRO))</f>
        <v/>
      </c>
      <c r="BS253" s="3">
        <f>SUMIFS(MOT_AJUSTE,MOT_MOTOR,G253,MOT_MARCA,E253,MOT_DESDE,"&lt;="&amp;M253,MOT_HASTA,"&gt;="&amp;M253)+SUMIFS(MOT_AJUSTE,MOT_MOTOR,G253,MOT_MARCA,"(todas)",MOT_DESDE,"&lt;="&amp;M253,MOT_HASTA,"&gt;="&amp;M253)</f>
        <v/>
      </c>
      <c r="BT253" s="3">
        <f>SUMIFS(COMB_AJUSTE,COMB_COMB,K253)</f>
        <v/>
      </c>
      <c r="BU253" s="3">
        <f>COUNTIFS(MOT_MOTOR,G253,MOT_MARCA,E253,MOT_DESDE,"&lt;="&amp;M253,MOT_HASTA,"&gt;="&amp;M253)+COUNTIFS(MOT_MOTOR,G253,MOT_MARCA,"(todas)",MOT_DESDE,"&lt;="&amp;M253,MOT_HASTA,"&gt;="&amp;M253)</f>
        <v/>
      </c>
      <c r="BV253" s="3">
        <f>IF(AND(K253="diesel",BU253=0),MIN(BR253,NEUTRO),BR253)</f>
        <v/>
      </c>
      <c r="BW253" s="4">
        <f>MAX(0,MIN(100,BV253+BS253+BT253))</f>
        <v/>
      </c>
      <c r="BX253" s="3">
        <f>MAX(0,MIN(100,50+BK253*PRECIO_PEND))</f>
        <v/>
      </c>
      <c r="BY253" s="3">
        <f>MAX(0,100*(1-N253/KM_MAX))</f>
        <v/>
      </c>
      <c r="BZ253" s="3">
        <f>IF(BB253&lt;KMA_SOSP,IF(AA253="sí",100,KMA_PEN),IF(BB253&lt;=KMA_IDEAL_MAX,100,MAX(0,100*(KMA_CERO-BB253)/(KMA_CERO-KMA_IDEAL_MAX))))</f>
        <v/>
      </c>
      <c r="CA253" s="3">
        <f>MAX(0,MIN(100,100*(M253-ANIO_MIN)/(ANIO_ACTUAL-ANIO_MIN)))</f>
        <v/>
      </c>
      <c r="CB253" s="3">
        <f>W_KMT*BY253+W_KMA*BZ253+W_EDAD*CA253</f>
        <v/>
      </c>
      <c r="CC253" s="3">
        <f>P_ITV*(V253="sí")+P_LIBRO*(W253="sí")+P_CORREA*(X253="sí")+P_PROP*(Y253=1)+P_GAR*(Z253="sí")+P_FOTOS*MIN(1,N(U253)/FOTOS_OBJ)</f>
        <v/>
      </c>
      <c r="CD253" s="3">
        <f>MAX(0,MIN(100,IFERROR(VLOOKUP(BP253,ETQ_TBL,2,0),0)-IF(BQ253="sí",ETQ_PEN_DUD,IF(AS253="regla",ETQ_PEN_REGLA,0))))</f>
        <v/>
      </c>
      <c r="CE253" s="3">
        <f>NEUTRO</f>
        <v/>
      </c>
      <c r="CF253" s="3">
        <f>IFERROR(VLOOKUP(L253,SEGURO_TBL,3,0),"")</f>
        <v/>
      </c>
      <c r="CG253" s="3">
        <f>IF(CF253="",NEUTRO,MAX(0,MIN(100,100*(SEG_REF_MAX-CF253)/(SEG_REF_MAX-SEG_REF_MIN))))</f>
        <v/>
      </c>
      <c r="CH253" s="3">
        <f>W_CONS*CE253+W_SEG*CG253</f>
        <v/>
      </c>
      <c r="CI253" s="3">
        <f>IF(N(AB253)&gt;0,AB253,IF(AND(R253="profesional",SG_LEGAL_ON=1),GAR_LEGAL,0))</f>
        <v/>
      </c>
      <c r="CJ253" s="3">
        <f>SG_GAR*MIN(1,CI253/SG_GAR_FULL)+SG_AMPL*(AC253="sí")+SG_KMC*(AF253="sí")+SG_REV*(N(AE253)&gt;0)+SG_DEV*MIN(1,N(AG253)/SG_DEV_FULL)+SG_HIST*(W253="sí")</f>
        <v/>
      </c>
      <c r="CK253" s="3">
        <f>IFERROR(VLOOKUP(L253,CARR_PEN_TBL,2,0),0)</f>
        <v/>
      </c>
      <c r="CL253" s="3">
        <f>W_FIAB*BW253+W_PRECIO*BX253+W_KMEDAD*CB253+W_ANUNCIO*CC253+W_USO*CH253+W_SEGURIDAD*CJ253+W_ETIQUETA*CD253-CK253</f>
        <v/>
      </c>
      <c r="CM253" s="4">
        <f>IF(N(I253)&gt;0,I253,IFERROR(ROUND(_xlfn.NUMBERVALUE(LEFT(G253,FIND(" ",G253&amp;" ")-1),".")*1000,0),99999))</f>
        <v/>
      </c>
      <c r="CN253" s="3">
        <f>IF(R253="profesional",0,IF(O253&lt;CUOTA_VALOR_MAX,IF(BA253&gt;ITP_TRAMO_ALTO,SUMIFS(CF_CUOTA,CF_MAS,ITP_TRAMO_ALTO,CF_CCMIN,"&lt;="&amp;CM253,CF_CCMAX,"&gt;="&amp;CM253),IF(BA253&gt;ITP_TRAMO_BAJO,SUMIFS(CF_CUOTA,CF_MAS,ITP_TRAMO_BAJO,CF_CCMIN,"&lt;="&amp;CM253,CF_CCMAX,"&gt;="&amp;CM253),O253*ITP_TIPO)),O253*ITP_TIPO))</f>
        <v/>
      </c>
      <c r="CO253" s="4">
        <f>IF(R253="profesional",N(AK253),0)</f>
        <v/>
      </c>
      <c r="CP253" s="3">
        <f>IF(AND(R253="profesional",ISNUMBER(AK253),AL253="sí"),0,TASA_DGT)</f>
        <v/>
      </c>
      <c r="CQ253" s="3">
        <f>INFORME_DGT</f>
        <v/>
      </c>
      <c r="CR253" s="4">
        <f>O253+CO253+CN253+CP253+CQ253</f>
        <v/>
      </c>
      <c r="CS253" s="4">
        <f>CR253+N(CF253)</f>
        <v/>
      </c>
      <c r="CT253" s="3">
        <f>IF(CR253&lt;=TOTAL_MAX,"sí",IF(CR253&lt;=TOTAL_MAX+MARGEN_NEG,"negociar","no"))</f>
        <v/>
      </c>
      <c r="CU253" s="4">
        <f>IF(CT253&lt;&gt;"no",COUNTIFS($CT$2:$CT$545,"&lt;&gt;no",$CL$2:$CL$545,"&gt;"&amp;CL253)+COUNTIFS($CT$2:CT253,"&lt;&gt;no",$CL$2:CL253,CL253),"")</f>
        <v/>
      </c>
    </row>
    <row r="254">
      <c r="A254" s="2" t="inlineStr">
        <is>
          <t>wallapop:1318871284</t>
        </is>
      </c>
      <c r="B254" s="2" t="inlineStr">
        <is>
          <t>wallapop</t>
        </is>
      </c>
      <c r="C254" s="2" t="inlineStr">
        <is>
          <t>https://es.wallapop.com/item/seat-leon-2009-1318871284</t>
        </is>
      </c>
      <c r="D254" s="2" t="inlineStr">
        <is>
          <t>SEAT Leon 2009</t>
        </is>
      </c>
      <c r="E254" s="2" t="inlineStr">
        <is>
          <t>Seat</t>
        </is>
      </c>
      <c r="F254" s="2" t="inlineStr">
        <is>
          <t>Seat León</t>
        </is>
      </c>
      <c r="G254" s="2" t="inlineStr">
        <is>
          <t>2.0 TDI</t>
        </is>
      </c>
      <c r="H254" s="2" t="inlineStr">
        <is>
          <t>2.0 TDI 170 FR 5p DPF</t>
        </is>
      </c>
      <c r="I254" s="2" t="n"/>
      <c r="J254" s="2" t="n">
        <v>170</v>
      </c>
      <c r="K254" s="2" t="inlineStr">
        <is>
          <t>diesel</t>
        </is>
      </c>
      <c r="L254" s="2" t="inlineStr">
        <is>
          <t>compacto</t>
        </is>
      </c>
      <c r="M254" s="2" t="n">
        <v>2009</v>
      </c>
      <c r="N254" s="2" t="n">
        <v>217085</v>
      </c>
      <c r="O254" s="2" t="n">
        <v>3999</v>
      </c>
      <c r="P254" s="2" t="inlineStr">
        <is>
          <t>manual</t>
        </is>
      </c>
      <c r="Q254" s="2" t="inlineStr">
        <is>
          <t>no</t>
        </is>
      </c>
      <c r="R254" s="2" t="inlineStr">
        <is>
          <t>particular</t>
        </is>
      </c>
      <c r="S254" s="2" t="inlineStr">
        <is>
          <t>Sagunt/Sagunto (46500)</t>
        </is>
      </c>
      <c r="T254" s="2" t="inlineStr">
        <is>
          <t>2026-10-30T18:54:39</t>
        </is>
      </c>
      <c r="U254" s="2" t="n">
        <v>3</v>
      </c>
      <c r="V254" s="2" t="inlineStr">
        <is>
          <t>sí</t>
        </is>
      </c>
      <c r="W254" s="2" t="n"/>
      <c r="X254" s="2" t="n"/>
      <c r="Y254" s="2" t="n"/>
      <c r="Z254" s="2" t="n"/>
      <c r="AA254" s="2" t="n"/>
      <c r="AB254" s="2" t="n"/>
      <c r="AC254" s="2" t="n"/>
      <c r="AD254" s="2" t="n"/>
      <c r="AE254" s="2" t="n"/>
      <c r="AF254" s="2" t="n"/>
      <c r="AG254" s="2" t="n"/>
      <c r="AH254" s="2" t="n"/>
      <c r="AI254" s="2" t="n"/>
      <c r="AJ254" s="2" t="n"/>
      <c r="AK254" s="2" t="n"/>
      <c r="AL254" s="2" t="n"/>
      <c r="AM254" s="2" t="n">
        <v>23.6</v>
      </c>
      <c r="AN254" s="2" t="n"/>
      <c r="AO254" s="2" t="inlineStr">
        <is>
          <t>2009</t>
        </is>
      </c>
      <c r="AP254" s="2" t="n">
        <v>2009</v>
      </c>
      <c r="AQ254" s="2" t="n"/>
      <c r="AR254" s="2" t="n"/>
      <c r="AS254" s="2" t="inlineStr">
        <is>
          <t>regla</t>
        </is>
      </c>
      <c r="AT254" s="2" t="n">
        <v>4500</v>
      </c>
      <c r="AU254" s="2" t="n">
        <v>10</v>
      </c>
      <c r="AV254" s="2" t="inlineStr">
        <is>
          <t>modelo+año+km</t>
        </is>
      </c>
      <c r="AW254" s="2" t="n"/>
      <c r="AX254" s="2" t="inlineStr">
        <is>
          <t>cuota fija ITP: &gt;12 años, 1.501-2.000 cc; diésel: motor sin fuente de fiabilidad (fiabilidad limitada a neutra)</t>
        </is>
      </c>
      <c r="AY254" s="2" t="inlineStr">
        <is>
          <t xml:space="preserve">Se venden magníficos Seat León FR de 170 caballos se vende a todo prueba el coche está revisado por un mecánico se acepta cualquier prueba mecánica ya que ha sido revisado por un taller oficial el coche tiene todos los extras ITV en vigor se vende o se cambia por furgoneta de las mismas características ......etc </t>
        </is>
      </c>
      <c r="AZ254" s="2" t="inlineStr">
        <is>
          <t>https://es.wallapop.com/item/seat-leon-2009-1318871284 (__NEXT_DATA__ item) /home/user/Alopecia/buscador-coches/raw/wallapop/b5c8ba8faadadbd1.json</t>
        </is>
      </c>
      <c r="BA254" s="3">
        <f>MAX(ANIO_ACTUAL-M254,0)</f>
        <v/>
      </c>
      <c r="BB254" s="4">
        <f>N254/MAX(BA254,0.5)</f>
        <v/>
      </c>
      <c r="BC254" s="4">
        <f>F254</f>
        <v/>
      </c>
      <c r="BD254" s="3">
        <f>BC254&amp;"|"&amp;INT(M254/SEG_ANIO)*SEG_ANIO</f>
        <v/>
      </c>
      <c r="BE254" s="3">
        <f>BD254&amp;"|"&amp;INT(N254/SEG_KM)*SEG_KM</f>
        <v/>
      </c>
      <c r="BF254" s="4">
        <f>COUNTIF($BC$2:$BC$545,BC254)</f>
        <v/>
      </c>
      <c r="BG254" s="4">
        <f>COUNTIF($BD$2:$BD$545,BD254)</f>
        <v/>
      </c>
      <c r="BH254" s="4">
        <f>COUNTIF($BE$2:$BE$545,BE254)</f>
        <v/>
      </c>
      <c r="BI254" s="3">
        <f t="array" ref="BI254">IF(N(AU254)&gt;=MIN_N,AT254,IF(BH254&gt;=MIN_N,MEDIAN(IF($BE$2:$BE$545=BE254,$O$2:$O$545)),IF(BG254&gt;=MIN_N,MEDIAN(IF($BD$2:$BD$545=BD254,$O$2:$O$545)),MEDIAN(IF($BC$2:$BC$545=BC254,$O$2:$O$545)))))</f>
        <v/>
      </c>
      <c r="BJ254" s="3">
        <f>IF(N(AU254)&gt;=MIN_N,"mercado "&amp;AV254,IF(BH254&gt;=MIN_N,"modelo+año+km",IF(BG254&gt;=MIN_N,"modelo+año","modelo")))</f>
        <v/>
      </c>
      <c r="BK254" s="4">
        <f>(BI254-O254)/BI254</f>
        <v/>
      </c>
      <c r="BL254" s="3">
        <f>IF(COUNTIFS(FR_FUEL,K254,FR_YEAR,AP254)&gt;0,1,0)</f>
        <v/>
      </c>
      <c r="BM254" s="3">
        <f>IF(COUNTIFS(FR_FUEL,K254,FR_YEAR,AP254-1)&gt;0,1,0)</f>
        <v/>
      </c>
      <c r="BN254" s="4">
        <f>IF(N(AQ254)&gt;0,AP254*100+AQ254,IF(AND(BL254=1,BM254=1),(AP254-1)*100+1,AP254*100+1))</f>
        <v/>
      </c>
      <c r="BO254" s="3">
        <f>IF(OR(K254="hibrido",K254="glp",K254="gnc",K254="phev"),"ECO",IF(K254="electrico","CERO",IF(K254="gasolina",IF(BN254&gt;=GAS_C_YM,"C",IF(BN254&gt;=GAS_B_YM,"B","A")),IF(K254="diesel",IF(BN254&gt;=DIE_C_YM,"C",IF(BN254&gt;=DIE_B_YM,"B","A")),""))))</f>
        <v/>
      </c>
      <c r="BP254" s="4">
        <f>BO254</f>
        <v/>
      </c>
      <c r="BQ254" s="4">
        <f>IF(AS254="regla",IF(AND(N(AQ254)=0,BL254=1),"sí","no"),"no")</f>
        <v/>
      </c>
      <c r="BR254" s="3">
        <f>IFERROR(VLOOKUP(F254,MOD_TBL,11,0),IFERROR(VLOOKUP(E254,OCU_TBL,2,0),NEUTRO))</f>
        <v/>
      </c>
      <c r="BS254" s="3">
        <f>SUMIFS(MOT_AJUSTE,MOT_MOTOR,G254,MOT_MARCA,E254,MOT_DESDE,"&lt;="&amp;M254,MOT_HASTA,"&gt;="&amp;M254)+SUMIFS(MOT_AJUSTE,MOT_MOTOR,G254,MOT_MARCA,"(todas)",MOT_DESDE,"&lt;="&amp;M254,MOT_HASTA,"&gt;="&amp;M254)</f>
        <v/>
      </c>
      <c r="BT254" s="3">
        <f>SUMIFS(COMB_AJUSTE,COMB_COMB,K254)</f>
        <v/>
      </c>
      <c r="BU254" s="3">
        <f>COUNTIFS(MOT_MOTOR,G254,MOT_MARCA,E254,MOT_DESDE,"&lt;="&amp;M254,MOT_HASTA,"&gt;="&amp;M254)+COUNTIFS(MOT_MOTOR,G254,MOT_MARCA,"(todas)",MOT_DESDE,"&lt;="&amp;M254,MOT_HASTA,"&gt;="&amp;M254)</f>
        <v/>
      </c>
      <c r="BV254" s="3">
        <f>IF(AND(K254="diesel",BU254=0),MIN(BR254,NEUTRO),BR254)</f>
        <v/>
      </c>
      <c r="BW254" s="4">
        <f>MAX(0,MIN(100,BV254+BS254+BT254))</f>
        <v/>
      </c>
      <c r="BX254" s="3">
        <f>MAX(0,MIN(100,50+BK254*PRECIO_PEND))</f>
        <v/>
      </c>
      <c r="BY254" s="3">
        <f>MAX(0,100*(1-N254/KM_MAX))</f>
        <v/>
      </c>
      <c r="BZ254" s="3">
        <f>IF(BB254&lt;KMA_SOSP,IF(AA254="sí",100,KMA_PEN),IF(BB254&lt;=KMA_IDEAL_MAX,100,MAX(0,100*(KMA_CERO-BB254)/(KMA_CERO-KMA_IDEAL_MAX))))</f>
        <v/>
      </c>
      <c r="CA254" s="3">
        <f>MAX(0,MIN(100,100*(M254-ANIO_MIN)/(ANIO_ACTUAL-ANIO_MIN)))</f>
        <v/>
      </c>
      <c r="CB254" s="3">
        <f>W_KMT*BY254+W_KMA*BZ254+W_EDAD*CA254</f>
        <v/>
      </c>
      <c r="CC254" s="3">
        <f>P_ITV*(V254="sí")+P_LIBRO*(W254="sí")+P_CORREA*(X254="sí")+P_PROP*(Y254=1)+P_GAR*(Z254="sí")+P_FOTOS*MIN(1,N(U254)/FOTOS_OBJ)</f>
        <v/>
      </c>
      <c r="CD254" s="3">
        <f>MAX(0,MIN(100,IFERROR(VLOOKUP(BP254,ETQ_TBL,2,0),0)-IF(BQ254="sí",ETQ_PEN_DUD,IF(AS254="regla",ETQ_PEN_REGLA,0))))</f>
        <v/>
      </c>
      <c r="CE254" s="3">
        <f>NEUTRO</f>
        <v/>
      </c>
      <c r="CF254" s="3">
        <f>IFERROR(VLOOKUP(L254,SEGURO_TBL,3,0),"")</f>
        <v/>
      </c>
      <c r="CG254" s="3">
        <f>IF(CF254="",NEUTRO,MAX(0,MIN(100,100*(SEG_REF_MAX-CF254)/(SEG_REF_MAX-SEG_REF_MIN))))</f>
        <v/>
      </c>
      <c r="CH254" s="3">
        <f>W_CONS*CE254+W_SEG*CG254</f>
        <v/>
      </c>
      <c r="CI254" s="3">
        <f>IF(N(AB254)&gt;0,AB254,IF(AND(R254="profesional",SG_LEGAL_ON=1),GAR_LEGAL,0))</f>
        <v/>
      </c>
      <c r="CJ254" s="3">
        <f>SG_GAR*MIN(1,CI254/SG_GAR_FULL)+SG_AMPL*(AC254="sí")+SG_KMC*(AF254="sí")+SG_REV*(N(AE254)&gt;0)+SG_DEV*MIN(1,N(AG254)/SG_DEV_FULL)+SG_HIST*(W254="sí")</f>
        <v/>
      </c>
      <c r="CK254" s="3">
        <f>IFERROR(VLOOKUP(L254,CARR_PEN_TBL,2,0),0)</f>
        <v/>
      </c>
      <c r="CL254" s="3">
        <f>W_FIAB*BW254+W_PRECIO*BX254+W_KMEDAD*CB254+W_ANUNCIO*CC254+W_USO*CH254+W_SEGURIDAD*CJ254+W_ETIQUETA*CD254-CK254</f>
        <v/>
      </c>
      <c r="CM254" s="4">
        <f>IF(N(I254)&gt;0,I254,IFERROR(ROUND(_xlfn.NUMBERVALUE(LEFT(G254,FIND(" ",G254&amp;" ")-1),".")*1000,0),99999))</f>
        <v/>
      </c>
      <c r="CN254" s="3">
        <f>IF(R254="profesional",0,IF(O254&lt;CUOTA_VALOR_MAX,IF(BA254&gt;ITP_TRAMO_ALTO,SUMIFS(CF_CUOTA,CF_MAS,ITP_TRAMO_ALTO,CF_CCMIN,"&lt;="&amp;CM254,CF_CCMAX,"&gt;="&amp;CM254),IF(BA254&gt;ITP_TRAMO_BAJO,SUMIFS(CF_CUOTA,CF_MAS,ITP_TRAMO_BAJO,CF_CCMIN,"&lt;="&amp;CM254,CF_CCMAX,"&gt;="&amp;CM254),O254*ITP_TIPO)),O254*ITP_TIPO))</f>
        <v/>
      </c>
      <c r="CO254" s="4">
        <f>IF(R254="profesional",N(AK254),0)</f>
        <v/>
      </c>
      <c r="CP254" s="3">
        <f>IF(AND(R254="profesional",ISNUMBER(AK254),AL254="sí"),0,TASA_DGT)</f>
        <v/>
      </c>
      <c r="CQ254" s="3">
        <f>INFORME_DGT</f>
        <v/>
      </c>
      <c r="CR254" s="4">
        <f>O254+CO254+CN254+CP254+CQ254</f>
        <v/>
      </c>
      <c r="CS254" s="4">
        <f>CR254+N(CF254)</f>
        <v/>
      </c>
      <c r="CT254" s="3">
        <f>IF(CR254&lt;=TOTAL_MAX,"sí",IF(CR254&lt;=TOTAL_MAX+MARGEN_NEG,"negociar","no"))</f>
        <v/>
      </c>
      <c r="CU254" s="4">
        <f>IF(CT254&lt;&gt;"no",COUNTIFS($CT$2:$CT$545,"&lt;&gt;no",$CL$2:$CL$545,"&gt;"&amp;CL254)+COUNTIFS($CT$2:CT254,"&lt;&gt;no",$CL$2:CL254,CL254),"")</f>
        <v/>
      </c>
    </row>
    <row r="255">
      <c r="A255" s="2" t="inlineStr">
        <is>
          <t>wallapop:1304310944</t>
        </is>
      </c>
      <c r="B255" s="2" t="inlineStr">
        <is>
          <t>wallapop</t>
        </is>
      </c>
      <c r="C255" s="2" t="inlineStr">
        <is>
          <t>https://es.wallapop.com/item/seat-altea-2006-1304310944</t>
        </is>
      </c>
      <c r="D255" s="2" t="inlineStr">
        <is>
          <t>SEAT Altea 2006</t>
        </is>
      </c>
      <c r="E255" s="2" t="inlineStr">
        <is>
          <t>Seat</t>
        </is>
      </c>
      <c r="F255" s="2" t="inlineStr">
        <is>
          <t>Seat Altea</t>
        </is>
      </c>
      <c r="G255" s="2" t="inlineStr">
        <is>
          <t>1.6</t>
        </is>
      </c>
      <c r="H255" s="2" t="inlineStr">
        <is>
          <t>1.6 102 Select 5p</t>
        </is>
      </c>
      <c r="I255" s="2" t="n"/>
      <c r="J255" s="2" t="n">
        <v>102</v>
      </c>
      <c r="K255" s="2" t="inlineStr">
        <is>
          <t>gasolina</t>
        </is>
      </c>
      <c r="L255" s="2" t="inlineStr">
        <is>
          <t>monovolumen_pequeno</t>
        </is>
      </c>
      <c r="M255" s="2" t="n">
        <v>2006</v>
      </c>
      <c r="N255" s="2" t="n">
        <v>160000</v>
      </c>
      <c r="O255" s="2" t="n">
        <v>3690</v>
      </c>
      <c r="P255" s="2" t="inlineStr">
        <is>
          <t>manual</t>
        </is>
      </c>
      <c r="Q255" s="2" t="inlineStr">
        <is>
          <t>no</t>
        </is>
      </c>
      <c r="R255" s="2" t="inlineStr">
        <is>
          <t>particular</t>
        </is>
      </c>
      <c r="S255" s="2" t="inlineStr">
        <is>
          <t>Valencia (46011)</t>
        </is>
      </c>
      <c r="T255" s="2" t="inlineStr">
        <is>
          <t>2026-10-26T22:23:22</t>
        </is>
      </c>
      <c r="U255" s="2" t="n">
        <v>7</v>
      </c>
      <c r="V255" s="2" t="n"/>
      <c r="W255" s="2" t="n"/>
      <c r="X255" s="2" t="n"/>
      <c r="Y255" s="2" t="n"/>
      <c r="Z255" s="2" t="n"/>
      <c r="AA255" s="2" t="inlineStr">
        <is>
          <t>sí</t>
        </is>
      </c>
      <c r="AB255" s="2" t="n"/>
      <c r="AC255" s="2" t="n"/>
      <c r="AD255" s="2" t="n"/>
      <c r="AE255" s="2" t="n"/>
      <c r="AF255" s="2" t="n"/>
      <c r="AG255" s="2" t="n"/>
      <c r="AH255" s="2" t="n"/>
      <c r="AI255" s="2" t="n"/>
      <c r="AJ255" s="2" t="n"/>
      <c r="AK255" s="2" t="n"/>
      <c r="AL255" s="2" t="n"/>
      <c r="AM255" s="2" t="n">
        <v>4.4</v>
      </c>
      <c r="AN255" s="2" t="n"/>
      <c r="AO255" s="2" t="inlineStr">
        <is>
          <t>2006</t>
        </is>
      </c>
      <c r="AP255" s="2" t="n">
        <v>2006</v>
      </c>
      <c r="AQ255" s="2" t="n"/>
      <c r="AR255" s="2" t="n"/>
      <c r="AS255" s="2" t="inlineStr">
        <is>
          <t>regla</t>
        </is>
      </c>
      <c r="AT255" s="2" t="n">
        <v>3690</v>
      </c>
      <c r="AU255" s="2" t="n">
        <v>15</v>
      </c>
      <c r="AV255" s="2" t="inlineStr">
        <is>
          <t>modelo+año</t>
        </is>
      </c>
      <c r="AW255" s="2" t="n"/>
      <c r="AX255" s="2" t="inlineStr">
        <is>
          <t>cuota fija ITP: &gt;12 años, 1.501-2.000 cc; carrocería monovolumen_pequeno: -6 puntos; fiabilidad del modelo PENDIENTE de fuente (puntuación neutra)</t>
        </is>
      </c>
      <c r="AY255" s="2" t="inlineStr">
        <is>
          <t>Se vende coche de persona mayor por jubilacion y no poder conducir. 
1 llave. ITV EN REGLA Y MANTENIMIENTOS AL DIA</t>
        </is>
      </c>
      <c r="AZ255" s="2" t="inlineStr">
        <is>
          <t>https://es.wallapop.com/item/seat-altea-2006-1304310944 (__NEXT_DATA__ item) /home/user/Alopecia/buscador-coches/raw/wallapop/70b06b10d2462066.json</t>
        </is>
      </c>
      <c r="BA255" s="3">
        <f>MAX(ANIO_ACTUAL-M255,0)</f>
        <v/>
      </c>
      <c r="BB255" s="4">
        <f>N255/MAX(BA255,0.5)</f>
        <v/>
      </c>
      <c r="BC255" s="4">
        <f>F255</f>
        <v/>
      </c>
      <c r="BD255" s="3">
        <f>BC255&amp;"|"&amp;INT(M255/SEG_ANIO)*SEG_ANIO</f>
        <v/>
      </c>
      <c r="BE255" s="3">
        <f>BD255&amp;"|"&amp;INT(N255/SEG_KM)*SEG_KM</f>
        <v/>
      </c>
      <c r="BF255" s="4">
        <f>COUNTIF($BC$2:$BC$545,BC255)</f>
        <v/>
      </c>
      <c r="BG255" s="4">
        <f>COUNTIF($BD$2:$BD$545,BD255)</f>
        <v/>
      </c>
      <c r="BH255" s="4">
        <f>COUNTIF($BE$2:$BE$545,BE255)</f>
        <v/>
      </c>
      <c r="BI255" s="3">
        <f t="array" ref="BI255">IF(N(AU255)&gt;=MIN_N,AT255,IF(BH255&gt;=MIN_N,MEDIAN(IF($BE$2:$BE$545=BE255,$O$2:$O$545)),IF(BG255&gt;=MIN_N,MEDIAN(IF($BD$2:$BD$545=BD255,$O$2:$O$545)),MEDIAN(IF($BC$2:$BC$545=BC255,$O$2:$O$545)))))</f>
        <v/>
      </c>
      <c r="BJ255" s="3">
        <f>IF(N(AU255)&gt;=MIN_N,"mercado "&amp;AV255,IF(BH255&gt;=MIN_N,"modelo+año+km",IF(BG255&gt;=MIN_N,"modelo+año","modelo")))</f>
        <v/>
      </c>
      <c r="BK255" s="4">
        <f>(BI255-O255)/BI255</f>
        <v/>
      </c>
      <c r="BL255" s="3">
        <f>IF(COUNTIFS(FR_FUEL,K255,FR_YEAR,AP255)&gt;0,1,0)</f>
        <v/>
      </c>
      <c r="BM255" s="3">
        <f>IF(COUNTIFS(FR_FUEL,K255,FR_YEAR,AP255-1)&gt;0,1,0)</f>
        <v/>
      </c>
      <c r="BN255" s="4">
        <f>IF(N(AQ255)&gt;0,AP255*100+AQ255,IF(AND(BL255=1,BM255=1),(AP255-1)*100+1,AP255*100+1))</f>
        <v/>
      </c>
      <c r="BO255" s="3">
        <f>IF(OR(K255="hibrido",K255="glp",K255="gnc",K255="phev"),"ECO",IF(K255="electrico","CERO",IF(K255="gasolina",IF(BN255&gt;=GAS_C_YM,"C",IF(BN255&gt;=GAS_B_YM,"B","A")),IF(K255="diesel",IF(BN255&gt;=DIE_C_YM,"C",IF(BN255&gt;=DIE_B_YM,"B","A")),""))))</f>
        <v/>
      </c>
      <c r="BP255" s="4">
        <f>BO255</f>
        <v/>
      </c>
      <c r="BQ255" s="4">
        <f>IF(AS255="regla",IF(AND(N(AQ255)=0,BL255=1),"sí","no"),"no")</f>
        <v/>
      </c>
      <c r="BR255" s="3">
        <f>IFERROR(VLOOKUP(F255,MOD_TBL,11,0),IFERROR(VLOOKUP(E255,OCU_TBL,2,0),NEUTRO))</f>
        <v/>
      </c>
      <c r="BS255" s="3">
        <f>SUMIFS(MOT_AJUSTE,MOT_MOTOR,G255,MOT_MARCA,E255,MOT_DESDE,"&lt;="&amp;M255,MOT_HASTA,"&gt;="&amp;M255)+SUMIFS(MOT_AJUSTE,MOT_MOTOR,G255,MOT_MARCA,"(todas)",MOT_DESDE,"&lt;="&amp;M255,MOT_HASTA,"&gt;="&amp;M255)</f>
        <v/>
      </c>
      <c r="BT255" s="3">
        <f>SUMIFS(COMB_AJUSTE,COMB_COMB,K255)</f>
        <v/>
      </c>
      <c r="BU255" s="3">
        <f>COUNTIFS(MOT_MOTOR,G255,MOT_MARCA,E255,MOT_DESDE,"&lt;="&amp;M255,MOT_HASTA,"&gt;="&amp;M255)+COUNTIFS(MOT_MOTOR,G255,MOT_MARCA,"(todas)",MOT_DESDE,"&lt;="&amp;M255,MOT_HASTA,"&gt;="&amp;M255)</f>
        <v/>
      </c>
      <c r="BV255" s="3">
        <f>IF(AND(K255="diesel",BU255=0),MIN(BR255,NEUTRO),BR255)</f>
        <v/>
      </c>
      <c r="BW255" s="4">
        <f>MAX(0,MIN(100,BV255+BS255+BT255))</f>
        <v/>
      </c>
      <c r="BX255" s="3">
        <f>MAX(0,MIN(100,50+BK255*PRECIO_PEND))</f>
        <v/>
      </c>
      <c r="BY255" s="3">
        <f>MAX(0,100*(1-N255/KM_MAX))</f>
        <v/>
      </c>
      <c r="BZ255" s="3">
        <f>IF(BB255&lt;KMA_SOSP,IF(AA255="sí",100,KMA_PEN),IF(BB255&lt;=KMA_IDEAL_MAX,100,MAX(0,100*(KMA_CERO-BB255)/(KMA_CERO-KMA_IDEAL_MAX))))</f>
        <v/>
      </c>
      <c r="CA255" s="3">
        <f>MAX(0,MIN(100,100*(M255-ANIO_MIN)/(ANIO_ACTUAL-ANIO_MIN)))</f>
        <v/>
      </c>
      <c r="CB255" s="3">
        <f>W_KMT*BY255+W_KMA*BZ255+W_EDAD*CA255</f>
        <v/>
      </c>
      <c r="CC255" s="3">
        <f>P_ITV*(V255="sí")+P_LIBRO*(W255="sí")+P_CORREA*(X255="sí")+P_PROP*(Y255=1)+P_GAR*(Z255="sí")+P_FOTOS*MIN(1,N(U255)/FOTOS_OBJ)</f>
        <v/>
      </c>
      <c r="CD255" s="3">
        <f>MAX(0,MIN(100,IFERROR(VLOOKUP(BP255,ETQ_TBL,2,0),0)-IF(BQ255="sí",ETQ_PEN_DUD,IF(AS255="regla",ETQ_PEN_REGLA,0))))</f>
        <v/>
      </c>
      <c r="CE255" s="3">
        <f>NEUTRO</f>
        <v/>
      </c>
      <c r="CF255" s="3">
        <f>IFERROR(VLOOKUP(L255,SEGURO_TBL,3,0),"")</f>
        <v/>
      </c>
      <c r="CG255" s="3">
        <f>IF(CF255="",NEUTRO,MAX(0,MIN(100,100*(SEG_REF_MAX-CF255)/(SEG_REF_MAX-SEG_REF_MIN))))</f>
        <v/>
      </c>
      <c r="CH255" s="3">
        <f>W_CONS*CE255+W_SEG*CG255</f>
        <v/>
      </c>
      <c r="CI255" s="3">
        <f>IF(N(AB255)&gt;0,AB255,IF(AND(R255="profesional",SG_LEGAL_ON=1),GAR_LEGAL,0))</f>
        <v/>
      </c>
      <c r="CJ255" s="3">
        <f>SG_GAR*MIN(1,CI255/SG_GAR_FULL)+SG_AMPL*(AC255="sí")+SG_KMC*(AF255="sí")+SG_REV*(N(AE255)&gt;0)+SG_DEV*MIN(1,N(AG255)/SG_DEV_FULL)+SG_HIST*(W255="sí")</f>
        <v/>
      </c>
      <c r="CK255" s="3">
        <f>IFERROR(VLOOKUP(L255,CARR_PEN_TBL,2,0),0)</f>
        <v/>
      </c>
      <c r="CL255" s="3">
        <f>W_FIAB*BW255+W_PRECIO*BX255+W_KMEDAD*CB255+W_ANUNCIO*CC255+W_USO*CH255+W_SEGURIDAD*CJ255+W_ETIQUETA*CD255-CK255</f>
        <v/>
      </c>
      <c r="CM255" s="4">
        <f>IF(N(I255)&gt;0,I255,IFERROR(ROUND(_xlfn.NUMBERVALUE(LEFT(G255,FIND(" ",G255&amp;" ")-1),".")*1000,0),99999))</f>
        <v/>
      </c>
      <c r="CN255" s="3">
        <f>IF(R255="profesional",0,IF(O255&lt;CUOTA_VALOR_MAX,IF(BA255&gt;ITP_TRAMO_ALTO,SUMIFS(CF_CUOTA,CF_MAS,ITP_TRAMO_ALTO,CF_CCMIN,"&lt;="&amp;CM255,CF_CCMAX,"&gt;="&amp;CM255),IF(BA255&gt;ITP_TRAMO_BAJO,SUMIFS(CF_CUOTA,CF_MAS,ITP_TRAMO_BAJO,CF_CCMIN,"&lt;="&amp;CM255,CF_CCMAX,"&gt;="&amp;CM255),O255*ITP_TIPO)),O255*ITP_TIPO))</f>
        <v/>
      </c>
      <c r="CO255" s="4">
        <f>IF(R255="profesional",N(AK255),0)</f>
        <v/>
      </c>
      <c r="CP255" s="3">
        <f>IF(AND(R255="profesional",ISNUMBER(AK255),AL255="sí"),0,TASA_DGT)</f>
        <v/>
      </c>
      <c r="CQ255" s="3">
        <f>INFORME_DGT</f>
        <v/>
      </c>
      <c r="CR255" s="4">
        <f>O255+CO255+CN255+CP255+CQ255</f>
        <v/>
      </c>
      <c r="CS255" s="4">
        <f>CR255+N(CF255)</f>
        <v/>
      </c>
      <c r="CT255" s="3">
        <f>IF(CR255&lt;=TOTAL_MAX,"sí",IF(CR255&lt;=TOTAL_MAX+MARGEN_NEG,"negociar","no"))</f>
        <v/>
      </c>
      <c r="CU255" s="4">
        <f>IF(CT255&lt;&gt;"no",COUNTIFS($CT$2:$CT$545,"&lt;&gt;no",$CL$2:$CL$545,"&gt;"&amp;CL255)+COUNTIFS($CT$2:CT255,"&lt;&gt;no",$CL$2:CL255,CL255),"")</f>
        <v/>
      </c>
    </row>
    <row r="256">
      <c r="A256" s="2" t="inlineStr">
        <is>
          <t>wallapop:1302295708</t>
        </is>
      </c>
      <c r="B256" s="2" t="inlineStr">
        <is>
          <t>wallapop</t>
        </is>
      </c>
      <c r="C256" s="2" t="inlineStr">
        <is>
          <t>https://es.wallapop.com/item/seat-altea-xl-1-9-tdi-105cv-unico-dueno-1302295708</t>
        </is>
      </c>
      <c r="D256" s="2" t="inlineStr">
        <is>
          <t>SEAT Altea XL 1.9 TDI 105cv</t>
        </is>
      </c>
      <c r="E256" s="2" t="inlineStr">
        <is>
          <t>Seat</t>
        </is>
      </c>
      <c r="F256" s="2" t="inlineStr">
        <is>
          <t>Seat Altea</t>
        </is>
      </c>
      <c r="G256" s="2" t="inlineStr">
        <is>
          <t>1.9 TDI</t>
        </is>
      </c>
      <c r="H256" s="2" t="inlineStr">
        <is>
          <t>1.9 TDI 105 Reference 5p</t>
        </is>
      </c>
      <c r="I256" s="2" t="n"/>
      <c r="J256" s="2" t="n">
        <v>105</v>
      </c>
      <c r="K256" s="2" t="inlineStr">
        <is>
          <t>diesel</t>
        </is>
      </c>
      <c r="L256" s="2" t="inlineStr">
        <is>
          <t>monovolumen_pequeno</t>
        </is>
      </c>
      <c r="M256" s="2" t="n">
        <v>2006</v>
      </c>
      <c r="N256" s="2" t="n">
        <v>212500</v>
      </c>
      <c r="O256" s="2" t="n">
        <v>3700</v>
      </c>
      <c r="P256" s="2" t="inlineStr">
        <is>
          <t>manual</t>
        </is>
      </c>
      <c r="Q256" s="2" t="inlineStr">
        <is>
          <t>no</t>
        </is>
      </c>
      <c r="R256" s="2" t="inlineStr">
        <is>
          <t>particular</t>
        </is>
      </c>
      <c r="S256" s="2" t="inlineStr">
        <is>
          <t>Valencia (46021)</t>
        </is>
      </c>
      <c r="T256" s="2" t="inlineStr">
        <is>
          <t>2026-10-27T16:05:50</t>
        </is>
      </c>
      <c r="U256" s="2" t="n">
        <v>8</v>
      </c>
      <c r="V256" s="2" t="inlineStr">
        <is>
          <t>sí</t>
        </is>
      </c>
      <c r="W256" s="2" t="n"/>
      <c r="X256" s="2" t="n"/>
      <c r="Y256" s="2" t="n"/>
      <c r="Z256" s="2" t="n"/>
      <c r="AA256" s="2" t="n"/>
      <c r="AB256" s="2" t="n"/>
      <c r="AC256" s="2" t="n"/>
      <c r="AD256" s="2" t="n"/>
      <c r="AE256" s="2" t="n"/>
      <c r="AF256" s="2" t="n"/>
      <c r="AG256" s="2" t="n"/>
      <c r="AH256" s="2" t="n"/>
      <c r="AI256" s="2" t="n"/>
      <c r="AJ256" s="2" t="n"/>
      <c r="AK256" s="2" t="n"/>
      <c r="AL256" s="2" t="n"/>
      <c r="AM256" s="2" t="n">
        <v>2</v>
      </c>
      <c r="AN256" s="2" t="n"/>
      <c r="AO256" s="2" t="inlineStr">
        <is>
          <t>2006</t>
        </is>
      </c>
      <c r="AP256" s="2" t="n">
        <v>2006</v>
      </c>
      <c r="AQ256" s="2" t="n"/>
      <c r="AR256" s="2" t="n"/>
      <c r="AS256" s="2" t="inlineStr">
        <is>
          <t>regla</t>
        </is>
      </c>
      <c r="AT256" s="2" t="n">
        <v>3849.5</v>
      </c>
      <c r="AU256" s="2" t="n">
        <v>6</v>
      </c>
      <c r="AV256" s="2" t="inlineStr">
        <is>
          <t>modelo+año+km</t>
        </is>
      </c>
      <c r="AW256" s="2" t="n"/>
      <c r="AX256" s="2" t="inlineStr">
        <is>
          <t>etiqueta A dudosa: confirmar etiqueta con la DGT antes de comprar; cuota fija ITP: &gt;12 años, 1.501-2.000 cc; diésel: motor sin fuente de fiabilidad (fiabilidad limitada a neutra); carrocería monovolumen_pequeno: -6 puntos; fiabilidad del modelo PENDIENTE de fuente (puntuación neutra)</t>
        </is>
      </c>
      <c r="AY256" s="2" t="inlineStr">
        <is>
          <t xml:space="preserve">En venta SEAT Altea XL en excelente estado general. El monovolumen ideal si buscas espacio, fiabilidad y consumo mínimo.
✅ Muy cuidado y mimado
✅ Motor 1.9 TDI 105cv (el motor diésel más duro y fiable del grupo VAG)
✅ Diésel 
✅ Maletero enorme y muy espacioso
✅ 2006
✅ 212.000 km reales
✅ ITV hasta octubre 2027
Monovolumen muy versátil, perfecto para familias o viajes largos. Listo para rodar sin sorpresas.
Se acepta cualquier tipo de prueba mecánica. 
¿Tienes dudas o quieres venir a verlo? Escríbeme directamente por el chat y estaré encantado de ayudarte. ¡Contacta hoy mismo y aprovecha la oportunidad! </t>
        </is>
      </c>
      <c r="AZ256" s="2" t="inlineStr">
        <is>
          <t>https://es.wallapop.com/item/seat-altea-xl-1-9-tdi-105cv-unico-dueno-1302295708 (__NEXT_DATA__ item) /home/user/Alopecia/buscador-coches/raw/wallapop/a16cc732b4837622.json</t>
        </is>
      </c>
      <c r="BA256" s="3">
        <f>MAX(ANIO_ACTUAL-M256,0)</f>
        <v/>
      </c>
      <c r="BB256" s="4">
        <f>N256/MAX(BA256,0.5)</f>
        <v/>
      </c>
      <c r="BC256" s="4">
        <f>F256</f>
        <v/>
      </c>
      <c r="BD256" s="3">
        <f>BC256&amp;"|"&amp;INT(M256/SEG_ANIO)*SEG_ANIO</f>
        <v/>
      </c>
      <c r="BE256" s="3">
        <f>BD256&amp;"|"&amp;INT(N256/SEG_KM)*SEG_KM</f>
        <v/>
      </c>
      <c r="BF256" s="4">
        <f>COUNTIF($BC$2:$BC$545,BC256)</f>
        <v/>
      </c>
      <c r="BG256" s="4">
        <f>COUNTIF($BD$2:$BD$545,BD256)</f>
        <v/>
      </c>
      <c r="BH256" s="4">
        <f>COUNTIF($BE$2:$BE$545,BE256)</f>
        <v/>
      </c>
      <c r="BI256" s="3">
        <f t="array" ref="BI256">IF(N(AU256)&gt;=MIN_N,AT256,IF(BH256&gt;=MIN_N,MEDIAN(IF($BE$2:$BE$545=BE256,$O$2:$O$545)),IF(BG256&gt;=MIN_N,MEDIAN(IF($BD$2:$BD$545=BD256,$O$2:$O$545)),MEDIAN(IF($BC$2:$BC$545=BC256,$O$2:$O$545)))))</f>
        <v/>
      </c>
      <c r="BJ256" s="3">
        <f>IF(N(AU256)&gt;=MIN_N,"mercado "&amp;AV256,IF(BH256&gt;=MIN_N,"modelo+año+km",IF(BG256&gt;=MIN_N,"modelo+año","modelo")))</f>
        <v/>
      </c>
      <c r="BK256" s="4">
        <f>(BI256-O256)/BI256</f>
        <v/>
      </c>
      <c r="BL256" s="3">
        <f>IF(COUNTIFS(FR_FUEL,K256,FR_YEAR,AP256)&gt;0,1,0)</f>
        <v/>
      </c>
      <c r="BM256" s="3">
        <f>IF(COUNTIFS(FR_FUEL,K256,FR_YEAR,AP256-1)&gt;0,1,0)</f>
        <v/>
      </c>
      <c r="BN256" s="4">
        <f>IF(N(AQ256)&gt;0,AP256*100+AQ256,IF(AND(BL256=1,BM256=1),(AP256-1)*100+1,AP256*100+1))</f>
        <v/>
      </c>
      <c r="BO256" s="3">
        <f>IF(OR(K256="hibrido",K256="glp",K256="gnc",K256="phev"),"ECO",IF(K256="electrico","CERO",IF(K256="gasolina",IF(BN256&gt;=GAS_C_YM,"C",IF(BN256&gt;=GAS_B_YM,"B","A")),IF(K256="diesel",IF(BN256&gt;=DIE_C_YM,"C",IF(BN256&gt;=DIE_B_YM,"B","A")),""))))</f>
        <v/>
      </c>
      <c r="BP256" s="4">
        <f>BO256</f>
        <v/>
      </c>
      <c r="BQ256" s="4">
        <f>IF(AS256="regla",IF(AND(N(AQ256)=0,BL256=1),"sí","no"),"no")</f>
        <v/>
      </c>
      <c r="BR256" s="3">
        <f>IFERROR(VLOOKUP(F256,MOD_TBL,11,0),IFERROR(VLOOKUP(E256,OCU_TBL,2,0),NEUTRO))</f>
        <v/>
      </c>
      <c r="BS256" s="3">
        <f>SUMIFS(MOT_AJUSTE,MOT_MOTOR,G256,MOT_MARCA,E256,MOT_DESDE,"&lt;="&amp;M256,MOT_HASTA,"&gt;="&amp;M256)+SUMIFS(MOT_AJUSTE,MOT_MOTOR,G256,MOT_MARCA,"(todas)",MOT_DESDE,"&lt;="&amp;M256,MOT_HASTA,"&gt;="&amp;M256)</f>
        <v/>
      </c>
      <c r="BT256" s="3">
        <f>SUMIFS(COMB_AJUSTE,COMB_COMB,K256)</f>
        <v/>
      </c>
      <c r="BU256" s="3">
        <f>COUNTIFS(MOT_MOTOR,G256,MOT_MARCA,E256,MOT_DESDE,"&lt;="&amp;M256,MOT_HASTA,"&gt;="&amp;M256)+COUNTIFS(MOT_MOTOR,G256,MOT_MARCA,"(todas)",MOT_DESDE,"&lt;="&amp;M256,MOT_HASTA,"&gt;="&amp;M256)</f>
        <v/>
      </c>
      <c r="BV256" s="3">
        <f>IF(AND(K256="diesel",BU256=0),MIN(BR256,NEUTRO),BR256)</f>
        <v/>
      </c>
      <c r="BW256" s="4">
        <f>MAX(0,MIN(100,BV256+BS256+BT256))</f>
        <v/>
      </c>
      <c r="BX256" s="3">
        <f>MAX(0,MIN(100,50+BK256*PRECIO_PEND))</f>
        <v/>
      </c>
      <c r="BY256" s="3">
        <f>MAX(0,100*(1-N256/KM_MAX))</f>
        <v/>
      </c>
      <c r="BZ256" s="3">
        <f>IF(BB256&lt;KMA_SOSP,IF(AA256="sí",100,KMA_PEN),IF(BB256&lt;=KMA_IDEAL_MAX,100,MAX(0,100*(KMA_CERO-BB256)/(KMA_CERO-KMA_IDEAL_MAX))))</f>
        <v/>
      </c>
      <c r="CA256" s="3">
        <f>MAX(0,MIN(100,100*(M256-ANIO_MIN)/(ANIO_ACTUAL-ANIO_MIN)))</f>
        <v/>
      </c>
      <c r="CB256" s="3">
        <f>W_KMT*BY256+W_KMA*BZ256+W_EDAD*CA256</f>
        <v/>
      </c>
      <c r="CC256" s="3">
        <f>P_ITV*(V256="sí")+P_LIBRO*(W256="sí")+P_CORREA*(X256="sí")+P_PROP*(Y256=1)+P_GAR*(Z256="sí")+P_FOTOS*MIN(1,N(U256)/FOTOS_OBJ)</f>
        <v/>
      </c>
      <c r="CD256" s="3">
        <f>MAX(0,MIN(100,IFERROR(VLOOKUP(BP256,ETQ_TBL,2,0),0)-IF(BQ256="sí",ETQ_PEN_DUD,IF(AS256="regla",ETQ_PEN_REGLA,0))))</f>
        <v/>
      </c>
      <c r="CE256" s="3">
        <f>NEUTRO</f>
        <v/>
      </c>
      <c r="CF256" s="3">
        <f>IFERROR(VLOOKUP(L256,SEGURO_TBL,3,0),"")</f>
        <v/>
      </c>
      <c r="CG256" s="3">
        <f>IF(CF256="",NEUTRO,MAX(0,MIN(100,100*(SEG_REF_MAX-CF256)/(SEG_REF_MAX-SEG_REF_MIN))))</f>
        <v/>
      </c>
      <c r="CH256" s="3">
        <f>W_CONS*CE256+W_SEG*CG256</f>
        <v/>
      </c>
      <c r="CI256" s="3">
        <f>IF(N(AB256)&gt;0,AB256,IF(AND(R256="profesional",SG_LEGAL_ON=1),GAR_LEGAL,0))</f>
        <v/>
      </c>
      <c r="CJ256" s="3">
        <f>SG_GAR*MIN(1,CI256/SG_GAR_FULL)+SG_AMPL*(AC256="sí")+SG_KMC*(AF256="sí")+SG_REV*(N(AE256)&gt;0)+SG_DEV*MIN(1,N(AG256)/SG_DEV_FULL)+SG_HIST*(W256="sí")</f>
        <v/>
      </c>
      <c r="CK256" s="3">
        <f>IFERROR(VLOOKUP(L256,CARR_PEN_TBL,2,0),0)</f>
        <v/>
      </c>
      <c r="CL256" s="3">
        <f>W_FIAB*BW256+W_PRECIO*BX256+W_KMEDAD*CB256+W_ANUNCIO*CC256+W_USO*CH256+W_SEGURIDAD*CJ256+W_ETIQUETA*CD256-CK256</f>
        <v/>
      </c>
      <c r="CM256" s="4">
        <f>IF(N(I256)&gt;0,I256,IFERROR(ROUND(_xlfn.NUMBERVALUE(LEFT(G256,FIND(" ",G256&amp;" ")-1),".")*1000,0),99999))</f>
        <v/>
      </c>
      <c r="CN256" s="3">
        <f>IF(R256="profesional",0,IF(O256&lt;CUOTA_VALOR_MAX,IF(BA256&gt;ITP_TRAMO_ALTO,SUMIFS(CF_CUOTA,CF_MAS,ITP_TRAMO_ALTO,CF_CCMIN,"&lt;="&amp;CM256,CF_CCMAX,"&gt;="&amp;CM256),IF(BA256&gt;ITP_TRAMO_BAJO,SUMIFS(CF_CUOTA,CF_MAS,ITP_TRAMO_BAJO,CF_CCMIN,"&lt;="&amp;CM256,CF_CCMAX,"&gt;="&amp;CM256),O256*ITP_TIPO)),O256*ITP_TIPO))</f>
        <v/>
      </c>
      <c r="CO256" s="4">
        <f>IF(R256="profesional",N(AK256),0)</f>
        <v/>
      </c>
      <c r="CP256" s="3">
        <f>IF(AND(R256="profesional",ISNUMBER(AK256),AL256="sí"),0,TASA_DGT)</f>
        <v/>
      </c>
      <c r="CQ256" s="3">
        <f>INFORME_DGT</f>
        <v/>
      </c>
      <c r="CR256" s="4">
        <f>O256+CO256+CN256+CP256+CQ256</f>
        <v/>
      </c>
      <c r="CS256" s="4">
        <f>CR256+N(CF256)</f>
        <v/>
      </c>
      <c r="CT256" s="3">
        <f>IF(CR256&lt;=TOTAL_MAX,"sí",IF(CR256&lt;=TOTAL_MAX+MARGEN_NEG,"negociar","no"))</f>
        <v/>
      </c>
      <c r="CU256" s="4">
        <f>IF(CT256&lt;&gt;"no",COUNTIFS($CT$2:$CT$545,"&lt;&gt;no",$CL$2:$CL$545,"&gt;"&amp;CL256)+COUNTIFS($CT$2:CT256,"&lt;&gt;no",$CL$2:CL256,CL256),"")</f>
        <v/>
      </c>
    </row>
    <row r="257">
      <c r="A257" s="2" t="inlineStr">
        <is>
          <t>wallapop:1279575310</t>
        </is>
      </c>
      <c r="B257" s="2" t="inlineStr">
        <is>
          <t>wallapop</t>
        </is>
      </c>
      <c r="C257" s="2" t="inlineStr">
        <is>
          <t>https://es.wallapop.com/item/seat-toledo-2007-1279575310</t>
        </is>
      </c>
      <c r="D257" s="2" t="inlineStr">
        <is>
          <t>SEAT Toledo 2007</t>
        </is>
      </c>
      <c r="E257" s="2" t="inlineStr">
        <is>
          <t>Seat</t>
        </is>
      </c>
      <c r="F257" s="2" t="inlineStr">
        <is>
          <t>Seat Toledo</t>
        </is>
      </c>
      <c r="G257" s="2" t="inlineStr">
        <is>
          <t>1.9 TDI</t>
        </is>
      </c>
      <c r="H257" s="2" t="inlineStr">
        <is>
          <t>1.9 TDI 105 Reference 5p</t>
        </is>
      </c>
      <c r="I257" s="2" t="n"/>
      <c r="J257" s="2" t="n">
        <v>105</v>
      </c>
      <c r="K257" s="2" t="inlineStr">
        <is>
          <t>diesel</t>
        </is>
      </c>
      <c r="L257" s="2" t="inlineStr">
        <is>
          <t>berlina</t>
        </is>
      </c>
      <c r="M257" s="2" t="n">
        <v>2007</v>
      </c>
      <c r="N257" s="2" t="n">
        <v>173444</v>
      </c>
      <c r="O257" s="2" t="n">
        <v>4500</v>
      </c>
      <c r="P257" s="2" t="inlineStr">
        <is>
          <t>manual</t>
        </is>
      </c>
      <c r="Q257" s="2" t="inlineStr">
        <is>
          <t>no</t>
        </is>
      </c>
      <c r="R257" s="2" t="inlineStr">
        <is>
          <t>particular</t>
        </is>
      </c>
      <c r="S257" s="2" t="inlineStr">
        <is>
          <t>Torrent (46900)</t>
        </is>
      </c>
      <c r="T257" s="2" t="inlineStr">
        <is>
          <t>2026-10-25T21:02:30</t>
        </is>
      </c>
      <c r="U257" s="2" t="n">
        <v>10</v>
      </c>
      <c r="V257" s="2" t="inlineStr">
        <is>
          <t>sí</t>
        </is>
      </c>
      <c r="W257" s="2" t="inlineStr">
        <is>
          <t>sí</t>
        </is>
      </c>
      <c r="X257" s="2" t="n"/>
      <c r="Y257" s="2" t="n"/>
      <c r="Z257" s="2" t="n"/>
      <c r="AA257" s="2" t="n"/>
      <c r="AB257" s="2" t="n"/>
      <c r="AC257" s="2" t="n"/>
      <c r="AD257" s="2" t="n"/>
      <c r="AE257" s="2" t="n"/>
      <c r="AF257" s="2" t="n"/>
      <c r="AG257" s="2" t="n"/>
      <c r="AH257" s="2" t="n"/>
      <c r="AI257" s="2" t="n"/>
      <c r="AJ257" s="2" t="n"/>
      <c r="AK257" s="2" t="n"/>
      <c r="AL257" s="2" t="n"/>
      <c r="AM257" s="2" t="n">
        <v>8.699999999999999</v>
      </c>
      <c r="AN257" s="2" t="n"/>
      <c r="AO257" s="2" t="inlineStr">
        <is>
          <t>2007</t>
        </is>
      </c>
      <c r="AP257" s="2" t="n">
        <v>2007</v>
      </c>
      <c r="AQ257" s="2" t="n"/>
      <c r="AR257" s="2" t="n"/>
      <c r="AS257" s="2" t="inlineStr">
        <is>
          <t>regla</t>
        </is>
      </c>
      <c r="AT257" s="2" t="n">
        <v>3150</v>
      </c>
      <c r="AU257" s="2" t="n">
        <v>4</v>
      </c>
      <c r="AV257" s="2" t="inlineStr">
        <is>
          <t>modelo+año</t>
        </is>
      </c>
      <c r="AW257" s="2" t="n"/>
      <c r="AX257" s="2" t="inlineStr">
        <is>
          <t>cuota fija ITP: &gt;12 años, 1.501-2.000 cc; diésel: motor sin fuente de fiabilidad (fiabilidad limitada a neutra); carrocería berlina: -4 puntos; fiabilidad del modelo PENDIENTE de fuente (puntuación neutra)</t>
        </is>
      </c>
      <c r="AY257" s="2" t="inlineStr">
        <is>
          <t xml:space="preserve">Motor 1.9 tdi diesel  
muy resistente pocos km para los años que tiene .
Cierre centralizado 
Tapicería impecable 
Exterior perfecto 
Esta listo para rodar sin ningún problema
Elevalunas eléctricos
Itv al día 
Mantenimiento al día 
Distribución sustituida 
Neumaticos nuevos
Aire acondicionado funcionando perfectamente 
</t>
        </is>
      </c>
      <c r="AZ257" s="2" t="inlineStr">
        <is>
          <t>https://es.wallapop.com/item/seat-toledo-2007-1279575310 (__NEXT_DATA__ item) /home/user/Alopecia/buscador-coches/raw/wallapop/4127a80fc3353667.json</t>
        </is>
      </c>
      <c r="BA257" s="3">
        <f>MAX(ANIO_ACTUAL-M257,0)</f>
        <v/>
      </c>
      <c r="BB257" s="4">
        <f>N257/MAX(BA257,0.5)</f>
        <v/>
      </c>
      <c r="BC257" s="4">
        <f>F257</f>
        <v/>
      </c>
      <c r="BD257" s="3">
        <f>BC257&amp;"|"&amp;INT(M257/SEG_ANIO)*SEG_ANIO</f>
        <v/>
      </c>
      <c r="BE257" s="3">
        <f>BD257&amp;"|"&amp;INT(N257/SEG_KM)*SEG_KM</f>
        <v/>
      </c>
      <c r="BF257" s="4">
        <f>COUNTIF($BC$2:$BC$545,BC257)</f>
        <v/>
      </c>
      <c r="BG257" s="4">
        <f>COUNTIF($BD$2:$BD$545,BD257)</f>
        <v/>
      </c>
      <c r="BH257" s="4">
        <f>COUNTIF($BE$2:$BE$545,BE257)</f>
        <v/>
      </c>
      <c r="BI257" s="3">
        <f t="array" ref="BI257">IF(N(AU257)&gt;=MIN_N,AT257,IF(BH257&gt;=MIN_N,MEDIAN(IF($BE$2:$BE$545=BE257,$O$2:$O$545)),IF(BG257&gt;=MIN_N,MEDIAN(IF($BD$2:$BD$545=BD257,$O$2:$O$545)),MEDIAN(IF($BC$2:$BC$545=BC257,$O$2:$O$545)))))</f>
        <v/>
      </c>
      <c r="BJ257" s="3">
        <f>IF(N(AU257)&gt;=MIN_N,"mercado "&amp;AV257,IF(BH257&gt;=MIN_N,"modelo+año+km",IF(BG257&gt;=MIN_N,"modelo+año","modelo")))</f>
        <v/>
      </c>
      <c r="BK257" s="4">
        <f>(BI257-O257)/BI257</f>
        <v/>
      </c>
      <c r="BL257" s="3">
        <f>IF(COUNTIFS(FR_FUEL,K257,FR_YEAR,AP257)&gt;0,1,0)</f>
        <v/>
      </c>
      <c r="BM257" s="3">
        <f>IF(COUNTIFS(FR_FUEL,K257,FR_YEAR,AP257-1)&gt;0,1,0)</f>
        <v/>
      </c>
      <c r="BN257" s="4">
        <f>IF(N(AQ257)&gt;0,AP257*100+AQ257,IF(AND(BL257=1,BM257=1),(AP257-1)*100+1,AP257*100+1))</f>
        <v/>
      </c>
      <c r="BO257" s="3">
        <f>IF(OR(K257="hibrido",K257="glp",K257="gnc",K257="phev"),"ECO",IF(K257="electrico","CERO",IF(K257="gasolina",IF(BN257&gt;=GAS_C_YM,"C",IF(BN257&gt;=GAS_B_YM,"B","A")),IF(K257="diesel",IF(BN257&gt;=DIE_C_YM,"C",IF(BN257&gt;=DIE_B_YM,"B","A")),""))))</f>
        <v/>
      </c>
      <c r="BP257" s="4">
        <f>BO257</f>
        <v/>
      </c>
      <c r="BQ257" s="4">
        <f>IF(AS257="regla",IF(AND(N(AQ257)=0,BL257=1),"sí","no"),"no")</f>
        <v/>
      </c>
      <c r="BR257" s="3">
        <f>IFERROR(VLOOKUP(F257,MOD_TBL,11,0),IFERROR(VLOOKUP(E257,OCU_TBL,2,0),NEUTRO))</f>
        <v/>
      </c>
      <c r="BS257" s="3">
        <f>SUMIFS(MOT_AJUSTE,MOT_MOTOR,G257,MOT_MARCA,E257,MOT_DESDE,"&lt;="&amp;M257,MOT_HASTA,"&gt;="&amp;M257)+SUMIFS(MOT_AJUSTE,MOT_MOTOR,G257,MOT_MARCA,"(todas)",MOT_DESDE,"&lt;="&amp;M257,MOT_HASTA,"&gt;="&amp;M257)</f>
        <v/>
      </c>
      <c r="BT257" s="3">
        <f>SUMIFS(COMB_AJUSTE,COMB_COMB,K257)</f>
        <v/>
      </c>
      <c r="BU257" s="3">
        <f>COUNTIFS(MOT_MOTOR,G257,MOT_MARCA,E257,MOT_DESDE,"&lt;="&amp;M257,MOT_HASTA,"&gt;="&amp;M257)+COUNTIFS(MOT_MOTOR,G257,MOT_MARCA,"(todas)",MOT_DESDE,"&lt;="&amp;M257,MOT_HASTA,"&gt;="&amp;M257)</f>
        <v/>
      </c>
      <c r="BV257" s="3">
        <f>IF(AND(K257="diesel",BU257=0),MIN(BR257,NEUTRO),BR257)</f>
        <v/>
      </c>
      <c r="BW257" s="4">
        <f>MAX(0,MIN(100,BV257+BS257+BT257))</f>
        <v/>
      </c>
      <c r="BX257" s="3">
        <f>MAX(0,MIN(100,50+BK257*PRECIO_PEND))</f>
        <v/>
      </c>
      <c r="BY257" s="3">
        <f>MAX(0,100*(1-N257/KM_MAX))</f>
        <v/>
      </c>
      <c r="BZ257" s="3">
        <f>IF(BB257&lt;KMA_SOSP,IF(AA257="sí",100,KMA_PEN),IF(BB257&lt;=KMA_IDEAL_MAX,100,MAX(0,100*(KMA_CERO-BB257)/(KMA_CERO-KMA_IDEAL_MAX))))</f>
        <v/>
      </c>
      <c r="CA257" s="3">
        <f>MAX(0,MIN(100,100*(M257-ANIO_MIN)/(ANIO_ACTUAL-ANIO_MIN)))</f>
        <v/>
      </c>
      <c r="CB257" s="3">
        <f>W_KMT*BY257+W_KMA*BZ257+W_EDAD*CA257</f>
        <v/>
      </c>
      <c r="CC257" s="3">
        <f>P_ITV*(V257="sí")+P_LIBRO*(W257="sí")+P_CORREA*(X257="sí")+P_PROP*(Y257=1)+P_GAR*(Z257="sí")+P_FOTOS*MIN(1,N(U257)/FOTOS_OBJ)</f>
        <v/>
      </c>
      <c r="CD257" s="3">
        <f>MAX(0,MIN(100,IFERROR(VLOOKUP(BP257,ETQ_TBL,2,0),0)-IF(BQ257="sí",ETQ_PEN_DUD,IF(AS257="regla",ETQ_PEN_REGLA,0))))</f>
        <v/>
      </c>
      <c r="CE257" s="3">
        <f>NEUTRO</f>
        <v/>
      </c>
      <c r="CF257" s="3">
        <f>IFERROR(VLOOKUP(L257,SEGURO_TBL,3,0),"")</f>
        <v/>
      </c>
      <c r="CG257" s="3">
        <f>IF(CF257="",NEUTRO,MAX(0,MIN(100,100*(SEG_REF_MAX-CF257)/(SEG_REF_MAX-SEG_REF_MIN))))</f>
        <v/>
      </c>
      <c r="CH257" s="3">
        <f>W_CONS*CE257+W_SEG*CG257</f>
        <v/>
      </c>
      <c r="CI257" s="3">
        <f>IF(N(AB257)&gt;0,AB257,IF(AND(R257="profesional",SG_LEGAL_ON=1),GAR_LEGAL,0))</f>
        <v/>
      </c>
      <c r="CJ257" s="3">
        <f>SG_GAR*MIN(1,CI257/SG_GAR_FULL)+SG_AMPL*(AC257="sí")+SG_KMC*(AF257="sí")+SG_REV*(N(AE257)&gt;0)+SG_DEV*MIN(1,N(AG257)/SG_DEV_FULL)+SG_HIST*(W257="sí")</f>
        <v/>
      </c>
      <c r="CK257" s="3">
        <f>IFERROR(VLOOKUP(L257,CARR_PEN_TBL,2,0),0)</f>
        <v/>
      </c>
      <c r="CL257" s="3">
        <f>W_FIAB*BW257+W_PRECIO*BX257+W_KMEDAD*CB257+W_ANUNCIO*CC257+W_USO*CH257+W_SEGURIDAD*CJ257+W_ETIQUETA*CD257-CK257</f>
        <v/>
      </c>
      <c r="CM257" s="4">
        <f>IF(N(I257)&gt;0,I257,IFERROR(ROUND(_xlfn.NUMBERVALUE(LEFT(G257,FIND(" ",G257&amp;" ")-1),".")*1000,0),99999))</f>
        <v/>
      </c>
      <c r="CN257" s="3">
        <f>IF(R257="profesional",0,IF(O257&lt;CUOTA_VALOR_MAX,IF(BA257&gt;ITP_TRAMO_ALTO,SUMIFS(CF_CUOTA,CF_MAS,ITP_TRAMO_ALTO,CF_CCMIN,"&lt;="&amp;CM257,CF_CCMAX,"&gt;="&amp;CM257),IF(BA257&gt;ITP_TRAMO_BAJO,SUMIFS(CF_CUOTA,CF_MAS,ITP_TRAMO_BAJO,CF_CCMIN,"&lt;="&amp;CM257,CF_CCMAX,"&gt;="&amp;CM257),O257*ITP_TIPO)),O257*ITP_TIPO))</f>
        <v/>
      </c>
      <c r="CO257" s="4">
        <f>IF(R257="profesional",N(AK257),0)</f>
        <v/>
      </c>
      <c r="CP257" s="3">
        <f>IF(AND(R257="profesional",ISNUMBER(AK257),AL257="sí"),0,TASA_DGT)</f>
        <v/>
      </c>
      <c r="CQ257" s="3">
        <f>INFORME_DGT</f>
        <v/>
      </c>
      <c r="CR257" s="4">
        <f>O257+CO257+CN257+CP257+CQ257</f>
        <v/>
      </c>
      <c r="CS257" s="4">
        <f>CR257+N(CF257)</f>
        <v/>
      </c>
      <c r="CT257" s="3">
        <f>IF(CR257&lt;=TOTAL_MAX,"sí",IF(CR257&lt;=TOTAL_MAX+MARGEN_NEG,"negociar","no"))</f>
        <v/>
      </c>
      <c r="CU257" s="4">
        <f>IF(CT257&lt;&gt;"no",COUNTIFS($CT$2:$CT$545,"&lt;&gt;no",$CL$2:$CL$545,"&gt;"&amp;CL257)+COUNTIFS($CT$2:CT257,"&lt;&gt;no",$CL$2:CL257,CL257),"")</f>
        <v/>
      </c>
    </row>
    <row r="258">
      <c r="A258" s="2" t="inlineStr">
        <is>
          <t>wallapop:1315532131</t>
        </is>
      </c>
      <c r="B258" s="2" t="inlineStr">
        <is>
          <t>wallapop</t>
        </is>
      </c>
      <c r="C258" s="2" t="inlineStr">
        <is>
          <t>https://es.wallapop.com/item/volkswagen-polo-2006-1315532131</t>
        </is>
      </c>
      <c r="D258" s="2" t="inlineStr">
        <is>
          <t>Volkswagen Polo 2006</t>
        </is>
      </c>
      <c r="E258" s="2" t="inlineStr">
        <is>
          <t>Volkswagen</t>
        </is>
      </c>
      <c r="F258" s="2" t="inlineStr">
        <is>
          <t>Volkswagen Polo</t>
        </is>
      </c>
      <c r="G258" s="2" t="n"/>
      <c r="H258" s="2" t="n"/>
      <c r="I258" s="2" t="n"/>
      <c r="J258" s="2" t="n"/>
      <c r="K258" s="2" t="inlineStr">
        <is>
          <t>diesel</t>
        </is>
      </c>
      <c r="L258" s="2" t="inlineStr">
        <is>
          <t>utilitario</t>
        </is>
      </c>
      <c r="M258" s="2" t="n">
        <v>2006</v>
      </c>
      <c r="N258" s="2" t="n">
        <v>107280</v>
      </c>
      <c r="O258" s="2" t="n">
        <v>5000</v>
      </c>
      <c r="P258" s="2" t="inlineStr">
        <is>
          <t>manual</t>
        </is>
      </c>
      <c r="Q258" s="2" t="inlineStr">
        <is>
          <t>no</t>
        </is>
      </c>
      <c r="R258" s="2" t="inlineStr">
        <is>
          <t>particular</t>
        </is>
      </c>
      <c r="S258" s="2" t="inlineStr">
        <is>
          <t>Valencia (46001)</t>
        </is>
      </c>
      <c r="T258" s="2" t="inlineStr">
        <is>
          <t>2026-10-21T08:19:58</t>
        </is>
      </c>
      <c r="U258" s="2" t="n">
        <v>10</v>
      </c>
      <c r="V258" s="2" t="inlineStr">
        <is>
          <t>sí</t>
        </is>
      </c>
      <c r="W258" s="2" t="n"/>
      <c r="X258" s="2" t="n"/>
      <c r="Y258" s="2" t="n"/>
      <c r="Z258" s="2" t="n"/>
      <c r="AA258" s="2" t="n"/>
      <c r="AB258" s="2" t="n"/>
      <c r="AC258" s="2" t="n"/>
      <c r="AD258" s="2" t="n"/>
      <c r="AE258" s="2" t="n"/>
      <c r="AF258" s="2" t="n"/>
      <c r="AG258" s="2" t="n"/>
      <c r="AH258" s="2" t="n"/>
      <c r="AI258" s="2" t="n"/>
      <c r="AJ258" s="2" t="n"/>
      <c r="AK258" s="2" t="n"/>
      <c r="AL258" s="2" t="n"/>
      <c r="AM258" s="2" t="n">
        <v>0.3</v>
      </c>
      <c r="AN258" s="2" t="n"/>
      <c r="AO258" s="2" t="inlineStr">
        <is>
          <t>2006</t>
        </is>
      </c>
      <c r="AP258" s="2" t="n">
        <v>2006</v>
      </c>
      <c r="AQ258" s="2" t="n"/>
      <c r="AR258" s="2" t="n"/>
      <c r="AS258" s="2" t="inlineStr">
        <is>
          <t>regla</t>
        </is>
      </c>
      <c r="AT258" s="2" t="n">
        <v>4195</v>
      </c>
      <c r="AU258" s="2" t="n">
        <v>8</v>
      </c>
      <c r="AV258" s="2" t="inlineStr">
        <is>
          <t>modelo+año+km</t>
        </is>
      </c>
      <c r="AW258" s="2" t="n"/>
      <c r="AX258" s="2" t="inlineStr">
        <is>
          <t>etiqueta A dudosa: confirmar etiqueta con la DGT antes de comprar; por encima del presupuesto (5204 €), negociar; cilindrada desconocida: se aplica el tramo de cuota fija más alto; cuota fija ITP: &gt;12 años, más de 2.000 cc; diésel: motor sin fuente de fiabilidad (fiabilidad limitada a neutra)</t>
        </is>
      </c>
      <c r="AY258" s="2" t="inlineStr">
        <is>
          <t>Volkswagen polo 1.4 diesel con pocos kilómetros: 107280 y muy bajo consumo.
-Elevalunas electrónicos en las 4 puertas
-Espejos regulables eléctricamente.
-Aire acondicionado funciona muy bien.
-Itv pasada éste Verano.
-Neumaticos nuevos
 -Aceite y filtros cambiados hace 1 mes.
-Tiene etiqueta MEDIOAMBIENTAL.
- Matriculado 20/07/2006
Interesados  llamar al 676585109</t>
        </is>
      </c>
      <c r="AZ258" s="2" t="inlineStr">
        <is>
          <t>https://es.wallapop.com/item/volkswagen-polo-2006-1315532131 (__NEXT_DATA__ item) /home/user/Alopecia/buscador-coches/raw/wallapop/e8f6d4974e6cba78.json</t>
        </is>
      </c>
      <c r="BA258" s="3">
        <f>MAX(ANIO_ACTUAL-M258,0)</f>
        <v/>
      </c>
      <c r="BB258" s="4">
        <f>N258/MAX(BA258,0.5)</f>
        <v/>
      </c>
      <c r="BC258" s="4">
        <f>F258</f>
        <v/>
      </c>
      <c r="BD258" s="3">
        <f>BC258&amp;"|"&amp;INT(M258/SEG_ANIO)*SEG_ANIO</f>
        <v/>
      </c>
      <c r="BE258" s="3">
        <f>BD258&amp;"|"&amp;INT(N258/SEG_KM)*SEG_KM</f>
        <v/>
      </c>
      <c r="BF258" s="4">
        <f>COUNTIF($BC$2:$BC$545,BC258)</f>
        <v/>
      </c>
      <c r="BG258" s="4">
        <f>COUNTIF($BD$2:$BD$545,BD258)</f>
        <v/>
      </c>
      <c r="BH258" s="4">
        <f>COUNTIF($BE$2:$BE$545,BE258)</f>
        <v/>
      </c>
      <c r="BI258" s="3">
        <f t="array" ref="BI258">IF(N(AU258)&gt;=MIN_N,AT258,IF(BH258&gt;=MIN_N,MEDIAN(IF($BE$2:$BE$545=BE258,$O$2:$O$545)),IF(BG258&gt;=MIN_N,MEDIAN(IF($BD$2:$BD$545=BD258,$O$2:$O$545)),MEDIAN(IF($BC$2:$BC$545=BC258,$O$2:$O$545)))))</f>
        <v/>
      </c>
      <c r="BJ258" s="3">
        <f>IF(N(AU258)&gt;=MIN_N,"mercado "&amp;AV258,IF(BH258&gt;=MIN_N,"modelo+año+km",IF(BG258&gt;=MIN_N,"modelo+año","modelo")))</f>
        <v/>
      </c>
      <c r="BK258" s="4">
        <f>(BI258-O258)/BI258</f>
        <v/>
      </c>
      <c r="BL258" s="3">
        <f>IF(COUNTIFS(FR_FUEL,K258,FR_YEAR,AP258)&gt;0,1,0)</f>
        <v/>
      </c>
      <c r="BM258" s="3">
        <f>IF(COUNTIFS(FR_FUEL,K258,FR_YEAR,AP258-1)&gt;0,1,0)</f>
        <v/>
      </c>
      <c r="BN258" s="4">
        <f>IF(N(AQ258)&gt;0,AP258*100+AQ258,IF(AND(BL258=1,BM258=1),(AP258-1)*100+1,AP258*100+1))</f>
        <v/>
      </c>
      <c r="BO258" s="3">
        <f>IF(OR(K258="hibrido",K258="glp",K258="gnc",K258="phev"),"ECO",IF(K258="electrico","CERO",IF(K258="gasolina",IF(BN258&gt;=GAS_C_YM,"C",IF(BN258&gt;=GAS_B_YM,"B","A")),IF(K258="diesel",IF(BN258&gt;=DIE_C_YM,"C",IF(BN258&gt;=DIE_B_YM,"B","A")),""))))</f>
        <v/>
      </c>
      <c r="BP258" s="4">
        <f>BO258</f>
        <v/>
      </c>
      <c r="BQ258" s="4">
        <f>IF(AS258="regla",IF(AND(N(AQ258)=0,BL258=1),"sí","no"),"no")</f>
        <v/>
      </c>
      <c r="BR258" s="3">
        <f>IFERROR(VLOOKUP(F258,MOD_TBL,11,0),IFERROR(VLOOKUP(E258,OCU_TBL,2,0),NEUTRO))</f>
        <v/>
      </c>
      <c r="BS258" s="3">
        <f>SUMIFS(MOT_AJUSTE,MOT_MOTOR,G258,MOT_MARCA,E258,MOT_DESDE,"&lt;="&amp;M258,MOT_HASTA,"&gt;="&amp;M258)+SUMIFS(MOT_AJUSTE,MOT_MOTOR,G258,MOT_MARCA,"(todas)",MOT_DESDE,"&lt;="&amp;M258,MOT_HASTA,"&gt;="&amp;M258)</f>
        <v/>
      </c>
      <c r="BT258" s="3">
        <f>SUMIFS(COMB_AJUSTE,COMB_COMB,K258)</f>
        <v/>
      </c>
      <c r="BU258" s="3">
        <f>COUNTIFS(MOT_MOTOR,G258,MOT_MARCA,E258,MOT_DESDE,"&lt;="&amp;M258,MOT_HASTA,"&gt;="&amp;M258)+COUNTIFS(MOT_MOTOR,G258,MOT_MARCA,"(todas)",MOT_DESDE,"&lt;="&amp;M258,MOT_HASTA,"&gt;="&amp;M258)</f>
        <v/>
      </c>
      <c r="BV258" s="3">
        <f>IF(AND(K258="diesel",BU258=0),MIN(BR258,NEUTRO),BR258)</f>
        <v/>
      </c>
      <c r="BW258" s="4">
        <f>MAX(0,MIN(100,BV258+BS258+BT258))</f>
        <v/>
      </c>
      <c r="BX258" s="3">
        <f>MAX(0,MIN(100,50+BK258*PRECIO_PEND))</f>
        <v/>
      </c>
      <c r="BY258" s="3">
        <f>MAX(0,100*(1-N258/KM_MAX))</f>
        <v/>
      </c>
      <c r="BZ258" s="3">
        <f>IF(BB258&lt;KMA_SOSP,IF(AA258="sí",100,KMA_PEN),IF(BB258&lt;=KMA_IDEAL_MAX,100,MAX(0,100*(KMA_CERO-BB258)/(KMA_CERO-KMA_IDEAL_MAX))))</f>
        <v/>
      </c>
      <c r="CA258" s="3">
        <f>MAX(0,MIN(100,100*(M258-ANIO_MIN)/(ANIO_ACTUAL-ANIO_MIN)))</f>
        <v/>
      </c>
      <c r="CB258" s="3">
        <f>W_KMT*BY258+W_KMA*BZ258+W_EDAD*CA258</f>
        <v/>
      </c>
      <c r="CC258" s="3">
        <f>P_ITV*(V258="sí")+P_LIBRO*(W258="sí")+P_CORREA*(X258="sí")+P_PROP*(Y258=1)+P_GAR*(Z258="sí")+P_FOTOS*MIN(1,N(U258)/FOTOS_OBJ)</f>
        <v/>
      </c>
      <c r="CD258" s="3">
        <f>MAX(0,MIN(100,IFERROR(VLOOKUP(BP258,ETQ_TBL,2,0),0)-IF(BQ258="sí",ETQ_PEN_DUD,IF(AS258="regla",ETQ_PEN_REGLA,0))))</f>
        <v/>
      </c>
      <c r="CE258" s="3">
        <f>NEUTRO</f>
        <v/>
      </c>
      <c r="CF258" s="3">
        <f>IFERROR(VLOOKUP(L258,SEGURO_TBL,3,0),"")</f>
        <v/>
      </c>
      <c r="CG258" s="3">
        <f>IF(CF258="",NEUTRO,MAX(0,MIN(100,100*(SEG_REF_MAX-CF258)/(SEG_REF_MAX-SEG_REF_MIN))))</f>
        <v/>
      </c>
      <c r="CH258" s="3">
        <f>W_CONS*CE258+W_SEG*CG258</f>
        <v/>
      </c>
      <c r="CI258" s="3">
        <f>IF(N(AB258)&gt;0,AB258,IF(AND(R258="profesional",SG_LEGAL_ON=1),GAR_LEGAL,0))</f>
        <v/>
      </c>
      <c r="CJ258" s="3">
        <f>SG_GAR*MIN(1,CI258/SG_GAR_FULL)+SG_AMPL*(AC258="sí")+SG_KMC*(AF258="sí")+SG_REV*(N(AE258)&gt;0)+SG_DEV*MIN(1,N(AG258)/SG_DEV_FULL)+SG_HIST*(W258="sí")</f>
        <v/>
      </c>
      <c r="CK258" s="3">
        <f>IFERROR(VLOOKUP(L258,CARR_PEN_TBL,2,0),0)</f>
        <v/>
      </c>
      <c r="CL258" s="3">
        <f>W_FIAB*BW258+W_PRECIO*BX258+W_KMEDAD*CB258+W_ANUNCIO*CC258+W_USO*CH258+W_SEGURIDAD*CJ258+W_ETIQUETA*CD258-CK258</f>
        <v/>
      </c>
      <c r="CM258" s="4">
        <f>IF(N(I258)&gt;0,I258,IFERROR(ROUND(_xlfn.NUMBERVALUE(LEFT(G258,FIND(" ",G258&amp;" ")-1),".")*1000,0),99999))</f>
        <v/>
      </c>
      <c r="CN258" s="3">
        <f>IF(R258="profesional",0,IF(O258&lt;CUOTA_VALOR_MAX,IF(BA258&gt;ITP_TRAMO_ALTO,SUMIFS(CF_CUOTA,CF_MAS,ITP_TRAMO_ALTO,CF_CCMIN,"&lt;="&amp;CM258,CF_CCMAX,"&gt;="&amp;CM258),IF(BA258&gt;ITP_TRAMO_BAJO,SUMIFS(CF_CUOTA,CF_MAS,ITP_TRAMO_BAJO,CF_CCMIN,"&lt;="&amp;CM258,CF_CCMAX,"&gt;="&amp;CM258),O258*ITP_TIPO)),O258*ITP_TIPO))</f>
        <v/>
      </c>
      <c r="CO258" s="4">
        <f>IF(R258="profesional",N(AK258),0)</f>
        <v/>
      </c>
      <c r="CP258" s="3">
        <f>IF(AND(R258="profesional",ISNUMBER(AK258),AL258="sí"),0,TASA_DGT)</f>
        <v/>
      </c>
      <c r="CQ258" s="3">
        <f>INFORME_DGT</f>
        <v/>
      </c>
      <c r="CR258" s="4">
        <f>O258+CO258+CN258+CP258+CQ258</f>
        <v/>
      </c>
      <c r="CS258" s="4">
        <f>CR258+N(CF258)</f>
        <v/>
      </c>
      <c r="CT258" s="3">
        <f>IF(CR258&lt;=TOTAL_MAX,"sí",IF(CR258&lt;=TOTAL_MAX+MARGEN_NEG,"negociar","no"))</f>
        <v/>
      </c>
      <c r="CU258" s="4">
        <f>IF(CT258&lt;&gt;"no",COUNTIFS($CT$2:$CT$545,"&lt;&gt;no",$CL$2:$CL$545,"&gt;"&amp;CL258)+COUNTIFS($CT$2:CT258,"&lt;&gt;no",$CL$2:CL258,CL258),"")</f>
        <v/>
      </c>
    </row>
    <row r="259">
      <c r="A259" s="2" t="inlineStr">
        <is>
          <t>wallapop:1309392405</t>
        </is>
      </c>
      <c r="B259" s="2" t="inlineStr">
        <is>
          <t>wallapop</t>
        </is>
      </c>
      <c r="C259" s="2" t="inlineStr">
        <is>
          <t>https://es.wallapop.com/item/opel-corsa-2014-1309392405</t>
        </is>
      </c>
      <c r="D259" s="2" t="inlineStr">
        <is>
          <t>Opel Corsa 2014</t>
        </is>
      </c>
      <c r="E259" s="2" t="inlineStr">
        <is>
          <t>Opel</t>
        </is>
      </c>
      <c r="F259" s="2" t="inlineStr">
        <is>
          <t>Opel Corsa</t>
        </is>
      </c>
      <c r="G259" s="2" t="inlineStr">
        <is>
          <t>1.2</t>
        </is>
      </c>
      <c r="H259" s="2" t="inlineStr">
        <is>
          <t>1.2 85 Selective 5p MTA</t>
        </is>
      </c>
      <c r="I259" s="2" t="n"/>
      <c r="J259" s="2" t="n">
        <v>85</v>
      </c>
      <c r="K259" s="2" t="inlineStr">
        <is>
          <t>gasolina</t>
        </is>
      </c>
      <c r="L259" s="2" t="inlineStr">
        <is>
          <t>utilitario</t>
        </is>
      </c>
      <c r="M259" s="2" t="n">
        <v>2014</v>
      </c>
      <c r="N259" s="2" t="n">
        <v>180000</v>
      </c>
      <c r="O259" s="2" t="n">
        <v>5000</v>
      </c>
      <c r="P259" s="2" t="inlineStr">
        <is>
          <t>manual</t>
        </is>
      </c>
      <c r="Q259" s="2" t="inlineStr">
        <is>
          <t>no</t>
        </is>
      </c>
      <c r="R259" s="2" t="inlineStr">
        <is>
          <t>particular</t>
        </is>
      </c>
      <c r="S259" s="2" t="inlineStr">
        <is>
          <t>Valencia (46002)</t>
        </is>
      </c>
      <c r="T259" s="2" t="inlineStr">
        <is>
          <t>2026-10-04T21:10:52</t>
        </is>
      </c>
      <c r="U259" s="2" t="n">
        <v>10</v>
      </c>
      <c r="V259" s="2" t="n"/>
      <c r="W259" s="2" t="n"/>
      <c r="X259" s="2" t="n"/>
      <c r="Y259" s="2" t="n"/>
      <c r="Z259" s="2" t="n"/>
      <c r="AA259" s="2" t="n"/>
      <c r="AB259" s="2" t="n"/>
      <c r="AC259" s="2" t="n"/>
      <c r="AD259" s="2" t="n"/>
      <c r="AE259" s="2" t="n"/>
      <c r="AF259" s="2" t="n"/>
      <c r="AG259" s="2" t="n"/>
      <c r="AH259" s="2" t="n"/>
      <c r="AI259" s="2" t="n"/>
      <c r="AJ259" s="2" t="n"/>
      <c r="AK259" s="2" t="n"/>
      <c r="AL259" s="2" t="n"/>
      <c r="AM259" s="2" t="n">
        <v>0.5</v>
      </c>
      <c r="AN259" s="2" t="n"/>
      <c r="AO259" s="2" t="inlineStr">
        <is>
          <t>2014</t>
        </is>
      </c>
      <c r="AP259" s="2" t="n">
        <v>2014</v>
      </c>
      <c r="AQ259" s="2" t="n"/>
      <c r="AR259" s="2" t="n"/>
      <c r="AS259" s="2" t="inlineStr">
        <is>
          <t>regla</t>
        </is>
      </c>
      <c r="AT259" s="2" t="n">
        <v>4550</v>
      </c>
      <c r="AU259" s="2" t="n">
        <v>8</v>
      </c>
      <c r="AV259" s="2" t="inlineStr">
        <is>
          <t>modelo+año+km</t>
        </is>
      </c>
      <c r="AW259" s="2" t="n"/>
      <c r="AX259" s="2" t="inlineStr">
        <is>
          <t>por encima del presupuesto (5184 €), negociar; cuota fija ITP: &gt;5 y &lt;=12 años, hasta 1.500 cc</t>
        </is>
      </c>
      <c r="AY259" s="2" t="inlineStr">
        <is>
          <t>Vendo Opel Corsa.
Es de junio de 2014. Ideal tanto para el día a día como para conductores noveles por el bajo consumo y fácil manejo.
2 únicos propietarios
5 puertas
Gas del aire recién cambiado
Control de velocidad
Entrada auxiliar de audio
180000km
Solo usado para ir a trabajar
Cierre centralizado y elevalunas eléctrico
Con apenas marcas del uso
En la parte de arriba hay unas marcas de una granizada que cayó
Coche cuidado con mucho mimo
Mando de radio en el volante</t>
        </is>
      </c>
      <c r="AZ259" s="2" t="inlineStr">
        <is>
          <t>https://es.wallapop.com/item/opel-corsa-2014-1309392405 (__NEXT_DATA__ item) /home/user/Alopecia/buscador-coches/raw/wallapop/ca68ebc9452b4463.json</t>
        </is>
      </c>
      <c r="BA259" s="3">
        <f>MAX(ANIO_ACTUAL-M259,0)</f>
        <v/>
      </c>
      <c r="BB259" s="4">
        <f>N259/MAX(BA259,0.5)</f>
        <v/>
      </c>
      <c r="BC259" s="4">
        <f>F259</f>
        <v/>
      </c>
      <c r="BD259" s="3">
        <f>BC259&amp;"|"&amp;INT(M259/SEG_ANIO)*SEG_ANIO</f>
        <v/>
      </c>
      <c r="BE259" s="3">
        <f>BD259&amp;"|"&amp;INT(N259/SEG_KM)*SEG_KM</f>
        <v/>
      </c>
      <c r="BF259" s="4">
        <f>COUNTIF($BC$2:$BC$545,BC259)</f>
        <v/>
      </c>
      <c r="BG259" s="4">
        <f>COUNTIF($BD$2:$BD$545,BD259)</f>
        <v/>
      </c>
      <c r="BH259" s="4">
        <f>COUNTIF($BE$2:$BE$545,BE259)</f>
        <v/>
      </c>
      <c r="BI259" s="3">
        <f t="array" ref="BI259">IF(N(AU259)&gt;=MIN_N,AT259,IF(BH259&gt;=MIN_N,MEDIAN(IF($BE$2:$BE$545=BE259,$O$2:$O$545)),IF(BG259&gt;=MIN_N,MEDIAN(IF($BD$2:$BD$545=BD259,$O$2:$O$545)),MEDIAN(IF($BC$2:$BC$545=BC259,$O$2:$O$545)))))</f>
        <v/>
      </c>
      <c r="BJ259" s="3">
        <f>IF(N(AU259)&gt;=MIN_N,"mercado "&amp;AV259,IF(BH259&gt;=MIN_N,"modelo+año+km",IF(BG259&gt;=MIN_N,"modelo+año","modelo")))</f>
        <v/>
      </c>
      <c r="BK259" s="4">
        <f>(BI259-O259)/BI259</f>
        <v/>
      </c>
      <c r="BL259" s="3">
        <f>IF(COUNTIFS(FR_FUEL,K259,FR_YEAR,AP259)&gt;0,1,0)</f>
        <v/>
      </c>
      <c r="BM259" s="3">
        <f>IF(COUNTIFS(FR_FUEL,K259,FR_YEAR,AP259-1)&gt;0,1,0)</f>
        <v/>
      </c>
      <c r="BN259" s="4">
        <f>IF(N(AQ259)&gt;0,AP259*100+AQ259,IF(AND(BL259=1,BM259=1),(AP259-1)*100+1,AP259*100+1))</f>
        <v/>
      </c>
      <c r="BO259" s="3">
        <f>IF(OR(K259="hibrido",K259="glp",K259="gnc",K259="phev"),"ECO",IF(K259="electrico","CERO",IF(K259="gasolina",IF(BN259&gt;=GAS_C_YM,"C",IF(BN259&gt;=GAS_B_YM,"B","A")),IF(K259="diesel",IF(BN259&gt;=DIE_C_YM,"C",IF(BN259&gt;=DIE_B_YM,"B","A")),""))))</f>
        <v/>
      </c>
      <c r="BP259" s="4">
        <f>BO259</f>
        <v/>
      </c>
      <c r="BQ259" s="4">
        <f>IF(AS259="regla",IF(AND(N(AQ259)=0,BL259=1),"sí","no"),"no")</f>
        <v/>
      </c>
      <c r="BR259" s="3">
        <f>IFERROR(VLOOKUP(F259,MOD_TBL,11,0),IFERROR(VLOOKUP(E259,OCU_TBL,2,0),NEUTRO))</f>
        <v/>
      </c>
      <c r="BS259" s="3">
        <f>SUMIFS(MOT_AJUSTE,MOT_MOTOR,G259,MOT_MARCA,E259,MOT_DESDE,"&lt;="&amp;M259,MOT_HASTA,"&gt;="&amp;M259)+SUMIFS(MOT_AJUSTE,MOT_MOTOR,G259,MOT_MARCA,"(todas)",MOT_DESDE,"&lt;="&amp;M259,MOT_HASTA,"&gt;="&amp;M259)</f>
        <v/>
      </c>
      <c r="BT259" s="3">
        <f>SUMIFS(COMB_AJUSTE,COMB_COMB,K259)</f>
        <v/>
      </c>
      <c r="BU259" s="3">
        <f>COUNTIFS(MOT_MOTOR,G259,MOT_MARCA,E259,MOT_DESDE,"&lt;="&amp;M259,MOT_HASTA,"&gt;="&amp;M259)+COUNTIFS(MOT_MOTOR,G259,MOT_MARCA,"(todas)",MOT_DESDE,"&lt;="&amp;M259,MOT_HASTA,"&gt;="&amp;M259)</f>
        <v/>
      </c>
      <c r="BV259" s="3">
        <f>IF(AND(K259="diesel",BU259=0),MIN(BR259,NEUTRO),BR259)</f>
        <v/>
      </c>
      <c r="BW259" s="4">
        <f>MAX(0,MIN(100,BV259+BS259+BT259))</f>
        <v/>
      </c>
      <c r="BX259" s="3">
        <f>MAX(0,MIN(100,50+BK259*PRECIO_PEND))</f>
        <v/>
      </c>
      <c r="BY259" s="3">
        <f>MAX(0,100*(1-N259/KM_MAX))</f>
        <v/>
      </c>
      <c r="BZ259" s="3">
        <f>IF(BB259&lt;KMA_SOSP,IF(AA259="sí",100,KMA_PEN),IF(BB259&lt;=KMA_IDEAL_MAX,100,MAX(0,100*(KMA_CERO-BB259)/(KMA_CERO-KMA_IDEAL_MAX))))</f>
        <v/>
      </c>
      <c r="CA259" s="3">
        <f>MAX(0,MIN(100,100*(M259-ANIO_MIN)/(ANIO_ACTUAL-ANIO_MIN)))</f>
        <v/>
      </c>
      <c r="CB259" s="3">
        <f>W_KMT*BY259+W_KMA*BZ259+W_EDAD*CA259</f>
        <v/>
      </c>
      <c r="CC259" s="3">
        <f>P_ITV*(V259="sí")+P_LIBRO*(W259="sí")+P_CORREA*(X259="sí")+P_PROP*(Y259=1)+P_GAR*(Z259="sí")+P_FOTOS*MIN(1,N(U259)/FOTOS_OBJ)</f>
        <v/>
      </c>
      <c r="CD259" s="3">
        <f>MAX(0,MIN(100,IFERROR(VLOOKUP(BP259,ETQ_TBL,2,0),0)-IF(BQ259="sí",ETQ_PEN_DUD,IF(AS259="regla",ETQ_PEN_REGLA,0))))</f>
        <v/>
      </c>
      <c r="CE259" s="3">
        <f>NEUTRO</f>
        <v/>
      </c>
      <c r="CF259" s="3">
        <f>IFERROR(VLOOKUP(L259,SEGURO_TBL,3,0),"")</f>
        <v/>
      </c>
      <c r="CG259" s="3">
        <f>IF(CF259="",NEUTRO,MAX(0,MIN(100,100*(SEG_REF_MAX-CF259)/(SEG_REF_MAX-SEG_REF_MIN))))</f>
        <v/>
      </c>
      <c r="CH259" s="3">
        <f>W_CONS*CE259+W_SEG*CG259</f>
        <v/>
      </c>
      <c r="CI259" s="3">
        <f>IF(N(AB259)&gt;0,AB259,IF(AND(R259="profesional",SG_LEGAL_ON=1),GAR_LEGAL,0))</f>
        <v/>
      </c>
      <c r="CJ259" s="3">
        <f>SG_GAR*MIN(1,CI259/SG_GAR_FULL)+SG_AMPL*(AC259="sí")+SG_KMC*(AF259="sí")+SG_REV*(N(AE259)&gt;0)+SG_DEV*MIN(1,N(AG259)/SG_DEV_FULL)+SG_HIST*(W259="sí")</f>
        <v/>
      </c>
      <c r="CK259" s="3">
        <f>IFERROR(VLOOKUP(L259,CARR_PEN_TBL,2,0),0)</f>
        <v/>
      </c>
      <c r="CL259" s="3">
        <f>W_FIAB*BW259+W_PRECIO*BX259+W_KMEDAD*CB259+W_ANUNCIO*CC259+W_USO*CH259+W_SEGURIDAD*CJ259+W_ETIQUETA*CD259-CK259</f>
        <v/>
      </c>
      <c r="CM259" s="4">
        <f>IF(N(I259)&gt;0,I259,IFERROR(ROUND(_xlfn.NUMBERVALUE(LEFT(G259,FIND(" ",G259&amp;" ")-1),".")*1000,0),99999))</f>
        <v/>
      </c>
      <c r="CN259" s="3">
        <f>IF(R259="profesional",0,IF(O259&lt;CUOTA_VALOR_MAX,IF(BA259&gt;ITP_TRAMO_ALTO,SUMIFS(CF_CUOTA,CF_MAS,ITP_TRAMO_ALTO,CF_CCMIN,"&lt;="&amp;CM259,CF_CCMAX,"&gt;="&amp;CM259),IF(BA259&gt;ITP_TRAMO_BAJO,SUMIFS(CF_CUOTA,CF_MAS,ITP_TRAMO_BAJO,CF_CCMIN,"&lt;="&amp;CM259,CF_CCMAX,"&gt;="&amp;CM259),O259*ITP_TIPO)),O259*ITP_TIPO))</f>
        <v/>
      </c>
      <c r="CO259" s="4">
        <f>IF(R259="profesional",N(AK259),0)</f>
        <v/>
      </c>
      <c r="CP259" s="3">
        <f>IF(AND(R259="profesional",ISNUMBER(AK259),AL259="sí"),0,TASA_DGT)</f>
        <v/>
      </c>
      <c r="CQ259" s="3">
        <f>INFORME_DGT</f>
        <v/>
      </c>
      <c r="CR259" s="4">
        <f>O259+CO259+CN259+CP259+CQ259</f>
        <v/>
      </c>
      <c r="CS259" s="4">
        <f>CR259+N(CF259)</f>
        <v/>
      </c>
      <c r="CT259" s="3">
        <f>IF(CR259&lt;=TOTAL_MAX,"sí",IF(CR259&lt;=TOTAL_MAX+MARGEN_NEG,"negociar","no"))</f>
        <v/>
      </c>
      <c r="CU259" s="4">
        <f>IF(CT259&lt;&gt;"no",COUNTIFS($CT$2:$CT$545,"&lt;&gt;no",$CL$2:$CL$545,"&gt;"&amp;CL259)+COUNTIFS($CT$2:CT259,"&lt;&gt;no",$CL$2:CL259,CL259),"")</f>
        <v/>
      </c>
    </row>
    <row r="260">
      <c r="A260" s="2" t="inlineStr">
        <is>
          <t>wallapop:1318256126</t>
        </is>
      </c>
      <c r="B260" s="2" t="inlineStr">
        <is>
          <t>wallapop</t>
        </is>
      </c>
      <c r="C260" s="2" t="inlineStr">
        <is>
          <t>https://es.wallapop.com/item/opel-corsa-2011-1318256126</t>
        </is>
      </c>
      <c r="D260" s="2" t="inlineStr">
        <is>
          <t>Opel Corsa 2011</t>
        </is>
      </c>
      <c r="E260" s="2" t="inlineStr">
        <is>
          <t>Opel</t>
        </is>
      </c>
      <c r="F260" s="2" t="inlineStr">
        <is>
          <t>Opel Corsa</t>
        </is>
      </c>
      <c r="G260" s="2" t="inlineStr">
        <is>
          <t>1.2</t>
        </is>
      </c>
      <c r="H260" s="2" t="inlineStr">
        <is>
          <t>1.2 85 Essentia 3p</t>
        </is>
      </c>
      <c r="I260" s="2" t="n"/>
      <c r="J260" s="2" t="n">
        <v>85</v>
      </c>
      <c r="K260" s="2" t="inlineStr">
        <is>
          <t>gasolina</t>
        </is>
      </c>
      <c r="L260" s="2" t="inlineStr">
        <is>
          <t>utilitario</t>
        </is>
      </c>
      <c r="M260" s="2" t="n">
        <v>2011</v>
      </c>
      <c r="N260" s="2" t="n">
        <v>99000</v>
      </c>
      <c r="O260" s="2" t="n">
        <v>3900</v>
      </c>
      <c r="P260" s="2" t="inlineStr">
        <is>
          <t>manual</t>
        </is>
      </c>
      <c r="Q260" s="2" t="inlineStr">
        <is>
          <t>no</t>
        </is>
      </c>
      <c r="R260" s="2" t="inlineStr">
        <is>
          <t>particular</t>
        </is>
      </c>
      <c r="S260" s="2" t="inlineStr">
        <is>
          <t>Torrent (46900)</t>
        </is>
      </c>
      <c r="T260" s="2" t="inlineStr">
        <is>
          <t>2026-10-30T14:50:54</t>
        </is>
      </c>
      <c r="U260" s="2" t="n">
        <v>6</v>
      </c>
      <c r="V260" s="2" t="inlineStr">
        <is>
          <t>sí</t>
        </is>
      </c>
      <c r="W260" s="2" t="n"/>
      <c r="X260" s="2" t="n"/>
      <c r="Y260" s="2" t="n">
        <v>1</v>
      </c>
      <c r="Z260" s="2" t="n"/>
      <c r="AA260" s="2" t="n"/>
      <c r="AB260" s="2" t="n"/>
      <c r="AC260" s="2" t="n"/>
      <c r="AD260" s="2" t="n"/>
      <c r="AE260" s="2" t="n"/>
      <c r="AF260" s="2" t="n"/>
      <c r="AG260" s="2" t="n"/>
      <c r="AH260" s="2" t="n"/>
      <c r="AI260" s="2" t="n"/>
      <c r="AJ260" s="2" t="n"/>
      <c r="AK260" s="2" t="n"/>
      <c r="AL260" s="2" t="n"/>
      <c r="AM260" s="2" t="n">
        <v>8.800000000000001</v>
      </c>
      <c r="AN260" s="2" t="n"/>
      <c r="AO260" s="2" t="inlineStr">
        <is>
          <t>2011</t>
        </is>
      </c>
      <c r="AP260" s="2" t="n">
        <v>2011</v>
      </c>
      <c r="AQ260" s="2" t="n"/>
      <c r="AR260" s="2" t="n"/>
      <c r="AS260" s="2" t="inlineStr">
        <is>
          <t>regla</t>
        </is>
      </c>
      <c r="AT260" s="2" t="n">
        <v>3725</v>
      </c>
      <c r="AU260" s="2" t="n">
        <v>24</v>
      </c>
      <c r="AV260" s="2" t="inlineStr">
        <is>
          <t>modelo+año</t>
        </is>
      </c>
      <c r="AW260" s="2" t="n"/>
      <c r="AX260" s="2" t="inlineStr">
        <is>
          <t>cuota fija ITP: &gt;12 años, hasta 1.500 cc</t>
        </is>
      </c>
      <c r="AY260" s="2" t="inlineStr">
        <is>
          <t>Opel corsa 2011 con muy poco kilometros , itv hasta Octubre 2027, todo al dia , Unico Dueño</t>
        </is>
      </c>
      <c r="AZ260" s="2" t="inlineStr">
        <is>
          <t>https://es.wallapop.com/item/opel-corsa-2011-1318256126 (__NEXT_DATA__ item) /home/user/Alopecia/buscador-coches/raw/wallapop/9a40cbd0d438e405.json</t>
        </is>
      </c>
      <c r="BA260" s="3">
        <f>MAX(ANIO_ACTUAL-M260,0)</f>
        <v/>
      </c>
      <c r="BB260" s="4">
        <f>N260/MAX(BA260,0.5)</f>
        <v/>
      </c>
      <c r="BC260" s="4">
        <f>F260</f>
        <v/>
      </c>
      <c r="BD260" s="3">
        <f>BC260&amp;"|"&amp;INT(M260/SEG_ANIO)*SEG_ANIO</f>
        <v/>
      </c>
      <c r="BE260" s="3">
        <f>BD260&amp;"|"&amp;INT(N260/SEG_KM)*SEG_KM</f>
        <v/>
      </c>
      <c r="BF260" s="4">
        <f>COUNTIF($BC$2:$BC$545,BC260)</f>
        <v/>
      </c>
      <c r="BG260" s="4">
        <f>COUNTIF($BD$2:$BD$545,BD260)</f>
        <v/>
      </c>
      <c r="BH260" s="4">
        <f>COUNTIF($BE$2:$BE$545,BE260)</f>
        <v/>
      </c>
      <c r="BI260" s="3">
        <f t="array" ref="BI260">IF(N(AU260)&gt;=MIN_N,AT260,IF(BH260&gt;=MIN_N,MEDIAN(IF($BE$2:$BE$545=BE260,$O$2:$O$545)),IF(BG260&gt;=MIN_N,MEDIAN(IF($BD$2:$BD$545=BD260,$O$2:$O$545)),MEDIAN(IF($BC$2:$BC$545=BC260,$O$2:$O$545)))))</f>
        <v/>
      </c>
      <c r="BJ260" s="3">
        <f>IF(N(AU260)&gt;=MIN_N,"mercado "&amp;AV260,IF(BH260&gt;=MIN_N,"modelo+año+km",IF(BG260&gt;=MIN_N,"modelo+año","modelo")))</f>
        <v/>
      </c>
      <c r="BK260" s="4">
        <f>(BI260-O260)/BI260</f>
        <v/>
      </c>
      <c r="BL260" s="3">
        <f>IF(COUNTIFS(FR_FUEL,K260,FR_YEAR,AP260)&gt;0,1,0)</f>
        <v/>
      </c>
      <c r="BM260" s="3">
        <f>IF(COUNTIFS(FR_FUEL,K260,FR_YEAR,AP260-1)&gt;0,1,0)</f>
        <v/>
      </c>
      <c r="BN260" s="4">
        <f>IF(N(AQ260)&gt;0,AP260*100+AQ260,IF(AND(BL260=1,BM260=1),(AP260-1)*100+1,AP260*100+1))</f>
        <v/>
      </c>
      <c r="BO260" s="3">
        <f>IF(OR(K260="hibrido",K260="glp",K260="gnc",K260="phev"),"ECO",IF(K260="electrico","CERO",IF(K260="gasolina",IF(BN260&gt;=GAS_C_YM,"C",IF(BN260&gt;=GAS_B_YM,"B","A")),IF(K260="diesel",IF(BN260&gt;=DIE_C_YM,"C",IF(BN260&gt;=DIE_B_YM,"B","A")),""))))</f>
        <v/>
      </c>
      <c r="BP260" s="4">
        <f>BO260</f>
        <v/>
      </c>
      <c r="BQ260" s="4">
        <f>IF(AS260="regla",IF(AND(N(AQ260)=0,BL260=1),"sí","no"),"no")</f>
        <v/>
      </c>
      <c r="BR260" s="3">
        <f>IFERROR(VLOOKUP(F260,MOD_TBL,11,0),IFERROR(VLOOKUP(E260,OCU_TBL,2,0),NEUTRO))</f>
        <v/>
      </c>
      <c r="BS260" s="3">
        <f>SUMIFS(MOT_AJUSTE,MOT_MOTOR,G260,MOT_MARCA,E260,MOT_DESDE,"&lt;="&amp;M260,MOT_HASTA,"&gt;="&amp;M260)+SUMIFS(MOT_AJUSTE,MOT_MOTOR,G260,MOT_MARCA,"(todas)",MOT_DESDE,"&lt;="&amp;M260,MOT_HASTA,"&gt;="&amp;M260)</f>
        <v/>
      </c>
      <c r="BT260" s="3">
        <f>SUMIFS(COMB_AJUSTE,COMB_COMB,K260)</f>
        <v/>
      </c>
      <c r="BU260" s="3">
        <f>COUNTIFS(MOT_MOTOR,G260,MOT_MARCA,E260,MOT_DESDE,"&lt;="&amp;M260,MOT_HASTA,"&gt;="&amp;M260)+COUNTIFS(MOT_MOTOR,G260,MOT_MARCA,"(todas)",MOT_DESDE,"&lt;="&amp;M260,MOT_HASTA,"&gt;="&amp;M260)</f>
        <v/>
      </c>
      <c r="BV260" s="3">
        <f>IF(AND(K260="diesel",BU260=0),MIN(BR260,NEUTRO),BR260)</f>
        <v/>
      </c>
      <c r="BW260" s="4">
        <f>MAX(0,MIN(100,BV260+BS260+BT260))</f>
        <v/>
      </c>
      <c r="BX260" s="3">
        <f>MAX(0,MIN(100,50+BK260*PRECIO_PEND))</f>
        <v/>
      </c>
      <c r="BY260" s="3">
        <f>MAX(0,100*(1-N260/KM_MAX))</f>
        <v/>
      </c>
      <c r="BZ260" s="3">
        <f>IF(BB260&lt;KMA_SOSP,IF(AA260="sí",100,KMA_PEN),IF(BB260&lt;=KMA_IDEAL_MAX,100,MAX(0,100*(KMA_CERO-BB260)/(KMA_CERO-KMA_IDEAL_MAX))))</f>
        <v/>
      </c>
      <c r="CA260" s="3">
        <f>MAX(0,MIN(100,100*(M260-ANIO_MIN)/(ANIO_ACTUAL-ANIO_MIN)))</f>
        <v/>
      </c>
      <c r="CB260" s="3">
        <f>W_KMT*BY260+W_KMA*BZ260+W_EDAD*CA260</f>
        <v/>
      </c>
      <c r="CC260" s="3">
        <f>P_ITV*(V260="sí")+P_LIBRO*(W260="sí")+P_CORREA*(X260="sí")+P_PROP*(Y260=1)+P_GAR*(Z260="sí")+P_FOTOS*MIN(1,N(U260)/FOTOS_OBJ)</f>
        <v/>
      </c>
      <c r="CD260" s="3">
        <f>MAX(0,MIN(100,IFERROR(VLOOKUP(BP260,ETQ_TBL,2,0),0)-IF(BQ260="sí",ETQ_PEN_DUD,IF(AS260="regla",ETQ_PEN_REGLA,0))))</f>
        <v/>
      </c>
      <c r="CE260" s="3">
        <f>NEUTRO</f>
        <v/>
      </c>
      <c r="CF260" s="3">
        <f>IFERROR(VLOOKUP(L260,SEGURO_TBL,3,0),"")</f>
        <v/>
      </c>
      <c r="CG260" s="3">
        <f>IF(CF260="",NEUTRO,MAX(0,MIN(100,100*(SEG_REF_MAX-CF260)/(SEG_REF_MAX-SEG_REF_MIN))))</f>
        <v/>
      </c>
      <c r="CH260" s="3">
        <f>W_CONS*CE260+W_SEG*CG260</f>
        <v/>
      </c>
      <c r="CI260" s="3">
        <f>IF(N(AB260)&gt;0,AB260,IF(AND(R260="profesional",SG_LEGAL_ON=1),GAR_LEGAL,0))</f>
        <v/>
      </c>
      <c r="CJ260" s="3">
        <f>SG_GAR*MIN(1,CI260/SG_GAR_FULL)+SG_AMPL*(AC260="sí")+SG_KMC*(AF260="sí")+SG_REV*(N(AE260)&gt;0)+SG_DEV*MIN(1,N(AG260)/SG_DEV_FULL)+SG_HIST*(W260="sí")</f>
        <v/>
      </c>
      <c r="CK260" s="3">
        <f>IFERROR(VLOOKUP(L260,CARR_PEN_TBL,2,0),0)</f>
        <v/>
      </c>
      <c r="CL260" s="3">
        <f>W_FIAB*BW260+W_PRECIO*BX260+W_KMEDAD*CB260+W_ANUNCIO*CC260+W_USO*CH260+W_SEGURIDAD*CJ260+W_ETIQUETA*CD260-CK260</f>
        <v/>
      </c>
      <c r="CM260" s="4">
        <f>IF(N(I260)&gt;0,I260,IFERROR(ROUND(_xlfn.NUMBERVALUE(LEFT(G260,FIND(" ",G260&amp;" ")-1),".")*1000,0),99999))</f>
        <v/>
      </c>
      <c r="CN260" s="3">
        <f>IF(R260="profesional",0,IF(O260&lt;CUOTA_VALOR_MAX,IF(BA260&gt;ITP_TRAMO_ALTO,SUMIFS(CF_CUOTA,CF_MAS,ITP_TRAMO_ALTO,CF_CCMIN,"&lt;="&amp;CM260,CF_CCMAX,"&gt;="&amp;CM260),IF(BA260&gt;ITP_TRAMO_BAJO,SUMIFS(CF_CUOTA,CF_MAS,ITP_TRAMO_BAJO,CF_CCMIN,"&lt;="&amp;CM260,CF_CCMAX,"&gt;="&amp;CM260),O260*ITP_TIPO)),O260*ITP_TIPO))</f>
        <v/>
      </c>
      <c r="CO260" s="4">
        <f>IF(R260="profesional",N(AK260),0)</f>
        <v/>
      </c>
      <c r="CP260" s="3">
        <f>IF(AND(R260="profesional",ISNUMBER(AK260),AL260="sí"),0,TASA_DGT)</f>
        <v/>
      </c>
      <c r="CQ260" s="3">
        <f>INFORME_DGT</f>
        <v/>
      </c>
      <c r="CR260" s="4">
        <f>O260+CO260+CN260+CP260+CQ260</f>
        <v/>
      </c>
      <c r="CS260" s="4">
        <f>CR260+N(CF260)</f>
        <v/>
      </c>
      <c r="CT260" s="3">
        <f>IF(CR260&lt;=TOTAL_MAX,"sí",IF(CR260&lt;=TOTAL_MAX+MARGEN_NEG,"negociar","no"))</f>
        <v/>
      </c>
      <c r="CU260" s="4">
        <f>IF(CT260&lt;&gt;"no",COUNTIFS($CT$2:$CT$545,"&lt;&gt;no",$CL$2:$CL$545,"&gt;"&amp;CL260)+COUNTIFS($CT$2:CT260,"&lt;&gt;no",$CL$2:CL260,CL260),"")</f>
        <v/>
      </c>
    </row>
    <row r="261">
      <c r="A261" s="2" t="inlineStr">
        <is>
          <t>wallapop:1316246339</t>
        </is>
      </c>
      <c r="B261" s="2" t="inlineStr">
        <is>
          <t>wallapop</t>
        </is>
      </c>
      <c r="C261" s="2" t="inlineStr">
        <is>
          <t>https://es.wallapop.com/item/opel-corsa-1-2-111-years-63-kw-85-cv-1316246339</t>
        </is>
      </c>
      <c r="D261" s="2" t="inlineStr">
        <is>
          <t>Opel Corsa 1.2 111 Years 63 kW (85 CV)</t>
        </is>
      </c>
      <c r="E261" s="2" t="inlineStr">
        <is>
          <t>Opel</t>
        </is>
      </c>
      <c r="F261" s="2" t="inlineStr">
        <is>
          <t>Opel Corsa</t>
        </is>
      </c>
      <c r="G261" s="2" t="inlineStr">
        <is>
          <t>1.2</t>
        </is>
      </c>
      <c r="H261" s="2" t="inlineStr">
        <is>
          <t>1.2 111 Years 63 kW (85 CV)</t>
        </is>
      </c>
      <c r="I261" s="2" t="n"/>
      <c r="J261" s="2" t="n">
        <v>85</v>
      </c>
      <c r="K261" s="2" t="inlineStr">
        <is>
          <t>gasolina</t>
        </is>
      </c>
      <c r="L261" s="2" t="inlineStr">
        <is>
          <t>utilitario</t>
        </is>
      </c>
      <c r="M261" s="2" t="n">
        <v>2011</v>
      </c>
      <c r="N261" s="2" t="n">
        <v>142307</v>
      </c>
      <c r="O261" s="2" t="n">
        <v>4750</v>
      </c>
      <c r="P261" s="2" t="inlineStr">
        <is>
          <t>manual</t>
        </is>
      </c>
      <c r="Q261" s="2" t="inlineStr">
        <is>
          <t>no</t>
        </is>
      </c>
      <c r="R261" s="2" t="inlineStr">
        <is>
          <t>profesional</t>
        </is>
      </c>
      <c r="S261" s="2" t="inlineStr">
        <is>
          <t>Paterna (46980)</t>
        </is>
      </c>
      <c r="T261" s="2" t="inlineStr">
        <is>
          <t>2026-10-26T19:54:36</t>
        </is>
      </c>
      <c r="U261" s="2" t="n">
        <v>11</v>
      </c>
      <c r="V261" s="2" t="n"/>
      <c r="W261" s="2" t="inlineStr">
        <is>
          <t>sí</t>
        </is>
      </c>
      <c r="X261" s="2" t="n"/>
      <c r="Y261" s="2" t="n"/>
      <c r="Z261" s="2" t="inlineStr">
        <is>
          <t>sí</t>
        </is>
      </c>
      <c r="AA261" s="2" t="n"/>
      <c r="AB261" s="2" t="n"/>
      <c r="AC261" s="2" t="n"/>
      <c r="AD261" s="2" t="n"/>
      <c r="AE261" s="2" t="n"/>
      <c r="AF261" s="2" t="inlineStr">
        <is>
          <t>sí</t>
        </is>
      </c>
      <c r="AG261" s="2" t="n"/>
      <c r="AH261" s="2" t="n"/>
      <c r="AI261" s="2" t="n"/>
      <c r="AJ261" s="2" t="n"/>
      <c r="AK261" s="2" t="n"/>
      <c r="AL261" s="2" t="n"/>
      <c r="AM261" s="2" t="n">
        <v>6.4</v>
      </c>
      <c r="AN261" s="2" t="inlineStr">
        <is>
          <t>1000KMS</t>
        </is>
      </c>
      <c r="AO261" s="2" t="inlineStr">
        <is>
          <t>2011</t>
        </is>
      </c>
      <c r="AP261" s="2" t="n">
        <v>2011</v>
      </c>
      <c r="AQ261" s="2" t="n"/>
      <c r="AR261" s="2" t="inlineStr">
        <is>
          <t>B</t>
        </is>
      </c>
      <c r="AS261" s="2" t="inlineStr">
        <is>
          <t>DGT</t>
        </is>
      </c>
      <c r="AT261" s="2" t="n">
        <v>4625</v>
      </c>
      <c r="AU261" s="2" t="n">
        <v>8</v>
      </c>
      <c r="AV261" s="2" t="inlineStr">
        <is>
          <t>modelo+año+km</t>
        </is>
      </c>
      <c r="AW261" s="2" t="n"/>
      <c r="AX261" s="2" t="inlineStr">
        <is>
          <t>vendedor profesional: sin ITP (operación con IVA/REBU, confirmar en factura); gastos de gestión del vendedor no indicados: se suma la tasa DGT; preguntar el precio final</t>
        </is>
      </c>
      <c r="AY261" s="2" t="inlineStr">
        <is>
          <t>Ref.126319718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Encendido automático de faros, Control de velocidad, Volante multifunción, Aire Acondicionado,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61" s="2" t="inlineStr">
        <is>
          <t>https://es.wallapop.com/item/opel-corsa-1-2-111-years-63-kw-85-cv-1316246339 (__NEXT_DATA__ item) /home/user/Alopecia/buscador-coches/raw/wallapop/7bf69f17a3c2bded.json</t>
        </is>
      </c>
      <c r="BA261" s="3">
        <f>MAX(ANIO_ACTUAL-M261,0)</f>
        <v/>
      </c>
      <c r="BB261" s="4">
        <f>N261/MAX(BA261,0.5)</f>
        <v/>
      </c>
      <c r="BC261" s="4">
        <f>F261</f>
        <v/>
      </c>
      <c r="BD261" s="3">
        <f>BC261&amp;"|"&amp;INT(M261/SEG_ANIO)*SEG_ANIO</f>
        <v/>
      </c>
      <c r="BE261" s="3">
        <f>BD261&amp;"|"&amp;INT(N261/SEG_KM)*SEG_KM</f>
        <v/>
      </c>
      <c r="BF261" s="4">
        <f>COUNTIF($BC$2:$BC$545,BC261)</f>
        <v/>
      </c>
      <c r="BG261" s="4">
        <f>COUNTIF($BD$2:$BD$545,BD261)</f>
        <v/>
      </c>
      <c r="BH261" s="4">
        <f>COUNTIF($BE$2:$BE$545,BE261)</f>
        <v/>
      </c>
      <c r="BI261" s="3">
        <f t="array" ref="BI261">IF(N(AU261)&gt;=MIN_N,AT261,IF(BH261&gt;=MIN_N,MEDIAN(IF($BE$2:$BE$545=BE261,$O$2:$O$545)),IF(BG261&gt;=MIN_N,MEDIAN(IF($BD$2:$BD$545=BD261,$O$2:$O$545)),MEDIAN(IF($BC$2:$BC$545=BC261,$O$2:$O$545)))))</f>
        <v/>
      </c>
      <c r="BJ261" s="3">
        <f>IF(N(AU261)&gt;=MIN_N,"mercado "&amp;AV261,IF(BH261&gt;=MIN_N,"modelo+año+km",IF(BG261&gt;=MIN_N,"modelo+año","modelo")))</f>
        <v/>
      </c>
      <c r="BK261" s="4">
        <f>(BI261-O261)/BI261</f>
        <v/>
      </c>
      <c r="BL261" s="3">
        <f>IF(COUNTIFS(FR_FUEL,K261,FR_YEAR,AP261)&gt;0,1,0)</f>
        <v/>
      </c>
      <c r="BM261" s="3">
        <f>IF(COUNTIFS(FR_FUEL,K261,FR_YEAR,AP261-1)&gt;0,1,0)</f>
        <v/>
      </c>
      <c r="BN261" s="4">
        <f>IF(N(AQ261)&gt;0,AP261*100+AQ261,IF(AND(BL261=1,BM261=1),(AP261-1)*100+1,AP261*100+1))</f>
        <v/>
      </c>
      <c r="BO261" s="3">
        <f>IF(OR(K261="hibrido",K261="glp",K261="gnc",K261="phev"),"ECO",IF(K261="electrico","CERO",IF(K261="gasolina",IF(BN261&gt;=GAS_C_YM,"C",IF(BN261&gt;=GAS_B_YM,"B","A")),IF(K261="diesel",IF(BN261&gt;=DIE_C_YM,"C",IF(BN261&gt;=DIE_B_YM,"B","A")),""))))</f>
        <v/>
      </c>
      <c r="BP261" s="2" t="inlineStr">
        <is>
          <t>B</t>
        </is>
      </c>
      <c r="BQ261" s="4">
        <f>IF(AS261="regla",IF(AND(N(AQ261)=0,BL261=1),"sí","no"),"no")</f>
        <v/>
      </c>
      <c r="BR261" s="3">
        <f>IFERROR(VLOOKUP(F261,MOD_TBL,11,0),IFERROR(VLOOKUP(E261,OCU_TBL,2,0),NEUTRO))</f>
        <v/>
      </c>
      <c r="BS261" s="3">
        <f>SUMIFS(MOT_AJUSTE,MOT_MOTOR,G261,MOT_MARCA,E261,MOT_DESDE,"&lt;="&amp;M261,MOT_HASTA,"&gt;="&amp;M261)+SUMIFS(MOT_AJUSTE,MOT_MOTOR,G261,MOT_MARCA,"(todas)",MOT_DESDE,"&lt;="&amp;M261,MOT_HASTA,"&gt;="&amp;M261)</f>
        <v/>
      </c>
      <c r="BT261" s="3">
        <f>SUMIFS(COMB_AJUSTE,COMB_COMB,K261)</f>
        <v/>
      </c>
      <c r="BU261" s="3">
        <f>COUNTIFS(MOT_MOTOR,G261,MOT_MARCA,E261,MOT_DESDE,"&lt;="&amp;M261,MOT_HASTA,"&gt;="&amp;M261)+COUNTIFS(MOT_MOTOR,G261,MOT_MARCA,"(todas)",MOT_DESDE,"&lt;="&amp;M261,MOT_HASTA,"&gt;="&amp;M261)</f>
        <v/>
      </c>
      <c r="BV261" s="3">
        <f>IF(AND(K261="diesel",BU261=0),MIN(BR261,NEUTRO),BR261)</f>
        <v/>
      </c>
      <c r="BW261" s="4">
        <f>MAX(0,MIN(100,BV261+BS261+BT261))</f>
        <v/>
      </c>
      <c r="BX261" s="3">
        <f>MAX(0,MIN(100,50+BK261*PRECIO_PEND))</f>
        <v/>
      </c>
      <c r="BY261" s="3">
        <f>MAX(0,100*(1-N261/KM_MAX))</f>
        <v/>
      </c>
      <c r="BZ261" s="3">
        <f>IF(BB261&lt;KMA_SOSP,IF(AA261="sí",100,KMA_PEN),IF(BB261&lt;=KMA_IDEAL_MAX,100,MAX(0,100*(KMA_CERO-BB261)/(KMA_CERO-KMA_IDEAL_MAX))))</f>
        <v/>
      </c>
      <c r="CA261" s="3">
        <f>MAX(0,MIN(100,100*(M261-ANIO_MIN)/(ANIO_ACTUAL-ANIO_MIN)))</f>
        <v/>
      </c>
      <c r="CB261" s="3">
        <f>W_KMT*BY261+W_KMA*BZ261+W_EDAD*CA261</f>
        <v/>
      </c>
      <c r="CC261" s="3">
        <f>P_ITV*(V261="sí")+P_LIBRO*(W261="sí")+P_CORREA*(X261="sí")+P_PROP*(Y261=1)+P_GAR*(Z261="sí")+P_FOTOS*MIN(1,N(U261)/FOTOS_OBJ)</f>
        <v/>
      </c>
      <c r="CD261" s="3">
        <f>MAX(0,MIN(100,IFERROR(VLOOKUP(BP261,ETQ_TBL,2,0),0)-IF(BQ261="sí",ETQ_PEN_DUD,IF(AS261="regla",ETQ_PEN_REGLA,0))))</f>
        <v/>
      </c>
      <c r="CE261" s="3">
        <f>NEUTRO</f>
        <v/>
      </c>
      <c r="CF261" s="3">
        <f>IFERROR(VLOOKUP(L261,SEGURO_TBL,3,0),"")</f>
        <v/>
      </c>
      <c r="CG261" s="3">
        <f>IF(CF261="",NEUTRO,MAX(0,MIN(100,100*(SEG_REF_MAX-CF261)/(SEG_REF_MAX-SEG_REF_MIN))))</f>
        <v/>
      </c>
      <c r="CH261" s="3">
        <f>W_CONS*CE261+W_SEG*CG261</f>
        <v/>
      </c>
      <c r="CI261" s="3">
        <f>IF(N(AB261)&gt;0,AB261,IF(AND(R261="profesional",SG_LEGAL_ON=1),GAR_LEGAL,0))</f>
        <v/>
      </c>
      <c r="CJ261" s="3">
        <f>SG_GAR*MIN(1,CI261/SG_GAR_FULL)+SG_AMPL*(AC261="sí")+SG_KMC*(AF261="sí")+SG_REV*(N(AE261)&gt;0)+SG_DEV*MIN(1,N(AG261)/SG_DEV_FULL)+SG_HIST*(W261="sí")</f>
        <v/>
      </c>
      <c r="CK261" s="3">
        <f>IFERROR(VLOOKUP(L261,CARR_PEN_TBL,2,0),0)</f>
        <v/>
      </c>
      <c r="CL261" s="3">
        <f>W_FIAB*BW261+W_PRECIO*BX261+W_KMEDAD*CB261+W_ANUNCIO*CC261+W_USO*CH261+W_SEGURIDAD*CJ261+W_ETIQUETA*CD261-CK261</f>
        <v/>
      </c>
      <c r="CM261" s="4">
        <f>IF(N(I261)&gt;0,I261,IFERROR(ROUND(_xlfn.NUMBERVALUE(LEFT(G261,FIND(" ",G261&amp;" ")-1),".")*1000,0),99999))</f>
        <v/>
      </c>
      <c r="CN261" s="3">
        <f>IF(R261="profesional",0,IF(O261&lt;CUOTA_VALOR_MAX,IF(BA261&gt;ITP_TRAMO_ALTO,SUMIFS(CF_CUOTA,CF_MAS,ITP_TRAMO_ALTO,CF_CCMIN,"&lt;="&amp;CM261,CF_CCMAX,"&gt;="&amp;CM261),IF(BA261&gt;ITP_TRAMO_BAJO,SUMIFS(CF_CUOTA,CF_MAS,ITP_TRAMO_BAJO,CF_CCMIN,"&lt;="&amp;CM261,CF_CCMAX,"&gt;="&amp;CM261),O261*ITP_TIPO)),O261*ITP_TIPO))</f>
        <v/>
      </c>
      <c r="CO261" s="4">
        <f>IF(R261="profesional",N(AK261),0)</f>
        <v/>
      </c>
      <c r="CP261" s="3">
        <f>IF(AND(R261="profesional",ISNUMBER(AK261),AL261="sí"),0,TASA_DGT)</f>
        <v/>
      </c>
      <c r="CQ261" s="3">
        <f>INFORME_DGT</f>
        <v/>
      </c>
      <c r="CR261" s="4">
        <f>O261+CO261+CN261+CP261+CQ261</f>
        <v/>
      </c>
      <c r="CS261" s="4">
        <f>CR261+N(CF261)</f>
        <v/>
      </c>
      <c r="CT261" s="3">
        <f>IF(CR261&lt;=TOTAL_MAX,"sí",IF(CR261&lt;=TOTAL_MAX+MARGEN_NEG,"negociar","no"))</f>
        <v/>
      </c>
      <c r="CU261" s="4">
        <f>IF(CT261&lt;&gt;"no",COUNTIFS($CT$2:$CT$545,"&lt;&gt;no",$CL$2:$CL$545,"&gt;"&amp;CL261)+COUNTIFS($CT$2:CT261,"&lt;&gt;no",$CL$2:CL261,CL261),"")</f>
        <v/>
      </c>
    </row>
    <row r="262">
      <c r="A262" s="2" t="inlineStr">
        <is>
          <t>wallapop:1317003992</t>
        </is>
      </c>
      <c r="B262" s="2" t="inlineStr">
        <is>
          <t>wallapop</t>
        </is>
      </c>
      <c r="C262" s="2" t="inlineStr">
        <is>
          <t>https://es.wallapop.com/item/opel-astra-2006-twinport-1-6-1317003992</t>
        </is>
      </c>
      <c r="D262" s="2" t="inlineStr">
        <is>
          <t>Opel Astra 2006 Twinport 1.6</t>
        </is>
      </c>
      <c r="E262" s="2" t="inlineStr">
        <is>
          <t>Opel</t>
        </is>
      </c>
      <c r="F262" s="2" t="inlineStr">
        <is>
          <t>Opel Astra</t>
        </is>
      </c>
      <c r="G262" s="2" t="inlineStr">
        <is>
          <t>1.6</t>
        </is>
      </c>
      <c r="H262" s="2" t="inlineStr">
        <is>
          <t>1.6 Twinport</t>
        </is>
      </c>
      <c r="I262" s="2" t="n"/>
      <c r="J262" s="2" t="n">
        <v>105</v>
      </c>
      <c r="K262" s="2" t="inlineStr">
        <is>
          <t>gasolina</t>
        </is>
      </c>
      <c r="L262" s="2" t="inlineStr">
        <is>
          <t>compacto</t>
        </is>
      </c>
      <c r="M262" s="2" t="n">
        <v>2006</v>
      </c>
      <c r="N262" s="2" t="n">
        <v>120000</v>
      </c>
      <c r="O262" s="2" t="n">
        <v>3750</v>
      </c>
      <c r="P262" s="2" t="inlineStr">
        <is>
          <t>manual</t>
        </is>
      </c>
      <c r="Q262" s="2" t="inlineStr">
        <is>
          <t>no</t>
        </is>
      </c>
      <c r="R262" s="2" t="inlineStr">
        <is>
          <t>particular</t>
        </is>
      </c>
      <c r="S262" s="2" t="inlineStr">
        <is>
          <t>Valencia (46002)</t>
        </is>
      </c>
      <c r="T262" s="2" t="inlineStr">
        <is>
          <t>2026-10-25T11:59:14</t>
        </is>
      </c>
      <c r="U262" s="2" t="n">
        <v>7</v>
      </c>
      <c r="V262" s="2" t="inlineStr">
        <is>
          <t>sí</t>
        </is>
      </c>
      <c r="W262" s="2" t="n"/>
      <c r="X262" s="2" t="n"/>
      <c r="Y262" s="2" t="n"/>
      <c r="Z262" s="2" t="n"/>
      <c r="AA262" s="2" t="n"/>
      <c r="AB262" s="2" t="n"/>
      <c r="AC262" s="2" t="n"/>
      <c r="AD262" s="2" t="n"/>
      <c r="AE262" s="2" t="n"/>
      <c r="AF262" s="2" t="n"/>
      <c r="AG262" s="2" t="n"/>
      <c r="AH262" s="2" t="n"/>
      <c r="AI262" s="2" t="n"/>
      <c r="AJ262" s="2" t="n"/>
      <c r="AK262" s="2" t="n"/>
      <c r="AL262" s="2" t="n"/>
      <c r="AM262" s="2" t="n">
        <v>0.3</v>
      </c>
      <c r="AN262" s="2" t="n"/>
      <c r="AO262" s="2" t="inlineStr">
        <is>
          <t>2006</t>
        </is>
      </c>
      <c r="AP262" s="2" t="n">
        <v>2006</v>
      </c>
      <c r="AQ262" s="2" t="n"/>
      <c r="AR262" s="2" t="n"/>
      <c r="AS262" s="2" t="inlineStr">
        <is>
          <t>regla</t>
        </is>
      </c>
      <c r="AT262" s="2" t="n">
        <v>3725</v>
      </c>
      <c r="AU262" s="2" t="n">
        <v>12</v>
      </c>
      <c r="AV262" s="2" t="inlineStr">
        <is>
          <t>modelo+año+km</t>
        </is>
      </c>
      <c r="AW262" s="2" t="n"/>
      <c r="AX262" s="2" t="inlineStr">
        <is>
          <t>cuota fija ITP: &gt;12 años, 1.501-2.000 cc</t>
        </is>
      </c>
      <c r="AY262" s="2" t="inlineStr">
        <is>
          <t xml:space="preserve">Vendo Opel Astra 1.6 Twinport de gasolina del año 2006, con **solo 120.000 km**. Coche en buen estado general, funciona perfectamente y tiene la ITV en vigor.
✅ Motor de gasolina, ideal para el día a día.
✅ Kilometraje bajo para su año.
✅ ITV en vigor.
✅ Incluye extras como fundas para los asientos, alfombrillas y funda de volante.
✅ Ideal para moverse por ciudad o como primer coche para ganar experiencia al volante.
Como es normal por su antigüedad, tiene algunos rasguños estéticos. El aire acondicionado está descargado y necesita recarga.
Un coche práctico, económico y funcional, perfecto para alguien que busque su primer vehículo o un coche para el uso diario.
</t>
        </is>
      </c>
      <c r="AZ262" s="2" t="inlineStr">
        <is>
          <t>https://es.wallapop.com/item/opel-astra-2006-twinport-1-6-1317003992 (__NEXT_DATA__ item) /home/user/Alopecia/buscador-coches/raw/wallapop/d69638997c12c4d7.json</t>
        </is>
      </c>
      <c r="BA262" s="3">
        <f>MAX(ANIO_ACTUAL-M262,0)</f>
        <v/>
      </c>
      <c r="BB262" s="4">
        <f>N262/MAX(BA262,0.5)</f>
        <v/>
      </c>
      <c r="BC262" s="4">
        <f>F262</f>
        <v/>
      </c>
      <c r="BD262" s="3">
        <f>BC262&amp;"|"&amp;INT(M262/SEG_ANIO)*SEG_ANIO</f>
        <v/>
      </c>
      <c r="BE262" s="3">
        <f>BD262&amp;"|"&amp;INT(N262/SEG_KM)*SEG_KM</f>
        <v/>
      </c>
      <c r="BF262" s="4">
        <f>COUNTIF($BC$2:$BC$545,BC262)</f>
        <v/>
      </c>
      <c r="BG262" s="4">
        <f>COUNTIF($BD$2:$BD$545,BD262)</f>
        <v/>
      </c>
      <c r="BH262" s="4">
        <f>COUNTIF($BE$2:$BE$545,BE262)</f>
        <v/>
      </c>
      <c r="BI262" s="3">
        <f t="array" ref="BI262">IF(N(AU262)&gt;=MIN_N,AT262,IF(BH262&gt;=MIN_N,MEDIAN(IF($BE$2:$BE$545=BE262,$O$2:$O$545)),IF(BG262&gt;=MIN_N,MEDIAN(IF($BD$2:$BD$545=BD262,$O$2:$O$545)),MEDIAN(IF($BC$2:$BC$545=BC262,$O$2:$O$545)))))</f>
        <v/>
      </c>
      <c r="BJ262" s="3">
        <f>IF(N(AU262)&gt;=MIN_N,"mercado "&amp;AV262,IF(BH262&gt;=MIN_N,"modelo+año+km",IF(BG262&gt;=MIN_N,"modelo+año","modelo")))</f>
        <v/>
      </c>
      <c r="BK262" s="4">
        <f>(BI262-O262)/BI262</f>
        <v/>
      </c>
      <c r="BL262" s="3">
        <f>IF(COUNTIFS(FR_FUEL,K262,FR_YEAR,AP262)&gt;0,1,0)</f>
        <v/>
      </c>
      <c r="BM262" s="3">
        <f>IF(COUNTIFS(FR_FUEL,K262,FR_YEAR,AP262-1)&gt;0,1,0)</f>
        <v/>
      </c>
      <c r="BN262" s="4">
        <f>IF(N(AQ262)&gt;0,AP262*100+AQ262,IF(AND(BL262=1,BM262=1),(AP262-1)*100+1,AP262*100+1))</f>
        <v/>
      </c>
      <c r="BO262" s="3">
        <f>IF(OR(K262="hibrido",K262="glp",K262="gnc",K262="phev"),"ECO",IF(K262="electrico","CERO",IF(K262="gasolina",IF(BN262&gt;=GAS_C_YM,"C",IF(BN262&gt;=GAS_B_YM,"B","A")),IF(K262="diesel",IF(BN262&gt;=DIE_C_YM,"C",IF(BN262&gt;=DIE_B_YM,"B","A")),""))))</f>
        <v/>
      </c>
      <c r="BP262" s="4">
        <f>BO262</f>
        <v/>
      </c>
      <c r="BQ262" s="4">
        <f>IF(AS262="regla",IF(AND(N(AQ262)=0,BL262=1),"sí","no"),"no")</f>
        <v/>
      </c>
      <c r="BR262" s="3">
        <f>IFERROR(VLOOKUP(F262,MOD_TBL,11,0),IFERROR(VLOOKUP(E262,OCU_TBL,2,0),NEUTRO))</f>
        <v/>
      </c>
      <c r="BS262" s="3">
        <f>SUMIFS(MOT_AJUSTE,MOT_MOTOR,G262,MOT_MARCA,E262,MOT_DESDE,"&lt;="&amp;M262,MOT_HASTA,"&gt;="&amp;M262)+SUMIFS(MOT_AJUSTE,MOT_MOTOR,G262,MOT_MARCA,"(todas)",MOT_DESDE,"&lt;="&amp;M262,MOT_HASTA,"&gt;="&amp;M262)</f>
        <v/>
      </c>
      <c r="BT262" s="3">
        <f>SUMIFS(COMB_AJUSTE,COMB_COMB,K262)</f>
        <v/>
      </c>
      <c r="BU262" s="3">
        <f>COUNTIFS(MOT_MOTOR,G262,MOT_MARCA,E262,MOT_DESDE,"&lt;="&amp;M262,MOT_HASTA,"&gt;="&amp;M262)+COUNTIFS(MOT_MOTOR,G262,MOT_MARCA,"(todas)",MOT_DESDE,"&lt;="&amp;M262,MOT_HASTA,"&gt;="&amp;M262)</f>
        <v/>
      </c>
      <c r="BV262" s="3">
        <f>IF(AND(K262="diesel",BU262=0),MIN(BR262,NEUTRO),BR262)</f>
        <v/>
      </c>
      <c r="BW262" s="4">
        <f>MAX(0,MIN(100,BV262+BS262+BT262))</f>
        <v/>
      </c>
      <c r="BX262" s="3">
        <f>MAX(0,MIN(100,50+BK262*PRECIO_PEND))</f>
        <v/>
      </c>
      <c r="BY262" s="3">
        <f>MAX(0,100*(1-N262/KM_MAX))</f>
        <v/>
      </c>
      <c r="BZ262" s="3">
        <f>IF(BB262&lt;KMA_SOSP,IF(AA262="sí",100,KMA_PEN),IF(BB262&lt;=KMA_IDEAL_MAX,100,MAX(0,100*(KMA_CERO-BB262)/(KMA_CERO-KMA_IDEAL_MAX))))</f>
        <v/>
      </c>
      <c r="CA262" s="3">
        <f>MAX(0,MIN(100,100*(M262-ANIO_MIN)/(ANIO_ACTUAL-ANIO_MIN)))</f>
        <v/>
      </c>
      <c r="CB262" s="3">
        <f>W_KMT*BY262+W_KMA*BZ262+W_EDAD*CA262</f>
        <v/>
      </c>
      <c r="CC262" s="3">
        <f>P_ITV*(V262="sí")+P_LIBRO*(W262="sí")+P_CORREA*(X262="sí")+P_PROP*(Y262=1)+P_GAR*(Z262="sí")+P_FOTOS*MIN(1,N(U262)/FOTOS_OBJ)</f>
        <v/>
      </c>
      <c r="CD262" s="3">
        <f>MAX(0,MIN(100,IFERROR(VLOOKUP(BP262,ETQ_TBL,2,0),0)-IF(BQ262="sí",ETQ_PEN_DUD,IF(AS262="regla",ETQ_PEN_REGLA,0))))</f>
        <v/>
      </c>
      <c r="CE262" s="3">
        <f>NEUTRO</f>
        <v/>
      </c>
      <c r="CF262" s="3">
        <f>IFERROR(VLOOKUP(L262,SEGURO_TBL,3,0),"")</f>
        <v/>
      </c>
      <c r="CG262" s="3">
        <f>IF(CF262="",NEUTRO,MAX(0,MIN(100,100*(SEG_REF_MAX-CF262)/(SEG_REF_MAX-SEG_REF_MIN))))</f>
        <v/>
      </c>
      <c r="CH262" s="3">
        <f>W_CONS*CE262+W_SEG*CG262</f>
        <v/>
      </c>
      <c r="CI262" s="3">
        <f>IF(N(AB262)&gt;0,AB262,IF(AND(R262="profesional",SG_LEGAL_ON=1),GAR_LEGAL,0))</f>
        <v/>
      </c>
      <c r="CJ262" s="3">
        <f>SG_GAR*MIN(1,CI262/SG_GAR_FULL)+SG_AMPL*(AC262="sí")+SG_KMC*(AF262="sí")+SG_REV*(N(AE262)&gt;0)+SG_DEV*MIN(1,N(AG262)/SG_DEV_FULL)+SG_HIST*(W262="sí")</f>
        <v/>
      </c>
      <c r="CK262" s="3">
        <f>IFERROR(VLOOKUP(L262,CARR_PEN_TBL,2,0),0)</f>
        <v/>
      </c>
      <c r="CL262" s="3">
        <f>W_FIAB*BW262+W_PRECIO*BX262+W_KMEDAD*CB262+W_ANUNCIO*CC262+W_USO*CH262+W_SEGURIDAD*CJ262+W_ETIQUETA*CD262-CK262</f>
        <v/>
      </c>
      <c r="CM262" s="4">
        <f>IF(N(I262)&gt;0,I262,IFERROR(ROUND(_xlfn.NUMBERVALUE(LEFT(G262,FIND(" ",G262&amp;" ")-1),".")*1000,0),99999))</f>
        <v/>
      </c>
      <c r="CN262" s="3">
        <f>IF(R262="profesional",0,IF(O262&lt;CUOTA_VALOR_MAX,IF(BA262&gt;ITP_TRAMO_ALTO,SUMIFS(CF_CUOTA,CF_MAS,ITP_TRAMO_ALTO,CF_CCMIN,"&lt;="&amp;CM262,CF_CCMAX,"&gt;="&amp;CM262),IF(BA262&gt;ITP_TRAMO_BAJO,SUMIFS(CF_CUOTA,CF_MAS,ITP_TRAMO_BAJO,CF_CCMIN,"&lt;="&amp;CM262,CF_CCMAX,"&gt;="&amp;CM262),O262*ITP_TIPO)),O262*ITP_TIPO))</f>
        <v/>
      </c>
      <c r="CO262" s="4">
        <f>IF(R262="profesional",N(AK262),0)</f>
        <v/>
      </c>
      <c r="CP262" s="3">
        <f>IF(AND(R262="profesional",ISNUMBER(AK262),AL262="sí"),0,TASA_DGT)</f>
        <v/>
      </c>
      <c r="CQ262" s="3">
        <f>INFORME_DGT</f>
        <v/>
      </c>
      <c r="CR262" s="4">
        <f>O262+CO262+CN262+CP262+CQ262</f>
        <v/>
      </c>
      <c r="CS262" s="4">
        <f>CR262+N(CF262)</f>
        <v/>
      </c>
      <c r="CT262" s="3">
        <f>IF(CR262&lt;=TOTAL_MAX,"sí",IF(CR262&lt;=TOTAL_MAX+MARGEN_NEG,"negociar","no"))</f>
        <v/>
      </c>
      <c r="CU262" s="4">
        <f>IF(CT262&lt;&gt;"no",COUNTIFS($CT$2:$CT$545,"&lt;&gt;no",$CL$2:$CL$545,"&gt;"&amp;CL262)+COUNTIFS($CT$2:CT262,"&lt;&gt;no",$CL$2:CL262,CL262),"")</f>
        <v/>
      </c>
    </row>
    <row r="263">
      <c r="A263" s="2" t="inlineStr">
        <is>
          <t>wallapop:1314718258</t>
        </is>
      </c>
      <c r="B263" s="2" t="inlineStr">
        <is>
          <t>wallapop</t>
        </is>
      </c>
      <c r="C263" s="2" t="inlineStr">
        <is>
          <t>https://es.wallapop.com/item/opel-astra-2008-1314718258</t>
        </is>
      </c>
      <c r="D263" s="2" t="inlineStr">
        <is>
          <t>Opel Astra 2008</t>
        </is>
      </c>
      <c r="E263" s="2" t="inlineStr">
        <is>
          <t>Opel</t>
        </is>
      </c>
      <c r="F263" s="2" t="inlineStr">
        <is>
          <t>Opel Astra</t>
        </is>
      </c>
      <c r="G263" s="2" t="inlineStr">
        <is>
          <t>1.9 CDTi</t>
        </is>
      </c>
      <c r="H263" s="2" t="inlineStr">
        <is>
          <t>1.9 CDTi 150 Cosmo 5p 6v</t>
        </is>
      </c>
      <c r="I263" s="2" t="n"/>
      <c r="J263" s="2" t="n">
        <v>150</v>
      </c>
      <c r="K263" s="2" t="inlineStr">
        <is>
          <t>diesel</t>
        </is>
      </c>
      <c r="L263" s="2" t="inlineStr">
        <is>
          <t>compacto</t>
        </is>
      </c>
      <c r="M263" s="2" t="n">
        <v>2008</v>
      </c>
      <c r="N263" s="2" t="n">
        <v>180000</v>
      </c>
      <c r="O263" s="2" t="n">
        <v>4999</v>
      </c>
      <c r="P263" s="2" t="inlineStr">
        <is>
          <t>manual</t>
        </is>
      </c>
      <c r="Q263" s="2" t="inlineStr">
        <is>
          <t>no</t>
        </is>
      </c>
      <c r="R263" s="2" t="inlineStr">
        <is>
          <t>particular</t>
        </is>
      </c>
      <c r="S263" s="2" t="inlineStr">
        <is>
          <t>Valencia (46002)</t>
        </is>
      </c>
      <c r="T263" s="2" t="inlineStr">
        <is>
          <t>2026-10-19T00:56:50</t>
        </is>
      </c>
      <c r="U263" s="2" t="n">
        <v>5</v>
      </c>
      <c r="V263" s="2" t="n"/>
      <c r="W263" s="2" t="n"/>
      <c r="X263" s="2" t="n"/>
      <c r="Y263" s="2" t="n"/>
      <c r="Z263" s="2" t="n"/>
      <c r="AA263" s="2" t="n"/>
      <c r="AB263" s="2" t="n"/>
      <c r="AC263" s="2" t="n"/>
      <c r="AD263" s="2" t="n"/>
      <c r="AE263" s="2" t="n"/>
      <c r="AF263" s="2" t="n"/>
      <c r="AG263" s="2" t="n"/>
      <c r="AH263" s="2" t="n"/>
      <c r="AI263" s="2" t="n"/>
      <c r="AJ263" s="2" t="n"/>
      <c r="AK263" s="2" t="n"/>
      <c r="AL263" s="2" t="n"/>
      <c r="AM263" s="2" t="n">
        <v>0.9</v>
      </c>
      <c r="AN263" s="2" t="n"/>
      <c r="AO263" s="2" t="inlineStr">
        <is>
          <t>2008</t>
        </is>
      </c>
      <c r="AP263" s="2" t="n">
        <v>2008</v>
      </c>
      <c r="AQ263" s="2" t="n"/>
      <c r="AR263" s="2" t="n"/>
      <c r="AS263" s="2" t="inlineStr">
        <is>
          <t>regla</t>
        </is>
      </c>
      <c r="AT263" s="2" t="n">
        <v>4300</v>
      </c>
      <c r="AU263" s="2" t="n">
        <v>17</v>
      </c>
      <c r="AV263" s="2" t="inlineStr">
        <is>
          <t>modelo+año+km</t>
        </is>
      </c>
      <c r="AW263" s="2" t="n"/>
      <c r="AX263" s="2" t="inlineStr">
        <is>
          <t>por encima del presupuesto (5123 €), negociar; cuota fija ITP: &gt;12 años, 1.501-2.000 cc; diésel: motor sin fuente de fiabilidad (fiabilidad limitada a neutra)</t>
        </is>
      </c>
      <c r="AY263" s="2" t="inlineStr">
        <is>
          <t>En perfecto de todo ,repito perfecto de todo y todo al día mecánica he impuestos .</t>
        </is>
      </c>
      <c r="AZ263" s="2" t="inlineStr">
        <is>
          <t>https://es.wallapop.com/item/opel-astra-2008-1314718258 (__NEXT_DATA__ item) /home/user/Alopecia/buscador-coches/raw/wallapop/a05ca11fea5e8995.json</t>
        </is>
      </c>
      <c r="BA263" s="3">
        <f>MAX(ANIO_ACTUAL-M263,0)</f>
        <v/>
      </c>
      <c r="BB263" s="4">
        <f>N263/MAX(BA263,0.5)</f>
        <v/>
      </c>
      <c r="BC263" s="4">
        <f>F263</f>
        <v/>
      </c>
      <c r="BD263" s="3">
        <f>BC263&amp;"|"&amp;INT(M263/SEG_ANIO)*SEG_ANIO</f>
        <v/>
      </c>
      <c r="BE263" s="3">
        <f>BD263&amp;"|"&amp;INT(N263/SEG_KM)*SEG_KM</f>
        <v/>
      </c>
      <c r="BF263" s="4">
        <f>COUNTIF($BC$2:$BC$545,BC263)</f>
        <v/>
      </c>
      <c r="BG263" s="4">
        <f>COUNTIF($BD$2:$BD$545,BD263)</f>
        <v/>
      </c>
      <c r="BH263" s="4">
        <f>COUNTIF($BE$2:$BE$545,BE263)</f>
        <v/>
      </c>
      <c r="BI263" s="3">
        <f t="array" ref="BI263">IF(N(AU263)&gt;=MIN_N,AT263,IF(BH263&gt;=MIN_N,MEDIAN(IF($BE$2:$BE$545=BE263,$O$2:$O$545)),IF(BG263&gt;=MIN_N,MEDIAN(IF($BD$2:$BD$545=BD263,$O$2:$O$545)),MEDIAN(IF($BC$2:$BC$545=BC263,$O$2:$O$545)))))</f>
        <v/>
      </c>
      <c r="BJ263" s="3">
        <f>IF(N(AU263)&gt;=MIN_N,"mercado "&amp;AV263,IF(BH263&gt;=MIN_N,"modelo+año+km",IF(BG263&gt;=MIN_N,"modelo+año","modelo")))</f>
        <v/>
      </c>
      <c r="BK263" s="4">
        <f>(BI263-O263)/BI263</f>
        <v/>
      </c>
      <c r="BL263" s="3">
        <f>IF(COUNTIFS(FR_FUEL,K263,FR_YEAR,AP263)&gt;0,1,0)</f>
        <v/>
      </c>
      <c r="BM263" s="3">
        <f>IF(COUNTIFS(FR_FUEL,K263,FR_YEAR,AP263-1)&gt;0,1,0)</f>
        <v/>
      </c>
      <c r="BN263" s="4">
        <f>IF(N(AQ263)&gt;0,AP263*100+AQ263,IF(AND(BL263=1,BM263=1),(AP263-1)*100+1,AP263*100+1))</f>
        <v/>
      </c>
      <c r="BO263" s="3">
        <f>IF(OR(K263="hibrido",K263="glp",K263="gnc",K263="phev"),"ECO",IF(K263="electrico","CERO",IF(K263="gasolina",IF(BN263&gt;=GAS_C_YM,"C",IF(BN263&gt;=GAS_B_YM,"B","A")),IF(K263="diesel",IF(BN263&gt;=DIE_C_YM,"C",IF(BN263&gt;=DIE_B_YM,"B","A")),""))))</f>
        <v/>
      </c>
      <c r="BP263" s="4">
        <f>BO263</f>
        <v/>
      </c>
      <c r="BQ263" s="4">
        <f>IF(AS263="regla",IF(AND(N(AQ263)=0,BL263=1),"sí","no"),"no")</f>
        <v/>
      </c>
      <c r="BR263" s="3">
        <f>IFERROR(VLOOKUP(F263,MOD_TBL,11,0),IFERROR(VLOOKUP(E263,OCU_TBL,2,0),NEUTRO))</f>
        <v/>
      </c>
      <c r="BS263" s="3">
        <f>SUMIFS(MOT_AJUSTE,MOT_MOTOR,G263,MOT_MARCA,E263,MOT_DESDE,"&lt;="&amp;M263,MOT_HASTA,"&gt;="&amp;M263)+SUMIFS(MOT_AJUSTE,MOT_MOTOR,G263,MOT_MARCA,"(todas)",MOT_DESDE,"&lt;="&amp;M263,MOT_HASTA,"&gt;="&amp;M263)</f>
        <v/>
      </c>
      <c r="BT263" s="3">
        <f>SUMIFS(COMB_AJUSTE,COMB_COMB,K263)</f>
        <v/>
      </c>
      <c r="BU263" s="3">
        <f>COUNTIFS(MOT_MOTOR,G263,MOT_MARCA,E263,MOT_DESDE,"&lt;="&amp;M263,MOT_HASTA,"&gt;="&amp;M263)+COUNTIFS(MOT_MOTOR,G263,MOT_MARCA,"(todas)",MOT_DESDE,"&lt;="&amp;M263,MOT_HASTA,"&gt;="&amp;M263)</f>
        <v/>
      </c>
      <c r="BV263" s="3">
        <f>IF(AND(K263="diesel",BU263=0),MIN(BR263,NEUTRO),BR263)</f>
        <v/>
      </c>
      <c r="BW263" s="4">
        <f>MAX(0,MIN(100,BV263+BS263+BT263))</f>
        <v/>
      </c>
      <c r="BX263" s="3">
        <f>MAX(0,MIN(100,50+BK263*PRECIO_PEND))</f>
        <v/>
      </c>
      <c r="BY263" s="3">
        <f>MAX(0,100*(1-N263/KM_MAX))</f>
        <v/>
      </c>
      <c r="BZ263" s="3">
        <f>IF(BB263&lt;KMA_SOSP,IF(AA263="sí",100,KMA_PEN),IF(BB263&lt;=KMA_IDEAL_MAX,100,MAX(0,100*(KMA_CERO-BB263)/(KMA_CERO-KMA_IDEAL_MAX))))</f>
        <v/>
      </c>
      <c r="CA263" s="3">
        <f>MAX(0,MIN(100,100*(M263-ANIO_MIN)/(ANIO_ACTUAL-ANIO_MIN)))</f>
        <v/>
      </c>
      <c r="CB263" s="3">
        <f>W_KMT*BY263+W_KMA*BZ263+W_EDAD*CA263</f>
        <v/>
      </c>
      <c r="CC263" s="3">
        <f>P_ITV*(V263="sí")+P_LIBRO*(W263="sí")+P_CORREA*(X263="sí")+P_PROP*(Y263=1)+P_GAR*(Z263="sí")+P_FOTOS*MIN(1,N(U263)/FOTOS_OBJ)</f>
        <v/>
      </c>
      <c r="CD263" s="3">
        <f>MAX(0,MIN(100,IFERROR(VLOOKUP(BP263,ETQ_TBL,2,0),0)-IF(BQ263="sí",ETQ_PEN_DUD,IF(AS263="regla",ETQ_PEN_REGLA,0))))</f>
        <v/>
      </c>
      <c r="CE263" s="3">
        <f>NEUTRO</f>
        <v/>
      </c>
      <c r="CF263" s="3">
        <f>IFERROR(VLOOKUP(L263,SEGURO_TBL,3,0),"")</f>
        <v/>
      </c>
      <c r="CG263" s="3">
        <f>IF(CF263="",NEUTRO,MAX(0,MIN(100,100*(SEG_REF_MAX-CF263)/(SEG_REF_MAX-SEG_REF_MIN))))</f>
        <v/>
      </c>
      <c r="CH263" s="3">
        <f>W_CONS*CE263+W_SEG*CG263</f>
        <v/>
      </c>
      <c r="CI263" s="3">
        <f>IF(N(AB263)&gt;0,AB263,IF(AND(R263="profesional",SG_LEGAL_ON=1),GAR_LEGAL,0))</f>
        <v/>
      </c>
      <c r="CJ263" s="3">
        <f>SG_GAR*MIN(1,CI263/SG_GAR_FULL)+SG_AMPL*(AC263="sí")+SG_KMC*(AF263="sí")+SG_REV*(N(AE263)&gt;0)+SG_DEV*MIN(1,N(AG263)/SG_DEV_FULL)+SG_HIST*(W263="sí")</f>
        <v/>
      </c>
      <c r="CK263" s="3">
        <f>IFERROR(VLOOKUP(L263,CARR_PEN_TBL,2,0),0)</f>
        <v/>
      </c>
      <c r="CL263" s="3">
        <f>W_FIAB*BW263+W_PRECIO*BX263+W_KMEDAD*CB263+W_ANUNCIO*CC263+W_USO*CH263+W_SEGURIDAD*CJ263+W_ETIQUETA*CD263-CK263</f>
        <v/>
      </c>
      <c r="CM263" s="4">
        <f>IF(N(I263)&gt;0,I263,IFERROR(ROUND(_xlfn.NUMBERVALUE(LEFT(G263,FIND(" ",G263&amp;" ")-1),".")*1000,0),99999))</f>
        <v/>
      </c>
      <c r="CN263" s="3">
        <f>IF(R263="profesional",0,IF(O263&lt;CUOTA_VALOR_MAX,IF(BA263&gt;ITP_TRAMO_ALTO,SUMIFS(CF_CUOTA,CF_MAS,ITP_TRAMO_ALTO,CF_CCMIN,"&lt;="&amp;CM263,CF_CCMAX,"&gt;="&amp;CM263),IF(BA263&gt;ITP_TRAMO_BAJO,SUMIFS(CF_CUOTA,CF_MAS,ITP_TRAMO_BAJO,CF_CCMIN,"&lt;="&amp;CM263,CF_CCMAX,"&gt;="&amp;CM263),O263*ITP_TIPO)),O263*ITP_TIPO))</f>
        <v/>
      </c>
      <c r="CO263" s="4">
        <f>IF(R263="profesional",N(AK263),0)</f>
        <v/>
      </c>
      <c r="CP263" s="3">
        <f>IF(AND(R263="profesional",ISNUMBER(AK263),AL263="sí"),0,TASA_DGT)</f>
        <v/>
      </c>
      <c r="CQ263" s="3">
        <f>INFORME_DGT</f>
        <v/>
      </c>
      <c r="CR263" s="4">
        <f>O263+CO263+CN263+CP263+CQ263</f>
        <v/>
      </c>
      <c r="CS263" s="4">
        <f>CR263+N(CF263)</f>
        <v/>
      </c>
      <c r="CT263" s="3">
        <f>IF(CR263&lt;=TOTAL_MAX,"sí",IF(CR263&lt;=TOTAL_MAX+MARGEN_NEG,"negociar","no"))</f>
        <v/>
      </c>
      <c r="CU263" s="4">
        <f>IF(CT263&lt;&gt;"no",COUNTIFS($CT$2:$CT$545,"&lt;&gt;no",$CL$2:$CL$545,"&gt;"&amp;CL263)+COUNTIFS($CT$2:CT263,"&lt;&gt;no",$CL$2:CL263,CL263),"")</f>
        <v/>
      </c>
    </row>
    <row r="264">
      <c r="A264" s="2" t="inlineStr">
        <is>
          <t>wallapop:1259878820</t>
        </is>
      </c>
      <c r="B264" s="2" t="inlineStr">
        <is>
          <t>wallapop</t>
        </is>
      </c>
      <c r="C264" s="2" t="inlineStr">
        <is>
          <t>https://es.wallapop.com/item/opel-astra-2010-diesel-cdti-1259878820</t>
        </is>
      </c>
      <c r="D264" s="2" t="inlineStr">
        <is>
          <t>Opel Astra 2010 Diesel CDTI</t>
        </is>
      </c>
      <c r="E264" s="2" t="inlineStr">
        <is>
          <t>Opel</t>
        </is>
      </c>
      <c r="F264" s="2" t="inlineStr">
        <is>
          <t>Opel Astra</t>
        </is>
      </c>
      <c r="G264" s="2" t="inlineStr">
        <is>
          <t>1.7 CDTi</t>
        </is>
      </c>
      <c r="H264" s="2" t="inlineStr">
        <is>
          <t>1.7 CDTi 110 Enjoy 5p</t>
        </is>
      </c>
      <c r="I264" s="2" t="n"/>
      <c r="J264" s="2" t="n">
        <v>110</v>
      </c>
      <c r="K264" s="2" t="inlineStr">
        <is>
          <t>diesel</t>
        </is>
      </c>
      <c r="L264" s="2" t="inlineStr">
        <is>
          <t>compacto</t>
        </is>
      </c>
      <c r="M264" s="2" t="n">
        <v>2010</v>
      </c>
      <c r="N264" s="2" t="n">
        <v>150000</v>
      </c>
      <c r="O264" s="2" t="n">
        <v>4990</v>
      </c>
      <c r="P264" s="2" t="inlineStr">
        <is>
          <t>manual</t>
        </is>
      </c>
      <c r="Q264" s="2" t="inlineStr">
        <is>
          <t>no</t>
        </is>
      </c>
      <c r="R264" s="2" t="inlineStr">
        <is>
          <t>particular</t>
        </is>
      </c>
      <c r="S264" s="2" t="inlineStr">
        <is>
          <t>Torrent (46900)</t>
        </is>
      </c>
      <c r="T264" s="2" t="inlineStr">
        <is>
          <t>2026-10-05T14:06:08</t>
        </is>
      </c>
      <c r="U264" s="2" t="n">
        <v>10</v>
      </c>
      <c r="V264" s="2" t="n"/>
      <c r="W264" s="2" t="n"/>
      <c r="X264" s="2" t="inlineStr">
        <is>
          <t>sí</t>
        </is>
      </c>
      <c r="Y264" s="2" t="n"/>
      <c r="Z264" s="2" t="n"/>
      <c r="AA264" s="2" t="n"/>
      <c r="AB264" s="2" t="n"/>
      <c r="AC264" s="2" t="n"/>
      <c r="AD264" s="2" t="n"/>
      <c r="AE264" s="2" t="n"/>
      <c r="AF264" s="2" t="n"/>
      <c r="AG264" s="2" t="n"/>
      <c r="AH264" s="2" t="n"/>
      <c r="AI264" s="2" t="n"/>
      <c r="AJ264" s="2" t="n"/>
      <c r="AK264" s="2" t="n"/>
      <c r="AL264" s="2" t="n"/>
      <c r="AM264" s="2" t="n">
        <v>7.9</v>
      </c>
      <c r="AN264" s="2" t="n"/>
      <c r="AO264" s="2" t="inlineStr">
        <is>
          <t>2010</t>
        </is>
      </c>
      <c r="AP264" s="2" t="n">
        <v>2010</v>
      </c>
      <c r="AQ264" s="2" t="n"/>
      <c r="AR264" s="2" t="n"/>
      <c r="AS264" s="2" t="inlineStr">
        <is>
          <t>regla</t>
        </is>
      </c>
      <c r="AT264" s="2" t="n">
        <v>4745</v>
      </c>
      <c r="AU264" s="2" t="n">
        <v>10</v>
      </c>
      <c r="AV264" s="2" t="inlineStr">
        <is>
          <t>modelo+año+km</t>
        </is>
      </c>
      <c r="AW264" s="2" t="n"/>
      <c r="AX264" s="2" t="inlineStr">
        <is>
          <t>por encima del presupuesto (5114 €), negociar; cuota fija ITP: &gt;12 años, 1.501-2.000 cc; diésel: motor sin fuente de fiabilidad (fiabilidad limitada a neutra)</t>
        </is>
      </c>
      <c r="AY264" s="2" t="inlineStr">
        <is>
          <t xml:space="preserve">Muy buen estamos.
Itv vigente
Impuesto anual abonado
Aire acondicionado 10 puntos
2 Cubiertas nuevas recién cambiadas
Cambio de correa realizado a los 122.000km 
</t>
        </is>
      </c>
      <c r="AZ264" s="2" t="inlineStr">
        <is>
          <t>https://es.wallapop.com/item/opel-astra-2010-diesel-cdti-1259878820 (__NEXT_DATA__ item) /home/user/Alopecia/buscador-coches/raw/wallapop/aa782ab52e924f28.json</t>
        </is>
      </c>
      <c r="BA264" s="3">
        <f>MAX(ANIO_ACTUAL-M264,0)</f>
        <v/>
      </c>
      <c r="BB264" s="4">
        <f>N264/MAX(BA264,0.5)</f>
        <v/>
      </c>
      <c r="BC264" s="4">
        <f>F264</f>
        <v/>
      </c>
      <c r="BD264" s="3">
        <f>BC264&amp;"|"&amp;INT(M264/SEG_ANIO)*SEG_ANIO</f>
        <v/>
      </c>
      <c r="BE264" s="3">
        <f>BD264&amp;"|"&amp;INT(N264/SEG_KM)*SEG_KM</f>
        <v/>
      </c>
      <c r="BF264" s="4">
        <f>COUNTIF($BC$2:$BC$545,BC264)</f>
        <v/>
      </c>
      <c r="BG264" s="4">
        <f>COUNTIF($BD$2:$BD$545,BD264)</f>
        <v/>
      </c>
      <c r="BH264" s="4">
        <f>COUNTIF($BE$2:$BE$545,BE264)</f>
        <v/>
      </c>
      <c r="BI264" s="3">
        <f t="array" ref="BI264">IF(N(AU264)&gt;=MIN_N,AT264,IF(BH264&gt;=MIN_N,MEDIAN(IF($BE$2:$BE$545=BE264,$O$2:$O$545)),IF(BG264&gt;=MIN_N,MEDIAN(IF($BD$2:$BD$545=BD264,$O$2:$O$545)),MEDIAN(IF($BC$2:$BC$545=BC264,$O$2:$O$545)))))</f>
        <v/>
      </c>
      <c r="BJ264" s="3">
        <f>IF(N(AU264)&gt;=MIN_N,"mercado "&amp;AV264,IF(BH264&gt;=MIN_N,"modelo+año+km",IF(BG264&gt;=MIN_N,"modelo+año","modelo")))</f>
        <v/>
      </c>
      <c r="BK264" s="4">
        <f>(BI264-O264)/BI264</f>
        <v/>
      </c>
      <c r="BL264" s="3">
        <f>IF(COUNTIFS(FR_FUEL,K264,FR_YEAR,AP264)&gt;0,1,0)</f>
        <v/>
      </c>
      <c r="BM264" s="3">
        <f>IF(COUNTIFS(FR_FUEL,K264,FR_YEAR,AP264-1)&gt;0,1,0)</f>
        <v/>
      </c>
      <c r="BN264" s="4">
        <f>IF(N(AQ264)&gt;0,AP264*100+AQ264,IF(AND(BL264=1,BM264=1),(AP264-1)*100+1,AP264*100+1))</f>
        <v/>
      </c>
      <c r="BO264" s="3">
        <f>IF(OR(K264="hibrido",K264="glp",K264="gnc",K264="phev"),"ECO",IF(K264="electrico","CERO",IF(K264="gasolina",IF(BN264&gt;=GAS_C_YM,"C",IF(BN264&gt;=GAS_B_YM,"B","A")),IF(K264="diesel",IF(BN264&gt;=DIE_C_YM,"C",IF(BN264&gt;=DIE_B_YM,"B","A")),""))))</f>
        <v/>
      </c>
      <c r="BP264" s="4">
        <f>BO264</f>
        <v/>
      </c>
      <c r="BQ264" s="4">
        <f>IF(AS264="regla",IF(AND(N(AQ264)=0,BL264=1),"sí","no"),"no")</f>
        <v/>
      </c>
      <c r="BR264" s="3">
        <f>IFERROR(VLOOKUP(F264,MOD_TBL,11,0),IFERROR(VLOOKUP(E264,OCU_TBL,2,0),NEUTRO))</f>
        <v/>
      </c>
      <c r="BS264" s="3">
        <f>SUMIFS(MOT_AJUSTE,MOT_MOTOR,G264,MOT_MARCA,E264,MOT_DESDE,"&lt;="&amp;M264,MOT_HASTA,"&gt;="&amp;M264)+SUMIFS(MOT_AJUSTE,MOT_MOTOR,G264,MOT_MARCA,"(todas)",MOT_DESDE,"&lt;="&amp;M264,MOT_HASTA,"&gt;="&amp;M264)</f>
        <v/>
      </c>
      <c r="BT264" s="3">
        <f>SUMIFS(COMB_AJUSTE,COMB_COMB,K264)</f>
        <v/>
      </c>
      <c r="BU264" s="3">
        <f>COUNTIFS(MOT_MOTOR,G264,MOT_MARCA,E264,MOT_DESDE,"&lt;="&amp;M264,MOT_HASTA,"&gt;="&amp;M264)+COUNTIFS(MOT_MOTOR,G264,MOT_MARCA,"(todas)",MOT_DESDE,"&lt;="&amp;M264,MOT_HASTA,"&gt;="&amp;M264)</f>
        <v/>
      </c>
      <c r="BV264" s="3">
        <f>IF(AND(K264="diesel",BU264=0),MIN(BR264,NEUTRO),BR264)</f>
        <v/>
      </c>
      <c r="BW264" s="4">
        <f>MAX(0,MIN(100,BV264+BS264+BT264))</f>
        <v/>
      </c>
      <c r="BX264" s="3">
        <f>MAX(0,MIN(100,50+BK264*PRECIO_PEND))</f>
        <v/>
      </c>
      <c r="BY264" s="3">
        <f>MAX(0,100*(1-N264/KM_MAX))</f>
        <v/>
      </c>
      <c r="BZ264" s="3">
        <f>IF(BB264&lt;KMA_SOSP,IF(AA264="sí",100,KMA_PEN),IF(BB264&lt;=KMA_IDEAL_MAX,100,MAX(0,100*(KMA_CERO-BB264)/(KMA_CERO-KMA_IDEAL_MAX))))</f>
        <v/>
      </c>
      <c r="CA264" s="3">
        <f>MAX(0,MIN(100,100*(M264-ANIO_MIN)/(ANIO_ACTUAL-ANIO_MIN)))</f>
        <v/>
      </c>
      <c r="CB264" s="3">
        <f>W_KMT*BY264+W_KMA*BZ264+W_EDAD*CA264</f>
        <v/>
      </c>
      <c r="CC264" s="3">
        <f>P_ITV*(V264="sí")+P_LIBRO*(W264="sí")+P_CORREA*(X264="sí")+P_PROP*(Y264=1)+P_GAR*(Z264="sí")+P_FOTOS*MIN(1,N(U264)/FOTOS_OBJ)</f>
        <v/>
      </c>
      <c r="CD264" s="3">
        <f>MAX(0,MIN(100,IFERROR(VLOOKUP(BP264,ETQ_TBL,2,0),0)-IF(BQ264="sí",ETQ_PEN_DUD,IF(AS264="regla",ETQ_PEN_REGLA,0))))</f>
        <v/>
      </c>
      <c r="CE264" s="3">
        <f>NEUTRO</f>
        <v/>
      </c>
      <c r="CF264" s="3">
        <f>IFERROR(VLOOKUP(L264,SEGURO_TBL,3,0),"")</f>
        <v/>
      </c>
      <c r="CG264" s="3">
        <f>IF(CF264="",NEUTRO,MAX(0,MIN(100,100*(SEG_REF_MAX-CF264)/(SEG_REF_MAX-SEG_REF_MIN))))</f>
        <v/>
      </c>
      <c r="CH264" s="3">
        <f>W_CONS*CE264+W_SEG*CG264</f>
        <v/>
      </c>
      <c r="CI264" s="3">
        <f>IF(N(AB264)&gt;0,AB264,IF(AND(R264="profesional",SG_LEGAL_ON=1),GAR_LEGAL,0))</f>
        <v/>
      </c>
      <c r="CJ264" s="3">
        <f>SG_GAR*MIN(1,CI264/SG_GAR_FULL)+SG_AMPL*(AC264="sí")+SG_KMC*(AF264="sí")+SG_REV*(N(AE264)&gt;0)+SG_DEV*MIN(1,N(AG264)/SG_DEV_FULL)+SG_HIST*(W264="sí")</f>
        <v/>
      </c>
      <c r="CK264" s="3">
        <f>IFERROR(VLOOKUP(L264,CARR_PEN_TBL,2,0),0)</f>
        <v/>
      </c>
      <c r="CL264" s="3">
        <f>W_FIAB*BW264+W_PRECIO*BX264+W_KMEDAD*CB264+W_ANUNCIO*CC264+W_USO*CH264+W_SEGURIDAD*CJ264+W_ETIQUETA*CD264-CK264</f>
        <v/>
      </c>
      <c r="CM264" s="4">
        <f>IF(N(I264)&gt;0,I264,IFERROR(ROUND(_xlfn.NUMBERVALUE(LEFT(G264,FIND(" ",G264&amp;" ")-1),".")*1000,0),99999))</f>
        <v/>
      </c>
      <c r="CN264" s="3">
        <f>IF(R264="profesional",0,IF(O264&lt;CUOTA_VALOR_MAX,IF(BA264&gt;ITP_TRAMO_ALTO,SUMIFS(CF_CUOTA,CF_MAS,ITP_TRAMO_ALTO,CF_CCMIN,"&lt;="&amp;CM264,CF_CCMAX,"&gt;="&amp;CM264),IF(BA264&gt;ITP_TRAMO_BAJO,SUMIFS(CF_CUOTA,CF_MAS,ITP_TRAMO_BAJO,CF_CCMIN,"&lt;="&amp;CM264,CF_CCMAX,"&gt;="&amp;CM264),O264*ITP_TIPO)),O264*ITP_TIPO))</f>
        <v/>
      </c>
      <c r="CO264" s="4">
        <f>IF(R264="profesional",N(AK264),0)</f>
        <v/>
      </c>
      <c r="CP264" s="3">
        <f>IF(AND(R264="profesional",ISNUMBER(AK264),AL264="sí"),0,TASA_DGT)</f>
        <v/>
      </c>
      <c r="CQ264" s="3">
        <f>INFORME_DGT</f>
        <v/>
      </c>
      <c r="CR264" s="4">
        <f>O264+CO264+CN264+CP264+CQ264</f>
        <v/>
      </c>
      <c r="CS264" s="4">
        <f>CR264+N(CF264)</f>
        <v/>
      </c>
      <c r="CT264" s="3">
        <f>IF(CR264&lt;=TOTAL_MAX,"sí",IF(CR264&lt;=TOTAL_MAX+MARGEN_NEG,"negociar","no"))</f>
        <v/>
      </c>
      <c r="CU264" s="4">
        <f>IF(CT264&lt;&gt;"no",COUNTIFS($CT$2:$CT$545,"&lt;&gt;no",$CL$2:$CL$545,"&gt;"&amp;CL264)+COUNTIFS($CT$2:CT264,"&lt;&gt;no",$CL$2:CL264,CL264),"")</f>
        <v/>
      </c>
    </row>
    <row r="265">
      <c r="A265" s="2" t="inlineStr">
        <is>
          <t>cochesnet:71795199</t>
        </is>
      </c>
      <c r="B265" s="2" t="inlineStr">
        <is>
          <t>cochesnet</t>
        </is>
      </c>
      <c r="C265" s="2" t="inlineStr">
        <is>
          <t>https://www.coches.net/opel-astra-17-cdti-enjoy-5p-diesel-2007-en-valencia-71795199-covo.aspx</t>
        </is>
      </c>
      <c r="D265" s="2" t="inlineStr">
        <is>
          <t>OPEL Astra 1.7 CDTi Enjoy</t>
        </is>
      </c>
      <c r="E265" s="2" t="inlineStr">
        <is>
          <t>Opel</t>
        </is>
      </c>
      <c r="F265" s="2" t="inlineStr">
        <is>
          <t>Opel Astra</t>
        </is>
      </c>
      <c r="G265" s="2" t="inlineStr">
        <is>
          <t>1.7 CDTi</t>
        </is>
      </c>
      <c r="H265" s="2" t="inlineStr">
        <is>
          <t>1.7 CDTi Enjoy</t>
        </is>
      </c>
      <c r="I265" s="2" t="n"/>
      <c r="J265" s="2" t="n"/>
      <c r="K265" s="2" t="inlineStr">
        <is>
          <t>diesel</t>
        </is>
      </c>
      <c r="L265" s="2" t="inlineStr">
        <is>
          <t>compacto</t>
        </is>
      </c>
      <c r="M265" s="2" t="n">
        <v>2007</v>
      </c>
      <c r="N265" s="2" t="n">
        <v>110525</v>
      </c>
      <c r="O265" s="2" t="n">
        <v>4900</v>
      </c>
      <c r="P265" s="2" t="inlineStr">
        <is>
          <t>manual</t>
        </is>
      </c>
      <c r="Q265" s="2" t="inlineStr">
        <is>
          <t>no</t>
        </is>
      </c>
      <c r="R265" s="2" t="inlineStr">
        <is>
          <t>particular</t>
        </is>
      </c>
      <c r="S265" s="2" t="inlineStr">
        <is>
          <t>Torrent</t>
        </is>
      </c>
      <c r="T265" s="2" t="inlineStr">
        <is>
          <t>2026-10-20T21:48:47Z</t>
        </is>
      </c>
      <c r="U265" s="2" t="n">
        <v>17</v>
      </c>
      <c r="V265" s="2" t="inlineStr">
        <is>
          <t>sí</t>
        </is>
      </c>
      <c r="W265" s="2" t="n"/>
      <c r="X265" s="2" t="n"/>
      <c r="Y265" s="2" t="n">
        <v>1</v>
      </c>
      <c r="Z265" s="2" t="inlineStr">
        <is>
          <t>no</t>
        </is>
      </c>
      <c r="AA265" s="2" t="n"/>
      <c r="AB265" s="2" t="n"/>
      <c r="AC265" s="2" t="n"/>
      <c r="AD265" s="2" t="n"/>
      <c r="AE265" s="2" t="n"/>
      <c r="AF265" s="2" t="n"/>
      <c r="AG265" s="2" t="n"/>
      <c r="AH265" s="2" t="n">
        <v>4900</v>
      </c>
      <c r="AI265" s="2" t="n"/>
      <c r="AJ265" s="2" t="n"/>
      <c r="AK265" s="2" t="n"/>
      <c r="AL265" s="2" t="n"/>
      <c r="AM265" s="2" t="n">
        <v>8.800000000000001</v>
      </c>
      <c r="AN265" s="2" t="n"/>
      <c r="AO265" s="2" t="inlineStr">
        <is>
          <t>2007</t>
        </is>
      </c>
      <c r="AP265" s="2" t="n">
        <v>2007</v>
      </c>
      <c r="AQ265" s="2" t="n"/>
      <c r="AR265" s="2" t="inlineStr">
        <is>
          <t>B</t>
        </is>
      </c>
      <c r="AS265" s="2" t="inlineStr">
        <is>
          <t>anuncio</t>
        </is>
      </c>
      <c r="AT265" s="2" t="n">
        <v>4445</v>
      </c>
      <c r="AU265" s="2" t="n">
        <v>10</v>
      </c>
      <c r="AV265" s="2" t="inlineStr">
        <is>
          <t>modelo+año+km</t>
        </is>
      </c>
      <c r="AW265" s="2" t="inlineStr">
        <is>
          <t>wallapop:1315439179 (https://es.wallapop.com/item/opel-astra-2007-1315439179)</t>
        </is>
      </c>
      <c r="AX265" s="2" t="inlineStr">
        <is>
          <t>por encima del presupuesto (5024 €), negociar; cuota fija ITP: &gt;12 años, 1.501-2.000 cc; diésel: motor sin fuente de fiabilidad (fiabilidad limitada a neutra)</t>
        </is>
      </c>
      <c r="AY265" s="2" t="inlineStr">
        <is>
          <t>Único propietario,ITV recién pasada 30/09/2026.Válida hasta 2027.Neumaticos nuevos en 2025.Pintura en 2022.Todas las revisiones hechas.Ningún siniestro.Información complementaria,contactar por correo.Juan,de particular a particular.Valencia.</t>
        </is>
      </c>
      <c r="AZ265" s="2" t="inlineStr">
        <is>
          <t>https://www.coches.net/opel-astra-17-cdti-enjoy-5p-diesel-2007-en-valencia-71795199-covo.aspx (window.__INITIAL_PROPS__.ad) /home/user/Alopecia/buscador-coches/raw/cochesnet/d7ee8d0cd3de8e6d.json</t>
        </is>
      </c>
      <c r="BA265" s="3">
        <f>MAX(ANIO_ACTUAL-M265,0)</f>
        <v/>
      </c>
      <c r="BB265" s="4">
        <f>N265/MAX(BA265,0.5)</f>
        <v/>
      </c>
      <c r="BC265" s="4">
        <f>F265</f>
        <v/>
      </c>
      <c r="BD265" s="3">
        <f>BC265&amp;"|"&amp;INT(M265/SEG_ANIO)*SEG_ANIO</f>
        <v/>
      </c>
      <c r="BE265" s="3">
        <f>BD265&amp;"|"&amp;INT(N265/SEG_KM)*SEG_KM</f>
        <v/>
      </c>
      <c r="BF265" s="4">
        <f>COUNTIF($BC$2:$BC$545,BC265)</f>
        <v/>
      </c>
      <c r="BG265" s="4">
        <f>COUNTIF($BD$2:$BD$545,BD265)</f>
        <v/>
      </c>
      <c r="BH265" s="4">
        <f>COUNTIF($BE$2:$BE$545,BE265)</f>
        <v/>
      </c>
      <c r="BI265" s="3">
        <f t="array" ref="BI265">IF(N(AU265)&gt;=MIN_N,AT265,IF(BH265&gt;=MIN_N,MEDIAN(IF($BE$2:$BE$545=BE265,$O$2:$O$545)),IF(BG265&gt;=MIN_N,MEDIAN(IF($BD$2:$BD$545=BD265,$O$2:$O$545)),MEDIAN(IF($BC$2:$BC$545=BC265,$O$2:$O$545)))))</f>
        <v/>
      </c>
      <c r="BJ265" s="3">
        <f>IF(N(AU265)&gt;=MIN_N,"mercado "&amp;AV265,IF(BH265&gt;=MIN_N,"modelo+año+km",IF(BG265&gt;=MIN_N,"modelo+año","modelo")))</f>
        <v/>
      </c>
      <c r="BK265" s="4">
        <f>(BI265-O265)/BI265</f>
        <v/>
      </c>
      <c r="BL265" s="3">
        <f>IF(COUNTIFS(FR_FUEL,K265,FR_YEAR,AP265)&gt;0,1,0)</f>
        <v/>
      </c>
      <c r="BM265" s="3">
        <f>IF(COUNTIFS(FR_FUEL,K265,FR_YEAR,AP265-1)&gt;0,1,0)</f>
        <v/>
      </c>
      <c r="BN265" s="4">
        <f>IF(N(AQ265)&gt;0,AP265*100+AQ265,IF(AND(BL265=1,BM265=1),(AP265-1)*100+1,AP265*100+1))</f>
        <v/>
      </c>
      <c r="BO265" s="3">
        <f>IF(OR(K265="hibrido",K265="glp",K265="gnc",K265="phev"),"ECO",IF(K265="electrico","CERO",IF(K265="gasolina",IF(BN265&gt;=GAS_C_YM,"C",IF(BN265&gt;=GAS_B_YM,"B","A")),IF(K265="diesel",IF(BN265&gt;=DIE_C_YM,"C",IF(BN265&gt;=DIE_B_YM,"B","A")),""))))</f>
        <v/>
      </c>
      <c r="BP265" s="2" t="inlineStr">
        <is>
          <t>B</t>
        </is>
      </c>
      <c r="BQ265" s="4">
        <f>IF(AS265="regla",IF(AND(N(AQ265)=0,BL265=1),"sí","no"),"no")</f>
        <v/>
      </c>
      <c r="BR265" s="3">
        <f>IFERROR(VLOOKUP(F265,MOD_TBL,11,0),IFERROR(VLOOKUP(E265,OCU_TBL,2,0),NEUTRO))</f>
        <v/>
      </c>
      <c r="BS265" s="3">
        <f>SUMIFS(MOT_AJUSTE,MOT_MOTOR,G265,MOT_MARCA,E265,MOT_DESDE,"&lt;="&amp;M265,MOT_HASTA,"&gt;="&amp;M265)+SUMIFS(MOT_AJUSTE,MOT_MOTOR,G265,MOT_MARCA,"(todas)",MOT_DESDE,"&lt;="&amp;M265,MOT_HASTA,"&gt;="&amp;M265)</f>
        <v/>
      </c>
      <c r="BT265" s="3">
        <f>SUMIFS(COMB_AJUSTE,COMB_COMB,K265)</f>
        <v/>
      </c>
      <c r="BU265" s="3">
        <f>COUNTIFS(MOT_MOTOR,G265,MOT_MARCA,E265,MOT_DESDE,"&lt;="&amp;M265,MOT_HASTA,"&gt;="&amp;M265)+COUNTIFS(MOT_MOTOR,G265,MOT_MARCA,"(todas)",MOT_DESDE,"&lt;="&amp;M265,MOT_HASTA,"&gt;="&amp;M265)</f>
        <v/>
      </c>
      <c r="BV265" s="3">
        <f>IF(AND(K265="diesel",BU265=0),MIN(BR265,NEUTRO),BR265)</f>
        <v/>
      </c>
      <c r="BW265" s="4">
        <f>MAX(0,MIN(100,BV265+BS265+BT265))</f>
        <v/>
      </c>
      <c r="BX265" s="3">
        <f>MAX(0,MIN(100,50+BK265*PRECIO_PEND))</f>
        <v/>
      </c>
      <c r="BY265" s="3">
        <f>MAX(0,100*(1-N265/KM_MAX))</f>
        <v/>
      </c>
      <c r="BZ265" s="3">
        <f>IF(BB265&lt;KMA_SOSP,IF(AA265="sí",100,KMA_PEN),IF(BB265&lt;=KMA_IDEAL_MAX,100,MAX(0,100*(KMA_CERO-BB265)/(KMA_CERO-KMA_IDEAL_MAX))))</f>
        <v/>
      </c>
      <c r="CA265" s="3">
        <f>MAX(0,MIN(100,100*(M265-ANIO_MIN)/(ANIO_ACTUAL-ANIO_MIN)))</f>
        <v/>
      </c>
      <c r="CB265" s="3">
        <f>W_KMT*BY265+W_KMA*BZ265+W_EDAD*CA265</f>
        <v/>
      </c>
      <c r="CC265" s="3">
        <f>P_ITV*(V265="sí")+P_LIBRO*(W265="sí")+P_CORREA*(X265="sí")+P_PROP*(Y265=1)+P_GAR*(Z265="sí")+P_FOTOS*MIN(1,N(U265)/FOTOS_OBJ)</f>
        <v/>
      </c>
      <c r="CD265" s="3">
        <f>MAX(0,MIN(100,IFERROR(VLOOKUP(BP265,ETQ_TBL,2,0),0)-IF(BQ265="sí",ETQ_PEN_DUD,IF(AS265="regla",ETQ_PEN_REGLA,0))))</f>
        <v/>
      </c>
      <c r="CE265" s="3">
        <f>NEUTRO</f>
        <v/>
      </c>
      <c r="CF265" s="3">
        <f>IFERROR(VLOOKUP(L265,SEGURO_TBL,3,0),"")</f>
        <v/>
      </c>
      <c r="CG265" s="3">
        <f>IF(CF265="",NEUTRO,MAX(0,MIN(100,100*(SEG_REF_MAX-CF265)/(SEG_REF_MAX-SEG_REF_MIN))))</f>
        <v/>
      </c>
      <c r="CH265" s="3">
        <f>W_CONS*CE265+W_SEG*CG265</f>
        <v/>
      </c>
      <c r="CI265" s="3">
        <f>IF(N(AB265)&gt;0,AB265,IF(AND(R265="profesional",SG_LEGAL_ON=1),GAR_LEGAL,0))</f>
        <v/>
      </c>
      <c r="CJ265" s="3">
        <f>SG_GAR*MIN(1,CI265/SG_GAR_FULL)+SG_AMPL*(AC265="sí")+SG_KMC*(AF265="sí")+SG_REV*(N(AE265)&gt;0)+SG_DEV*MIN(1,N(AG265)/SG_DEV_FULL)+SG_HIST*(W265="sí")</f>
        <v/>
      </c>
      <c r="CK265" s="3">
        <f>IFERROR(VLOOKUP(L265,CARR_PEN_TBL,2,0),0)</f>
        <v/>
      </c>
      <c r="CL265" s="3">
        <f>W_FIAB*BW265+W_PRECIO*BX265+W_KMEDAD*CB265+W_ANUNCIO*CC265+W_USO*CH265+W_SEGURIDAD*CJ265+W_ETIQUETA*CD265-CK265</f>
        <v/>
      </c>
      <c r="CM265" s="4">
        <f>IF(N(I265)&gt;0,I265,IFERROR(ROUND(_xlfn.NUMBERVALUE(LEFT(G265,FIND(" ",G265&amp;" ")-1),".")*1000,0),99999))</f>
        <v/>
      </c>
      <c r="CN265" s="3">
        <f>IF(R265="profesional",0,IF(O265&lt;CUOTA_VALOR_MAX,IF(BA265&gt;ITP_TRAMO_ALTO,SUMIFS(CF_CUOTA,CF_MAS,ITP_TRAMO_ALTO,CF_CCMIN,"&lt;="&amp;CM265,CF_CCMAX,"&gt;="&amp;CM265),IF(BA265&gt;ITP_TRAMO_BAJO,SUMIFS(CF_CUOTA,CF_MAS,ITP_TRAMO_BAJO,CF_CCMIN,"&lt;="&amp;CM265,CF_CCMAX,"&gt;="&amp;CM265),O265*ITP_TIPO)),O265*ITP_TIPO))</f>
        <v/>
      </c>
      <c r="CO265" s="4">
        <f>IF(R265="profesional",N(AK265),0)</f>
        <v/>
      </c>
      <c r="CP265" s="3">
        <f>IF(AND(R265="profesional",ISNUMBER(AK265),AL265="sí"),0,TASA_DGT)</f>
        <v/>
      </c>
      <c r="CQ265" s="3">
        <f>INFORME_DGT</f>
        <v/>
      </c>
      <c r="CR265" s="4">
        <f>O265+CO265+CN265+CP265+CQ265</f>
        <v/>
      </c>
      <c r="CS265" s="4">
        <f>CR265+N(CF265)</f>
        <v/>
      </c>
      <c r="CT265" s="3">
        <f>IF(CR265&lt;=TOTAL_MAX,"sí",IF(CR265&lt;=TOTAL_MAX+MARGEN_NEG,"negociar","no"))</f>
        <v/>
      </c>
      <c r="CU265" s="4">
        <f>IF(CT265&lt;&gt;"no",COUNTIFS($CT$2:$CT$545,"&lt;&gt;no",$CL$2:$CL$545,"&gt;"&amp;CL265)+COUNTIFS($CT$2:CT265,"&lt;&gt;no",$CL$2:CL265,CL265),"")</f>
        <v/>
      </c>
    </row>
    <row r="266">
      <c r="A266" s="2" t="inlineStr">
        <is>
          <t>wallapop:1307336090</t>
        </is>
      </c>
      <c r="B266" s="2" t="inlineStr">
        <is>
          <t>wallapop</t>
        </is>
      </c>
      <c r="C266" s="2" t="inlineStr">
        <is>
          <t>https://es.wallapop.com/item/opel-astra-2007-1307336090</t>
        </is>
      </c>
      <c r="D266" s="2" t="inlineStr">
        <is>
          <t>Opel Astra 2007</t>
        </is>
      </c>
      <c r="E266" s="2" t="inlineStr">
        <is>
          <t>Opel</t>
        </is>
      </c>
      <c r="F266" s="2" t="inlineStr">
        <is>
          <t>Opel Astra</t>
        </is>
      </c>
      <c r="G266" s="2" t="inlineStr">
        <is>
          <t>1.9 CDTi</t>
        </is>
      </c>
      <c r="H266" s="2" t="inlineStr">
        <is>
          <t>SW 1.9 CDTi 120 Enjoy 5p 6v</t>
        </is>
      </c>
      <c r="I266" s="2" t="n"/>
      <c r="J266" s="2" t="n">
        <v>120</v>
      </c>
      <c r="K266" s="2" t="inlineStr">
        <is>
          <t>diesel</t>
        </is>
      </c>
      <c r="L266" s="2" t="inlineStr">
        <is>
          <t>familiar</t>
        </is>
      </c>
      <c r="M266" s="2" t="n">
        <v>2007</v>
      </c>
      <c r="N266" s="2" t="n">
        <v>129000</v>
      </c>
      <c r="O266" s="2" t="n">
        <v>3500</v>
      </c>
      <c r="P266" s="2" t="inlineStr">
        <is>
          <t>manual</t>
        </is>
      </c>
      <c r="Q266" s="2" t="inlineStr">
        <is>
          <t>no</t>
        </is>
      </c>
      <c r="R266" s="2" t="inlineStr">
        <is>
          <t>particular</t>
        </is>
      </c>
      <c r="S266" s="2" t="inlineStr">
        <is>
          <t>Paterna (46980)</t>
        </is>
      </c>
      <c r="T266" s="2" t="inlineStr">
        <is>
          <t>2026-10-05T11:31:49</t>
        </is>
      </c>
      <c r="U266" s="2" t="n">
        <v>7</v>
      </c>
      <c r="V266" s="2" t="inlineStr">
        <is>
          <t>sí</t>
        </is>
      </c>
      <c r="W266" s="2" t="n"/>
      <c r="X266" s="2" t="n"/>
      <c r="Y266" s="2" t="n"/>
      <c r="Z266" s="2" t="n"/>
      <c r="AA266" s="2" t="n"/>
      <c r="AB266" s="2" t="n"/>
      <c r="AC266" s="2" t="n"/>
      <c r="AD266" s="2" t="n"/>
      <c r="AE266" s="2" t="n"/>
      <c r="AF266" s="2" t="n"/>
      <c r="AG266" s="2" t="n"/>
      <c r="AH266" s="2" t="n"/>
      <c r="AI266" s="2" t="n"/>
      <c r="AJ266" s="2" t="n"/>
      <c r="AK266" s="2" t="n"/>
      <c r="AL266" s="2" t="n"/>
      <c r="AM266" s="2" t="n">
        <v>7.2</v>
      </c>
      <c r="AN266" s="2" t="n"/>
      <c r="AO266" s="2" t="inlineStr">
        <is>
          <t>2007</t>
        </is>
      </c>
      <c r="AP266" s="2" t="n">
        <v>2007</v>
      </c>
      <c r="AQ266" s="2" t="n"/>
      <c r="AR266" s="2" t="n"/>
      <c r="AS266" s="2" t="inlineStr">
        <is>
          <t>regla</t>
        </is>
      </c>
      <c r="AT266" s="2" t="n">
        <v>4445</v>
      </c>
      <c r="AU266" s="2" t="n">
        <v>10</v>
      </c>
      <c r="AV266" s="2" t="inlineStr">
        <is>
          <t>modelo+año+km</t>
        </is>
      </c>
      <c r="AW266" s="2" t="n"/>
      <c r="AX266" s="2" t="inlineStr">
        <is>
          <t>cuota fija ITP: &gt;12 años, 1.501-2.000 cc; diésel: motor sin fuente de fiabilidad (fiabilidad limitada a neutra); carrocería familiar: -3 puntos</t>
        </is>
      </c>
      <c r="AY266" s="2" t="inlineStr">
        <is>
          <t xml:space="preserve">ITV recién pasada. Se vende opel Astra 2007, era de mi tío y no lo usaba de ay esos kilómetros, lo acabo de dejar nuevo, le he cambiado aceite y filtros, correa de distribución y un Rodillo que le sonaba, los neumáticos de alante. Lo único que habría que cambiar el pomo de marchas por lo demás el coche va perfecto. La pintura se ha ido en varias zonas ya que dormía en la calle y es del sol. Cualquier duda preguntar. Precio negociable </t>
        </is>
      </c>
      <c r="AZ266" s="2" t="inlineStr">
        <is>
          <t>https://es.wallapop.com/item/opel-astra-2007-1307336090 (__NEXT_DATA__ item) /home/user/Alopecia/buscador-coches/raw/wallapop/b97a360a5ddc0f09.json</t>
        </is>
      </c>
      <c r="BA266" s="3">
        <f>MAX(ANIO_ACTUAL-M266,0)</f>
        <v/>
      </c>
      <c r="BB266" s="4">
        <f>N266/MAX(BA266,0.5)</f>
        <v/>
      </c>
      <c r="BC266" s="4">
        <f>F266</f>
        <v/>
      </c>
      <c r="BD266" s="3">
        <f>BC266&amp;"|"&amp;INT(M266/SEG_ANIO)*SEG_ANIO</f>
        <v/>
      </c>
      <c r="BE266" s="3">
        <f>BD266&amp;"|"&amp;INT(N266/SEG_KM)*SEG_KM</f>
        <v/>
      </c>
      <c r="BF266" s="4">
        <f>COUNTIF($BC$2:$BC$545,BC266)</f>
        <v/>
      </c>
      <c r="BG266" s="4">
        <f>COUNTIF($BD$2:$BD$545,BD266)</f>
        <v/>
      </c>
      <c r="BH266" s="4">
        <f>COUNTIF($BE$2:$BE$545,BE266)</f>
        <v/>
      </c>
      <c r="BI266" s="3">
        <f t="array" ref="BI266">IF(N(AU266)&gt;=MIN_N,AT266,IF(BH266&gt;=MIN_N,MEDIAN(IF($BE$2:$BE$545=BE266,$O$2:$O$545)),IF(BG266&gt;=MIN_N,MEDIAN(IF($BD$2:$BD$545=BD266,$O$2:$O$545)),MEDIAN(IF($BC$2:$BC$545=BC266,$O$2:$O$545)))))</f>
        <v/>
      </c>
      <c r="BJ266" s="3">
        <f>IF(N(AU266)&gt;=MIN_N,"mercado "&amp;AV266,IF(BH266&gt;=MIN_N,"modelo+año+km",IF(BG266&gt;=MIN_N,"modelo+año","modelo")))</f>
        <v/>
      </c>
      <c r="BK266" s="4">
        <f>(BI266-O266)/BI266</f>
        <v/>
      </c>
      <c r="BL266" s="3">
        <f>IF(COUNTIFS(FR_FUEL,K266,FR_YEAR,AP266)&gt;0,1,0)</f>
        <v/>
      </c>
      <c r="BM266" s="3">
        <f>IF(COUNTIFS(FR_FUEL,K266,FR_YEAR,AP266-1)&gt;0,1,0)</f>
        <v/>
      </c>
      <c r="BN266" s="4">
        <f>IF(N(AQ266)&gt;0,AP266*100+AQ266,IF(AND(BL266=1,BM266=1),(AP266-1)*100+1,AP266*100+1))</f>
        <v/>
      </c>
      <c r="BO266" s="3">
        <f>IF(OR(K266="hibrido",K266="glp",K266="gnc",K266="phev"),"ECO",IF(K266="electrico","CERO",IF(K266="gasolina",IF(BN266&gt;=GAS_C_YM,"C",IF(BN266&gt;=GAS_B_YM,"B","A")),IF(K266="diesel",IF(BN266&gt;=DIE_C_YM,"C",IF(BN266&gt;=DIE_B_YM,"B","A")),""))))</f>
        <v/>
      </c>
      <c r="BP266" s="4">
        <f>BO266</f>
        <v/>
      </c>
      <c r="BQ266" s="4">
        <f>IF(AS266="regla",IF(AND(N(AQ266)=0,BL266=1),"sí","no"),"no")</f>
        <v/>
      </c>
      <c r="BR266" s="3">
        <f>IFERROR(VLOOKUP(F266,MOD_TBL,11,0),IFERROR(VLOOKUP(E266,OCU_TBL,2,0),NEUTRO))</f>
        <v/>
      </c>
      <c r="BS266" s="3">
        <f>SUMIFS(MOT_AJUSTE,MOT_MOTOR,G266,MOT_MARCA,E266,MOT_DESDE,"&lt;="&amp;M266,MOT_HASTA,"&gt;="&amp;M266)+SUMIFS(MOT_AJUSTE,MOT_MOTOR,G266,MOT_MARCA,"(todas)",MOT_DESDE,"&lt;="&amp;M266,MOT_HASTA,"&gt;="&amp;M266)</f>
        <v/>
      </c>
      <c r="BT266" s="3">
        <f>SUMIFS(COMB_AJUSTE,COMB_COMB,K266)</f>
        <v/>
      </c>
      <c r="BU266" s="3">
        <f>COUNTIFS(MOT_MOTOR,G266,MOT_MARCA,E266,MOT_DESDE,"&lt;="&amp;M266,MOT_HASTA,"&gt;="&amp;M266)+COUNTIFS(MOT_MOTOR,G266,MOT_MARCA,"(todas)",MOT_DESDE,"&lt;="&amp;M266,MOT_HASTA,"&gt;="&amp;M266)</f>
        <v/>
      </c>
      <c r="BV266" s="3">
        <f>IF(AND(K266="diesel",BU266=0),MIN(BR266,NEUTRO),BR266)</f>
        <v/>
      </c>
      <c r="BW266" s="4">
        <f>MAX(0,MIN(100,BV266+BS266+BT266))</f>
        <v/>
      </c>
      <c r="BX266" s="3">
        <f>MAX(0,MIN(100,50+BK266*PRECIO_PEND))</f>
        <v/>
      </c>
      <c r="BY266" s="3">
        <f>MAX(0,100*(1-N266/KM_MAX))</f>
        <v/>
      </c>
      <c r="BZ266" s="3">
        <f>IF(BB266&lt;KMA_SOSP,IF(AA266="sí",100,KMA_PEN),IF(BB266&lt;=KMA_IDEAL_MAX,100,MAX(0,100*(KMA_CERO-BB266)/(KMA_CERO-KMA_IDEAL_MAX))))</f>
        <v/>
      </c>
      <c r="CA266" s="3">
        <f>MAX(0,MIN(100,100*(M266-ANIO_MIN)/(ANIO_ACTUAL-ANIO_MIN)))</f>
        <v/>
      </c>
      <c r="CB266" s="3">
        <f>W_KMT*BY266+W_KMA*BZ266+W_EDAD*CA266</f>
        <v/>
      </c>
      <c r="CC266" s="3">
        <f>P_ITV*(V266="sí")+P_LIBRO*(W266="sí")+P_CORREA*(X266="sí")+P_PROP*(Y266=1)+P_GAR*(Z266="sí")+P_FOTOS*MIN(1,N(U266)/FOTOS_OBJ)</f>
        <v/>
      </c>
      <c r="CD266" s="3">
        <f>MAX(0,MIN(100,IFERROR(VLOOKUP(BP266,ETQ_TBL,2,0),0)-IF(BQ266="sí",ETQ_PEN_DUD,IF(AS266="regla",ETQ_PEN_REGLA,0))))</f>
        <v/>
      </c>
      <c r="CE266" s="3">
        <f>NEUTRO</f>
        <v/>
      </c>
      <c r="CF266" s="3">
        <f>IFERROR(VLOOKUP(L266,SEGURO_TBL,3,0),"")</f>
        <v/>
      </c>
      <c r="CG266" s="3">
        <f>IF(CF266="",NEUTRO,MAX(0,MIN(100,100*(SEG_REF_MAX-CF266)/(SEG_REF_MAX-SEG_REF_MIN))))</f>
        <v/>
      </c>
      <c r="CH266" s="3">
        <f>W_CONS*CE266+W_SEG*CG266</f>
        <v/>
      </c>
      <c r="CI266" s="3">
        <f>IF(N(AB266)&gt;0,AB266,IF(AND(R266="profesional",SG_LEGAL_ON=1),GAR_LEGAL,0))</f>
        <v/>
      </c>
      <c r="CJ266" s="3">
        <f>SG_GAR*MIN(1,CI266/SG_GAR_FULL)+SG_AMPL*(AC266="sí")+SG_KMC*(AF266="sí")+SG_REV*(N(AE266)&gt;0)+SG_DEV*MIN(1,N(AG266)/SG_DEV_FULL)+SG_HIST*(W266="sí")</f>
        <v/>
      </c>
      <c r="CK266" s="3">
        <f>IFERROR(VLOOKUP(L266,CARR_PEN_TBL,2,0),0)</f>
        <v/>
      </c>
      <c r="CL266" s="3">
        <f>W_FIAB*BW266+W_PRECIO*BX266+W_KMEDAD*CB266+W_ANUNCIO*CC266+W_USO*CH266+W_SEGURIDAD*CJ266+W_ETIQUETA*CD266-CK266</f>
        <v/>
      </c>
      <c r="CM266" s="4">
        <f>IF(N(I266)&gt;0,I266,IFERROR(ROUND(_xlfn.NUMBERVALUE(LEFT(G266,FIND(" ",G266&amp;" ")-1),".")*1000,0),99999))</f>
        <v/>
      </c>
      <c r="CN266" s="3">
        <f>IF(R266="profesional",0,IF(O266&lt;CUOTA_VALOR_MAX,IF(BA266&gt;ITP_TRAMO_ALTO,SUMIFS(CF_CUOTA,CF_MAS,ITP_TRAMO_ALTO,CF_CCMIN,"&lt;="&amp;CM266,CF_CCMAX,"&gt;="&amp;CM266),IF(BA266&gt;ITP_TRAMO_BAJO,SUMIFS(CF_CUOTA,CF_MAS,ITP_TRAMO_BAJO,CF_CCMIN,"&lt;="&amp;CM266,CF_CCMAX,"&gt;="&amp;CM266),O266*ITP_TIPO)),O266*ITP_TIPO))</f>
        <v/>
      </c>
      <c r="CO266" s="4">
        <f>IF(R266="profesional",N(AK266),0)</f>
        <v/>
      </c>
      <c r="CP266" s="3">
        <f>IF(AND(R266="profesional",ISNUMBER(AK266),AL266="sí"),0,TASA_DGT)</f>
        <v/>
      </c>
      <c r="CQ266" s="3">
        <f>INFORME_DGT</f>
        <v/>
      </c>
      <c r="CR266" s="4">
        <f>O266+CO266+CN266+CP266+CQ266</f>
        <v/>
      </c>
      <c r="CS266" s="4">
        <f>CR266+N(CF266)</f>
        <v/>
      </c>
      <c r="CT266" s="3">
        <f>IF(CR266&lt;=TOTAL_MAX,"sí",IF(CR266&lt;=TOTAL_MAX+MARGEN_NEG,"negociar","no"))</f>
        <v/>
      </c>
      <c r="CU266" s="4">
        <f>IF(CT266&lt;&gt;"no",COUNTIFS($CT$2:$CT$545,"&lt;&gt;no",$CL$2:$CL$545,"&gt;"&amp;CL266)+COUNTIFS($CT$2:CT266,"&lt;&gt;no",$CL$2:CL266,CL266),"")</f>
        <v/>
      </c>
    </row>
    <row r="267">
      <c r="A267" s="2" t="inlineStr">
        <is>
          <t>wallapop:1302134212</t>
        </is>
      </c>
      <c r="B267" s="2" t="inlineStr">
        <is>
          <t>wallapop</t>
        </is>
      </c>
      <c r="C267" s="2" t="inlineStr">
        <is>
          <t>https://es.wallapop.com/item/opel-astra-1-7-cdti-enjoy-74-kw-100-cv-1302134212</t>
        </is>
      </c>
      <c r="D267" s="2" t="inlineStr">
        <is>
          <t>Opel Astra 1.7 CDTI Enjoy 74 kW (100 CV)</t>
        </is>
      </c>
      <c r="E267" s="2" t="inlineStr">
        <is>
          <t>Opel</t>
        </is>
      </c>
      <c r="F267" s="2" t="inlineStr">
        <is>
          <t>Opel Astra</t>
        </is>
      </c>
      <c r="G267" s="2" t="inlineStr">
        <is>
          <t>1.7 CDTi</t>
        </is>
      </c>
      <c r="H267" s="2" t="inlineStr">
        <is>
          <t>1.7 CDTI Enjoy 74 kW (100 CV)</t>
        </is>
      </c>
      <c r="I267" s="2" t="n"/>
      <c r="J267" s="2" t="n">
        <v>100</v>
      </c>
      <c r="K267" s="2" t="inlineStr">
        <is>
          <t>diesel</t>
        </is>
      </c>
      <c r="L267" s="2" t="inlineStr">
        <is>
          <t>compacto</t>
        </is>
      </c>
      <c r="M267" s="2" t="n">
        <v>2007</v>
      </c>
      <c r="N267" s="2" t="n">
        <v>111852</v>
      </c>
      <c r="O267" s="2" t="n">
        <v>5200</v>
      </c>
      <c r="P267" s="2" t="inlineStr">
        <is>
          <t>manual</t>
        </is>
      </c>
      <c r="Q267" s="2" t="inlineStr">
        <is>
          <t>no</t>
        </is>
      </c>
      <c r="R267" s="2" t="inlineStr">
        <is>
          <t>profesional</t>
        </is>
      </c>
      <c r="S267" s="2" t="inlineStr">
        <is>
          <t>Paterna (46980)</t>
        </is>
      </c>
      <c r="T267" s="2" t="inlineStr">
        <is>
          <t>2026-10-26T14:08:26</t>
        </is>
      </c>
      <c r="U267" s="2" t="n">
        <v>11</v>
      </c>
      <c r="V267" s="2" t="n"/>
      <c r="W267" s="2" t="inlineStr">
        <is>
          <t>sí</t>
        </is>
      </c>
      <c r="X267" s="2" t="n"/>
      <c r="Y267" s="2" t="n">
        <v>1</v>
      </c>
      <c r="Z267" s="2" t="inlineStr">
        <is>
          <t>sí</t>
        </is>
      </c>
      <c r="AA267" s="2" t="n"/>
      <c r="AB267" s="2" t="n"/>
      <c r="AC267" s="2" t="n"/>
      <c r="AD267" s="2" t="n"/>
      <c r="AE267" s="2" t="n"/>
      <c r="AF267" s="2" t="inlineStr">
        <is>
          <t>sí</t>
        </is>
      </c>
      <c r="AG267" s="2" t="n"/>
      <c r="AH267" s="2" t="n"/>
      <c r="AI267" s="2" t="n"/>
      <c r="AJ267" s="2" t="n"/>
      <c r="AK267" s="2" t="n"/>
      <c r="AL267" s="2" t="n"/>
      <c r="AM267" s="2" t="n">
        <v>6.4</v>
      </c>
      <c r="AN267" s="2" t="inlineStr">
        <is>
          <t>1000KMS</t>
        </is>
      </c>
      <c r="AO267" s="2" t="inlineStr">
        <is>
          <t>2007</t>
        </is>
      </c>
      <c r="AP267" s="2" t="n">
        <v>2007</v>
      </c>
      <c r="AQ267" s="2" t="n"/>
      <c r="AR267" s="2" t="inlineStr">
        <is>
          <t>B</t>
        </is>
      </c>
      <c r="AS267" s="2" t="inlineStr">
        <is>
          <t>DGT</t>
        </is>
      </c>
      <c r="AT267" s="2" t="n">
        <v>4445</v>
      </c>
      <c r="AU267" s="2" t="n">
        <v>10</v>
      </c>
      <c r="AV267" s="2" t="inlineStr">
        <is>
          <t>modelo+año+km</t>
        </is>
      </c>
      <c r="AW267" s="2" t="inlineStr">
        <is>
          <t>wallapop:1302137427 (https://es.wallapop.com/item/opel-astra-1-7-cdti-enjoy-74-kw-100-cv-1302137427)</t>
        </is>
      </c>
      <c r="AX267" s="2" t="inlineStr">
        <is>
          <t>por encima del presupuesto (5264 €), negociar; vendedor profesional: sin ITP (operación con IVA/REBU, confirmar en factura); gastos de gestión del vendedor no indicados: se suma la tasa DGT; preguntar el precio final; diésel: motor sin fuente de fiabilidad (fiabilidad limitada a neutra)</t>
        </is>
      </c>
      <c r="AY267" s="2" t="inlineStr">
        <is>
          <t>Ref.180623812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Control de velocidad, Volante multifunción, Aire Acondicionado, Isofix, Llantas de aleación (16").
                - Coche Nacional, Historial Mantenimiento, Único propietario.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67" s="2" t="inlineStr">
        <is>
          <t>https://es.wallapop.com/item/opel-astra-1-7-cdti-enjoy-74-kw-100-cv-1302134212 (__NEXT_DATA__ item) /home/user/Alopecia/buscador-coches/raw/wallapop/76ab7fe3853ffe54.json</t>
        </is>
      </c>
      <c r="BA267" s="3">
        <f>MAX(ANIO_ACTUAL-M267,0)</f>
        <v/>
      </c>
      <c r="BB267" s="4">
        <f>N267/MAX(BA267,0.5)</f>
        <v/>
      </c>
      <c r="BC267" s="4">
        <f>F267</f>
        <v/>
      </c>
      <c r="BD267" s="3">
        <f>BC267&amp;"|"&amp;INT(M267/SEG_ANIO)*SEG_ANIO</f>
        <v/>
      </c>
      <c r="BE267" s="3">
        <f>BD267&amp;"|"&amp;INT(N267/SEG_KM)*SEG_KM</f>
        <v/>
      </c>
      <c r="BF267" s="4">
        <f>COUNTIF($BC$2:$BC$545,BC267)</f>
        <v/>
      </c>
      <c r="BG267" s="4">
        <f>COUNTIF($BD$2:$BD$545,BD267)</f>
        <v/>
      </c>
      <c r="BH267" s="4">
        <f>COUNTIF($BE$2:$BE$545,BE267)</f>
        <v/>
      </c>
      <c r="BI267" s="3">
        <f t="array" ref="BI267">IF(N(AU267)&gt;=MIN_N,AT267,IF(BH267&gt;=MIN_N,MEDIAN(IF($BE$2:$BE$545=BE267,$O$2:$O$545)),IF(BG267&gt;=MIN_N,MEDIAN(IF($BD$2:$BD$545=BD267,$O$2:$O$545)),MEDIAN(IF($BC$2:$BC$545=BC267,$O$2:$O$545)))))</f>
        <v/>
      </c>
      <c r="BJ267" s="3">
        <f>IF(N(AU267)&gt;=MIN_N,"mercado "&amp;AV267,IF(BH267&gt;=MIN_N,"modelo+año+km",IF(BG267&gt;=MIN_N,"modelo+año","modelo")))</f>
        <v/>
      </c>
      <c r="BK267" s="4">
        <f>(BI267-O267)/BI267</f>
        <v/>
      </c>
      <c r="BL267" s="3">
        <f>IF(COUNTIFS(FR_FUEL,K267,FR_YEAR,AP267)&gt;0,1,0)</f>
        <v/>
      </c>
      <c r="BM267" s="3">
        <f>IF(COUNTIFS(FR_FUEL,K267,FR_YEAR,AP267-1)&gt;0,1,0)</f>
        <v/>
      </c>
      <c r="BN267" s="4">
        <f>IF(N(AQ267)&gt;0,AP267*100+AQ267,IF(AND(BL267=1,BM267=1),(AP267-1)*100+1,AP267*100+1))</f>
        <v/>
      </c>
      <c r="BO267" s="3">
        <f>IF(OR(K267="hibrido",K267="glp",K267="gnc",K267="phev"),"ECO",IF(K267="electrico","CERO",IF(K267="gasolina",IF(BN267&gt;=GAS_C_YM,"C",IF(BN267&gt;=GAS_B_YM,"B","A")),IF(K267="diesel",IF(BN267&gt;=DIE_C_YM,"C",IF(BN267&gt;=DIE_B_YM,"B","A")),""))))</f>
        <v/>
      </c>
      <c r="BP267" s="2" t="inlineStr">
        <is>
          <t>B</t>
        </is>
      </c>
      <c r="BQ267" s="4">
        <f>IF(AS267="regla",IF(AND(N(AQ267)=0,BL267=1),"sí","no"),"no")</f>
        <v/>
      </c>
      <c r="BR267" s="3">
        <f>IFERROR(VLOOKUP(F267,MOD_TBL,11,0),IFERROR(VLOOKUP(E267,OCU_TBL,2,0),NEUTRO))</f>
        <v/>
      </c>
      <c r="BS267" s="3">
        <f>SUMIFS(MOT_AJUSTE,MOT_MOTOR,G267,MOT_MARCA,E267,MOT_DESDE,"&lt;="&amp;M267,MOT_HASTA,"&gt;="&amp;M267)+SUMIFS(MOT_AJUSTE,MOT_MOTOR,G267,MOT_MARCA,"(todas)",MOT_DESDE,"&lt;="&amp;M267,MOT_HASTA,"&gt;="&amp;M267)</f>
        <v/>
      </c>
      <c r="BT267" s="3">
        <f>SUMIFS(COMB_AJUSTE,COMB_COMB,K267)</f>
        <v/>
      </c>
      <c r="BU267" s="3">
        <f>COUNTIFS(MOT_MOTOR,G267,MOT_MARCA,E267,MOT_DESDE,"&lt;="&amp;M267,MOT_HASTA,"&gt;="&amp;M267)+COUNTIFS(MOT_MOTOR,G267,MOT_MARCA,"(todas)",MOT_DESDE,"&lt;="&amp;M267,MOT_HASTA,"&gt;="&amp;M267)</f>
        <v/>
      </c>
      <c r="BV267" s="3">
        <f>IF(AND(K267="diesel",BU267=0),MIN(BR267,NEUTRO),BR267)</f>
        <v/>
      </c>
      <c r="BW267" s="4">
        <f>MAX(0,MIN(100,BV267+BS267+BT267))</f>
        <v/>
      </c>
      <c r="BX267" s="3">
        <f>MAX(0,MIN(100,50+BK267*PRECIO_PEND))</f>
        <v/>
      </c>
      <c r="BY267" s="3">
        <f>MAX(0,100*(1-N267/KM_MAX))</f>
        <v/>
      </c>
      <c r="BZ267" s="3">
        <f>IF(BB267&lt;KMA_SOSP,IF(AA267="sí",100,KMA_PEN),IF(BB267&lt;=KMA_IDEAL_MAX,100,MAX(0,100*(KMA_CERO-BB267)/(KMA_CERO-KMA_IDEAL_MAX))))</f>
        <v/>
      </c>
      <c r="CA267" s="3">
        <f>MAX(0,MIN(100,100*(M267-ANIO_MIN)/(ANIO_ACTUAL-ANIO_MIN)))</f>
        <v/>
      </c>
      <c r="CB267" s="3">
        <f>W_KMT*BY267+W_KMA*BZ267+W_EDAD*CA267</f>
        <v/>
      </c>
      <c r="CC267" s="3">
        <f>P_ITV*(V267="sí")+P_LIBRO*(W267="sí")+P_CORREA*(X267="sí")+P_PROP*(Y267=1)+P_GAR*(Z267="sí")+P_FOTOS*MIN(1,N(U267)/FOTOS_OBJ)</f>
        <v/>
      </c>
      <c r="CD267" s="3">
        <f>MAX(0,MIN(100,IFERROR(VLOOKUP(BP267,ETQ_TBL,2,0),0)-IF(BQ267="sí",ETQ_PEN_DUD,IF(AS267="regla",ETQ_PEN_REGLA,0))))</f>
        <v/>
      </c>
      <c r="CE267" s="3">
        <f>NEUTRO</f>
        <v/>
      </c>
      <c r="CF267" s="3">
        <f>IFERROR(VLOOKUP(L267,SEGURO_TBL,3,0),"")</f>
        <v/>
      </c>
      <c r="CG267" s="3">
        <f>IF(CF267="",NEUTRO,MAX(0,MIN(100,100*(SEG_REF_MAX-CF267)/(SEG_REF_MAX-SEG_REF_MIN))))</f>
        <v/>
      </c>
      <c r="CH267" s="3">
        <f>W_CONS*CE267+W_SEG*CG267</f>
        <v/>
      </c>
      <c r="CI267" s="3">
        <f>IF(N(AB267)&gt;0,AB267,IF(AND(R267="profesional",SG_LEGAL_ON=1),GAR_LEGAL,0))</f>
        <v/>
      </c>
      <c r="CJ267" s="3">
        <f>SG_GAR*MIN(1,CI267/SG_GAR_FULL)+SG_AMPL*(AC267="sí")+SG_KMC*(AF267="sí")+SG_REV*(N(AE267)&gt;0)+SG_DEV*MIN(1,N(AG267)/SG_DEV_FULL)+SG_HIST*(W267="sí")</f>
        <v/>
      </c>
      <c r="CK267" s="3">
        <f>IFERROR(VLOOKUP(L267,CARR_PEN_TBL,2,0),0)</f>
        <v/>
      </c>
      <c r="CL267" s="3">
        <f>W_FIAB*BW267+W_PRECIO*BX267+W_KMEDAD*CB267+W_ANUNCIO*CC267+W_USO*CH267+W_SEGURIDAD*CJ267+W_ETIQUETA*CD267-CK267</f>
        <v/>
      </c>
      <c r="CM267" s="4">
        <f>IF(N(I267)&gt;0,I267,IFERROR(ROUND(_xlfn.NUMBERVALUE(LEFT(G267,FIND(" ",G267&amp;" ")-1),".")*1000,0),99999))</f>
        <v/>
      </c>
      <c r="CN267" s="3">
        <f>IF(R267="profesional",0,IF(O267&lt;CUOTA_VALOR_MAX,IF(BA267&gt;ITP_TRAMO_ALTO,SUMIFS(CF_CUOTA,CF_MAS,ITP_TRAMO_ALTO,CF_CCMIN,"&lt;="&amp;CM267,CF_CCMAX,"&gt;="&amp;CM267),IF(BA267&gt;ITP_TRAMO_BAJO,SUMIFS(CF_CUOTA,CF_MAS,ITP_TRAMO_BAJO,CF_CCMIN,"&lt;="&amp;CM267,CF_CCMAX,"&gt;="&amp;CM267),O267*ITP_TIPO)),O267*ITP_TIPO))</f>
        <v/>
      </c>
      <c r="CO267" s="4">
        <f>IF(R267="profesional",N(AK267),0)</f>
        <v/>
      </c>
      <c r="CP267" s="3">
        <f>IF(AND(R267="profesional",ISNUMBER(AK267),AL267="sí"),0,TASA_DGT)</f>
        <v/>
      </c>
      <c r="CQ267" s="3">
        <f>INFORME_DGT</f>
        <v/>
      </c>
      <c r="CR267" s="4">
        <f>O267+CO267+CN267+CP267+CQ267</f>
        <v/>
      </c>
      <c r="CS267" s="4">
        <f>CR267+N(CF267)</f>
        <v/>
      </c>
      <c r="CT267" s="3">
        <f>IF(CR267&lt;=TOTAL_MAX,"sí",IF(CR267&lt;=TOTAL_MAX+MARGEN_NEG,"negociar","no"))</f>
        <v/>
      </c>
      <c r="CU267" s="4">
        <f>IF(CT267&lt;&gt;"no",COUNTIFS($CT$2:$CT$545,"&lt;&gt;no",$CL$2:$CL$545,"&gt;"&amp;CL267)+COUNTIFS($CT$2:CT267,"&lt;&gt;no",$CL$2:CL267,CL267),"")</f>
        <v/>
      </c>
    </row>
    <row r="268">
      <c r="A268" s="2" t="inlineStr">
        <is>
          <t>wallapop:1315853152</t>
        </is>
      </c>
      <c r="B268" s="2" t="inlineStr">
        <is>
          <t>wallapop</t>
        </is>
      </c>
      <c r="C268" s="2" t="inlineStr">
        <is>
          <t>https://es.wallapop.com/item/opel-astra-2006-1315853152</t>
        </is>
      </c>
      <c r="D268" s="2" t="inlineStr">
        <is>
          <t>Opel Astra 2006</t>
        </is>
      </c>
      <c r="E268" s="2" t="inlineStr">
        <is>
          <t>Opel</t>
        </is>
      </c>
      <c r="F268" s="2" t="inlineStr">
        <is>
          <t>Opel Astra</t>
        </is>
      </c>
      <c r="G268" s="2" t="inlineStr">
        <is>
          <t>1.9 CDTi</t>
        </is>
      </c>
      <c r="H268" s="2" t="inlineStr">
        <is>
          <t>1.9 CDTi 120 Cosmo 5p 6v</t>
        </is>
      </c>
      <c r="I268" s="2" t="n"/>
      <c r="J268" s="2" t="n">
        <v>120</v>
      </c>
      <c r="K268" s="2" t="inlineStr">
        <is>
          <t>diesel</t>
        </is>
      </c>
      <c r="L268" s="2" t="inlineStr">
        <is>
          <t>compacto</t>
        </is>
      </c>
      <c r="M268" s="2" t="n">
        <v>2006</v>
      </c>
      <c r="N268" s="2" t="n">
        <v>139600</v>
      </c>
      <c r="O268" s="2" t="n">
        <v>3800</v>
      </c>
      <c r="P268" s="2" t="inlineStr">
        <is>
          <t>manual</t>
        </is>
      </c>
      <c r="Q268" s="2" t="inlineStr">
        <is>
          <t>no</t>
        </is>
      </c>
      <c r="R268" s="2" t="inlineStr">
        <is>
          <t>particular</t>
        </is>
      </c>
      <c r="S268" s="2" t="inlineStr">
        <is>
          <t>Sagunt/Sagunto (46500)</t>
        </is>
      </c>
      <c r="T268" s="2" t="inlineStr">
        <is>
          <t>2026-10-22T03:48:03</t>
        </is>
      </c>
      <c r="U268" s="2" t="n">
        <v>10</v>
      </c>
      <c r="V268" s="2" t="n"/>
      <c r="W268" s="2" t="n"/>
      <c r="X268" s="2" t="n"/>
      <c r="Y268" s="2" t="n"/>
      <c r="Z268" s="2" t="n"/>
      <c r="AA268" s="2" t="n"/>
      <c r="AB268" s="2" t="n"/>
      <c r="AC268" s="2" t="n"/>
      <c r="AD268" s="2" t="n"/>
      <c r="AE268" s="2" t="n"/>
      <c r="AF268" s="2" t="n"/>
      <c r="AG268" s="2" t="n"/>
      <c r="AH268" s="2" t="n"/>
      <c r="AI268" s="2" t="n"/>
      <c r="AJ268" s="2" t="n"/>
      <c r="AK268" s="2" t="n"/>
      <c r="AL268" s="2" t="n"/>
      <c r="AM268" s="2" t="n">
        <v>24.5</v>
      </c>
      <c r="AN268" s="2" t="n"/>
      <c r="AO268" s="2" t="inlineStr">
        <is>
          <t>2006</t>
        </is>
      </c>
      <c r="AP268" s="2" t="n">
        <v>2006</v>
      </c>
      <c r="AQ268" s="2" t="n"/>
      <c r="AR268" s="2" t="n"/>
      <c r="AS268" s="2" t="inlineStr">
        <is>
          <t>regla</t>
        </is>
      </c>
      <c r="AT268" s="2" t="n">
        <v>3725</v>
      </c>
      <c r="AU268" s="2" t="n">
        <v>12</v>
      </c>
      <c r="AV268" s="2" t="inlineStr">
        <is>
          <t>modelo+año+km</t>
        </is>
      </c>
      <c r="AW268" s="2" t="n"/>
      <c r="AX268" s="2" t="inlineStr">
        <is>
          <t>etiqueta A dudosa: confirmar etiqueta con la DGT antes de comprar; cuota fija ITP: &gt;12 años, 1.501-2.000 cc; diésel: motor sin fuente de fiabilidad (fiabilidad limitada a neutra)</t>
        </is>
      </c>
      <c r="AY268" s="2" t="inlineStr">
        <is>
          <t>Se vende Opel Astra H (acabado Cosmo) en muy buen estado general.  
​Motor: Diésel 1.9 CDTi de 120 CV con cambio manual de 6 velocidades. Potente, económico y muy fiable.  
​Kilómetros: 139.600 km.
​ITV: Pasada recientemente (hace unos 4 meses).
​Mantenimiento: Aceite y filtros cambiados recientemente. Coche listo para circular sin invertir nada en él.
​Equipamiento (Cosmo): Llantas de aleación, detalles cromados exteriores, volante multifunción, control de velocidad, aire acondicionado/climatizador, elevalunas eléctricos, etc.  
​Vehículo muy cuidado, ideal tanto para el día a día como para viajes largos.
​📞 Para más información, contacta conmigo en el 613667384 (también WhatsApp).</t>
        </is>
      </c>
      <c r="AZ268" s="2" t="inlineStr">
        <is>
          <t>https://es.wallapop.com/item/opel-astra-2006-1315853152 (__NEXT_DATA__ item) /home/user/Alopecia/buscador-coches/raw/wallapop/cfbca1b3e22a8d53.json</t>
        </is>
      </c>
      <c r="BA268" s="3">
        <f>MAX(ANIO_ACTUAL-M268,0)</f>
        <v/>
      </c>
      <c r="BB268" s="4">
        <f>N268/MAX(BA268,0.5)</f>
        <v/>
      </c>
      <c r="BC268" s="4">
        <f>F268</f>
        <v/>
      </c>
      <c r="BD268" s="3">
        <f>BC268&amp;"|"&amp;INT(M268/SEG_ANIO)*SEG_ANIO</f>
        <v/>
      </c>
      <c r="BE268" s="3">
        <f>BD268&amp;"|"&amp;INT(N268/SEG_KM)*SEG_KM</f>
        <v/>
      </c>
      <c r="BF268" s="4">
        <f>COUNTIF($BC$2:$BC$545,BC268)</f>
        <v/>
      </c>
      <c r="BG268" s="4">
        <f>COUNTIF($BD$2:$BD$545,BD268)</f>
        <v/>
      </c>
      <c r="BH268" s="4">
        <f>COUNTIF($BE$2:$BE$545,BE268)</f>
        <v/>
      </c>
      <c r="BI268" s="3">
        <f t="array" ref="BI268">IF(N(AU268)&gt;=MIN_N,AT268,IF(BH268&gt;=MIN_N,MEDIAN(IF($BE$2:$BE$545=BE268,$O$2:$O$545)),IF(BG268&gt;=MIN_N,MEDIAN(IF($BD$2:$BD$545=BD268,$O$2:$O$545)),MEDIAN(IF($BC$2:$BC$545=BC268,$O$2:$O$545)))))</f>
        <v/>
      </c>
      <c r="BJ268" s="3">
        <f>IF(N(AU268)&gt;=MIN_N,"mercado "&amp;AV268,IF(BH268&gt;=MIN_N,"modelo+año+km",IF(BG268&gt;=MIN_N,"modelo+año","modelo")))</f>
        <v/>
      </c>
      <c r="BK268" s="4">
        <f>(BI268-O268)/BI268</f>
        <v/>
      </c>
      <c r="BL268" s="3">
        <f>IF(COUNTIFS(FR_FUEL,K268,FR_YEAR,AP268)&gt;0,1,0)</f>
        <v/>
      </c>
      <c r="BM268" s="3">
        <f>IF(COUNTIFS(FR_FUEL,K268,FR_YEAR,AP268-1)&gt;0,1,0)</f>
        <v/>
      </c>
      <c r="BN268" s="4">
        <f>IF(N(AQ268)&gt;0,AP268*100+AQ268,IF(AND(BL268=1,BM268=1),(AP268-1)*100+1,AP268*100+1))</f>
        <v/>
      </c>
      <c r="BO268" s="3">
        <f>IF(OR(K268="hibrido",K268="glp",K268="gnc",K268="phev"),"ECO",IF(K268="electrico","CERO",IF(K268="gasolina",IF(BN268&gt;=GAS_C_YM,"C",IF(BN268&gt;=GAS_B_YM,"B","A")),IF(K268="diesel",IF(BN268&gt;=DIE_C_YM,"C",IF(BN268&gt;=DIE_B_YM,"B","A")),""))))</f>
        <v/>
      </c>
      <c r="BP268" s="4">
        <f>BO268</f>
        <v/>
      </c>
      <c r="BQ268" s="4">
        <f>IF(AS268="regla",IF(AND(N(AQ268)=0,BL268=1),"sí","no"),"no")</f>
        <v/>
      </c>
      <c r="BR268" s="3">
        <f>IFERROR(VLOOKUP(F268,MOD_TBL,11,0),IFERROR(VLOOKUP(E268,OCU_TBL,2,0),NEUTRO))</f>
        <v/>
      </c>
      <c r="BS268" s="3">
        <f>SUMIFS(MOT_AJUSTE,MOT_MOTOR,G268,MOT_MARCA,E268,MOT_DESDE,"&lt;="&amp;M268,MOT_HASTA,"&gt;="&amp;M268)+SUMIFS(MOT_AJUSTE,MOT_MOTOR,G268,MOT_MARCA,"(todas)",MOT_DESDE,"&lt;="&amp;M268,MOT_HASTA,"&gt;="&amp;M268)</f>
        <v/>
      </c>
      <c r="BT268" s="3">
        <f>SUMIFS(COMB_AJUSTE,COMB_COMB,K268)</f>
        <v/>
      </c>
      <c r="BU268" s="3">
        <f>COUNTIFS(MOT_MOTOR,G268,MOT_MARCA,E268,MOT_DESDE,"&lt;="&amp;M268,MOT_HASTA,"&gt;="&amp;M268)+COUNTIFS(MOT_MOTOR,G268,MOT_MARCA,"(todas)",MOT_DESDE,"&lt;="&amp;M268,MOT_HASTA,"&gt;="&amp;M268)</f>
        <v/>
      </c>
      <c r="BV268" s="3">
        <f>IF(AND(K268="diesel",BU268=0),MIN(BR268,NEUTRO),BR268)</f>
        <v/>
      </c>
      <c r="BW268" s="4">
        <f>MAX(0,MIN(100,BV268+BS268+BT268))</f>
        <v/>
      </c>
      <c r="BX268" s="3">
        <f>MAX(0,MIN(100,50+BK268*PRECIO_PEND))</f>
        <v/>
      </c>
      <c r="BY268" s="3">
        <f>MAX(0,100*(1-N268/KM_MAX))</f>
        <v/>
      </c>
      <c r="BZ268" s="3">
        <f>IF(BB268&lt;KMA_SOSP,IF(AA268="sí",100,KMA_PEN),IF(BB268&lt;=KMA_IDEAL_MAX,100,MAX(0,100*(KMA_CERO-BB268)/(KMA_CERO-KMA_IDEAL_MAX))))</f>
        <v/>
      </c>
      <c r="CA268" s="3">
        <f>MAX(0,MIN(100,100*(M268-ANIO_MIN)/(ANIO_ACTUAL-ANIO_MIN)))</f>
        <v/>
      </c>
      <c r="CB268" s="3">
        <f>W_KMT*BY268+W_KMA*BZ268+W_EDAD*CA268</f>
        <v/>
      </c>
      <c r="CC268" s="3">
        <f>P_ITV*(V268="sí")+P_LIBRO*(W268="sí")+P_CORREA*(X268="sí")+P_PROP*(Y268=1)+P_GAR*(Z268="sí")+P_FOTOS*MIN(1,N(U268)/FOTOS_OBJ)</f>
        <v/>
      </c>
      <c r="CD268" s="3">
        <f>MAX(0,MIN(100,IFERROR(VLOOKUP(BP268,ETQ_TBL,2,0),0)-IF(BQ268="sí",ETQ_PEN_DUD,IF(AS268="regla",ETQ_PEN_REGLA,0))))</f>
        <v/>
      </c>
      <c r="CE268" s="3">
        <f>NEUTRO</f>
        <v/>
      </c>
      <c r="CF268" s="3">
        <f>IFERROR(VLOOKUP(L268,SEGURO_TBL,3,0),"")</f>
        <v/>
      </c>
      <c r="CG268" s="3">
        <f>IF(CF268="",NEUTRO,MAX(0,MIN(100,100*(SEG_REF_MAX-CF268)/(SEG_REF_MAX-SEG_REF_MIN))))</f>
        <v/>
      </c>
      <c r="CH268" s="3">
        <f>W_CONS*CE268+W_SEG*CG268</f>
        <v/>
      </c>
      <c r="CI268" s="3">
        <f>IF(N(AB268)&gt;0,AB268,IF(AND(R268="profesional",SG_LEGAL_ON=1),GAR_LEGAL,0))</f>
        <v/>
      </c>
      <c r="CJ268" s="3">
        <f>SG_GAR*MIN(1,CI268/SG_GAR_FULL)+SG_AMPL*(AC268="sí")+SG_KMC*(AF268="sí")+SG_REV*(N(AE268)&gt;0)+SG_DEV*MIN(1,N(AG268)/SG_DEV_FULL)+SG_HIST*(W268="sí")</f>
        <v/>
      </c>
      <c r="CK268" s="3">
        <f>IFERROR(VLOOKUP(L268,CARR_PEN_TBL,2,0),0)</f>
        <v/>
      </c>
      <c r="CL268" s="3">
        <f>W_FIAB*BW268+W_PRECIO*BX268+W_KMEDAD*CB268+W_ANUNCIO*CC268+W_USO*CH268+W_SEGURIDAD*CJ268+W_ETIQUETA*CD268-CK268</f>
        <v/>
      </c>
      <c r="CM268" s="4">
        <f>IF(N(I268)&gt;0,I268,IFERROR(ROUND(_xlfn.NUMBERVALUE(LEFT(G268,FIND(" ",G268&amp;" ")-1),".")*1000,0),99999))</f>
        <v/>
      </c>
      <c r="CN268" s="3">
        <f>IF(R268="profesional",0,IF(O268&lt;CUOTA_VALOR_MAX,IF(BA268&gt;ITP_TRAMO_ALTO,SUMIFS(CF_CUOTA,CF_MAS,ITP_TRAMO_ALTO,CF_CCMIN,"&lt;="&amp;CM268,CF_CCMAX,"&gt;="&amp;CM268),IF(BA268&gt;ITP_TRAMO_BAJO,SUMIFS(CF_CUOTA,CF_MAS,ITP_TRAMO_BAJO,CF_CCMIN,"&lt;="&amp;CM268,CF_CCMAX,"&gt;="&amp;CM268),O268*ITP_TIPO)),O268*ITP_TIPO))</f>
        <v/>
      </c>
      <c r="CO268" s="4">
        <f>IF(R268="profesional",N(AK268),0)</f>
        <v/>
      </c>
      <c r="CP268" s="3">
        <f>IF(AND(R268="profesional",ISNUMBER(AK268),AL268="sí"),0,TASA_DGT)</f>
        <v/>
      </c>
      <c r="CQ268" s="3">
        <f>INFORME_DGT</f>
        <v/>
      </c>
      <c r="CR268" s="4">
        <f>O268+CO268+CN268+CP268+CQ268</f>
        <v/>
      </c>
      <c r="CS268" s="4">
        <f>CR268+N(CF268)</f>
        <v/>
      </c>
      <c r="CT268" s="3">
        <f>IF(CR268&lt;=TOTAL_MAX,"sí",IF(CR268&lt;=TOTAL_MAX+MARGEN_NEG,"negociar","no"))</f>
        <v/>
      </c>
      <c r="CU268" s="4">
        <f>IF(CT268&lt;&gt;"no",COUNTIFS($CT$2:$CT$545,"&lt;&gt;no",$CL$2:$CL$545,"&gt;"&amp;CL268)+COUNTIFS($CT$2:CT268,"&lt;&gt;no",$CL$2:CL268,CL268),"")</f>
        <v/>
      </c>
    </row>
    <row r="269">
      <c r="A269" s="2" t="inlineStr">
        <is>
          <t>wallapop:1300568626</t>
        </is>
      </c>
      <c r="B269" s="2" t="inlineStr">
        <is>
          <t>wallapop</t>
        </is>
      </c>
      <c r="C269" s="2" t="inlineStr">
        <is>
          <t>https://es.wallapop.com/item/opel-astra-h-1300568626</t>
        </is>
      </c>
      <c r="D269" s="2" t="inlineStr">
        <is>
          <t>Opel Astra H</t>
        </is>
      </c>
      <c r="E269" s="2" t="inlineStr">
        <is>
          <t>Opel</t>
        </is>
      </c>
      <c r="F269" s="2" t="inlineStr">
        <is>
          <t>Opel Astra</t>
        </is>
      </c>
      <c r="G269" s="2" t="inlineStr">
        <is>
          <t>1.6</t>
        </is>
      </c>
      <c r="H269" s="2" t="inlineStr">
        <is>
          <t>1.6 105 Enjoy 5p</t>
        </is>
      </c>
      <c r="I269" s="2" t="n"/>
      <c r="J269" s="2" t="n">
        <v>105</v>
      </c>
      <c r="K269" s="2" t="inlineStr">
        <is>
          <t>gasolina</t>
        </is>
      </c>
      <c r="L269" s="2" t="inlineStr">
        <is>
          <t>compacto</t>
        </is>
      </c>
      <c r="M269" s="2" t="n">
        <v>2007</v>
      </c>
      <c r="N269" s="2" t="n">
        <v>189000</v>
      </c>
      <c r="O269" s="2" t="n">
        <v>3300</v>
      </c>
      <c r="P269" s="2" t="inlineStr">
        <is>
          <t>manual</t>
        </is>
      </c>
      <c r="Q269" s="2" t="inlineStr">
        <is>
          <t>no</t>
        </is>
      </c>
      <c r="R269" s="2" t="inlineStr">
        <is>
          <t>particular</t>
        </is>
      </c>
      <c r="S269" s="2" t="inlineStr">
        <is>
          <t>Gandía (46700)</t>
        </is>
      </c>
      <c r="T269" s="2" t="inlineStr">
        <is>
          <t>2026-10-02T09:02:08</t>
        </is>
      </c>
      <c r="U269" s="2" t="n">
        <v>4</v>
      </c>
      <c r="V269" s="2" t="n"/>
      <c r="W269" s="2" t="n"/>
      <c r="X269" s="2" t="n"/>
      <c r="Y269" s="2" t="n"/>
      <c r="Z269" s="2" t="n"/>
      <c r="AA269" s="2" t="n"/>
      <c r="AB269" s="2" t="n"/>
      <c r="AC269" s="2" t="n"/>
      <c r="AD269" s="2" t="n"/>
      <c r="AE269" s="2" t="n"/>
      <c r="AF269" s="2" t="n"/>
      <c r="AG269" s="2" t="n"/>
      <c r="AH269" s="2" t="n"/>
      <c r="AI269" s="2" t="n"/>
      <c r="AJ269" s="2" t="n"/>
      <c r="AK269" s="2" t="n"/>
      <c r="AL269" s="2" t="n"/>
      <c r="AM269" s="2" t="n">
        <v>58.7</v>
      </c>
      <c r="AN269" s="2" t="n"/>
      <c r="AO269" s="2" t="inlineStr">
        <is>
          <t>2007</t>
        </is>
      </c>
      <c r="AP269" s="2" t="n">
        <v>2007</v>
      </c>
      <c r="AQ269" s="2" t="n"/>
      <c r="AR269" s="2" t="n"/>
      <c r="AS269" s="2" t="inlineStr">
        <is>
          <t>regla</t>
        </is>
      </c>
      <c r="AT269" s="2" t="n">
        <v>4300</v>
      </c>
      <c r="AU269" s="2" t="n">
        <v>17</v>
      </c>
      <c r="AV269" s="2" t="inlineStr">
        <is>
          <t>modelo+año+km</t>
        </is>
      </c>
      <c r="AW269" s="2" t="n"/>
      <c r="AX269" s="2" t="inlineStr">
        <is>
          <t>cuota fija ITP: &gt;12 años, 1.501-2.000 cc</t>
        </is>
      </c>
      <c r="AY269" s="2" t="inlineStr">
        <is>
          <t xml:space="preserve">Opel Astra H 
- Año 2007
- km 188k
- Aire acondicionado 
- Dos llaves 
- Itv 
Perfecto para primer coche
Se encuentra en buen estado 
Cual quier duda pueden preguntar. </t>
        </is>
      </c>
      <c r="AZ269" s="2" t="inlineStr">
        <is>
          <t>https://es.wallapop.com/item/opel-astra-h-1300568626 (__NEXT_DATA__ item) /home/user/Alopecia/buscador-coches/raw/wallapop/902a8158b95787db.json</t>
        </is>
      </c>
      <c r="BA269" s="3">
        <f>MAX(ANIO_ACTUAL-M269,0)</f>
        <v/>
      </c>
      <c r="BB269" s="4">
        <f>N269/MAX(BA269,0.5)</f>
        <v/>
      </c>
      <c r="BC269" s="4">
        <f>F269</f>
        <v/>
      </c>
      <c r="BD269" s="3">
        <f>BC269&amp;"|"&amp;INT(M269/SEG_ANIO)*SEG_ANIO</f>
        <v/>
      </c>
      <c r="BE269" s="3">
        <f>BD269&amp;"|"&amp;INT(N269/SEG_KM)*SEG_KM</f>
        <v/>
      </c>
      <c r="BF269" s="4">
        <f>COUNTIF($BC$2:$BC$545,BC269)</f>
        <v/>
      </c>
      <c r="BG269" s="4">
        <f>COUNTIF($BD$2:$BD$545,BD269)</f>
        <v/>
      </c>
      <c r="BH269" s="4">
        <f>COUNTIF($BE$2:$BE$545,BE269)</f>
        <v/>
      </c>
      <c r="BI269" s="3">
        <f t="array" ref="BI269">IF(N(AU269)&gt;=MIN_N,AT269,IF(BH269&gt;=MIN_N,MEDIAN(IF($BE$2:$BE$545=BE269,$O$2:$O$545)),IF(BG269&gt;=MIN_N,MEDIAN(IF($BD$2:$BD$545=BD269,$O$2:$O$545)),MEDIAN(IF($BC$2:$BC$545=BC269,$O$2:$O$545)))))</f>
        <v/>
      </c>
      <c r="BJ269" s="3">
        <f>IF(N(AU269)&gt;=MIN_N,"mercado "&amp;AV269,IF(BH269&gt;=MIN_N,"modelo+año+km",IF(BG269&gt;=MIN_N,"modelo+año","modelo")))</f>
        <v/>
      </c>
      <c r="BK269" s="4">
        <f>(BI269-O269)/BI269</f>
        <v/>
      </c>
      <c r="BL269" s="3">
        <f>IF(COUNTIFS(FR_FUEL,K269,FR_YEAR,AP269)&gt;0,1,0)</f>
        <v/>
      </c>
      <c r="BM269" s="3">
        <f>IF(COUNTIFS(FR_FUEL,K269,FR_YEAR,AP269-1)&gt;0,1,0)</f>
        <v/>
      </c>
      <c r="BN269" s="4">
        <f>IF(N(AQ269)&gt;0,AP269*100+AQ269,IF(AND(BL269=1,BM269=1),(AP269-1)*100+1,AP269*100+1))</f>
        <v/>
      </c>
      <c r="BO269" s="3">
        <f>IF(OR(K269="hibrido",K269="glp",K269="gnc",K269="phev"),"ECO",IF(K269="electrico","CERO",IF(K269="gasolina",IF(BN269&gt;=GAS_C_YM,"C",IF(BN269&gt;=GAS_B_YM,"B","A")),IF(K269="diesel",IF(BN269&gt;=DIE_C_YM,"C",IF(BN269&gt;=DIE_B_YM,"B","A")),""))))</f>
        <v/>
      </c>
      <c r="BP269" s="4">
        <f>BO269</f>
        <v/>
      </c>
      <c r="BQ269" s="4">
        <f>IF(AS269="regla",IF(AND(N(AQ269)=0,BL269=1),"sí","no"),"no")</f>
        <v/>
      </c>
      <c r="BR269" s="3">
        <f>IFERROR(VLOOKUP(F269,MOD_TBL,11,0),IFERROR(VLOOKUP(E269,OCU_TBL,2,0),NEUTRO))</f>
        <v/>
      </c>
      <c r="BS269" s="3">
        <f>SUMIFS(MOT_AJUSTE,MOT_MOTOR,G269,MOT_MARCA,E269,MOT_DESDE,"&lt;="&amp;M269,MOT_HASTA,"&gt;="&amp;M269)+SUMIFS(MOT_AJUSTE,MOT_MOTOR,G269,MOT_MARCA,"(todas)",MOT_DESDE,"&lt;="&amp;M269,MOT_HASTA,"&gt;="&amp;M269)</f>
        <v/>
      </c>
      <c r="BT269" s="3">
        <f>SUMIFS(COMB_AJUSTE,COMB_COMB,K269)</f>
        <v/>
      </c>
      <c r="BU269" s="3">
        <f>COUNTIFS(MOT_MOTOR,G269,MOT_MARCA,E269,MOT_DESDE,"&lt;="&amp;M269,MOT_HASTA,"&gt;="&amp;M269)+COUNTIFS(MOT_MOTOR,G269,MOT_MARCA,"(todas)",MOT_DESDE,"&lt;="&amp;M269,MOT_HASTA,"&gt;="&amp;M269)</f>
        <v/>
      </c>
      <c r="BV269" s="3">
        <f>IF(AND(K269="diesel",BU269=0),MIN(BR269,NEUTRO),BR269)</f>
        <v/>
      </c>
      <c r="BW269" s="4">
        <f>MAX(0,MIN(100,BV269+BS269+BT269))</f>
        <v/>
      </c>
      <c r="BX269" s="3">
        <f>MAX(0,MIN(100,50+BK269*PRECIO_PEND))</f>
        <v/>
      </c>
      <c r="BY269" s="3">
        <f>MAX(0,100*(1-N269/KM_MAX))</f>
        <v/>
      </c>
      <c r="BZ269" s="3">
        <f>IF(BB269&lt;KMA_SOSP,IF(AA269="sí",100,KMA_PEN),IF(BB269&lt;=KMA_IDEAL_MAX,100,MAX(0,100*(KMA_CERO-BB269)/(KMA_CERO-KMA_IDEAL_MAX))))</f>
        <v/>
      </c>
      <c r="CA269" s="3">
        <f>MAX(0,MIN(100,100*(M269-ANIO_MIN)/(ANIO_ACTUAL-ANIO_MIN)))</f>
        <v/>
      </c>
      <c r="CB269" s="3">
        <f>W_KMT*BY269+W_KMA*BZ269+W_EDAD*CA269</f>
        <v/>
      </c>
      <c r="CC269" s="3">
        <f>P_ITV*(V269="sí")+P_LIBRO*(W269="sí")+P_CORREA*(X269="sí")+P_PROP*(Y269=1)+P_GAR*(Z269="sí")+P_FOTOS*MIN(1,N(U269)/FOTOS_OBJ)</f>
        <v/>
      </c>
      <c r="CD269" s="3">
        <f>MAX(0,MIN(100,IFERROR(VLOOKUP(BP269,ETQ_TBL,2,0),0)-IF(BQ269="sí",ETQ_PEN_DUD,IF(AS269="regla",ETQ_PEN_REGLA,0))))</f>
        <v/>
      </c>
      <c r="CE269" s="3">
        <f>NEUTRO</f>
        <v/>
      </c>
      <c r="CF269" s="3">
        <f>IFERROR(VLOOKUP(L269,SEGURO_TBL,3,0),"")</f>
        <v/>
      </c>
      <c r="CG269" s="3">
        <f>IF(CF269="",NEUTRO,MAX(0,MIN(100,100*(SEG_REF_MAX-CF269)/(SEG_REF_MAX-SEG_REF_MIN))))</f>
        <v/>
      </c>
      <c r="CH269" s="3">
        <f>W_CONS*CE269+W_SEG*CG269</f>
        <v/>
      </c>
      <c r="CI269" s="3">
        <f>IF(N(AB269)&gt;0,AB269,IF(AND(R269="profesional",SG_LEGAL_ON=1),GAR_LEGAL,0))</f>
        <v/>
      </c>
      <c r="CJ269" s="3">
        <f>SG_GAR*MIN(1,CI269/SG_GAR_FULL)+SG_AMPL*(AC269="sí")+SG_KMC*(AF269="sí")+SG_REV*(N(AE269)&gt;0)+SG_DEV*MIN(1,N(AG269)/SG_DEV_FULL)+SG_HIST*(W269="sí")</f>
        <v/>
      </c>
      <c r="CK269" s="3">
        <f>IFERROR(VLOOKUP(L269,CARR_PEN_TBL,2,0),0)</f>
        <v/>
      </c>
      <c r="CL269" s="3">
        <f>W_FIAB*BW269+W_PRECIO*BX269+W_KMEDAD*CB269+W_ANUNCIO*CC269+W_USO*CH269+W_SEGURIDAD*CJ269+W_ETIQUETA*CD269-CK269</f>
        <v/>
      </c>
      <c r="CM269" s="4">
        <f>IF(N(I269)&gt;0,I269,IFERROR(ROUND(_xlfn.NUMBERVALUE(LEFT(G269,FIND(" ",G269&amp;" ")-1),".")*1000,0),99999))</f>
        <v/>
      </c>
      <c r="CN269" s="3">
        <f>IF(R269="profesional",0,IF(O269&lt;CUOTA_VALOR_MAX,IF(BA269&gt;ITP_TRAMO_ALTO,SUMIFS(CF_CUOTA,CF_MAS,ITP_TRAMO_ALTO,CF_CCMIN,"&lt;="&amp;CM269,CF_CCMAX,"&gt;="&amp;CM269),IF(BA269&gt;ITP_TRAMO_BAJO,SUMIFS(CF_CUOTA,CF_MAS,ITP_TRAMO_BAJO,CF_CCMIN,"&lt;="&amp;CM269,CF_CCMAX,"&gt;="&amp;CM269),O269*ITP_TIPO)),O269*ITP_TIPO))</f>
        <v/>
      </c>
      <c r="CO269" s="4">
        <f>IF(R269="profesional",N(AK269),0)</f>
        <v/>
      </c>
      <c r="CP269" s="3">
        <f>IF(AND(R269="profesional",ISNUMBER(AK269),AL269="sí"),0,TASA_DGT)</f>
        <v/>
      </c>
      <c r="CQ269" s="3">
        <f>INFORME_DGT</f>
        <v/>
      </c>
      <c r="CR269" s="4">
        <f>O269+CO269+CN269+CP269+CQ269</f>
        <v/>
      </c>
      <c r="CS269" s="4">
        <f>CR269+N(CF269)</f>
        <v/>
      </c>
      <c r="CT269" s="3">
        <f>IF(CR269&lt;=TOTAL_MAX,"sí",IF(CR269&lt;=TOTAL_MAX+MARGEN_NEG,"negociar","no"))</f>
        <v/>
      </c>
      <c r="CU269" s="4">
        <f>IF(CT269&lt;&gt;"no",COUNTIFS($CT$2:$CT$545,"&lt;&gt;no",$CL$2:$CL$545,"&gt;"&amp;CL269)+COUNTIFS($CT$2:CT269,"&lt;&gt;no",$CL$2:CL269,CL269),"")</f>
        <v/>
      </c>
    </row>
    <row r="270">
      <c r="A270" s="2" t="inlineStr">
        <is>
          <t>wallapop:1265374448</t>
        </is>
      </c>
      <c r="B270" s="2" t="inlineStr">
        <is>
          <t>wallapop</t>
        </is>
      </c>
      <c r="C270" s="2" t="inlineStr">
        <is>
          <t>https://es.wallapop.com/item/opel-astra-2006-1265374448</t>
        </is>
      </c>
      <c r="D270" s="2" t="inlineStr">
        <is>
          <t>Opel Astra 2006</t>
        </is>
      </c>
      <c r="E270" s="2" t="inlineStr">
        <is>
          <t>Opel</t>
        </is>
      </c>
      <c r="F270" s="2" t="inlineStr">
        <is>
          <t>Opel Astra</t>
        </is>
      </c>
      <c r="G270" s="2" t="inlineStr">
        <is>
          <t>1.6</t>
        </is>
      </c>
      <c r="H270" s="2" t="inlineStr">
        <is>
          <t>TwinTop 1.6 16v 105 Enjoy 2p</t>
        </is>
      </c>
      <c r="I270" s="2" t="n"/>
      <c r="J270" s="2" t="n">
        <v>105</v>
      </c>
      <c r="K270" s="2" t="inlineStr">
        <is>
          <t>gasolina</t>
        </is>
      </c>
      <c r="L270" s="2" t="inlineStr">
        <is>
          <t>compacto</t>
        </is>
      </c>
      <c r="M270" s="2" t="n">
        <v>2006</v>
      </c>
      <c r="N270" s="2" t="n">
        <v>138000</v>
      </c>
      <c r="O270" s="2" t="n">
        <v>3000</v>
      </c>
      <c r="P270" s="2" t="inlineStr">
        <is>
          <t>manual</t>
        </is>
      </c>
      <c r="Q270" s="2" t="inlineStr">
        <is>
          <t>no</t>
        </is>
      </c>
      <c r="R270" s="2" t="inlineStr">
        <is>
          <t>particular</t>
        </is>
      </c>
      <c r="S270" s="2" t="inlineStr">
        <is>
          <t>Gandía (46700)</t>
        </is>
      </c>
      <c r="T270" s="2" t="inlineStr">
        <is>
          <t>2026-09-24T05:44:14</t>
        </is>
      </c>
      <c r="U270" s="2" t="n">
        <v>7</v>
      </c>
      <c r="V270" s="2" t="inlineStr">
        <is>
          <t>sí</t>
        </is>
      </c>
      <c r="W270" s="2" t="n"/>
      <c r="X270" s="2" t="n"/>
      <c r="Y270" s="2" t="n"/>
      <c r="Z270" s="2" t="n"/>
      <c r="AA270" s="2" t="n"/>
      <c r="AB270" s="2" t="n"/>
      <c r="AC270" s="2" t="n"/>
      <c r="AD270" s="2" t="n"/>
      <c r="AE270" s="2" t="n"/>
      <c r="AF270" s="2" t="n"/>
      <c r="AG270" s="2" t="n"/>
      <c r="AH270" s="2" t="n"/>
      <c r="AI270" s="2" t="n"/>
      <c r="AJ270" s="2" t="n"/>
      <c r="AK270" s="2" t="n"/>
      <c r="AL270" s="2" t="n"/>
      <c r="AM270" s="2" t="n">
        <v>58.3</v>
      </c>
      <c r="AN270" s="2" t="n"/>
      <c r="AO270" s="2" t="inlineStr">
        <is>
          <t>2006</t>
        </is>
      </c>
      <c r="AP270" s="2" t="n">
        <v>2006</v>
      </c>
      <c r="AQ270" s="2" t="n"/>
      <c r="AR270" s="2" t="n"/>
      <c r="AS270" s="2" t="inlineStr">
        <is>
          <t>regla</t>
        </is>
      </c>
      <c r="AT270" s="2" t="n">
        <v>3725</v>
      </c>
      <c r="AU270" s="2" t="n">
        <v>12</v>
      </c>
      <c r="AV270" s="2" t="inlineStr">
        <is>
          <t>modelo+año+km</t>
        </is>
      </c>
      <c r="AW270" s="2" t="n"/>
      <c r="AX270" s="2" t="inlineStr">
        <is>
          <t>cuota fija ITP: &gt;12 años, 1.501-2.000 cc</t>
        </is>
      </c>
      <c r="AY270" s="2" t="inlineStr">
        <is>
          <t>Vendo Opel Astra en muy buenas condiciones, lo entregaría con ITV pasada y cambio de nombre.
Distribución y mantenimiento recién hecho.</t>
        </is>
      </c>
      <c r="AZ270" s="2" t="inlineStr">
        <is>
          <t>https://es.wallapop.com/item/opel-astra-2006-1265374448 (__NEXT_DATA__ item) /home/user/Alopecia/buscador-coches/raw/wallapop/b63a73bede49df1e.json</t>
        </is>
      </c>
      <c r="BA270" s="3">
        <f>MAX(ANIO_ACTUAL-M270,0)</f>
        <v/>
      </c>
      <c r="BB270" s="4">
        <f>N270/MAX(BA270,0.5)</f>
        <v/>
      </c>
      <c r="BC270" s="4">
        <f>F270</f>
        <v/>
      </c>
      <c r="BD270" s="3">
        <f>BC270&amp;"|"&amp;INT(M270/SEG_ANIO)*SEG_ANIO</f>
        <v/>
      </c>
      <c r="BE270" s="3">
        <f>BD270&amp;"|"&amp;INT(N270/SEG_KM)*SEG_KM</f>
        <v/>
      </c>
      <c r="BF270" s="4">
        <f>COUNTIF($BC$2:$BC$545,BC270)</f>
        <v/>
      </c>
      <c r="BG270" s="4">
        <f>COUNTIF($BD$2:$BD$545,BD270)</f>
        <v/>
      </c>
      <c r="BH270" s="4">
        <f>COUNTIF($BE$2:$BE$545,BE270)</f>
        <v/>
      </c>
      <c r="BI270" s="3">
        <f t="array" ref="BI270">IF(N(AU270)&gt;=MIN_N,AT270,IF(BH270&gt;=MIN_N,MEDIAN(IF($BE$2:$BE$545=BE270,$O$2:$O$545)),IF(BG270&gt;=MIN_N,MEDIAN(IF($BD$2:$BD$545=BD270,$O$2:$O$545)),MEDIAN(IF($BC$2:$BC$545=BC270,$O$2:$O$545)))))</f>
        <v/>
      </c>
      <c r="BJ270" s="3">
        <f>IF(N(AU270)&gt;=MIN_N,"mercado "&amp;AV270,IF(BH270&gt;=MIN_N,"modelo+año+km",IF(BG270&gt;=MIN_N,"modelo+año","modelo")))</f>
        <v/>
      </c>
      <c r="BK270" s="4">
        <f>(BI270-O270)/BI270</f>
        <v/>
      </c>
      <c r="BL270" s="3">
        <f>IF(COUNTIFS(FR_FUEL,K270,FR_YEAR,AP270)&gt;0,1,0)</f>
        <v/>
      </c>
      <c r="BM270" s="3">
        <f>IF(COUNTIFS(FR_FUEL,K270,FR_YEAR,AP270-1)&gt;0,1,0)</f>
        <v/>
      </c>
      <c r="BN270" s="4">
        <f>IF(N(AQ270)&gt;0,AP270*100+AQ270,IF(AND(BL270=1,BM270=1),(AP270-1)*100+1,AP270*100+1))</f>
        <v/>
      </c>
      <c r="BO270" s="3">
        <f>IF(OR(K270="hibrido",K270="glp",K270="gnc",K270="phev"),"ECO",IF(K270="electrico","CERO",IF(K270="gasolina",IF(BN270&gt;=GAS_C_YM,"C",IF(BN270&gt;=GAS_B_YM,"B","A")),IF(K270="diesel",IF(BN270&gt;=DIE_C_YM,"C",IF(BN270&gt;=DIE_B_YM,"B","A")),""))))</f>
        <v/>
      </c>
      <c r="BP270" s="4">
        <f>BO270</f>
        <v/>
      </c>
      <c r="BQ270" s="4">
        <f>IF(AS270="regla",IF(AND(N(AQ270)=0,BL270=1),"sí","no"),"no")</f>
        <v/>
      </c>
      <c r="BR270" s="3">
        <f>IFERROR(VLOOKUP(F270,MOD_TBL,11,0),IFERROR(VLOOKUP(E270,OCU_TBL,2,0),NEUTRO))</f>
        <v/>
      </c>
      <c r="BS270" s="3">
        <f>SUMIFS(MOT_AJUSTE,MOT_MOTOR,G270,MOT_MARCA,E270,MOT_DESDE,"&lt;="&amp;M270,MOT_HASTA,"&gt;="&amp;M270)+SUMIFS(MOT_AJUSTE,MOT_MOTOR,G270,MOT_MARCA,"(todas)",MOT_DESDE,"&lt;="&amp;M270,MOT_HASTA,"&gt;="&amp;M270)</f>
        <v/>
      </c>
      <c r="BT270" s="3">
        <f>SUMIFS(COMB_AJUSTE,COMB_COMB,K270)</f>
        <v/>
      </c>
      <c r="BU270" s="3">
        <f>COUNTIFS(MOT_MOTOR,G270,MOT_MARCA,E270,MOT_DESDE,"&lt;="&amp;M270,MOT_HASTA,"&gt;="&amp;M270)+COUNTIFS(MOT_MOTOR,G270,MOT_MARCA,"(todas)",MOT_DESDE,"&lt;="&amp;M270,MOT_HASTA,"&gt;="&amp;M270)</f>
        <v/>
      </c>
      <c r="BV270" s="3">
        <f>IF(AND(K270="diesel",BU270=0),MIN(BR270,NEUTRO),BR270)</f>
        <v/>
      </c>
      <c r="BW270" s="4">
        <f>MAX(0,MIN(100,BV270+BS270+BT270))</f>
        <v/>
      </c>
      <c r="BX270" s="3">
        <f>MAX(0,MIN(100,50+BK270*PRECIO_PEND))</f>
        <v/>
      </c>
      <c r="BY270" s="3">
        <f>MAX(0,100*(1-N270/KM_MAX))</f>
        <v/>
      </c>
      <c r="BZ270" s="3">
        <f>IF(BB270&lt;KMA_SOSP,IF(AA270="sí",100,KMA_PEN),IF(BB270&lt;=KMA_IDEAL_MAX,100,MAX(0,100*(KMA_CERO-BB270)/(KMA_CERO-KMA_IDEAL_MAX))))</f>
        <v/>
      </c>
      <c r="CA270" s="3">
        <f>MAX(0,MIN(100,100*(M270-ANIO_MIN)/(ANIO_ACTUAL-ANIO_MIN)))</f>
        <v/>
      </c>
      <c r="CB270" s="3">
        <f>W_KMT*BY270+W_KMA*BZ270+W_EDAD*CA270</f>
        <v/>
      </c>
      <c r="CC270" s="3">
        <f>P_ITV*(V270="sí")+P_LIBRO*(W270="sí")+P_CORREA*(X270="sí")+P_PROP*(Y270=1)+P_GAR*(Z270="sí")+P_FOTOS*MIN(1,N(U270)/FOTOS_OBJ)</f>
        <v/>
      </c>
      <c r="CD270" s="3">
        <f>MAX(0,MIN(100,IFERROR(VLOOKUP(BP270,ETQ_TBL,2,0),0)-IF(BQ270="sí",ETQ_PEN_DUD,IF(AS270="regla",ETQ_PEN_REGLA,0))))</f>
        <v/>
      </c>
      <c r="CE270" s="3">
        <f>NEUTRO</f>
        <v/>
      </c>
      <c r="CF270" s="3">
        <f>IFERROR(VLOOKUP(L270,SEGURO_TBL,3,0),"")</f>
        <v/>
      </c>
      <c r="CG270" s="3">
        <f>IF(CF270="",NEUTRO,MAX(0,MIN(100,100*(SEG_REF_MAX-CF270)/(SEG_REF_MAX-SEG_REF_MIN))))</f>
        <v/>
      </c>
      <c r="CH270" s="3">
        <f>W_CONS*CE270+W_SEG*CG270</f>
        <v/>
      </c>
      <c r="CI270" s="3">
        <f>IF(N(AB270)&gt;0,AB270,IF(AND(R270="profesional",SG_LEGAL_ON=1),GAR_LEGAL,0))</f>
        <v/>
      </c>
      <c r="CJ270" s="3">
        <f>SG_GAR*MIN(1,CI270/SG_GAR_FULL)+SG_AMPL*(AC270="sí")+SG_KMC*(AF270="sí")+SG_REV*(N(AE270)&gt;0)+SG_DEV*MIN(1,N(AG270)/SG_DEV_FULL)+SG_HIST*(W270="sí")</f>
        <v/>
      </c>
      <c r="CK270" s="3">
        <f>IFERROR(VLOOKUP(L270,CARR_PEN_TBL,2,0),0)</f>
        <v/>
      </c>
      <c r="CL270" s="3">
        <f>W_FIAB*BW270+W_PRECIO*BX270+W_KMEDAD*CB270+W_ANUNCIO*CC270+W_USO*CH270+W_SEGURIDAD*CJ270+W_ETIQUETA*CD270-CK270</f>
        <v/>
      </c>
      <c r="CM270" s="4">
        <f>IF(N(I270)&gt;0,I270,IFERROR(ROUND(_xlfn.NUMBERVALUE(LEFT(G270,FIND(" ",G270&amp;" ")-1),".")*1000,0),99999))</f>
        <v/>
      </c>
      <c r="CN270" s="3">
        <f>IF(R270="profesional",0,IF(O270&lt;CUOTA_VALOR_MAX,IF(BA270&gt;ITP_TRAMO_ALTO,SUMIFS(CF_CUOTA,CF_MAS,ITP_TRAMO_ALTO,CF_CCMIN,"&lt;="&amp;CM270,CF_CCMAX,"&gt;="&amp;CM270),IF(BA270&gt;ITP_TRAMO_BAJO,SUMIFS(CF_CUOTA,CF_MAS,ITP_TRAMO_BAJO,CF_CCMIN,"&lt;="&amp;CM270,CF_CCMAX,"&gt;="&amp;CM270),O270*ITP_TIPO)),O270*ITP_TIPO))</f>
        <v/>
      </c>
      <c r="CO270" s="4">
        <f>IF(R270="profesional",N(AK270),0)</f>
        <v/>
      </c>
      <c r="CP270" s="3">
        <f>IF(AND(R270="profesional",ISNUMBER(AK270),AL270="sí"),0,TASA_DGT)</f>
        <v/>
      </c>
      <c r="CQ270" s="3">
        <f>INFORME_DGT</f>
        <v/>
      </c>
      <c r="CR270" s="4">
        <f>O270+CO270+CN270+CP270+CQ270</f>
        <v/>
      </c>
      <c r="CS270" s="4">
        <f>CR270+N(CF270)</f>
        <v/>
      </c>
      <c r="CT270" s="3">
        <f>IF(CR270&lt;=TOTAL_MAX,"sí",IF(CR270&lt;=TOTAL_MAX+MARGEN_NEG,"negociar","no"))</f>
        <v/>
      </c>
      <c r="CU270" s="4">
        <f>IF(CT270&lt;&gt;"no",COUNTIFS($CT$2:$CT$545,"&lt;&gt;no",$CL$2:$CL$545,"&gt;"&amp;CL270)+COUNTIFS($CT$2:CT270,"&lt;&gt;no",$CL$2:CL270,CL270),"")</f>
        <v/>
      </c>
    </row>
    <row r="271">
      <c r="A271" s="2" t="inlineStr">
        <is>
          <t>wallapop:1315298326</t>
        </is>
      </c>
      <c r="B271" s="2" t="inlineStr">
        <is>
          <t>wallapop</t>
        </is>
      </c>
      <c r="C271" s="2" t="inlineStr">
        <is>
          <t>https://es.wallapop.com/item/opel-astra-2009-1315298326</t>
        </is>
      </c>
      <c r="D271" s="2" t="inlineStr">
        <is>
          <t>Opel Astra 2009</t>
        </is>
      </c>
      <c r="E271" s="2" t="inlineStr">
        <is>
          <t>Opel</t>
        </is>
      </c>
      <c r="F271" s="2" t="inlineStr">
        <is>
          <t>Opel Astra</t>
        </is>
      </c>
      <c r="G271" s="2" t="inlineStr">
        <is>
          <t>1.6</t>
        </is>
      </c>
      <c r="H271" s="2" t="inlineStr">
        <is>
          <t>1.6 115 Enjoy 5p NM</t>
        </is>
      </c>
      <c r="I271" s="2" t="n"/>
      <c r="J271" s="2" t="n">
        <v>115</v>
      </c>
      <c r="K271" s="2" t="inlineStr">
        <is>
          <t>gasolina</t>
        </is>
      </c>
      <c r="L271" s="2" t="inlineStr">
        <is>
          <t>compacto</t>
        </is>
      </c>
      <c r="M271" s="2" t="n">
        <v>2009</v>
      </c>
      <c r="N271" s="2" t="n">
        <v>70000</v>
      </c>
      <c r="O271" s="2" t="n">
        <v>4200</v>
      </c>
      <c r="P271" s="2" t="inlineStr">
        <is>
          <t>manual</t>
        </is>
      </c>
      <c r="Q271" s="2" t="inlineStr">
        <is>
          <t>no</t>
        </is>
      </c>
      <c r="R271" s="2" t="inlineStr">
        <is>
          <t>particular</t>
        </is>
      </c>
      <c r="S271" s="2" t="inlineStr">
        <is>
          <t>Manises (46940)</t>
        </is>
      </c>
      <c r="T271" s="2" t="inlineStr">
        <is>
          <t>2026-10-20T14:36:44</t>
        </is>
      </c>
      <c r="U271" s="2" t="n">
        <v>10</v>
      </c>
      <c r="V271" s="2" t="inlineStr">
        <is>
          <t>sí</t>
        </is>
      </c>
      <c r="W271" s="2" t="n"/>
      <c r="X271" s="2" t="n"/>
      <c r="Y271" s="2" t="n">
        <v>1</v>
      </c>
      <c r="Z271" s="2" t="n"/>
      <c r="AA271" s="2" t="n"/>
      <c r="AB271" s="2" t="n"/>
      <c r="AC271" s="2" t="n"/>
      <c r="AD271" s="2" t="n"/>
      <c r="AE271" s="2" t="n"/>
      <c r="AF271" s="2" t="n"/>
      <c r="AG271" s="2" t="n"/>
      <c r="AH271" s="2" t="n"/>
      <c r="AI271" s="2" t="n"/>
      <c r="AJ271" s="2" t="n"/>
      <c r="AK271" s="2" t="n"/>
      <c r="AL271" s="2" t="n"/>
      <c r="AM271" s="2" t="n">
        <v>7.8</v>
      </c>
      <c r="AN271" s="2" t="n"/>
      <c r="AO271" s="2" t="inlineStr">
        <is>
          <t>2009</t>
        </is>
      </c>
      <c r="AP271" s="2" t="n">
        <v>2009</v>
      </c>
      <c r="AQ271" s="2" t="n"/>
      <c r="AR271" s="2" t="n"/>
      <c r="AS271" s="2" t="inlineStr">
        <is>
          <t>regla</t>
        </is>
      </c>
      <c r="AT271" s="2" t="n">
        <v>6045</v>
      </c>
      <c r="AU271" s="2" t="n">
        <v>4</v>
      </c>
      <c r="AV271" s="2" t="inlineStr">
        <is>
          <t>modelo+año+km</t>
        </is>
      </c>
      <c r="AW271" s="2" t="n"/>
      <c r="AX271" s="2" t="inlineStr">
        <is>
          <t>cuota fija ITP: &gt;12 años, 1.501-2.000 cc</t>
        </is>
      </c>
      <c r="AY271" s="2" t="inlineStr">
        <is>
          <t>Se vende opel con embrague distribución ruedas nuevas motor se monto hace menos de un año con 70milkm itv recien pasada un único propietario tiene bola de remolque desmontable</t>
        </is>
      </c>
      <c r="AZ271" s="2" t="inlineStr">
        <is>
          <t>https://es.wallapop.com/item/opel-astra-2009-1315298326 (__NEXT_DATA__ item) /home/user/Alopecia/buscador-coches/raw/wallapop/ff82d1688e641178.json</t>
        </is>
      </c>
      <c r="BA271" s="3">
        <f>MAX(ANIO_ACTUAL-M271,0)</f>
        <v/>
      </c>
      <c r="BB271" s="4">
        <f>N271/MAX(BA271,0.5)</f>
        <v/>
      </c>
      <c r="BC271" s="4">
        <f>F271</f>
        <v/>
      </c>
      <c r="BD271" s="3">
        <f>BC271&amp;"|"&amp;INT(M271/SEG_ANIO)*SEG_ANIO</f>
        <v/>
      </c>
      <c r="BE271" s="3">
        <f>BD271&amp;"|"&amp;INT(N271/SEG_KM)*SEG_KM</f>
        <v/>
      </c>
      <c r="BF271" s="4">
        <f>COUNTIF($BC$2:$BC$545,BC271)</f>
        <v/>
      </c>
      <c r="BG271" s="4">
        <f>COUNTIF($BD$2:$BD$545,BD271)</f>
        <v/>
      </c>
      <c r="BH271" s="4">
        <f>COUNTIF($BE$2:$BE$545,BE271)</f>
        <v/>
      </c>
      <c r="BI271" s="3">
        <f t="array" ref="BI271">IF(N(AU271)&gt;=MIN_N,AT271,IF(BH271&gt;=MIN_N,MEDIAN(IF($BE$2:$BE$545=BE271,$O$2:$O$545)),IF(BG271&gt;=MIN_N,MEDIAN(IF($BD$2:$BD$545=BD271,$O$2:$O$545)),MEDIAN(IF($BC$2:$BC$545=BC271,$O$2:$O$545)))))</f>
        <v/>
      </c>
      <c r="BJ271" s="3">
        <f>IF(N(AU271)&gt;=MIN_N,"mercado "&amp;AV271,IF(BH271&gt;=MIN_N,"modelo+año+km",IF(BG271&gt;=MIN_N,"modelo+año","modelo")))</f>
        <v/>
      </c>
      <c r="BK271" s="4">
        <f>(BI271-O271)/BI271</f>
        <v/>
      </c>
      <c r="BL271" s="3">
        <f>IF(COUNTIFS(FR_FUEL,K271,FR_YEAR,AP271)&gt;0,1,0)</f>
        <v/>
      </c>
      <c r="BM271" s="3">
        <f>IF(COUNTIFS(FR_FUEL,K271,FR_YEAR,AP271-1)&gt;0,1,0)</f>
        <v/>
      </c>
      <c r="BN271" s="4">
        <f>IF(N(AQ271)&gt;0,AP271*100+AQ271,IF(AND(BL271=1,BM271=1),(AP271-1)*100+1,AP271*100+1))</f>
        <v/>
      </c>
      <c r="BO271" s="3">
        <f>IF(OR(K271="hibrido",K271="glp",K271="gnc",K271="phev"),"ECO",IF(K271="electrico","CERO",IF(K271="gasolina",IF(BN271&gt;=GAS_C_YM,"C",IF(BN271&gt;=GAS_B_YM,"B","A")),IF(K271="diesel",IF(BN271&gt;=DIE_C_YM,"C",IF(BN271&gt;=DIE_B_YM,"B","A")),""))))</f>
        <v/>
      </c>
      <c r="BP271" s="4">
        <f>BO271</f>
        <v/>
      </c>
      <c r="BQ271" s="4">
        <f>IF(AS271="regla",IF(AND(N(AQ271)=0,BL271=1),"sí","no"),"no")</f>
        <v/>
      </c>
      <c r="BR271" s="3">
        <f>IFERROR(VLOOKUP(F271,MOD_TBL,11,0),IFERROR(VLOOKUP(E271,OCU_TBL,2,0),NEUTRO))</f>
        <v/>
      </c>
      <c r="BS271" s="3">
        <f>SUMIFS(MOT_AJUSTE,MOT_MOTOR,G271,MOT_MARCA,E271,MOT_DESDE,"&lt;="&amp;M271,MOT_HASTA,"&gt;="&amp;M271)+SUMIFS(MOT_AJUSTE,MOT_MOTOR,G271,MOT_MARCA,"(todas)",MOT_DESDE,"&lt;="&amp;M271,MOT_HASTA,"&gt;="&amp;M271)</f>
        <v/>
      </c>
      <c r="BT271" s="3">
        <f>SUMIFS(COMB_AJUSTE,COMB_COMB,K271)</f>
        <v/>
      </c>
      <c r="BU271" s="3">
        <f>COUNTIFS(MOT_MOTOR,G271,MOT_MARCA,E271,MOT_DESDE,"&lt;="&amp;M271,MOT_HASTA,"&gt;="&amp;M271)+COUNTIFS(MOT_MOTOR,G271,MOT_MARCA,"(todas)",MOT_DESDE,"&lt;="&amp;M271,MOT_HASTA,"&gt;="&amp;M271)</f>
        <v/>
      </c>
      <c r="BV271" s="3">
        <f>IF(AND(K271="diesel",BU271=0),MIN(BR271,NEUTRO),BR271)</f>
        <v/>
      </c>
      <c r="BW271" s="4">
        <f>MAX(0,MIN(100,BV271+BS271+BT271))</f>
        <v/>
      </c>
      <c r="BX271" s="3">
        <f>MAX(0,MIN(100,50+BK271*PRECIO_PEND))</f>
        <v/>
      </c>
      <c r="BY271" s="3">
        <f>MAX(0,100*(1-N271/KM_MAX))</f>
        <v/>
      </c>
      <c r="BZ271" s="3">
        <f>IF(BB271&lt;KMA_SOSP,IF(AA271="sí",100,KMA_PEN),IF(BB271&lt;=KMA_IDEAL_MAX,100,MAX(0,100*(KMA_CERO-BB271)/(KMA_CERO-KMA_IDEAL_MAX))))</f>
        <v/>
      </c>
      <c r="CA271" s="3">
        <f>MAX(0,MIN(100,100*(M271-ANIO_MIN)/(ANIO_ACTUAL-ANIO_MIN)))</f>
        <v/>
      </c>
      <c r="CB271" s="3">
        <f>W_KMT*BY271+W_KMA*BZ271+W_EDAD*CA271</f>
        <v/>
      </c>
      <c r="CC271" s="3">
        <f>P_ITV*(V271="sí")+P_LIBRO*(W271="sí")+P_CORREA*(X271="sí")+P_PROP*(Y271=1)+P_GAR*(Z271="sí")+P_FOTOS*MIN(1,N(U271)/FOTOS_OBJ)</f>
        <v/>
      </c>
      <c r="CD271" s="3">
        <f>MAX(0,MIN(100,IFERROR(VLOOKUP(BP271,ETQ_TBL,2,0),0)-IF(BQ271="sí",ETQ_PEN_DUD,IF(AS271="regla",ETQ_PEN_REGLA,0))))</f>
        <v/>
      </c>
      <c r="CE271" s="3">
        <f>NEUTRO</f>
        <v/>
      </c>
      <c r="CF271" s="3">
        <f>IFERROR(VLOOKUP(L271,SEGURO_TBL,3,0),"")</f>
        <v/>
      </c>
      <c r="CG271" s="3">
        <f>IF(CF271="",NEUTRO,MAX(0,MIN(100,100*(SEG_REF_MAX-CF271)/(SEG_REF_MAX-SEG_REF_MIN))))</f>
        <v/>
      </c>
      <c r="CH271" s="3">
        <f>W_CONS*CE271+W_SEG*CG271</f>
        <v/>
      </c>
      <c r="CI271" s="3">
        <f>IF(N(AB271)&gt;0,AB271,IF(AND(R271="profesional",SG_LEGAL_ON=1),GAR_LEGAL,0))</f>
        <v/>
      </c>
      <c r="CJ271" s="3">
        <f>SG_GAR*MIN(1,CI271/SG_GAR_FULL)+SG_AMPL*(AC271="sí")+SG_KMC*(AF271="sí")+SG_REV*(N(AE271)&gt;0)+SG_DEV*MIN(1,N(AG271)/SG_DEV_FULL)+SG_HIST*(W271="sí")</f>
        <v/>
      </c>
      <c r="CK271" s="3">
        <f>IFERROR(VLOOKUP(L271,CARR_PEN_TBL,2,0),0)</f>
        <v/>
      </c>
      <c r="CL271" s="3">
        <f>W_FIAB*BW271+W_PRECIO*BX271+W_KMEDAD*CB271+W_ANUNCIO*CC271+W_USO*CH271+W_SEGURIDAD*CJ271+W_ETIQUETA*CD271-CK271</f>
        <v/>
      </c>
      <c r="CM271" s="4">
        <f>IF(N(I271)&gt;0,I271,IFERROR(ROUND(_xlfn.NUMBERVALUE(LEFT(G271,FIND(" ",G271&amp;" ")-1),".")*1000,0),99999))</f>
        <v/>
      </c>
      <c r="CN271" s="3">
        <f>IF(R271="profesional",0,IF(O271&lt;CUOTA_VALOR_MAX,IF(BA271&gt;ITP_TRAMO_ALTO,SUMIFS(CF_CUOTA,CF_MAS,ITP_TRAMO_ALTO,CF_CCMIN,"&lt;="&amp;CM271,CF_CCMAX,"&gt;="&amp;CM271),IF(BA271&gt;ITP_TRAMO_BAJO,SUMIFS(CF_CUOTA,CF_MAS,ITP_TRAMO_BAJO,CF_CCMIN,"&lt;="&amp;CM271,CF_CCMAX,"&gt;="&amp;CM271),O271*ITP_TIPO)),O271*ITP_TIPO))</f>
        <v/>
      </c>
      <c r="CO271" s="4">
        <f>IF(R271="profesional",N(AK271),0)</f>
        <v/>
      </c>
      <c r="CP271" s="3">
        <f>IF(AND(R271="profesional",ISNUMBER(AK271),AL271="sí"),0,TASA_DGT)</f>
        <v/>
      </c>
      <c r="CQ271" s="3">
        <f>INFORME_DGT</f>
        <v/>
      </c>
      <c r="CR271" s="4">
        <f>O271+CO271+CN271+CP271+CQ271</f>
        <v/>
      </c>
      <c r="CS271" s="4">
        <f>CR271+N(CF271)</f>
        <v/>
      </c>
      <c r="CT271" s="3">
        <f>IF(CR271&lt;=TOTAL_MAX,"sí",IF(CR271&lt;=TOTAL_MAX+MARGEN_NEG,"negociar","no"))</f>
        <v/>
      </c>
      <c r="CU271" s="4">
        <f>IF(CT271&lt;&gt;"no",COUNTIFS($CT$2:$CT$545,"&lt;&gt;no",$CL$2:$CL$545,"&gt;"&amp;CL271)+COUNTIFS($CT$2:CT271,"&lt;&gt;no",$CL$2:CL271,CL271),"")</f>
        <v/>
      </c>
    </row>
    <row r="272">
      <c r="A272" s="2" t="inlineStr">
        <is>
          <t>wallapop:1314881088</t>
        </is>
      </c>
      <c r="B272" s="2" t="inlineStr">
        <is>
          <t>wallapop</t>
        </is>
      </c>
      <c r="C272" s="2" t="inlineStr">
        <is>
          <t>https://es.wallapop.com/item/renault-clio-1-6-16v-exception2-auto-82-kw-110-cv-1314881088</t>
        </is>
      </c>
      <c r="D272" s="2" t="inlineStr">
        <is>
          <t>Renault Clio 1.6 16v Exception2 Auto 82 kW (110 CV)</t>
        </is>
      </c>
      <c r="E272" s="2" t="inlineStr">
        <is>
          <t>Renault</t>
        </is>
      </c>
      <c r="F272" s="2" t="inlineStr">
        <is>
          <t>Renault Clio</t>
        </is>
      </c>
      <c r="G272" s="2" t="inlineStr">
        <is>
          <t>1.6</t>
        </is>
      </c>
      <c r="H272" s="2" t="inlineStr">
        <is>
          <t>1.6 16v Exception2 Auto 82 kW (110 CV)</t>
        </is>
      </c>
      <c r="I272" s="2" t="n"/>
      <c r="J272" s="2" t="n">
        <v>110</v>
      </c>
      <c r="K272" s="2" t="inlineStr">
        <is>
          <t>gasolina</t>
        </is>
      </c>
      <c r="L272" s="2" t="inlineStr">
        <is>
          <t>utilitario</t>
        </is>
      </c>
      <c r="M272" s="2" t="n">
        <v>2008</v>
      </c>
      <c r="N272" s="2" t="n">
        <v>131878</v>
      </c>
      <c r="O272" s="2" t="n">
        <v>4200</v>
      </c>
      <c r="P272" s="2" t="inlineStr">
        <is>
          <t>automatico</t>
        </is>
      </c>
      <c r="Q272" s="2" t="inlineStr">
        <is>
          <t>sí</t>
        </is>
      </c>
      <c r="R272" s="2" t="inlineStr">
        <is>
          <t>profesional</t>
        </is>
      </c>
      <c r="S272" s="2" t="inlineStr">
        <is>
          <t>Paterna (46980)</t>
        </is>
      </c>
      <c r="T272" s="2" t="inlineStr">
        <is>
          <t>2026-10-26T11:25:51</t>
        </is>
      </c>
      <c r="U272" s="2" t="n">
        <v>11</v>
      </c>
      <c r="V272" s="2" t="n"/>
      <c r="W272" s="2" t="n"/>
      <c r="X272" s="2" t="n"/>
      <c r="Y272" s="2" t="n"/>
      <c r="Z272" s="2" t="inlineStr">
        <is>
          <t>sí</t>
        </is>
      </c>
      <c r="AA272" s="2" t="n"/>
      <c r="AB272" s="2" t="n"/>
      <c r="AC272" s="2" t="n"/>
      <c r="AD272" s="2" t="n"/>
      <c r="AE272" s="2" t="n"/>
      <c r="AF272" s="2" t="inlineStr">
        <is>
          <t>sí</t>
        </is>
      </c>
      <c r="AG272" s="2" t="n"/>
      <c r="AH272" s="2" t="n"/>
      <c r="AI272" s="2" t="n"/>
      <c r="AJ272" s="2" t="n"/>
      <c r="AK272" s="2" t="n"/>
      <c r="AL272" s="2" t="n"/>
      <c r="AM272" s="2" t="n">
        <v>6.4</v>
      </c>
      <c r="AN272" s="2" t="inlineStr">
        <is>
          <t>1000KMS</t>
        </is>
      </c>
      <c r="AO272" s="2" t="inlineStr">
        <is>
          <t>2008</t>
        </is>
      </c>
      <c r="AP272" s="2" t="n">
        <v>2008</v>
      </c>
      <c r="AQ272" s="2" t="n"/>
      <c r="AR272" s="2" t="inlineStr">
        <is>
          <t>B</t>
        </is>
      </c>
      <c r="AS272" s="2" t="inlineStr">
        <is>
          <t>DGT</t>
        </is>
      </c>
      <c r="AT272" s="2" t="n">
        <v>3500</v>
      </c>
      <c r="AU272" s="2" t="n">
        <v>7</v>
      </c>
      <c r="AV272" s="2" t="inlineStr">
        <is>
          <t>modelo+año+km</t>
        </is>
      </c>
      <c r="AW272" s="2" t="inlineStr">
        <is>
          <t>wallapop:1314880814 (https://es.wallapop.com/item/renault-clio-1-6-16v-exception2-auto-82-kw-110-cv-1314880814)</t>
        </is>
      </c>
      <c r="AX272" s="2" t="inlineStr">
        <is>
          <t>vendedor profesional: sin ITP (operación con IVA/REBU, confirmar en factura); gastos de gestión del vendedor no indicados: se suma la tasa DGT; preguntar el precio final</t>
        </is>
      </c>
      <c r="AY272" s="2" t="inlineStr">
        <is>
          <t>Ref.199411564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Ayuda aparcamiento, Control de velocidad, Limitador de velocidad, Aire Acondicionado (Climatizador), Arranque por botón,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72" s="2" t="inlineStr">
        <is>
          <t>https://es.wallapop.com/item/renault-clio-1-6-16v-exception2-auto-82-kw-110-cv-1314881088 (__NEXT_DATA__ item) /home/user/Alopecia/buscador-coches/raw/wallapop/1112c3ecfdaf507a.json</t>
        </is>
      </c>
      <c r="BA272" s="3">
        <f>MAX(ANIO_ACTUAL-M272,0)</f>
        <v/>
      </c>
      <c r="BB272" s="4">
        <f>N272/MAX(BA272,0.5)</f>
        <v/>
      </c>
      <c r="BC272" s="4">
        <f>F272</f>
        <v/>
      </c>
      <c r="BD272" s="3">
        <f>BC272&amp;"|"&amp;INT(M272/SEG_ANIO)*SEG_ANIO</f>
        <v/>
      </c>
      <c r="BE272" s="3">
        <f>BD272&amp;"|"&amp;INT(N272/SEG_KM)*SEG_KM</f>
        <v/>
      </c>
      <c r="BF272" s="4">
        <f>COUNTIF($BC$2:$BC$545,BC272)</f>
        <v/>
      </c>
      <c r="BG272" s="4">
        <f>COUNTIF($BD$2:$BD$545,BD272)</f>
        <v/>
      </c>
      <c r="BH272" s="4">
        <f>COUNTIF($BE$2:$BE$545,BE272)</f>
        <v/>
      </c>
      <c r="BI272" s="3">
        <f t="array" ref="BI272">IF(N(AU272)&gt;=MIN_N,AT272,IF(BH272&gt;=MIN_N,MEDIAN(IF($BE$2:$BE$545=BE272,$O$2:$O$545)),IF(BG272&gt;=MIN_N,MEDIAN(IF($BD$2:$BD$545=BD272,$O$2:$O$545)),MEDIAN(IF($BC$2:$BC$545=BC272,$O$2:$O$545)))))</f>
        <v/>
      </c>
      <c r="BJ272" s="3">
        <f>IF(N(AU272)&gt;=MIN_N,"mercado "&amp;AV272,IF(BH272&gt;=MIN_N,"modelo+año+km",IF(BG272&gt;=MIN_N,"modelo+año","modelo")))</f>
        <v/>
      </c>
      <c r="BK272" s="4">
        <f>(BI272-O272)/BI272</f>
        <v/>
      </c>
      <c r="BL272" s="3">
        <f>IF(COUNTIFS(FR_FUEL,K272,FR_YEAR,AP272)&gt;0,1,0)</f>
        <v/>
      </c>
      <c r="BM272" s="3">
        <f>IF(COUNTIFS(FR_FUEL,K272,FR_YEAR,AP272-1)&gt;0,1,0)</f>
        <v/>
      </c>
      <c r="BN272" s="4">
        <f>IF(N(AQ272)&gt;0,AP272*100+AQ272,IF(AND(BL272=1,BM272=1),(AP272-1)*100+1,AP272*100+1))</f>
        <v/>
      </c>
      <c r="BO272" s="3">
        <f>IF(OR(K272="hibrido",K272="glp",K272="gnc",K272="phev"),"ECO",IF(K272="electrico","CERO",IF(K272="gasolina",IF(BN272&gt;=GAS_C_YM,"C",IF(BN272&gt;=GAS_B_YM,"B","A")),IF(K272="diesel",IF(BN272&gt;=DIE_C_YM,"C",IF(BN272&gt;=DIE_B_YM,"B","A")),""))))</f>
        <v/>
      </c>
      <c r="BP272" s="2" t="inlineStr">
        <is>
          <t>B</t>
        </is>
      </c>
      <c r="BQ272" s="4">
        <f>IF(AS272="regla",IF(AND(N(AQ272)=0,BL272=1),"sí","no"),"no")</f>
        <v/>
      </c>
      <c r="BR272" s="3">
        <f>IFERROR(VLOOKUP(F272,MOD_TBL,11,0),IFERROR(VLOOKUP(E272,OCU_TBL,2,0),NEUTRO))</f>
        <v/>
      </c>
      <c r="BS272" s="3">
        <f>SUMIFS(MOT_AJUSTE,MOT_MOTOR,G272,MOT_MARCA,E272,MOT_DESDE,"&lt;="&amp;M272,MOT_HASTA,"&gt;="&amp;M272)+SUMIFS(MOT_AJUSTE,MOT_MOTOR,G272,MOT_MARCA,"(todas)",MOT_DESDE,"&lt;="&amp;M272,MOT_HASTA,"&gt;="&amp;M272)</f>
        <v/>
      </c>
      <c r="BT272" s="3">
        <f>SUMIFS(COMB_AJUSTE,COMB_COMB,K272)</f>
        <v/>
      </c>
      <c r="BU272" s="3">
        <f>COUNTIFS(MOT_MOTOR,G272,MOT_MARCA,E272,MOT_DESDE,"&lt;="&amp;M272,MOT_HASTA,"&gt;="&amp;M272)+COUNTIFS(MOT_MOTOR,G272,MOT_MARCA,"(todas)",MOT_DESDE,"&lt;="&amp;M272,MOT_HASTA,"&gt;="&amp;M272)</f>
        <v/>
      </c>
      <c r="BV272" s="3">
        <f>IF(AND(K272="diesel",BU272=0),MIN(BR272,NEUTRO),BR272)</f>
        <v/>
      </c>
      <c r="BW272" s="4">
        <f>MAX(0,MIN(100,BV272+BS272+BT272))</f>
        <v/>
      </c>
      <c r="BX272" s="3">
        <f>MAX(0,MIN(100,50+BK272*PRECIO_PEND))</f>
        <v/>
      </c>
      <c r="BY272" s="3">
        <f>MAX(0,100*(1-N272/KM_MAX))</f>
        <v/>
      </c>
      <c r="BZ272" s="3">
        <f>IF(BB272&lt;KMA_SOSP,IF(AA272="sí",100,KMA_PEN),IF(BB272&lt;=KMA_IDEAL_MAX,100,MAX(0,100*(KMA_CERO-BB272)/(KMA_CERO-KMA_IDEAL_MAX))))</f>
        <v/>
      </c>
      <c r="CA272" s="3">
        <f>MAX(0,MIN(100,100*(M272-ANIO_MIN)/(ANIO_ACTUAL-ANIO_MIN)))</f>
        <v/>
      </c>
      <c r="CB272" s="3">
        <f>W_KMT*BY272+W_KMA*BZ272+W_EDAD*CA272</f>
        <v/>
      </c>
      <c r="CC272" s="3">
        <f>P_ITV*(V272="sí")+P_LIBRO*(W272="sí")+P_CORREA*(X272="sí")+P_PROP*(Y272=1)+P_GAR*(Z272="sí")+P_FOTOS*MIN(1,N(U272)/FOTOS_OBJ)</f>
        <v/>
      </c>
      <c r="CD272" s="3">
        <f>MAX(0,MIN(100,IFERROR(VLOOKUP(BP272,ETQ_TBL,2,0),0)-IF(BQ272="sí",ETQ_PEN_DUD,IF(AS272="regla",ETQ_PEN_REGLA,0))))</f>
        <v/>
      </c>
      <c r="CE272" s="3">
        <f>NEUTRO</f>
        <v/>
      </c>
      <c r="CF272" s="3">
        <f>IFERROR(VLOOKUP(L272,SEGURO_TBL,3,0),"")</f>
        <v/>
      </c>
      <c r="CG272" s="3">
        <f>IF(CF272="",NEUTRO,MAX(0,MIN(100,100*(SEG_REF_MAX-CF272)/(SEG_REF_MAX-SEG_REF_MIN))))</f>
        <v/>
      </c>
      <c r="CH272" s="3">
        <f>W_CONS*CE272+W_SEG*CG272</f>
        <v/>
      </c>
      <c r="CI272" s="3">
        <f>IF(N(AB272)&gt;0,AB272,IF(AND(R272="profesional",SG_LEGAL_ON=1),GAR_LEGAL,0))</f>
        <v/>
      </c>
      <c r="CJ272" s="3">
        <f>SG_GAR*MIN(1,CI272/SG_GAR_FULL)+SG_AMPL*(AC272="sí")+SG_KMC*(AF272="sí")+SG_REV*(N(AE272)&gt;0)+SG_DEV*MIN(1,N(AG272)/SG_DEV_FULL)+SG_HIST*(W272="sí")</f>
        <v/>
      </c>
      <c r="CK272" s="3">
        <f>IFERROR(VLOOKUP(L272,CARR_PEN_TBL,2,0),0)</f>
        <v/>
      </c>
      <c r="CL272" s="3">
        <f>W_FIAB*BW272+W_PRECIO*BX272+W_KMEDAD*CB272+W_ANUNCIO*CC272+W_USO*CH272+W_SEGURIDAD*CJ272+W_ETIQUETA*CD272-CK272</f>
        <v/>
      </c>
      <c r="CM272" s="4">
        <f>IF(N(I272)&gt;0,I272,IFERROR(ROUND(_xlfn.NUMBERVALUE(LEFT(G272,FIND(" ",G272&amp;" ")-1),".")*1000,0),99999))</f>
        <v/>
      </c>
      <c r="CN272" s="3">
        <f>IF(R272="profesional",0,IF(O272&lt;CUOTA_VALOR_MAX,IF(BA272&gt;ITP_TRAMO_ALTO,SUMIFS(CF_CUOTA,CF_MAS,ITP_TRAMO_ALTO,CF_CCMIN,"&lt;="&amp;CM272,CF_CCMAX,"&gt;="&amp;CM272),IF(BA272&gt;ITP_TRAMO_BAJO,SUMIFS(CF_CUOTA,CF_MAS,ITP_TRAMO_BAJO,CF_CCMIN,"&lt;="&amp;CM272,CF_CCMAX,"&gt;="&amp;CM272),O272*ITP_TIPO)),O272*ITP_TIPO))</f>
        <v/>
      </c>
      <c r="CO272" s="4">
        <f>IF(R272="profesional",N(AK272),0)</f>
        <v/>
      </c>
      <c r="CP272" s="3">
        <f>IF(AND(R272="profesional",ISNUMBER(AK272),AL272="sí"),0,TASA_DGT)</f>
        <v/>
      </c>
      <c r="CQ272" s="3">
        <f>INFORME_DGT</f>
        <v/>
      </c>
      <c r="CR272" s="4">
        <f>O272+CO272+CN272+CP272+CQ272</f>
        <v/>
      </c>
      <c r="CS272" s="4">
        <f>CR272+N(CF272)</f>
        <v/>
      </c>
      <c r="CT272" s="3">
        <f>IF(CR272&lt;=TOTAL_MAX,"sí",IF(CR272&lt;=TOTAL_MAX+MARGEN_NEG,"negociar","no"))</f>
        <v/>
      </c>
      <c r="CU272" s="4">
        <f>IF(CT272&lt;&gt;"no",COUNTIFS($CT$2:$CT$545,"&lt;&gt;no",$CL$2:$CL$545,"&gt;"&amp;CL272)+COUNTIFS($CT$2:CT272,"&lt;&gt;no",$CL$2:CL272,CL272),"")</f>
        <v/>
      </c>
    </row>
    <row r="273">
      <c r="A273" s="2" t="inlineStr">
        <is>
          <t>wallapop:1284104067</t>
        </is>
      </c>
      <c r="B273" s="2" t="inlineStr">
        <is>
          <t>wallapop</t>
        </is>
      </c>
      <c r="C273" s="2" t="inlineStr">
        <is>
          <t>https://es.wallapop.com/item/renault-clio-2008-1284104067</t>
        </is>
      </c>
      <c r="D273" s="2" t="inlineStr">
        <is>
          <t>Renault Clio 2008</t>
        </is>
      </c>
      <c r="E273" s="2" t="inlineStr">
        <is>
          <t>Renault</t>
        </is>
      </c>
      <c r="F273" s="2" t="inlineStr">
        <is>
          <t>Renault Clio</t>
        </is>
      </c>
      <c r="G273" s="2" t="inlineStr">
        <is>
          <t>1.2</t>
        </is>
      </c>
      <c r="H273" s="2" t="inlineStr">
        <is>
          <t>1.2 16v 75 eco2 Style 5p</t>
        </is>
      </c>
      <c r="I273" s="2" t="n"/>
      <c r="J273" s="2" t="n">
        <v>75</v>
      </c>
      <c r="K273" s="2" t="inlineStr">
        <is>
          <t>gasolina</t>
        </is>
      </c>
      <c r="L273" s="2" t="inlineStr">
        <is>
          <t>utilitario</t>
        </is>
      </c>
      <c r="M273" s="2" t="n">
        <v>2008</v>
      </c>
      <c r="N273" s="2" t="n">
        <v>199257</v>
      </c>
      <c r="O273" s="2" t="n">
        <v>2950</v>
      </c>
      <c r="P273" s="2" t="inlineStr">
        <is>
          <t>manual</t>
        </is>
      </c>
      <c r="Q273" s="2" t="inlineStr">
        <is>
          <t>no</t>
        </is>
      </c>
      <c r="R273" s="2" t="inlineStr">
        <is>
          <t>particular</t>
        </is>
      </c>
      <c r="S273" s="2" t="inlineStr">
        <is>
          <t>Sagunt/Sagunto (46500)</t>
        </is>
      </c>
      <c r="T273" s="2" t="inlineStr">
        <is>
          <t>2026-10-29T07:10:04</t>
        </is>
      </c>
      <c r="U273" s="2" t="n">
        <v>9</v>
      </c>
      <c r="V273" s="2" t="n"/>
      <c r="W273" s="2" t="inlineStr">
        <is>
          <t>sí</t>
        </is>
      </c>
      <c r="X273" s="2" t="n"/>
      <c r="Y273" s="2" t="n"/>
      <c r="Z273" s="2" t="n"/>
      <c r="AA273" s="2" t="n"/>
      <c r="AB273" s="2" t="n"/>
      <c r="AC273" s="2" t="n"/>
      <c r="AD273" s="2" t="n"/>
      <c r="AE273" s="2" t="n"/>
      <c r="AF273" s="2" t="n"/>
      <c r="AG273" s="2" t="n"/>
      <c r="AH273" s="2" t="n"/>
      <c r="AI273" s="2" t="n"/>
      <c r="AJ273" s="2" t="n"/>
      <c r="AK273" s="2" t="n"/>
      <c r="AL273" s="2" t="n"/>
      <c r="AM273" s="2" t="n">
        <v>25.2</v>
      </c>
      <c r="AN273" s="2" t="n"/>
      <c r="AO273" s="2" t="inlineStr">
        <is>
          <t>2008</t>
        </is>
      </c>
      <c r="AP273" s="2" t="n">
        <v>2008</v>
      </c>
      <c r="AQ273" s="2" t="n"/>
      <c r="AR273" s="2" t="n"/>
      <c r="AS273" s="2" t="inlineStr">
        <is>
          <t>regla</t>
        </is>
      </c>
      <c r="AT273" s="2" t="n">
        <v>3470</v>
      </c>
      <c r="AU273" s="2" t="n">
        <v>4</v>
      </c>
      <c r="AV273" s="2" t="inlineStr">
        <is>
          <t>modelo+año+km</t>
        </is>
      </c>
      <c r="AW273" s="2" t="n"/>
      <c r="AX273" s="2" t="inlineStr">
        <is>
          <t>cuota fija ITP: &gt;12 años, hasta 1.500 cc</t>
        </is>
      </c>
      <c r="AY273" s="2" t="inlineStr">
        <is>
          <t>Excelente Renault Clio con libro de mantenimiento detallado. Solo tienes que subirte y conducir. 
Aire acondicionado 
- Todo revisado Julio de 2026
- Historial de mantenimiento 
- El coche está en perfectas condiciones. 
- Ya viene incluido con el nuevo ITV. Actualmente se está matriculando en España. Todavía podemos solicitar la matrícula verde para poder conducirlo.</t>
        </is>
      </c>
      <c r="AZ273" s="2" t="inlineStr">
        <is>
          <t>https://es.wallapop.com/item/renault-clio-2008-1284104067 (__NEXT_DATA__ item) /home/user/Alopecia/buscador-coches/raw/wallapop/bba810b602902e25.json</t>
        </is>
      </c>
      <c r="BA273" s="3">
        <f>MAX(ANIO_ACTUAL-M273,0)</f>
        <v/>
      </c>
      <c r="BB273" s="4">
        <f>N273/MAX(BA273,0.5)</f>
        <v/>
      </c>
      <c r="BC273" s="4">
        <f>F273</f>
        <v/>
      </c>
      <c r="BD273" s="3">
        <f>BC273&amp;"|"&amp;INT(M273/SEG_ANIO)*SEG_ANIO</f>
        <v/>
      </c>
      <c r="BE273" s="3">
        <f>BD273&amp;"|"&amp;INT(N273/SEG_KM)*SEG_KM</f>
        <v/>
      </c>
      <c r="BF273" s="4">
        <f>COUNTIF($BC$2:$BC$545,BC273)</f>
        <v/>
      </c>
      <c r="BG273" s="4">
        <f>COUNTIF($BD$2:$BD$545,BD273)</f>
        <v/>
      </c>
      <c r="BH273" s="4">
        <f>COUNTIF($BE$2:$BE$545,BE273)</f>
        <v/>
      </c>
      <c r="BI273" s="3">
        <f t="array" ref="BI273">IF(N(AU273)&gt;=MIN_N,AT273,IF(BH273&gt;=MIN_N,MEDIAN(IF($BE$2:$BE$545=BE273,$O$2:$O$545)),IF(BG273&gt;=MIN_N,MEDIAN(IF($BD$2:$BD$545=BD273,$O$2:$O$545)),MEDIAN(IF($BC$2:$BC$545=BC273,$O$2:$O$545)))))</f>
        <v/>
      </c>
      <c r="BJ273" s="3">
        <f>IF(N(AU273)&gt;=MIN_N,"mercado "&amp;AV273,IF(BH273&gt;=MIN_N,"modelo+año+km",IF(BG273&gt;=MIN_N,"modelo+año","modelo")))</f>
        <v/>
      </c>
      <c r="BK273" s="4">
        <f>(BI273-O273)/BI273</f>
        <v/>
      </c>
      <c r="BL273" s="3">
        <f>IF(COUNTIFS(FR_FUEL,K273,FR_YEAR,AP273)&gt;0,1,0)</f>
        <v/>
      </c>
      <c r="BM273" s="3">
        <f>IF(COUNTIFS(FR_FUEL,K273,FR_YEAR,AP273-1)&gt;0,1,0)</f>
        <v/>
      </c>
      <c r="BN273" s="4">
        <f>IF(N(AQ273)&gt;0,AP273*100+AQ273,IF(AND(BL273=1,BM273=1),(AP273-1)*100+1,AP273*100+1))</f>
        <v/>
      </c>
      <c r="BO273" s="3">
        <f>IF(OR(K273="hibrido",K273="glp",K273="gnc",K273="phev"),"ECO",IF(K273="electrico","CERO",IF(K273="gasolina",IF(BN273&gt;=GAS_C_YM,"C",IF(BN273&gt;=GAS_B_YM,"B","A")),IF(K273="diesel",IF(BN273&gt;=DIE_C_YM,"C",IF(BN273&gt;=DIE_B_YM,"B","A")),""))))</f>
        <v/>
      </c>
      <c r="BP273" s="4">
        <f>BO273</f>
        <v/>
      </c>
      <c r="BQ273" s="4">
        <f>IF(AS273="regla",IF(AND(N(AQ273)=0,BL273=1),"sí","no"),"no")</f>
        <v/>
      </c>
      <c r="BR273" s="3">
        <f>IFERROR(VLOOKUP(F273,MOD_TBL,11,0),IFERROR(VLOOKUP(E273,OCU_TBL,2,0),NEUTRO))</f>
        <v/>
      </c>
      <c r="BS273" s="3">
        <f>SUMIFS(MOT_AJUSTE,MOT_MOTOR,G273,MOT_MARCA,E273,MOT_DESDE,"&lt;="&amp;M273,MOT_HASTA,"&gt;="&amp;M273)+SUMIFS(MOT_AJUSTE,MOT_MOTOR,G273,MOT_MARCA,"(todas)",MOT_DESDE,"&lt;="&amp;M273,MOT_HASTA,"&gt;="&amp;M273)</f>
        <v/>
      </c>
      <c r="BT273" s="3">
        <f>SUMIFS(COMB_AJUSTE,COMB_COMB,K273)</f>
        <v/>
      </c>
      <c r="BU273" s="3">
        <f>COUNTIFS(MOT_MOTOR,G273,MOT_MARCA,E273,MOT_DESDE,"&lt;="&amp;M273,MOT_HASTA,"&gt;="&amp;M273)+COUNTIFS(MOT_MOTOR,G273,MOT_MARCA,"(todas)",MOT_DESDE,"&lt;="&amp;M273,MOT_HASTA,"&gt;="&amp;M273)</f>
        <v/>
      </c>
      <c r="BV273" s="3">
        <f>IF(AND(K273="diesel",BU273=0),MIN(BR273,NEUTRO),BR273)</f>
        <v/>
      </c>
      <c r="BW273" s="4">
        <f>MAX(0,MIN(100,BV273+BS273+BT273))</f>
        <v/>
      </c>
      <c r="BX273" s="3">
        <f>MAX(0,MIN(100,50+BK273*PRECIO_PEND))</f>
        <v/>
      </c>
      <c r="BY273" s="3">
        <f>MAX(0,100*(1-N273/KM_MAX))</f>
        <v/>
      </c>
      <c r="BZ273" s="3">
        <f>IF(BB273&lt;KMA_SOSP,IF(AA273="sí",100,KMA_PEN),IF(BB273&lt;=KMA_IDEAL_MAX,100,MAX(0,100*(KMA_CERO-BB273)/(KMA_CERO-KMA_IDEAL_MAX))))</f>
        <v/>
      </c>
      <c r="CA273" s="3">
        <f>MAX(0,MIN(100,100*(M273-ANIO_MIN)/(ANIO_ACTUAL-ANIO_MIN)))</f>
        <v/>
      </c>
      <c r="CB273" s="3">
        <f>W_KMT*BY273+W_KMA*BZ273+W_EDAD*CA273</f>
        <v/>
      </c>
      <c r="CC273" s="3">
        <f>P_ITV*(V273="sí")+P_LIBRO*(W273="sí")+P_CORREA*(X273="sí")+P_PROP*(Y273=1)+P_GAR*(Z273="sí")+P_FOTOS*MIN(1,N(U273)/FOTOS_OBJ)</f>
        <v/>
      </c>
      <c r="CD273" s="3">
        <f>MAX(0,MIN(100,IFERROR(VLOOKUP(BP273,ETQ_TBL,2,0),0)-IF(BQ273="sí",ETQ_PEN_DUD,IF(AS273="regla",ETQ_PEN_REGLA,0))))</f>
        <v/>
      </c>
      <c r="CE273" s="3">
        <f>NEUTRO</f>
        <v/>
      </c>
      <c r="CF273" s="3">
        <f>IFERROR(VLOOKUP(L273,SEGURO_TBL,3,0),"")</f>
        <v/>
      </c>
      <c r="CG273" s="3">
        <f>IF(CF273="",NEUTRO,MAX(0,MIN(100,100*(SEG_REF_MAX-CF273)/(SEG_REF_MAX-SEG_REF_MIN))))</f>
        <v/>
      </c>
      <c r="CH273" s="3">
        <f>W_CONS*CE273+W_SEG*CG273</f>
        <v/>
      </c>
      <c r="CI273" s="3">
        <f>IF(N(AB273)&gt;0,AB273,IF(AND(R273="profesional",SG_LEGAL_ON=1),GAR_LEGAL,0))</f>
        <v/>
      </c>
      <c r="CJ273" s="3">
        <f>SG_GAR*MIN(1,CI273/SG_GAR_FULL)+SG_AMPL*(AC273="sí")+SG_KMC*(AF273="sí")+SG_REV*(N(AE273)&gt;0)+SG_DEV*MIN(1,N(AG273)/SG_DEV_FULL)+SG_HIST*(W273="sí")</f>
        <v/>
      </c>
      <c r="CK273" s="3">
        <f>IFERROR(VLOOKUP(L273,CARR_PEN_TBL,2,0),0)</f>
        <v/>
      </c>
      <c r="CL273" s="3">
        <f>W_FIAB*BW273+W_PRECIO*BX273+W_KMEDAD*CB273+W_ANUNCIO*CC273+W_USO*CH273+W_SEGURIDAD*CJ273+W_ETIQUETA*CD273-CK273</f>
        <v/>
      </c>
      <c r="CM273" s="4">
        <f>IF(N(I273)&gt;0,I273,IFERROR(ROUND(_xlfn.NUMBERVALUE(LEFT(G273,FIND(" ",G273&amp;" ")-1),".")*1000,0),99999))</f>
        <v/>
      </c>
      <c r="CN273" s="3">
        <f>IF(R273="profesional",0,IF(O273&lt;CUOTA_VALOR_MAX,IF(BA273&gt;ITP_TRAMO_ALTO,SUMIFS(CF_CUOTA,CF_MAS,ITP_TRAMO_ALTO,CF_CCMIN,"&lt;="&amp;CM273,CF_CCMAX,"&gt;="&amp;CM273),IF(BA273&gt;ITP_TRAMO_BAJO,SUMIFS(CF_CUOTA,CF_MAS,ITP_TRAMO_BAJO,CF_CCMIN,"&lt;="&amp;CM273,CF_CCMAX,"&gt;="&amp;CM273),O273*ITP_TIPO)),O273*ITP_TIPO))</f>
        <v/>
      </c>
      <c r="CO273" s="4">
        <f>IF(R273="profesional",N(AK273),0)</f>
        <v/>
      </c>
      <c r="CP273" s="3">
        <f>IF(AND(R273="profesional",ISNUMBER(AK273),AL273="sí"),0,TASA_DGT)</f>
        <v/>
      </c>
      <c r="CQ273" s="3">
        <f>INFORME_DGT</f>
        <v/>
      </c>
      <c r="CR273" s="4">
        <f>O273+CO273+CN273+CP273+CQ273</f>
        <v/>
      </c>
      <c r="CS273" s="4">
        <f>CR273+N(CF273)</f>
        <v/>
      </c>
      <c r="CT273" s="3">
        <f>IF(CR273&lt;=TOTAL_MAX,"sí",IF(CR273&lt;=TOTAL_MAX+MARGEN_NEG,"negociar","no"))</f>
        <v/>
      </c>
      <c r="CU273" s="4">
        <f>IF(CT273&lt;&gt;"no",COUNTIFS($CT$2:$CT$545,"&lt;&gt;no",$CL$2:$CL$545,"&gt;"&amp;CL273)+COUNTIFS($CT$2:CT273,"&lt;&gt;no",$CL$2:CL273,CL273),"")</f>
        <v/>
      </c>
    </row>
    <row r="274">
      <c r="A274" s="2" t="inlineStr">
        <is>
          <t>wallapop:1317117001</t>
        </is>
      </c>
      <c r="B274" s="2" t="inlineStr">
        <is>
          <t>wallapop</t>
        </is>
      </c>
      <c r="C274" s="2" t="inlineStr">
        <is>
          <t>https://es.wallapop.com/item/renault-clio-2007-1317117001</t>
        </is>
      </c>
      <c r="D274" s="2" t="inlineStr">
        <is>
          <t>Renault Clio 2007</t>
        </is>
      </c>
      <c r="E274" s="2" t="inlineStr">
        <is>
          <t>Renault</t>
        </is>
      </c>
      <c r="F274" s="2" t="inlineStr">
        <is>
          <t>Renault Clio</t>
        </is>
      </c>
      <c r="G274" s="2" t="inlineStr">
        <is>
          <t>1.2</t>
        </is>
      </c>
      <c r="H274" s="2" t="inlineStr">
        <is>
          <t>1.2 16v 75 eco2 Authentique 5p</t>
        </is>
      </c>
      <c r="I274" s="2" t="n"/>
      <c r="J274" s="2" t="n">
        <v>75</v>
      </c>
      <c r="K274" s="2" t="inlineStr">
        <is>
          <t>gasolina</t>
        </is>
      </c>
      <c r="L274" s="2" t="inlineStr">
        <is>
          <t>utilitario</t>
        </is>
      </c>
      <c r="M274" s="2" t="n">
        <v>2007</v>
      </c>
      <c r="N274" s="2" t="n">
        <v>149000</v>
      </c>
      <c r="O274" s="2" t="n">
        <v>3500</v>
      </c>
      <c r="P274" s="2" t="inlineStr">
        <is>
          <t>manual</t>
        </is>
      </c>
      <c r="Q274" s="2" t="inlineStr">
        <is>
          <t>no</t>
        </is>
      </c>
      <c r="R274" s="2" t="inlineStr">
        <is>
          <t>particular</t>
        </is>
      </c>
      <c r="S274" s="2" t="inlineStr">
        <is>
          <t>Manises (46940)</t>
        </is>
      </c>
      <c r="T274" s="2" t="inlineStr">
        <is>
          <t>2026-10-25T16:28:35</t>
        </is>
      </c>
      <c r="U274" s="2" t="n">
        <v>5</v>
      </c>
      <c r="V274" s="2" t="inlineStr">
        <is>
          <t>sí</t>
        </is>
      </c>
      <c r="W274" s="2" t="n"/>
      <c r="X274" s="2" t="n"/>
      <c r="Y274" s="2" t="n"/>
      <c r="Z274" s="2" t="n"/>
      <c r="AA274" s="2" t="n"/>
      <c r="AB274" s="2" t="n"/>
      <c r="AC274" s="2" t="n"/>
      <c r="AD274" s="2" t="n"/>
      <c r="AE274" s="2" t="n"/>
      <c r="AF274" s="2" t="n"/>
      <c r="AG274" s="2" t="n"/>
      <c r="AH274" s="2" t="n"/>
      <c r="AI274" s="2" t="n"/>
      <c r="AJ274" s="2" t="n"/>
      <c r="AK274" s="2" t="n"/>
      <c r="AL274" s="2" t="n"/>
      <c r="AM274" s="2" t="n">
        <v>7.2</v>
      </c>
      <c r="AN274" s="2" t="n"/>
      <c r="AO274" s="2" t="inlineStr">
        <is>
          <t>2007</t>
        </is>
      </c>
      <c r="AP274" s="2" t="n">
        <v>2007</v>
      </c>
      <c r="AQ274" s="2" t="n"/>
      <c r="AR274" s="2" t="n"/>
      <c r="AS274" s="2" t="inlineStr">
        <is>
          <t>regla</t>
        </is>
      </c>
      <c r="AT274" s="2" t="n">
        <v>3500</v>
      </c>
      <c r="AU274" s="2" t="n">
        <v>7</v>
      </c>
      <c r="AV274" s="2" t="inlineStr">
        <is>
          <t>modelo+año+km</t>
        </is>
      </c>
      <c r="AW274" s="2" t="n"/>
      <c r="AX274" s="2" t="inlineStr">
        <is>
          <t>cuota fija ITP: &gt;12 años, hasta 1.500 cc</t>
        </is>
      </c>
      <c r="AY274" s="2" t="inlineStr">
        <is>
          <t xml:space="preserve">Mantenimientos e ITV al dia </t>
        </is>
      </c>
      <c r="AZ274" s="2" t="inlineStr">
        <is>
          <t>https://es.wallapop.com/item/renault-clio-2007-1317117001 (__NEXT_DATA__ item) /home/user/Alopecia/buscador-coches/raw/wallapop/4df7009466ea8079.json</t>
        </is>
      </c>
      <c r="BA274" s="3">
        <f>MAX(ANIO_ACTUAL-M274,0)</f>
        <v/>
      </c>
      <c r="BB274" s="4">
        <f>N274/MAX(BA274,0.5)</f>
        <v/>
      </c>
      <c r="BC274" s="4">
        <f>F274</f>
        <v/>
      </c>
      <c r="BD274" s="3">
        <f>BC274&amp;"|"&amp;INT(M274/SEG_ANIO)*SEG_ANIO</f>
        <v/>
      </c>
      <c r="BE274" s="3">
        <f>BD274&amp;"|"&amp;INT(N274/SEG_KM)*SEG_KM</f>
        <v/>
      </c>
      <c r="BF274" s="4">
        <f>COUNTIF($BC$2:$BC$545,BC274)</f>
        <v/>
      </c>
      <c r="BG274" s="4">
        <f>COUNTIF($BD$2:$BD$545,BD274)</f>
        <v/>
      </c>
      <c r="BH274" s="4">
        <f>COUNTIF($BE$2:$BE$545,BE274)</f>
        <v/>
      </c>
      <c r="BI274" s="3">
        <f t="array" ref="BI274">IF(N(AU274)&gt;=MIN_N,AT274,IF(BH274&gt;=MIN_N,MEDIAN(IF($BE$2:$BE$545=BE274,$O$2:$O$545)),IF(BG274&gt;=MIN_N,MEDIAN(IF($BD$2:$BD$545=BD274,$O$2:$O$545)),MEDIAN(IF($BC$2:$BC$545=BC274,$O$2:$O$545)))))</f>
        <v/>
      </c>
      <c r="BJ274" s="3">
        <f>IF(N(AU274)&gt;=MIN_N,"mercado "&amp;AV274,IF(BH274&gt;=MIN_N,"modelo+año+km",IF(BG274&gt;=MIN_N,"modelo+año","modelo")))</f>
        <v/>
      </c>
      <c r="BK274" s="4">
        <f>(BI274-O274)/BI274</f>
        <v/>
      </c>
      <c r="BL274" s="3">
        <f>IF(COUNTIFS(FR_FUEL,K274,FR_YEAR,AP274)&gt;0,1,0)</f>
        <v/>
      </c>
      <c r="BM274" s="3">
        <f>IF(COUNTIFS(FR_FUEL,K274,FR_YEAR,AP274-1)&gt;0,1,0)</f>
        <v/>
      </c>
      <c r="BN274" s="4">
        <f>IF(N(AQ274)&gt;0,AP274*100+AQ274,IF(AND(BL274=1,BM274=1),(AP274-1)*100+1,AP274*100+1))</f>
        <v/>
      </c>
      <c r="BO274" s="3">
        <f>IF(OR(K274="hibrido",K274="glp",K274="gnc",K274="phev"),"ECO",IF(K274="electrico","CERO",IF(K274="gasolina",IF(BN274&gt;=GAS_C_YM,"C",IF(BN274&gt;=GAS_B_YM,"B","A")),IF(K274="diesel",IF(BN274&gt;=DIE_C_YM,"C",IF(BN274&gt;=DIE_B_YM,"B","A")),""))))</f>
        <v/>
      </c>
      <c r="BP274" s="4">
        <f>BO274</f>
        <v/>
      </c>
      <c r="BQ274" s="4">
        <f>IF(AS274="regla",IF(AND(N(AQ274)=0,BL274=1),"sí","no"),"no")</f>
        <v/>
      </c>
      <c r="BR274" s="3">
        <f>IFERROR(VLOOKUP(F274,MOD_TBL,11,0),IFERROR(VLOOKUP(E274,OCU_TBL,2,0),NEUTRO))</f>
        <v/>
      </c>
      <c r="BS274" s="3">
        <f>SUMIFS(MOT_AJUSTE,MOT_MOTOR,G274,MOT_MARCA,E274,MOT_DESDE,"&lt;="&amp;M274,MOT_HASTA,"&gt;="&amp;M274)+SUMIFS(MOT_AJUSTE,MOT_MOTOR,G274,MOT_MARCA,"(todas)",MOT_DESDE,"&lt;="&amp;M274,MOT_HASTA,"&gt;="&amp;M274)</f>
        <v/>
      </c>
      <c r="BT274" s="3">
        <f>SUMIFS(COMB_AJUSTE,COMB_COMB,K274)</f>
        <v/>
      </c>
      <c r="BU274" s="3">
        <f>COUNTIFS(MOT_MOTOR,G274,MOT_MARCA,E274,MOT_DESDE,"&lt;="&amp;M274,MOT_HASTA,"&gt;="&amp;M274)+COUNTIFS(MOT_MOTOR,G274,MOT_MARCA,"(todas)",MOT_DESDE,"&lt;="&amp;M274,MOT_HASTA,"&gt;="&amp;M274)</f>
        <v/>
      </c>
      <c r="BV274" s="3">
        <f>IF(AND(K274="diesel",BU274=0),MIN(BR274,NEUTRO),BR274)</f>
        <v/>
      </c>
      <c r="BW274" s="4">
        <f>MAX(0,MIN(100,BV274+BS274+BT274))</f>
        <v/>
      </c>
      <c r="BX274" s="3">
        <f>MAX(0,MIN(100,50+BK274*PRECIO_PEND))</f>
        <v/>
      </c>
      <c r="BY274" s="3">
        <f>MAX(0,100*(1-N274/KM_MAX))</f>
        <v/>
      </c>
      <c r="BZ274" s="3">
        <f>IF(BB274&lt;KMA_SOSP,IF(AA274="sí",100,KMA_PEN),IF(BB274&lt;=KMA_IDEAL_MAX,100,MAX(0,100*(KMA_CERO-BB274)/(KMA_CERO-KMA_IDEAL_MAX))))</f>
        <v/>
      </c>
      <c r="CA274" s="3">
        <f>MAX(0,MIN(100,100*(M274-ANIO_MIN)/(ANIO_ACTUAL-ANIO_MIN)))</f>
        <v/>
      </c>
      <c r="CB274" s="3">
        <f>W_KMT*BY274+W_KMA*BZ274+W_EDAD*CA274</f>
        <v/>
      </c>
      <c r="CC274" s="3">
        <f>P_ITV*(V274="sí")+P_LIBRO*(W274="sí")+P_CORREA*(X274="sí")+P_PROP*(Y274=1)+P_GAR*(Z274="sí")+P_FOTOS*MIN(1,N(U274)/FOTOS_OBJ)</f>
        <v/>
      </c>
      <c r="CD274" s="3">
        <f>MAX(0,MIN(100,IFERROR(VLOOKUP(BP274,ETQ_TBL,2,0),0)-IF(BQ274="sí",ETQ_PEN_DUD,IF(AS274="regla",ETQ_PEN_REGLA,0))))</f>
        <v/>
      </c>
      <c r="CE274" s="3">
        <f>NEUTRO</f>
        <v/>
      </c>
      <c r="CF274" s="3">
        <f>IFERROR(VLOOKUP(L274,SEGURO_TBL,3,0),"")</f>
        <v/>
      </c>
      <c r="CG274" s="3">
        <f>IF(CF274="",NEUTRO,MAX(0,MIN(100,100*(SEG_REF_MAX-CF274)/(SEG_REF_MAX-SEG_REF_MIN))))</f>
        <v/>
      </c>
      <c r="CH274" s="3">
        <f>W_CONS*CE274+W_SEG*CG274</f>
        <v/>
      </c>
      <c r="CI274" s="3">
        <f>IF(N(AB274)&gt;0,AB274,IF(AND(R274="profesional",SG_LEGAL_ON=1),GAR_LEGAL,0))</f>
        <v/>
      </c>
      <c r="CJ274" s="3">
        <f>SG_GAR*MIN(1,CI274/SG_GAR_FULL)+SG_AMPL*(AC274="sí")+SG_KMC*(AF274="sí")+SG_REV*(N(AE274)&gt;0)+SG_DEV*MIN(1,N(AG274)/SG_DEV_FULL)+SG_HIST*(W274="sí")</f>
        <v/>
      </c>
      <c r="CK274" s="3">
        <f>IFERROR(VLOOKUP(L274,CARR_PEN_TBL,2,0),0)</f>
        <v/>
      </c>
      <c r="CL274" s="3">
        <f>W_FIAB*BW274+W_PRECIO*BX274+W_KMEDAD*CB274+W_ANUNCIO*CC274+W_USO*CH274+W_SEGURIDAD*CJ274+W_ETIQUETA*CD274-CK274</f>
        <v/>
      </c>
      <c r="CM274" s="4">
        <f>IF(N(I274)&gt;0,I274,IFERROR(ROUND(_xlfn.NUMBERVALUE(LEFT(G274,FIND(" ",G274&amp;" ")-1),".")*1000,0),99999))</f>
        <v/>
      </c>
      <c r="CN274" s="3">
        <f>IF(R274="profesional",0,IF(O274&lt;CUOTA_VALOR_MAX,IF(BA274&gt;ITP_TRAMO_ALTO,SUMIFS(CF_CUOTA,CF_MAS,ITP_TRAMO_ALTO,CF_CCMIN,"&lt;="&amp;CM274,CF_CCMAX,"&gt;="&amp;CM274),IF(BA274&gt;ITP_TRAMO_BAJO,SUMIFS(CF_CUOTA,CF_MAS,ITP_TRAMO_BAJO,CF_CCMIN,"&lt;="&amp;CM274,CF_CCMAX,"&gt;="&amp;CM274),O274*ITP_TIPO)),O274*ITP_TIPO))</f>
        <v/>
      </c>
      <c r="CO274" s="4">
        <f>IF(R274="profesional",N(AK274),0)</f>
        <v/>
      </c>
      <c r="CP274" s="3">
        <f>IF(AND(R274="profesional",ISNUMBER(AK274),AL274="sí"),0,TASA_DGT)</f>
        <v/>
      </c>
      <c r="CQ274" s="3">
        <f>INFORME_DGT</f>
        <v/>
      </c>
      <c r="CR274" s="4">
        <f>O274+CO274+CN274+CP274+CQ274</f>
        <v/>
      </c>
      <c r="CS274" s="4">
        <f>CR274+N(CF274)</f>
        <v/>
      </c>
      <c r="CT274" s="3">
        <f>IF(CR274&lt;=TOTAL_MAX,"sí",IF(CR274&lt;=TOTAL_MAX+MARGEN_NEG,"negociar","no"))</f>
        <v/>
      </c>
      <c r="CU274" s="4">
        <f>IF(CT274&lt;&gt;"no",COUNTIFS($CT$2:$CT$545,"&lt;&gt;no",$CL$2:$CL$545,"&gt;"&amp;CL274)+COUNTIFS($CT$2:CT274,"&lt;&gt;no",$CL$2:CL274,CL274),"")</f>
        <v/>
      </c>
    </row>
    <row r="275">
      <c r="A275" s="2" t="inlineStr">
        <is>
          <t>wallapop:1316972840</t>
        </is>
      </c>
      <c r="B275" s="2" t="inlineStr">
        <is>
          <t>wallapop</t>
        </is>
      </c>
      <c r="C275" s="2" t="inlineStr">
        <is>
          <t>https://es.wallapop.com/item/renault-megane-2007-1316972840</t>
        </is>
      </c>
      <c r="D275" s="2" t="inlineStr">
        <is>
          <t>Renault Megane 2007</t>
        </is>
      </c>
      <c r="E275" s="2" t="inlineStr">
        <is>
          <t>Renault</t>
        </is>
      </c>
      <c r="F275" s="2" t="inlineStr">
        <is>
          <t>Renault Mégane</t>
        </is>
      </c>
      <c r="G275" s="2" t="inlineStr">
        <is>
          <t>1.6</t>
        </is>
      </c>
      <c r="H275" s="2" t="inlineStr">
        <is>
          <t>1.6 16v 110 Dynamique 5p</t>
        </is>
      </c>
      <c r="I275" s="2" t="n"/>
      <c r="J275" s="2" t="n">
        <v>110</v>
      </c>
      <c r="K275" s="2" t="inlineStr">
        <is>
          <t>gasolina</t>
        </is>
      </c>
      <c r="L275" s="2" t="inlineStr">
        <is>
          <t>compacto</t>
        </is>
      </c>
      <c r="M275" s="2" t="n">
        <v>2007</v>
      </c>
      <c r="N275" s="2" t="n">
        <v>203000</v>
      </c>
      <c r="O275" s="2" t="n">
        <v>2150</v>
      </c>
      <c r="P275" s="2" t="inlineStr">
        <is>
          <t>manual</t>
        </is>
      </c>
      <c r="Q275" s="2" t="inlineStr">
        <is>
          <t>no</t>
        </is>
      </c>
      <c r="R275" s="2" t="inlineStr">
        <is>
          <t>particular</t>
        </is>
      </c>
      <c r="S275" s="2" t="inlineStr">
        <is>
          <t>Valencia (46005)</t>
        </is>
      </c>
      <c r="T275" s="2" t="inlineStr">
        <is>
          <t>2026-10-25T10:55:31</t>
        </is>
      </c>
      <c r="U275" s="2" t="n">
        <v>6</v>
      </c>
      <c r="V275" s="2" t="n"/>
      <c r="W275" s="2" t="n"/>
      <c r="X275" s="2" t="n"/>
      <c r="Y275" s="2" t="n"/>
      <c r="Z275" s="2" t="n"/>
      <c r="AA275" s="2" t="n"/>
      <c r="AB275" s="2" t="n"/>
      <c r="AC275" s="2" t="n"/>
      <c r="AD275" s="2" t="n"/>
      <c r="AE275" s="2" t="n"/>
      <c r="AF275" s="2" t="n"/>
      <c r="AG275" s="2" t="n"/>
      <c r="AH275" s="2" t="n"/>
      <c r="AI275" s="2" t="n"/>
      <c r="AJ275" s="2" t="n"/>
      <c r="AK275" s="2" t="n"/>
      <c r="AL275" s="2" t="n"/>
      <c r="AM275" s="2" t="n">
        <v>1.4</v>
      </c>
      <c r="AN275" s="2" t="n"/>
      <c r="AO275" s="2" t="inlineStr">
        <is>
          <t>2007</t>
        </is>
      </c>
      <c r="AP275" s="2" t="n">
        <v>2007</v>
      </c>
      <c r="AQ275" s="2" t="n"/>
      <c r="AR275" s="2" t="n"/>
      <c r="AS275" s="2" t="inlineStr">
        <is>
          <t>regla</t>
        </is>
      </c>
      <c r="AT275" s="2" t="n">
        <v>2350</v>
      </c>
      <c r="AU275" s="2" t="n">
        <v>11</v>
      </c>
      <c r="AV275" s="2" t="inlineStr">
        <is>
          <t>modelo+año+km</t>
        </is>
      </c>
      <c r="AW275" s="2" t="n"/>
      <c r="AX275" s="2" t="inlineStr">
        <is>
          <t>cuota fija ITP: &gt;12 años, 1.501-2.000 cc</t>
        </is>
      </c>
      <c r="AY275" s="2" t="inlineStr">
        <is>
          <t>Coche en muy buen estado tanto por dentro como por fuera.Itv caduca en Septiembre 2027.Pegatina medioambiental C 
203000 kms,apenas se oye el motor y va muy fino.</t>
        </is>
      </c>
      <c r="AZ275" s="2" t="inlineStr">
        <is>
          <t>https://es.wallapop.com/item/renault-megane-2007-1316972840 (__NEXT_DATA__ item) /home/user/Alopecia/buscador-coches/raw/wallapop/ce523f5b357ffa2d.json</t>
        </is>
      </c>
      <c r="BA275" s="3">
        <f>MAX(ANIO_ACTUAL-M275,0)</f>
        <v/>
      </c>
      <c r="BB275" s="4">
        <f>N275/MAX(BA275,0.5)</f>
        <v/>
      </c>
      <c r="BC275" s="4">
        <f>F275</f>
        <v/>
      </c>
      <c r="BD275" s="3">
        <f>BC275&amp;"|"&amp;INT(M275/SEG_ANIO)*SEG_ANIO</f>
        <v/>
      </c>
      <c r="BE275" s="3">
        <f>BD275&amp;"|"&amp;INT(N275/SEG_KM)*SEG_KM</f>
        <v/>
      </c>
      <c r="BF275" s="4">
        <f>COUNTIF($BC$2:$BC$545,BC275)</f>
        <v/>
      </c>
      <c r="BG275" s="4">
        <f>COUNTIF($BD$2:$BD$545,BD275)</f>
        <v/>
      </c>
      <c r="BH275" s="4">
        <f>COUNTIF($BE$2:$BE$545,BE275)</f>
        <v/>
      </c>
      <c r="BI275" s="3">
        <f t="array" ref="BI275">IF(N(AU275)&gt;=MIN_N,AT275,IF(BH275&gt;=MIN_N,MEDIAN(IF($BE$2:$BE$545=BE275,$O$2:$O$545)),IF(BG275&gt;=MIN_N,MEDIAN(IF($BD$2:$BD$545=BD275,$O$2:$O$545)),MEDIAN(IF($BC$2:$BC$545=BC275,$O$2:$O$545)))))</f>
        <v/>
      </c>
      <c r="BJ275" s="3">
        <f>IF(N(AU275)&gt;=MIN_N,"mercado "&amp;AV275,IF(BH275&gt;=MIN_N,"modelo+año+km",IF(BG275&gt;=MIN_N,"modelo+año","modelo")))</f>
        <v/>
      </c>
      <c r="BK275" s="4">
        <f>(BI275-O275)/BI275</f>
        <v/>
      </c>
      <c r="BL275" s="3">
        <f>IF(COUNTIFS(FR_FUEL,K275,FR_YEAR,AP275)&gt;0,1,0)</f>
        <v/>
      </c>
      <c r="BM275" s="3">
        <f>IF(COUNTIFS(FR_FUEL,K275,FR_YEAR,AP275-1)&gt;0,1,0)</f>
        <v/>
      </c>
      <c r="BN275" s="4">
        <f>IF(N(AQ275)&gt;0,AP275*100+AQ275,IF(AND(BL275=1,BM275=1),(AP275-1)*100+1,AP275*100+1))</f>
        <v/>
      </c>
      <c r="BO275" s="3">
        <f>IF(OR(K275="hibrido",K275="glp",K275="gnc",K275="phev"),"ECO",IF(K275="electrico","CERO",IF(K275="gasolina",IF(BN275&gt;=GAS_C_YM,"C",IF(BN275&gt;=GAS_B_YM,"B","A")),IF(K275="diesel",IF(BN275&gt;=DIE_C_YM,"C",IF(BN275&gt;=DIE_B_YM,"B","A")),""))))</f>
        <v/>
      </c>
      <c r="BP275" s="4">
        <f>BO275</f>
        <v/>
      </c>
      <c r="BQ275" s="4">
        <f>IF(AS275="regla",IF(AND(N(AQ275)=0,BL275=1),"sí","no"),"no")</f>
        <v/>
      </c>
      <c r="BR275" s="3">
        <f>IFERROR(VLOOKUP(F275,MOD_TBL,11,0),IFERROR(VLOOKUP(E275,OCU_TBL,2,0),NEUTRO))</f>
        <v/>
      </c>
      <c r="BS275" s="3">
        <f>SUMIFS(MOT_AJUSTE,MOT_MOTOR,G275,MOT_MARCA,E275,MOT_DESDE,"&lt;="&amp;M275,MOT_HASTA,"&gt;="&amp;M275)+SUMIFS(MOT_AJUSTE,MOT_MOTOR,G275,MOT_MARCA,"(todas)",MOT_DESDE,"&lt;="&amp;M275,MOT_HASTA,"&gt;="&amp;M275)</f>
        <v/>
      </c>
      <c r="BT275" s="3">
        <f>SUMIFS(COMB_AJUSTE,COMB_COMB,K275)</f>
        <v/>
      </c>
      <c r="BU275" s="3">
        <f>COUNTIFS(MOT_MOTOR,G275,MOT_MARCA,E275,MOT_DESDE,"&lt;="&amp;M275,MOT_HASTA,"&gt;="&amp;M275)+COUNTIFS(MOT_MOTOR,G275,MOT_MARCA,"(todas)",MOT_DESDE,"&lt;="&amp;M275,MOT_HASTA,"&gt;="&amp;M275)</f>
        <v/>
      </c>
      <c r="BV275" s="3">
        <f>IF(AND(K275="diesel",BU275=0),MIN(BR275,NEUTRO),BR275)</f>
        <v/>
      </c>
      <c r="BW275" s="4">
        <f>MAX(0,MIN(100,BV275+BS275+BT275))</f>
        <v/>
      </c>
      <c r="BX275" s="3">
        <f>MAX(0,MIN(100,50+BK275*PRECIO_PEND))</f>
        <v/>
      </c>
      <c r="BY275" s="3">
        <f>MAX(0,100*(1-N275/KM_MAX))</f>
        <v/>
      </c>
      <c r="BZ275" s="3">
        <f>IF(BB275&lt;KMA_SOSP,IF(AA275="sí",100,KMA_PEN),IF(BB275&lt;=KMA_IDEAL_MAX,100,MAX(0,100*(KMA_CERO-BB275)/(KMA_CERO-KMA_IDEAL_MAX))))</f>
        <v/>
      </c>
      <c r="CA275" s="3">
        <f>MAX(0,MIN(100,100*(M275-ANIO_MIN)/(ANIO_ACTUAL-ANIO_MIN)))</f>
        <v/>
      </c>
      <c r="CB275" s="3">
        <f>W_KMT*BY275+W_KMA*BZ275+W_EDAD*CA275</f>
        <v/>
      </c>
      <c r="CC275" s="3">
        <f>P_ITV*(V275="sí")+P_LIBRO*(W275="sí")+P_CORREA*(X275="sí")+P_PROP*(Y275=1)+P_GAR*(Z275="sí")+P_FOTOS*MIN(1,N(U275)/FOTOS_OBJ)</f>
        <v/>
      </c>
      <c r="CD275" s="3">
        <f>MAX(0,MIN(100,IFERROR(VLOOKUP(BP275,ETQ_TBL,2,0),0)-IF(BQ275="sí",ETQ_PEN_DUD,IF(AS275="regla",ETQ_PEN_REGLA,0))))</f>
        <v/>
      </c>
      <c r="CE275" s="3">
        <f>NEUTRO</f>
        <v/>
      </c>
      <c r="CF275" s="3">
        <f>IFERROR(VLOOKUP(L275,SEGURO_TBL,3,0),"")</f>
        <v/>
      </c>
      <c r="CG275" s="3">
        <f>IF(CF275="",NEUTRO,MAX(0,MIN(100,100*(SEG_REF_MAX-CF275)/(SEG_REF_MAX-SEG_REF_MIN))))</f>
        <v/>
      </c>
      <c r="CH275" s="3">
        <f>W_CONS*CE275+W_SEG*CG275</f>
        <v/>
      </c>
      <c r="CI275" s="3">
        <f>IF(N(AB275)&gt;0,AB275,IF(AND(R275="profesional",SG_LEGAL_ON=1),GAR_LEGAL,0))</f>
        <v/>
      </c>
      <c r="CJ275" s="3">
        <f>SG_GAR*MIN(1,CI275/SG_GAR_FULL)+SG_AMPL*(AC275="sí")+SG_KMC*(AF275="sí")+SG_REV*(N(AE275)&gt;0)+SG_DEV*MIN(1,N(AG275)/SG_DEV_FULL)+SG_HIST*(W275="sí")</f>
        <v/>
      </c>
      <c r="CK275" s="3">
        <f>IFERROR(VLOOKUP(L275,CARR_PEN_TBL,2,0),0)</f>
        <v/>
      </c>
      <c r="CL275" s="3">
        <f>W_FIAB*BW275+W_PRECIO*BX275+W_KMEDAD*CB275+W_ANUNCIO*CC275+W_USO*CH275+W_SEGURIDAD*CJ275+W_ETIQUETA*CD275-CK275</f>
        <v/>
      </c>
      <c r="CM275" s="4">
        <f>IF(N(I275)&gt;0,I275,IFERROR(ROUND(_xlfn.NUMBERVALUE(LEFT(G275,FIND(" ",G275&amp;" ")-1),".")*1000,0),99999))</f>
        <v/>
      </c>
      <c r="CN275" s="3">
        <f>IF(R275="profesional",0,IF(O275&lt;CUOTA_VALOR_MAX,IF(BA275&gt;ITP_TRAMO_ALTO,SUMIFS(CF_CUOTA,CF_MAS,ITP_TRAMO_ALTO,CF_CCMIN,"&lt;="&amp;CM275,CF_CCMAX,"&gt;="&amp;CM275),IF(BA275&gt;ITP_TRAMO_BAJO,SUMIFS(CF_CUOTA,CF_MAS,ITP_TRAMO_BAJO,CF_CCMIN,"&lt;="&amp;CM275,CF_CCMAX,"&gt;="&amp;CM275),O275*ITP_TIPO)),O275*ITP_TIPO))</f>
        <v/>
      </c>
      <c r="CO275" s="4">
        <f>IF(R275="profesional",N(AK275),0)</f>
        <v/>
      </c>
      <c r="CP275" s="3">
        <f>IF(AND(R275="profesional",ISNUMBER(AK275),AL275="sí"),0,TASA_DGT)</f>
        <v/>
      </c>
      <c r="CQ275" s="3">
        <f>INFORME_DGT</f>
        <v/>
      </c>
      <c r="CR275" s="4">
        <f>O275+CO275+CN275+CP275+CQ275</f>
        <v/>
      </c>
      <c r="CS275" s="4">
        <f>CR275+N(CF275)</f>
        <v/>
      </c>
      <c r="CT275" s="3">
        <f>IF(CR275&lt;=TOTAL_MAX,"sí",IF(CR275&lt;=TOTAL_MAX+MARGEN_NEG,"negociar","no"))</f>
        <v/>
      </c>
      <c r="CU275" s="4">
        <f>IF(CT275&lt;&gt;"no",COUNTIFS($CT$2:$CT$545,"&lt;&gt;no",$CL$2:$CL$545,"&gt;"&amp;CL275)+COUNTIFS($CT$2:CT275,"&lt;&gt;no",$CL$2:CL275,CL275),"")</f>
        <v/>
      </c>
    </row>
    <row r="276">
      <c r="A276" s="2" t="inlineStr">
        <is>
          <t>wallapop:1316457370</t>
        </is>
      </c>
      <c r="B276" s="2" t="inlineStr">
        <is>
          <t>wallapop</t>
        </is>
      </c>
      <c r="C276" s="2" t="inlineStr">
        <is>
          <t>https://es.wallapop.com/item/renault-megane-1-6-16v-1316457370</t>
        </is>
      </c>
      <c r="D276" s="2" t="inlineStr">
        <is>
          <t>Renault Megane 1.6 16v</t>
        </is>
      </c>
      <c r="E276" s="2" t="inlineStr">
        <is>
          <t>Renault</t>
        </is>
      </c>
      <c r="F276" s="2" t="inlineStr">
        <is>
          <t>Renault Mégane</t>
        </is>
      </c>
      <c r="G276" s="2" t="inlineStr">
        <is>
          <t>1.6</t>
        </is>
      </c>
      <c r="H276" s="2" t="inlineStr">
        <is>
          <t>Sedan 1.6 16v 110 Dynamique 4p</t>
        </is>
      </c>
      <c r="I276" s="2" t="n"/>
      <c r="J276" s="2" t="n">
        <v>110</v>
      </c>
      <c r="K276" s="2" t="inlineStr">
        <is>
          <t>gasolina</t>
        </is>
      </c>
      <c r="L276" s="2" t="inlineStr">
        <is>
          <t>berlina</t>
        </is>
      </c>
      <c r="M276" s="2" t="n">
        <v>2006</v>
      </c>
      <c r="N276" s="2" t="n">
        <v>160000</v>
      </c>
      <c r="O276" s="2" t="n">
        <v>2000</v>
      </c>
      <c r="P276" s="2" t="inlineStr">
        <is>
          <t>manual</t>
        </is>
      </c>
      <c r="Q276" s="2" t="inlineStr">
        <is>
          <t>no</t>
        </is>
      </c>
      <c r="R276" s="2" t="inlineStr">
        <is>
          <t>particular</t>
        </is>
      </c>
      <c r="S276" s="2" t="inlineStr">
        <is>
          <t>Paterna (46980)</t>
        </is>
      </c>
      <c r="T276" s="2" t="inlineStr">
        <is>
          <t>2026-10-30T17:08:11</t>
        </is>
      </c>
      <c r="U276" s="2" t="n">
        <v>8</v>
      </c>
      <c r="V276" s="2" t="inlineStr">
        <is>
          <t>sí</t>
        </is>
      </c>
      <c r="W276" s="2" t="n"/>
      <c r="X276" s="2" t="n"/>
      <c r="Y276" s="2" t="n">
        <v>1</v>
      </c>
      <c r="Z276" s="2" t="n"/>
      <c r="AA276" s="2" t="n"/>
      <c r="AB276" s="2" t="n"/>
      <c r="AC276" s="2" t="n"/>
      <c r="AD276" s="2" t="n"/>
      <c r="AE276" s="2" t="n"/>
      <c r="AF276" s="2" t="n"/>
      <c r="AG276" s="2" t="n"/>
      <c r="AH276" s="2" t="n"/>
      <c r="AI276" s="2" t="n"/>
      <c r="AJ276" s="2" t="n"/>
      <c r="AK276" s="2" t="n"/>
      <c r="AL276" s="2" t="n"/>
      <c r="AM276" s="2" t="n">
        <v>7.6</v>
      </c>
      <c r="AN276" s="2" t="n"/>
      <c r="AO276" s="2" t="inlineStr">
        <is>
          <t>2006</t>
        </is>
      </c>
      <c r="AP276" s="2" t="n">
        <v>2006</v>
      </c>
      <c r="AQ276" s="2" t="n"/>
      <c r="AR276" s="2" t="n"/>
      <c r="AS276" s="2" t="inlineStr">
        <is>
          <t>regla</t>
        </is>
      </c>
      <c r="AT276" s="2" t="n">
        <v>2375</v>
      </c>
      <c r="AU276" s="2" t="n">
        <v>6</v>
      </c>
      <c r="AV276" s="2" t="inlineStr">
        <is>
          <t>modelo+año+km</t>
        </is>
      </c>
      <c r="AW276" s="2" t="n"/>
      <c r="AX276" s="2" t="inlineStr">
        <is>
          <t>cuota fija ITP: &gt;12 años, 1.501-2.000 cc; carrocería berlina: -4 puntos</t>
        </is>
      </c>
      <c r="AY276" s="2" t="inlineStr">
        <is>
          <t>Vendo Renault Megane 1.6 gasolina.
Disitrbucion cambiada a los 100.000km
ITV hasta enero de 2027. AC funciona. 
Ruedas nuevas del año pasado.
Revisiones al dia, Único dueño.
Contactar solo por teléfono 687189839 (Ivan). No cambios.</t>
        </is>
      </c>
      <c r="AZ276" s="2" t="inlineStr">
        <is>
          <t>https://es.wallapop.com/item/renault-megane-1-6-16v-1316457370 (__NEXT_DATA__ item) /home/user/Alopecia/buscador-coches/raw/wallapop/cd6417a9b99dd306.json</t>
        </is>
      </c>
      <c r="BA276" s="3">
        <f>MAX(ANIO_ACTUAL-M276,0)</f>
        <v/>
      </c>
      <c r="BB276" s="4">
        <f>N276/MAX(BA276,0.5)</f>
        <v/>
      </c>
      <c r="BC276" s="4">
        <f>F276</f>
        <v/>
      </c>
      <c r="BD276" s="3">
        <f>BC276&amp;"|"&amp;INT(M276/SEG_ANIO)*SEG_ANIO</f>
        <v/>
      </c>
      <c r="BE276" s="3">
        <f>BD276&amp;"|"&amp;INT(N276/SEG_KM)*SEG_KM</f>
        <v/>
      </c>
      <c r="BF276" s="4">
        <f>COUNTIF($BC$2:$BC$545,BC276)</f>
        <v/>
      </c>
      <c r="BG276" s="4">
        <f>COUNTIF($BD$2:$BD$545,BD276)</f>
        <v/>
      </c>
      <c r="BH276" s="4">
        <f>COUNTIF($BE$2:$BE$545,BE276)</f>
        <v/>
      </c>
      <c r="BI276" s="3">
        <f t="array" ref="BI276">IF(N(AU276)&gt;=MIN_N,AT276,IF(BH276&gt;=MIN_N,MEDIAN(IF($BE$2:$BE$545=BE276,$O$2:$O$545)),IF(BG276&gt;=MIN_N,MEDIAN(IF($BD$2:$BD$545=BD276,$O$2:$O$545)),MEDIAN(IF($BC$2:$BC$545=BC276,$O$2:$O$545)))))</f>
        <v/>
      </c>
      <c r="BJ276" s="3">
        <f>IF(N(AU276)&gt;=MIN_N,"mercado "&amp;AV276,IF(BH276&gt;=MIN_N,"modelo+año+km",IF(BG276&gt;=MIN_N,"modelo+año","modelo")))</f>
        <v/>
      </c>
      <c r="BK276" s="4">
        <f>(BI276-O276)/BI276</f>
        <v/>
      </c>
      <c r="BL276" s="3">
        <f>IF(COUNTIFS(FR_FUEL,K276,FR_YEAR,AP276)&gt;0,1,0)</f>
        <v/>
      </c>
      <c r="BM276" s="3">
        <f>IF(COUNTIFS(FR_FUEL,K276,FR_YEAR,AP276-1)&gt;0,1,0)</f>
        <v/>
      </c>
      <c r="BN276" s="4">
        <f>IF(N(AQ276)&gt;0,AP276*100+AQ276,IF(AND(BL276=1,BM276=1),(AP276-1)*100+1,AP276*100+1))</f>
        <v/>
      </c>
      <c r="BO276" s="3">
        <f>IF(OR(K276="hibrido",K276="glp",K276="gnc",K276="phev"),"ECO",IF(K276="electrico","CERO",IF(K276="gasolina",IF(BN276&gt;=GAS_C_YM,"C",IF(BN276&gt;=GAS_B_YM,"B","A")),IF(K276="diesel",IF(BN276&gt;=DIE_C_YM,"C",IF(BN276&gt;=DIE_B_YM,"B","A")),""))))</f>
        <v/>
      </c>
      <c r="BP276" s="4">
        <f>BO276</f>
        <v/>
      </c>
      <c r="BQ276" s="4">
        <f>IF(AS276="regla",IF(AND(N(AQ276)=0,BL276=1),"sí","no"),"no")</f>
        <v/>
      </c>
      <c r="BR276" s="3">
        <f>IFERROR(VLOOKUP(F276,MOD_TBL,11,0),IFERROR(VLOOKUP(E276,OCU_TBL,2,0),NEUTRO))</f>
        <v/>
      </c>
      <c r="BS276" s="3">
        <f>SUMIFS(MOT_AJUSTE,MOT_MOTOR,G276,MOT_MARCA,E276,MOT_DESDE,"&lt;="&amp;M276,MOT_HASTA,"&gt;="&amp;M276)+SUMIFS(MOT_AJUSTE,MOT_MOTOR,G276,MOT_MARCA,"(todas)",MOT_DESDE,"&lt;="&amp;M276,MOT_HASTA,"&gt;="&amp;M276)</f>
        <v/>
      </c>
      <c r="BT276" s="3">
        <f>SUMIFS(COMB_AJUSTE,COMB_COMB,K276)</f>
        <v/>
      </c>
      <c r="BU276" s="3">
        <f>COUNTIFS(MOT_MOTOR,G276,MOT_MARCA,E276,MOT_DESDE,"&lt;="&amp;M276,MOT_HASTA,"&gt;="&amp;M276)+COUNTIFS(MOT_MOTOR,G276,MOT_MARCA,"(todas)",MOT_DESDE,"&lt;="&amp;M276,MOT_HASTA,"&gt;="&amp;M276)</f>
        <v/>
      </c>
      <c r="BV276" s="3">
        <f>IF(AND(K276="diesel",BU276=0),MIN(BR276,NEUTRO),BR276)</f>
        <v/>
      </c>
      <c r="BW276" s="4">
        <f>MAX(0,MIN(100,BV276+BS276+BT276))</f>
        <v/>
      </c>
      <c r="BX276" s="3">
        <f>MAX(0,MIN(100,50+BK276*PRECIO_PEND))</f>
        <v/>
      </c>
      <c r="BY276" s="3">
        <f>MAX(0,100*(1-N276/KM_MAX))</f>
        <v/>
      </c>
      <c r="BZ276" s="3">
        <f>IF(BB276&lt;KMA_SOSP,IF(AA276="sí",100,KMA_PEN),IF(BB276&lt;=KMA_IDEAL_MAX,100,MAX(0,100*(KMA_CERO-BB276)/(KMA_CERO-KMA_IDEAL_MAX))))</f>
        <v/>
      </c>
      <c r="CA276" s="3">
        <f>MAX(0,MIN(100,100*(M276-ANIO_MIN)/(ANIO_ACTUAL-ANIO_MIN)))</f>
        <v/>
      </c>
      <c r="CB276" s="3">
        <f>W_KMT*BY276+W_KMA*BZ276+W_EDAD*CA276</f>
        <v/>
      </c>
      <c r="CC276" s="3">
        <f>P_ITV*(V276="sí")+P_LIBRO*(W276="sí")+P_CORREA*(X276="sí")+P_PROP*(Y276=1)+P_GAR*(Z276="sí")+P_FOTOS*MIN(1,N(U276)/FOTOS_OBJ)</f>
        <v/>
      </c>
      <c r="CD276" s="3">
        <f>MAX(0,MIN(100,IFERROR(VLOOKUP(BP276,ETQ_TBL,2,0),0)-IF(BQ276="sí",ETQ_PEN_DUD,IF(AS276="regla",ETQ_PEN_REGLA,0))))</f>
        <v/>
      </c>
      <c r="CE276" s="3">
        <f>NEUTRO</f>
        <v/>
      </c>
      <c r="CF276" s="3">
        <f>IFERROR(VLOOKUP(L276,SEGURO_TBL,3,0),"")</f>
        <v/>
      </c>
      <c r="CG276" s="3">
        <f>IF(CF276="",NEUTRO,MAX(0,MIN(100,100*(SEG_REF_MAX-CF276)/(SEG_REF_MAX-SEG_REF_MIN))))</f>
        <v/>
      </c>
      <c r="CH276" s="3">
        <f>W_CONS*CE276+W_SEG*CG276</f>
        <v/>
      </c>
      <c r="CI276" s="3">
        <f>IF(N(AB276)&gt;0,AB276,IF(AND(R276="profesional",SG_LEGAL_ON=1),GAR_LEGAL,0))</f>
        <v/>
      </c>
      <c r="CJ276" s="3">
        <f>SG_GAR*MIN(1,CI276/SG_GAR_FULL)+SG_AMPL*(AC276="sí")+SG_KMC*(AF276="sí")+SG_REV*(N(AE276)&gt;0)+SG_DEV*MIN(1,N(AG276)/SG_DEV_FULL)+SG_HIST*(W276="sí")</f>
        <v/>
      </c>
      <c r="CK276" s="3">
        <f>IFERROR(VLOOKUP(L276,CARR_PEN_TBL,2,0),0)</f>
        <v/>
      </c>
      <c r="CL276" s="3">
        <f>W_FIAB*BW276+W_PRECIO*BX276+W_KMEDAD*CB276+W_ANUNCIO*CC276+W_USO*CH276+W_SEGURIDAD*CJ276+W_ETIQUETA*CD276-CK276</f>
        <v/>
      </c>
      <c r="CM276" s="4">
        <f>IF(N(I276)&gt;0,I276,IFERROR(ROUND(_xlfn.NUMBERVALUE(LEFT(G276,FIND(" ",G276&amp;" ")-1),".")*1000,0),99999))</f>
        <v/>
      </c>
      <c r="CN276" s="3">
        <f>IF(R276="profesional",0,IF(O276&lt;CUOTA_VALOR_MAX,IF(BA276&gt;ITP_TRAMO_ALTO,SUMIFS(CF_CUOTA,CF_MAS,ITP_TRAMO_ALTO,CF_CCMIN,"&lt;="&amp;CM276,CF_CCMAX,"&gt;="&amp;CM276),IF(BA276&gt;ITP_TRAMO_BAJO,SUMIFS(CF_CUOTA,CF_MAS,ITP_TRAMO_BAJO,CF_CCMIN,"&lt;="&amp;CM276,CF_CCMAX,"&gt;="&amp;CM276),O276*ITP_TIPO)),O276*ITP_TIPO))</f>
        <v/>
      </c>
      <c r="CO276" s="4">
        <f>IF(R276="profesional",N(AK276),0)</f>
        <v/>
      </c>
      <c r="CP276" s="3">
        <f>IF(AND(R276="profesional",ISNUMBER(AK276),AL276="sí"),0,TASA_DGT)</f>
        <v/>
      </c>
      <c r="CQ276" s="3">
        <f>INFORME_DGT</f>
        <v/>
      </c>
      <c r="CR276" s="4">
        <f>O276+CO276+CN276+CP276+CQ276</f>
        <v/>
      </c>
      <c r="CS276" s="4">
        <f>CR276+N(CF276)</f>
        <v/>
      </c>
      <c r="CT276" s="3">
        <f>IF(CR276&lt;=TOTAL_MAX,"sí",IF(CR276&lt;=TOTAL_MAX+MARGEN_NEG,"negociar","no"))</f>
        <v/>
      </c>
      <c r="CU276" s="4">
        <f>IF(CT276&lt;&gt;"no",COUNTIFS($CT$2:$CT$545,"&lt;&gt;no",$CL$2:$CL$545,"&gt;"&amp;CL276)+COUNTIFS($CT$2:CT276,"&lt;&gt;no",$CL$2:CL276,CL276),"")</f>
        <v/>
      </c>
    </row>
    <row r="277">
      <c r="A277" s="2" t="inlineStr">
        <is>
          <t>wallapop:1283471685</t>
        </is>
      </c>
      <c r="B277" s="2" t="inlineStr">
        <is>
          <t>wallapop</t>
        </is>
      </c>
      <c r="C277" s="2" t="inlineStr">
        <is>
          <t>https://es.wallapop.com/item/renault-megane-sport-tourer-dynamique-dci-81-kw-110-cv-1283471685</t>
        </is>
      </c>
      <c r="D277" s="2" t="inlineStr">
        <is>
          <t>Renault Megane Sport Tourer Dynamique dCi 81 kW (110 CV)</t>
        </is>
      </c>
      <c r="E277" s="2" t="inlineStr">
        <is>
          <t>Renault</t>
        </is>
      </c>
      <c r="F277" s="2" t="inlineStr">
        <is>
          <t>Renault Mégane</t>
        </is>
      </c>
      <c r="G277" s="2" t="inlineStr">
        <is>
          <t>? dCi</t>
        </is>
      </c>
      <c r="H277" s="2" t="inlineStr">
        <is>
          <t>Sport Tourer Dynamique dCi 81 kW (110 CV)</t>
        </is>
      </c>
      <c r="I277" s="2" t="n"/>
      <c r="J277" s="2" t="n">
        <v>110</v>
      </c>
      <c r="K277" s="2" t="inlineStr">
        <is>
          <t>diesel</t>
        </is>
      </c>
      <c r="L277" s="2" t="inlineStr">
        <is>
          <t>familiar</t>
        </is>
      </c>
      <c r="M277" s="2" t="n">
        <v>2011</v>
      </c>
      <c r="N277" s="2" t="n">
        <v>116570</v>
      </c>
      <c r="O277" s="2" t="n">
        <v>4600</v>
      </c>
      <c r="P277" s="2" t="inlineStr">
        <is>
          <t>manual</t>
        </is>
      </c>
      <c r="Q277" s="2" t="inlineStr">
        <is>
          <t>no</t>
        </is>
      </c>
      <c r="R277" s="2" t="inlineStr">
        <is>
          <t>profesional</t>
        </is>
      </c>
      <c r="S277" s="2" t="inlineStr">
        <is>
          <t>Paterna (46980)</t>
        </is>
      </c>
      <c r="T277" s="2" t="inlineStr">
        <is>
          <t>2026-10-31T09:13:38</t>
        </is>
      </c>
      <c r="U277" s="2" t="n">
        <v>11</v>
      </c>
      <c r="V277" s="2" t="n"/>
      <c r="W277" s="2" t="n"/>
      <c r="X277" s="2" t="n"/>
      <c r="Y277" s="2" t="n"/>
      <c r="Z277" s="2" t="inlineStr">
        <is>
          <t>sí</t>
        </is>
      </c>
      <c r="AA277" s="2" t="n"/>
      <c r="AB277" s="2" t="n"/>
      <c r="AC277" s="2" t="n"/>
      <c r="AD277" s="2" t="n"/>
      <c r="AE277" s="2" t="n"/>
      <c r="AF277" s="2" t="inlineStr">
        <is>
          <t>sí</t>
        </is>
      </c>
      <c r="AG277" s="2" t="n"/>
      <c r="AH277" s="2" t="n"/>
      <c r="AI277" s="2" t="n"/>
      <c r="AJ277" s="2" t="n"/>
      <c r="AK277" s="2" t="n"/>
      <c r="AL277" s="2" t="n"/>
      <c r="AM277" s="2" t="n">
        <v>6.4</v>
      </c>
      <c r="AN277" s="2" t="inlineStr">
        <is>
          <t>1000KMS</t>
        </is>
      </c>
      <c r="AO277" s="2" t="inlineStr">
        <is>
          <t>2011</t>
        </is>
      </c>
      <c r="AP277" s="2" t="n">
        <v>2011</v>
      </c>
      <c r="AQ277" s="2" t="n"/>
      <c r="AR277" s="2" t="inlineStr">
        <is>
          <t>B</t>
        </is>
      </c>
      <c r="AS277" s="2" t="inlineStr">
        <is>
          <t>DGT</t>
        </is>
      </c>
      <c r="AT277" s="2" t="n">
        <v>5900</v>
      </c>
      <c r="AU277" s="2" t="n">
        <v>5</v>
      </c>
      <c r="AV277" s="2" t="inlineStr">
        <is>
          <t>modelo+año+km</t>
        </is>
      </c>
      <c r="AW277" s="2" t="n"/>
      <c r="AX277"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t>
        </is>
      </c>
      <c r="AY277" s="2" t="inlineStr">
        <is>
          <t>Ref.85015406
¡VILLA TAMBIÉN FICHA POR OCASIONPLUS!
VEN A GANAR. ¡VEN A OCASIONPLUS!
OCASIONPLUS - 20.000 COCHES  - 120 CENTROS
OCASIONPLUS Nº1 CALIDAD - PRECIO
Elige el coche que te guste y te lo llevamos a tu ciudad sólo con reservarlo
15 DÍAS / 1000 KMS DE PRUEBA
Hasta 3300€ de descuento en este coche
ADEMÁS, HACEMOS LAS MEJORES FINANCIACIONES DEL MERCADO, PREGÚNTANOS!!
            Equipamiento destacado: Sensor de lluvia, Control de velocidad, Limitador de velocidad, Volante multifunción, Aire Acondicionado (Climatizador), Bluetooth,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77" s="2" t="inlineStr">
        <is>
          <t>https://es.wallapop.com/item/renault-megane-sport-tourer-dynamique-dci-81-kw-110-cv-1283471685 (__NEXT_DATA__ item) /home/user/Alopecia/buscador-coches/raw/wallapop/e533e34ac38d4fc7.json</t>
        </is>
      </c>
      <c r="BA277" s="3">
        <f>MAX(ANIO_ACTUAL-M277,0)</f>
        <v/>
      </c>
      <c r="BB277" s="4">
        <f>N277/MAX(BA277,0.5)</f>
        <v/>
      </c>
      <c r="BC277" s="4">
        <f>F277</f>
        <v/>
      </c>
      <c r="BD277" s="3">
        <f>BC277&amp;"|"&amp;INT(M277/SEG_ANIO)*SEG_ANIO</f>
        <v/>
      </c>
      <c r="BE277" s="3">
        <f>BD277&amp;"|"&amp;INT(N277/SEG_KM)*SEG_KM</f>
        <v/>
      </c>
      <c r="BF277" s="4">
        <f>COUNTIF($BC$2:$BC$545,BC277)</f>
        <v/>
      </c>
      <c r="BG277" s="4">
        <f>COUNTIF($BD$2:$BD$545,BD277)</f>
        <v/>
      </c>
      <c r="BH277" s="4">
        <f>COUNTIF($BE$2:$BE$545,BE277)</f>
        <v/>
      </c>
      <c r="BI277" s="3">
        <f t="array" ref="BI277">IF(N(AU277)&gt;=MIN_N,AT277,IF(BH277&gt;=MIN_N,MEDIAN(IF($BE$2:$BE$545=BE277,$O$2:$O$545)),IF(BG277&gt;=MIN_N,MEDIAN(IF($BD$2:$BD$545=BD277,$O$2:$O$545)),MEDIAN(IF($BC$2:$BC$545=BC277,$O$2:$O$545)))))</f>
        <v/>
      </c>
      <c r="BJ277" s="3">
        <f>IF(N(AU277)&gt;=MIN_N,"mercado "&amp;AV277,IF(BH277&gt;=MIN_N,"modelo+año+km",IF(BG277&gt;=MIN_N,"modelo+año","modelo")))</f>
        <v/>
      </c>
      <c r="BK277" s="4">
        <f>(BI277-O277)/BI277</f>
        <v/>
      </c>
      <c r="BL277" s="3">
        <f>IF(COUNTIFS(FR_FUEL,K277,FR_YEAR,AP277)&gt;0,1,0)</f>
        <v/>
      </c>
      <c r="BM277" s="3">
        <f>IF(COUNTIFS(FR_FUEL,K277,FR_YEAR,AP277-1)&gt;0,1,0)</f>
        <v/>
      </c>
      <c r="BN277" s="4">
        <f>IF(N(AQ277)&gt;0,AP277*100+AQ277,IF(AND(BL277=1,BM277=1),(AP277-1)*100+1,AP277*100+1))</f>
        <v/>
      </c>
      <c r="BO277" s="3">
        <f>IF(OR(K277="hibrido",K277="glp",K277="gnc",K277="phev"),"ECO",IF(K277="electrico","CERO",IF(K277="gasolina",IF(BN277&gt;=GAS_C_YM,"C",IF(BN277&gt;=GAS_B_YM,"B","A")),IF(K277="diesel",IF(BN277&gt;=DIE_C_YM,"C",IF(BN277&gt;=DIE_B_YM,"B","A")),""))))</f>
        <v/>
      </c>
      <c r="BP277" s="2" t="inlineStr">
        <is>
          <t>B</t>
        </is>
      </c>
      <c r="BQ277" s="4">
        <f>IF(AS277="regla",IF(AND(N(AQ277)=0,BL277=1),"sí","no"),"no")</f>
        <v/>
      </c>
      <c r="BR277" s="3">
        <f>IFERROR(VLOOKUP(F277,MOD_TBL,11,0),IFERROR(VLOOKUP(E277,OCU_TBL,2,0),NEUTRO))</f>
        <v/>
      </c>
      <c r="BS277" s="3">
        <f>SUMIFS(MOT_AJUSTE,MOT_MOTOR,G277,MOT_MARCA,E277,MOT_DESDE,"&lt;="&amp;M277,MOT_HASTA,"&gt;="&amp;M277)+SUMIFS(MOT_AJUSTE,MOT_MOTOR,G277,MOT_MARCA,"(todas)",MOT_DESDE,"&lt;="&amp;M277,MOT_HASTA,"&gt;="&amp;M277)</f>
        <v/>
      </c>
      <c r="BT277" s="3">
        <f>SUMIFS(COMB_AJUSTE,COMB_COMB,K277)</f>
        <v/>
      </c>
      <c r="BU277" s="3">
        <f>COUNTIFS(MOT_MOTOR,G277,MOT_MARCA,E277,MOT_DESDE,"&lt;="&amp;M277,MOT_HASTA,"&gt;="&amp;M277)+COUNTIFS(MOT_MOTOR,G277,MOT_MARCA,"(todas)",MOT_DESDE,"&lt;="&amp;M277,MOT_HASTA,"&gt;="&amp;M277)</f>
        <v/>
      </c>
      <c r="BV277" s="3">
        <f>IF(AND(K277="diesel",BU277=0),MIN(BR277,NEUTRO),BR277)</f>
        <v/>
      </c>
      <c r="BW277" s="4">
        <f>MAX(0,MIN(100,BV277+BS277+BT277))</f>
        <v/>
      </c>
      <c r="BX277" s="3">
        <f>MAX(0,MIN(100,50+BK277*PRECIO_PEND))</f>
        <v/>
      </c>
      <c r="BY277" s="3">
        <f>MAX(0,100*(1-N277/KM_MAX))</f>
        <v/>
      </c>
      <c r="BZ277" s="3">
        <f>IF(BB277&lt;KMA_SOSP,IF(AA277="sí",100,KMA_PEN),IF(BB277&lt;=KMA_IDEAL_MAX,100,MAX(0,100*(KMA_CERO-BB277)/(KMA_CERO-KMA_IDEAL_MAX))))</f>
        <v/>
      </c>
      <c r="CA277" s="3">
        <f>MAX(0,MIN(100,100*(M277-ANIO_MIN)/(ANIO_ACTUAL-ANIO_MIN)))</f>
        <v/>
      </c>
      <c r="CB277" s="3">
        <f>W_KMT*BY277+W_KMA*BZ277+W_EDAD*CA277</f>
        <v/>
      </c>
      <c r="CC277" s="3">
        <f>P_ITV*(V277="sí")+P_LIBRO*(W277="sí")+P_CORREA*(X277="sí")+P_PROP*(Y277=1)+P_GAR*(Z277="sí")+P_FOTOS*MIN(1,N(U277)/FOTOS_OBJ)</f>
        <v/>
      </c>
      <c r="CD277" s="3">
        <f>MAX(0,MIN(100,IFERROR(VLOOKUP(BP277,ETQ_TBL,2,0),0)-IF(BQ277="sí",ETQ_PEN_DUD,IF(AS277="regla",ETQ_PEN_REGLA,0))))</f>
        <v/>
      </c>
      <c r="CE277" s="3">
        <f>NEUTRO</f>
        <v/>
      </c>
      <c r="CF277" s="3">
        <f>IFERROR(VLOOKUP(L277,SEGURO_TBL,3,0),"")</f>
        <v/>
      </c>
      <c r="CG277" s="3">
        <f>IF(CF277="",NEUTRO,MAX(0,MIN(100,100*(SEG_REF_MAX-CF277)/(SEG_REF_MAX-SEG_REF_MIN))))</f>
        <v/>
      </c>
      <c r="CH277" s="3">
        <f>W_CONS*CE277+W_SEG*CG277</f>
        <v/>
      </c>
      <c r="CI277" s="3">
        <f>IF(N(AB277)&gt;0,AB277,IF(AND(R277="profesional",SG_LEGAL_ON=1),GAR_LEGAL,0))</f>
        <v/>
      </c>
      <c r="CJ277" s="3">
        <f>SG_GAR*MIN(1,CI277/SG_GAR_FULL)+SG_AMPL*(AC277="sí")+SG_KMC*(AF277="sí")+SG_REV*(N(AE277)&gt;0)+SG_DEV*MIN(1,N(AG277)/SG_DEV_FULL)+SG_HIST*(W277="sí")</f>
        <v/>
      </c>
      <c r="CK277" s="3">
        <f>IFERROR(VLOOKUP(L277,CARR_PEN_TBL,2,0),0)</f>
        <v/>
      </c>
      <c r="CL277" s="3">
        <f>W_FIAB*BW277+W_PRECIO*BX277+W_KMEDAD*CB277+W_ANUNCIO*CC277+W_USO*CH277+W_SEGURIDAD*CJ277+W_ETIQUETA*CD277-CK277</f>
        <v/>
      </c>
      <c r="CM277" s="4">
        <f>IF(N(I277)&gt;0,I277,IFERROR(ROUND(_xlfn.NUMBERVALUE(LEFT(G277,FIND(" ",G277&amp;" ")-1),".")*1000,0),99999))</f>
        <v/>
      </c>
      <c r="CN277" s="3">
        <f>IF(R277="profesional",0,IF(O277&lt;CUOTA_VALOR_MAX,IF(BA277&gt;ITP_TRAMO_ALTO,SUMIFS(CF_CUOTA,CF_MAS,ITP_TRAMO_ALTO,CF_CCMIN,"&lt;="&amp;CM277,CF_CCMAX,"&gt;="&amp;CM277),IF(BA277&gt;ITP_TRAMO_BAJO,SUMIFS(CF_CUOTA,CF_MAS,ITP_TRAMO_BAJO,CF_CCMIN,"&lt;="&amp;CM277,CF_CCMAX,"&gt;="&amp;CM277),O277*ITP_TIPO)),O277*ITP_TIPO))</f>
        <v/>
      </c>
      <c r="CO277" s="4">
        <f>IF(R277="profesional",N(AK277),0)</f>
        <v/>
      </c>
      <c r="CP277" s="3">
        <f>IF(AND(R277="profesional",ISNUMBER(AK277),AL277="sí"),0,TASA_DGT)</f>
        <v/>
      </c>
      <c r="CQ277" s="3">
        <f>INFORME_DGT</f>
        <v/>
      </c>
      <c r="CR277" s="4">
        <f>O277+CO277+CN277+CP277+CQ277</f>
        <v/>
      </c>
      <c r="CS277" s="4">
        <f>CR277+N(CF277)</f>
        <v/>
      </c>
      <c r="CT277" s="3">
        <f>IF(CR277&lt;=TOTAL_MAX,"sí",IF(CR277&lt;=TOTAL_MAX+MARGEN_NEG,"negociar","no"))</f>
        <v/>
      </c>
      <c r="CU277" s="4">
        <f>IF(CT277&lt;&gt;"no",COUNTIFS($CT$2:$CT$545,"&lt;&gt;no",$CL$2:$CL$545,"&gt;"&amp;CL277)+COUNTIFS($CT$2:CT277,"&lt;&gt;no",$CL$2:CL277,CL277),"")</f>
        <v/>
      </c>
    </row>
    <row r="278">
      <c r="A278" s="2" t="inlineStr">
        <is>
          <t>wallapop:1316184209</t>
        </is>
      </c>
      <c r="B278" s="2" t="inlineStr">
        <is>
          <t>wallapop</t>
        </is>
      </c>
      <c r="C278" s="2" t="inlineStr">
        <is>
          <t>https://es.wallapop.com/item/peugeot-207-2007-1316184209</t>
        </is>
      </c>
      <c r="D278" s="2" t="inlineStr">
        <is>
          <t>Peugeot 207. (2007)</t>
        </is>
      </c>
      <c r="E278" s="2" t="inlineStr">
        <is>
          <t>Peugeot</t>
        </is>
      </c>
      <c r="F278" s="2" t="inlineStr">
        <is>
          <t>Peugeot 207</t>
        </is>
      </c>
      <c r="G278" s="2" t="n"/>
      <c r="H278" s="2" t="n"/>
      <c r="I278" s="2" t="n"/>
      <c r="J278" s="2" t="n"/>
      <c r="K278" s="2" t="inlineStr">
        <is>
          <t>gasolina</t>
        </is>
      </c>
      <c r="L278" s="2" t="inlineStr">
        <is>
          <t>utilitario</t>
        </is>
      </c>
      <c r="M278" s="2" t="n">
        <v>2007</v>
      </c>
      <c r="N278" s="2" t="n">
        <v>180000</v>
      </c>
      <c r="O278" s="2" t="n">
        <v>2900</v>
      </c>
      <c r="P278" s="2" t="inlineStr">
        <is>
          <t>manual</t>
        </is>
      </c>
      <c r="Q278" s="2" t="inlineStr">
        <is>
          <t>no</t>
        </is>
      </c>
      <c r="R278" s="2" t="inlineStr">
        <is>
          <t>particular</t>
        </is>
      </c>
      <c r="S278" s="2" t="inlineStr">
        <is>
          <t>Valencia (46025)</t>
        </is>
      </c>
      <c r="T278" s="2" t="inlineStr">
        <is>
          <t>2026-10-23T09:51:10</t>
        </is>
      </c>
      <c r="U278" s="2" t="n">
        <v>10</v>
      </c>
      <c r="V278" s="2" t="inlineStr">
        <is>
          <t>sí</t>
        </is>
      </c>
      <c r="W278" s="2" t="n"/>
      <c r="X278" s="2" t="n"/>
      <c r="Y278" s="2" t="n"/>
      <c r="Z278" s="2" t="n"/>
      <c r="AA278" s="2" t="n"/>
      <c r="AB278" s="2" t="n"/>
      <c r="AC278" s="2" t="n"/>
      <c r="AD278" s="2" t="n"/>
      <c r="AE278" s="2" t="n"/>
      <c r="AF278" s="2" t="n"/>
      <c r="AG278" s="2" t="n"/>
      <c r="AH278" s="2" t="n"/>
      <c r="AI278" s="2" t="n"/>
      <c r="AJ278" s="2" t="n"/>
      <c r="AK278" s="2" t="n"/>
      <c r="AL278" s="2" t="n"/>
      <c r="AM278" s="2" t="n">
        <v>2.4</v>
      </c>
      <c r="AN278" s="2" t="n"/>
      <c r="AO278" s="2" t="inlineStr">
        <is>
          <t>2007</t>
        </is>
      </c>
      <c r="AP278" s="2" t="n">
        <v>2007</v>
      </c>
      <c r="AQ278" s="2" t="n"/>
      <c r="AR278" s="2" t="n"/>
      <c r="AS278" s="2" t="inlineStr">
        <is>
          <t>regla</t>
        </is>
      </c>
      <c r="AT278" s="2" t="n">
        <v>3600</v>
      </c>
      <c r="AU278" s="2" t="n">
        <v>21</v>
      </c>
      <c r="AV278" s="2" t="inlineStr">
        <is>
          <t>modelo+año+km</t>
        </is>
      </c>
      <c r="AW278" s="2" t="n"/>
      <c r="AX278" s="2" t="inlineStr">
        <is>
          <t>cilindrada desconocida: se aplica el tramo de cuota fija más alto; cuota fija ITP: &gt;12 años, más de 2.000 cc; fiabilidad del modelo PENDIENTE de fuente (puntuación neutra)</t>
        </is>
      </c>
      <c r="AY278" s="2" t="inlineStr">
        <is>
          <t xml:space="preserve">🚗 Se vende Peugeot 207 del año 2007, motor gasolina, con 180.000 km.
Coche compacto, cómodo y práctico, ideal para ciudad, desplazamientos diarios y también para carretera. 3 puertas, con un diseño deportivo y un color verde muy llamativo.
El coche presenta un buen aspecto general, tanto exterior como interior, y se entrega tal y como se puede apreciar en las fotografías.
🔧 Equipamiento y características
✅ Motor gasolina
✅ 180.000 km
✅ 3 puertas
✅ itv al dia 2027 
✅ Cambio manual
✅ Llantas de aleación
✅ Aire acondicionado
✅ Elevalunas eléctricos
✅ Cierre centralizado
✅ Faros antiniebla
✅ Volante multifunción
✅ Luneta trasera tintada
✅ Enganche de remolque
Coche ágil, fácil de conducir y de tamaño muy cómodo para aparcar, perfecto como coche de uso diario o como primer vehículo.
📸 Fotos reales del vehículo, tomadas recientemente.
📍 Se puede ver y probar sin compromiso.
📩 Para más información, interesados pueden contactar por mensaje ⬇️
-  (687226271). 📲
</t>
        </is>
      </c>
      <c r="AZ278" s="2" t="inlineStr">
        <is>
          <t>https://es.wallapop.com/item/peugeot-207-2007-1316184209 (__NEXT_DATA__ item) /home/user/Alopecia/buscador-coches/raw/wallapop/df3503c3eb4bf341.json</t>
        </is>
      </c>
      <c r="BA278" s="3">
        <f>MAX(ANIO_ACTUAL-M278,0)</f>
        <v/>
      </c>
      <c r="BB278" s="4">
        <f>N278/MAX(BA278,0.5)</f>
        <v/>
      </c>
      <c r="BC278" s="4">
        <f>F278</f>
        <v/>
      </c>
      <c r="BD278" s="3">
        <f>BC278&amp;"|"&amp;INT(M278/SEG_ANIO)*SEG_ANIO</f>
        <v/>
      </c>
      <c r="BE278" s="3">
        <f>BD278&amp;"|"&amp;INT(N278/SEG_KM)*SEG_KM</f>
        <v/>
      </c>
      <c r="BF278" s="4">
        <f>COUNTIF($BC$2:$BC$545,BC278)</f>
        <v/>
      </c>
      <c r="BG278" s="4">
        <f>COUNTIF($BD$2:$BD$545,BD278)</f>
        <v/>
      </c>
      <c r="BH278" s="4">
        <f>COUNTIF($BE$2:$BE$545,BE278)</f>
        <v/>
      </c>
      <c r="BI278" s="3">
        <f t="array" ref="BI278">IF(N(AU278)&gt;=MIN_N,AT278,IF(BH278&gt;=MIN_N,MEDIAN(IF($BE$2:$BE$545=BE278,$O$2:$O$545)),IF(BG278&gt;=MIN_N,MEDIAN(IF($BD$2:$BD$545=BD278,$O$2:$O$545)),MEDIAN(IF($BC$2:$BC$545=BC278,$O$2:$O$545)))))</f>
        <v/>
      </c>
      <c r="BJ278" s="3">
        <f>IF(N(AU278)&gt;=MIN_N,"mercado "&amp;AV278,IF(BH278&gt;=MIN_N,"modelo+año+km",IF(BG278&gt;=MIN_N,"modelo+año","modelo")))</f>
        <v/>
      </c>
      <c r="BK278" s="4">
        <f>(BI278-O278)/BI278</f>
        <v/>
      </c>
      <c r="BL278" s="3">
        <f>IF(COUNTIFS(FR_FUEL,K278,FR_YEAR,AP278)&gt;0,1,0)</f>
        <v/>
      </c>
      <c r="BM278" s="3">
        <f>IF(COUNTIFS(FR_FUEL,K278,FR_YEAR,AP278-1)&gt;0,1,0)</f>
        <v/>
      </c>
      <c r="BN278" s="4">
        <f>IF(N(AQ278)&gt;0,AP278*100+AQ278,IF(AND(BL278=1,BM278=1),(AP278-1)*100+1,AP278*100+1))</f>
        <v/>
      </c>
      <c r="BO278" s="3">
        <f>IF(OR(K278="hibrido",K278="glp",K278="gnc",K278="phev"),"ECO",IF(K278="electrico","CERO",IF(K278="gasolina",IF(BN278&gt;=GAS_C_YM,"C",IF(BN278&gt;=GAS_B_YM,"B","A")),IF(K278="diesel",IF(BN278&gt;=DIE_C_YM,"C",IF(BN278&gt;=DIE_B_YM,"B","A")),""))))</f>
        <v/>
      </c>
      <c r="BP278" s="4">
        <f>BO278</f>
        <v/>
      </c>
      <c r="BQ278" s="4">
        <f>IF(AS278="regla",IF(AND(N(AQ278)=0,BL278=1),"sí","no"),"no")</f>
        <v/>
      </c>
      <c r="BR278" s="3">
        <f>IFERROR(VLOOKUP(F278,MOD_TBL,11,0),IFERROR(VLOOKUP(E278,OCU_TBL,2,0),NEUTRO))</f>
        <v/>
      </c>
      <c r="BS278" s="3">
        <f>SUMIFS(MOT_AJUSTE,MOT_MOTOR,G278,MOT_MARCA,E278,MOT_DESDE,"&lt;="&amp;M278,MOT_HASTA,"&gt;="&amp;M278)+SUMIFS(MOT_AJUSTE,MOT_MOTOR,G278,MOT_MARCA,"(todas)",MOT_DESDE,"&lt;="&amp;M278,MOT_HASTA,"&gt;="&amp;M278)</f>
        <v/>
      </c>
      <c r="BT278" s="3">
        <f>SUMIFS(COMB_AJUSTE,COMB_COMB,K278)</f>
        <v/>
      </c>
      <c r="BU278" s="3">
        <f>COUNTIFS(MOT_MOTOR,G278,MOT_MARCA,E278,MOT_DESDE,"&lt;="&amp;M278,MOT_HASTA,"&gt;="&amp;M278)+COUNTIFS(MOT_MOTOR,G278,MOT_MARCA,"(todas)",MOT_DESDE,"&lt;="&amp;M278,MOT_HASTA,"&gt;="&amp;M278)</f>
        <v/>
      </c>
      <c r="BV278" s="3">
        <f>IF(AND(K278="diesel",BU278=0),MIN(BR278,NEUTRO),BR278)</f>
        <v/>
      </c>
      <c r="BW278" s="4">
        <f>MAX(0,MIN(100,BV278+BS278+BT278))</f>
        <v/>
      </c>
      <c r="BX278" s="3">
        <f>MAX(0,MIN(100,50+BK278*PRECIO_PEND))</f>
        <v/>
      </c>
      <c r="BY278" s="3">
        <f>MAX(0,100*(1-N278/KM_MAX))</f>
        <v/>
      </c>
      <c r="BZ278" s="3">
        <f>IF(BB278&lt;KMA_SOSP,IF(AA278="sí",100,KMA_PEN),IF(BB278&lt;=KMA_IDEAL_MAX,100,MAX(0,100*(KMA_CERO-BB278)/(KMA_CERO-KMA_IDEAL_MAX))))</f>
        <v/>
      </c>
      <c r="CA278" s="3">
        <f>MAX(0,MIN(100,100*(M278-ANIO_MIN)/(ANIO_ACTUAL-ANIO_MIN)))</f>
        <v/>
      </c>
      <c r="CB278" s="3">
        <f>W_KMT*BY278+W_KMA*BZ278+W_EDAD*CA278</f>
        <v/>
      </c>
      <c r="CC278" s="3">
        <f>P_ITV*(V278="sí")+P_LIBRO*(W278="sí")+P_CORREA*(X278="sí")+P_PROP*(Y278=1)+P_GAR*(Z278="sí")+P_FOTOS*MIN(1,N(U278)/FOTOS_OBJ)</f>
        <v/>
      </c>
      <c r="CD278" s="3">
        <f>MAX(0,MIN(100,IFERROR(VLOOKUP(BP278,ETQ_TBL,2,0),0)-IF(BQ278="sí",ETQ_PEN_DUD,IF(AS278="regla",ETQ_PEN_REGLA,0))))</f>
        <v/>
      </c>
      <c r="CE278" s="3">
        <f>NEUTRO</f>
        <v/>
      </c>
      <c r="CF278" s="3">
        <f>IFERROR(VLOOKUP(L278,SEGURO_TBL,3,0),"")</f>
        <v/>
      </c>
      <c r="CG278" s="3">
        <f>IF(CF278="",NEUTRO,MAX(0,MIN(100,100*(SEG_REF_MAX-CF278)/(SEG_REF_MAX-SEG_REF_MIN))))</f>
        <v/>
      </c>
      <c r="CH278" s="3">
        <f>W_CONS*CE278+W_SEG*CG278</f>
        <v/>
      </c>
      <c r="CI278" s="3">
        <f>IF(N(AB278)&gt;0,AB278,IF(AND(R278="profesional",SG_LEGAL_ON=1),GAR_LEGAL,0))</f>
        <v/>
      </c>
      <c r="CJ278" s="3">
        <f>SG_GAR*MIN(1,CI278/SG_GAR_FULL)+SG_AMPL*(AC278="sí")+SG_KMC*(AF278="sí")+SG_REV*(N(AE278)&gt;0)+SG_DEV*MIN(1,N(AG278)/SG_DEV_FULL)+SG_HIST*(W278="sí")</f>
        <v/>
      </c>
      <c r="CK278" s="3">
        <f>IFERROR(VLOOKUP(L278,CARR_PEN_TBL,2,0),0)</f>
        <v/>
      </c>
      <c r="CL278" s="3">
        <f>W_FIAB*BW278+W_PRECIO*BX278+W_KMEDAD*CB278+W_ANUNCIO*CC278+W_USO*CH278+W_SEGURIDAD*CJ278+W_ETIQUETA*CD278-CK278</f>
        <v/>
      </c>
      <c r="CM278" s="4">
        <f>IF(N(I278)&gt;0,I278,IFERROR(ROUND(_xlfn.NUMBERVALUE(LEFT(G278,FIND(" ",G278&amp;" ")-1),".")*1000,0),99999))</f>
        <v/>
      </c>
      <c r="CN278" s="3">
        <f>IF(R278="profesional",0,IF(O278&lt;CUOTA_VALOR_MAX,IF(BA278&gt;ITP_TRAMO_ALTO,SUMIFS(CF_CUOTA,CF_MAS,ITP_TRAMO_ALTO,CF_CCMIN,"&lt;="&amp;CM278,CF_CCMAX,"&gt;="&amp;CM278),IF(BA278&gt;ITP_TRAMO_BAJO,SUMIFS(CF_CUOTA,CF_MAS,ITP_TRAMO_BAJO,CF_CCMIN,"&lt;="&amp;CM278,CF_CCMAX,"&gt;="&amp;CM278),O278*ITP_TIPO)),O278*ITP_TIPO))</f>
        <v/>
      </c>
      <c r="CO278" s="4">
        <f>IF(R278="profesional",N(AK278),0)</f>
        <v/>
      </c>
      <c r="CP278" s="3">
        <f>IF(AND(R278="profesional",ISNUMBER(AK278),AL278="sí"),0,TASA_DGT)</f>
        <v/>
      </c>
      <c r="CQ278" s="3">
        <f>INFORME_DGT</f>
        <v/>
      </c>
      <c r="CR278" s="4">
        <f>O278+CO278+CN278+CP278+CQ278</f>
        <v/>
      </c>
      <c r="CS278" s="4">
        <f>CR278+N(CF278)</f>
        <v/>
      </c>
      <c r="CT278" s="3">
        <f>IF(CR278&lt;=TOTAL_MAX,"sí",IF(CR278&lt;=TOTAL_MAX+MARGEN_NEG,"negociar","no"))</f>
        <v/>
      </c>
      <c r="CU278" s="4">
        <f>IF(CT278&lt;&gt;"no",COUNTIFS($CT$2:$CT$545,"&lt;&gt;no",$CL$2:$CL$545,"&gt;"&amp;CL278)+COUNTIFS($CT$2:CT278,"&lt;&gt;no",$CL$2:CL278,CL278),"")</f>
        <v/>
      </c>
    </row>
    <row r="279">
      <c r="A279" s="2" t="inlineStr">
        <is>
          <t>wallapop:1301586201</t>
        </is>
      </c>
      <c r="B279" s="2" t="inlineStr">
        <is>
          <t>wallapop</t>
        </is>
      </c>
      <c r="C279" s="2" t="inlineStr">
        <is>
          <t>https://es.wallapop.com/item/peugeot-207-2007-1301586201</t>
        </is>
      </c>
      <c r="D279" s="2" t="inlineStr">
        <is>
          <t>Peugeot 207 1.4i Urban - Gasolina - 5 puertas</t>
        </is>
      </c>
      <c r="E279" s="2" t="inlineStr">
        <is>
          <t>Peugeot</t>
        </is>
      </c>
      <c r="F279" s="2" t="inlineStr">
        <is>
          <t>Peugeot 207</t>
        </is>
      </c>
      <c r="G279" s="2" t="inlineStr">
        <is>
          <t>1.4</t>
        </is>
      </c>
      <c r="H279" s="2" t="inlineStr">
        <is>
          <t>1.4i 75 Urban 5p</t>
        </is>
      </c>
      <c r="I279" s="2" t="n"/>
      <c r="J279" s="2" t="n">
        <v>75</v>
      </c>
      <c r="K279" s="2" t="inlineStr">
        <is>
          <t>gasolina</t>
        </is>
      </c>
      <c r="L279" s="2" t="inlineStr">
        <is>
          <t>utilitario</t>
        </is>
      </c>
      <c r="M279" s="2" t="n">
        <v>2007</v>
      </c>
      <c r="N279" s="2" t="n">
        <v>118000</v>
      </c>
      <c r="O279" s="2" t="n">
        <v>3500</v>
      </c>
      <c r="P279" s="2" t="inlineStr">
        <is>
          <t>manual</t>
        </is>
      </c>
      <c r="Q279" s="2" t="inlineStr">
        <is>
          <t>no</t>
        </is>
      </c>
      <c r="R279" s="2" t="inlineStr">
        <is>
          <t>particular</t>
        </is>
      </c>
      <c r="S279" s="2" t="inlineStr">
        <is>
          <t>Valencia (46009)</t>
        </is>
      </c>
      <c r="T279" s="2" t="inlineStr">
        <is>
          <t>2026-09-14T08:29:37</t>
        </is>
      </c>
      <c r="U279" s="2" t="n">
        <v>7</v>
      </c>
      <c r="V279" s="2" t="n"/>
      <c r="W279" s="2" t="n"/>
      <c r="X279" s="2" t="n"/>
      <c r="Y279" s="2" t="n"/>
      <c r="Z279" s="2" t="n"/>
      <c r="AA279" s="2" t="n"/>
      <c r="AB279" s="2" t="n"/>
      <c r="AC279" s="2" t="n"/>
      <c r="AD279" s="2" t="n"/>
      <c r="AE279" s="2" t="n"/>
      <c r="AF279" s="2" t="n"/>
      <c r="AG279" s="2" t="n"/>
      <c r="AH279" s="2" t="n"/>
      <c r="AI279" s="2" t="n"/>
      <c r="AJ279" s="2" t="n"/>
      <c r="AK279" s="2" t="n"/>
      <c r="AL279" s="2" t="n"/>
      <c r="AM279" s="2" t="n">
        <v>1.7</v>
      </c>
      <c r="AN279" s="2" t="n"/>
      <c r="AO279" s="2" t="inlineStr">
        <is>
          <t>2007</t>
        </is>
      </c>
      <c r="AP279" s="2" t="n">
        <v>2007</v>
      </c>
      <c r="AQ279" s="2" t="n"/>
      <c r="AR279" s="2" t="n"/>
      <c r="AS279" s="2" t="inlineStr">
        <is>
          <t>regla</t>
        </is>
      </c>
      <c r="AT279" s="2" t="n">
        <v>3550</v>
      </c>
      <c r="AU279" s="2" t="n">
        <v>30</v>
      </c>
      <c r="AV279" s="2" t="inlineStr">
        <is>
          <t>modelo+año+km</t>
        </is>
      </c>
      <c r="AW279" s="2" t="inlineStr">
        <is>
          <t>cochesnet:71507218 (https://www.coches.net/peugeot-207-gasolina-2007-en-valencia-71507218-covo.aspx)</t>
        </is>
      </c>
      <c r="AX279" s="2" t="inlineStr">
        <is>
          <t>cuota fija ITP: &gt;12 años, hasta 1.500 cc; fiabilidad del modelo PENDIENTE de fuente (puntuación neutra)</t>
        </is>
      </c>
      <c r="AY279" s="2" t="inlineStr">
        <is>
          <t>Se vende Peugeot 207 de 5 puertas en color rojo (modelo 1.4i Urban). El coche se encuentra en muy buen estado general y está cuidado al detalle. Es un vehículo práctico, manejable y perfecto tanto para moverse en el día a día como para trayectos más largos.
Datos técnicos y estado:
• Motor: 1.360 cc / 75 CV (55 kW)
• Combustible: Gasolina
• Año de matriculación: Diciembre de 2007
• Kilómetros: 118.000
• ITV: Pasada a principios de año (en vigor y sin problemas)
• Estado general: Muy buen estado de conservación, tanto de mecánica como de exterior e interior.
Ubicación: Valencia</t>
        </is>
      </c>
      <c r="AZ279" s="2" t="inlineStr">
        <is>
          <t>https://es.wallapop.com/item/peugeot-207-2007-1301586201 (__NEXT_DATA__ item) /home/user/Alopecia/buscador-coches/raw/wallapop/cc329e19286ac690.json</t>
        </is>
      </c>
      <c r="BA279" s="3">
        <f>MAX(ANIO_ACTUAL-M279,0)</f>
        <v/>
      </c>
      <c r="BB279" s="4">
        <f>N279/MAX(BA279,0.5)</f>
        <v/>
      </c>
      <c r="BC279" s="4">
        <f>F279</f>
        <v/>
      </c>
      <c r="BD279" s="3">
        <f>BC279&amp;"|"&amp;INT(M279/SEG_ANIO)*SEG_ANIO</f>
        <v/>
      </c>
      <c r="BE279" s="3">
        <f>BD279&amp;"|"&amp;INT(N279/SEG_KM)*SEG_KM</f>
        <v/>
      </c>
      <c r="BF279" s="4">
        <f>COUNTIF($BC$2:$BC$545,BC279)</f>
        <v/>
      </c>
      <c r="BG279" s="4">
        <f>COUNTIF($BD$2:$BD$545,BD279)</f>
        <v/>
      </c>
      <c r="BH279" s="4">
        <f>COUNTIF($BE$2:$BE$545,BE279)</f>
        <v/>
      </c>
      <c r="BI279" s="3">
        <f t="array" ref="BI279">IF(N(AU279)&gt;=MIN_N,AT279,IF(BH279&gt;=MIN_N,MEDIAN(IF($BE$2:$BE$545=BE279,$O$2:$O$545)),IF(BG279&gt;=MIN_N,MEDIAN(IF($BD$2:$BD$545=BD279,$O$2:$O$545)),MEDIAN(IF($BC$2:$BC$545=BC279,$O$2:$O$545)))))</f>
        <v/>
      </c>
      <c r="BJ279" s="3">
        <f>IF(N(AU279)&gt;=MIN_N,"mercado "&amp;AV279,IF(BH279&gt;=MIN_N,"modelo+año+km",IF(BG279&gt;=MIN_N,"modelo+año","modelo")))</f>
        <v/>
      </c>
      <c r="BK279" s="4">
        <f>(BI279-O279)/BI279</f>
        <v/>
      </c>
      <c r="BL279" s="3">
        <f>IF(COUNTIFS(FR_FUEL,K279,FR_YEAR,AP279)&gt;0,1,0)</f>
        <v/>
      </c>
      <c r="BM279" s="3">
        <f>IF(COUNTIFS(FR_FUEL,K279,FR_YEAR,AP279-1)&gt;0,1,0)</f>
        <v/>
      </c>
      <c r="BN279" s="4">
        <f>IF(N(AQ279)&gt;0,AP279*100+AQ279,IF(AND(BL279=1,BM279=1),(AP279-1)*100+1,AP279*100+1))</f>
        <v/>
      </c>
      <c r="BO279" s="3">
        <f>IF(OR(K279="hibrido",K279="glp",K279="gnc",K279="phev"),"ECO",IF(K279="electrico","CERO",IF(K279="gasolina",IF(BN279&gt;=GAS_C_YM,"C",IF(BN279&gt;=GAS_B_YM,"B","A")),IF(K279="diesel",IF(BN279&gt;=DIE_C_YM,"C",IF(BN279&gt;=DIE_B_YM,"B","A")),""))))</f>
        <v/>
      </c>
      <c r="BP279" s="4">
        <f>BO279</f>
        <v/>
      </c>
      <c r="BQ279" s="4">
        <f>IF(AS279="regla",IF(AND(N(AQ279)=0,BL279=1),"sí","no"),"no")</f>
        <v/>
      </c>
      <c r="BR279" s="3">
        <f>IFERROR(VLOOKUP(F279,MOD_TBL,11,0),IFERROR(VLOOKUP(E279,OCU_TBL,2,0),NEUTRO))</f>
        <v/>
      </c>
      <c r="BS279" s="3">
        <f>SUMIFS(MOT_AJUSTE,MOT_MOTOR,G279,MOT_MARCA,E279,MOT_DESDE,"&lt;="&amp;M279,MOT_HASTA,"&gt;="&amp;M279)+SUMIFS(MOT_AJUSTE,MOT_MOTOR,G279,MOT_MARCA,"(todas)",MOT_DESDE,"&lt;="&amp;M279,MOT_HASTA,"&gt;="&amp;M279)</f>
        <v/>
      </c>
      <c r="BT279" s="3">
        <f>SUMIFS(COMB_AJUSTE,COMB_COMB,K279)</f>
        <v/>
      </c>
      <c r="BU279" s="3">
        <f>COUNTIFS(MOT_MOTOR,G279,MOT_MARCA,E279,MOT_DESDE,"&lt;="&amp;M279,MOT_HASTA,"&gt;="&amp;M279)+COUNTIFS(MOT_MOTOR,G279,MOT_MARCA,"(todas)",MOT_DESDE,"&lt;="&amp;M279,MOT_HASTA,"&gt;="&amp;M279)</f>
        <v/>
      </c>
      <c r="BV279" s="3">
        <f>IF(AND(K279="diesel",BU279=0),MIN(BR279,NEUTRO),BR279)</f>
        <v/>
      </c>
      <c r="BW279" s="4">
        <f>MAX(0,MIN(100,BV279+BS279+BT279))</f>
        <v/>
      </c>
      <c r="BX279" s="3">
        <f>MAX(0,MIN(100,50+BK279*PRECIO_PEND))</f>
        <v/>
      </c>
      <c r="BY279" s="3">
        <f>MAX(0,100*(1-N279/KM_MAX))</f>
        <v/>
      </c>
      <c r="BZ279" s="3">
        <f>IF(BB279&lt;KMA_SOSP,IF(AA279="sí",100,KMA_PEN),IF(BB279&lt;=KMA_IDEAL_MAX,100,MAX(0,100*(KMA_CERO-BB279)/(KMA_CERO-KMA_IDEAL_MAX))))</f>
        <v/>
      </c>
      <c r="CA279" s="3">
        <f>MAX(0,MIN(100,100*(M279-ANIO_MIN)/(ANIO_ACTUAL-ANIO_MIN)))</f>
        <v/>
      </c>
      <c r="CB279" s="3">
        <f>W_KMT*BY279+W_KMA*BZ279+W_EDAD*CA279</f>
        <v/>
      </c>
      <c r="CC279" s="3">
        <f>P_ITV*(V279="sí")+P_LIBRO*(W279="sí")+P_CORREA*(X279="sí")+P_PROP*(Y279=1)+P_GAR*(Z279="sí")+P_FOTOS*MIN(1,N(U279)/FOTOS_OBJ)</f>
        <v/>
      </c>
      <c r="CD279" s="3">
        <f>MAX(0,MIN(100,IFERROR(VLOOKUP(BP279,ETQ_TBL,2,0),0)-IF(BQ279="sí",ETQ_PEN_DUD,IF(AS279="regla",ETQ_PEN_REGLA,0))))</f>
        <v/>
      </c>
      <c r="CE279" s="3">
        <f>NEUTRO</f>
        <v/>
      </c>
      <c r="CF279" s="3">
        <f>IFERROR(VLOOKUP(L279,SEGURO_TBL,3,0),"")</f>
        <v/>
      </c>
      <c r="CG279" s="3">
        <f>IF(CF279="",NEUTRO,MAX(0,MIN(100,100*(SEG_REF_MAX-CF279)/(SEG_REF_MAX-SEG_REF_MIN))))</f>
        <v/>
      </c>
      <c r="CH279" s="3">
        <f>W_CONS*CE279+W_SEG*CG279</f>
        <v/>
      </c>
      <c r="CI279" s="3">
        <f>IF(N(AB279)&gt;0,AB279,IF(AND(R279="profesional",SG_LEGAL_ON=1),GAR_LEGAL,0))</f>
        <v/>
      </c>
      <c r="CJ279" s="3">
        <f>SG_GAR*MIN(1,CI279/SG_GAR_FULL)+SG_AMPL*(AC279="sí")+SG_KMC*(AF279="sí")+SG_REV*(N(AE279)&gt;0)+SG_DEV*MIN(1,N(AG279)/SG_DEV_FULL)+SG_HIST*(W279="sí")</f>
        <v/>
      </c>
      <c r="CK279" s="3">
        <f>IFERROR(VLOOKUP(L279,CARR_PEN_TBL,2,0),0)</f>
        <v/>
      </c>
      <c r="CL279" s="3">
        <f>W_FIAB*BW279+W_PRECIO*BX279+W_KMEDAD*CB279+W_ANUNCIO*CC279+W_USO*CH279+W_SEGURIDAD*CJ279+W_ETIQUETA*CD279-CK279</f>
        <v/>
      </c>
      <c r="CM279" s="4">
        <f>IF(N(I279)&gt;0,I279,IFERROR(ROUND(_xlfn.NUMBERVALUE(LEFT(G279,FIND(" ",G279&amp;" ")-1),".")*1000,0),99999))</f>
        <v/>
      </c>
      <c r="CN279" s="3">
        <f>IF(R279="profesional",0,IF(O279&lt;CUOTA_VALOR_MAX,IF(BA279&gt;ITP_TRAMO_ALTO,SUMIFS(CF_CUOTA,CF_MAS,ITP_TRAMO_ALTO,CF_CCMIN,"&lt;="&amp;CM279,CF_CCMAX,"&gt;="&amp;CM279),IF(BA279&gt;ITP_TRAMO_BAJO,SUMIFS(CF_CUOTA,CF_MAS,ITP_TRAMO_BAJO,CF_CCMIN,"&lt;="&amp;CM279,CF_CCMAX,"&gt;="&amp;CM279),O279*ITP_TIPO)),O279*ITP_TIPO))</f>
        <v/>
      </c>
      <c r="CO279" s="4">
        <f>IF(R279="profesional",N(AK279),0)</f>
        <v/>
      </c>
      <c r="CP279" s="3">
        <f>IF(AND(R279="profesional",ISNUMBER(AK279),AL279="sí"),0,TASA_DGT)</f>
        <v/>
      </c>
      <c r="CQ279" s="3">
        <f>INFORME_DGT</f>
        <v/>
      </c>
      <c r="CR279" s="4">
        <f>O279+CO279+CN279+CP279+CQ279</f>
        <v/>
      </c>
      <c r="CS279" s="4">
        <f>CR279+N(CF279)</f>
        <v/>
      </c>
      <c r="CT279" s="3">
        <f>IF(CR279&lt;=TOTAL_MAX,"sí",IF(CR279&lt;=TOTAL_MAX+MARGEN_NEG,"negociar","no"))</f>
        <v/>
      </c>
      <c r="CU279" s="4">
        <f>IF(CT279&lt;&gt;"no",COUNTIFS($CT$2:$CT$545,"&lt;&gt;no",$CL$2:$CL$545,"&gt;"&amp;CL279)+COUNTIFS($CT$2:CT279,"&lt;&gt;no",$CL$2:CL279,CL279),"")</f>
        <v/>
      </c>
    </row>
    <row r="280">
      <c r="A280" s="2" t="inlineStr">
        <is>
          <t>wallapop:1265581185</t>
        </is>
      </c>
      <c r="B280" s="2" t="inlineStr">
        <is>
          <t>wallapop</t>
        </is>
      </c>
      <c r="C280" s="2" t="inlineStr">
        <is>
          <t>https://es.wallapop.com/item/peugeot-207-2007-1265581185</t>
        </is>
      </c>
      <c r="D280" s="2" t="inlineStr">
        <is>
          <t>Peugeot 207 Estropeado a/c de ahí su precio</t>
        </is>
      </c>
      <c r="E280" s="2" t="inlineStr">
        <is>
          <t>Peugeot</t>
        </is>
      </c>
      <c r="F280" s="2" t="inlineStr">
        <is>
          <t>Peugeot 207</t>
        </is>
      </c>
      <c r="G280" s="2" t="inlineStr">
        <is>
          <t>1.4</t>
        </is>
      </c>
      <c r="H280" s="2" t="inlineStr">
        <is>
          <t>1.4i 75 Urban 3p</t>
        </is>
      </c>
      <c r="I280" s="2" t="n"/>
      <c r="J280" s="2" t="n">
        <v>75</v>
      </c>
      <c r="K280" s="2" t="inlineStr">
        <is>
          <t>gasolina</t>
        </is>
      </c>
      <c r="L280" s="2" t="inlineStr">
        <is>
          <t>utilitario</t>
        </is>
      </c>
      <c r="M280" s="2" t="n">
        <v>2007</v>
      </c>
      <c r="N280" s="2" t="n">
        <v>13100</v>
      </c>
      <c r="O280" s="2" t="n">
        <v>1800</v>
      </c>
      <c r="P280" s="2" t="inlineStr">
        <is>
          <t>manual</t>
        </is>
      </c>
      <c r="Q280" s="2" t="inlineStr">
        <is>
          <t>no</t>
        </is>
      </c>
      <c r="R280" s="2" t="inlineStr">
        <is>
          <t>particular</t>
        </is>
      </c>
      <c r="S280" s="2" t="inlineStr">
        <is>
          <t>Valencia (46020)</t>
        </is>
      </c>
      <c r="T280" s="2" t="inlineStr">
        <is>
          <t>2026-10-12T19:19:05</t>
        </is>
      </c>
      <c r="U280" s="2" t="n">
        <v>4</v>
      </c>
      <c r="V280" s="2" t="inlineStr">
        <is>
          <t>sí</t>
        </is>
      </c>
      <c r="W280" s="2" t="n"/>
      <c r="X280" s="2" t="n"/>
      <c r="Y280" s="2" t="n"/>
      <c r="Z280" s="2" t="n"/>
      <c r="AA280" s="2" t="n"/>
      <c r="AB280" s="2" t="n"/>
      <c r="AC280" s="2" t="n"/>
      <c r="AD280" s="2" t="n"/>
      <c r="AE280" s="2" t="n"/>
      <c r="AF280" s="2" t="n"/>
      <c r="AG280" s="2" t="n"/>
      <c r="AH280" s="2" t="n"/>
      <c r="AI280" s="2" t="n"/>
      <c r="AJ280" s="2" t="n"/>
      <c r="AK280" s="2" t="n"/>
      <c r="AL280" s="2" t="n"/>
      <c r="AM280" s="2" t="n">
        <v>2.9</v>
      </c>
      <c r="AN280" s="2" t="n"/>
      <c r="AO280" s="2" t="inlineStr">
        <is>
          <t>2007</t>
        </is>
      </c>
      <c r="AP280" s="2" t="n">
        <v>2007</v>
      </c>
      <c r="AQ280" s="2" t="n"/>
      <c r="AR280" s="2" t="n"/>
      <c r="AS280" s="2" t="inlineStr">
        <is>
          <t>regla</t>
        </is>
      </c>
      <c r="AT280" s="2" t="n">
        <v>2275</v>
      </c>
      <c r="AU280" s="2" t="n">
        <v>8</v>
      </c>
      <c r="AV280" s="2" t="inlineStr">
        <is>
          <t>modelo+año+km</t>
        </is>
      </c>
      <c r="AW280" s="2" t="n"/>
      <c r="AX280" s="2" t="inlineStr">
        <is>
          <t>cuota fija ITP: &gt;12 años, hasta 1.500 cc; fiabilidad del modelo PENDIENTE de fuente (puntuación neutra)</t>
        </is>
      </c>
      <c r="AY280" s="2" t="inlineStr">
        <is>
          <t>Estupendo Peugeot 207 coupé con lunas traseras tintadas, solo una propietaria, ITV recién pasada, con etiqueta C, se vende por cambio de vehículo familiar a 7 plazas, el coche solo tiene 131000 km, se puede ver y probar sin compromiso, excelente para personas que se han sacado el carnet recientemente y romper mano con un coche juvenil, para más información no dudes en contactarme, aceptación de prueba mecánica.</t>
        </is>
      </c>
      <c r="AZ280" s="2" t="inlineStr">
        <is>
          <t>https://es.wallapop.com/item/peugeot-207-2007-1265581185 (__NEXT_DATA__ item) /home/user/Alopecia/buscador-coches/raw/wallapop/dfaf5f13a2171bbc.json</t>
        </is>
      </c>
      <c r="BA280" s="3">
        <f>MAX(ANIO_ACTUAL-M280,0)</f>
        <v/>
      </c>
      <c r="BB280" s="4">
        <f>N280/MAX(BA280,0.5)</f>
        <v/>
      </c>
      <c r="BC280" s="4">
        <f>F280</f>
        <v/>
      </c>
      <c r="BD280" s="3">
        <f>BC280&amp;"|"&amp;INT(M280/SEG_ANIO)*SEG_ANIO</f>
        <v/>
      </c>
      <c r="BE280" s="3">
        <f>BD280&amp;"|"&amp;INT(N280/SEG_KM)*SEG_KM</f>
        <v/>
      </c>
      <c r="BF280" s="4">
        <f>COUNTIF($BC$2:$BC$545,BC280)</f>
        <v/>
      </c>
      <c r="BG280" s="4">
        <f>COUNTIF($BD$2:$BD$545,BD280)</f>
        <v/>
      </c>
      <c r="BH280" s="4">
        <f>COUNTIF($BE$2:$BE$545,BE280)</f>
        <v/>
      </c>
      <c r="BI280" s="3">
        <f t="array" ref="BI280">IF(N(AU280)&gt;=MIN_N,AT280,IF(BH280&gt;=MIN_N,MEDIAN(IF($BE$2:$BE$545=BE280,$O$2:$O$545)),IF(BG280&gt;=MIN_N,MEDIAN(IF($BD$2:$BD$545=BD280,$O$2:$O$545)),MEDIAN(IF($BC$2:$BC$545=BC280,$O$2:$O$545)))))</f>
        <v/>
      </c>
      <c r="BJ280" s="3">
        <f>IF(N(AU280)&gt;=MIN_N,"mercado "&amp;AV280,IF(BH280&gt;=MIN_N,"modelo+año+km",IF(BG280&gt;=MIN_N,"modelo+año","modelo")))</f>
        <v/>
      </c>
      <c r="BK280" s="4">
        <f>(BI280-O280)/BI280</f>
        <v/>
      </c>
      <c r="BL280" s="3">
        <f>IF(COUNTIFS(FR_FUEL,K280,FR_YEAR,AP280)&gt;0,1,0)</f>
        <v/>
      </c>
      <c r="BM280" s="3">
        <f>IF(COUNTIFS(FR_FUEL,K280,FR_YEAR,AP280-1)&gt;0,1,0)</f>
        <v/>
      </c>
      <c r="BN280" s="4">
        <f>IF(N(AQ280)&gt;0,AP280*100+AQ280,IF(AND(BL280=1,BM280=1),(AP280-1)*100+1,AP280*100+1))</f>
        <v/>
      </c>
      <c r="BO280" s="3">
        <f>IF(OR(K280="hibrido",K280="glp",K280="gnc",K280="phev"),"ECO",IF(K280="electrico","CERO",IF(K280="gasolina",IF(BN280&gt;=GAS_C_YM,"C",IF(BN280&gt;=GAS_B_YM,"B","A")),IF(K280="diesel",IF(BN280&gt;=DIE_C_YM,"C",IF(BN280&gt;=DIE_B_YM,"B","A")),""))))</f>
        <v/>
      </c>
      <c r="BP280" s="4">
        <f>BO280</f>
        <v/>
      </c>
      <c r="BQ280" s="4">
        <f>IF(AS280="regla",IF(AND(N(AQ280)=0,BL280=1),"sí","no"),"no")</f>
        <v/>
      </c>
      <c r="BR280" s="3">
        <f>IFERROR(VLOOKUP(F280,MOD_TBL,11,0),IFERROR(VLOOKUP(E280,OCU_TBL,2,0),NEUTRO))</f>
        <v/>
      </c>
      <c r="BS280" s="3">
        <f>SUMIFS(MOT_AJUSTE,MOT_MOTOR,G280,MOT_MARCA,E280,MOT_DESDE,"&lt;="&amp;M280,MOT_HASTA,"&gt;="&amp;M280)+SUMIFS(MOT_AJUSTE,MOT_MOTOR,G280,MOT_MARCA,"(todas)",MOT_DESDE,"&lt;="&amp;M280,MOT_HASTA,"&gt;="&amp;M280)</f>
        <v/>
      </c>
      <c r="BT280" s="3">
        <f>SUMIFS(COMB_AJUSTE,COMB_COMB,K280)</f>
        <v/>
      </c>
      <c r="BU280" s="3">
        <f>COUNTIFS(MOT_MOTOR,G280,MOT_MARCA,E280,MOT_DESDE,"&lt;="&amp;M280,MOT_HASTA,"&gt;="&amp;M280)+COUNTIFS(MOT_MOTOR,G280,MOT_MARCA,"(todas)",MOT_DESDE,"&lt;="&amp;M280,MOT_HASTA,"&gt;="&amp;M280)</f>
        <v/>
      </c>
      <c r="BV280" s="3">
        <f>IF(AND(K280="diesel",BU280=0),MIN(BR280,NEUTRO),BR280)</f>
        <v/>
      </c>
      <c r="BW280" s="4">
        <f>MAX(0,MIN(100,BV280+BS280+BT280))</f>
        <v/>
      </c>
      <c r="BX280" s="3">
        <f>MAX(0,MIN(100,50+BK280*PRECIO_PEND))</f>
        <v/>
      </c>
      <c r="BY280" s="3">
        <f>MAX(0,100*(1-N280/KM_MAX))</f>
        <v/>
      </c>
      <c r="BZ280" s="3">
        <f>IF(BB280&lt;KMA_SOSP,IF(AA280="sí",100,KMA_PEN),IF(BB280&lt;=KMA_IDEAL_MAX,100,MAX(0,100*(KMA_CERO-BB280)/(KMA_CERO-KMA_IDEAL_MAX))))</f>
        <v/>
      </c>
      <c r="CA280" s="3">
        <f>MAX(0,MIN(100,100*(M280-ANIO_MIN)/(ANIO_ACTUAL-ANIO_MIN)))</f>
        <v/>
      </c>
      <c r="CB280" s="3">
        <f>W_KMT*BY280+W_KMA*BZ280+W_EDAD*CA280</f>
        <v/>
      </c>
      <c r="CC280" s="3">
        <f>P_ITV*(V280="sí")+P_LIBRO*(W280="sí")+P_CORREA*(X280="sí")+P_PROP*(Y280=1)+P_GAR*(Z280="sí")+P_FOTOS*MIN(1,N(U280)/FOTOS_OBJ)</f>
        <v/>
      </c>
      <c r="CD280" s="3">
        <f>MAX(0,MIN(100,IFERROR(VLOOKUP(BP280,ETQ_TBL,2,0),0)-IF(BQ280="sí",ETQ_PEN_DUD,IF(AS280="regla",ETQ_PEN_REGLA,0))))</f>
        <v/>
      </c>
      <c r="CE280" s="3">
        <f>NEUTRO</f>
        <v/>
      </c>
      <c r="CF280" s="3">
        <f>IFERROR(VLOOKUP(L280,SEGURO_TBL,3,0),"")</f>
        <v/>
      </c>
      <c r="CG280" s="3">
        <f>IF(CF280="",NEUTRO,MAX(0,MIN(100,100*(SEG_REF_MAX-CF280)/(SEG_REF_MAX-SEG_REF_MIN))))</f>
        <v/>
      </c>
      <c r="CH280" s="3">
        <f>W_CONS*CE280+W_SEG*CG280</f>
        <v/>
      </c>
      <c r="CI280" s="3">
        <f>IF(N(AB280)&gt;0,AB280,IF(AND(R280="profesional",SG_LEGAL_ON=1),GAR_LEGAL,0))</f>
        <v/>
      </c>
      <c r="CJ280" s="3">
        <f>SG_GAR*MIN(1,CI280/SG_GAR_FULL)+SG_AMPL*(AC280="sí")+SG_KMC*(AF280="sí")+SG_REV*(N(AE280)&gt;0)+SG_DEV*MIN(1,N(AG280)/SG_DEV_FULL)+SG_HIST*(W280="sí")</f>
        <v/>
      </c>
      <c r="CK280" s="3">
        <f>IFERROR(VLOOKUP(L280,CARR_PEN_TBL,2,0),0)</f>
        <v/>
      </c>
      <c r="CL280" s="3">
        <f>W_FIAB*BW280+W_PRECIO*BX280+W_KMEDAD*CB280+W_ANUNCIO*CC280+W_USO*CH280+W_SEGURIDAD*CJ280+W_ETIQUETA*CD280-CK280</f>
        <v/>
      </c>
      <c r="CM280" s="4">
        <f>IF(N(I280)&gt;0,I280,IFERROR(ROUND(_xlfn.NUMBERVALUE(LEFT(G280,FIND(" ",G280&amp;" ")-1),".")*1000,0),99999))</f>
        <v/>
      </c>
      <c r="CN280" s="3">
        <f>IF(R280="profesional",0,IF(O280&lt;CUOTA_VALOR_MAX,IF(BA280&gt;ITP_TRAMO_ALTO,SUMIFS(CF_CUOTA,CF_MAS,ITP_TRAMO_ALTO,CF_CCMIN,"&lt;="&amp;CM280,CF_CCMAX,"&gt;="&amp;CM280),IF(BA280&gt;ITP_TRAMO_BAJO,SUMIFS(CF_CUOTA,CF_MAS,ITP_TRAMO_BAJO,CF_CCMIN,"&lt;="&amp;CM280,CF_CCMAX,"&gt;="&amp;CM280),O280*ITP_TIPO)),O280*ITP_TIPO))</f>
        <v/>
      </c>
      <c r="CO280" s="4">
        <f>IF(R280="profesional",N(AK280),0)</f>
        <v/>
      </c>
      <c r="CP280" s="3">
        <f>IF(AND(R280="profesional",ISNUMBER(AK280),AL280="sí"),0,TASA_DGT)</f>
        <v/>
      </c>
      <c r="CQ280" s="3">
        <f>INFORME_DGT</f>
        <v/>
      </c>
      <c r="CR280" s="4">
        <f>O280+CO280+CN280+CP280+CQ280</f>
        <v/>
      </c>
      <c r="CS280" s="4">
        <f>CR280+N(CF280)</f>
        <v/>
      </c>
      <c r="CT280" s="3">
        <f>IF(CR280&lt;=TOTAL_MAX,"sí",IF(CR280&lt;=TOTAL_MAX+MARGEN_NEG,"negociar","no"))</f>
        <v/>
      </c>
      <c r="CU280" s="4">
        <f>IF(CT280&lt;&gt;"no",COUNTIFS($CT$2:$CT$545,"&lt;&gt;no",$CL$2:$CL$545,"&gt;"&amp;CL280)+COUNTIFS($CT$2:CT280,"&lt;&gt;no",$CL$2:CL280,CL280),"")</f>
        <v/>
      </c>
    </row>
    <row r="281">
      <c r="A281" s="2" t="inlineStr">
        <is>
          <t>wallapop:1237274117</t>
        </is>
      </c>
      <c r="B281" s="2" t="inlineStr">
        <is>
          <t>wallapop</t>
        </is>
      </c>
      <c r="C281" s="2" t="inlineStr">
        <is>
          <t>https://es.wallapop.com/item/peugeot-207-2007-1237274117</t>
        </is>
      </c>
      <c r="D281" s="2" t="inlineStr">
        <is>
          <t>Peugeot 207 2007</t>
        </is>
      </c>
      <c r="E281" s="2" t="inlineStr">
        <is>
          <t>Peugeot</t>
        </is>
      </c>
      <c r="F281" s="2" t="inlineStr">
        <is>
          <t>Peugeot 207</t>
        </is>
      </c>
      <c r="G281" s="2" t="inlineStr">
        <is>
          <t>1.4 HDi</t>
        </is>
      </c>
      <c r="H281" s="2" t="inlineStr">
        <is>
          <t>1.4 HDi 70 X-Line 5p</t>
        </is>
      </c>
      <c r="I281" s="2" t="n"/>
      <c r="J281" s="2" t="n">
        <v>70</v>
      </c>
      <c r="K281" s="2" t="inlineStr">
        <is>
          <t>gasolina</t>
        </is>
      </c>
      <c r="L281" s="2" t="inlineStr">
        <is>
          <t>utilitario</t>
        </is>
      </c>
      <c r="M281" s="2" t="n">
        <v>2007</v>
      </c>
      <c r="N281" s="2" t="n">
        <v>122000</v>
      </c>
      <c r="O281" s="2" t="n">
        <v>3000</v>
      </c>
      <c r="P281" s="2" t="inlineStr">
        <is>
          <t>manual</t>
        </is>
      </c>
      <c r="Q281" s="2" t="inlineStr">
        <is>
          <t>no</t>
        </is>
      </c>
      <c r="R281" s="2" t="inlineStr">
        <is>
          <t>particular</t>
        </is>
      </c>
      <c r="S281" s="2" t="inlineStr">
        <is>
          <t>Valencia (46018)</t>
        </is>
      </c>
      <c r="T281" s="2" t="inlineStr">
        <is>
          <t>2026-10-22T14:57:06</t>
        </is>
      </c>
      <c r="U281" s="2" t="n">
        <v>4</v>
      </c>
      <c r="V281" s="2" t="n"/>
      <c r="W281" s="2" t="n"/>
      <c r="X281" s="2" t="n"/>
      <c r="Y281" s="2" t="n"/>
      <c r="Z281" s="2" t="n"/>
      <c r="AA281" s="2" t="n"/>
      <c r="AB281" s="2" t="n"/>
      <c r="AC281" s="2" t="n"/>
      <c r="AD281" s="2" t="n"/>
      <c r="AE281" s="2" t="n"/>
      <c r="AF281" s="2" t="n"/>
      <c r="AG281" s="2" t="n"/>
      <c r="AH281" s="2" t="n"/>
      <c r="AI281" s="2" t="n"/>
      <c r="AJ281" s="2" t="n"/>
      <c r="AK281" s="2" t="n"/>
      <c r="AL281" s="2" t="n"/>
      <c r="AM281" s="2" t="n">
        <v>1.8</v>
      </c>
      <c r="AN281" s="2" t="n"/>
      <c r="AO281" s="2" t="inlineStr">
        <is>
          <t>2007</t>
        </is>
      </c>
      <c r="AP281" s="2" t="n">
        <v>2007</v>
      </c>
      <c r="AQ281" s="2" t="n"/>
      <c r="AR281" s="2" t="n"/>
      <c r="AS281" s="2" t="inlineStr">
        <is>
          <t>regla</t>
        </is>
      </c>
      <c r="AT281" s="2" t="n">
        <v>3550</v>
      </c>
      <c r="AU281" s="2" t="n">
        <v>30</v>
      </c>
      <c r="AV281" s="2" t="inlineStr">
        <is>
          <t>modelo+año+km</t>
        </is>
      </c>
      <c r="AW281" s="2" t="n"/>
      <c r="AX281" s="2" t="inlineStr">
        <is>
          <t>cuota fija ITP: &gt;12 años, hasta 1.500 cc; fiabilidad del modelo PENDIENTE de fuente (puntuación neutra)</t>
        </is>
      </c>
      <c r="AY281" s="2" t="inlineStr">
        <is>
          <t xml:space="preserve">Coche que vendo por compra de vehículo familiar. Perfecto para un primer coche de alguien novel o para la ciudad. Tiene muy poco consumo. </t>
        </is>
      </c>
      <c r="AZ281" s="2" t="inlineStr">
        <is>
          <t>https://es.wallapop.com/item/peugeot-207-2007-1237274117 (__NEXT_DATA__ item) /home/user/Alopecia/buscador-coches/raw/wallapop/c81d164e8f0e496f.json</t>
        </is>
      </c>
      <c r="BA281" s="3">
        <f>MAX(ANIO_ACTUAL-M281,0)</f>
        <v/>
      </c>
      <c r="BB281" s="4">
        <f>N281/MAX(BA281,0.5)</f>
        <v/>
      </c>
      <c r="BC281" s="4">
        <f>F281</f>
        <v/>
      </c>
      <c r="BD281" s="3">
        <f>BC281&amp;"|"&amp;INT(M281/SEG_ANIO)*SEG_ANIO</f>
        <v/>
      </c>
      <c r="BE281" s="3">
        <f>BD281&amp;"|"&amp;INT(N281/SEG_KM)*SEG_KM</f>
        <v/>
      </c>
      <c r="BF281" s="4">
        <f>COUNTIF($BC$2:$BC$545,BC281)</f>
        <v/>
      </c>
      <c r="BG281" s="4">
        <f>COUNTIF($BD$2:$BD$545,BD281)</f>
        <v/>
      </c>
      <c r="BH281" s="4">
        <f>COUNTIF($BE$2:$BE$545,BE281)</f>
        <v/>
      </c>
      <c r="BI281" s="3">
        <f t="array" ref="BI281">IF(N(AU281)&gt;=MIN_N,AT281,IF(BH281&gt;=MIN_N,MEDIAN(IF($BE$2:$BE$545=BE281,$O$2:$O$545)),IF(BG281&gt;=MIN_N,MEDIAN(IF($BD$2:$BD$545=BD281,$O$2:$O$545)),MEDIAN(IF($BC$2:$BC$545=BC281,$O$2:$O$545)))))</f>
        <v/>
      </c>
      <c r="BJ281" s="3">
        <f>IF(N(AU281)&gt;=MIN_N,"mercado "&amp;AV281,IF(BH281&gt;=MIN_N,"modelo+año+km",IF(BG281&gt;=MIN_N,"modelo+año","modelo")))</f>
        <v/>
      </c>
      <c r="BK281" s="4">
        <f>(BI281-O281)/BI281</f>
        <v/>
      </c>
      <c r="BL281" s="3">
        <f>IF(COUNTIFS(FR_FUEL,K281,FR_YEAR,AP281)&gt;0,1,0)</f>
        <v/>
      </c>
      <c r="BM281" s="3">
        <f>IF(COUNTIFS(FR_FUEL,K281,FR_YEAR,AP281-1)&gt;0,1,0)</f>
        <v/>
      </c>
      <c r="BN281" s="4">
        <f>IF(N(AQ281)&gt;0,AP281*100+AQ281,IF(AND(BL281=1,BM281=1),(AP281-1)*100+1,AP281*100+1))</f>
        <v/>
      </c>
      <c r="BO281" s="3">
        <f>IF(OR(K281="hibrido",K281="glp",K281="gnc",K281="phev"),"ECO",IF(K281="electrico","CERO",IF(K281="gasolina",IF(BN281&gt;=GAS_C_YM,"C",IF(BN281&gt;=GAS_B_YM,"B","A")),IF(K281="diesel",IF(BN281&gt;=DIE_C_YM,"C",IF(BN281&gt;=DIE_B_YM,"B","A")),""))))</f>
        <v/>
      </c>
      <c r="BP281" s="4">
        <f>BO281</f>
        <v/>
      </c>
      <c r="BQ281" s="4">
        <f>IF(AS281="regla",IF(AND(N(AQ281)=0,BL281=1),"sí","no"),"no")</f>
        <v/>
      </c>
      <c r="BR281" s="3">
        <f>IFERROR(VLOOKUP(F281,MOD_TBL,11,0),IFERROR(VLOOKUP(E281,OCU_TBL,2,0),NEUTRO))</f>
        <v/>
      </c>
      <c r="BS281" s="3">
        <f>SUMIFS(MOT_AJUSTE,MOT_MOTOR,G281,MOT_MARCA,E281,MOT_DESDE,"&lt;="&amp;M281,MOT_HASTA,"&gt;="&amp;M281)+SUMIFS(MOT_AJUSTE,MOT_MOTOR,G281,MOT_MARCA,"(todas)",MOT_DESDE,"&lt;="&amp;M281,MOT_HASTA,"&gt;="&amp;M281)</f>
        <v/>
      </c>
      <c r="BT281" s="3">
        <f>SUMIFS(COMB_AJUSTE,COMB_COMB,K281)</f>
        <v/>
      </c>
      <c r="BU281" s="3">
        <f>COUNTIFS(MOT_MOTOR,G281,MOT_MARCA,E281,MOT_DESDE,"&lt;="&amp;M281,MOT_HASTA,"&gt;="&amp;M281)+COUNTIFS(MOT_MOTOR,G281,MOT_MARCA,"(todas)",MOT_DESDE,"&lt;="&amp;M281,MOT_HASTA,"&gt;="&amp;M281)</f>
        <v/>
      </c>
      <c r="BV281" s="3">
        <f>IF(AND(K281="diesel",BU281=0),MIN(BR281,NEUTRO),BR281)</f>
        <v/>
      </c>
      <c r="BW281" s="4">
        <f>MAX(0,MIN(100,BV281+BS281+BT281))</f>
        <v/>
      </c>
      <c r="BX281" s="3">
        <f>MAX(0,MIN(100,50+BK281*PRECIO_PEND))</f>
        <v/>
      </c>
      <c r="BY281" s="3">
        <f>MAX(0,100*(1-N281/KM_MAX))</f>
        <v/>
      </c>
      <c r="BZ281" s="3">
        <f>IF(BB281&lt;KMA_SOSP,IF(AA281="sí",100,KMA_PEN),IF(BB281&lt;=KMA_IDEAL_MAX,100,MAX(0,100*(KMA_CERO-BB281)/(KMA_CERO-KMA_IDEAL_MAX))))</f>
        <v/>
      </c>
      <c r="CA281" s="3">
        <f>MAX(0,MIN(100,100*(M281-ANIO_MIN)/(ANIO_ACTUAL-ANIO_MIN)))</f>
        <v/>
      </c>
      <c r="CB281" s="3">
        <f>W_KMT*BY281+W_KMA*BZ281+W_EDAD*CA281</f>
        <v/>
      </c>
      <c r="CC281" s="3">
        <f>P_ITV*(V281="sí")+P_LIBRO*(W281="sí")+P_CORREA*(X281="sí")+P_PROP*(Y281=1)+P_GAR*(Z281="sí")+P_FOTOS*MIN(1,N(U281)/FOTOS_OBJ)</f>
        <v/>
      </c>
      <c r="CD281" s="3">
        <f>MAX(0,MIN(100,IFERROR(VLOOKUP(BP281,ETQ_TBL,2,0),0)-IF(BQ281="sí",ETQ_PEN_DUD,IF(AS281="regla",ETQ_PEN_REGLA,0))))</f>
        <v/>
      </c>
      <c r="CE281" s="3">
        <f>NEUTRO</f>
        <v/>
      </c>
      <c r="CF281" s="3">
        <f>IFERROR(VLOOKUP(L281,SEGURO_TBL,3,0),"")</f>
        <v/>
      </c>
      <c r="CG281" s="3">
        <f>IF(CF281="",NEUTRO,MAX(0,MIN(100,100*(SEG_REF_MAX-CF281)/(SEG_REF_MAX-SEG_REF_MIN))))</f>
        <v/>
      </c>
      <c r="CH281" s="3">
        <f>W_CONS*CE281+W_SEG*CG281</f>
        <v/>
      </c>
      <c r="CI281" s="3">
        <f>IF(N(AB281)&gt;0,AB281,IF(AND(R281="profesional",SG_LEGAL_ON=1),GAR_LEGAL,0))</f>
        <v/>
      </c>
      <c r="CJ281" s="3">
        <f>SG_GAR*MIN(1,CI281/SG_GAR_FULL)+SG_AMPL*(AC281="sí")+SG_KMC*(AF281="sí")+SG_REV*(N(AE281)&gt;0)+SG_DEV*MIN(1,N(AG281)/SG_DEV_FULL)+SG_HIST*(W281="sí")</f>
        <v/>
      </c>
      <c r="CK281" s="3">
        <f>IFERROR(VLOOKUP(L281,CARR_PEN_TBL,2,0),0)</f>
        <v/>
      </c>
      <c r="CL281" s="3">
        <f>W_FIAB*BW281+W_PRECIO*BX281+W_KMEDAD*CB281+W_ANUNCIO*CC281+W_USO*CH281+W_SEGURIDAD*CJ281+W_ETIQUETA*CD281-CK281</f>
        <v/>
      </c>
      <c r="CM281" s="4">
        <f>IF(N(I281)&gt;0,I281,IFERROR(ROUND(_xlfn.NUMBERVALUE(LEFT(G281,FIND(" ",G281&amp;" ")-1),".")*1000,0),99999))</f>
        <v/>
      </c>
      <c r="CN281" s="3">
        <f>IF(R281="profesional",0,IF(O281&lt;CUOTA_VALOR_MAX,IF(BA281&gt;ITP_TRAMO_ALTO,SUMIFS(CF_CUOTA,CF_MAS,ITP_TRAMO_ALTO,CF_CCMIN,"&lt;="&amp;CM281,CF_CCMAX,"&gt;="&amp;CM281),IF(BA281&gt;ITP_TRAMO_BAJO,SUMIFS(CF_CUOTA,CF_MAS,ITP_TRAMO_BAJO,CF_CCMIN,"&lt;="&amp;CM281,CF_CCMAX,"&gt;="&amp;CM281),O281*ITP_TIPO)),O281*ITP_TIPO))</f>
        <v/>
      </c>
      <c r="CO281" s="4">
        <f>IF(R281="profesional",N(AK281),0)</f>
        <v/>
      </c>
      <c r="CP281" s="3">
        <f>IF(AND(R281="profesional",ISNUMBER(AK281),AL281="sí"),0,TASA_DGT)</f>
        <v/>
      </c>
      <c r="CQ281" s="3">
        <f>INFORME_DGT</f>
        <v/>
      </c>
      <c r="CR281" s="4">
        <f>O281+CO281+CN281+CP281+CQ281</f>
        <v/>
      </c>
      <c r="CS281" s="4">
        <f>CR281+N(CF281)</f>
        <v/>
      </c>
      <c r="CT281" s="3">
        <f>IF(CR281&lt;=TOTAL_MAX,"sí",IF(CR281&lt;=TOTAL_MAX+MARGEN_NEG,"negociar","no"))</f>
        <v/>
      </c>
      <c r="CU281" s="4">
        <f>IF(CT281&lt;&gt;"no",COUNTIFS($CT$2:$CT$545,"&lt;&gt;no",$CL$2:$CL$545,"&gt;"&amp;CL281)+COUNTIFS($CT$2:CT281,"&lt;&gt;no",$CL$2:CL281,CL281),"")</f>
        <v/>
      </c>
    </row>
    <row r="282">
      <c r="A282" s="2" t="inlineStr">
        <is>
          <t>wallapop:1302895961</t>
        </is>
      </c>
      <c r="B282" s="2" t="inlineStr">
        <is>
          <t>wallapop</t>
        </is>
      </c>
      <c r="C282" s="2" t="inlineStr">
        <is>
          <t>https://es.wallapop.com/item/peugeot-207-xs-pack-1-4-2006-1302895961</t>
        </is>
      </c>
      <c r="D282" s="2" t="inlineStr">
        <is>
          <t>Peugeot 207 XS PACK 1.4 2006</t>
        </is>
      </c>
      <c r="E282" s="2" t="inlineStr">
        <is>
          <t>Peugeot</t>
        </is>
      </c>
      <c r="F282" s="2" t="inlineStr">
        <is>
          <t>Peugeot 207</t>
        </is>
      </c>
      <c r="G282" s="2" t="inlineStr">
        <is>
          <t>1.4</t>
        </is>
      </c>
      <c r="H282" s="2" t="inlineStr">
        <is>
          <t>1.4i 16v 90 XS Pack 3p</t>
        </is>
      </c>
      <c r="I282" s="2" t="n"/>
      <c r="J282" s="2" t="n">
        <v>90</v>
      </c>
      <c r="K282" s="2" t="inlineStr">
        <is>
          <t>gasolina</t>
        </is>
      </c>
      <c r="L282" s="2" t="inlineStr">
        <is>
          <t>utilitario</t>
        </is>
      </c>
      <c r="M282" s="2" t="n">
        <v>2006</v>
      </c>
      <c r="N282" s="2" t="n">
        <v>199000</v>
      </c>
      <c r="O282" s="2" t="n">
        <v>3000</v>
      </c>
      <c r="P282" s="2" t="inlineStr">
        <is>
          <t>manual</t>
        </is>
      </c>
      <c r="Q282" s="2" t="inlineStr">
        <is>
          <t>no</t>
        </is>
      </c>
      <c r="R282" s="2" t="inlineStr">
        <is>
          <t>particular</t>
        </is>
      </c>
      <c r="S282" s="2" t="inlineStr">
        <is>
          <t>Valencia (46018)</t>
        </is>
      </c>
      <c r="T282" s="2" t="inlineStr">
        <is>
          <t>2026-09-17T15:13:30</t>
        </is>
      </c>
      <c r="U282" s="2" t="n">
        <v>7</v>
      </c>
      <c r="V282" s="2" t="inlineStr">
        <is>
          <t>sí</t>
        </is>
      </c>
      <c r="W282" s="2" t="n"/>
      <c r="X282" s="2" t="n"/>
      <c r="Y282" s="2" t="n"/>
      <c r="Z282" s="2" t="n"/>
      <c r="AA282" s="2" t="n"/>
      <c r="AB282" s="2" t="n"/>
      <c r="AC282" s="2" t="n"/>
      <c r="AD282" s="2" t="n"/>
      <c r="AE282" s="2" t="n"/>
      <c r="AF282" s="2" t="n"/>
      <c r="AG282" s="2" t="n"/>
      <c r="AH282" s="2" t="n"/>
      <c r="AI282" s="2" t="n"/>
      <c r="AJ282" s="2" t="n"/>
      <c r="AK282" s="2" t="n"/>
      <c r="AL282" s="2" t="n"/>
      <c r="AM282" s="2" t="n">
        <v>2.3</v>
      </c>
      <c r="AN282" s="2" t="n"/>
      <c r="AO282" s="2" t="inlineStr">
        <is>
          <t>2006</t>
        </is>
      </c>
      <c r="AP282" s="2" t="n">
        <v>2006</v>
      </c>
      <c r="AQ282" s="2" t="n"/>
      <c r="AR282" s="2" t="n"/>
      <c r="AS282" s="2" t="inlineStr">
        <is>
          <t>regla</t>
        </is>
      </c>
      <c r="AT282" s="2" t="n">
        <v>2950</v>
      </c>
      <c r="AU282" s="2" t="n">
        <v>4</v>
      </c>
      <c r="AV282" s="2" t="inlineStr">
        <is>
          <t>modelo+año+km</t>
        </is>
      </c>
      <c r="AW282" s="2" t="inlineStr">
        <is>
          <t>cochesnet:71537823 (https://www.coches.net/peugeot-207-14-16v-xs-pack-3p-gasolina-2006-en-valencia-71537823-covo.aspx)</t>
        </is>
      </c>
      <c r="AX282" s="2" t="inlineStr">
        <is>
          <t>cuota fija ITP: &gt;12 años, hasta 1.500 cc; fiabilidad del modelo PENDIENTE de fuente (puntuación neutra)</t>
        </is>
      </c>
      <c r="AY282" s="2" t="inlineStr">
        <is>
          <t xml:space="preserve">Se vende Peugeot 207 XS pACK 1.4 199.000 KM. Revisiones al día, ITV al día hasta mayo 2027, funciona todo. Se puede probar sin problema. Se vende porque ya tengo otros coches y no lo necesito
Escribir por whatsapp o por este medio. </t>
        </is>
      </c>
      <c r="AZ282" s="2" t="inlineStr">
        <is>
          <t>https://es.wallapop.com/item/peugeot-207-xs-pack-1-4-2006-1302895961 (__NEXT_DATA__ item) /home/user/Alopecia/buscador-coches/raw/wallapop/6a049445edd3c48f.json</t>
        </is>
      </c>
      <c r="BA282" s="3">
        <f>MAX(ANIO_ACTUAL-M282,0)</f>
        <v/>
      </c>
      <c r="BB282" s="4">
        <f>N282/MAX(BA282,0.5)</f>
        <v/>
      </c>
      <c r="BC282" s="4">
        <f>F282</f>
        <v/>
      </c>
      <c r="BD282" s="3">
        <f>BC282&amp;"|"&amp;INT(M282/SEG_ANIO)*SEG_ANIO</f>
        <v/>
      </c>
      <c r="BE282" s="3">
        <f>BD282&amp;"|"&amp;INT(N282/SEG_KM)*SEG_KM</f>
        <v/>
      </c>
      <c r="BF282" s="4">
        <f>COUNTIF($BC$2:$BC$545,BC282)</f>
        <v/>
      </c>
      <c r="BG282" s="4">
        <f>COUNTIF($BD$2:$BD$545,BD282)</f>
        <v/>
      </c>
      <c r="BH282" s="4">
        <f>COUNTIF($BE$2:$BE$545,BE282)</f>
        <v/>
      </c>
      <c r="BI282" s="3">
        <f t="array" ref="BI282">IF(N(AU282)&gt;=MIN_N,AT282,IF(BH282&gt;=MIN_N,MEDIAN(IF($BE$2:$BE$545=BE282,$O$2:$O$545)),IF(BG282&gt;=MIN_N,MEDIAN(IF($BD$2:$BD$545=BD282,$O$2:$O$545)),MEDIAN(IF($BC$2:$BC$545=BC282,$O$2:$O$545)))))</f>
        <v/>
      </c>
      <c r="BJ282" s="3">
        <f>IF(N(AU282)&gt;=MIN_N,"mercado "&amp;AV282,IF(BH282&gt;=MIN_N,"modelo+año+km",IF(BG282&gt;=MIN_N,"modelo+año","modelo")))</f>
        <v/>
      </c>
      <c r="BK282" s="4">
        <f>(BI282-O282)/BI282</f>
        <v/>
      </c>
      <c r="BL282" s="3">
        <f>IF(COUNTIFS(FR_FUEL,K282,FR_YEAR,AP282)&gt;0,1,0)</f>
        <v/>
      </c>
      <c r="BM282" s="3">
        <f>IF(COUNTIFS(FR_FUEL,K282,FR_YEAR,AP282-1)&gt;0,1,0)</f>
        <v/>
      </c>
      <c r="BN282" s="4">
        <f>IF(N(AQ282)&gt;0,AP282*100+AQ282,IF(AND(BL282=1,BM282=1),(AP282-1)*100+1,AP282*100+1))</f>
        <v/>
      </c>
      <c r="BO282" s="3">
        <f>IF(OR(K282="hibrido",K282="glp",K282="gnc",K282="phev"),"ECO",IF(K282="electrico","CERO",IF(K282="gasolina",IF(BN282&gt;=GAS_C_YM,"C",IF(BN282&gt;=GAS_B_YM,"B","A")),IF(K282="diesel",IF(BN282&gt;=DIE_C_YM,"C",IF(BN282&gt;=DIE_B_YM,"B","A")),""))))</f>
        <v/>
      </c>
      <c r="BP282" s="4">
        <f>BO282</f>
        <v/>
      </c>
      <c r="BQ282" s="4">
        <f>IF(AS282="regla",IF(AND(N(AQ282)=0,BL282=1),"sí","no"),"no")</f>
        <v/>
      </c>
      <c r="BR282" s="3">
        <f>IFERROR(VLOOKUP(F282,MOD_TBL,11,0),IFERROR(VLOOKUP(E282,OCU_TBL,2,0),NEUTRO))</f>
        <v/>
      </c>
      <c r="BS282" s="3">
        <f>SUMIFS(MOT_AJUSTE,MOT_MOTOR,G282,MOT_MARCA,E282,MOT_DESDE,"&lt;="&amp;M282,MOT_HASTA,"&gt;="&amp;M282)+SUMIFS(MOT_AJUSTE,MOT_MOTOR,G282,MOT_MARCA,"(todas)",MOT_DESDE,"&lt;="&amp;M282,MOT_HASTA,"&gt;="&amp;M282)</f>
        <v/>
      </c>
      <c r="BT282" s="3">
        <f>SUMIFS(COMB_AJUSTE,COMB_COMB,K282)</f>
        <v/>
      </c>
      <c r="BU282" s="3">
        <f>COUNTIFS(MOT_MOTOR,G282,MOT_MARCA,E282,MOT_DESDE,"&lt;="&amp;M282,MOT_HASTA,"&gt;="&amp;M282)+COUNTIFS(MOT_MOTOR,G282,MOT_MARCA,"(todas)",MOT_DESDE,"&lt;="&amp;M282,MOT_HASTA,"&gt;="&amp;M282)</f>
        <v/>
      </c>
      <c r="BV282" s="3">
        <f>IF(AND(K282="diesel",BU282=0),MIN(BR282,NEUTRO),BR282)</f>
        <v/>
      </c>
      <c r="BW282" s="4">
        <f>MAX(0,MIN(100,BV282+BS282+BT282))</f>
        <v/>
      </c>
      <c r="BX282" s="3">
        <f>MAX(0,MIN(100,50+BK282*PRECIO_PEND))</f>
        <v/>
      </c>
      <c r="BY282" s="3">
        <f>MAX(0,100*(1-N282/KM_MAX))</f>
        <v/>
      </c>
      <c r="BZ282" s="3">
        <f>IF(BB282&lt;KMA_SOSP,IF(AA282="sí",100,KMA_PEN),IF(BB282&lt;=KMA_IDEAL_MAX,100,MAX(0,100*(KMA_CERO-BB282)/(KMA_CERO-KMA_IDEAL_MAX))))</f>
        <v/>
      </c>
      <c r="CA282" s="3">
        <f>MAX(0,MIN(100,100*(M282-ANIO_MIN)/(ANIO_ACTUAL-ANIO_MIN)))</f>
        <v/>
      </c>
      <c r="CB282" s="3">
        <f>W_KMT*BY282+W_KMA*BZ282+W_EDAD*CA282</f>
        <v/>
      </c>
      <c r="CC282" s="3">
        <f>P_ITV*(V282="sí")+P_LIBRO*(W282="sí")+P_CORREA*(X282="sí")+P_PROP*(Y282=1)+P_GAR*(Z282="sí")+P_FOTOS*MIN(1,N(U282)/FOTOS_OBJ)</f>
        <v/>
      </c>
      <c r="CD282" s="3">
        <f>MAX(0,MIN(100,IFERROR(VLOOKUP(BP282,ETQ_TBL,2,0),0)-IF(BQ282="sí",ETQ_PEN_DUD,IF(AS282="regla",ETQ_PEN_REGLA,0))))</f>
        <v/>
      </c>
      <c r="CE282" s="3">
        <f>NEUTRO</f>
        <v/>
      </c>
      <c r="CF282" s="3">
        <f>IFERROR(VLOOKUP(L282,SEGURO_TBL,3,0),"")</f>
        <v/>
      </c>
      <c r="CG282" s="3">
        <f>IF(CF282="",NEUTRO,MAX(0,MIN(100,100*(SEG_REF_MAX-CF282)/(SEG_REF_MAX-SEG_REF_MIN))))</f>
        <v/>
      </c>
      <c r="CH282" s="3">
        <f>W_CONS*CE282+W_SEG*CG282</f>
        <v/>
      </c>
      <c r="CI282" s="3">
        <f>IF(N(AB282)&gt;0,AB282,IF(AND(R282="profesional",SG_LEGAL_ON=1),GAR_LEGAL,0))</f>
        <v/>
      </c>
      <c r="CJ282" s="3">
        <f>SG_GAR*MIN(1,CI282/SG_GAR_FULL)+SG_AMPL*(AC282="sí")+SG_KMC*(AF282="sí")+SG_REV*(N(AE282)&gt;0)+SG_DEV*MIN(1,N(AG282)/SG_DEV_FULL)+SG_HIST*(W282="sí")</f>
        <v/>
      </c>
      <c r="CK282" s="3">
        <f>IFERROR(VLOOKUP(L282,CARR_PEN_TBL,2,0),0)</f>
        <v/>
      </c>
      <c r="CL282" s="3">
        <f>W_FIAB*BW282+W_PRECIO*BX282+W_KMEDAD*CB282+W_ANUNCIO*CC282+W_USO*CH282+W_SEGURIDAD*CJ282+W_ETIQUETA*CD282-CK282</f>
        <v/>
      </c>
      <c r="CM282" s="4">
        <f>IF(N(I282)&gt;0,I282,IFERROR(ROUND(_xlfn.NUMBERVALUE(LEFT(G282,FIND(" ",G282&amp;" ")-1),".")*1000,0),99999))</f>
        <v/>
      </c>
      <c r="CN282" s="3">
        <f>IF(R282="profesional",0,IF(O282&lt;CUOTA_VALOR_MAX,IF(BA282&gt;ITP_TRAMO_ALTO,SUMIFS(CF_CUOTA,CF_MAS,ITP_TRAMO_ALTO,CF_CCMIN,"&lt;="&amp;CM282,CF_CCMAX,"&gt;="&amp;CM282),IF(BA282&gt;ITP_TRAMO_BAJO,SUMIFS(CF_CUOTA,CF_MAS,ITP_TRAMO_BAJO,CF_CCMIN,"&lt;="&amp;CM282,CF_CCMAX,"&gt;="&amp;CM282),O282*ITP_TIPO)),O282*ITP_TIPO))</f>
        <v/>
      </c>
      <c r="CO282" s="4">
        <f>IF(R282="profesional",N(AK282),0)</f>
        <v/>
      </c>
      <c r="CP282" s="3">
        <f>IF(AND(R282="profesional",ISNUMBER(AK282),AL282="sí"),0,TASA_DGT)</f>
        <v/>
      </c>
      <c r="CQ282" s="3">
        <f>INFORME_DGT</f>
        <v/>
      </c>
      <c r="CR282" s="4">
        <f>O282+CO282+CN282+CP282+CQ282</f>
        <v/>
      </c>
      <c r="CS282" s="4">
        <f>CR282+N(CF282)</f>
        <v/>
      </c>
      <c r="CT282" s="3">
        <f>IF(CR282&lt;=TOTAL_MAX,"sí",IF(CR282&lt;=TOTAL_MAX+MARGEN_NEG,"negociar","no"))</f>
        <v/>
      </c>
      <c r="CU282" s="4">
        <f>IF(CT282&lt;&gt;"no",COUNTIFS($CT$2:$CT$545,"&lt;&gt;no",$CL$2:$CL$545,"&gt;"&amp;CL282)+COUNTIFS($CT$2:CT282,"&lt;&gt;no",$CL$2:CL282,CL282),"")</f>
        <v/>
      </c>
    </row>
    <row r="283">
      <c r="A283" s="2" t="inlineStr">
        <is>
          <t>wallapop:1318039860</t>
        </is>
      </c>
      <c r="B283" s="2" t="inlineStr">
        <is>
          <t>wallapop</t>
        </is>
      </c>
      <c r="C283" s="2" t="inlineStr">
        <is>
          <t>https://es.wallapop.com/item/peugeot-208-2015-1318039860</t>
        </is>
      </c>
      <c r="D283" s="2" t="inlineStr">
        <is>
          <t>Peugeot 208 2015</t>
        </is>
      </c>
      <c r="E283" s="2" t="inlineStr">
        <is>
          <t>Peugeot</t>
        </is>
      </c>
      <c r="F283" s="2" t="inlineStr">
        <is>
          <t>Peugeot 208</t>
        </is>
      </c>
      <c r="G283" s="2" t="inlineStr">
        <is>
          <t>1.2 PureTech</t>
        </is>
      </c>
      <c r="H283" s="2" t="inlineStr">
        <is>
          <t>1.2L PureTech 82 Access 5p</t>
        </is>
      </c>
      <c r="I283" s="2" t="n"/>
      <c r="J283" s="2" t="n">
        <v>82</v>
      </c>
      <c r="K283" s="2" t="inlineStr">
        <is>
          <t>gasolina</t>
        </is>
      </c>
      <c r="L283" s="2" t="inlineStr">
        <is>
          <t>utilitario</t>
        </is>
      </c>
      <c r="M283" s="2" t="n">
        <v>2015</v>
      </c>
      <c r="N283" s="2" t="n">
        <v>170000</v>
      </c>
      <c r="O283" s="2" t="n">
        <v>4700</v>
      </c>
      <c r="P283" s="2" t="inlineStr">
        <is>
          <t>manual</t>
        </is>
      </c>
      <c r="Q283" s="2" t="inlineStr">
        <is>
          <t>no</t>
        </is>
      </c>
      <c r="R283" s="2" t="inlineStr">
        <is>
          <t>particular</t>
        </is>
      </c>
      <c r="S283" s="2" t="inlineStr">
        <is>
          <t>Valencia (46001)</t>
        </is>
      </c>
      <c r="T283" s="2" t="inlineStr">
        <is>
          <t>2026-10-31T06:52:17</t>
        </is>
      </c>
      <c r="U283" s="2" t="n">
        <v>1</v>
      </c>
      <c r="V283" s="2" t="n"/>
      <c r="W283" s="2" t="n"/>
      <c r="X283" s="2" t="inlineStr">
        <is>
          <t>sí</t>
        </is>
      </c>
      <c r="Y283" s="2" t="n"/>
      <c r="Z283" s="2" t="n"/>
      <c r="AA283" s="2" t="n"/>
      <c r="AB283" s="2" t="n"/>
      <c r="AC283" s="2" t="n"/>
      <c r="AD283" s="2" t="n"/>
      <c r="AE283" s="2" t="n"/>
      <c r="AF283" s="2" t="n"/>
      <c r="AG283" s="2" t="n"/>
      <c r="AH283" s="2" t="n"/>
      <c r="AI283" s="2" t="n"/>
      <c r="AJ283" s="2" t="n"/>
      <c r="AK283" s="2" t="n"/>
      <c r="AL283" s="2" t="n"/>
      <c r="AM283" s="2" t="n">
        <v>0.8</v>
      </c>
      <c r="AN283" s="2" t="n"/>
      <c r="AO283" s="2" t="inlineStr">
        <is>
          <t>2015</t>
        </is>
      </c>
      <c r="AP283" s="2" t="n">
        <v>2015</v>
      </c>
      <c r="AQ283" s="2" t="n"/>
      <c r="AR283" s="2" t="n"/>
      <c r="AS283" s="2" t="inlineStr">
        <is>
          <t>regla</t>
        </is>
      </c>
      <c r="AT283" s="2" t="n">
        <v>4700</v>
      </c>
      <c r="AU283" s="2" t="n">
        <v>6</v>
      </c>
      <c r="AV283" s="2" t="inlineStr">
        <is>
          <t>modelo+año+km</t>
        </is>
      </c>
      <c r="AW283" s="2" t="inlineStr">
        <is>
          <t>cochesnet:71851274 (https://www.coches.net/peugeot-208-5p-style-12l-puretech-82-5p-gasolina-2015-en-valencia-71851274-covo.aspx); cochesnet:71851161 (https://www.coches.net/peugeot-208-5p-access-12l-puretech-82-5p-gasolina-2015-en-valencia-71851161-covo.aspx)</t>
        </is>
      </c>
      <c r="AX283" s="2" t="inlineStr">
        <is>
          <t>cuota fija ITP: &gt;5 y &lt;=12 años, hasta 1.500 cc</t>
        </is>
      </c>
      <c r="AY283" s="2" t="inlineStr">
        <is>
          <t xml:space="preserve">PEUGEOT 208 1.2 GASOLINA 82 CV – 2015
🔹 Año: 2015
🔹 Kilómetros: 170.000 km
🔹 Motor gasolina de 82 CV
🔹 5 puertas
✅ MUY BUEN ESTADO DE CONSERVACIÓN
Vehículo muy cuidado, con un importante mantenimiento realizado para su tranquilidad:
✔️ Distribución cambiada
✔️ Embrague cambiado
✔️ Bujías y bobinas cambiadas
✔️ Mantenimientos al día
Coche práctico, económico y cómodo para el día a día, ideal tanto para ciudad como para carretera. Destaca por su buen estado de conservación y por tener al día importantes trabajos de mantenimiento.
</t>
        </is>
      </c>
      <c r="AZ283" s="2" t="inlineStr">
        <is>
          <t>https://es.wallapop.com/item/peugeot-208-2015-1318039860 (__NEXT_DATA__ item) /home/user/Alopecia/buscador-coches/raw/wallapop/21f2cf36ead6c2d7.json</t>
        </is>
      </c>
      <c r="BA283" s="3">
        <f>MAX(ANIO_ACTUAL-M283,0)</f>
        <v/>
      </c>
      <c r="BB283" s="4">
        <f>N283/MAX(BA283,0.5)</f>
        <v/>
      </c>
      <c r="BC283" s="4">
        <f>F283</f>
        <v/>
      </c>
      <c r="BD283" s="3">
        <f>BC283&amp;"|"&amp;INT(M283/SEG_ANIO)*SEG_ANIO</f>
        <v/>
      </c>
      <c r="BE283" s="3">
        <f>BD283&amp;"|"&amp;INT(N283/SEG_KM)*SEG_KM</f>
        <v/>
      </c>
      <c r="BF283" s="4">
        <f>COUNTIF($BC$2:$BC$545,BC283)</f>
        <v/>
      </c>
      <c r="BG283" s="4">
        <f>COUNTIF($BD$2:$BD$545,BD283)</f>
        <v/>
      </c>
      <c r="BH283" s="4">
        <f>COUNTIF($BE$2:$BE$545,BE283)</f>
        <v/>
      </c>
      <c r="BI283" s="3">
        <f t="array" ref="BI283">IF(N(AU283)&gt;=MIN_N,AT283,IF(BH283&gt;=MIN_N,MEDIAN(IF($BE$2:$BE$545=BE283,$O$2:$O$545)),IF(BG283&gt;=MIN_N,MEDIAN(IF($BD$2:$BD$545=BD283,$O$2:$O$545)),MEDIAN(IF($BC$2:$BC$545=BC283,$O$2:$O$545)))))</f>
        <v/>
      </c>
      <c r="BJ283" s="3">
        <f>IF(N(AU283)&gt;=MIN_N,"mercado "&amp;AV283,IF(BH283&gt;=MIN_N,"modelo+año+km",IF(BG283&gt;=MIN_N,"modelo+año","modelo")))</f>
        <v/>
      </c>
      <c r="BK283" s="4">
        <f>(BI283-O283)/BI283</f>
        <v/>
      </c>
      <c r="BL283" s="3">
        <f>IF(COUNTIFS(FR_FUEL,K283,FR_YEAR,AP283)&gt;0,1,0)</f>
        <v/>
      </c>
      <c r="BM283" s="3">
        <f>IF(COUNTIFS(FR_FUEL,K283,FR_YEAR,AP283-1)&gt;0,1,0)</f>
        <v/>
      </c>
      <c r="BN283" s="4">
        <f>IF(N(AQ283)&gt;0,AP283*100+AQ283,IF(AND(BL283=1,BM283=1),(AP283-1)*100+1,AP283*100+1))</f>
        <v/>
      </c>
      <c r="BO283" s="3">
        <f>IF(OR(K283="hibrido",K283="glp",K283="gnc",K283="phev"),"ECO",IF(K283="electrico","CERO",IF(K283="gasolina",IF(BN283&gt;=GAS_C_YM,"C",IF(BN283&gt;=GAS_B_YM,"B","A")),IF(K283="diesel",IF(BN283&gt;=DIE_C_YM,"C",IF(BN283&gt;=DIE_B_YM,"B","A")),""))))</f>
        <v/>
      </c>
      <c r="BP283" s="4">
        <f>BO283</f>
        <v/>
      </c>
      <c r="BQ283" s="4">
        <f>IF(AS283="regla",IF(AND(N(AQ283)=0,BL283=1),"sí","no"),"no")</f>
        <v/>
      </c>
      <c r="BR283" s="3">
        <f>IFERROR(VLOOKUP(F283,MOD_TBL,11,0),IFERROR(VLOOKUP(E283,OCU_TBL,2,0),NEUTRO))</f>
        <v/>
      </c>
      <c r="BS283" s="3">
        <f>SUMIFS(MOT_AJUSTE,MOT_MOTOR,G283,MOT_MARCA,E283,MOT_DESDE,"&lt;="&amp;M283,MOT_HASTA,"&gt;="&amp;M283)+SUMIFS(MOT_AJUSTE,MOT_MOTOR,G283,MOT_MARCA,"(todas)",MOT_DESDE,"&lt;="&amp;M283,MOT_HASTA,"&gt;="&amp;M283)</f>
        <v/>
      </c>
      <c r="BT283" s="3">
        <f>SUMIFS(COMB_AJUSTE,COMB_COMB,K283)</f>
        <v/>
      </c>
      <c r="BU283" s="3">
        <f>COUNTIFS(MOT_MOTOR,G283,MOT_MARCA,E283,MOT_DESDE,"&lt;="&amp;M283,MOT_HASTA,"&gt;="&amp;M283)+COUNTIFS(MOT_MOTOR,G283,MOT_MARCA,"(todas)",MOT_DESDE,"&lt;="&amp;M283,MOT_HASTA,"&gt;="&amp;M283)</f>
        <v/>
      </c>
      <c r="BV283" s="3">
        <f>IF(AND(K283="diesel",BU283=0),MIN(BR283,NEUTRO),BR283)</f>
        <v/>
      </c>
      <c r="BW283" s="4">
        <f>MAX(0,MIN(100,BV283+BS283+BT283))</f>
        <v/>
      </c>
      <c r="BX283" s="3">
        <f>MAX(0,MIN(100,50+BK283*PRECIO_PEND))</f>
        <v/>
      </c>
      <c r="BY283" s="3">
        <f>MAX(0,100*(1-N283/KM_MAX))</f>
        <v/>
      </c>
      <c r="BZ283" s="3">
        <f>IF(BB283&lt;KMA_SOSP,IF(AA283="sí",100,KMA_PEN),IF(BB283&lt;=KMA_IDEAL_MAX,100,MAX(0,100*(KMA_CERO-BB283)/(KMA_CERO-KMA_IDEAL_MAX))))</f>
        <v/>
      </c>
      <c r="CA283" s="3">
        <f>MAX(0,MIN(100,100*(M283-ANIO_MIN)/(ANIO_ACTUAL-ANIO_MIN)))</f>
        <v/>
      </c>
      <c r="CB283" s="3">
        <f>W_KMT*BY283+W_KMA*BZ283+W_EDAD*CA283</f>
        <v/>
      </c>
      <c r="CC283" s="3">
        <f>P_ITV*(V283="sí")+P_LIBRO*(W283="sí")+P_CORREA*(X283="sí")+P_PROP*(Y283=1)+P_GAR*(Z283="sí")+P_FOTOS*MIN(1,N(U283)/FOTOS_OBJ)</f>
        <v/>
      </c>
      <c r="CD283" s="3">
        <f>MAX(0,MIN(100,IFERROR(VLOOKUP(BP283,ETQ_TBL,2,0),0)-IF(BQ283="sí",ETQ_PEN_DUD,IF(AS283="regla",ETQ_PEN_REGLA,0))))</f>
        <v/>
      </c>
      <c r="CE283" s="3">
        <f>NEUTRO</f>
        <v/>
      </c>
      <c r="CF283" s="3">
        <f>IFERROR(VLOOKUP(L283,SEGURO_TBL,3,0),"")</f>
        <v/>
      </c>
      <c r="CG283" s="3">
        <f>IF(CF283="",NEUTRO,MAX(0,MIN(100,100*(SEG_REF_MAX-CF283)/(SEG_REF_MAX-SEG_REF_MIN))))</f>
        <v/>
      </c>
      <c r="CH283" s="3">
        <f>W_CONS*CE283+W_SEG*CG283</f>
        <v/>
      </c>
      <c r="CI283" s="3">
        <f>IF(N(AB283)&gt;0,AB283,IF(AND(R283="profesional",SG_LEGAL_ON=1),GAR_LEGAL,0))</f>
        <v/>
      </c>
      <c r="CJ283" s="3">
        <f>SG_GAR*MIN(1,CI283/SG_GAR_FULL)+SG_AMPL*(AC283="sí")+SG_KMC*(AF283="sí")+SG_REV*(N(AE283)&gt;0)+SG_DEV*MIN(1,N(AG283)/SG_DEV_FULL)+SG_HIST*(W283="sí")</f>
        <v/>
      </c>
      <c r="CK283" s="3">
        <f>IFERROR(VLOOKUP(L283,CARR_PEN_TBL,2,0),0)</f>
        <v/>
      </c>
      <c r="CL283" s="3">
        <f>W_FIAB*BW283+W_PRECIO*BX283+W_KMEDAD*CB283+W_ANUNCIO*CC283+W_USO*CH283+W_SEGURIDAD*CJ283+W_ETIQUETA*CD283-CK283</f>
        <v/>
      </c>
      <c r="CM283" s="4">
        <f>IF(N(I283)&gt;0,I283,IFERROR(ROUND(_xlfn.NUMBERVALUE(LEFT(G283,FIND(" ",G283&amp;" ")-1),".")*1000,0),99999))</f>
        <v/>
      </c>
      <c r="CN283" s="3">
        <f>IF(R283="profesional",0,IF(O283&lt;CUOTA_VALOR_MAX,IF(BA283&gt;ITP_TRAMO_ALTO,SUMIFS(CF_CUOTA,CF_MAS,ITP_TRAMO_ALTO,CF_CCMIN,"&lt;="&amp;CM283,CF_CCMAX,"&gt;="&amp;CM283),IF(BA283&gt;ITP_TRAMO_BAJO,SUMIFS(CF_CUOTA,CF_MAS,ITP_TRAMO_BAJO,CF_CCMIN,"&lt;="&amp;CM283,CF_CCMAX,"&gt;="&amp;CM283),O283*ITP_TIPO)),O283*ITP_TIPO))</f>
        <v/>
      </c>
      <c r="CO283" s="4">
        <f>IF(R283="profesional",N(AK283),0)</f>
        <v/>
      </c>
      <c r="CP283" s="3">
        <f>IF(AND(R283="profesional",ISNUMBER(AK283),AL283="sí"),0,TASA_DGT)</f>
        <v/>
      </c>
      <c r="CQ283" s="3">
        <f>INFORME_DGT</f>
        <v/>
      </c>
      <c r="CR283" s="4">
        <f>O283+CO283+CN283+CP283+CQ283</f>
        <v/>
      </c>
      <c r="CS283" s="4">
        <f>CR283+N(CF283)</f>
        <v/>
      </c>
      <c r="CT283" s="3">
        <f>IF(CR283&lt;=TOTAL_MAX,"sí",IF(CR283&lt;=TOTAL_MAX+MARGEN_NEG,"negociar","no"))</f>
        <v/>
      </c>
      <c r="CU283" s="4">
        <f>IF(CT283&lt;&gt;"no",COUNTIFS($CT$2:$CT$545,"&lt;&gt;no",$CL$2:$CL$545,"&gt;"&amp;CL283)+COUNTIFS($CT$2:CT283,"&lt;&gt;no",$CL$2:CL283,CL283),"")</f>
        <v/>
      </c>
    </row>
    <row r="284">
      <c r="A284" s="2" t="inlineStr">
        <is>
          <t>wallapop:1317356046</t>
        </is>
      </c>
      <c r="B284" s="2" t="inlineStr">
        <is>
          <t>wallapop</t>
        </is>
      </c>
      <c r="C284" s="2" t="inlineStr">
        <is>
          <t>https://es.wallapop.com/item/peugeot-208-2013-1317356046</t>
        </is>
      </c>
      <c r="D284" s="2" t="inlineStr">
        <is>
          <t>Peugeot 208 2013</t>
        </is>
      </c>
      <c r="E284" s="2" t="inlineStr">
        <is>
          <t>Peugeot</t>
        </is>
      </c>
      <c r="F284" s="2" t="inlineStr">
        <is>
          <t>Peugeot 208</t>
        </is>
      </c>
      <c r="G284" s="2" t="inlineStr">
        <is>
          <t>1.4 HDi</t>
        </is>
      </c>
      <c r="H284" s="2" t="inlineStr">
        <is>
          <t>1.4 HDi 68 Allure 5p</t>
        </is>
      </c>
      <c r="I284" s="2" t="n"/>
      <c r="J284" s="2" t="n">
        <v>68</v>
      </c>
      <c r="K284" s="2" t="inlineStr">
        <is>
          <t>gasolina</t>
        </is>
      </c>
      <c r="L284" s="2" t="inlineStr">
        <is>
          <t>utilitario</t>
        </is>
      </c>
      <c r="M284" s="2" t="n">
        <v>2013</v>
      </c>
      <c r="N284" s="2" t="n">
        <v>135000</v>
      </c>
      <c r="O284" s="2" t="n">
        <v>4800</v>
      </c>
      <c r="P284" s="2" t="inlineStr">
        <is>
          <t>manual</t>
        </is>
      </c>
      <c r="Q284" s="2" t="inlineStr">
        <is>
          <t>no</t>
        </is>
      </c>
      <c r="R284" s="2" t="inlineStr">
        <is>
          <t>particular</t>
        </is>
      </c>
      <c r="S284" s="2" t="inlineStr">
        <is>
          <t>Valencia (46002)</t>
        </is>
      </c>
      <c r="T284" s="2" t="inlineStr">
        <is>
          <t>2026-10-26T11:15:36</t>
        </is>
      </c>
      <c r="U284" s="2" t="n">
        <v>7</v>
      </c>
      <c r="V284" s="2" t="n"/>
      <c r="W284" s="2" t="n"/>
      <c r="X284" s="2" t="n"/>
      <c r="Y284" s="2" t="n"/>
      <c r="Z284" s="2" t="n"/>
      <c r="AA284" s="2" t="n"/>
      <c r="AB284" s="2" t="n"/>
      <c r="AC284" s="2" t="n"/>
      <c r="AD284" s="2" t="n"/>
      <c r="AE284" s="2" t="n"/>
      <c r="AF284" s="2" t="n"/>
      <c r="AG284" s="2" t="n"/>
      <c r="AH284" s="2" t="n"/>
      <c r="AI284" s="2" t="n"/>
      <c r="AJ284" s="2" t="n"/>
      <c r="AK284" s="2" t="n"/>
      <c r="AL284" s="2" t="n"/>
      <c r="AM284" s="2" t="n">
        <v>0.9</v>
      </c>
      <c r="AN284" s="2" t="n"/>
      <c r="AO284" s="2" t="inlineStr">
        <is>
          <t>2013</t>
        </is>
      </c>
      <c r="AP284" s="2" t="n">
        <v>2013</v>
      </c>
      <c r="AQ284" s="2" t="n"/>
      <c r="AR284" s="2" t="n"/>
      <c r="AS284" s="2" t="inlineStr">
        <is>
          <t>regla</t>
        </is>
      </c>
      <c r="AT284" s="2" t="n">
        <v>5990</v>
      </c>
      <c r="AU284" s="2" t="n">
        <v>17</v>
      </c>
      <c r="AV284" s="2" t="inlineStr">
        <is>
          <t>modelo+año+km</t>
        </is>
      </c>
      <c r="AW284" s="2" t="n"/>
      <c r="AX284" s="2" t="inlineStr">
        <is>
          <t>antigüedad en el límite del tramo: depende de la fecha exacta de matriculación; cuota fija ITP: &gt;12 años, hasta 1.500 cc</t>
        </is>
      </c>
      <c r="AY284" s="2" t="inlineStr">
        <is>
          <t xml:space="preserve">Todos sus servicios recien echos 2013 itv vigente 135mil klm gasolina etiqueta C le funciona todo esta a toda pruba listo para viajar </t>
        </is>
      </c>
      <c r="AZ284" s="2" t="inlineStr">
        <is>
          <t>https://es.wallapop.com/item/peugeot-208-2013-1317356046 (__NEXT_DATA__ item) /home/user/Alopecia/buscador-coches/raw/wallapop/cd39bbd936322221.json</t>
        </is>
      </c>
      <c r="BA284" s="3">
        <f>MAX(ANIO_ACTUAL-M284,0)</f>
        <v/>
      </c>
      <c r="BB284" s="4">
        <f>N284/MAX(BA284,0.5)</f>
        <v/>
      </c>
      <c r="BC284" s="4">
        <f>F284</f>
        <v/>
      </c>
      <c r="BD284" s="3">
        <f>BC284&amp;"|"&amp;INT(M284/SEG_ANIO)*SEG_ANIO</f>
        <v/>
      </c>
      <c r="BE284" s="3">
        <f>BD284&amp;"|"&amp;INT(N284/SEG_KM)*SEG_KM</f>
        <v/>
      </c>
      <c r="BF284" s="4">
        <f>COUNTIF($BC$2:$BC$545,BC284)</f>
        <v/>
      </c>
      <c r="BG284" s="4">
        <f>COUNTIF($BD$2:$BD$545,BD284)</f>
        <v/>
      </c>
      <c r="BH284" s="4">
        <f>COUNTIF($BE$2:$BE$545,BE284)</f>
        <v/>
      </c>
      <c r="BI284" s="3">
        <f t="array" ref="BI284">IF(N(AU284)&gt;=MIN_N,AT284,IF(BH284&gt;=MIN_N,MEDIAN(IF($BE$2:$BE$545=BE284,$O$2:$O$545)),IF(BG284&gt;=MIN_N,MEDIAN(IF($BD$2:$BD$545=BD284,$O$2:$O$545)),MEDIAN(IF($BC$2:$BC$545=BC284,$O$2:$O$545)))))</f>
        <v/>
      </c>
      <c r="BJ284" s="3">
        <f>IF(N(AU284)&gt;=MIN_N,"mercado "&amp;AV284,IF(BH284&gt;=MIN_N,"modelo+año+km",IF(BG284&gt;=MIN_N,"modelo+año","modelo")))</f>
        <v/>
      </c>
      <c r="BK284" s="4">
        <f>(BI284-O284)/BI284</f>
        <v/>
      </c>
      <c r="BL284" s="3">
        <f>IF(COUNTIFS(FR_FUEL,K284,FR_YEAR,AP284)&gt;0,1,0)</f>
        <v/>
      </c>
      <c r="BM284" s="3">
        <f>IF(COUNTIFS(FR_FUEL,K284,FR_YEAR,AP284-1)&gt;0,1,0)</f>
        <v/>
      </c>
      <c r="BN284" s="4">
        <f>IF(N(AQ284)&gt;0,AP284*100+AQ284,IF(AND(BL284=1,BM284=1),(AP284-1)*100+1,AP284*100+1))</f>
        <v/>
      </c>
      <c r="BO284" s="3">
        <f>IF(OR(K284="hibrido",K284="glp",K284="gnc",K284="phev"),"ECO",IF(K284="electrico","CERO",IF(K284="gasolina",IF(BN284&gt;=GAS_C_YM,"C",IF(BN284&gt;=GAS_B_YM,"B","A")),IF(K284="diesel",IF(BN284&gt;=DIE_C_YM,"C",IF(BN284&gt;=DIE_B_YM,"B","A")),""))))</f>
        <v/>
      </c>
      <c r="BP284" s="4">
        <f>BO284</f>
        <v/>
      </c>
      <c r="BQ284" s="4">
        <f>IF(AS284="regla",IF(AND(N(AQ284)=0,BL284=1),"sí","no"),"no")</f>
        <v/>
      </c>
      <c r="BR284" s="3">
        <f>IFERROR(VLOOKUP(F284,MOD_TBL,11,0),IFERROR(VLOOKUP(E284,OCU_TBL,2,0),NEUTRO))</f>
        <v/>
      </c>
      <c r="BS284" s="3">
        <f>SUMIFS(MOT_AJUSTE,MOT_MOTOR,G284,MOT_MARCA,E284,MOT_DESDE,"&lt;="&amp;M284,MOT_HASTA,"&gt;="&amp;M284)+SUMIFS(MOT_AJUSTE,MOT_MOTOR,G284,MOT_MARCA,"(todas)",MOT_DESDE,"&lt;="&amp;M284,MOT_HASTA,"&gt;="&amp;M284)</f>
        <v/>
      </c>
      <c r="BT284" s="3">
        <f>SUMIFS(COMB_AJUSTE,COMB_COMB,K284)</f>
        <v/>
      </c>
      <c r="BU284" s="3">
        <f>COUNTIFS(MOT_MOTOR,G284,MOT_MARCA,E284,MOT_DESDE,"&lt;="&amp;M284,MOT_HASTA,"&gt;="&amp;M284)+COUNTIFS(MOT_MOTOR,G284,MOT_MARCA,"(todas)",MOT_DESDE,"&lt;="&amp;M284,MOT_HASTA,"&gt;="&amp;M284)</f>
        <v/>
      </c>
      <c r="BV284" s="3">
        <f>IF(AND(K284="diesel",BU284=0),MIN(BR284,NEUTRO),BR284)</f>
        <v/>
      </c>
      <c r="BW284" s="4">
        <f>MAX(0,MIN(100,BV284+BS284+BT284))</f>
        <v/>
      </c>
      <c r="BX284" s="3">
        <f>MAX(0,MIN(100,50+BK284*PRECIO_PEND))</f>
        <v/>
      </c>
      <c r="BY284" s="3">
        <f>MAX(0,100*(1-N284/KM_MAX))</f>
        <v/>
      </c>
      <c r="BZ284" s="3">
        <f>IF(BB284&lt;KMA_SOSP,IF(AA284="sí",100,KMA_PEN),IF(BB284&lt;=KMA_IDEAL_MAX,100,MAX(0,100*(KMA_CERO-BB284)/(KMA_CERO-KMA_IDEAL_MAX))))</f>
        <v/>
      </c>
      <c r="CA284" s="3">
        <f>MAX(0,MIN(100,100*(M284-ANIO_MIN)/(ANIO_ACTUAL-ANIO_MIN)))</f>
        <v/>
      </c>
      <c r="CB284" s="3">
        <f>W_KMT*BY284+W_KMA*BZ284+W_EDAD*CA284</f>
        <v/>
      </c>
      <c r="CC284" s="3">
        <f>P_ITV*(V284="sí")+P_LIBRO*(W284="sí")+P_CORREA*(X284="sí")+P_PROP*(Y284=1)+P_GAR*(Z284="sí")+P_FOTOS*MIN(1,N(U284)/FOTOS_OBJ)</f>
        <v/>
      </c>
      <c r="CD284" s="3">
        <f>MAX(0,MIN(100,IFERROR(VLOOKUP(BP284,ETQ_TBL,2,0),0)-IF(BQ284="sí",ETQ_PEN_DUD,IF(AS284="regla",ETQ_PEN_REGLA,0))))</f>
        <v/>
      </c>
      <c r="CE284" s="3">
        <f>NEUTRO</f>
        <v/>
      </c>
      <c r="CF284" s="3">
        <f>IFERROR(VLOOKUP(L284,SEGURO_TBL,3,0),"")</f>
        <v/>
      </c>
      <c r="CG284" s="3">
        <f>IF(CF284="",NEUTRO,MAX(0,MIN(100,100*(SEG_REF_MAX-CF284)/(SEG_REF_MAX-SEG_REF_MIN))))</f>
        <v/>
      </c>
      <c r="CH284" s="3">
        <f>W_CONS*CE284+W_SEG*CG284</f>
        <v/>
      </c>
      <c r="CI284" s="3">
        <f>IF(N(AB284)&gt;0,AB284,IF(AND(R284="profesional",SG_LEGAL_ON=1),GAR_LEGAL,0))</f>
        <v/>
      </c>
      <c r="CJ284" s="3">
        <f>SG_GAR*MIN(1,CI284/SG_GAR_FULL)+SG_AMPL*(AC284="sí")+SG_KMC*(AF284="sí")+SG_REV*(N(AE284)&gt;0)+SG_DEV*MIN(1,N(AG284)/SG_DEV_FULL)+SG_HIST*(W284="sí")</f>
        <v/>
      </c>
      <c r="CK284" s="3">
        <f>IFERROR(VLOOKUP(L284,CARR_PEN_TBL,2,0),0)</f>
        <v/>
      </c>
      <c r="CL284" s="3">
        <f>W_FIAB*BW284+W_PRECIO*BX284+W_KMEDAD*CB284+W_ANUNCIO*CC284+W_USO*CH284+W_SEGURIDAD*CJ284+W_ETIQUETA*CD284-CK284</f>
        <v/>
      </c>
      <c r="CM284" s="4">
        <f>IF(N(I284)&gt;0,I284,IFERROR(ROUND(_xlfn.NUMBERVALUE(LEFT(G284,FIND(" ",G284&amp;" ")-1),".")*1000,0),99999))</f>
        <v/>
      </c>
      <c r="CN284" s="3">
        <f>IF(R284="profesional",0,IF(O284&lt;CUOTA_VALOR_MAX,IF(BA284&gt;ITP_TRAMO_ALTO,SUMIFS(CF_CUOTA,CF_MAS,ITP_TRAMO_ALTO,CF_CCMIN,"&lt;="&amp;CM284,CF_CCMAX,"&gt;="&amp;CM284),IF(BA284&gt;ITP_TRAMO_BAJO,SUMIFS(CF_CUOTA,CF_MAS,ITP_TRAMO_BAJO,CF_CCMIN,"&lt;="&amp;CM284,CF_CCMAX,"&gt;="&amp;CM284),O284*ITP_TIPO)),O284*ITP_TIPO))</f>
        <v/>
      </c>
      <c r="CO284" s="4">
        <f>IF(R284="profesional",N(AK284),0)</f>
        <v/>
      </c>
      <c r="CP284" s="3">
        <f>IF(AND(R284="profesional",ISNUMBER(AK284),AL284="sí"),0,TASA_DGT)</f>
        <v/>
      </c>
      <c r="CQ284" s="3">
        <f>INFORME_DGT</f>
        <v/>
      </c>
      <c r="CR284" s="4">
        <f>O284+CO284+CN284+CP284+CQ284</f>
        <v/>
      </c>
      <c r="CS284" s="4">
        <f>CR284+N(CF284)</f>
        <v/>
      </c>
      <c r="CT284" s="3">
        <f>IF(CR284&lt;=TOTAL_MAX,"sí",IF(CR284&lt;=TOTAL_MAX+MARGEN_NEG,"negociar","no"))</f>
        <v/>
      </c>
      <c r="CU284" s="4">
        <f>IF(CT284&lt;&gt;"no",COUNTIFS($CT$2:$CT$545,"&lt;&gt;no",$CL$2:$CL$545,"&gt;"&amp;CL284)+COUNTIFS($CT$2:CT284,"&lt;&gt;no",$CL$2:CL284,CL284),"")</f>
        <v/>
      </c>
    </row>
    <row r="285">
      <c r="A285" s="2" t="inlineStr">
        <is>
          <t>wallapop:1318714261</t>
        </is>
      </c>
      <c r="B285" s="2" t="inlineStr">
        <is>
          <t>wallapop</t>
        </is>
      </c>
      <c r="C285" s="2" t="inlineStr">
        <is>
          <t>https://es.wallapop.com/item/citroen-c4-2007-1318714261</t>
        </is>
      </c>
      <c r="D285" s="2" t="inlineStr">
        <is>
          <t>Citroen C4 2007</t>
        </is>
      </c>
      <c r="E285" s="2" t="inlineStr">
        <is>
          <t>Citroën</t>
        </is>
      </c>
      <c r="F285" s="2" t="inlineStr">
        <is>
          <t>Citroën C4</t>
        </is>
      </c>
      <c r="G285" s="2" t="inlineStr">
        <is>
          <t>1.4</t>
        </is>
      </c>
      <c r="H285" s="2" t="inlineStr">
        <is>
          <t>1.4i 16v 90 LX 5p</t>
        </is>
      </c>
      <c r="I285" s="2" t="n"/>
      <c r="J285" s="2" t="n">
        <v>90</v>
      </c>
      <c r="K285" s="2" t="inlineStr">
        <is>
          <t>gasolina</t>
        </is>
      </c>
      <c r="L285" s="2" t="inlineStr">
        <is>
          <t>compacto</t>
        </is>
      </c>
      <c r="M285" s="2" t="n">
        <v>2007</v>
      </c>
      <c r="N285" s="2" t="n">
        <v>175000</v>
      </c>
      <c r="O285" s="2" t="n">
        <v>3200</v>
      </c>
      <c r="P285" s="2" t="inlineStr">
        <is>
          <t>manual</t>
        </is>
      </c>
      <c r="Q285" s="2" t="inlineStr">
        <is>
          <t>no</t>
        </is>
      </c>
      <c r="R285" s="2" t="inlineStr">
        <is>
          <t>particular</t>
        </is>
      </c>
      <c r="S285" s="2" t="inlineStr">
        <is>
          <t>Valencia (46009)</t>
        </is>
      </c>
      <c r="T285" s="2" t="inlineStr">
        <is>
          <t>2026-10-30T10:20:37</t>
        </is>
      </c>
      <c r="U285" s="2" t="n">
        <v>5</v>
      </c>
      <c r="V285" s="2" t="n"/>
      <c r="W285" s="2" t="n"/>
      <c r="X285" s="2" t="n"/>
      <c r="Y285" s="2" t="n"/>
      <c r="Z285" s="2" t="n"/>
      <c r="AA285" s="2" t="n"/>
      <c r="AB285" s="2" t="n"/>
      <c r="AC285" s="2" t="n"/>
      <c r="AD285" s="2" t="n"/>
      <c r="AE285" s="2" t="n"/>
      <c r="AF285" s="2" t="n"/>
      <c r="AG285" s="2" t="n"/>
      <c r="AH285" s="2" t="n"/>
      <c r="AI285" s="2" t="n"/>
      <c r="AJ285" s="2" t="n"/>
      <c r="AK285" s="2" t="n"/>
      <c r="AL285" s="2" t="n"/>
      <c r="AM285" s="2" t="n">
        <v>0.9</v>
      </c>
      <c r="AN285" s="2" t="n"/>
      <c r="AO285" s="2" t="inlineStr">
        <is>
          <t>2007</t>
        </is>
      </c>
      <c r="AP285" s="2" t="n">
        <v>2007</v>
      </c>
      <c r="AQ285" s="2" t="n"/>
      <c r="AR285" s="2" t="n"/>
      <c r="AS285" s="2" t="inlineStr">
        <is>
          <t>regla</t>
        </is>
      </c>
      <c r="AT285" s="2" t="n">
        <v>3500</v>
      </c>
      <c r="AU285" s="2" t="n">
        <v>11</v>
      </c>
      <c r="AV285" s="2" t="inlineStr">
        <is>
          <t>modelo+año+km</t>
        </is>
      </c>
      <c r="AW285" s="2" t="n"/>
      <c r="AX285" s="2" t="inlineStr">
        <is>
          <t>cuota fija ITP: &gt;12 años, hasta 1.500 cc; fiabilidad del modelo PENDIENTE de fuente (puntuación neutra)</t>
        </is>
      </c>
      <c r="AY285" s="2" t="inlineStr">
        <is>
          <t xml:space="preserve">
Citroen C4 en Valencia</t>
        </is>
      </c>
      <c r="AZ285" s="2" t="inlineStr">
        <is>
          <t>https://es.wallapop.com/item/citroen-c4-2007-1318714261 (__NEXT_DATA__ item) /home/user/Alopecia/buscador-coches/raw/wallapop/21a57727d02512b5.json</t>
        </is>
      </c>
      <c r="BA285" s="3">
        <f>MAX(ANIO_ACTUAL-M285,0)</f>
        <v/>
      </c>
      <c r="BB285" s="4">
        <f>N285/MAX(BA285,0.5)</f>
        <v/>
      </c>
      <c r="BC285" s="4">
        <f>F285</f>
        <v/>
      </c>
      <c r="BD285" s="3">
        <f>BC285&amp;"|"&amp;INT(M285/SEG_ANIO)*SEG_ANIO</f>
        <v/>
      </c>
      <c r="BE285" s="3">
        <f>BD285&amp;"|"&amp;INT(N285/SEG_KM)*SEG_KM</f>
        <v/>
      </c>
      <c r="BF285" s="4">
        <f>COUNTIF($BC$2:$BC$545,BC285)</f>
        <v/>
      </c>
      <c r="BG285" s="4">
        <f>COUNTIF($BD$2:$BD$545,BD285)</f>
        <v/>
      </c>
      <c r="BH285" s="4">
        <f>COUNTIF($BE$2:$BE$545,BE285)</f>
        <v/>
      </c>
      <c r="BI285" s="3">
        <f t="array" ref="BI285">IF(N(AU285)&gt;=MIN_N,AT285,IF(BH285&gt;=MIN_N,MEDIAN(IF($BE$2:$BE$545=BE285,$O$2:$O$545)),IF(BG285&gt;=MIN_N,MEDIAN(IF($BD$2:$BD$545=BD285,$O$2:$O$545)),MEDIAN(IF($BC$2:$BC$545=BC285,$O$2:$O$545)))))</f>
        <v/>
      </c>
      <c r="BJ285" s="3">
        <f>IF(N(AU285)&gt;=MIN_N,"mercado "&amp;AV285,IF(BH285&gt;=MIN_N,"modelo+año+km",IF(BG285&gt;=MIN_N,"modelo+año","modelo")))</f>
        <v/>
      </c>
      <c r="BK285" s="4">
        <f>(BI285-O285)/BI285</f>
        <v/>
      </c>
      <c r="BL285" s="3">
        <f>IF(COUNTIFS(FR_FUEL,K285,FR_YEAR,AP285)&gt;0,1,0)</f>
        <v/>
      </c>
      <c r="BM285" s="3">
        <f>IF(COUNTIFS(FR_FUEL,K285,FR_YEAR,AP285-1)&gt;0,1,0)</f>
        <v/>
      </c>
      <c r="BN285" s="4">
        <f>IF(N(AQ285)&gt;0,AP285*100+AQ285,IF(AND(BL285=1,BM285=1),(AP285-1)*100+1,AP285*100+1))</f>
        <v/>
      </c>
      <c r="BO285" s="3">
        <f>IF(OR(K285="hibrido",K285="glp",K285="gnc",K285="phev"),"ECO",IF(K285="electrico","CERO",IF(K285="gasolina",IF(BN285&gt;=GAS_C_YM,"C",IF(BN285&gt;=GAS_B_YM,"B","A")),IF(K285="diesel",IF(BN285&gt;=DIE_C_YM,"C",IF(BN285&gt;=DIE_B_YM,"B","A")),""))))</f>
        <v/>
      </c>
      <c r="BP285" s="4">
        <f>BO285</f>
        <v/>
      </c>
      <c r="BQ285" s="4">
        <f>IF(AS285="regla",IF(AND(N(AQ285)=0,BL285=1),"sí","no"),"no")</f>
        <v/>
      </c>
      <c r="BR285" s="3">
        <f>IFERROR(VLOOKUP(F285,MOD_TBL,11,0),IFERROR(VLOOKUP(E285,OCU_TBL,2,0),NEUTRO))</f>
        <v/>
      </c>
      <c r="BS285" s="3">
        <f>SUMIFS(MOT_AJUSTE,MOT_MOTOR,G285,MOT_MARCA,E285,MOT_DESDE,"&lt;="&amp;M285,MOT_HASTA,"&gt;="&amp;M285)+SUMIFS(MOT_AJUSTE,MOT_MOTOR,G285,MOT_MARCA,"(todas)",MOT_DESDE,"&lt;="&amp;M285,MOT_HASTA,"&gt;="&amp;M285)</f>
        <v/>
      </c>
      <c r="BT285" s="3">
        <f>SUMIFS(COMB_AJUSTE,COMB_COMB,K285)</f>
        <v/>
      </c>
      <c r="BU285" s="3">
        <f>COUNTIFS(MOT_MOTOR,G285,MOT_MARCA,E285,MOT_DESDE,"&lt;="&amp;M285,MOT_HASTA,"&gt;="&amp;M285)+COUNTIFS(MOT_MOTOR,G285,MOT_MARCA,"(todas)",MOT_DESDE,"&lt;="&amp;M285,MOT_HASTA,"&gt;="&amp;M285)</f>
        <v/>
      </c>
      <c r="BV285" s="3">
        <f>IF(AND(K285="diesel",BU285=0),MIN(BR285,NEUTRO),BR285)</f>
        <v/>
      </c>
      <c r="BW285" s="4">
        <f>MAX(0,MIN(100,BV285+BS285+BT285))</f>
        <v/>
      </c>
      <c r="BX285" s="3">
        <f>MAX(0,MIN(100,50+BK285*PRECIO_PEND))</f>
        <v/>
      </c>
      <c r="BY285" s="3">
        <f>MAX(0,100*(1-N285/KM_MAX))</f>
        <v/>
      </c>
      <c r="BZ285" s="3">
        <f>IF(BB285&lt;KMA_SOSP,IF(AA285="sí",100,KMA_PEN),IF(BB285&lt;=KMA_IDEAL_MAX,100,MAX(0,100*(KMA_CERO-BB285)/(KMA_CERO-KMA_IDEAL_MAX))))</f>
        <v/>
      </c>
      <c r="CA285" s="3">
        <f>MAX(0,MIN(100,100*(M285-ANIO_MIN)/(ANIO_ACTUAL-ANIO_MIN)))</f>
        <v/>
      </c>
      <c r="CB285" s="3">
        <f>W_KMT*BY285+W_KMA*BZ285+W_EDAD*CA285</f>
        <v/>
      </c>
      <c r="CC285" s="3">
        <f>P_ITV*(V285="sí")+P_LIBRO*(W285="sí")+P_CORREA*(X285="sí")+P_PROP*(Y285=1)+P_GAR*(Z285="sí")+P_FOTOS*MIN(1,N(U285)/FOTOS_OBJ)</f>
        <v/>
      </c>
      <c r="CD285" s="3">
        <f>MAX(0,MIN(100,IFERROR(VLOOKUP(BP285,ETQ_TBL,2,0),0)-IF(BQ285="sí",ETQ_PEN_DUD,IF(AS285="regla",ETQ_PEN_REGLA,0))))</f>
        <v/>
      </c>
      <c r="CE285" s="3">
        <f>NEUTRO</f>
        <v/>
      </c>
      <c r="CF285" s="3">
        <f>IFERROR(VLOOKUP(L285,SEGURO_TBL,3,0),"")</f>
        <v/>
      </c>
      <c r="CG285" s="3">
        <f>IF(CF285="",NEUTRO,MAX(0,MIN(100,100*(SEG_REF_MAX-CF285)/(SEG_REF_MAX-SEG_REF_MIN))))</f>
        <v/>
      </c>
      <c r="CH285" s="3">
        <f>W_CONS*CE285+W_SEG*CG285</f>
        <v/>
      </c>
      <c r="CI285" s="3">
        <f>IF(N(AB285)&gt;0,AB285,IF(AND(R285="profesional",SG_LEGAL_ON=1),GAR_LEGAL,0))</f>
        <v/>
      </c>
      <c r="CJ285" s="3">
        <f>SG_GAR*MIN(1,CI285/SG_GAR_FULL)+SG_AMPL*(AC285="sí")+SG_KMC*(AF285="sí")+SG_REV*(N(AE285)&gt;0)+SG_DEV*MIN(1,N(AG285)/SG_DEV_FULL)+SG_HIST*(W285="sí")</f>
        <v/>
      </c>
      <c r="CK285" s="3">
        <f>IFERROR(VLOOKUP(L285,CARR_PEN_TBL,2,0),0)</f>
        <v/>
      </c>
      <c r="CL285" s="3">
        <f>W_FIAB*BW285+W_PRECIO*BX285+W_KMEDAD*CB285+W_ANUNCIO*CC285+W_USO*CH285+W_SEGURIDAD*CJ285+W_ETIQUETA*CD285-CK285</f>
        <v/>
      </c>
      <c r="CM285" s="4">
        <f>IF(N(I285)&gt;0,I285,IFERROR(ROUND(_xlfn.NUMBERVALUE(LEFT(G285,FIND(" ",G285&amp;" ")-1),".")*1000,0),99999))</f>
        <v/>
      </c>
      <c r="CN285" s="3">
        <f>IF(R285="profesional",0,IF(O285&lt;CUOTA_VALOR_MAX,IF(BA285&gt;ITP_TRAMO_ALTO,SUMIFS(CF_CUOTA,CF_MAS,ITP_TRAMO_ALTO,CF_CCMIN,"&lt;="&amp;CM285,CF_CCMAX,"&gt;="&amp;CM285),IF(BA285&gt;ITP_TRAMO_BAJO,SUMIFS(CF_CUOTA,CF_MAS,ITP_TRAMO_BAJO,CF_CCMIN,"&lt;="&amp;CM285,CF_CCMAX,"&gt;="&amp;CM285),O285*ITP_TIPO)),O285*ITP_TIPO))</f>
        <v/>
      </c>
      <c r="CO285" s="4">
        <f>IF(R285="profesional",N(AK285),0)</f>
        <v/>
      </c>
      <c r="CP285" s="3">
        <f>IF(AND(R285="profesional",ISNUMBER(AK285),AL285="sí"),0,TASA_DGT)</f>
        <v/>
      </c>
      <c r="CQ285" s="3">
        <f>INFORME_DGT</f>
        <v/>
      </c>
      <c r="CR285" s="4">
        <f>O285+CO285+CN285+CP285+CQ285</f>
        <v/>
      </c>
      <c r="CS285" s="4">
        <f>CR285+N(CF285)</f>
        <v/>
      </c>
      <c r="CT285" s="3">
        <f>IF(CR285&lt;=TOTAL_MAX,"sí",IF(CR285&lt;=TOTAL_MAX+MARGEN_NEG,"negociar","no"))</f>
        <v/>
      </c>
      <c r="CU285" s="4">
        <f>IF(CT285&lt;&gt;"no",COUNTIFS($CT$2:$CT$545,"&lt;&gt;no",$CL$2:$CL$545,"&gt;"&amp;CL285)+COUNTIFS($CT$2:CT285,"&lt;&gt;no",$CL$2:CL285,CL285),"")</f>
        <v/>
      </c>
    </row>
    <row r="286">
      <c r="A286" s="2" t="inlineStr">
        <is>
          <t>wallapop:1318079600</t>
        </is>
      </c>
      <c r="B286" s="2" t="inlineStr">
        <is>
          <t>wallapop</t>
        </is>
      </c>
      <c r="C286" s="2" t="inlineStr">
        <is>
          <t>https://es.wallapop.com/item/citroen-c4-2007-1318079600</t>
        </is>
      </c>
      <c r="D286" s="2" t="inlineStr">
        <is>
          <t>Citroen C4 2007</t>
        </is>
      </c>
      <c r="E286" s="2" t="inlineStr">
        <is>
          <t>Citroën</t>
        </is>
      </c>
      <c r="F286" s="2" t="inlineStr">
        <is>
          <t>Citroën C4</t>
        </is>
      </c>
      <c r="G286" s="2" t="inlineStr">
        <is>
          <t>1.4</t>
        </is>
      </c>
      <c r="H286" s="2" t="inlineStr">
        <is>
          <t>1.4i 16v 90 Collection 5p</t>
        </is>
      </c>
      <c r="I286" s="2" t="n"/>
      <c r="J286" s="2" t="n">
        <v>90</v>
      </c>
      <c r="K286" s="2" t="inlineStr">
        <is>
          <t>gasolina</t>
        </is>
      </c>
      <c r="L286" s="2" t="inlineStr">
        <is>
          <t>compacto</t>
        </is>
      </c>
      <c r="M286" s="2" t="n">
        <v>2007</v>
      </c>
      <c r="N286" s="2" t="n">
        <v>140300</v>
      </c>
      <c r="O286" s="2" t="n">
        <v>3797</v>
      </c>
      <c r="P286" s="2" t="inlineStr">
        <is>
          <t>manual</t>
        </is>
      </c>
      <c r="Q286" s="2" t="inlineStr">
        <is>
          <t>no</t>
        </is>
      </c>
      <c r="R286" s="2" t="inlineStr">
        <is>
          <t>particular</t>
        </is>
      </c>
      <c r="S286" s="2" t="inlineStr">
        <is>
          <t>Gandía (46700)</t>
        </is>
      </c>
      <c r="T286" s="2" t="inlineStr">
        <is>
          <t>2026-10-28T11:43:40</t>
        </is>
      </c>
      <c r="U286" s="2" t="n">
        <v>8</v>
      </c>
      <c r="V286" s="2" t="inlineStr">
        <is>
          <t>sí</t>
        </is>
      </c>
      <c r="W286" s="2" t="n"/>
      <c r="X286" s="2" t="n"/>
      <c r="Y286" s="2" t="n">
        <v>2</v>
      </c>
      <c r="Z286" s="2" t="n"/>
      <c r="AA286" s="2" t="n"/>
      <c r="AB286" s="2" t="n"/>
      <c r="AC286" s="2" t="n"/>
      <c r="AD286" s="2" t="n"/>
      <c r="AE286" s="2" t="n"/>
      <c r="AF286" s="2" t="n"/>
      <c r="AG286" s="2" t="n"/>
      <c r="AH286" s="2" t="n"/>
      <c r="AI286" s="2" t="n"/>
      <c r="AJ286" s="2" t="n"/>
      <c r="AK286" s="2" t="n"/>
      <c r="AL286" s="2" t="n"/>
      <c r="AM286" s="2" t="n">
        <v>57.6</v>
      </c>
      <c r="AN286" s="2" t="n"/>
      <c r="AO286" s="2" t="inlineStr">
        <is>
          <t>2007</t>
        </is>
      </c>
      <c r="AP286" s="2" t="n">
        <v>2007</v>
      </c>
      <c r="AQ286" s="2" t="n"/>
      <c r="AR286" s="2" t="n"/>
      <c r="AS286" s="2" t="inlineStr">
        <is>
          <t>regla</t>
        </is>
      </c>
      <c r="AT286" s="2" t="n">
        <v>3797</v>
      </c>
      <c r="AU286" s="2" t="n">
        <v>9</v>
      </c>
      <c r="AV286" s="2" t="inlineStr">
        <is>
          <t>modelo+año+km</t>
        </is>
      </c>
      <c r="AW286" s="2" t="n"/>
      <c r="AX286" s="2" t="inlineStr">
        <is>
          <t>cuota fija ITP: &gt;12 años, hasta 1.500 cc; fiabilidad del modelo PENDIENTE de fuente (puntuación neutra)</t>
        </is>
      </c>
      <c r="AY286" s="2" t="inlineStr">
        <is>
          <t xml:space="preserve">Citroen C4 con 140.300 km solo dos propietarios 
✅ Mantenimiento recién hecho 
✅ Neumáticos 2 delanteros nuevos 2 traseros 80%
✅Itv hasta 10/27
✅Dos llaves 
✅ Manual del propietario 
✅ Distribución completa cambiada 01/10/2026
✅ Alternador nuevo
✅ Compressor del aire acondicionado nuevo
✅ Discos y pastillas cambiadas pinças 
✅Todo con factura 
Puedes venir y probar 
✅No cambio, solo venta 
Tener en cuenta roces de aparcamiento y en las fotos se ve el capó que tiene unos arañazos y en la lateral izquierda 
✅Todo más claro posible 
✅ Dudas preguntar </t>
        </is>
      </c>
      <c r="AZ286" s="2" t="inlineStr">
        <is>
          <t>https://es.wallapop.com/item/citroen-c4-2007-1318079600 (__NEXT_DATA__ item) /home/user/Alopecia/buscador-coches/raw/wallapop/aa90d2f516839a5b.json</t>
        </is>
      </c>
      <c r="BA286" s="3">
        <f>MAX(ANIO_ACTUAL-M286,0)</f>
        <v/>
      </c>
      <c r="BB286" s="4">
        <f>N286/MAX(BA286,0.5)</f>
        <v/>
      </c>
      <c r="BC286" s="4">
        <f>F286</f>
        <v/>
      </c>
      <c r="BD286" s="3">
        <f>BC286&amp;"|"&amp;INT(M286/SEG_ANIO)*SEG_ANIO</f>
        <v/>
      </c>
      <c r="BE286" s="3">
        <f>BD286&amp;"|"&amp;INT(N286/SEG_KM)*SEG_KM</f>
        <v/>
      </c>
      <c r="BF286" s="4">
        <f>COUNTIF($BC$2:$BC$545,BC286)</f>
        <v/>
      </c>
      <c r="BG286" s="4">
        <f>COUNTIF($BD$2:$BD$545,BD286)</f>
        <v/>
      </c>
      <c r="BH286" s="4">
        <f>COUNTIF($BE$2:$BE$545,BE286)</f>
        <v/>
      </c>
      <c r="BI286" s="3">
        <f t="array" ref="BI286">IF(N(AU286)&gt;=MIN_N,AT286,IF(BH286&gt;=MIN_N,MEDIAN(IF($BE$2:$BE$545=BE286,$O$2:$O$545)),IF(BG286&gt;=MIN_N,MEDIAN(IF($BD$2:$BD$545=BD286,$O$2:$O$545)),MEDIAN(IF($BC$2:$BC$545=BC286,$O$2:$O$545)))))</f>
        <v/>
      </c>
      <c r="BJ286" s="3">
        <f>IF(N(AU286)&gt;=MIN_N,"mercado "&amp;AV286,IF(BH286&gt;=MIN_N,"modelo+año+km",IF(BG286&gt;=MIN_N,"modelo+año","modelo")))</f>
        <v/>
      </c>
      <c r="BK286" s="4">
        <f>(BI286-O286)/BI286</f>
        <v/>
      </c>
      <c r="BL286" s="3">
        <f>IF(COUNTIFS(FR_FUEL,K286,FR_YEAR,AP286)&gt;0,1,0)</f>
        <v/>
      </c>
      <c r="BM286" s="3">
        <f>IF(COUNTIFS(FR_FUEL,K286,FR_YEAR,AP286-1)&gt;0,1,0)</f>
        <v/>
      </c>
      <c r="BN286" s="4">
        <f>IF(N(AQ286)&gt;0,AP286*100+AQ286,IF(AND(BL286=1,BM286=1),(AP286-1)*100+1,AP286*100+1))</f>
        <v/>
      </c>
      <c r="BO286" s="3">
        <f>IF(OR(K286="hibrido",K286="glp",K286="gnc",K286="phev"),"ECO",IF(K286="electrico","CERO",IF(K286="gasolina",IF(BN286&gt;=GAS_C_YM,"C",IF(BN286&gt;=GAS_B_YM,"B","A")),IF(K286="diesel",IF(BN286&gt;=DIE_C_YM,"C",IF(BN286&gt;=DIE_B_YM,"B","A")),""))))</f>
        <v/>
      </c>
      <c r="BP286" s="4">
        <f>BO286</f>
        <v/>
      </c>
      <c r="BQ286" s="4">
        <f>IF(AS286="regla",IF(AND(N(AQ286)=0,BL286=1),"sí","no"),"no")</f>
        <v/>
      </c>
      <c r="BR286" s="3">
        <f>IFERROR(VLOOKUP(F286,MOD_TBL,11,0),IFERROR(VLOOKUP(E286,OCU_TBL,2,0),NEUTRO))</f>
        <v/>
      </c>
      <c r="BS286" s="3">
        <f>SUMIFS(MOT_AJUSTE,MOT_MOTOR,G286,MOT_MARCA,E286,MOT_DESDE,"&lt;="&amp;M286,MOT_HASTA,"&gt;="&amp;M286)+SUMIFS(MOT_AJUSTE,MOT_MOTOR,G286,MOT_MARCA,"(todas)",MOT_DESDE,"&lt;="&amp;M286,MOT_HASTA,"&gt;="&amp;M286)</f>
        <v/>
      </c>
      <c r="BT286" s="3">
        <f>SUMIFS(COMB_AJUSTE,COMB_COMB,K286)</f>
        <v/>
      </c>
      <c r="BU286" s="3">
        <f>COUNTIFS(MOT_MOTOR,G286,MOT_MARCA,E286,MOT_DESDE,"&lt;="&amp;M286,MOT_HASTA,"&gt;="&amp;M286)+COUNTIFS(MOT_MOTOR,G286,MOT_MARCA,"(todas)",MOT_DESDE,"&lt;="&amp;M286,MOT_HASTA,"&gt;="&amp;M286)</f>
        <v/>
      </c>
      <c r="BV286" s="3">
        <f>IF(AND(K286="diesel",BU286=0),MIN(BR286,NEUTRO),BR286)</f>
        <v/>
      </c>
      <c r="BW286" s="4">
        <f>MAX(0,MIN(100,BV286+BS286+BT286))</f>
        <v/>
      </c>
      <c r="BX286" s="3">
        <f>MAX(0,MIN(100,50+BK286*PRECIO_PEND))</f>
        <v/>
      </c>
      <c r="BY286" s="3">
        <f>MAX(0,100*(1-N286/KM_MAX))</f>
        <v/>
      </c>
      <c r="BZ286" s="3">
        <f>IF(BB286&lt;KMA_SOSP,IF(AA286="sí",100,KMA_PEN),IF(BB286&lt;=KMA_IDEAL_MAX,100,MAX(0,100*(KMA_CERO-BB286)/(KMA_CERO-KMA_IDEAL_MAX))))</f>
        <v/>
      </c>
      <c r="CA286" s="3">
        <f>MAX(0,MIN(100,100*(M286-ANIO_MIN)/(ANIO_ACTUAL-ANIO_MIN)))</f>
        <v/>
      </c>
      <c r="CB286" s="3">
        <f>W_KMT*BY286+W_KMA*BZ286+W_EDAD*CA286</f>
        <v/>
      </c>
      <c r="CC286" s="3">
        <f>P_ITV*(V286="sí")+P_LIBRO*(W286="sí")+P_CORREA*(X286="sí")+P_PROP*(Y286=1)+P_GAR*(Z286="sí")+P_FOTOS*MIN(1,N(U286)/FOTOS_OBJ)</f>
        <v/>
      </c>
      <c r="CD286" s="3">
        <f>MAX(0,MIN(100,IFERROR(VLOOKUP(BP286,ETQ_TBL,2,0),0)-IF(BQ286="sí",ETQ_PEN_DUD,IF(AS286="regla",ETQ_PEN_REGLA,0))))</f>
        <v/>
      </c>
      <c r="CE286" s="3">
        <f>NEUTRO</f>
        <v/>
      </c>
      <c r="CF286" s="3">
        <f>IFERROR(VLOOKUP(L286,SEGURO_TBL,3,0),"")</f>
        <v/>
      </c>
      <c r="CG286" s="3">
        <f>IF(CF286="",NEUTRO,MAX(0,MIN(100,100*(SEG_REF_MAX-CF286)/(SEG_REF_MAX-SEG_REF_MIN))))</f>
        <v/>
      </c>
      <c r="CH286" s="3">
        <f>W_CONS*CE286+W_SEG*CG286</f>
        <v/>
      </c>
      <c r="CI286" s="3">
        <f>IF(N(AB286)&gt;0,AB286,IF(AND(R286="profesional",SG_LEGAL_ON=1),GAR_LEGAL,0))</f>
        <v/>
      </c>
      <c r="CJ286" s="3">
        <f>SG_GAR*MIN(1,CI286/SG_GAR_FULL)+SG_AMPL*(AC286="sí")+SG_KMC*(AF286="sí")+SG_REV*(N(AE286)&gt;0)+SG_DEV*MIN(1,N(AG286)/SG_DEV_FULL)+SG_HIST*(W286="sí")</f>
        <v/>
      </c>
      <c r="CK286" s="3">
        <f>IFERROR(VLOOKUP(L286,CARR_PEN_TBL,2,0),0)</f>
        <v/>
      </c>
      <c r="CL286" s="3">
        <f>W_FIAB*BW286+W_PRECIO*BX286+W_KMEDAD*CB286+W_ANUNCIO*CC286+W_USO*CH286+W_SEGURIDAD*CJ286+W_ETIQUETA*CD286-CK286</f>
        <v/>
      </c>
      <c r="CM286" s="4">
        <f>IF(N(I286)&gt;0,I286,IFERROR(ROUND(_xlfn.NUMBERVALUE(LEFT(G286,FIND(" ",G286&amp;" ")-1),".")*1000,0),99999))</f>
        <v/>
      </c>
      <c r="CN286" s="3">
        <f>IF(R286="profesional",0,IF(O286&lt;CUOTA_VALOR_MAX,IF(BA286&gt;ITP_TRAMO_ALTO,SUMIFS(CF_CUOTA,CF_MAS,ITP_TRAMO_ALTO,CF_CCMIN,"&lt;="&amp;CM286,CF_CCMAX,"&gt;="&amp;CM286),IF(BA286&gt;ITP_TRAMO_BAJO,SUMIFS(CF_CUOTA,CF_MAS,ITP_TRAMO_BAJO,CF_CCMIN,"&lt;="&amp;CM286,CF_CCMAX,"&gt;="&amp;CM286),O286*ITP_TIPO)),O286*ITP_TIPO))</f>
        <v/>
      </c>
      <c r="CO286" s="4">
        <f>IF(R286="profesional",N(AK286),0)</f>
        <v/>
      </c>
      <c r="CP286" s="3">
        <f>IF(AND(R286="profesional",ISNUMBER(AK286),AL286="sí"),0,TASA_DGT)</f>
        <v/>
      </c>
      <c r="CQ286" s="3">
        <f>INFORME_DGT</f>
        <v/>
      </c>
      <c r="CR286" s="4">
        <f>O286+CO286+CN286+CP286+CQ286</f>
        <v/>
      </c>
      <c r="CS286" s="4">
        <f>CR286+N(CF286)</f>
        <v/>
      </c>
      <c r="CT286" s="3">
        <f>IF(CR286&lt;=TOTAL_MAX,"sí",IF(CR286&lt;=TOTAL_MAX+MARGEN_NEG,"negociar","no"))</f>
        <v/>
      </c>
      <c r="CU286" s="4">
        <f>IF(CT286&lt;&gt;"no",COUNTIFS($CT$2:$CT$545,"&lt;&gt;no",$CL$2:$CL$545,"&gt;"&amp;CL286)+COUNTIFS($CT$2:CT286,"&lt;&gt;no",$CL$2:CL286,CL286),"")</f>
        <v/>
      </c>
    </row>
    <row r="287">
      <c r="A287" s="2" t="inlineStr">
        <is>
          <t>wallapop:1315406284</t>
        </is>
      </c>
      <c r="B287" s="2" t="inlineStr">
        <is>
          <t>wallapop</t>
        </is>
      </c>
      <c r="C287" s="2" t="inlineStr">
        <is>
          <t>https://es.wallapop.com/item/citroen-c4-2006-1315406284</t>
        </is>
      </c>
      <c r="D287" s="2" t="inlineStr">
        <is>
          <t>Citroen C4 2006</t>
        </is>
      </c>
      <c r="E287" s="2" t="inlineStr">
        <is>
          <t>Citroën</t>
        </is>
      </c>
      <c r="F287" s="2" t="inlineStr">
        <is>
          <t>Citroën C4</t>
        </is>
      </c>
      <c r="G287" s="2" t="n"/>
      <c r="H287" s="2" t="n"/>
      <c r="I287" s="2" t="n"/>
      <c r="J287" s="2" t="n">
        <v>110</v>
      </c>
      <c r="K287" s="2" t="inlineStr">
        <is>
          <t>gasolina</t>
        </is>
      </c>
      <c r="L287" s="2" t="inlineStr">
        <is>
          <t>compacto</t>
        </is>
      </c>
      <c r="M287" s="2" t="n">
        <v>2006</v>
      </c>
      <c r="N287" s="2" t="n">
        <v>162000</v>
      </c>
      <c r="O287" s="2" t="n">
        <v>2400</v>
      </c>
      <c r="P287" s="2" t="inlineStr">
        <is>
          <t>manual</t>
        </is>
      </c>
      <c r="Q287" s="2" t="inlineStr">
        <is>
          <t>no</t>
        </is>
      </c>
      <c r="R287" s="2" t="inlineStr">
        <is>
          <t>particular</t>
        </is>
      </c>
      <c r="S287" s="2" t="inlineStr">
        <is>
          <t>Gandía (46700)</t>
        </is>
      </c>
      <c r="T287" s="2" t="inlineStr">
        <is>
          <t>2026-10-30T09:23:26</t>
        </is>
      </c>
      <c r="U287" s="2" t="n">
        <v>10</v>
      </c>
      <c r="V287" s="2" t="inlineStr">
        <is>
          <t>sí</t>
        </is>
      </c>
      <c r="W287" s="2" t="inlineStr">
        <is>
          <t>sí</t>
        </is>
      </c>
      <c r="X287" s="2" t="n"/>
      <c r="Y287" s="2" t="n"/>
      <c r="Z287" s="2" t="n"/>
      <c r="AA287" s="2" t="n"/>
      <c r="AB287" s="2" t="n"/>
      <c r="AC287" s="2" t="n"/>
      <c r="AD287" s="2" t="n"/>
      <c r="AE287" s="2" t="n"/>
      <c r="AF287" s="2" t="n"/>
      <c r="AG287" s="2" t="n"/>
      <c r="AH287" s="2" t="n"/>
      <c r="AI287" s="2" t="n"/>
      <c r="AJ287" s="2" t="n"/>
      <c r="AK287" s="2" t="n"/>
      <c r="AL287" s="2" t="n"/>
      <c r="AM287" s="2" t="n">
        <v>58.1</v>
      </c>
      <c r="AN287" s="2" t="n"/>
      <c r="AO287" s="2" t="inlineStr">
        <is>
          <t>2006</t>
        </is>
      </c>
      <c r="AP287" s="2" t="n">
        <v>2006</v>
      </c>
      <c r="AQ287" s="2" t="n"/>
      <c r="AR287" s="2" t="n"/>
      <c r="AS287" s="2" t="inlineStr">
        <is>
          <t>regla</t>
        </is>
      </c>
      <c r="AT287" s="2" t="n">
        <v>2600</v>
      </c>
      <c r="AU287" s="2" t="n">
        <v>9</v>
      </c>
      <c r="AV287" s="2" t="inlineStr">
        <is>
          <t>modelo+año+km</t>
        </is>
      </c>
      <c r="AW287" s="2" t="n"/>
      <c r="AX287" s="2" t="inlineStr">
        <is>
          <t>cilindrada desconocida: se aplica el tramo de cuota fija más alto; cuota fija ITP: &gt;12 años, más de 2.000 cc; fiabilidad del modelo PENDIENTE de fuente (puntuación neutra)</t>
        </is>
      </c>
      <c r="AY287" s="2" t="inlineStr">
        <is>
          <t>Citroën C4 Coupé 3p — Gris Plata | 161.994 km
Citroën C4 Coupé gris plata metalizado. Ideal como primer coche o para el día a día: fiable, cómodo y económico.
✅ 161.994 km reales
✅ Cambio manual 5 velocidades
✅ Aire acondicionado
✅ Elevalunas eléctricos
✅ Radio CD con mandos al volante
✅ Ordenador de a bordo
✅ Dirección asistida y cierre centralizado
✅ Doble airbag + airbags laterales
✅ Fundas de asiento incluidas
🔧 Facturas de mantenimiento disponibles
📋 ITV en vigor hasta agosto de 2027
🚗 En buen estado, listo para circular
📍 Gandía (Valencia). Se puede ver y probar sin compromiso.</t>
        </is>
      </c>
      <c r="AZ287" s="2" t="inlineStr">
        <is>
          <t>https://es.wallapop.com/item/citroen-c4-2006-1315406284 (__NEXT_DATA__ item) /home/user/Alopecia/buscador-coches/raw/wallapop/eadd05e794671b60.json</t>
        </is>
      </c>
      <c r="BA287" s="3">
        <f>MAX(ANIO_ACTUAL-M287,0)</f>
        <v/>
      </c>
      <c r="BB287" s="4">
        <f>N287/MAX(BA287,0.5)</f>
        <v/>
      </c>
      <c r="BC287" s="4">
        <f>F287</f>
        <v/>
      </c>
      <c r="BD287" s="3">
        <f>BC287&amp;"|"&amp;INT(M287/SEG_ANIO)*SEG_ANIO</f>
        <v/>
      </c>
      <c r="BE287" s="3">
        <f>BD287&amp;"|"&amp;INT(N287/SEG_KM)*SEG_KM</f>
        <v/>
      </c>
      <c r="BF287" s="4">
        <f>COUNTIF($BC$2:$BC$545,BC287)</f>
        <v/>
      </c>
      <c r="BG287" s="4">
        <f>COUNTIF($BD$2:$BD$545,BD287)</f>
        <v/>
      </c>
      <c r="BH287" s="4">
        <f>COUNTIF($BE$2:$BE$545,BE287)</f>
        <v/>
      </c>
      <c r="BI287" s="3">
        <f t="array" ref="BI287">IF(N(AU287)&gt;=MIN_N,AT287,IF(BH287&gt;=MIN_N,MEDIAN(IF($BE$2:$BE$545=BE287,$O$2:$O$545)),IF(BG287&gt;=MIN_N,MEDIAN(IF($BD$2:$BD$545=BD287,$O$2:$O$545)),MEDIAN(IF($BC$2:$BC$545=BC287,$O$2:$O$545)))))</f>
        <v/>
      </c>
      <c r="BJ287" s="3">
        <f>IF(N(AU287)&gt;=MIN_N,"mercado "&amp;AV287,IF(BH287&gt;=MIN_N,"modelo+año+km",IF(BG287&gt;=MIN_N,"modelo+año","modelo")))</f>
        <v/>
      </c>
      <c r="BK287" s="4">
        <f>(BI287-O287)/BI287</f>
        <v/>
      </c>
      <c r="BL287" s="3">
        <f>IF(COUNTIFS(FR_FUEL,K287,FR_YEAR,AP287)&gt;0,1,0)</f>
        <v/>
      </c>
      <c r="BM287" s="3">
        <f>IF(COUNTIFS(FR_FUEL,K287,FR_YEAR,AP287-1)&gt;0,1,0)</f>
        <v/>
      </c>
      <c r="BN287" s="4">
        <f>IF(N(AQ287)&gt;0,AP287*100+AQ287,IF(AND(BL287=1,BM287=1),(AP287-1)*100+1,AP287*100+1))</f>
        <v/>
      </c>
      <c r="BO287" s="3">
        <f>IF(OR(K287="hibrido",K287="glp",K287="gnc",K287="phev"),"ECO",IF(K287="electrico","CERO",IF(K287="gasolina",IF(BN287&gt;=GAS_C_YM,"C",IF(BN287&gt;=GAS_B_YM,"B","A")),IF(K287="diesel",IF(BN287&gt;=DIE_C_YM,"C",IF(BN287&gt;=DIE_B_YM,"B","A")),""))))</f>
        <v/>
      </c>
      <c r="BP287" s="4">
        <f>BO287</f>
        <v/>
      </c>
      <c r="BQ287" s="4">
        <f>IF(AS287="regla",IF(AND(N(AQ287)=0,BL287=1),"sí","no"),"no")</f>
        <v/>
      </c>
      <c r="BR287" s="3">
        <f>IFERROR(VLOOKUP(F287,MOD_TBL,11,0),IFERROR(VLOOKUP(E287,OCU_TBL,2,0),NEUTRO))</f>
        <v/>
      </c>
      <c r="BS287" s="3">
        <f>SUMIFS(MOT_AJUSTE,MOT_MOTOR,G287,MOT_MARCA,E287,MOT_DESDE,"&lt;="&amp;M287,MOT_HASTA,"&gt;="&amp;M287)+SUMIFS(MOT_AJUSTE,MOT_MOTOR,G287,MOT_MARCA,"(todas)",MOT_DESDE,"&lt;="&amp;M287,MOT_HASTA,"&gt;="&amp;M287)</f>
        <v/>
      </c>
      <c r="BT287" s="3">
        <f>SUMIFS(COMB_AJUSTE,COMB_COMB,K287)</f>
        <v/>
      </c>
      <c r="BU287" s="3">
        <f>COUNTIFS(MOT_MOTOR,G287,MOT_MARCA,E287,MOT_DESDE,"&lt;="&amp;M287,MOT_HASTA,"&gt;="&amp;M287)+COUNTIFS(MOT_MOTOR,G287,MOT_MARCA,"(todas)",MOT_DESDE,"&lt;="&amp;M287,MOT_HASTA,"&gt;="&amp;M287)</f>
        <v/>
      </c>
      <c r="BV287" s="3">
        <f>IF(AND(K287="diesel",BU287=0),MIN(BR287,NEUTRO),BR287)</f>
        <v/>
      </c>
      <c r="BW287" s="4">
        <f>MAX(0,MIN(100,BV287+BS287+BT287))</f>
        <v/>
      </c>
      <c r="BX287" s="3">
        <f>MAX(0,MIN(100,50+BK287*PRECIO_PEND))</f>
        <v/>
      </c>
      <c r="BY287" s="3">
        <f>MAX(0,100*(1-N287/KM_MAX))</f>
        <v/>
      </c>
      <c r="BZ287" s="3">
        <f>IF(BB287&lt;KMA_SOSP,IF(AA287="sí",100,KMA_PEN),IF(BB287&lt;=KMA_IDEAL_MAX,100,MAX(0,100*(KMA_CERO-BB287)/(KMA_CERO-KMA_IDEAL_MAX))))</f>
        <v/>
      </c>
      <c r="CA287" s="3">
        <f>MAX(0,MIN(100,100*(M287-ANIO_MIN)/(ANIO_ACTUAL-ANIO_MIN)))</f>
        <v/>
      </c>
      <c r="CB287" s="3">
        <f>W_KMT*BY287+W_KMA*BZ287+W_EDAD*CA287</f>
        <v/>
      </c>
      <c r="CC287" s="3">
        <f>P_ITV*(V287="sí")+P_LIBRO*(W287="sí")+P_CORREA*(X287="sí")+P_PROP*(Y287=1)+P_GAR*(Z287="sí")+P_FOTOS*MIN(1,N(U287)/FOTOS_OBJ)</f>
        <v/>
      </c>
      <c r="CD287" s="3">
        <f>MAX(0,MIN(100,IFERROR(VLOOKUP(BP287,ETQ_TBL,2,0),0)-IF(BQ287="sí",ETQ_PEN_DUD,IF(AS287="regla",ETQ_PEN_REGLA,0))))</f>
        <v/>
      </c>
      <c r="CE287" s="3">
        <f>NEUTRO</f>
        <v/>
      </c>
      <c r="CF287" s="3">
        <f>IFERROR(VLOOKUP(L287,SEGURO_TBL,3,0),"")</f>
        <v/>
      </c>
      <c r="CG287" s="3">
        <f>IF(CF287="",NEUTRO,MAX(0,MIN(100,100*(SEG_REF_MAX-CF287)/(SEG_REF_MAX-SEG_REF_MIN))))</f>
        <v/>
      </c>
      <c r="CH287" s="3">
        <f>W_CONS*CE287+W_SEG*CG287</f>
        <v/>
      </c>
      <c r="CI287" s="3">
        <f>IF(N(AB287)&gt;0,AB287,IF(AND(R287="profesional",SG_LEGAL_ON=1),GAR_LEGAL,0))</f>
        <v/>
      </c>
      <c r="CJ287" s="3">
        <f>SG_GAR*MIN(1,CI287/SG_GAR_FULL)+SG_AMPL*(AC287="sí")+SG_KMC*(AF287="sí")+SG_REV*(N(AE287)&gt;0)+SG_DEV*MIN(1,N(AG287)/SG_DEV_FULL)+SG_HIST*(W287="sí")</f>
        <v/>
      </c>
      <c r="CK287" s="3">
        <f>IFERROR(VLOOKUP(L287,CARR_PEN_TBL,2,0),0)</f>
        <v/>
      </c>
      <c r="CL287" s="3">
        <f>W_FIAB*BW287+W_PRECIO*BX287+W_KMEDAD*CB287+W_ANUNCIO*CC287+W_USO*CH287+W_SEGURIDAD*CJ287+W_ETIQUETA*CD287-CK287</f>
        <v/>
      </c>
      <c r="CM287" s="4">
        <f>IF(N(I287)&gt;0,I287,IFERROR(ROUND(_xlfn.NUMBERVALUE(LEFT(G287,FIND(" ",G287&amp;" ")-1),".")*1000,0),99999))</f>
        <v/>
      </c>
      <c r="CN287" s="3">
        <f>IF(R287="profesional",0,IF(O287&lt;CUOTA_VALOR_MAX,IF(BA287&gt;ITP_TRAMO_ALTO,SUMIFS(CF_CUOTA,CF_MAS,ITP_TRAMO_ALTO,CF_CCMIN,"&lt;="&amp;CM287,CF_CCMAX,"&gt;="&amp;CM287),IF(BA287&gt;ITP_TRAMO_BAJO,SUMIFS(CF_CUOTA,CF_MAS,ITP_TRAMO_BAJO,CF_CCMIN,"&lt;="&amp;CM287,CF_CCMAX,"&gt;="&amp;CM287),O287*ITP_TIPO)),O287*ITP_TIPO))</f>
        <v/>
      </c>
      <c r="CO287" s="4">
        <f>IF(R287="profesional",N(AK287),0)</f>
        <v/>
      </c>
      <c r="CP287" s="3">
        <f>IF(AND(R287="profesional",ISNUMBER(AK287),AL287="sí"),0,TASA_DGT)</f>
        <v/>
      </c>
      <c r="CQ287" s="3">
        <f>INFORME_DGT</f>
        <v/>
      </c>
      <c r="CR287" s="4">
        <f>O287+CO287+CN287+CP287+CQ287</f>
        <v/>
      </c>
      <c r="CS287" s="4">
        <f>CR287+N(CF287)</f>
        <v/>
      </c>
      <c r="CT287" s="3">
        <f>IF(CR287&lt;=TOTAL_MAX,"sí",IF(CR287&lt;=TOTAL_MAX+MARGEN_NEG,"negociar","no"))</f>
        <v/>
      </c>
      <c r="CU287" s="4">
        <f>IF(CT287&lt;&gt;"no",COUNTIFS($CT$2:$CT$545,"&lt;&gt;no",$CL$2:$CL$545,"&gt;"&amp;CL287)+COUNTIFS($CT$2:CT287,"&lt;&gt;no",$CL$2:CL287,CL287),"")</f>
        <v/>
      </c>
    </row>
    <row r="288">
      <c r="A288" s="2" t="inlineStr">
        <is>
          <t>wallapop:1248952142</t>
        </is>
      </c>
      <c r="B288" s="2" t="inlineStr">
        <is>
          <t>wallapop</t>
        </is>
      </c>
      <c r="C288" s="2" t="inlineStr">
        <is>
          <t>https://es.wallapop.com/item/citroen-c4-2007-1248952142</t>
        </is>
      </c>
      <c r="D288" s="2" t="inlineStr">
        <is>
          <t>Citroen C4 2007</t>
        </is>
      </c>
      <c r="E288" s="2" t="inlineStr">
        <is>
          <t>Citroën</t>
        </is>
      </c>
      <c r="F288" s="2" t="inlineStr">
        <is>
          <t>Citroën C4</t>
        </is>
      </c>
      <c r="G288" s="2" t="inlineStr">
        <is>
          <t>1.4</t>
        </is>
      </c>
      <c r="H288" s="2" t="inlineStr">
        <is>
          <t>1.4i 16v 90 Collection 5p</t>
        </is>
      </c>
      <c r="I288" s="2" t="n"/>
      <c r="J288" s="2" t="n">
        <v>90</v>
      </c>
      <c r="K288" s="2" t="inlineStr">
        <is>
          <t>gasolina</t>
        </is>
      </c>
      <c r="L288" s="2" t="inlineStr">
        <is>
          <t>compacto</t>
        </is>
      </c>
      <c r="M288" s="2" t="n">
        <v>2007</v>
      </c>
      <c r="N288" s="2" t="n">
        <v>151000</v>
      </c>
      <c r="O288" s="2" t="n">
        <v>3900</v>
      </c>
      <c r="P288" s="2" t="inlineStr">
        <is>
          <t>manual</t>
        </is>
      </c>
      <c r="Q288" s="2" t="inlineStr">
        <is>
          <t>no</t>
        </is>
      </c>
      <c r="R288" s="2" t="inlineStr">
        <is>
          <t>particular</t>
        </is>
      </c>
      <c r="S288" s="2" t="inlineStr">
        <is>
          <t>Gandía (46700)</t>
        </is>
      </c>
      <c r="T288" s="2" t="inlineStr">
        <is>
          <t>2026-09-21T13:43:32</t>
        </is>
      </c>
      <c r="U288" s="2" t="n">
        <v>5</v>
      </c>
      <c r="V288" s="2" t="n"/>
      <c r="W288" s="2" t="n"/>
      <c r="X288" s="2" t="n"/>
      <c r="Y288" s="2" t="n"/>
      <c r="Z288" s="2" t="n"/>
      <c r="AA288" s="2" t="n"/>
      <c r="AB288" s="2" t="n"/>
      <c r="AC288" s="2" t="n"/>
      <c r="AD288" s="2" t="n"/>
      <c r="AE288" s="2" t="n"/>
      <c r="AF288" s="2" t="n"/>
      <c r="AG288" s="2" t="n"/>
      <c r="AH288" s="2" t="n"/>
      <c r="AI288" s="2" t="n"/>
      <c r="AJ288" s="2" t="n"/>
      <c r="AK288" s="2" t="n"/>
      <c r="AL288" s="2" t="n"/>
      <c r="AM288" s="2" t="n">
        <v>58.4</v>
      </c>
      <c r="AN288" s="2" t="n"/>
      <c r="AO288" s="2" t="inlineStr">
        <is>
          <t>2007</t>
        </is>
      </c>
      <c r="AP288" s="2" t="n">
        <v>2007</v>
      </c>
      <c r="AQ288" s="2" t="n"/>
      <c r="AR288" s="2" t="n"/>
      <c r="AS288" s="2" t="inlineStr">
        <is>
          <t>regla</t>
        </is>
      </c>
      <c r="AT288" s="2" t="n">
        <v>3500</v>
      </c>
      <c r="AU288" s="2" t="n">
        <v>11</v>
      </c>
      <c r="AV288" s="2" t="inlineStr">
        <is>
          <t>modelo+año+km</t>
        </is>
      </c>
      <c r="AW288" s="2" t="n"/>
      <c r="AX288" s="2" t="inlineStr">
        <is>
          <t>cuota fija ITP: &gt;12 años, hasta 1.500 cc; fiabilidad del modelo PENDIENTE de fuente (puntuación neutra)</t>
        </is>
      </c>
      <c r="AY288" s="2" t="inlineStr">
        <is>
          <t xml:space="preserve">Etiqueta C para poder entrar al centro de cualquier ciudad 
ITV completa hasta Julio 2026
Buen estado general de carrocería, interior, motor, neumáticos, discos de freno y pastillas. 
</t>
        </is>
      </c>
      <c r="AZ288" s="2" t="inlineStr">
        <is>
          <t>https://es.wallapop.com/item/citroen-c4-2007-1248952142 (__NEXT_DATA__ item) /home/user/Alopecia/buscador-coches/raw/wallapop/3ed7c416a9a52e8e.json</t>
        </is>
      </c>
      <c r="BA288" s="3">
        <f>MAX(ANIO_ACTUAL-M288,0)</f>
        <v/>
      </c>
      <c r="BB288" s="4">
        <f>N288/MAX(BA288,0.5)</f>
        <v/>
      </c>
      <c r="BC288" s="4">
        <f>F288</f>
        <v/>
      </c>
      <c r="BD288" s="3">
        <f>BC288&amp;"|"&amp;INT(M288/SEG_ANIO)*SEG_ANIO</f>
        <v/>
      </c>
      <c r="BE288" s="3">
        <f>BD288&amp;"|"&amp;INT(N288/SEG_KM)*SEG_KM</f>
        <v/>
      </c>
      <c r="BF288" s="4">
        <f>COUNTIF($BC$2:$BC$545,BC288)</f>
        <v/>
      </c>
      <c r="BG288" s="4">
        <f>COUNTIF($BD$2:$BD$545,BD288)</f>
        <v/>
      </c>
      <c r="BH288" s="4">
        <f>COUNTIF($BE$2:$BE$545,BE288)</f>
        <v/>
      </c>
      <c r="BI288" s="3">
        <f t="array" ref="BI288">IF(N(AU288)&gt;=MIN_N,AT288,IF(BH288&gt;=MIN_N,MEDIAN(IF($BE$2:$BE$545=BE288,$O$2:$O$545)),IF(BG288&gt;=MIN_N,MEDIAN(IF($BD$2:$BD$545=BD288,$O$2:$O$545)),MEDIAN(IF($BC$2:$BC$545=BC288,$O$2:$O$545)))))</f>
        <v/>
      </c>
      <c r="BJ288" s="3">
        <f>IF(N(AU288)&gt;=MIN_N,"mercado "&amp;AV288,IF(BH288&gt;=MIN_N,"modelo+año+km",IF(BG288&gt;=MIN_N,"modelo+año","modelo")))</f>
        <v/>
      </c>
      <c r="BK288" s="4">
        <f>(BI288-O288)/BI288</f>
        <v/>
      </c>
      <c r="BL288" s="3">
        <f>IF(COUNTIFS(FR_FUEL,K288,FR_YEAR,AP288)&gt;0,1,0)</f>
        <v/>
      </c>
      <c r="BM288" s="3">
        <f>IF(COUNTIFS(FR_FUEL,K288,FR_YEAR,AP288-1)&gt;0,1,0)</f>
        <v/>
      </c>
      <c r="BN288" s="4">
        <f>IF(N(AQ288)&gt;0,AP288*100+AQ288,IF(AND(BL288=1,BM288=1),(AP288-1)*100+1,AP288*100+1))</f>
        <v/>
      </c>
      <c r="BO288" s="3">
        <f>IF(OR(K288="hibrido",K288="glp",K288="gnc",K288="phev"),"ECO",IF(K288="electrico","CERO",IF(K288="gasolina",IF(BN288&gt;=GAS_C_YM,"C",IF(BN288&gt;=GAS_B_YM,"B","A")),IF(K288="diesel",IF(BN288&gt;=DIE_C_YM,"C",IF(BN288&gt;=DIE_B_YM,"B","A")),""))))</f>
        <v/>
      </c>
      <c r="BP288" s="4">
        <f>BO288</f>
        <v/>
      </c>
      <c r="BQ288" s="4">
        <f>IF(AS288="regla",IF(AND(N(AQ288)=0,BL288=1),"sí","no"),"no")</f>
        <v/>
      </c>
      <c r="BR288" s="3">
        <f>IFERROR(VLOOKUP(F288,MOD_TBL,11,0),IFERROR(VLOOKUP(E288,OCU_TBL,2,0),NEUTRO))</f>
        <v/>
      </c>
      <c r="BS288" s="3">
        <f>SUMIFS(MOT_AJUSTE,MOT_MOTOR,G288,MOT_MARCA,E288,MOT_DESDE,"&lt;="&amp;M288,MOT_HASTA,"&gt;="&amp;M288)+SUMIFS(MOT_AJUSTE,MOT_MOTOR,G288,MOT_MARCA,"(todas)",MOT_DESDE,"&lt;="&amp;M288,MOT_HASTA,"&gt;="&amp;M288)</f>
        <v/>
      </c>
      <c r="BT288" s="3">
        <f>SUMIFS(COMB_AJUSTE,COMB_COMB,K288)</f>
        <v/>
      </c>
      <c r="BU288" s="3">
        <f>COUNTIFS(MOT_MOTOR,G288,MOT_MARCA,E288,MOT_DESDE,"&lt;="&amp;M288,MOT_HASTA,"&gt;="&amp;M288)+COUNTIFS(MOT_MOTOR,G288,MOT_MARCA,"(todas)",MOT_DESDE,"&lt;="&amp;M288,MOT_HASTA,"&gt;="&amp;M288)</f>
        <v/>
      </c>
      <c r="BV288" s="3">
        <f>IF(AND(K288="diesel",BU288=0),MIN(BR288,NEUTRO),BR288)</f>
        <v/>
      </c>
      <c r="BW288" s="4">
        <f>MAX(0,MIN(100,BV288+BS288+BT288))</f>
        <v/>
      </c>
      <c r="BX288" s="3">
        <f>MAX(0,MIN(100,50+BK288*PRECIO_PEND))</f>
        <v/>
      </c>
      <c r="BY288" s="3">
        <f>MAX(0,100*(1-N288/KM_MAX))</f>
        <v/>
      </c>
      <c r="BZ288" s="3">
        <f>IF(BB288&lt;KMA_SOSP,IF(AA288="sí",100,KMA_PEN),IF(BB288&lt;=KMA_IDEAL_MAX,100,MAX(0,100*(KMA_CERO-BB288)/(KMA_CERO-KMA_IDEAL_MAX))))</f>
        <v/>
      </c>
      <c r="CA288" s="3">
        <f>MAX(0,MIN(100,100*(M288-ANIO_MIN)/(ANIO_ACTUAL-ANIO_MIN)))</f>
        <v/>
      </c>
      <c r="CB288" s="3">
        <f>W_KMT*BY288+W_KMA*BZ288+W_EDAD*CA288</f>
        <v/>
      </c>
      <c r="CC288" s="3">
        <f>P_ITV*(V288="sí")+P_LIBRO*(W288="sí")+P_CORREA*(X288="sí")+P_PROP*(Y288=1)+P_GAR*(Z288="sí")+P_FOTOS*MIN(1,N(U288)/FOTOS_OBJ)</f>
        <v/>
      </c>
      <c r="CD288" s="3">
        <f>MAX(0,MIN(100,IFERROR(VLOOKUP(BP288,ETQ_TBL,2,0),0)-IF(BQ288="sí",ETQ_PEN_DUD,IF(AS288="regla",ETQ_PEN_REGLA,0))))</f>
        <v/>
      </c>
      <c r="CE288" s="3">
        <f>NEUTRO</f>
        <v/>
      </c>
      <c r="CF288" s="3">
        <f>IFERROR(VLOOKUP(L288,SEGURO_TBL,3,0),"")</f>
        <v/>
      </c>
      <c r="CG288" s="3">
        <f>IF(CF288="",NEUTRO,MAX(0,MIN(100,100*(SEG_REF_MAX-CF288)/(SEG_REF_MAX-SEG_REF_MIN))))</f>
        <v/>
      </c>
      <c r="CH288" s="3">
        <f>W_CONS*CE288+W_SEG*CG288</f>
        <v/>
      </c>
      <c r="CI288" s="3">
        <f>IF(N(AB288)&gt;0,AB288,IF(AND(R288="profesional",SG_LEGAL_ON=1),GAR_LEGAL,0))</f>
        <v/>
      </c>
      <c r="CJ288" s="3">
        <f>SG_GAR*MIN(1,CI288/SG_GAR_FULL)+SG_AMPL*(AC288="sí")+SG_KMC*(AF288="sí")+SG_REV*(N(AE288)&gt;0)+SG_DEV*MIN(1,N(AG288)/SG_DEV_FULL)+SG_HIST*(W288="sí")</f>
        <v/>
      </c>
      <c r="CK288" s="3">
        <f>IFERROR(VLOOKUP(L288,CARR_PEN_TBL,2,0),0)</f>
        <v/>
      </c>
      <c r="CL288" s="3">
        <f>W_FIAB*BW288+W_PRECIO*BX288+W_KMEDAD*CB288+W_ANUNCIO*CC288+W_USO*CH288+W_SEGURIDAD*CJ288+W_ETIQUETA*CD288-CK288</f>
        <v/>
      </c>
      <c r="CM288" s="4">
        <f>IF(N(I288)&gt;0,I288,IFERROR(ROUND(_xlfn.NUMBERVALUE(LEFT(G288,FIND(" ",G288&amp;" ")-1),".")*1000,0),99999))</f>
        <v/>
      </c>
      <c r="CN288" s="3">
        <f>IF(R288="profesional",0,IF(O288&lt;CUOTA_VALOR_MAX,IF(BA288&gt;ITP_TRAMO_ALTO,SUMIFS(CF_CUOTA,CF_MAS,ITP_TRAMO_ALTO,CF_CCMIN,"&lt;="&amp;CM288,CF_CCMAX,"&gt;="&amp;CM288),IF(BA288&gt;ITP_TRAMO_BAJO,SUMIFS(CF_CUOTA,CF_MAS,ITP_TRAMO_BAJO,CF_CCMIN,"&lt;="&amp;CM288,CF_CCMAX,"&gt;="&amp;CM288),O288*ITP_TIPO)),O288*ITP_TIPO))</f>
        <v/>
      </c>
      <c r="CO288" s="4">
        <f>IF(R288="profesional",N(AK288),0)</f>
        <v/>
      </c>
      <c r="CP288" s="3">
        <f>IF(AND(R288="profesional",ISNUMBER(AK288),AL288="sí"),0,TASA_DGT)</f>
        <v/>
      </c>
      <c r="CQ288" s="3">
        <f>INFORME_DGT</f>
        <v/>
      </c>
      <c r="CR288" s="4">
        <f>O288+CO288+CN288+CP288+CQ288</f>
        <v/>
      </c>
      <c r="CS288" s="4">
        <f>CR288+N(CF288)</f>
        <v/>
      </c>
      <c r="CT288" s="3">
        <f>IF(CR288&lt;=TOTAL_MAX,"sí",IF(CR288&lt;=TOTAL_MAX+MARGEN_NEG,"negociar","no"))</f>
        <v/>
      </c>
      <c r="CU288" s="4">
        <f>IF(CT288&lt;&gt;"no",COUNTIFS($CT$2:$CT$545,"&lt;&gt;no",$CL$2:$CL$545,"&gt;"&amp;CL288)+COUNTIFS($CT$2:CT288,"&lt;&gt;no",$CL$2:CL288,CL288),"")</f>
        <v/>
      </c>
    </row>
    <row r="289">
      <c r="A289" s="2" t="inlineStr">
        <is>
          <t>wallapop:1317858980</t>
        </is>
      </c>
      <c r="B289" s="2" t="inlineStr">
        <is>
          <t>wallapop</t>
        </is>
      </c>
      <c r="C289" s="2" t="inlineStr">
        <is>
          <t>https://es.wallapop.com/item/ford-ka-2015-1317858980</t>
        </is>
      </c>
      <c r="D289" s="2" t="inlineStr">
        <is>
          <t>Ford Ka 2015 solo 99000km</t>
        </is>
      </c>
      <c r="E289" s="2" t="inlineStr">
        <is>
          <t>Ford</t>
        </is>
      </c>
      <c r="F289" s="2" t="inlineStr">
        <is>
          <t>Ford Ka</t>
        </is>
      </c>
      <c r="G289" s="2" t="inlineStr">
        <is>
          <t>1.2</t>
        </is>
      </c>
      <c r="H289" s="2" t="inlineStr">
        <is>
          <t>1.2 69 Trend+ 3p S/S</t>
        </is>
      </c>
      <c r="I289" s="2" t="n"/>
      <c r="J289" s="2" t="n">
        <v>69</v>
      </c>
      <c r="K289" s="2" t="inlineStr">
        <is>
          <t>gasolina</t>
        </is>
      </c>
      <c r="L289" s="2" t="inlineStr">
        <is>
          <t>utilitario</t>
        </is>
      </c>
      <c r="M289" s="2" t="n">
        <v>2015</v>
      </c>
      <c r="N289" s="2" t="n">
        <v>99000</v>
      </c>
      <c r="O289" s="2" t="n">
        <v>4990</v>
      </c>
      <c r="P289" s="2" t="inlineStr">
        <is>
          <t>manual</t>
        </is>
      </c>
      <c r="Q289" s="2" t="inlineStr">
        <is>
          <t>no</t>
        </is>
      </c>
      <c r="R289" s="2" t="inlineStr">
        <is>
          <t>profesional</t>
        </is>
      </c>
      <c r="S289" s="2" t="inlineStr">
        <is>
          <t>Valencia (46026)</t>
        </is>
      </c>
      <c r="T289" s="2" t="inlineStr">
        <is>
          <t>2026-10-30T12:02:47</t>
        </is>
      </c>
      <c r="U289" s="2" t="n">
        <v>20</v>
      </c>
      <c r="V289" s="2" t="inlineStr">
        <is>
          <t>sí</t>
        </is>
      </c>
      <c r="W289" s="2" t="n"/>
      <c r="X289" s="2" t="n"/>
      <c r="Y289" s="2" t="n"/>
      <c r="Z289" s="2" t="n"/>
      <c r="AA289" s="2" t="n"/>
      <c r="AB289" s="2" t="n"/>
      <c r="AC289" s="2" t="n"/>
      <c r="AD289" s="2" t="n"/>
      <c r="AE289" s="2" t="n"/>
      <c r="AF289" s="2" t="n"/>
      <c r="AG289" s="2" t="n"/>
      <c r="AH289" s="2" t="n"/>
      <c r="AI289" s="2" t="n"/>
      <c r="AJ289" s="2" t="n"/>
      <c r="AK289" s="2" t="n"/>
      <c r="AL289" s="2" t="n"/>
      <c r="AM289" s="2" t="n">
        <v>2.4</v>
      </c>
      <c r="AN289" s="2" t="n"/>
      <c r="AO289" s="2" t="inlineStr">
        <is>
          <t>2015</t>
        </is>
      </c>
      <c r="AP289" s="2" t="n">
        <v>2015</v>
      </c>
      <c r="AQ289" s="2" t="n"/>
      <c r="AR289" s="2" t="n"/>
      <c r="AS289" s="2" t="inlineStr">
        <is>
          <t>regla</t>
        </is>
      </c>
      <c r="AT289" s="2" t="n">
        <v>5095</v>
      </c>
      <c r="AU289" s="2" t="n">
        <v>4</v>
      </c>
      <c r="AV289" s="2" t="inlineStr">
        <is>
          <t>modelo+año+km</t>
        </is>
      </c>
      <c r="AW289" s="2" t="inlineStr">
        <is>
          <t>cochesnet:71847203 (https://www.coches.net/ford-ka-trend-12-duratec-autostartstop-3p-gasolina-2015-en-valencia-71847203-covo.aspx)</t>
        </is>
      </c>
      <c r="AX289"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289" s="2" t="inlineStr">
        <is>
          <t xml:space="preserve">Excelente Ford ka 2015 con solo 99.000km ITV 07/27,  Etiqueta ambiental verde “C”, aire acondicionado, dirección, start Stop,  elevalunas electrónicos, rueda de repuesto 
</t>
        </is>
      </c>
      <c r="AZ289" s="2" t="inlineStr">
        <is>
          <t>https://es.wallapop.com/item/ford-ka-2015-1317858980 (__NEXT_DATA__ item) /home/user/Alopecia/buscador-coches/raw/wallapop/bd33a58f731c5f77.json</t>
        </is>
      </c>
      <c r="BA289" s="3">
        <f>MAX(ANIO_ACTUAL-M289,0)</f>
        <v/>
      </c>
      <c r="BB289" s="4">
        <f>N289/MAX(BA289,0.5)</f>
        <v/>
      </c>
      <c r="BC289" s="4">
        <f>F289</f>
        <v/>
      </c>
      <c r="BD289" s="3">
        <f>BC289&amp;"|"&amp;INT(M289/SEG_ANIO)*SEG_ANIO</f>
        <v/>
      </c>
      <c r="BE289" s="3">
        <f>BD289&amp;"|"&amp;INT(N289/SEG_KM)*SEG_KM</f>
        <v/>
      </c>
      <c r="BF289" s="4">
        <f>COUNTIF($BC$2:$BC$545,BC289)</f>
        <v/>
      </c>
      <c r="BG289" s="4">
        <f>COUNTIF($BD$2:$BD$545,BD289)</f>
        <v/>
      </c>
      <c r="BH289" s="4">
        <f>COUNTIF($BE$2:$BE$545,BE289)</f>
        <v/>
      </c>
      <c r="BI289" s="3">
        <f t="array" ref="BI289">IF(N(AU289)&gt;=MIN_N,AT289,IF(BH289&gt;=MIN_N,MEDIAN(IF($BE$2:$BE$545=BE289,$O$2:$O$545)),IF(BG289&gt;=MIN_N,MEDIAN(IF($BD$2:$BD$545=BD289,$O$2:$O$545)),MEDIAN(IF($BC$2:$BC$545=BC289,$O$2:$O$545)))))</f>
        <v/>
      </c>
      <c r="BJ289" s="3">
        <f>IF(N(AU289)&gt;=MIN_N,"mercado "&amp;AV289,IF(BH289&gt;=MIN_N,"modelo+año+km",IF(BG289&gt;=MIN_N,"modelo+año","modelo")))</f>
        <v/>
      </c>
      <c r="BK289" s="4">
        <f>(BI289-O289)/BI289</f>
        <v/>
      </c>
      <c r="BL289" s="3">
        <f>IF(COUNTIFS(FR_FUEL,K289,FR_YEAR,AP289)&gt;0,1,0)</f>
        <v/>
      </c>
      <c r="BM289" s="3">
        <f>IF(COUNTIFS(FR_FUEL,K289,FR_YEAR,AP289-1)&gt;0,1,0)</f>
        <v/>
      </c>
      <c r="BN289" s="4">
        <f>IF(N(AQ289)&gt;0,AP289*100+AQ289,IF(AND(BL289=1,BM289=1),(AP289-1)*100+1,AP289*100+1))</f>
        <v/>
      </c>
      <c r="BO289" s="3">
        <f>IF(OR(K289="hibrido",K289="glp",K289="gnc",K289="phev"),"ECO",IF(K289="electrico","CERO",IF(K289="gasolina",IF(BN289&gt;=GAS_C_YM,"C",IF(BN289&gt;=GAS_B_YM,"B","A")),IF(K289="diesel",IF(BN289&gt;=DIE_C_YM,"C",IF(BN289&gt;=DIE_B_YM,"B","A")),""))))</f>
        <v/>
      </c>
      <c r="BP289" s="4">
        <f>BO289</f>
        <v/>
      </c>
      <c r="BQ289" s="4">
        <f>IF(AS289="regla",IF(AND(N(AQ289)=0,BL289=1),"sí","no"),"no")</f>
        <v/>
      </c>
      <c r="BR289" s="3">
        <f>IFERROR(VLOOKUP(F289,MOD_TBL,11,0),IFERROR(VLOOKUP(E289,OCU_TBL,2,0),NEUTRO))</f>
        <v/>
      </c>
      <c r="BS289" s="3">
        <f>SUMIFS(MOT_AJUSTE,MOT_MOTOR,G289,MOT_MARCA,E289,MOT_DESDE,"&lt;="&amp;M289,MOT_HASTA,"&gt;="&amp;M289)+SUMIFS(MOT_AJUSTE,MOT_MOTOR,G289,MOT_MARCA,"(todas)",MOT_DESDE,"&lt;="&amp;M289,MOT_HASTA,"&gt;="&amp;M289)</f>
        <v/>
      </c>
      <c r="BT289" s="3">
        <f>SUMIFS(COMB_AJUSTE,COMB_COMB,K289)</f>
        <v/>
      </c>
      <c r="BU289" s="3">
        <f>COUNTIFS(MOT_MOTOR,G289,MOT_MARCA,E289,MOT_DESDE,"&lt;="&amp;M289,MOT_HASTA,"&gt;="&amp;M289)+COUNTIFS(MOT_MOTOR,G289,MOT_MARCA,"(todas)",MOT_DESDE,"&lt;="&amp;M289,MOT_HASTA,"&gt;="&amp;M289)</f>
        <v/>
      </c>
      <c r="BV289" s="3">
        <f>IF(AND(K289="diesel",BU289=0),MIN(BR289,NEUTRO),BR289)</f>
        <v/>
      </c>
      <c r="BW289" s="4">
        <f>MAX(0,MIN(100,BV289+BS289+BT289))</f>
        <v/>
      </c>
      <c r="BX289" s="3">
        <f>MAX(0,MIN(100,50+BK289*PRECIO_PEND))</f>
        <v/>
      </c>
      <c r="BY289" s="3">
        <f>MAX(0,100*(1-N289/KM_MAX))</f>
        <v/>
      </c>
      <c r="BZ289" s="3">
        <f>IF(BB289&lt;KMA_SOSP,IF(AA289="sí",100,KMA_PEN),IF(BB289&lt;=KMA_IDEAL_MAX,100,MAX(0,100*(KMA_CERO-BB289)/(KMA_CERO-KMA_IDEAL_MAX))))</f>
        <v/>
      </c>
      <c r="CA289" s="3">
        <f>MAX(0,MIN(100,100*(M289-ANIO_MIN)/(ANIO_ACTUAL-ANIO_MIN)))</f>
        <v/>
      </c>
      <c r="CB289" s="3">
        <f>W_KMT*BY289+W_KMA*BZ289+W_EDAD*CA289</f>
        <v/>
      </c>
      <c r="CC289" s="3">
        <f>P_ITV*(V289="sí")+P_LIBRO*(W289="sí")+P_CORREA*(X289="sí")+P_PROP*(Y289=1)+P_GAR*(Z289="sí")+P_FOTOS*MIN(1,N(U289)/FOTOS_OBJ)</f>
        <v/>
      </c>
      <c r="CD289" s="3">
        <f>MAX(0,MIN(100,IFERROR(VLOOKUP(BP289,ETQ_TBL,2,0),0)-IF(BQ289="sí",ETQ_PEN_DUD,IF(AS289="regla",ETQ_PEN_REGLA,0))))</f>
        <v/>
      </c>
      <c r="CE289" s="3">
        <f>NEUTRO</f>
        <v/>
      </c>
      <c r="CF289" s="3">
        <f>IFERROR(VLOOKUP(L289,SEGURO_TBL,3,0),"")</f>
        <v/>
      </c>
      <c r="CG289" s="3">
        <f>IF(CF289="",NEUTRO,MAX(0,MIN(100,100*(SEG_REF_MAX-CF289)/(SEG_REF_MAX-SEG_REF_MIN))))</f>
        <v/>
      </c>
      <c r="CH289" s="3">
        <f>W_CONS*CE289+W_SEG*CG289</f>
        <v/>
      </c>
      <c r="CI289" s="3">
        <f>IF(N(AB289)&gt;0,AB289,IF(AND(R289="profesional",SG_LEGAL_ON=1),GAR_LEGAL,0))</f>
        <v/>
      </c>
      <c r="CJ289" s="3">
        <f>SG_GAR*MIN(1,CI289/SG_GAR_FULL)+SG_AMPL*(AC289="sí")+SG_KMC*(AF289="sí")+SG_REV*(N(AE289)&gt;0)+SG_DEV*MIN(1,N(AG289)/SG_DEV_FULL)+SG_HIST*(W289="sí")</f>
        <v/>
      </c>
      <c r="CK289" s="3">
        <f>IFERROR(VLOOKUP(L289,CARR_PEN_TBL,2,0),0)</f>
        <v/>
      </c>
      <c r="CL289" s="3">
        <f>W_FIAB*BW289+W_PRECIO*BX289+W_KMEDAD*CB289+W_ANUNCIO*CC289+W_USO*CH289+W_SEGURIDAD*CJ289+W_ETIQUETA*CD289-CK289</f>
        <v/>
      </c>
      <c r="CM289" s="4">
        <f>IF(N(I289)&gt;0,I289,IFERROR(ROUND(_xlfn.NUMBERVALUE(LEFT(G289,FIND(" ",G289&amp;" ")-1),".")*1000,0),99999))</f>
        <v/>
      </c>
      <c r="CN289" s="3">
        <f>IF(R289="profesional",0,IF(O289&lt;CUOTA_VALOR_MAX,IF(BA289&gt;ITP_TRAMO_ALTO,SUMIFS(CF_CUOTA,CF_MAS,ITP_TRAMO_ALTO,CF_CCMIN,"&lt;="&amp;CM289,CF_CCMAX,"&gt;="&amp;CM289),IF(BA289&gt;ITP_TRAMO_BAJO,SUMIFS(CF_CUOTA,CF_MAS,ITP_TRAMO_BAJO,CF_CCMIN,"&lt;="&amp;CM289,CF_CCMAX,"&gt;="&amp;CM289),O289*ITP_TIPO)),O289*ITP_TIPO))</f>
        <v/>
      </c>
      <c r="CO289" s="4">
        <f>IF(R289="profesional",N(AK289),0)</f>
        <v/>
      </c>
      <c r="CP289" s="3">
        <f>IF(AND(R289="profesional",ISNUMBER(AK289),AL289="sí"),0,TASA_DGT)</f>
        <v/>
      </c>
      <c r="CQ289" s="3">
        <f>INFORME_DGT</f>
        <v/>
      </c>
      <c r="CR289" s="4">
        <f>O289+CO289+CN289+CP289+CQ289</f>
        <v/>
      </c>
      <c r="CS289" s="4">
        <f>CR289+N(CF289)</f>
        <v/>
      </c>
      <c r="CT289" s="3">
        <f>IF(CR289&lt;=TOTAL_MAX,"sí",IF(CR289&lt;=TOTAL_MAX+MARGEN_NEG,"negociar","no"))</f>
        <v/>
      </c>
      <c r="CU289" s="4">
        <f>IF(CT289&lt;&gt;"no",COUNTIFS($CT$2:$CT$545,"&lt;&gt;no",$CL$2:$CL$545,"&gt;"&amp;CL289)+COUNTIFS($CT$2:CT289,"&lt;&gt;no",$CL$2:CL289,CL289),"")</f>
        <v/>
      </c>
    </row>
    <row r="290">
      <c r="A290" s="2" t="inlineStr">
        <is>
          <t>wallapop:1279395818</t>
        </is>
      </c>
      <c r="B290" s="2" t="inlineStr">
        <is>
          <t>wallapop</t>
        </is>
      </c>
      <c r="C290" s="2" t="inlineStr">
        <is>
          <t>https://es.wallapop.com/item/ford-ka-2015-1279395818</t>
        </is>
      </c>
      <c r="D290" s="2" t="inlineStr">
        <is>
          <t>Ford Ka 2015</t>
        </is>
      </c>
      <c r="E290" s="2" t="inlineStr">
        <is>
          <t>Ford</t>
        </is>
      </c>
      <c r="F290" s="2" t="inlineStr">
        <is>
          <t>Ford Ka</t>
        </is>
      </c>
      <c r="G290" s="2" t="inlineStr">
        <is>
          <t>1.2</t>
        </is>
      </c>
      <c r="H290" s="2" t="inlineStr">
        <is>
          <t>1.2 69 Black &amp; White Edition 3p S/S</t>
        </is>
      </c>
      <c r="I290" s="2" t="n"/>
      <c r="J290" s="2" t="n">
        <v>69</v>
      </c>
      <c r="K290" s="2" t="inlineStr">
        <is>
          <t>gasolina</t>
        </is>
      </c>
      <c r="L290" s="2" t="inlineStr">
        <is>
          <t>utilitario</t>
        </is>
      </c>
      <c r="M290" s="2" t="n">
        <v>2015</v>
      </c>
      <c r="N290" s="2" t="n">
        <v>89000</v>
      </c>
      <c r="O290" s="2" t="n">
        <v>5200</v>
      </c>
      <c r="P290" s="2" t="inlineStr">
        <is>
          <t>manual</t>
        </is>
      </c>
      <c r="Q290" s="2" t="inlineStr">
        <is>
          <t>no</t>
        </is>
      </c>
      <c r="R290" s="2" t="inlineStr">
        <is>
          <t>particular</t>
        </is>
      </c>
      <c r="S290" s="2" t="inlineStr">
        <is>
          <t>Valencia (46008)</t>
        </is>
      </c>
      <c r="T290" s="2" t="inlineStr">
        <is>
          <t>2026-10-16T11:10:12</t>
        </is>
      </c>
      <c r="U290" s="2" t="n">
        <v>10</v>
      </c>
      <c r="V290" s="2" t="inlineStr">
        <is>
          <t>sí</t>
        </is>
      </c>
      <c r="W290" s="2" t="n"/>
      <c r="X290" s="2" t="n"/>
      <c r="Y290" s="2" t="n"/>
      <c r="Z290" s="2" t="n"/>
      <c r="AA290" s="2" t="n"/>
      <c r="AB290" s="2" t="n"/>
      <c r="AC290" s="2" t="n"/>
      <c r="AD290" s="2" t="n"/>
      <c r="AE290" s="2" t="n"/>
      <c r="AF290" s="2" t="n"/>
      <c r="AG290" s="2" t="n"/>
      <c r="AH290" s="2" t="n"/>
      <c r="AI290" s="2" t="n"/>
      <c r="AJ290" s="2" t="n"/>
      <c r="AK290" s="2" t="n"/>
      <c r="AL290" s="2" t="n"/>
      <c r="AM290" s="2" t="n">
        <v>1.3</v>
      </c>
      <c r="AN290" s="2" t="n"/>
      <c r="AO290" s="2" t="inlineStr">
        <is>
          <t>2015</t>
        </is>
      </c>
      <c r="AP290" s="2" t="n">
        <v>2015</v>
      </c>
      <c r="AQ290" s="2" t="n"/>
      <c r="AR290" s="2" t="n"/>
      <c r="AS290" s="2" t="inlineStr">
        <is>
          <t>regla</t>
        </is>
      </c>
      <c r="AT290" s="2" t="n">
        <v>5095</v>
      </c>
      <c r="AU290" s="2" t="n">
        <v>4</v>
      </c>
      <c r="AV290" s="2" t="inlineStr">
        <is>
          <t>modelo+año+km</t>
        </is>
      </c>
      <c r="AW290" s="2" t="n"/>
      <c r="AX290" s="2" t="inlineStr">
        <is>
          <t>cuota fija ITP: &gt;5 y &lt;=12 años, hasta 1.500 cc; fiabilidad del modelo PENDIENTE de fuente (puntuación neutra)</t>
        </is>
      </c>
      <c r="AY290" s="2" t="inlineStr">
        <is>
          <t>Ford ka, de diciembre de 2015, ITV en vigor, ruedas nuevas, auto STAR STOP, ayuda en cuestas, perfecto estado.</t>
        </is>
      </c>
      <c r="AZ290" s="2" t="inlineStr">
        <is>
          <t>https://es.wallapop.com/item/ford-ka-2015-1279395818 (__NEXT_DATA__ item) /home/user/Alopecia/buscador-coches/raw/wallapop/69375b97484bdf57.json</t>
        </is>
      </c>
      <c r="BA290" s="3">
        <f>MAX(ANIO_ACTUAL-M290,0)</f>
        <v/>
      </c>
      <c r="BB290" s="4">
        <f>N290/MAX(BA290,0.5)</f>
        <v/>
      </c>
      <c r="BC290" s="4">
        <f>F290</f>
        <v/>
      </c>
      <c r="BD290" s="3">
        <f>BC290&amp;"|"&amp;INT(M290/SEG_ANIO)*SEG_ANIO</f>
        <v/>
      </c>
      <c r="BE290" s="3">
        <f>BD290&amp;"|"&amp;INT(N290/SEG_KM)*SEG_KM</f>
        <v/>
      </c>
      <c r="BF290" s="4">
        <f>COUNTIF($BC$2:$BC$545,BC290)</f>
        <v/>
      </c>
      <c r="BG290" s="4">
        <f>COUNTIF($BD$2:$BD$545,BD290)</f>
        <v/>
      </c>
      <c r="BH290" s="4">
        <f>COUNTIF($BE$2:$BE$545,BE290)</f>
        <v/>
      </c>
      <c r="BI290" s="3">
        <f t="array" ref="BI290">IF(N(AU290)&gt;=MIN_N,AT290,IF(BH290&gt;=MIN_N,MEDIAN(IF($BE$2:$BE$545=BE290,$O$2:$O$545)),IF(BG290&gt;=MIN_N,MEDIAN(IF($BD$2:$BD$545=BD290,$O$2:$O$545)),MEDIAN(IF($BC$2:$BC$545=BC290,$O$2:$O$545)))))</f>
        <v/>
      </c>
      <c r="BJ290" s="3">
        <f>IF(N(AU290)&gt;=MIN_N,"mercado "&amp;AV290,IF(BH290&gt;=MIN_N,"modelo+año+km",IF(BG290&gt;=MIN_N,"modelo+año","modelo")))</f>
        <v/>
      </c>
      <c r="BK290" s="4">
        <f>(BI290-O290)/BI290</f>
        <v/>
      </c>
      <c r="BL290" s="3">
        <f>IF(COUNTIFS(FR_FUEL,K290,FR_YEAR,AP290)&gt;0,1,0)</f>
        <v/>
      </c>
      <c r="BM290" s="3">
        <f>IF(COUNTIFS(FR_FUEL,K290,FR_YEAR,AP290-1)&gt;0,1,0)</f>
        <v/>
      </c>
      <c r="BN290" s="4">
        <f>IF(N(AQ290)&gt;0,AP290*100+AQ290,IF(AND(BL290=1,BM290=1),(AP290-1)*100+1,AP290*100+1))</f>
        <v/>
      </c>
      <c r="BO290" s="3">
        <f>IF(OR(K290="hibrido",K290="glp",K290="gnc",K290="phev"),"ECO",IF(K290="electrico","CERO",IF(K290="gasolina",IF(BN290&gt;=GAS_C_YM,"C",IF(BN290&gt;=GAS_B_YM,"B","A")),IF(K290="diesel",IF(BN290&gt;=DIE_C_YM,"C",IF(BN290&gt;=DIE_B_YM,"B","A")),""))))</f>
        <v/>
      </c>
      <c r="BP290" s="4">
        <f>BO290</f>
        <v/>
      </c>
      <c r="BQ290" s="4">
        <f>IF(AS290="regla",IF(AND(N(AQ290)=0,BL290=1),"sí","no"),"no")</f>
        <v/>
      </c>
      <c r="BR290" s="3">
        <f>IFERROR(VLOOKUP(F290,MOD_TBL,11,0),IFERROR(VLOOKUP(E290,OCU_TBL,2,0),NEUTRO))</f>
        <v/>
      </c>
      <c r="BS290" s="3">
        <f>SUMIFS(MOT_AJUSTE,MOT_MOTOR,G290,MOT_MARCA,E290,MOT_DESDE,"&lt;="&amp;M290,MOT_HASTA,"&gt;="&amp;M290)+SUMIFS(MOT_AJUSTE,MOT_MOTOR,G290,MOT_MARCA,"(todas)",MOT_DESDE,"&lt;="&amp;M290,MOT_HASTA,"&gt;="&amp;M290)</f>
        <v/>
      </c>
      <c r="BT290" s="3">
        <f>SUMIFS(COMB_AJUSTE,COMB_COMB,K290)</f>
        <v/>
      </c>
      <c r="BU290" s="3">
        <f>COUNTIFS(MOT_MOTOR,G290,MOT_MARCA,E290,MOT_DESDE,"&lt;="&amp;M290,MOT_HASTA,"&gt;="&amp;M290)+COUNTIFS(MOT_MOTOR,G290,MOT_MARCA,"(todas)",MOT_DESDE,"&lt;="&amp;M290,MOT_HASTA,"&gt;="&amp;M290)</f>
        <v/>
      </c>
      <c r="BV290" s="3">
        <f>IF(AND(K290="diesel",BU290=0),MIN(BR290,NEUTRO),BR290)</f>
        <v/>
      </c>
      <c r="BW290" s="4">
        <f>MAX(0,MIN(100,BV290+BS290+BT290))</f>
        <v/>
      </c>
      <c r="BX290" s="3">
        <f>MAX(0,MIN(100,50+BK290*PRECIO_PEND))</f>
        <v/>
      </c>
      <c r="BY290" s="3">
        <f>MAX(0,100*(1-N290/KM_MAX))</f>
        <v/>
      </c>
      <c r="BZ290" s="3">
        <f>IF(BB290&lt;KMA_SOSP,IF(AA290="sí",100,KMA_PEN),IF(BB290&lt;=KMA_IDEAL_MAX,100,MAX(0,100*(KMA_CERO-BB290)/(KMA_CERO-KMA_IDEAL_MAX))))</f>
        <v/>
      </c>
      <c r="CA290" s="3">
        <f>MAX(0,MIN(100,100*(M290-ANIO_MIN)/(ANIO_ACTUAL-ANIO_MIN)))</f>
        <v/>
      </c>
      <c r="CB290" s="3">
        <f>W_KMT*BY290+W_KMA*BZ290+W_EDAD*CA290</f>
        <v/>
      </c>
      <c r="CC290" s="3">
        <f>P_ITV*(V290="sí")+P_LIBRO*(W290="sí")+P_CORREA*(X290="sí")+P_PROP*(Y290=1)+P_GAR*(Z290="sí")+P_FOTOS*MIN(1,N(U290)/FOTOS_OBJ)</f>
        <v/>
      </c>
      <c r="CD290" s="3">
        <f>MAX(0,MIN(100,IFERROR(VLOOKUP(BP290,ETQ_TBL,2,0),0)-IF(BQ290="sí",ETQ_PEN_DUD,IF(AS290="regla",ETQ_PEN_REGLA,0))))</f>
        <v/>
      </c>
      <c r="CE290" s="3">
        <f>NEUTRO</f>
        <v/>
      </c>
      <c r="CF290" s="3">
        <f>IFERROR(VLOOKUP(L290,SEGURO_TBL,3,0),"")</f>
        <v/>
      </c>
      <c r="CG290" s="3">
        <f>IF(CF290="",NEUTRO,MAX(0,MIN(100,100*(SEG_REF_MAX-CF290)/(SEG_REF_MAX-SEG_REF_MIN))))</f>
        <v/>
      </c>
      <c r="CH290" s="3">
        <f>W_CONS*CE290+W_SEG*CG290</f>
        <v/>
      </c>
      <c r="CI290" s="3">
        <f>IF(N(AB290)&gt;0,AB290,IF(AND(R290="profesional",SG_LEGAL_ON=1),GAR_LEGAL,0))</f>
        <v/>
      </c>
      <c r="CJ290" s="3">
        <f>SG_GAR*MIN(1,CI290/SG_GAR_FULL)+SG_AMPL*(AC290="sí")+SG_KMC*(AF290="sí")+SG_REV*(N(AE290)&gt;0)+SG_DEV*MIN(1,N(AG290)/SG_DEV_FULL)+SG_HIST*(W290="sí")</f>
        <v/>
      </c>
      <c r="CK290" s="3">
        <f>IFERROR(VLOOKUP(L290,CARR_PEN_TBL,2,0),0)</f>
        <v/>
      </c>
      <c r="CL290" s="3">
        <f>W_FIAB*BW290+W_PRECIO*BX290+W_KMEDAD*CB290+W_ANUNCIO*CC290+W_USO*CH290+W_SEGURIDAD*CJ290+W_ETIQUETA*CD290-CK290</f>
        <v/>
      </c>
      <c r="CM290" s="4">
        <f>IF(N(I290)&gt;0,I290,IFERROR(ROUND(_xlfn.NUMBERVALUE(LEFT(G290,FIND(" ",G290&amp;" ")-1),".")*1000,0),99999))</f>
        <v/>
      </c>
      <c r="CN290" s="3">
        <f>IF(R290="profesional",0,IF(O290&lt;CUOTA_VALOR_MAX,IF(BA290&gt;ITP_TRAMO_ALTO,SUMIFS(CF_CUOTA,CF_MAS,ITP_TRAMO_ALTO,CF_CCMIN,"&lt;="&amp;CM290,CF_CCMAX,"&gt;="&amp;CM290),IF(BA290&gt;ITP_TRAMO_BAJO,SUMIFS(CF_CUOTA,CF_MAS,ITP_TRAMO_BAJO,CF_CCMIN,"&lt;="&amp;CM290,CF_CCMAX,"&gt;="&amp;CM290),O290*ITP_TIPO)),O290*ITP_TIPO))</f>
        <v/>
      </c>
      <c r="CO290" s="4">
        <f>IF(R290="profesional",N(AK290),0)</f>
        <v/>
      </c>
      <c r="CP290" s="3">
        <f>IF(AND(R290="profesional",ISNUMBER(AK290),AL290="sí"),0,TASA_DGT)</f>
        <v/>
      </c>
      <c r="CQ290" s="3">
        <f>INFORME_DGT</f>
        <v/>
      </c>
      <c r="CR290" s="4">
        <f>O290+CO290+CN290+CP290+CQ290</f>
        <v/>
      </c>
      <c r="CS290" s="4">
        <f>CR290+N(CF290)</f>
        <v/>
      </c>
      <c r="CT290" s="3">
        <f>IF(CR290&lt;=TOTAL_MAX,"sí",IF(CR290&lt;=TOTAL_MAX+MARGEN_NEG,"negociar","no"))</f>
        <v/>
      </c>
      <c r="CU290" s="4">
        <f>IF(CT290&lt;&gt;"no",COUNTIFS($CT$2:$CT$545,"&lt;&gt;no",$CL$2:$CL$545,"&gt;"&amp;CL290)+COUNTIFS($CT$2:CT290,"&lt;&gt;no",$CL$2:CL290,CL290),"")</f>
        <v/>
      </c>
    </row>
    <row r="291">
      <c r="A291" s="2" t="inlineStr">
        <is>
          <t>wallapop:1313786761</t>
        </is>
      </c>
      <c r="B291" s="2" t="inlineStr">
        <is>
          <t>wallapop</t>
        </is>
      </c>
      <c r="C291" s="2" t="inlineStr">
        <is>
          <t>https://es.wallapop.com/item/ford-fiesta-1-4-96-cv-manual-gasolina-1313786761</t>
        </is>
      </c>
      <c r="D291" s="2" t="inlineStr">
        <is>
          <t>Ford Fiesta 1.4 96 Cv Manual Gasolina</t>
        </is>
      </c>
      <c r="E291" s="2" t="inlineStr">
        <is>
          <t>Ford</t>
        </is>
      </c>
      <c r="F291" s="2" t="inlineStr">
        <is>
          <t>Ford Fiesta</t>
        </is>
      </c>
      <c r="G291" s="2" t="inlineStr">
        <is>
          <t>1.4</t>
        </is>
      </c>
      <c r="H291" s="2" t="inlineStr">
        <is>
          <t>1.4 Duratec 96 Trend 5p MY11</t>
        </is>
      </c>
      <c r="I291" s="2" t="n"/>
      <c r="J291" s="2" t="n">
        <v>96</v>
      </c>
      <c r="K291" s="2" t="inlineStr">
        <is>
          <t>gasolina</t>
        </is>
      </c>
      <c r="L291" s="2" t="inlineStr">
        <is>
          <t>utilitario</t>
        </is>
      </c>
      <c r="M291" s="2" t="n">
        <v>2011</v>
      </c>
      <c r="N291" s="2" t="n">
        <v>149326</v>
      </c>
      <c r="O291" s="2" t="n">
        <v>4700</v>
      </c>
      <c r="P291" s="2" t="inlineStr">
        <is>
          <t>manual</t>
        </is>
      </c>
      <c r="Q291" s="2" t="inlineStr">
        <is>
          <t>no</t>
        </is>
      </c>
      <c r="R291" s="2" t="inlineStr">
        <is>
          <t>particular</t>
        </is>
      </c>
      <c r="S291" s="2" t="inlineStr">
        <is>
          <t>Valencia (46002)</t>
        </is>
      </c>
      <c r="T291" s="2" t="inlineStr">
        <is>
          <t>2026-10-18T12:45:59</t>
        </is>
      </c>
      <c r="U291" s="2" t="n">
        <v>10</v>
      </c>
      <c r="V291" s="2" t="inlineStr">
        <is>
          <t>sí</t>
        </is>
      </c>
      <c r="W291" s="2" t="n"/>
      <c r="X291" s="2" t="n"/>
      <c r="Y291" s="2" t="n"/>
      <c r="Z291" s="2" t="n"/>
      <c r="AA291" s="2" t="n"/>
      <c r="AB291" s="2" t="n"/>
      <c r="AC291" s="2" t="n"/>
      <c r="AD291" s="2" t="n"/>
      <c r="AE291" s="2" t="n"/>
      <c r="AF291" s="2" t="n"/>
      <c r="AG291" s="2" t="n"/>
      <c r="AH291" s="2" t="n"/>
      <c r="AI291" s="2" t="n"/>
      <c r="AJ291" s="2" t="n"/>
      <c r="AK291" s="2" t="n"/>
      <c r="AL291" s="2" t="n"/>
      <c r="AM291" s="2" t="n">
        <v>0.8</v>
      </c>
      <c r="AN291" s="2" t="n"/>
      <c r="AO291" s="2" t="inlineStr">
        <is>
          <t>2011</t>
        </is>
      </c>
      <c r="AP291" s="2" t="n">
        <v>2011</v>
      </c>
      <c r="AQ291" s="2" t="n"/>
      <c r="AR291" s="2" t="n"/>
      <c r="AS291" s="2" t="inlineStr">
        <is>
          <t>regla</t>
        </is>
      </c>
      <c r="AT291" s="2" t="n">
        <v>4700</v>
      </c>
      <c r="AU291" s="2" t="n">
        <v>4</v>
      </c>
      <c r="AV291" s="2" t="inlineStr">
        <is>
          <t>modelo+año+km</t>
        </is>
      </c>
      <c r="AW291" s="2" t="inlineStr">
        <is>
          <t>cochesnet:71790318 (https://www.coches.net/ford-fiesta-14-trend-5p-gasolina-2011-en-valencia-71790318-covo.aspx)</t>
        </is>
      </c>
      <c r="AX291" s="2" t="inlineStr">
        <is>
          <t>cuota fija ITP: &gt;12 años, hasta 1.500 cc</t>
        </is>
      </c>
      <c r="AY291" s="2" t="inlineStr">
        <is>
          <t xml:space="preserve">Ford Fiesta 1.4 96 Cv Manual Gasolina
Buen estado en general, interior como exterior, a falta del desperfecto en la puerta derecha trasera causado por una columna, aunque no afecta para nada su funcionamiento.
- Puertas con paneles de insonorización
- Altavoces cambiados
- Aire acondicionado recargado
- Muelles del maletero cambiados
- Motor de arranque cambiado en 2022
- Fuelles cambiados en 2023
- Batería en buen estado, cambiada en 2024
- Ruedas en buen estado
- Embrague cambiado en 2024
- Pastillas cambiadas en 2024
- Bujías cambiadas en 2025
- Genevo avisador radar incluido
- Rueda de repuesto
- Pinzas de arranque
- Baliza
Únicamente necesita:
- Revisión de aceite + filtro a los 154.000km.
- Cambio de discos + pastillas delanteros más adelante.
- Más fotos o videos por privado
- Se puede ver o probar sin compromiso
- Revisión en taller sin problema
- Además, aporto facturas de cosas que se han hecho
- Impuesto de circulación pagado
- Itv hasta Abril 2027
</t>
        </is>
      </c>
      <c r="AZ291" s="2" t="inlineStr">
        <is>
          <t>https://es.wallapop.com/item/ford-fiesta-1-4-96-cv-manual-gasolina-1313786761 (__NEXT_DATA__ item) /home/user/Alopecia/buscador-coches/raw/wallapop/7a1443a1356713cc.json</t>
        </is>
      </c>
      <c r="BA291" s="3">
        <f>MAX(ANIO_ACTUAL-M291,0)</f>
        <v/>
      </c>
      <c r="BB291" s="4">
        <f>N291/MAX(BA291,0.5)</f>
        <v/>
      </c>
      <c r="BC291" s="4">
        <f>F291</f>
        <v/>
      </c>
      <c r="BD291" s="3">
        <f>BC291&amp;"|"&amp;INT(M291/SEG_ANIO)*SEG_ANIO</f>
        <v/>
      </c>
      <c r="BE291" s="3">
        <f>BD291&amp;"|"&amp;INT(N291/SEG_KM)*SEG_KM</f>
        <v/>
      </c>
      <c r="BF291" s="4">
        <f>COUNTIF($BC$2:$BC$545,BC291)</f>
        <v/>
      </c>
      <c r="BG291" s="4">
        <f>COUNTIF($BD$2:$BD$545,BD291)</f>
        <v/>
      </c>
      <c r="BH291" s="4">
        <f>COUNTIF($BE$2:$BE$545,BE291)</f>
        <v/>
      </c>
      <c r="BI291" s="3">
        <f t="array" ref="BI291">IF(N(AU291)&gt;=MIN_N,AT291,IF(BH291&gt;=MIN_N,MEDIAN(IF($BE$2:$BE$545=BE291,$O$2:$O$545)),IF(BG291&gt;=MIN_N,MEDIAN(IF($BD$2:$BD$545=BD291,$O$2:$O$545)),MEDIAN(IF($BC$2:$BC$545=BC291,$O$2:$O$545)))))</f>
        <v/>
      </c>
      <c r="BJ291" s="3">
        <f>IF(N(AU291)&gt;=MIN_N,"mercado "&amp;AV291,IF(BH291&gt;=MIN_N,"modelo+año+km",IF(BG291&gt;=MIN_N,"modelo+año","modelo")))</f>
        <v/>
      </c>
      <c r="BK291" s="4">
        <f>(BI291-O291)/BI291</f>
        <v/>
      </c>
      <c r="BL291" s="3">
        <f>IF(COUNTIFS(FR_FUEL,K291,FR_YEAR,AP291)&gt;0,1,0)</f>
        <v/>
      </c>
      <c r="BM291" s="3">
        <f>IF(COUNTIFS(FR_FUEL,K291,FR_YEAR,AP291-1)&gt;0,1,0)</f>
        <v/>
      </c>
      <c r="BN291" s="4">
        <f>IF(N(AQ291)&gt;0,AP291*100+AQ291,IF(AND(BL291=1,BM291=1),(AP291-1)*100+1,AP291*100+1))</f>
        <v/>
      </c>
      <c r="BO291" s="3">
        <f>IF(OR(K291="hibrido",K291="glp",K291="gnc",K291="phev"),"ECO",IF(K291="electrico","CERO",IF(K291="gasolina",IF(BN291&gt;=GAS_C_YM,"C",IF(BN291&gt;=GAS_B_YM,"B","A")),IF(K291="diesel",IF(BN291&gt;=DIE_C_YM,"C",IF(BN291&gt;=DIE_B_YM,"B","A")),""))))</f>
        <v/>
      </c>
      <c r="BP291" s="4">
        <f>BO291</f>
        <v/>
      </c>
      <c r="BQ291" s="4">
        <f>IF(AS291="regla",IF(AND(N(AQ291)=0,BL291=1),"sí","no"),"no")</f>
        <v/>
      </c>
      <c r="BR291" s="3">
        <f>IFERROR(VLOOKUP(F291,MOD_TBL,11,0),IFERROR(VLOOKUP(E291,OCU_TBL,2,0),NEUTRO))</f>
        <v/>
      </c>
      <c r="BS291" s="3">
        <f>SUMIFS(MOT_AJUSTE,MOT_MOTOR,G291,MOT_MARCA,E291,MOT_DESDE,"&lt;="&amp;M291,MOT_HASTA,"&gt;="&amp;M291)+SUMIFS(MOT_AJUSTE,MOT_MOTOR,G291,MOT_MARCA,"(todas)",MOT_DESDE,"&lt;="&amp;M291,MOT_HASTA,"&gt;="&amp;M291)</f>
        <v/>
      </c>
      <c r="BT291" s="3">
        <f>SUMIFS(COMB_AJUSTE,COMB_COMB,K291)</f>
        <v/>
      </c>
      <c r="BU291" s="3">
        <f>COUNTIFS(MOT_MOTOR,G291,MOT_MARCA,E291,MOT_DESDE,"&lt;="&amp;M291,MOT_HASTA,"&gt;="&amp;M291)+COUNTIFS(MOT_MOTOR,G291,MOT_MARCA,"(todas)",MOT_DESDE,"&lt;="&amp;M291,MOT_HASTA,"&gt;="&amp;M291)</f>
        <v/>
      </c>
      <c r="BV291" s="3">
        <f>IF(AND(K291="diesel",BU291=0),MIN(BR291,NEUTRO),BR291)</f>
        <v/>
      </c>
      <c r="BW291" s="4">
        <f>MAX(0,MIN(100,BV291+BS291+BT291))</f>
        <v/>
      </c>
      <c r="BX291" s="3">
        <f>MAX(0,MIN(100,50+BK291*PRECIO_PEND))</f>
        <v/>
      </c>
      <c r="BY291" s="3">
        <f>MAX(0,100*(1-N291/KM_MAX))</f>
        <v/>
      </c>
      <c r="BZ291" s="3">
        <f>IF(BB291&lt;KMA_SOSP,IF(AA291="sí",100,KMA_PEN),IF(BB291&lt;=KMA_IDEAL_MAX,100,MAX(0,100*(KMA_CERO-BB291)/(KMA_CERO-KMA_IDEAL_MAX))))</f>
        <v/>
      </c>
      <c r="CA291" s="3">
        <f>MAX(0,MIN(100,100*(M291-ANIO_MIN)/(ANIO_ACTUAL-ANIO_MIN)))</f>
        <v/>
      </c>
      <c r="CB291" s="3">
        <f>W_KMT*BY291+W_KMA*BZ291+W_EDAD*CA291</f>
        <v/>
      </c>
      <c r="CC291" s="3">
        <f>P_ITV*(V291="sí")+P_LIBRO*(W291="sí")+P_CORREA*(X291="sí")+P_PROP*(Y291=1)+P_GAR*(Z291="sí")+P_FOTOS*MIN(1,N(U291)/FOTOS_OBJ)</f>
        <v/>
      </c>
      <c r="CD291" s="3">
        <f>MAX(0,MIN(100,IFERROR(VLOOKUP(BP291,ETQ_TBL,2,0),0)-IF(BQ291="sí",ETQ_PEN_DUD,IF(AS291="regla",ETQ_PEN_REGLA,0))))</f>
        <v/>
      </c>
      <c r="CE291" s="3">
        <f>NEUTRO</f>
        <v/>
      </c>
      <c r="CF291" s="3">
        <f>IFERROR(VLOOKUP(L291,SEGURO_TBL,3,0),"")</f>
        <v/>
      </c>
      <c r="CG291" s="3">
        <f>IF(CF291="",NEUTRO,MAX(0,MIN(100,100*(SEG_REF_MAX-CF291)/(SEG_REF_MAX-SEG_REF_MIN))))</f>
        <v/>
      </c>
      <c r="CH291" s="3">
        <f>W_CONS*CE291+W_SEG*CG291</f>
        <v/>
      </c>
      <c r="CI291" s="3">
        <f>IF(N(AB291)&gt;0,AB291,IF(AND(R291="profesional",SG_LEGAL_ON=1),GAR_LEGAL,0))</f>
        <v/>
      </c>
      <c r="CJ291" s="3">
        <f>SG_GAR*MIN(1,CI291/SG_GAR_FULL)+SG_AMPL*(AC291="sí")+SG_KMC*(AF291="sí")+SG_REV*(N(AE291)&gt;0)+SG_DEV*MIN(1,N(AG291)/SG_DEV_FULL)+SG_HIST*(W291="sí")</f>
        <v/>
      </c>
      <c r="CK291" s="3">
        <f>IFERROR(VLOOKUP(L291,CARR_PEN_TBL,2,0),0)</f>
        <v/>
      </c>
      <c r="CL291" s="3">
        <f>W_FIAB*BW291+W_PRECIO*BX291+W_KMEDAD*CB291+W_ANUNCIO*CC291+W_USO*CH291+W_SEGURIDAD*CJ291+W_ETIQUETA*CD291-CK291</f>
        <v/>
      </c>
      <c r="CM291" s="4">
        <f>IF(N(I291)&gt;0,I291,IFERROR(ROUND(_xlfn.NUMBERVALUE(LEFT(G291,FIND(" ",G291&amp;" ")-1),".")*1000,0),99999))</f>
        <v/>
      </c>
      <c r="CN291" s="3">
        <f>IF(R291="profesional",0,IF(O291&lt;CUOTA_VALOR_MAX,IF(BA291&gt;ITP_TRAMO_ALTO,SUMIFS(CF_CUOTA,CF_MAS,ITP_TRAMO_ALTO,CF_CCMIN,"&lt;="&amp;CM291,CF_CCMAX,"&gt;="&amp;CM291),IF(BA291&gt;ITP_TRAMO_BAJO,SUMIFS(CF_CUOTA,CF_MAS,ITP_TRAMO_BAJO,CF_CCMIN,"&lt;="&amp;CM291,CF_CCMAX,"&gt;="&amp;CM291),O291*ITP_TIPO)),O291*ITP_TIPO))</f>
        <v/>
      </c>
      <c r="CO291" s="4">
        <f>IF(R291="profesional",N(AK291),0)</f>
        <v/>
      </c>
      <c r="CP291" s="3">
        <f>IF(AND(R291="profesional",ISNUMBER(AK291),AL291="sí"),0,TASA_DGT)</f>
        <v/>
      </c>
      <c r="CQ291" s="3">
        <f>INFORME_DGT</f>
        <v/>
      </c>
      <c r="CR291" s="4">
        <f>O291+CO291+CN291+CP291+CQ291</f>
        <v/>
      </c>
      <c r="CS291" s="4">
        <f>CR291+N(CF291)</f>
        <v/>
      </c>
      <c r="CT291" s="3">
        <f>IF(CR291&lt;=TOTAL_MAX,"sí",IF(CR291&lt;=TOTAL_MAX+MARGEN_NEG,"negociar","no"))</f>
        <v/>
      </c>
      <c r="CU291" s="4">
        <f>IF(CT291&lt;&gt;"no",COUNTIFS($CT$2:$CT$545,"&lt;&gt;no",$CL$2:$CL$545,"&gt;"&amp;CL291)+COUNTIFS($CT$2:CT291,"&lt;&gt;no",$CL$2:CL291,CL291),"")</f>
        <v/>
      </c>
    </row>
    <row r="292">
      <c r="A292" s="2" t="inlineStr">
        <is>
          <t>wallapop:1306658423</t>
        </is>
      </c>
      <c r="B292" s="2" t="inlineStr">
        <is>
          <t>wallapop</t>
        </is>
      </c>
      <c r="C292" s="2" t="inlineStr">
        <is>
          <t>https://es.wallapop.com/item/ford-fiesta-1-4-tdci-68cv-2009-perfecto-estado-1306658423</t>
        </is>
      </c>
      <c r="D292" s="2" t="inlineStr">
        <is>
          <t>Ford Fiesta 1.4 TDCi 68cv (2009) - Perfecto estado</t>
        </is>
      </c>
      <c r="E292" s="2" t="inlineStr">
        <is>
          <t>Ford</t>
        </is>
      </c>
      <c r="F292" s="2" t="inlineStr">
        <is>
          <t>Ford Fiesta</t>
        </is>
      </c>
      <c r="G292" s="2" t="inlineStr">
        <is>
          <t>1.4 TDCi</t>
        </is>
      </c>
      <c r="H292" s="2" t="inlineStr">
        <is>
          <t>1.4 TDCi 68 Trend 5p</t>
        </is>
      </c>
      <c r="I292" s="2" t="n"/>
      <c r="J292" s="2" t="n">
        <v>68</v>
      </c>
      <c r="K292" s="2" t="inlineStr">
        <is>
          <t>diesel</t>
        </is>
      </c>
      <c r="L292" s="2" t="inlineStr">
        <is>
          <t>utilitario</t>
        </is>
      </c>
      <c r="M292" s="2" t="n">
        <v>2009</v>
      </c>
      <c r="N292" s="2" t="n">
        <v>215000</v>
      </c>
      <c r="O292" s="2" t="n">
        <v>3800</v>
      </c>
      <c r="P292" s="2" t="inlineStr">
        <is>
          <t>manual</t>
        </is>
      </c>
      <c r="Q292" s="2" t="inlineStr">
        <is>
          <t>no</t>
        </is>
      </c>
      <c r="R292" s="2" t="inlineStr">
        <is>
          <t>particular</t>
        </is>
      </c>
      <c r="S292" s="2" t="inlineStr">
        <is>
          <t>Torrent (46900)</t>
        </is>
      </c>
      <c r="T292" s="2" t="inlineStr">
        <is>
          <t>2026-10-16T19:28:44</t>
        </is>
      </c>
      <c r="U292" s="2" t="n">
        <v>5</v>
      </c>
      <c r="V292" s="2" t="inlineStr">
        <is>
          <t>sí</t>
        </is>
      </c>
      <c r="W292" s="2" t="n"/>
      <c r="X292" s="2" t="n"/>
      <c r="Y292" s="2" t="n"/>
      <c r="Z292" s="2" t="n"/>
      <c r="AA292" s="2" t="n"/>
      <c r="AB292" s="2" t="n"/>
      <c r="AC292" s="2" t="n"/>
      <c r="AD292" s="2" t="n"/>
      <c r="AE292" s="2" t="n"/>
      <c r="AF292" s="2" t="n"/>
      <c r="AG292" s="2" t="n"/>
      <c r="AH292" s="2" t="n"/>
      <c r="AI292" s="2" t="n"/>
      <c r="AJ292" s="2" t="n"/>
      <c r="AK292" s="2" t="n"/>
      <c r="AL292" s="2" t="n"/>
      <c r="AM292" s="2" t="n">
        <v>8.5</v>
      </c>
      <c r="AN292" s="2" t="n"/>
      <c r="AO292" s="2" t="inlineStr">
        <is>
          <t>2009</t>
        </is>
      </c>
      <c r="AP292" s="2" t="n">
        <v>2009</v>
      </c>
      <c r="AQ292" s="2" t="n"/>
      <c r="AR292" s="2" t="n"/>
      <c r="AS292" s="2" t="inlineStr">
        <is>
          <t>regla</t>
        </is>
      </c>
      <c r="AT292" s="2" t="n">
        <v>3250</v>
      </c>
      <c r="AU292" s="2" t="n">
        <v>12</v>
      </c>
      <c r="AV292" s="2" t="inlineStr">
        <is>
          <t>modelo+año+km</t>
        </is>
      </c>
      <c r="AW292" s="2" t="n"/>
      <c r="AX292" s="2" t="inlineStr">
        <is>
          <t>cuota fija ITP: &gt;12 años, hasta 1.500 cc; diésel: motor sin fuente de fiabilidad (fiabilidad limitada a neutra)</t>
        </is>
      </c>
      <c r="AY292" s="2" t="inlineStr">
        <is>
          <t>Vendo Ford Fiesta 1.4 TDCi de 68 CV diésel del año 2009 en perfecto estado, tanto de mecánica como de chapa e interiores. Es un coche muy fiable, ágil y con un consumo ridículo, perfecto para el día a día (4,5l/100km).
Segundo dueño, el vehículo cuenta con un mantenimiento riguroso. Tiene la revisión completa recién pasada, neumáticos traseros a estrenar y la ITV hasta 09/2027.
Se puede ver y probar sin compromiso, y se acepta cualquier tipo de prueba mecánica en el taller de tu confianza.
Seriedad e interesados de verdad. Precio no negociable.</t>
        </is>
      </c>
      <c r="AZ292" s="2" t="inlineStr">
        <is>
          <t>https://es.wallapop.com/item/ford-fiesta-1-4-tdci-68cv-2009-perfecto-estado-1306658423 (__NEXT_DATA__ item) /home/user/Alopecia/buscador-coches/raw/wallapop/fb48b50797612622.json</t>
        </is>
      </c>
      <c r="BA292" s="3">
        <f>MAX(ANIO_ACTUAL-M292,0)</f>
        <v/>
      </c>
      <c r="BB292" s="4">
        <f>N292/MAX(BA292,0.5)</f>
        <v/>
      </c>
      <c r="BC292" s="4">
        <f>F292</f>
        <v/>
      </c>
      <c r="BD292" s="3">
        <f>BC292&amp;"|"&amp;INT(M292/SEG_ANIO)*SEG_ANIO</f>
        <v/>
      </c>
      <c r="BE292" s="3">
        <f>BD292&amp;"|"&amp;INT(N292/SEG_KM)*SEG_KM</f>
        <v/>
      </c>
      <c r="BF292" s="4">
        <f>COUNTIF($BC$2:$BC$545,BC292)</f>
        <v/>
      </c>
      <c r="BG292" s="4">
        <f>COUNTIF($BD$2:$BD$545,BD292)</f>
        <v/>
      </c>
      <c r="BH292" s="4">
        <f>COUNTIF($BE$2:$BE$545,BE292)</f>
        <v/>
      </c>
      <c r="BI292" s="3">
        <f t="array" ref="BI292">IF(N(AU292)&gt;=MIN_N,AT292,IF(BH292&gt;=MIN_N,MEDIAN(IF($BE$2:$BE$545=BE292,$O$2:$O$545)),IF(BG292&gt;=MIN_N,MEDIAN(IF($BD$2:$BD$545=BD292,$O$2:$O$545)),MEDIAN(IF($BC$2:$BC$545=BC292,$O$2:$O$545)))))</f>
        <v/>
      </c>
      <c r="BJ292" s="3">
        <f>IF(N(AU292)&gt;=MIN_N,"mercado "&amp;AV292,IF(BH292&gt;=MIN_N,"modelo+año+km",IF(BG292&gt;=MIN_N,"modelo+año","modelo")))</f>
        <v/>
      </c>
      <c r="BK292" s="4">
        <f>(BI292-O292)/BI292</f>
        <v/>
      </c>
      <c r="BL292" s="3">
        <f>IF(COUNTIFS(FR_FUEL,K292,FR_YEAR,AP292)&gt;0,1,0)</f>
        <v/>
      </c>
      <c r="BM292" s="3">
        <f>IF(COUNTIFS(FR_FUEL,K292,FR_YEAR,AP292-1)&gt;0,1,0)</f>
        <v/>
      </c>
      <c r="BN292" s="4">
        <f>IF(N(AQ292)&gt;0,AP292*100+AQ292,IF(AND(BL292=1,BM292=1),(AP292-1)*100+1,AP292*100+1))</f>
        <v/>
      </c>
      <c r="BO292" s="3">
        <f>IF(OR(K292="hibrido",K292="glp",K292="gnc",K292="phev"),"ECO",IF(K292="electrico","CERO",IF(K292="gasolina",IF(BN292&gt;=GAS_C_YM,"C",IF(BN292&gt;=GAS_B_YM,"B","A")),IF(K292="diesel",IF(BN292&gt;=DIE_C_YM,"C",IF(BN292&gt;=DIE_B_YM,"B","A")),""))))</f>
        <v/>
      </c>
      <c r="BP292" s="4">
        <f>BO292</f>
        <v/>
      </c>
      <c r="BQ292" s="4">
        <f>IF(AS292="regla",IF(AND(N(AQ292)=0,BL292=1),"sí","no"),"no")</f>
        <v/>
      </c>
      <c r="BR292" s="3">
        <f>IFERROR(VLOOKUP(F292,MOD_TBL,11,0),IFERROR(VLOOKUP(E292,OCU_TBL,2,0),NEUTRO))</f>
        <v/>
      </c>
      <c r="BS292" s="3">
        <f>SUMIFS(MOT_AJUSTE,MOT_MOTOR,G292,MOT_MARCA,E292,MOT_DESDE,"&lt;="&amp;M292,MOT_HASTA,"&gt;="&amp;M292)+SUMIFS(MOT_AJUSTE,MOT_MOTOR,G292,MOT_MARCA,"(todas)",MOT_DESDE,"&lt;="&amp;M292,MOT_HASTA,"&gt;="&amp;M292)</f>
        <v/>
      </c>
      <c r="BT292" s="3">
        <f>SUMIFS(COMB_AJUSTE,COMB_COMB,K292)</f>
        <v/>
      </c>
      <c r="BU292" s="3">
        <f>COUNTIFS(MOT_MOTOR,G292,MOT_MARCA,E292,MOT_DESDE,"&lt;="&amp;M292,MOT_HASTA,"&gt;="&amp;M292)+COUNTIFS(MOT_MOTOR,G292,MOT_MARCA,"(todas)",MOT_DESDE,"&lt;="&amp;M292,MOT_HASTA,"&gt;="&amp;M292)</f>
        <v/>
      </c>
      <c r="BV292" s="3">
        <f>IF(AND(K292="diesel",BU292=0),MIN(BR292,NEUTRO),BR292)</f>
        <v/>
      </c>
      <c r="BW292" s="4">
        <f>MAX(0,MIN(100,BV292+BS292+BT292))</f>
        <v/>
      </c>
      <c r="BX292" s="3">
        <f>MAX(0,MIN(100,50+BK292*PRECIO_PEND))</f>
        <v/>
      </c>
      <c r="BY292" s="3">
        <f>MAX(0,100*(1-N292/KM_MAX))</f>
        <v/>
      </c>
      <c r="BZ292" s="3">
        <f>IF(BB292&lt;KMA_SOSP,IF(AA292="sí",100,KMA_PEN),IF(BB292&lt;=KMA_IDEAL_MAX,100,MAX(0,100*(KMA_CERO-BB292)/(KMA_CERO-KMA_IDEAL_MAX))))</f>
        <v/>
      </c>
      <c r="CA292" s="3">
        <f>MAX(0,MIN(100,100*(M292-ANIO_MIN)/(ANIO_ACTUAL-ANIO_MIN)))</f>
        <v/>
      </c>
      <c r="CB292" s="3">
        <f>W_KMT*BY292+W_KMA*BZ292+W_EDAD*CA292</f>
        <v/>
      </c>
      <c r="CC292" s="3">
        <f>P_ITV*(V292="sí")+P_LIBRO*(W292="sí")+P_CORREA*(X292="sí")+P_PROP*(Y292=1)+P_GAR*(Z292="sí")+P_FOTOS*MIN(1,N(U292)/FOTOS_OBJ)</f>
        <v/>
      </c>
      <c r="CD292" s="3">
        <f>MAX(0,MIN(100,IFERROR(VLOOKUP(BP292,ETQ_TBL,2,0),0)-IF(BQ292="sí",ETQ_PEN_DUD,IF(AS292="regla",ETQ_PEN_REGLA,0))))</f>
        <v/>
      </c>
      <c r="CE292" s="3">
        <f>NEUTRO</f>
        <v/>
      </c>
      <c r="CF292" s="3">
        <f>IFERROR(VLOOKUP(L292,SEGURO_TBL,3,0),"")</f>
        <v/>
      </c>
      <c r="CG292" s="3">
        <f>IF(CF292="",NEUTRO,MAX(0,MIN(100,100*(SEG_REF_MAX-CF292)/(SEG_REF_MAX-SEG_REF_MIN))))</f>
        <v/>
      </c>
      <c r="CH292" s="3">
        <f>W_CONS*CE292+W_SEG*CG292</f>
        <v/>
      </c>
      <c r="CI292" s="3">
        <f>IF(N(AB292)&gt;0,AB292,IF(AND(R292="profesional",SG_LEGAL_ON=1),GAR_LEGAL,0))</f>
        <v/>
      </c>
      <c r="CJ292" s="3">
        <f>SG_GAR*MIN(1,CI292/SG_GAR_FULL)+SG_AMPL*(AC292="sí")+SG_KMC*(AF292="sí")+SG_REV*(N(AE292)&gt;0)+SG_DEV*MIN(1,N(AG292)/SG_DEV_FULL)+SG_HIST*(W292="sí")</f>
        <v/>
      </c>
      <c r="CK292" s="3">
        <f>IFERROR(VLOOKUP(L292,CARR_PEN_TBL,2,0),0)</f>
        <v/>
      </c>
      <c r="CL292" s="3">
        <f>W_FIAB*BW292+W_PRECIO*BX292+W_KMEDAD*CB292+W_ANUNCIO*CC292+W_USO*CH292+W_SEGURIDAD*CJ292+W_ETIQUETA*CD292-CK292</f>
        <v/>
      </c>
      <c r="CM292" s="4">
        <f>IF(N(I292)&gt;0,I292,IFERROR(ROUND(_xlfn.NUMBERVALUE(LEFT(G292,FIND(" ",G292&amp;" ")-1),".")*1000,0),99999))</f>
        <v/>
      </c>
      <c r="CN292" s="3">
        <f>IF(R292="profesional",0,IF(O292&lt;CUOTA_VALOR_MAX,IF(BA292&gt;ITP_TRAMO_ALTO,SUMIFS(CF_CUOTA,CF_MAS,ITP_TRAMO_ALTO,CF_CCMIN,"&lt;="&amp;CM292,CF_CCMAX,"&gt;="&amp;CM292),IF(BA292&gt;ITP_TRAMO_BAJO,SUMIFS(CF_CUOTA,CF_MAS,ITP_TRAMO_BAJO,CF_CCMIN,"&lt;="&amp;CM292,CF_CCMAX,"&gt;="&amp;CM292),O292*ITP_TIPO)),O292*ITP_TIPO))</f>
        <v/>
      </c>
      <c r="CO292" s="4">
        <f>IF(R292="profesional",N(AK292),0)</f>
        <v/>
      </c>
      <c r="CP292" s="3">
        <f>IF(AND(R292="profesional",ISNUMBER(AK292),AL292="sí"),0,TASA_DGT)</f>
        <v/>
      </c>
      <c r="CQ292" s="3">
        <f>INFORME_DGT</f>
        <v/>
      </c>
      <c r="CR292" s="4">
        <f>O292+CO292+CN292+CP292+CQ292</f>
        <v/>
      </c>
      <c r="CS292" s="4">
        <f>CR292+N(CF292)</f>
        <v/>
      </c>
      <c r="CT292" s="3">
        <f>IF(CR292&lt;=TOTAL_MAX,"sí",IF(CR292&lt;=TOTAL_MAX+MARGEN_NEG,"negociar","no"))</f>
        <v/>
      </c>
      <c r="CU292" s="4">
        <f>IF(CT292&lt;&gt;"no",COUNTIFS($CT$2:$CT$545,"&lt;&gt;no",$CL$2:$CL$545,"&gt;"&amp;CL292)+COUNTIFS($CT$2:CT292,"&lt;&gt;no",$CL$2:CL292,CL292),"")</f>
        <v/>
      </c>
    </row>
    <row r="293">
      <c r="A293" s="2" t="inlineStr">
        <is>
          <t>wallapop:1299696661</t>
        </is>
      </c>
      <c r="B293" s="2" t="inlineStr">
        <is>
          <t>wallapop</t>
        </is>
      </c>
      <c r="C293" s="2" t="inlineStr">
        <is>
          <t>https://es.wallapop.com/item/ford-fiesta-2010-1299696661</t>
        </is>
      </c>
      <c r="D293" s="2" t="inlineStr">
        <is>
          <t>Ford Fiesta 2010</t>
        </is>
      </c>
      <c r="E293" s="2" t="inlineStr">
        <is>
          <t>Ford</t>
        </is>
      </c>
      <c r="F293" s="2" t="inlineStr">
        <is>
          <t>Ford Fiesta</t>
        </is>
      </c>
      <c r="G293" s="2" t="inlineStr">
        <is>
          <t>1.4</t>
        </is>
      </c>
      <c r="H293" s="2" t="inlineStr">
        <is>
          <t>1.4 96 Titanium 5p</t>
        </is>
      </c>
      <c r="I293" s="2" t="n"/>
      <c r="J293" s="2" t="n">
        <v>96</v>
      </c>
      <c r="K293" s="2" t="inlineStr">
        <is>
          <t>diesel</t>
        </is>
      </c>
      <c r="L293" s="2" t="inlineStr">
        <is>
          <t>utilitario</t>
        </is>
      </c>
      <c r="M293" s="2" t="n">
        <v>2010</v>
      </c>
      <c r="N293" s="2" t="n">
        <v>188707</v>
      </c>
      <c r="O293" s="2" t="n">
        <v>4000</v>
      </c>
      <c r="P293" s="2" t="inlineStr">
        <is>
          <t>manual</t>
        </is>
      </c>
      <c r="Q293" s="2" t="inlineStr">
        <is>
          <t>no</t>
        </is>
      </c>
      <c r="R293" s="2" t="inlineStr">
        <is>
          <t>particular</t>
        </is>
      </c>
      <c r="S293" s="2" t="inlineStr">
        <is>
          <t>Torrent (46900)</t>
        </is>
      </c>
      <c r="T293" s="2" t="inlineStr">
        <is>
          <t>2026-09-08T17:38:02</t>
        </is>
      </c>
      <c r="U293" s="2" t="n">
        <v>6</v>
      </c>
      <c r="V293" s="2" t="inlineStr">
        <is>
          <t>sí</t>
        </is>
      </c>
      <c r="W293" s="2" t="n"/>
      <c r="X293" s="2" t="n"/>
      <c r="Y293" s="2" t="n"/>
      <c r="Z293" s="2" t="n"/>
      <c r="AA293" s="2" t="n"/>
      <c r="AB293" s="2" t="n"/>
      <c r="AC293" s="2" t="n"/>
      <c r="AD293" s="2" t="n"/>
      <c r="AE293" s="2" t="n"/>
      <c r="AF293" s="2" t="n"/>
      <c r="AG293" s="2" t="n"/>
      <c r="AH293" s="2" t="n"/>
      <c r="AI293" s="2" t="n"/>
      <c r="AJ293" s="2" t="n"/>
      <c r="AK293" s="2" t="n"/>
      <c r="AL293" s="2" t="n"/>
      <c r="AM293" s="2" t="n">
        <v>8.9</v>
      </c>
      <c r="AN293" s="2" t="n"/>
      <c r="AO293" s="2" t="inlineStr">
        <is>
          <t>2010</t>
        </is>
      </c>
      <c r="AP293" s="2" t="n">
        <v>2010</v>
      </c>
      <c r="AQ293" s="2" t="n"/>
      <c r="AR293" s="2" t="n"/>
      <c r="AS293" s="2" t="inlineStr">
        <is>
          <t>regla</t>
        </is>
      </c>
      <c r="AT293" s="2" t="n">
        <v>4545</v>
      </c>
      <c r="AU293" s="2" t="n">
        <v>18</v>
      </c>
      <c r="AV293" s="2" t="inlineStr">
        <is>
          <t>modelo+año+km</t>
        </is>
      </c>
      <c r="AW293" s="2" t="n"/>
      <c r="AX293" s="2" t="inlineStr">
        <is>
          <t>cuota fija ITP: &gt;12 años, hasta 1.500 cc; diésel: motor sin fuente de fiabilidad (fiabilidad limitada a neutra)</t>
        </is>
      </c>
      <c r="AY293" s="2" t="inlineStr">
        <is>
          <t>Vendo Ford Fiesta Titanium diésel del año 2010, con 188707 km (al momento de la foto).
El coche funciona MUY bien y ha tenido mantenimiento reciente:
✅ ITV pasada en julio de 2026
✅ Cambio de aceite y filtros realizado recientemente
✅ Amortiguadores nuevos
✅ Neumáticos delanteros nuevos
✅ Arranca y funciona correctamente
✅ Puertas abren y cierran perfectamente
Tiene un golpe importante en el lateral derecho, entre la puerta del copiloto y la puerta trasera. El golpe es visible y si quieres te paso fotos detalladas, pero ambas puertas funcionan correctamente.
El aire acondicionado también funciona, aunque para que enfríe hay que poner la temperatura al mínimo. Desconozco la causa y lo indico expresamente para que el comprador conozca el estado del vehículo.
Se puede ver y probar sin problema.
Dispongo de facturas/justificantes del mantenimiento reciente.
Venta entre particulares. Se entregará contrato de compraventa y se realizará el cambio de titularidad correspondiente.</t>
        </is>
      </c>
      <c r="AZ293" s="2" t="inlineStr">
        <is>
          <t>https://es.wallapop.com/item/ford-fiesta-2010-1299696661 (__NEXT_DATA__ item) /home/user/Alopecia/buscador-coches/raw/wallapop/a0d352893155a90e.json</t>
        </is>
      </c>
      <c r="BA293" s="3">
        <f>MAX(ANIO_ACTUAL-M293,0)</f>
        <v/>
      </c>
      <c r="BB293" s="4">
        <f>N293/MAX(BA293,0.5)</f>
        <v/>
      </c>
      <c r="BC293" s="4">
        <f>F293</f>
        <v/>
      </c>
      <c r="BD293" s="3">
        <f>BC293&amp;"|"&amp;INT(M293/SEG_ANIO)*SEG_ANIO</f>
        <v/>
      </c>
      <c r="BE293" s="3">
        <f>BD293&amp;"|"&amp;INT(N293/SEG_KM)*SEG_KM</f>
        <v/>
      </c>
      <c r="BF293" s="4">
        <f>COUNTIF($BC$2:$BC$545,BC293)</f>
        <v/>
      </c>
      <c r="BG293" s="4">
        <f>COUNTIF($BD$2:$BD$545,BD293)</f>
        <v/>
      </c>
      <c r="BH293" s="4">
        <f>COUNTIF($BE$2:$BE$545,BE293)</f>
        <v/>
      </c>
      <c r="BI293" s="3">
        <f t="array" ref="BI293">IF(N(AU293)&gt;=MIN_N,AT293,IF(BH293&gt;=MIN_N,MEDIAN(IF($BE$2:$BE$545=BE293,$O$2:$O$545)),IF(BG293&gt;=MIN_N,MEDIAN(IF($BD$2:$BD$545=BD293,$O$2:$O$545)),MEDIAN(IF($BC$2:$BC$545=BC293,$O$2:$O$545)))))</f>
        <v/>
      </c>
      <c r="BJ293" s="3">
        <f>IF(N(AU293)&gt;=MIN_N,"mercado "&amp;AV293,IF(BH293&gt;=MIN_N,"modelo+año+km",IF(BG293&gt;=MIN_N,"modelo+año","modelo")))</f>
        <v/>
      </c>
      <c r="BK293" s="4">
        <f>(BI293-O293)/BI293</f>
        <v/>
      </c>
      <c r="BL293" s="3">
        <f>IF(COUNTIFS(FR_FUEL,K293,FR_YEAR,AP293)&gt;0,1,0)</f>
        <v/>
      </c>
      <c r="BM293" s="3">
        <f>IF(COUNTIFS(FR_FUEL,K293,FR_YEAR,AP293-1)&gt;0,1,0)</f>
        <v/>
      </c>
      <c r="BN293" s="4">
        <f>IF(N(AQ293)&gt;0,AP293*100+AQ293,IF(AND(BL293=1,BM293=1),(AP293-1)*100+1,AP293*100+1))</f>
        <v/>
      </c>
      <c r="BO293" s="3">
        <f>IF(OR(K293="hibrido",K293="glp",K293="gnc",K293="phev"),"ECO",IF(K293="electrico","CERO",IF(K293="gasolina",IF(BN293&gt;=GAS_C_YM,"C",IF(BN293&gt;=GAS_B_YM,"B","A")),IF(K293="diesel",IF(BN293&gt;=DIE_C_YM,"C",IF(BN293&gt;=DIE_B_YM,"B","A")),""))))</f>
        <v/>
      </c>
      <c r="BP293" s="4">
        <f>BO293</f>
        <v/>
      </c>
      <c r="BQ293" s="4">
        <f>IF(AS293="regla",IF(AND(N(AQ293)=0,BL293=1),"sí","no"),"no")</f>
        <v/>
      </c>
      <c r="BR293" s="3">
        <f>IFERROR(VLOOKUP(F293,MOD_TBL,11,0),IFERROR(VLOOKUP(E293,OCU_TBL,2,0),NEUTRO))</f>
        <v/>
      </c>
      <c r="BS293" s="3">
        <f>SUMIFS(MOT_AJUSTE,MOT_MOTOR,G293,MOT_MARCA,E293,MOT_DESDE,"&lt;="&amp;M293,MOT_HASTA,"&gt;="&amp;M293)+SUMIFS(MOT_AJUSTE,MOT_MOTOR,G293,MOT_MARCA,"(todas)",MOT_DESDE,"&lt;="&amp;M293,MOT_HASTA,"&gt;="&amp;M293)</f>
        <v/>
      </c>
      <c r="BT293" s="3">
        <f>SUMIFS(COMB_AJUSTE,COMB_COMB,K293)</f>
        <v/>
      </c>
      <c r="BU293" s="3">
        <f>COUNTIFS(MOT_MOTOR,G293,MOT_MARCA,E293,MOT_DESDE,"&lt;="&amp;M293,MOT_HASTA,"&gt;="&amp;M293)+COUNTIFS(MOT_MOTOR,G293,MOT_MARCA,"(todas)",MOT_DESDE,"&lt;="&amp;M293,MOT_HASTA,"&gt;="&amp;M293)</f>
        <v/>
      </c>
      <c r="BV293" s="3">
        <f>IF(AND(K293="diesel",BU293=0),MIN(BR293,NEUTRO),BR293)</f>
        <v/>
      </c>
      <c r="BW293" s="4">
        <f>MAX(0,MIN(100,BV293+BS293+BT293))</f>
        <v/>
      </c>
      <c r="BX293" s="3">
        <f>MAX(0,MIN(100,50+BK293*PRECIO_PEND))</f>
        <v/>
      </c>
      <c r="BY293" s="3">
        <f>MAX(0,100*(1-N293/KM_MAX))</f>
        <v/>
      </c>
      <c r="BZ293" s="3">
        <f>IF(BB293&lt;KMA_SOSP,IF(AA293="sí",100,KMA_PEN),IF(BB293&lt;=KMA_IDEAL_MAX,100,MAX(0,100*(KMA_CERO-BB293)/(KMA_CERO-KMA_IDEAL_MAX))))</f>
        <v/>
      </c>
      <c r="CA293" s="3">
        <f>MAX(0,MIN(100,100*(M293-ANIO_MIN)/(ANIO_ACTUAL-ANIO_MIN)))</f>
        <v/>
      </c>
      <c r="CB293" s="3">
        <f>W_KMT*BY293+W_KMA*BZ293+W_EDAD*CA293</f>
        <v/>
      </c>
      <c r="CC293" s="3">
        <f>P_ITV*(V293="sí")+P_LIBRO*(W293="sí")+P_CORREA*(X293="sí")+P_PROP*(Y293=1)+P_GAR*(Z293="sí")+P_FOTOS*MIN(1,N(U293)/FOTOS_OBJ)</f>
        <v/>
      </c>
      <c r="CD293" s="3">
        <f>MAX(0,MIN(100,IFERROR(VLOOKUP(BP293,ETQ_TBL,2,0),0)-IF(BQ293="sí",ETQ_PEN_DUD,IF(AS293="regla",ETQ_PEN_REGLA,0))))</f>
        <v/>
      </c>
      <c r="CE293" s="3">
        <f>NEUTRO</f>
        <v/>
      </c>
      <c r="CF293" s="3">
        <f>IFERROR(VLOOKUP(L293,SEGURO_TBL,3,0),"")</f>
        <v/>
      </c>
      <c r="CG293" s="3">
        <f>IF(CF293="",NEUTRO,MAX(0,MIN(100,100*(SEG_REF_MAX-CF293)/(SEG_REF_MAX-SEG_REF_MIN))))</f>
        <v/>
      </c>
      <c r="CH293" s="3">
        <f>W_CONS*CE293+W_SEG*CG293</f>
        <v/>
      </c>
      <c r="CI293" s="3">
        <f>IF(N(AB293)&gt;0,AB293,IF(AND(R293="profesional",SG_LEGAL_ON=1),GAR_LEGAL,0))</f>
        <v/>
      </c>
      <c r="CJ293" s="3">
        <f>SG_GAR*MIN(1,CI293/SG_GAR_FULL)+SG_AMPL*(AC293="sí")+SG_KMC*(AF293="sí")+SG_REV*(N(AE293)&gt;0)+SG_DEV*MIN(1,N(AG293)/SG_DEV_FULL)+SG_HIST*(W293="sí")</f>
        <v/>
      </c>
      <c r="CK293" s="3">
        <f>IFERROR(VLOOKUP(L293,CARR_PEN_TBL,2,0),0)</f>
        <v/>
      </c>
      <c r="CL293" s="3">
        <f>W_FIAB*BW293+W_PRECIO*BX293+W_KMEDAD*CB293+W_ANUNCIO*CC293+W_USO*CH293+W_SEGURIDAD*CJ293+W_ETIQUETA*CD293-CK293</f>
        <v/>
      </c>
      <c r="CM293" s="4">
        <f>IF(N(I293)&gt;0,I293,IFERROR(ROUND(_xlfn.NUMBERVALUE(LEFT(G293,FIND(" ",G293&amp;" ")-1),".")*1000,0),99999))</f>
        <v/>
      </c>
      <c r="CN293" s="3">
        <f>IF(R293="profesional",0,IF(O293&lt;CUOTA_VALOR_MAX,IF(BA293&gt;ITP_TRAMO_ALTO,SUMIFS(CF_CUOTA,CF_MAS,ITP_TRAMO_ALTO,CF_CCMIN,"&lt;="&amp;CM293,CF_CCMAX,"&gt;="&amp;CM293),IF(BA293&gt;ITP_TRAMO_BAJO,SUMIFS(CF_CUOTA,CF_MAS,ITP_TRAMO_BAJO,CF_CCMIN,"&lt;="&amp;CM293,CF_CCMAX,"&gt;="&amp;CM293),O293*ITP_TIPO)),O293*ITP_TIPO))</f>
        <v/>
      </c>
      <c r="CO293" s="4">
        <f>IF(R293="profesional",N(AK293),0)</f>
        <v/>
      </c>
      <c r="CP293" s="3">
        <f>IF(AND(R293="profesional",ISNUMBER(AK293),AL293="sí"),0,TASA_DGT)</f>
        <v/>
      </c>
      <c r="CQ293" s="3">
        <f>INFORME_DGT</f>
        <v/>
      </c>
      <c r="CR293" s="4">
        <f>O293+CO293+CN293+CP293+CQ293</f>
        <v/>
      </c>
      <c r="CS293" s="4">
        <f>CR293+N(CF293)</f>
        <v/>
      </c>
      <c r="CT293" s="3">
        <f>IF(CR293&lt;=TOTAL_MAX,"sí",IF(CR293&lt;=TOTAL_MAX+MARGEN_NEG,"negociar","no"))</f>
        <v/>
      </c>
      <c r="CU293" s="4">
        <f>IF(CT293&lt;&gt;"no",COUNTIFS($CT$2:$CT$545,"&lt;&gt;no",$CL$2:$CL$545,"&gt;"&amp;CL293)+COUNTIFS($CT$2:CT293,"&lt;&gt;no",$CL$2:CL293,CL293),"")</f>
        <v/>
      </c>
    </row>
    <row r="294">
      <c r="A294" s="2" t="inlineStr">
        <is>
          <t>wallapop:1285701129</t>
        </is>
      </c>
      <c r="B294" s="2" t="inlineStr">
        <is>
          <t>wallapop</t>
        </is>
      </c>
      <c r="C294" s="2" t="inlineStr">
        <is>
          <t>https://es.wallapop.com/item/ford-fiesta-2010-1285701129</t>
        </is>
      </c>
      <c r="D294" s="2" t="inlineStr">
        <is>
          <t>Ford Fiesta 2010</t>
        </is>
      </c>
      <c r="E294" s="2" t="inlineStr">
        <is>
          <t>Ford</t>
        </is>
      </c>
      <c r="F294" s="2" t="inlineStr">
        <is>
          <t>Ford Fiesta</t>
        </is>
      </c>
      <c r="G294" s="2" t="inlineStr">
        <is>
          <t>1.4 TDCi</t>
        </is>
      </c>
      <c r="H294" s="2" t="inlineStr">
        <is>
          <t>1.4 TDCi 68 Trend 5p</t>
        </is>
      </c>
      <c r="I294" s="2" t="n"/>
      <c r="J294" s="2" t="n">
        <v>68</v>
      </c>
      <c r="K294" s="2" t="inlineStr">
        <is>
          <t>diesel</t>
        </is>
      </c>
      <c r="L294" s="2" t="inlineStr">
        <is>
          <t>utilitario</t>
        </is>
      </c>
      <c r="M294" s="2" t="n">
        <v>2010</v>
      </c>
      <c r="N294" s="2" t="n">
        <v>200000</v>
      </c>
      <c r="O294" s="2" t="n">
        <v>2400</v>
      </c>
      <c r="P294" s="2" t="inlineStr">
        <is>
          <t>manual</t>
        </is>
      </c>
      <c r="Q294" s="2" t="inlineStr">
        <is>
          <t>no</t>
        </is>
      </c>
      <c r="R294" s="2" t="inlineStr">
        <is>
          <t>particular</t>
        </is>
      </c>
      <c r="S294" s="2" t="inlineStr">
        <is>
          <t>Gandía (46700)</t>
        </is>
      </c>
      <c r="T294" s="2" t="inlineStr">
        <is>
          <t>2026-10-22T11:05:39</t>
        </is>
      </c>
      <c r="U294" s="2" t="n">
        <v>7</v>
      </c>
      <c r="V294" s="2" t="n"/>
      <c r="W294" s="2" t="n"/>
      <c r="X294" s="2" t="n"/>
      <c r="Y294" s="2" t="n"/>
      <c r="Z294" s="2" t="n"/>
      <c r="AA294" s="2" t="n"/>
      <c r="AB294" s="2" t="n"/>
      <c r="AC294" s="2" t="n"/>
      <c r="AD294" s="2" t="n"/>
      <c r="AE294" s="2" t="n"/>
      <c r="AF294" s="2" t="n"/>
      <c r="AG294" s="2" t="n"/>
      <c r="AH294" s="2" t="n"/>
      <c r="AI294" s="2" t="n"/>
      <c r="AJ294" s="2" t="n"/>
      <c r="AK294" s="2" t="n"/>
      <c r="AL294" s="2" t="n"/>
      <c r="AM294" s="2" t="n">
        <v>58.1</v>
      </c>
      <c r="AN294" s="2" t="n"/>
      <c r="AO294" s="2" t="inlineStr">
        <is>
          <t>2010</t>
        </is>
      </c>
      <c r="AP294" s="2" t="n">
        <v>2010</v>
      </c>
      <c r="AQ294" s="2" t="n"/>
      <c r="AR294" s="2" t="n"/>
      <c r="AS294" s="2" t="inlineStr">
        <is>
          <t>regla</t>
        </is>
      </c>
      <c r="AT294" s="2" t="n">
        <v>3500</v>
      </c>
      <c r="AU294" s="2" t="n">
        <v>13</v>
      </c>
      <c r="AV294" s="2" t="inlineStr">
        <is>
          <t>modelo+año+km</t>
        </is>
      </c>
      <c r="AW294" s="2" t="n"/>
      <c r="AX294" s="2" t="inlineStr">
        <is>
          <t>cuota fija ITP: &gt;12 años, hasta 1.500 cc; diésel: motor sin fuente de fiabilidad (fiabilidad limitada a neutra)</t>
        </is>
      </c>
      <c r="AY294" s="2" t="inlineStr">
        <is>
          <t xml:space="preserve">Ford Fiesta 2010 color azul, estado de chapa desgastada la pintura </t>
        </is>
      </c>
      <c r="AZ294" s="2" t="inlineStr">
        <is>
          <t>https://es.wallapop.com/item/ford-fiesta-2010-1285701129 (__NEXT_DATA__ item) /home/user/Alopecia/buscador-coches/raw/wallapop/379bf48f5bf42abf.json</t>
        </is>
      </c>
      <c r="BA294" s="3">
        <f>MAX(ANIO_ACTUAL-M294,0)</f>
        <v/>
      </c>
      <c r="BB294" s="4">
        <f>N294/MAX(BA294,0.5)</f>
        <v/>
      </c>
      <c r="BC294" s="4">
        <f>F294</f>
        <v/>
      </c>
      <c r="BD294" s="3">
        <f>BC294&amp;"|"&amp;INT(M294/SEG_ANIO)*SEG_ANIO</f>
        <v/>
      </c>
      <c r="BE294" s="3">
        <f>BD294&amp;"|"&amp;INT(N294/SEG_KM)*SEG_KM</f>
        <v/>
      </c>
      <c r="BF294" s="4">
        <f>COUNTIF($BC$2:$BC$545,BC294)</f>
        <v/>
      </c>
      <c r="BG294" s="4">
        <f>COUNTIF($BD$2:$BD$545,BD294)</f>
        <v/>
      </c>
      <c r="BH294" s="4">
        <f>COUNTIF($BE$2:$BE$545,BE294)</f>
        <v/>
      </c>
      <c r="BI294" s="3">
        <f t="array" ref="BI294">IF(N(AU294)&gt;=MIN_N,AT294,IF(BH294&gt;=MIN_N,MEDIAN(IF($BE$2:$BE$545=BE294,$O$2:$O$545)),IF(BG294&gt;=MIN_N,MEDIAN(IF($BD$2:$BD$545=BD294,$O$2:$O$545)),MEDIAN(IF($BC$2:$BC$545=BC294,$O$2:$O$545)))))</f>
        <v/>
      </c>
      <c r="BJ294" s="3">
        <f>IF(N(AU294)&gt;=MIN_N,"mercado "&amp;AV294,IF(BH294&gt;=MIN_N,"modelo+año+km",IF(BG294&gt;=MIN_N,"modelo+año","modelo")))</f>
        <v/>
      </c>
      <c r="BK294" s="4">
        <f>(BI294-O294)/BI294</f>
        <v/>
      </c>
      <c r="BL294" s="3">
        <f>IF(COUNTIFS(FR_FUEL,K294,FR_YEAR,AP294)&gt;0,1,0)</f>
        <v/>
      </c>
      <c r="BM294" s="3">
        <f>IF(COUNTIFS(FR_FUEL,K294,FR_YEAR,AP294-1)&gt;0,1,0)</f>
        <v/>
      </c>
      <c r="BN294" s="4">
        <f>IF(N(AQ294)&gt;0,AP294*100+AQ294,IF(AND(BL294=1,BM294=1),(AP294-1)*100+1,AP294*100+1))</f>
        <v/>
      </c>
      <c r="BO294" s="3">
        <f>IF(OR(K294="hibrido",K294="glp",K294="gnc",K294="phev"),"ECO",IF(K294="electrico","CERO",IF(K294="gasolina",IF(BN294&gt;=GAS_C_YM,"C",IF(BN294&gt;=GAS_B_YM,"B","A")),IF(K294="diesel",IF(BN294&gt;=DIE_C_YM,"C",IF(BN294&gt;=DIE_B_YM,"B","A")),""))))</f>
        <v/>
      </c>
      <c r="BP294" s="4">
        <f>BO294</f>
        <v/>
      </c>
      <c r="BQ294" s="4">
        <f>IF(AS294="regla",IF(AND(N(AQ294)=0,BL294=1),"sí","no"),"no")</f>
        <v/>
      </c>
      <c r="BR294" s="3">
        <f>IFERROR(VLOOKUP(F294,MOD_TBL,11,0),IFERROR(VLOOKUP(E294,OCU_TBL,2,0),NEUTRO))</f>
        <v/>
      </c>
      <c r="BS294" s="3">
        <f>SUMIFS(MOT_AJUSTE,MOT_MOTOR,G294,MOT_MARCA,E294,MOT_DESDE,"&lt;="&amp;M294,MOT_HASTA,"&gt;="&amp;M294)+SUMIFS(MOT_AJUSTE,MOT_MOTOR,G294,MOT_MARCA,"(todas)",MOT_DESDE,"&lt;="&amp;M294,MOT_HASTA,"&gt;="&amp;M294)</f>
        <v/>
      </c>
      <c r="BT294" s="3">
        <f>SUMIFS(COMB_AJUSTE,COMB_COMB,K294)</f>
        <v/>
      </c>
      <c r="BU294" s="3">
        <f>COUNTIFS(MOT_MOTOR,G294,MOT_MARCA,E294,MOT_DESDE,"&lt;="&amp;M294,MOT_HASTA,"&gt;="&amp;M294)+COUNTIFS(MOT_MOTOR,G294,MOT_MARCA,"(todas)",MOT_DESDE,"&lt;="&amp;M294,MOT_HASTA,"&gt;="&amp;M294)</f>
        <v/>
      </c>
      <c r="BV294" s="3">
        <f>IF(AND(K294="diesel",BU294=0),MIN(BR294,NEUTRO),BR294)</f>
        <v/>
      </c>
      <c r="BW294" s="4">
        <f>MAX(0,MIN(100,BV294+BS294+BT294))</f>
        <v/>
      </c>
      <c r="BX294" s="3">
        <f>MAX(0,MIN(100,50+BK294*PRECIO_PEND))</f>
        <v/>
      </c>
      <c r="BY294" s="3">
        <f>MAX(0,100*(1-N294/KM_MAX))</f>
        <v/>
      </c>
      <c r="BZ294" s="3">
        <f>IF(BB294&lt;KMA_SOSP,IF(AA294="sí",100,KMA_PEN),IF(BB294&lt;=KMA_IDEAL_MAX,100,MAX(0,100*(KMA_CERO-BB294)/(KMA_CERO-KMA_IDEAL_MAX))))</f>
        <v/>
      </c>
      <c r="CA294" s="3">
        <f>MAX(0,MIN(100,100*(M294-ANIO_MIN)/(ANIO_ACTUAL-ANIO_MIN)))</f>
        <v/>
      </c>
      <c r="CB294" s="3">
        <f>W_KMT*BY294+W_KMA*BZ294+W_EDAD*CA294</f>
        <v/>
      </c>
      <c r="CC294" s="3">
        <f>P_ITV*(V294="sí")+P_LIBRO*(W294="sí")+P_CORREA*(X294="sí")+P_PROP*(Y294=1)+P_GAR*(Z294="sí")+P_FOTOS*MIN(1,N(U294)/FOTOS_OBJ)</f>
        <v/>
      </c>
      <c r="CD294" s="3">
        <f>MAX(0,MIN(100,IFERROR(VLOOKUP(BP294,ETQ_TBL,2,0),0)-IF(BQ294="sí",ETQ_PEN_DUD,IF(AS294="regla",ETQ_PEN_REGLA,0))))</f>
        <v/>
      </c>
      <c r="CE294" s="3">
        <f>NEUTRO</f>
        <v/>
      </c>
      <c r="CF294" s="3">
        <f>IFERROR(VLOOKUP(L294,SEGURO_TBL,3,0),"")</f>
        <v/>
      </c>
      <c r="CG294" s="3">
        <f>IF(CF294="",NEUTRO,MAX(0,MIN(100,100*(SEG_REF_MAX-CF294)/(SEG_REF_MAX-SEG_REF_MIN))))</f>
        <v/>
      </c>
      <c r="CH294" s="3">
        <f>W_CONS*CE294+W_SEG*CG294</f>
        <v/>
      </c>
      <c r="CI294" s="3">
        <f>IF(N(AB294)&gt;0,AB294,IF(AND(R294="profesional",SG_LEGAL_ON=1),GAR_LEGAL,0))</f>
        <v/>
      </c>
      <c r="CJ294" s="3">
        <f>SG_GAR*MIN(1,CI294/SG_GAR_FULL)+SG_AMPL*(AC294="sí")+SG_KMC*(AF294="sí")+SG_REV*(N(AE294)&gt;0)+SG_DEV*MIN(1,N(AG294)/SG_DEV_FULL)+SG_HIST*(W294="sí")</f>
        <v/>
      </c>
      <c r="CK294" s="3">
        <f>IFERROR(VLOOKUP(L294,CARR_PEN_TBL,2,0),0)</f>
        <v/>
      </c>
      <c r="CL294" s="3">
        <f>W_FIAB*BW294+W_PRECIO*BX294+W_KMEDAD*CB294+W_ANUNCIO*CC294+W_USO*CH294+W_SEGURIDAD*CJ294+W_ETIQUETA*CD294-CK294</f>
        <v/>
      </c>
      <c r="CM294" s="4">
        <f>IF(N(I294)&gt;0,I294,IFERROR(ROUND(_xlfn.NUMBERVALUE(LEFT(G294,FIND(" ",G294&amp;" ")-1),".")*1000,0),99999))</f>
        <v/>
      </c>
      <c r="CN294" s="3">
        <f>IF(R294="profesional",0,IF(O294&lt;CUOTA_VALOR_MAX,IF(BA294&gt;ITP_TRAMO_ALTO,SUMIFS(CF_CUOTA,CF_MAS,ITP_TRAMO_ALTO,CF_CCMIN,"&lt;="&amp;CM294,CF_CCMAX,"&gt;="&amp;CM294),IF(BA294&gt;ITP_TRAMO_BAJO,SUMIFS(CF_CUOTA,CF_MAS,ITP_TRAMO_BAJO,CF_CCMIN,"&lt;="&amp;CM294,CF_CCMAX,"&gt;="&amp;CM294),O294*ITP_TIPO)),O294*ITP_TIPO))</f>
        <v/>
      </c>
      <c r="CO294" s="4">
        <f>IF(R294="profesional",N(AK294),0)</f>
        <v/>
      </c>
      <c r="CP294" s="3">
        <f>IF(AND(R294="profesional",ISNUMBER(AK294),AL294="sí"),0,TASA_DGT)</f>
        <v/>
      </c>
      <c r="CQ294" s="3">
        <f>INFORME_DGT</f>
        <v/>
      </c>
      <c r="CR294" s="4">
        <f>O294+CO294+CN294+CP294+CQ294</f>
        <v/>
      </c>
      <c r="CS294" s="4">
        <f>CR294+N(CF294)</f>
        <v/>
      </c>
      <c r="CT294" s="3">
        <f>IF(CR294&lt;=TOTAL_MAX,"sí",IF(CR294&lt;=TOTAL_MAX+MARGEN_NEG,"negociar","no"))</f>
        <v/>
      </c>
      <c r="CU294" s="4">
        <f>IF(CT294&lt;&gt;"no",COUNTIFS($CT$2:$CT$545,"&lt;&gt;no",$CL$2:$CL$545,"&gt;"&amp;CL294)+COUNTIFS($CT$2:CT294,"&lt;&gt;no",$CL$2:CL294,CL294),"")</f>
        <v/>
      </c>
    </row>
    <row r="295">
      <c r="A295" s="2" t="inlineStr">
        <is>
          <t>wallapop:1281484675</t>
        </is>
      </c>
      <c r="B295" s="2" t="inlineStr">
        <is>
          <t>wallapop</t>
        </is>
      </c>
      <c r="C295" s="2" t="inlineStr">
        <is>
          <t>https://es.wallapop.com/item/ford-fiesta-2010-1281484675</t>
        </is>
      </c>
      <c r="D295" s="2" t="inlineStr">
        <is>
          <t>Ford Fiesta 2010</t>
        </is>
      </c>
      <c r="E295" s="2" t="inlineStr">
        <is>
          <t>Ford</t>
        </is>
      </c>
      <c r="F295" s="2" t="inlineStr">
        <is>
          <t>Ford Fiesta</t>
        </is>
      </c>
      <c r="G295" s="2" t="inlineStr">
        <is>
          <t>1.4 TDCi</t>
        </is>
      </c>
      <c r="H295" s="2" t="inlineStr">
        <is>
          <t>1.4 TDCi 68 Ambiente 5p</t>
        </is>
      </c>
      <c r="I295" s="2" t="n"/>
      <c r="J295" s="2" t="n">
        <v>68</v>
      </c>
      <c r="K295" s="2" t="inlineStr">
        <is>
          <t>diesel</t>
        </is>
      </c>
      <c r="L295" s="2" t="inlineStr">
        <is>
          <t>utilitario</t>
        </is>
      </c>
      <c r="M295" s="2" t="n">
        <v>2010</v>
      </c>
      <c r="N295" s="2" t="n">
        <v>170000</v>
      </c>
      <c r="O295" s="2" t="n">
        <v>5000</v>
      </c>
      <c r="P295" s="2" t="inlineStr">
        <is>
          <t>manual</t>
        </is>
      </c>
      <c r="Q295" s="2" t="inlineStr">
        <is>
          <t>no</t>
        </is>
      </c>
      <c r="R295" s="2" t="inlineStr">
        <is>
          <t>particular</t>
        </is>
      </c>
      <c r="S295" s="2" t="inlineStr">
        <is>
          <t>Gandía (46700)</t>
        </is>
      </c>
      <c r="T295" s="2" t="inlineStr">
        <is>
          <t>2026-10-30T18:30:51</t>
        </is>
      </c>
      <c r="U295" s="2" t="n">
        <v>7</v>
      </c>
      <c r="V295" s="2" t="inlineStr">
        <is>
          <t>sí</t>
        </is>
      </c>
      <c r="W295" s="2" t="n"/>
      <c r="X295" s="2" t="n"/>
      <c r="Y295" s="2" t="n"/>
      <c r="Z295" s="2" t="n"/>
      <c r="AA295" s="2" t="n"/>
      <c r="AB295" s="2" t="n"/>
      <c r="AC295" s="2" t="n"/>
      <c r="AD295" s="2" t="n"/>
      <c r="AE295" s="2" t="n"/>
      <c r="AF295" s="2" t="n"/>
      <c r="AG295" s="2" t="n"/>
      <c r="AH295" s="2" t="n"/>
      <c r="AI295" s="2" t="n"/>
      <c r="AJ295" s="2" t="n"/>
      <c r="AK295" s="2" t="n"/>
      <c r="AL295" s="2" t="n"/>
      <c r="AM295" s="2" t="n">
        <v>58.2</v>
      </c>
      <c r="AN295" s="2" t="n"/>
      <c r="AO295" s="2" t="inlineStr">
        <is>
          <t>2010</t>
        </is>
      </c>
      <c r="AP295" s="2" t="n">
        <v>2010</v>
      </c>
      <c r="AQ295" s="2" t="n"/>
      <c r="AR295" s="2" t="n"/>
      <c r="AS295" s="2" t="inlineStr">
        <is>
          <t>regla</t>
        </is>
      </c>
      <c r="AT295" s="2" t="n">
        <v>4545</v>
      </c>
      <c r="AU295" s="2" t="n">
        <v>18</v>
      </c>
      <c r="AV295" s="2" t="inlineStr">
        <is>
          <t>modelo+año+km</t>
        </is>
      </c>
      <c r="AW295" s="2" t="n"/>
      <c r="AX295" s="2" t="inlineStr">
        <is>
          <t>por encima del presupuesto (5104 €), negociar; cuota fija ITP: &gt;12 años, hasta 1.500 cc; diésel: motor sin fuente de fiabilidad (fiabilidad limitada a neutra)</t>
        </is>
      </c>
      <c r="AY295" s="2" t="inlineStr">
        <is>
          <t>Ford Fiesta con muy bajo consumo, esta todo al dia, no hay que hacerle nada.
-Cubiertas en buen estado
-ITV recien pasada
SE LE ACABA DE CAMBIAR:
-Aceite de motor
-Filtro de aceite 
-Filtro de aire
-Liquido refrigerante
-Liquido de frenos
Tiene pantalla android con reproductor de Bluetooth y GPS.
Se acaba de repasar de pintura, esta bastante bien cuidado.
Esta al dia de seguro, itv e impuestos, se puede probar y se acepta prueba mecanica.</t>
        </is>
      </c>
      <c r="AZ295" s="2" t="inlineStr">
        <is>
          <t>https://es.wallapop.com/item/ford-fiesta-2010-1281484675 (__NEXT_DATA__ item) /home/user/Alopecia/buscador-coches/raw/wallapop/049b263dbd8441ac.json</t>
        </is>
      </c>
      <c r="BA295" s="3">
        <f>MAX(ANIO_ACTUAL-M295,0)</f>
        <v/>
      </c>
      <c r="BB295" s="4">
        <f>N295/MAX(BA295,0.5)</f>
        <v/>
      </c>
      <c r="BC295" s="4">
        <f>F295</f>
        <v/>
      </c>
      <c r="BD295" s="3">
        <f>BC295&amp;"|"&amp;INT(M295/SEG_ANIO)*SEG_ANIO</f>
        <v/>
      </c>
      <c r="BE295" s="3">
        <f>BD295&amp;"|"&amp;INT(N295/SEG_KM)*SEG_KM</f>
        <v/>
      </c>
      <c r="BF295" s="4">
        <f>COUNTIF($BC$2:$BC$545,BC295)</f>
        <v/>
      </c>
      <c r="BG295" s="4">
        <f>COUNTIF($BD$2:$BD$545,BD295)</f>
        <v/>
      </c>
      <c r="BH295" s="4">
        <f>COUNTIF($BE$2:$BE$545,BE295)</f>
        <v/>
      </c>
      <c r="BI295" s="3">
        <f t="array" ref="BI295">IF(N(AU295)&gt;=MIN_N,AT295,IF(BH295&gt;=MIN_N,MEDIAN(IF($BE$2:$BE$545=BE295,$O$2:$O$545)),IF(BG295&gt;=MIN_N,MEDIAN(IF($BD$2:$BD$545=BD295,$O$2:$O$545)),MEDIAN(IF($BC$2:$BC$545=BC295,$O$2:$O$545)))))</f>
        <v/>
      </c>
      <c r="BJ295" s="3">
        <f>IF(N(AU295)&gt;=MIN_N,"mercado "&amp;AV295,IF(BH295&gt;=MIN_N,"modelo+año+km",IF(BG295&gt;=MIN_N,"modelo+año","modelo")))</f>
        <v/>
      </c>
      <c r="BK295" s="4">
        <f>(BI295-O295)/BI295</f>
        <v/>
      </c>
      <c r="BL295" s="3">
        <f>IF(COUNTIFS(FR_FUEL,K295,FR_YEAR,AP295)&gt;0,1,0)</f>
        <v/>
      </c>
      <c r="BM295" s="3">
        <f>IF(COUNTIFS(FR_FUEL,K295,FR_YEAR,AP295-1)&gt;0,1,0)</f>
        <v/>
      </c>
      <c r="BN295" s="4">
        <f>IF(N(AQ295)&gt;0,AP295*100+AQ295,IF(AND(BL295=1,BM295=1),(AP295-1)*100+1,AP295*100+1))</f>
        <v/>
      </c>
      <c r="BO295" s="3">
        <f>IF(OR(K295="hibrido",K295="glp",K295="gnc",K295="phev"),"ECO",IF(K295="electrico","CERO",IF(K295="gasolina",IF(BN295&gt;=GAS_C_YM,"C",IF(BN295&gt;=GAS_B_YM,"B","A")),IF(K295="diesel",IF(BN295&gt;=DIE_C_YM,"C",IF(BN295&gt;=DIE_B_YM,"B","A")),""))))</f>
        <v/>
      </c>
      <c r="BP295" s="4">
        <f>BO295</f>
        <v/>
      </c>
      <c r="BQ295" s="4">
        <f>IF(AS295="regla",IF(AND(N(AQ295)=0,BL295=1),"sí","no"),"no")</f>
        <v/>
      </c>
      <c r="BR295" s="3">
        <f>IFERROR(VLOOKUP(F295,MOD_TBL,11,0),IFERROR(VLOOKUP(E295,OCU_TBL,2,0),NEUTRO))</f>
        <v/>
      </c>
      <c r="BS295" s="3">
        <f>SUMIFS(MOT_AJUSTE,MOT_MOTOR,G295,MOT_MARCA,E295,MOT_DESDE,"&lt;="&amp;M295,MOT_HASTA,"&gt;="&amp;M295)+SUMIFS(MOT_AJUSTE,MOT_MOTOR,G295,MOT_MARCA,"(todas)",MOT_DESDE,"&lt;="&amp;M295,MOT_HASTA,"&gt;="&amp;M295)</f>
        <v/>
      </c>
      <c r="BT295" s="3">
        <f>SUMIFS(COMB_AJUSTE,COMB_COMB,K295)</f>
        <v/>
      </c>
      <c r="BU295" s="3">
        <f>COUNTIFS(MOT_MOTOR,G295,MOT_MARCA,E295,MOT_DESDE,"&lt;="&amp;M295,MOT_HASTA,"&gt;="&amp;M295)+COUNTIFS(MOT_MOTOR,G295,MOT_MARCA,"(todas)",MOT_DESDE,"&lt;="&amp;M295,MOT_HASTA,"&gt;="&amp;M295)</f>
        <v/>
      </c>
      <c r="BV295" s="3">
        <f>IF(AND(K295="diesel",BU295=0),MIN(BR295,NEUTRO),BR295)</f>
        <v/>
      </c>
      <c r="BW295" s="4">
        <f>MAX(0,MIN(100,BV295+BS295+BT295))</f>
        <v/>
      </c>
      <c r="BX295" s="3">
        <f>MAX(0,MIN(100,50+BK295*PRECIO_PEND))</f>
        <v/>
      </c>
      <c r="BY295" s="3">
        <f>MAX(0,100*(1-N295/KM_MAX))</f>
        <v/>
      </c>
      <c r="BZ295" s="3">
        <f>IF(BB295&lt;KMA_SOSP,IF(AA295="sí",100,KMA_PEN),IF(BB295&lt;=KMA_IDEAL_MAX,100,MAX(0,100*(KMA_CERO-BB295)/(KMA_CERO-KMA_IDEAL_MAX))))</f>
        <v/>
      </c>
      <c r="CA295" s="3">
        <f>MAX(0,MIN(100,100*(M295-ANIO_MIN)/(ANIO_ACTUAL-ANIO_MIN)))</f>
        <v/>
      </c>
      <c r="CB295" s="3">
        <f>W_KMT*BY295+W_KMA*BZ295+W_EDAD*CA295</f>
        <v/>
      </c>
      <c r="CC295" s="3">
        <f>P_ITV*(V295="sí")+P_LIBRO*(W295="sí")+P_CORREA*(X295="sí")+P_PROP*(Y295=1)+P_GAR*(Z295="sí")+P_FOTOS*MIN(1,N(U295)/FOTOS_OBJ)</f>
        <v/>
      </c>
      <c r="CD295" s="3">
        <f>MAX(0,MIN(100,IFERROR(VLOOKUP(BP295,ETQ_TBL,2,0),0)-IF(BQ295="sí",ETQ_PEN_DUD,IF(AS295="regla",ETQ_PEN_REGLA,0))))</f>
        <v/>
      </c>
      <c r="CE295" s="3">
        <f>NEUTRO</f>
        <v/>
      </c>
      <c r="CF295" s="3">
        <f>IFERROR(VLOOKUP(L295,SEGURO_TBL,3,0),"")</f>
        <v/>
      </c>
      <c r="CG295" s="3">
        <f>IF(CF295="",NEUTRO,MAX(0,MIN(100,100*(SEG_REF_MAX-CF295)/(SEG_REF_MAX-SEG_REF_MIN))))</f>
        <v/>
      </c>
      <c r="CH295" s="3">
        <f>W_CONS*CE295+W_SEG*CG295</f>
        <v/>
      </c>
      <c r="CI295" s="3">
        <f>IF(N(AB295)&gt;0,AB295,IF(AND(R295="profesional",SG_LEGAL_ON=1),GAR_LEGAL,0))</f>
        <v/>
      </c>
      <c r="CJ295" s="3">
        <f>SG_GAR*MIN(1,CI295/SG_GAR_FULL)+SG_AMPL*(AC295="sí")+SG_KMC*(AF295="sí")+SG_REV*(N(AE295)&gt;0)+SG_DEV*MIN(1,N(AG295)/SG_DEV_FULL)+SG_HIST*(W295="sí")</f>
        <v/>
      </c>
      <c r="CK295" s="3">
        <f>IFERROR(VLOOKUP(L295,CARR_PEN_TBL,2,0),0)</f>
        <v/>
      </c>
      <c r="CL295" s="3">
        <f>W_FIAB*BW295+W_PRECIO*BX295+W_KMEDAD*CB295+W_ANUNCIO*CC295+W_USO*CH295+W_SEGURIDAD*CJ295+W_ETIQUETA*CD295-CK295</f>
        <v/>
      </c>
      <c r="CM295" s="4">
        <f>IF(N(I295)&gt;0,I295,IFERROR(ROUND(_xlfn.NUMBERVALUE(LEFT(G295,FIND(" ",G295&amp;" ")-1),".")*1000,0),99999))</f>
        <v/>
      </c>
      <c r="CN295" s="3">
        <f>IF(R295="profesional",0,IF(O295&lt;CUOTA_VALOR_MAX,IF(BA295&gt;ITP_TRAMO_ALTO,SUMIFS(CF_CUOTA,CF_MAS,ITP_TRAMO_ALTO,CF_CCMIN,"&lt;="&amp;CM295,CF_CCMAX,"&gt;="&amp;CM295),IF(BA295&gt;ITP_TRAMO_BAJO,SUMIFS(CF_CUOTA,CF_MAS,ITP_TRAMO_BAJO,CF_CCMIN,"&lt;="&amp;CM295,CF_CCMAX,"&gt;="&amp;CM295),O295*ITP_TIPO)),O295*ITP_TIPO))</f>
        <v/>
      </c>
      <c r="CO295" s="4">
        <f>IF(R295="profesional",N(AK295),0)</f>
        <v/>
      </c>
      <c r="CP295" s="3">
        <f>IF(AND(R295="profesional",ISNUMBER(AK295),AL295="sí"),0,TASA_DGT)</f>
        <v/>
      </c>
      <c r="CQ295" s="3">
        <f>INFORME_DGT</f>
        <v/>
      </c>
      <c r="CR295" s="4">
        <f>O295+CO295+CN295+CP295+CQ295</f>
        <v/>
      </c>
      <c r="CS295" s="4">
        <f>CR295+N(CF295)</f>
        <v/>
      </c>
      <c r="CT295" s="3">
        <f>IF(CR295&lt;=TOTAL_MAX,"sí",IF(CR295&lt;=TOTAL_MAX+MARGEN_NEG,"negociar","no"))</f>
        <v/>
      </c>
      <c r="CU295" s="4">
        <f>IF(CT295&lt;&gt;"no",COUNTIFS($CT$2:$CT$545,"&lt;&gt;no",$CL$2:$CL$545,"&gt;"&amp;CL295)+COUNTIFS($CT$2:CT295,"&lt;&gt;no",$CL$2:CL295,CL295),"")</f>
        <v/>
      </c>
    </row>
    <row r="296">
      <c r="A296" s="2" t="inlineStr">
        <is>
          <t>wallapop:1247015131</t>
        </is>
      </c>
      <c r="B296" s="2" t="inlineStr">
        <is>
          <t>wallapop</t>
        </is>
      </c>
      <c r="C296" s="2" t="inlineStr">
        <is>
          <t>https://es.wallapop.com/item/ford-fiesta-2008-1247015131</t>
        </is>
      </c>
      <c r="D296" s="2" t="inlineStr">
        <is>
          <t>Ford Fiesta Sport ja8 2008</t>
        </is>
      </c>
      <c r="E296" s="2" t="inlineStr">
        <is>
          <t>Ford</t>
        </is>
      </c>
      <c r="F296" s="2" t="inlineStr">
        <is>
          <t>Ford Fiesta</t>
        </is>
      </c>
      <c r="G296" s="2" t="inlineStr">
        <is>
          <t>1.6</t>
        </is>
      </c>
      <c r="H296" s="2" t="inlineStr">
        <is>
          <t>1.6 120 Sport 3p</t>
        </is>
      </c>
      <c r="I296" s="2" t="n"/>
      <c r="J296" s="2" t="n">
        <v>120</v>
      </c>
      <c r="K296" s="2" t="inlineStr">
        <is>
          <t>gasolina</t>
        </is>
      </c>
      <c r="L296" s="2" t="inlineStr">
        <is>
          <t>utilitario</t>
        </is>
      </c>
      <c r="M296" s="2" t="n">
        <v>2008</v>
      </c>
      <c r="N296" s="2" t="n">
        <v>164500</v>
      </c>
      <c r="O296" s="2" t="n">
        <v>4500</v>
      </c>
      <c r="P296" s="2" t="inlineStr">
        <is>
          <t>manual</t>
        </is>
      </c>
      <c r="Q296" s="2" t="inlineStr">
        <is>
          <t>no</t>
        </is>
      </c>
      <c r="R296" s="2" t="inlineStr">
        <is>
          <t>particular</t>
        </is>
      </c>
      <c r="S296" s="2" t="inlineStr">
        <is>
          <t>Gandía (46700)</t>
        </is>
      </c>
      <c r="T296" s="2" t="inlineStr">
        <is>
          <t>2026-10-06T11:48:46</t>
        </is>
      </c>
      <c r="U296" s="2" t="n">
        <v>10</v>
      </c>
      <c r="V296" s="2" t="n"/>
      <c r="W296" s="2" t="n"/>
      <c r="X296" s="2" t="n"/>
      <c r="Y296" s="2" t="n"/>
      <c r="Z296" s="2" t="n"/>
      <c r="AA296" s="2" t="n"/>
      <c r="AB296" s="2" t="n"/>
      <c r="AC296" s="2" t="n"/>
      <c r="AD296" s="2" t="n"/>
      <c r="AE296" s="2" t="n"/>
      <c r="AF296" s="2" t="n"/>
      <c r="AG296" s="2" t="n"/>
      <c r="AH296" s="2" t="n"/>
      <c r="AI296" s="2" t="n"/>
      <c r="AJ296" s="2" t="n"/>
      <c r="AK296" s="2" t="n"/>
      <c r="AL296" s="2" t="n"/>
      <c r="AM296" s="2" t="n">
        <v>59</v>
      </c>
      <c r="AN296" s="2" t="n"/>
      <c r="AO296" s="2" t="inlineStr">
        <is>
          <t>2008</t>
        </is>
      </c>
      <c r="AP296" s="2" t="n">
        <v>2008</v>
      </c>
      <c r="AQ296" s="2" t="n"/>
      <c r="AR296" s="2" t="n"/>
      <c r="AS296" s="2" t="inlineStr">
        <is>
          <t>regla</t>
        </is>
      </c>
      <c r="AT296" s="2" t="n">
        <v>4500</v>
      </c>
      <c r="AU296" s="2" t="n">
        <v>18</v>
      </c>
      <c r="AV296" s="2" t="inlineStr">
        <is>
          <t>modelo+año+km</t>
        </is>
      </c>
      <c r="AW296" s="2" t="n"/>
      <c r="AX296" s="2" t="inlineStr">
        <is>
          <t>cuota fija ITP: &gt;12 años, 1.501-2.000 cc</t>
        </is>
      </c>
      <c r="AY296" s="2" t="inlineStr">
        <is>
          <t xml:space="preserve">Modelo 2009 matriculado en diciembre de 2008. Motor atmosférico muy bien mantenido.
Correa de distribución y alternador cambiadas a los 95mil km
Bujías nuevas 
Bobina de encendido
Soporte de motor
Aceites y filtros
Bateria cambiada.
Se entrega con ITV
Interesados mas info por privado.
Extras:
Llantas originales ford multiradio negras 16”
Asientos sport de cuero .
*El coche nunca ha dado ningún problema.
Va perfecto y fino, se nota la aceleración, me duele venderlo pero me cambio a un coche más grande familiar.
</t>
        </is>
      </c>
      <c r="AZ296" s="2" t="inlineStr">
        <is>
          <t>https://es.wallapop.com/item/ford-fiesta-2008-1247015131 (__NEXT_DATA__ item) /home/user/Alopecia/buscador-coches/raw/wallapop/bad37e65adfa9aef.json</t>
        </is>
      </c>
      <c r="BA296" s="3">
        <f>MAX(ANIO_ACTUAL-M296,0)</f>
        <v/>
      </c>
      <c r="BB296" s="4">
        <f>N296/MAX(BA296,0.5)</f>
        <v/>
      </c>
      <c r="BC296" s="4">
        <f>F296</f>
        <v/>
      </c>
      <c r="BD296" s="3">
        <f>BC296&amp;"|"&amp;INT(M296/SEG_ANIO)*SEG_ANIO</f>
        <v/>
      </c>
      <c r="BE296" s="3">
        <f>BD296&amp;"|"&amp;INT(N296/SEG_KM)*SEG_KM</f>
        <v/>
      </c>
      <c r="BF296" s="4">
        <f>COUNTIF($BC$2:$BC$545,BC296)</f>
        <v/>
      </c>
      <c r="BG296" s="4">
        <f>COUNTIF($BD$2:$BD$545,BD296)</f>
        <v/>
      </c>
      <c r="BH296" s="4">
        <f>COUNTIF($BE$2:$BE$545,BE296)</f>
        <v/>
      </c>
      <c r="BI296" s="3">
        <f t="array" ref="BI296">IF(N(AU296)&gt;=MIN_N,AT296,IF(BH296&gt;=MIN_N,MEDIAN(IF($BE$2:$BE$545=BE296,$O$2:$O$545)),IF(BG296&gt;=MIN_N,MEDIAN(IF($BD$2:$BD$545=BD296,$O$2:$O$545)),MEDIAN(IF($BC$2:$BC$545=BC296,$O$2:$O$545)))))</f>
        <v/>
      </c>
      <c r="BJ296" s="3">
        <f>IF(N(AU296)&gt;=MIN_N,"mercado "&amp;AV296,IF(BH296&gt;=MIN_N,"modelo+año+km",IF(BG296&gt;=MIN_N,"modelo+año","modelo")))</f>
        <v/>
      </c>
      <c r="BK296" s="4">
        <f>(BI296-O296)/BI296</f>
        <v/>
      </c>
      <c r="BL296" s="3">
        <f>IF(COUNTIFS(FR_FUEL,K296,FR_YEAR,AP296)&gt;0,1,0)</f>
        <v/>
      </c>
      <c r="BM296" s="3">
        <f>IF(COUNTIFS(FR_FUEL,K296,FR_YEAR,AP296-1)&gt;0,1,0)</f>
        <v/>
      </c>
      <c r="BN296" s="4">
        <f>IF(N(AQ296)&gt;0,AP296*100+AQ296,IF(AND(BL296=1,BM296=1),(AP296-1)*100+1,AP296*100+1))</f>
        <v/>
      </c>
      <c r="BO296" s="3">
        <f>IF(OR(K296="hibrido",K296="glp",K296="gnc",K296="phev"),"ECO",IF(K296="electrico","CERO",IF(K296="gasolina",IF(BN296&gt;=GAS_C_YM,"C",IF(BN296&gt;=GAS_B_YM,"B","A")),IF(K296="diesel",IF(BN296&gt;=DIE_C_YM,"C",IF(BN296&gt;=DIE_B_YM,"B","A")),""))))</f>
        <v/>
      </c>
      <c r="BP296" s="4">
        <f>BO296</f>
        <v/>
      </c>
      <c r="BQ296" s="4">
        <f>IF(AS296="regla",IF(AND(N(AQ296)=0,BL296=1),"sí","no"),"no")</f>
        <v/>
      </c>
      <c r="BR296" s="3">
        <f>IFERROR(VLOOKUP(F296,MOD_TBL,11,0),IFERROR(VLOOKUP(E296,OCU_TBL,2,0),NEUTRO))</f>
        <v/>
      </c>
      <c r="BS296" s="3">
        <f>SUMIFS(MOT_AJUSTE,MOT_MOTOR,G296,MOT_MARCA,E296,MOT_DESDE,"&lt;="&amp;M296,MOT_HASTA,"&gt;="&amp;M296)+SUMIFS(MOT_AJUSTE,MOT_MOTOR,G296,MOT_MARCA,"(todas)",MOT_DESDE,"&lt;="&amp;M296,MOT_HASTA,"&gt;="&amp;M296)</f>
        <v/>
      </c>
      <c r="BT296" s="3">
        <f>SUMIFS(COMB_AJUSTE,COMB_COMB,K296)</f>
        <v/>
      </c>
      <c r="BU296" s="3">
        <f>COUNTIFS(MOT_MOTOR,G296,MOT_MARCA,E296,MOT_DESDE,"&lt;="&amp;M296,MOT_HASTA,"&gt;="&amp;M296)+COUNTIFS(MOT_MOTOR,G296,MOT_MARCA,"(todas)",MOT_DESDE,"&lt;="&amp;M296,MOT_HASTA,"&gt;="&amp;M296)</f>
        <v/>
      </c>
      <c r="BV296" s="3">
        <f>IF(AND(K296="diesel",BU296=0),MIN(BR296,NEUTRO),BR296)</f>
        <v/>
      </c>
      <c r="BW296" s="4">
        <f>MAX(0,MIN(100,BV296+BS296+BT296))</f>
        <v/>
      </c>
      <c r="BX296" s="3">
        <f>MAX(0,MIN(100,50+BK296*PRECIO_PEND))</f>
        <v/>
      </c>
      <c r="BY296" s="3">
        <f>MAX(0,100*(1-N296/KM_MAX))</f>
        <v/>
      </c>
      <c r="BZ296" s="3">
        <f>IF(BB296&lt;KMA_SOSP,IF(AA296="sí",100,KMA_PEN),IF(BB296&lt;=KMA_IDEAL_MAX,100,MAX(0,100*(KMA_CERO-BB296)/(KMA_CERO-KMA_IDEAL_MAX))))</f>
        <v/>
      </c>
      <c r="CA296" s="3">
        <f>MAX(0,MIN(100,100*(M296-ANIO_MIN)/(ANIO_ACTUAL-ANIO_MIN)))</f>
        <v/>
      </c>
      <c r="CB296" s="3">
        <f>W_KMT*BY296+W_KMA*BZ296+W_EDAD*CA296</f>
        <v/>
      </c>
      <c r="CC296" s="3">
        <f>P_ITV*(V296="sí")+P_LIBRO*(W296="sí")+P_CORREA*(X296="sí")+P_PROP*(Y296=1)+P_GAR*(Z296="sí")+P_FOTOS*MIN(1,N(U296)/FOTOS_OBJ)</f>
        <v/>
      </c>
      <c r="CD296" s="3">
        <f>MAX(0,MIN(100,IFERROR(VLOOKUP(BP296,ETQ_TBL,2,0),0)-IF(BQ296="sí",ETQ_PEN_DUD,IF(AS296="regla",ETQ_PEN_REGLA,0))))</f>
        <v/>
      </c>
      <c r="CE296" s="3">
        <f>NEUTRO</f>
        <v/>
      </c>
      <c r="CF296" s="3">
        <f>IFERROR(VLOOKUP(L296,SEGURO_TBL,3,0),"")</f>
        <v/>
      </c>
      <c r="CG296" s="3">
        <f>IF(CF296="",NEUTRO,MAX(0,MIN(100,100*(SEG_REF_MAX-CF296)/(SEG_REF_MAX-SEG_REF_MIN))))</f>
        <v/>
      </c>
      <c r="CH296" s="3">
        <f>W_CONS*CE296+W_SEG*CG296</f>
        <v/>
      </c>
      <c r="CI296" s="3">
        <f>IF(N(AB296)&gt;0,AB296,IF(AND(R296="profesional",SG_LEGAL_ON=1),GAR_LEGAL,0))</f>
        <v/>
      </c>
      <c r="CJ296" s="3">
        <f>SG_GAR*MIN(1,CI296/SG_GAR_FULL)+SG_AMPL*(AC296="sí")+SG_KMC*(AF296="sí")+SG_REV*(N(AE296)&gt;0)+SG_DEV*MIN(1,N(AG296)/SG_DEV_FULL)+SG_HIST*(W296="sí")</f>
        <v/>
      </c>
      <c r="CK296" s="3">
        <f>IFERROR(VLOOKUP(L296,CARR_PEN_TBL,2,0),0)</f>
        <v/>
      </c>
      <c r="CL296" s="3">
        <f>W_FIAB*BW296+W_PRECIO*BX296+W_KMEDAD*CB296+W_ANUNCIO*CC296+W_USO*CH296+W_SEGURIDAD*CJ296+W_ETIQUETA*CD296-CK296</f>
        <v/>
      </c>
      <c r="CM296" s="4">
        <f>IF(N(I296)&gt;0,I296,IFERROR(ROUND(_xlfn.NUMBERVALUE(LEFT(G296,FIND(" ",G296&amp;" ")-1),".")*1000,0),99999))</f>
        <v/>
      </c>
      <c r="CN296" s="3">
        <f>IF(R296="profesional",0,IF(O296&lt;CUOTA_VALOR_MAX,IF(BA296&gt;ITP_TRAMO_ALTO,SUMIFS(CF_CUOTA,CF_MAS,ITP_TRAMO_ALTO,CF_CCMIN,"&lt;="&amp;CM296,CF_CCMAX,"&gt;="&amp;CM296),IF(BA296&gt;ITP_TRAMO_BAJO,SUMIFS(CF_CUOTA,CF_MAS,ITP_TRAMO_BAJO,CF_CCMIN,"&lt;="&amp;CM296,CF_CCMAX,"&gt;="&amp;CM296),O296*ITP_TIPO)),O296*ITP_TIPO))</f>
        <v/>
      </c>
      <c r="CO296" s="4">
        <f>IF(R296="profesional",N(AK296),0)</f>
        <v/>
      </c>
      <c r="CP296" s="3">
        <f>IF(AND(R296="profesional",ISNUMBER(AK296),AL296="sí"),0,TASA_DGT)</f>
        <v/>
      </c>
      <c r="CQ296" s="3">
        <f>INFORME_DGT</f>
        <v/>
      </c>
      <c r="CR296" s="4">
        <f>O296+CO296+CN296+CP296+CQ296</f>
        <v/>
      </c>
      <c r="CS296" s="4">
        <f>CR296+N(CF296)</f>
        <v/>
      </c>
      <c r="CT296" s="3">
        <f>IF(CR296&lt;=TOTAL_MAX,"sí",IF(CR296&lt;=TOTAL_MAX+MARGEN_NEG,"negociar","no"))</f>
        <v/>
      </c>
      <c r="CU296" s="4">
        <f>IF(CT296&lt;&gt;"no",COUNTIFS($CT$2:$CT$545,"&lt;&gt;no",$CL$2:$CL$545,"&gt;"&amp;CL296)+COUNTIFS($CT$2:CT296,"&lt;&gt;no",$CL$2:CL296,CL296),"")</f>
        <v/>
      </c>
    </row>
    <row r="297">
      <c r="A297" s="2" t="inlineStr">
        <is>
          <t>wallapop:1316074282</t>
        </is>
      </c>
      <c r="B297" s="2" t="inlineStr">
        <is>
          <t>wallapop</t>
        </is>
      </c>
      <c r="C297" s="2" t="inlineStr">
        <is>
          <t>https://es.wallapop.com/item/ford-fiesta-2012-1316074282</t>
        </is>
      </c>
      <c r="D297" s="2" t="inlineStr">
        <is>
          <t>Ford Fiesta 2012</t>
        </is>
      </c>
      <c r="E297" s="2" t="inlineStr">
        <is>
          <t>Ford</t>
        </is>
      </c>
      <c r="F297" s="2" t="inlineStr">
        <is>
          <t>Ford Fiesta</t>
        </is>
      </c>
      <c r="G297" s="2" t="n"/>
      <c r="H297" s="2" t="n"/>
      <c r="I297" s="2" t="n"/>
      <c r="J297" s="2" t="n">
        <v>80</v>
      </c>
      <c r="K297" s="2" t="inlineStr">
        <is>
          <t>diesel</t>
        </is>
      </c>
      <c r="L297" s="2" t="inlineStr">
        <is>
          <t>utilitario</t>
        </is>
      </c>
      <c r="M297" s="2" t="n">
        <v>2012</v>
      </c>
      <c r="N297" s="2" t="n">
        <v>180000</v>
      </c>
      <c r="O297" s="2" t="n">
        <v>4200</v>
      </c>
      <c r="P297" s="2" t="inlineStr">
        <is>
          <t>manual</t>
        </is>
      </c>
      <c r="Q297" s="2" t="inlineStr">
        <is>
          <t>no</t>
        </is>
      </c>
      <c r="R297" s="2" t="inlineStr">
        <is>
          <t>particular</t>
        </is>
      </c>
      <c r="S297" s="2" t="inlineStr">
        <is>
          <t>Gandía (46700)</t>
        </is>
      </c>
      <c r="T297" s="2" t="inlineStr">
        <is>
          <t>2026-10-22T16:25:43</t>
        </is>
      </c>
      <c r="U297" s="2" t="n">
        <v>7</v>
      </c>
      <c r="V297" s="2" t="n"/>
      <c r="W297" s="2" t="n"/>
      <c r="X297" s="2" t="n"/>
      <c r="Y297" s="2" t="n"/>
      <c r="Z297" s="2" t="n"/>
      <c r="AA297" s="2" t="n"/>
      <c r="AB297" s="2" t="n"/>
      <c r="AC297" s="2" t="n"/>
      <c r="AD297" s="2" t="n"/>
      <c r="AE297" s="2" t="n"/>
      <c r="AF297" s="2" t="n"/>
      <c r="AG297" s="2" t="n"/>
      <c r="AH297" s="2" t="n"/>
      <c r="AI297" s="2" t="n"/>
      <c r="AJ297" s="2" t="n"/>
      <c r="AK297" s="2" t="n"/>
      <c r="AL297" s="2" t="n"/>
      <c r="AM297" s="2" t="n">
        <v>58.5</v>
      </c>
      <c r="AN297" s="2" t="n"/>
      <c r="AO297" s="2" t="inlineStr">
        <is>
          <t>2012</t>
        </is>
      </c>
      <c r="AP297" s="2" t="n">
        <v>2012</v>
      </c>
      <c r="AQ297" s="2" t="n"/>
      <c r="AR297" s="2" t="n"/>
      <c r="AS297" s="2" t="inlineStr">
        <is>
          <t>regla</t>
        </is>
      </c>
      <c r="AT297" s="2" t="n">
        <v>4545</v>
      </c>
      <c r="AU297" s="2" t="n">
        <v>18</v>
      </c>
      <c r="AV297" s="2" t="inlineStr">
        <is>
          <t>modelo+año+km</t>
        </is>
      </c>
      <c r="AW297" s="2" t="n"/>
      <c r="AX297" s="2" t="inlineStr">
        <is>
          <t>cilindrada desconocida: se aplica el tramo de cuota fija más alto; cuota fija ITP: &gt;12 años, más de 2.000 cc; diésel: motor sin fuente de fiabilidad (fiabilidad limitada a neutra)</t>
        </is>
      </c>
      <c r="AY297" s="2" t="inlineStr">
        <is>
          <t xml:space="preserve">Ford fiesta diesel 2012 se vende por no usar hace falta pasar itv solo aceite i filtros recien cambiados estado de motor perfecto </t>
        </is>
      </c>
      <c r="AZ297" s="2" t="inlineStr">
        <is>
          <t>https://es.wallapop.com/item/ford-fiesta-2012-1316074282 (__NEXT_DATA__ item) /home/user/Alopecia/buscador-coches/raw/wallapop/f909e07d485ddbce.json</t>
        </is>
      </c>
      <c r="BA297" s="3">
        <f>MAX(ANIO_ACTUAL-M297,0)</f>
        <v/>
      </c>
      <c r="BB297" s="4">
        <f>N297/MAX(BA297,0.5)</f>
        <v/>
      </c>
      <c r="BC297" s="4">
        <f>F297</f>
        <v/>
      </c>
      <c r="BD297" s="3">
        <f>BC297&amp;"|"&amp;INT(M297/SEG_ANIO)*SEG_ANIO</f>
        <v/>
      </c>
      <c r="BE297" s="3">
        <f>BD297&amp;"|"&amp;INT(N297/SEG_KM)*SEG_KM</f>
        <v/>
      </c>
      <c r="BF297" s="4">
        <f>COUNTIF($BC$2:$BC$545,BC297)</f>
        <v/>
      </c>
      <c r="BG297" s="4">
        <f>COUNTIF($BD$2:$BD$545,BD297)</f>
        <v/>
      </c>
      <c r="BH297" s="4">
        <f>COUNTIF($BE$2:$BE$545,BE297)</f>
        <v/>
      </c>
      <c r="BI297" s="3">
        <f t="array" ref="BI297">IF(N(AU297)&gt;=MIN_N,AT297,IF(BH297&gt;=MIN_N,MEDIAN(IF($BE$2:$BE$545=BE297,$O$2:$O$545)),IF(BG297&gt;=MIN_N,MEDIAN(IF($BD$2:$BD$545=BD297,$O$2:$O$545)),MEDIAN(IF($BC$2:$BC$545=BC297,$O$2:$O$545)))))</f>
        <v/>
      </c>
      <c r="BJ297" s="3">
        <f>IF(N(AU297)&gt;=MIN_N,"mercado "&amp;AV297,IF(BH297&gt;=MIN_N,"modelo+año+km",IF(BG297&gt;=MIN_N,"modelo+año","modelo")))</f>
        <v/>
      </c>
      <c r="BK297" s="4">
        <f>(BI297-O297)/BI297</f>
        <v/>
      </c>
      <c r="BL297" s="3">
        <f>IF(COUNTIFS(FR_FUEL,K297,FR_YEAR,AP297)&gt;0,1,0)</f>
        <v/>
      </c>
      <c r="BM297" s="3">
        <f>IF(COUNTIFS(FR_FUEL,K297,FR_YEAR,AP297-1)&gt;0,1,0)</f>
        <v/>
      </c>
      <c r="BN297" s="4">
        <f>IF(N(AQ297)&gt;0,AP297*100+AQ297,IF(AND(BL297=1,BM297=1),(AP297-1)*100+1,AP297*100+1))</f>
        <v/>
      </c>
      <c r="BO297" s="3">
        <f>IF(OR(K297="hibrido",K297="glp",K297="gnc",K297="phev"),"ECO",IF(K297="electrico","CERO",IF(K297="gasolina",IF(BN297&gt;=GAS_C_YM,"C",IF(BN297&gt;=GAS_B_YM,"B","A")),IF(K297="diesel",IF(BN297&gt;=DIE_C_YM,"C",IF(BN297&gt;=DIE_B_YM,"B","A")),""))))</f>
        <v/>
      </c>
      <c r="BP297" s="4">
        <f>BO297</f>
        <v/>
      </c>
      <c r="BQ297" s="4">
        <f>IF(AS297="regla",IF(AND(N(AQ297)=0,BL297=1),"sí","no"),"no")</f>
        <v/>
      </c>
      <c r="BR297" s="3">
        <f>IFERROR(VLOOKUP(F297,MOD_TBL,11,0),IFERROR(VLOOKUP(E297,OCU_TBL,2,0),NEUTRO))</f>
        <v/>
      </c>
      <c r="BS297" s="3">
        <f>SUMIFS(MOT_AJUSTE,MOT_MOTOR,G297,MOT_MARCA,E297,MOT_DESDE,"&lt;="&amp;M297,MOT_HASTA,"&gt;="&amp;M297)+SUMIFS(MOT_AJUSTE,MOT_MOTOR,G297,MOT_MARCA,"(todas)",MOT_DESDE,"&lt;="&amp;M297,MOT_HASTA,"&gt;="&amp;M297)</f>
        <v/>
      </c>
      <c r="BT297" s="3">
        <f>SUMIFS(COMB_AJUSTE,COMB_COMB,K297)</f>
        <v/>
      </c>
      <c r="BU297" s="3">
        <f>COUNTIFS(MOT_MOTOR,G297,MOT_MARCA,E297,MOT_DESDE,"&lt;="&amp;M297,MOT_HASTA,"&gt;="&amp;M297)+COUNTIFS(MOT_MOTOR,G297,MOT_MARCA,"(todas)",MOT_DESDE,"&lt;="&amp;M297,MOT_HASTA,"&gt;="&amp;M297)</f>
        <v/>
      </c>
      <c r="BV297" s="3">
        <f>IF(AND(K297="diesel",BU297=0),MIN(BR297,NEUTRO),BR297)</f>
        <v/>
      </c>
      <c r="BW297" s="4">
        <f>MAX(0,MIN(100,BV297+BS297+BT297))</f>
        <v/>
      </c>
      <c r="BX297" s="3">
        <f>MAX(0,MIN(100,50+BK297*PRECIO_PEND))</f>
        <v/>
      </c>
      <c r="BY297" s="3">
        <f>MAX(0,100*(1-N297/KM_MAX))</f>
        <v/>
      </c>
      <c r="BZ297" s="3">
        <f>IF(BB297&lt;KMA_SOSP,IF(AA297="sí",100,KMA_PEN),IF(BB297&lt;=KMA_IDEAL_MAX,100,MAX(0,100*(KMA_CERO-BB297)/(KMA_CERO-KMA_IDEAL_MAX))))</f>
        <v/>
      </c>
      <c r="CA297" s="3">
        <f>MAX(0,MIN(100,100*(M297-ANIO_MIN)/(ANIO_ACTUAL-ANIO_MIN)))</f>
        <v/>
      </c>
      <c r="CB297" s="3">
        <f>W_KMT*BY297+W_KMA*BZ297+W_EDAD*CA297</f>
        <v/>
      </c>
      <c r="CC297" s="3">
        <f>P_ITV*(V297="sí")+P_LIBRO*(W297="sí")+P_CORREA*(X297="sí")+P_PROP*(Y297=1)+P_GAR*(Z297="sí")+P_FOTOS*MIN(1,N(U297)/FOTOS_OBJ)</f>
        <v/>
      </c>
      <c r="CD297" s="3">
        <f>MAX(0,MIN(100,IFERROR(VLOOKUP(BP297,ETQ_TBL,2,0),0)-IF(BQ297="sí",ETQ_PEN_DUD,IF(AS297="regla",ETQ_PEN_REGLA,0))))</f>
        <v/>
      </c>
      <c r="CE297" s="3">
        <f>NEUTRO</f>
        <v/>
      </c>
      <c r="CF297" s="3">
        <f>IFERROR(VLOOKUP(L297,SEGURO_TBL,3,0),"")</f>
        <v/>
      </c>
      <c r="CG297" s="3">
        <f>IF(CF297="",NEUTRO,MAX(0,MIN(100,100*(SEG_REF_MAX-CF297)/(SEG_REF_MAX-SEG_REF_MIN))))</f>
        <v/>
      </c>
      <c r="CH297" s="3">
        <f>W_CONS*CE297+W_SEG*CG297</f>
        <v/>
      </c>
      <c r="CI297" s="3">
        <f>IF(N(AB297)&gt;0,AB297,IF(AND(R297="profesional",SG_LEGAL_ON=1),GAR_LEGAL,0))</f>
        <v/>
      </c>
      <c r="CJ297" s="3">
        <f>SG_GAR*MIN(1,CI297/SG_GAR_FULL)+SG_AMPL*(AC297="sí")+SG_KMC*(AF297="sí")+SG_REV*(N(AE297)&gt;0)+SG_DEV*MIN(1,N(AG297)/SG_DEV_FULL)+SG_HIST*(W297="sí")</f>
        <v/>
      </c>
      <c r="CK297" s="3">
        <f>IFERROR(VLOOKUP(L297,CARR_PEN_TBL,2,0),0)</f>
        <v/>
      </c>
      <c r="CL297" s="3">
        <f>W_FIAB*BW297+W_PRECIO*BX297+W_KMEDAD*CB297+W_ANUNCIO*CC297+W_USO*CH297+W_SEGURIDAD*CJ297+W_ETIQUETA*CD297-CK297</f>
        <v/>
      </c>
      <c r="CM297" s="4">
        <f>IF(N(I297)&gt;0,I297,IFERROR(ROUND(_xlfn.NUMBERVALUE(LEFT(G297,FIND(" ",G297&amp;" ")-1),".")*1000,0),99999))</f>
        <v/>
      </c>
      <c r="CN297" s="3">
        <f>IF(R297="profesional",0,IF(O297&lt;CUOTA_VALOR_MAX,IF(BA297&gt;ITP_TRAMO_ALTO,SUMIFS(CF_CUOTA,CF_MAS,ITP_TRAMO_ALTO,CF_CCMIN,"&lt;="&amp;CM297,CF_CCMAX,"&gt;="&amp;CM297),IF(BA297&gt;ITP_TRAMO_BAJO,SUMIFS(CF_CUOTA,CF_MAS,ITP_TRAMO_BAJO,CF_CCMIN,"&lt;="&amp;CM297,CF_CCMAX,"&gt;="&amp;CM297),O297*ITP_TIPO)),O297*ITP_TIPO))</f>
        <v/>
      </c>
      <c r="CO297" s="4">
        <f>IF(R297="profesional",N(AK297),0)</f>
        <v/>
      </c>
      <c r="CP297" s="3">
        <f>IF(AND(R297="profesional",ISNUMBER(AK297),AL297="sí"),0,TASA_DGT)</f>
        <v/>
      </c>
      <c r="CQ297" s="3">
        <f>INFORME_DGT</f>
        <v/>
      </c>
      <c r="CR297" s="4">
        <f>O297+CO297+CN297+CP297+CQ297</f>
        <v/>
      </c>
      <c r="CS297" s="4">
        <f>CR297+N(CF297)</f>
        <v/>
      </c>
      <c r="CT297" s="3">
        <f>IF(CR297&lt;=TOTAL_MAX,"sí",IF(CR297&lt;=TOTAL_MAX+MARGEN_NEG,"negociar","no"))</f>
        <v/>
      </c>
      <c r="CU297" s="4">
        <f>IF(CT297&lt;&gt;"no",COUNTIFS($CT$2:$CT$545,"&lt;&gt;no",$CL$2:$CL$545,"&gt;"&amp;CL297)+COUNTIFS($CT$2:CT297,"&lt;&gt;no",$CL$2:CL297,CL297),"")</f>
        <v/>
      </c>
    </row>
    <row r="298">
      <c r="A298" s="2" t="inlineStr">
        <is>
          <t>wallapop:1315660957</t>
        </is>
      </c>
      <c r="B298" s="2" t="inlineStr">
        <is>
          <t>wallapop</t>
        </is>
      </c>
      <c r="C298" s="2" t="inlineStr">
        <is>
          <t>https://es.wallapop.com/item/ford-ford-fiesta-2011-1315660957</t>
        </is>
      </c>
      <c r="D298" s="2" t="inlineStr">
        <is>
          <t>Ford Ford fiesta 2011</t>
        </is>
      </c>
      <c r="E298" s="2" t="inlineStr">
        <is>
          <t>Ford</t>
        </is>
      </c>
      <c r="F298" s="2" t="inlineStr">
        <is>
          <t>Ford Fiesta</t>
        </is>
      </c>
      <c r="G298" s="2" t="n"/>
      <c r="H298" s="2" t="inlineStr">
        <is>
          <t>16</t>
        </is>
      </c>
      <c r="I298" s="2" t="n"/>
      <c r="J298" s="2" t="n"/>
      <c r="K298" s="2" t="inlineStr">
        <is>
          <t>diesel</t>
        </is>
      </c>
      <c r="L298" s="2" t="inlineStr">
        <is>
          <t>utilitario</t>
        </is>
      </c>
      <c r="M298" s="2" t="n">
        <v>2011</v>
      </c>
      <c r="N298" s="2" t="n">
        <v>178000</v>
      </c>
      <c r="O298" s="2" t="n">
        <v>4000</v>
      </c>
      <c r="P298" s="2" t="inlineStr">
        <is>
          <t>manual</t>
        </is>
      </c>
      <c r="Q298" s="2" t="inlineStr">
        <is>
          <t>no</t>
        </is>
      </c>
      <c r="R298" s="2" t="inlineStr">
        <is>
          <t>particular</t>
        </is>
      </c>
      <c r="S298" s="2" t="inlineStr">
        <is>
          <t>Burjassot (46100)</t>
        </is>
      </c>
      <c r="T298" s="2" t="inlineStr">
        <is>
          <t>2026-10-21T14:10:07</t>
        </is>
      </c>
      <c r="U298" s="2" t="n">
        <v>6</v>
      </c>
      <c r="V298" s="2" t="inlineStr">
        <is>
          <t>sí</t>
        </is>
      </c>
      <c r="W298" s="2" t="n"/>
      <c r="X298" s="2" t="n"/>
      <c r="Y298" s="2" t="n"/>
      <c r="Z298" s="2" t="n"/>
      <c r="AA298" s="2" t="n"/>
      <c r="AB298" s="2" t="n"/>
      <c r="AC298" s="2" t="n"/>
      <c r="AD298" s="2" t="n"/>
      <c r="AE298" s="2" t="n"/>
      <c r="AF298" s="2" t="n"/>
      <c r="AG298" s="2" t="n"/>
      <c r="AH298" s="2" t="n"/>
      <c r="AI298" s="2" t="n"/>
      <c r="AJ298" s="2" t="n"/>
      <c r="AK298" s="2" t="n"/>
      <c r="AL298" s="2" t="n"/>
      <c r="AM298" s="2" t="n">
        <v>5.7</v>
      </c>
      <c r="AN298" s="2" t="n"/>
      <c r="AO298" s="2" t="inlineStr">
        <is>
          <t>2011</t>
        </is>
      </c>
      <c r="AP298" s="2" t="n">
        <v>2011</v>
      </c>
      <c r="AQ298" s="2" t="n"/>
      <c r="AR298" s="2" t="n"/>
      <c r="AS298" s="2" t="inlineStr">
        <is>
          <t>regla</t>
        </is>
      </c>
      <c r="AT298" s="2" t="n">
        <v>4545</v>
      </c>
      <c r="AU298" s="2" t="n">
        <v>18</v>
      </c>
      <c r="AV298" s="2" t="inlineStr">
        <is>
          <t>modelo+año+km</t>
        </is>
      </c>
      <c r="AW298" s="2" t="n"/>
      <c r="AX298" s="2" t="inlineStr">
        <is>
          <t>cilindrada desconocida: se aplica el tramo de cuota fija más alto; cuota fija ITP: &gt;12 años, más de 2.000 cc; diésel: motor sin fuente de fiabilidad (fiabilidad limitada a neutra)</t>
        </is>
      </c>
      <c r="AY298" s="2" t="inlineStr">
        <is>
          <t>🚗 Ford Fiesta 2011 – 4.000 € – ITV pasada
Vendo Ford Fiesta del año 2011, de color negro, ideal como coche para el día a día o como primer vehículo.
✅ Revisiones al día.
✅ ITV pasada y en vigor.
✅ Motor en buen funcionamiento.
✅ Coche en marcha.
✅ Diseño deportivo con llantas negras.
🔧 Estado del vehículo:
Tiene algunos desperfectos estéticos en la chapa propios del paso del tiempo, como se aprecia en las fotografías. El motor funciona bien.
📍 Se puede ver y probar sin compromiso.
📩 Interesados, contactar por privado para más información.</t>
        </is>
      </c>
      <c r="AZ298" s="2" t="inlineStr">
        <is>
          <t>https://es.wallapop.com/item/ford-ford-fiesta-2011-1315660957 (__NEXT_DATA__ item) /home/user/Alopecia/buscador-coches/raw/wallapop/6682722fed557e1e.json</t>
        </is>
      </c>
      <c r="BA298" s="3">
        <f>MAX(ANIO_ACTUAL-M298,0)</f>
        <v/>
      </c>
      <c r="BB298" s="4">
        <f>N298/MAX(BA298,0.5)</f>
        <v/>
      </c>
      <c r="BC298" s="4">
        <f>F298</f>
        <v/>
      </c>
      <c r="BD298" s="3">
        <f>BC298&amp;"|"&amp;INT(M298/SEG_ANIO)*SEG_ANIO</f>
        <v/>
      </c>
      <c r="BE298" s="3">
        <f>BD298&amp;"|"&amp;INT(N298/SEG_KM)*SEG_KM</f>
        <v/>
      </c>
      <c r="BF298" s="4">
        <f>COUNTIF($BC$2:$BC$545,BC298)</f>
        <v/>
      </c>
      <c r="BG298" s="4">
        <f>COUNTIF($BD$2:$BD$545,BD298)</f>
        <v/>
      </c>
      <c r="BH298" s="4">
        <f>COUNTIF($BE$2:$BE$545,BE298)</f>
        <v/>
      </c>
      <c r="BI298" s="3">
        <f t="array" ref="BI298">IF(N(AU298)&gt;=MIN_N,AT298,IF(BH298&gt;=MIN_N,MEDIAN(IF($BE$2:$BE$545=BE298,$O$2:$O$545)),IF(BG298&gt;=MIN_N,MEDIAN(IF($BD$2:$BD$545=BD298,$O$2:$O$545)),MEDIAN(IF($BC$2:$BC$545=BC298,$O$2:$O$545)))))</f>
        <v/>
      </c>
      <c r="BJ298" s="3">
        <f>IF(N(AU298)&gt;=MIN_N,"mercado "&amp;AV298,IF(BH298&gt;=MIN_N,"modelo+año+km",IF(BG298&gt;=MIN_N,"modelo+año","modelo")))</f>
        <v/>
      </c>
      <c r="BK298" s="4">
        <f>(BI298-O298)/BI298</f>
        <v/>
      </c>
      <c r="BL298" s="3">
        <f>IF(COUNTIFS(FR_FUEL,K298,FR_YEAR,AP298)&gt;0,1,0)</f>
        <v/>
      </c>
      <c r="BM298" s="3">
        <f>IF(COUNTIFS(FR_FUEL,K298,FR_YEAR,AP298-1)&gt;0,1,0)</f>
        <v/>
      </c>
      <c r="BN298" s="4">
        <f>IF(N(AQ298)&gt;0,AP298*100+AQ298,IF(AND(BL298=1,BM298=1),(AP298-1)*100+1,AP298*100+1))</f>
        <v/>
      </c>
      <c r="BO298" s="3">
        <f>IF(OR(K298="hibrido",K298="glp",K298="gnc",K298="phev"),"ECO",IF(K298="electrico","CERO",IF(K298="gasolina",IF(BN298&gt;=GAS_C_YM,"C",IF(BN298&gt;=GAS_B_YM,"B","A")),IF(K298="diesel",IF(BN298&gt;=DIE_C_YM,"C",IF(BN298&gt;=DIE_B_YM,"B","A")),""))))</f>
        <v/>
      </c>
      <c r="BP298" s="4">
        <f>BO298</f>
        <v/>
      </c>
      <c r="BQ298" s="4">
        <f>IF(AS298="regla",IF(AND(N(AQ298)=0,BL298=1),"sí","no"),"no")</f>
        <v/>
      </c>
      <c r="BR298" s="3">
        <f>IFERROR(VLOOKUP(F298,MOD_TBL,11,0),IFERROR(VLOOKUP(E298,OCU_TBL,2,0),NEUTRO))</f>
        <v/>
      </c>
      <c r="BS298" s="3">
        <f>SUMIFS(MOT_AJUSTE,MOT_MOTOR,G298,MOT_MARCA,E298,MOT_DESDE,"&lt;="&amp;M298,MOT_HASTA,"&gt;="&amp;M298)+SUMIFS(MOT_AJUSTE,MOT_MOTOR,G298,MOT_MARCA,"(todas)",MOT_DESDE,"&lt;="&amp;M298,MOT_HASTA,"&gt;="&amp;M298)</f>
        <v/>
      </c>
      <c r="BT298" s="3">
        <f>SUMIFS(COMB_AJUSTE,COMB_COMB,K298)</f>
        <v/>
      </c>
      <c r="BU298" s="3">
        <f>COUNTIFS(MOT_MOTOR,G298,MOT_MARCA,E298,MOT_DESDE,"&lt;="&amp;M298,MOT_HASTA,"&gt;="&amp;M298)+COUNTIFS(MOT_MOTOR,G298,MOT_MARCA,"(todas)",MOT_DESDE,"&lt;="&amp;M298,MOT_HASTA,"&gt;="&amp;M298)</f>
        <v/>
      </c>
      <c r="BV298" s="3">
        <f>IF(AND(K298="diesel",BU298=0),MIN(BR298,NEUTRO),BR298)</f>
        <v/>
      </c>
      <c r="BW298" s="4">
        <f>MAX(0,MIN(100,BV298+BS298+BT298))</f>
        <v/>
      </c>
      <c r="BX298" s="3">
        <f>MAX(0,MIN(100,50+BK298*PRECIO_PEND))</f>
        <v/>
      </c>
      <c r="BY298" s="3">
        <f>MAX(0,100*(1-N298/KM_MAX))</f>
        <v/>
      </c>
      <c r="BZ298" s="3">
        <f>IF(BB298&lt;KMA_SOSP,IF(AA298="sí",100,KMA_PEN),IF(BB298&lt;=KMA_IDEAL_MAX,100,MAX(0,100*(KMA_CERO-BB298)/(KMA_CERO-KMA_IDEAL_MAX))))</f>
        <v/>
      </c>
      <c r="CA298" s="3">
        <f>MAX(0,MIN(100,100*(M298-ANIO_MIN)/(ANIO_ACTUAL-ANIO_MIN)))</f>
        <v/>
      </c>
      <c r="CB298" s="3">
        <f>W_KMT*BY298+W_KMA*BZ298+W_EDAD*CA298</f>
        <v/>
      </c>
      <c r="CC298" s="3">
        <f>P_ITV*(V298="sí")+P_LIBRO*(W298="sí")+P_CORREA*(X298="sí")+P_PROP*(Y298=1)+P_GAR*(Z298="sí")+P_FOTOS*MIN(1,N(U298)/FOTOS_OBJ)</f>
        <v/>
      </c>
      <c r="CD298" s="3">
        <f>MAX(0,MIN(100,IFERROR(VLOOKUP(BP298,ETQ_TBL,2,0),0)-IF(BQ298="sí",ETQ_PEN_DUD,IF(AS298="regla",ETQ_PEN_REGLA,0))))</f>
        <v/>
      </c>
      <c r="CE298" s="3">
        <f>NEUTRO</f>
        <v/>
      </c>
      <c r="CF298" s="3">
        <f>IFERROR(VLOOKUP(L298,SEGURO_TBL,3,0),"")</f>
        <v/>
      </c>
      <c r="CG298" s="3">
        <f>IF(CF298="",NEUTRO,MAX(0,MIN(100,100*(SEG_REF_MAX-CF298)/(SEG_REF_MAX-SEG_REF_MIN))))</f>
        <v/>
      </c>
      <c r="CH298" s="3">
        <f>W_CONS*CE298+W_SEG*CG298</f>
        <v/>
      </c>
      <c r="CI298" s="3">
        <f>IF(N(AB298)&gt;0,AB298,IF(AND(R298="profesional",SG_LEGAL_ON=1),GAR_LEGAL,0))</f>
        <v/>
      </c>
      <c r="CJ298" s="3">
        <f>SG_GAR*MIN(1,CI298/SG_GAR_FULL)+SG_AMPL*(AC298="sí")+SG_KMC*(AF298="sí")+SG_REV*(N(AE298)&gt;0)+SG_DEV*MIN(1,N(AG298)/SG_DEV_FULL)+SG_HIST*(W298="sí")</f>
        <v/>
      </c>
      <c r="CK298" s="3">
        <f>IFERROR(VLOOKUP(L298,CARR_PEN_TBL,2,0),0)</f>
        <v/>
      </c>
      <c r="CL298" s="3">
        <f>W_FIAB*BW298+W_PRECIO*BX298+W_KMEDAD*CB298+W_ANUNCIO*CC298+W_USO*CH298+W_SEGURIDAD*CJ298+W_ETIQUETA*CD298-CK298</f>
        <v/>
      </c>
      <c r="CM298" s="4">
        <f>IF(N(I298)&gt;0,I298,IFERROR(ROUND(_xlfn.NUMBERVALUE(LEFT(G298,FIND(" ",G298&amp;" ")-1),".")*1000,0),99999))</f>
        <v/>
      </c>
      <c r="CN298" s="3">
        <f>IF(R298="profesional",0,IF(O298&lt;CUOTA_VALOR_MAX,IF(BA298&gt;ITP_TRAMO_ALTO,SUMIFS(CF_CUOTA,CF_MAS,ITP_TRAMO_ALTO,CF_CCMIN,"&lt;="&amp;CM298,CF_CCMAX,"&gt;="&amp;CM298),IF(BA298&gt;ITP_TRAMO_BAJO,SUMIFS(CF_CUOTA,CF_MAS,ITP_TRAMO_BAJO,CF_CCMIN,"&lt;="&amp;CM298,CF_CCMAX,"&gt;="&amp;CM298),O298*ITP_TIPO)),O298*ITP_TIPO))</f>
        <v/>
      </c>
      <c r="CO298" s="4">
        <f>IF(R298="profesional",N(AK298),0)</f>
        <v/>
      </c>
      <c r="CP298" s="3">
        <f>IF(AND(R298="profesional",ISNUMBER(AK298),AL298="sí"),0,TASA_DGT)</f>
        <v/>
      </c>
      <c r="CQ298" s="3">
        <f>INFORME_DGT</f>
        <v/>
      </c>
      <c r="CR298" s="4">
        <f>O298+CO298+CN298+CP298+CQ298</f>
        <v/>
      </c>
      <c r="CS298" s="4">
        <f>CR298+N(CF298)</f>
        <v/>
      </c>
      <c r="CT298" s="3">
        <f>IF(CR298&lt;=TOTAL_MAX,"sí",IF(CR298&lt;=TOTAL_MAX+MARGEN_NEG,"negociar","no"))</f>
        <v/>
      </c>
      <c r="CU298" s="4">
        <f>IF(CT298&lt;&gt;"no",COUNTIFS($CT$2:$CT$545,"&lt;&gt;no",$CL$2:$CL$545,"&gt;"&amp;CL298)+COUNTIFS($CT$2:CT298,"&lt;&gt;no",$CL$2:CL298,CL298),"")</f>
        <v/>
      </c>
    </row>
    <row r="299">
      <c r="A299" s="2" t="inlineStr">
        <is>
          <t>wallapop:1317984979</t>
        </is>
      </c>
      <c r="B299" s="2" t="inlineStr">
        <is>
          <t>wallapop</t>
        </is>
      </c>
      <c r="C299" s="2" t="inlineStr">
        <is>
          <t>https://es.wallapop.com/item/ford-focus-2009-1317984979</t>
        </is>
      </c>
      <c r="D299" s="2" t="inlineStr">
        <is>
          <t>Ford Focus 2009</t>
        </is>
      </c>
      <c r="E299" s="2" t="inlineStr">
        <is>
          <t>Ford</t>
        </is>
      </c>
      <c r="F299" s="2" t="inlineStr">
        <is>
          <t>Ford Focus</t>
        </is>
      </c>
      <c r="G299" s="2" t="inlineStr">
        <is>
          <t>1.8 TDCi</t>
        </is>
      </c>
      <c r="H299" s="2" t="inlineStr">
        <is>
          <t>1.8 TDCi 115 Trend 3p</t>
        </is>
      </c>
      <c r="I299" s="2" t="n"/>
      <c r="J299" s="2" t="n">
        <v>115</v>
      </c>
      <c r="K299" s="2" t="inlineStr">
        <is>
          <t>diesel</t>
        </is>
      </c>
      <c r="L299" s="2" t="inlineStr">
        <is>
          <t>compacto</t>
        </is>
      </c>
      <c r="M299" s="2" t="n">
        <v>2009</v>
      </c>
      <c r="N299" s="2" t="n">
        <v>188000</v>
      </c>
      <c r="O299" s="2" t="n">
        <v>5000</v>
      </c>
      <c r="P299" s="2" t="inlineStr">
        <is>
          <t>manual</t>
        </is>
      </c>
      <c r="Q299" s="2" t="inlineStr">
        <is>
          <t>no</t>
        </is>
      </c>
      <c r="R299" s="2" t="inlineStr">
        <is>
          <t>particular</t>
        </is>
      </c>
      <c r="S299" s="2" t="inlineStr">
        <is>
          <t>Valencia (46003)</t>
        </is>
      </c>
      <c r="T299" s="2" t="inlineStr">
        <is>
          <t>2026-10-28T06:43:03</t>
        </is>
      </c>
      <c r="U299" s="2" t="n">
        <v>7</v>
      </c>
      <c r="V299" s="2" t="n"/>
      <c r="W299" s="2" t="n"/>
      <c r="X299" s="2" t="n"/>
      <c r="Y299" s="2" t="n"/>
      <c r="Z299" s="2" t="n"/>
      <c r="AA299" s="2" t="n"/>
      <c r="AB299" s="2" t="n"/>
      <c r="AC299" s="2" t="n"/>
      <c r="AD299" s="2" t="n"/>
      <c r="AE299" s="2" t="n"/>
      <c r="AF299" s="2" t="n"/>
      <c r="AG299" s="2" t="n"/>
      <c r="AH299" s="2" t="n"/>
      <c r="AI299" s="2" t="n"/>
      <c r="AJ299" s="2" t="n"/>
      <c r="AK299" s="2" t="n"/>
      <c r="AL299" s="2" t="n"/>
      <c r="AM299" s="2" t="n">
        <v>0.6</v>
      </c>
      <c r="AN299" s="2" t="n"/>
      <c r="AO299" s="2" t="inlineStr">
        <is>
          <t>2009</t>
        </is>
      </c>
      <c r="AP299" s="2" t="n">
        <v>2009</v>
      </c>
      <c r="AQ299" s="2" t="n"/>
      <c r="AR299" s="2" t="n"/>
      <c r="AS299" s="2" t="inlineStr">
        <is>
          <t>regla</t>
        </is>
      </c>
      <c r="AT299" s="2" t="n">
        <v>3870</v>
      </c>
      <c r="AU299" s="2" t="n">
        <v>10</v>
      </c>
      <c r="AV299" s="2" t="inlineStr">
        <is>
          <t>modelo+año+km</t>
        </is>
      </c>
      <c r="AW299" s="2" t="n"/>
      <c r="AX299" s="2" t="inlineStr">
        <is>
          <t>por encima del presupuesto (5124 €), negociar; cuota fija ITP: &gt;12 años, 1.501-2.000 cc; diésel: motor sin fuente de fiabilidad (fiabilidad limitada a neutra)</t>
        </is>
      </c>
      <c r="AY299" s="2" t="inlineStr">
        <is>
          <t>Ford Focus mk2 año 2009 2010 el coche está bien, no tiene nada para hacer de momento hasta los 190mil que le tocará aceite y filtros, se puede ver sin problema, también tengo facturas de las cosas que le eh estado haciendo.</t>
        </is>
      </c>
      <c r="AZ299" s="2" t="inlineStr">
        <is>
          <t>https://es.wallapop.com/item/ford-focus-2009-1317984979 (__NEXT_DATA__ item) /home/user/Alopecia/buscador-coches/raw/wallapop/840afd8eb3008dad.json</t>
        </is>
      </c>
      <c r="BA299" s="3">
        <f>MAX(ANIO_ACTUAL-M299,0)</f>
        <v/>
      </c>
      <c r="BB299" s="4">
        <f>N299/MAX(BA299,0.5)</f>
        <v/>
      </c>
      <c r="BC299" s="4">
        <f>F299</f>
        <v/>
      </c>
      <c r="BD299" s="3">
        <f>BC299&amp;"|"&amp;INT(M299/SEG_ANIO)*SEG_ANIO</f>
        <v/>
      </c>
      <c r="BE299" s="3">
        <f>BD299&amp;"|"&amp;INT(N299/SEG_KM)*SEG_KM</f>
        <v/>
      </c>
      <c r="BF299" s="4">
        <f>COUNTIF($BC$2:$BC$545,BC299)</f>
        <v/>
      </c>
      <c r="BG299" s="4">
        <f>COUNTIF($BD$2:$BD$545,BD299)</f>
        <v/>
      </c>
      <c r="BH299" s="4">
        <f>COUNTIF($BE$2:$BE$545,BE299)</f>
        <v/>
      </c>
      <c r="BI299" s="3">
        <f t="array" ref="BI299">IF(N(AU299)&gt;=MIN_N,AT299,IF(BH299&gt;=MIN_N,MEDIAN(IF($BE$2:$BE$545=BE299,$O$2:$O$545)),IF(BG299&gt;=MIN_N,MEDIAN(IF($BD$2:$BD$545=BD299,$O$2:$O$545)),MEDIAN(IF($BC$2:$BC$545=BC299,$O$2:$O$545)))))</f>
        <v/>
      </c>
      <c r="BJ299" s="3">
        <f>IF(N(AU299)&gt;=MIN_N,"mercado "&amp;AV299,IF(BH299&gt;=MIN_N,"modelo+año+km",IF(BG299&gt;=MIN_N,"modelo+año","modelo")))</f>
        <v/>
      </c>
      <c r="BK299" s="4">
        <f>(BI299-O299)/BI299</f>
        <v/>
      </c>
      <c r="BL299" s="3">
        <f>IF(COUNTIFS(FR_FUEL,K299,FR_YEAR,AP299)&gt;0,1,0)</f>
        <v/>
      </c>
      <c r="BM299" s="3">
        <f>IF(COUNTIFS(FR_FUEL,K299,FR_YEAR,AP299-1)&gt;0,1,0)</f>
        <v/>
      </c>
      <c r="BN299" s="4">
        <f>IF(N(AQ299)&gt;0,AP299*100+AQ299,IF(AND(BL299=1,BM299=1),(AP299-1)*100+1,AP299*100+1))</f>
        <v/>
      </c>
      <c r="BO299" s="3">
        <f>IF(OR(K299="hibrido",K299="glp",K299="gnc",K299="phev"),"ECO",IF(K299="electrico","CERO",IF(K299="gasolina",IF(BN299&gt;=GAS_C_YM,"C",IF(BN299&gt;=GAS_B_YM,"B","A")),IF(K299="diesel",IF(BN299&gt;=DIE_C_YM,"C",IF(BN299&gt;=DIE_B_YM,"B","A")),""))))</f>
        <v/>
      </c>
      <c r="BP299" s="4">
        <f>BO299</f>
        <v/>
      </c>
      <c r="BQ299" s="4">
        <f>IF(AS299="regla",IF(AND(N(AQ299)=0,BL299=1),"sí","no"),"no")</f>
        <v/>
      </c>
      <c r="BR299" s="3">
        <f>IFERROR(VLOOKUP(F299,MOD_TBL,11,0),IFERROR(VLOOKUP(E299,OCU_TBL,2,0),NEUTRO))</f>
        <v/>
      </c>
      <c r="BS299" s="3">
        <f>SUMIFS(MOT_AJUSTE,MOT_MOTOR,G299,MOT_MARCA,E299,MOT_DESDE,"&lt;="&amp;M299,MOT_HASTA,"&gt;="&amp;M299)+SUMIFS(MOT_AJUSTE,MOT_MOTOR,G299,MOT_MARCA,"(todas)",MOT_DESDE,"&lt;="&amp;M299,MOT_HASTA,"&gt;="&amp;M299)</f>
        <v/>
      </c>
      <c r="BT299" s="3">
        <f>SUMIFS(COMB_AJUSTE,COMB_COMB,K299)</f>
        <v/>
      </c>
      <c r="BU299" s="3">
        <f>COUNTIFS(MOT_MOTOR,G299,MOT_MARCA,E299,MOT_DESDE,"&lt;="&amp;M299,MOT_HASTA,"&gt;="&amp;M299)+COUNTIFS(MOT_MOTOR,G299,MOT_MARCA,"(todas)",MOT_DESDE,"&lt;="&amp;M299,MOT_HASTA,"&gt;="&amp;M299)</f>
        <v/>
      </c>
      <c r="BV299" s="3">
        <f>IF(AND(K299="diesel",BU299=0),MIN(BR299,NEUTRO),BR299)</f>
        <v/>
      </c>
      <c r="BW299" s="4">
        <f>MAX(0,MIN(100,BV299+BS299+BT299))</f>
        <v/>
      </c>
      <c r="BX299" s="3">
        <f>MAX(0,MIN(100,50+BK299*PRECIO_PEND))</f>
        <v/>
      </c>
      <c r="BY299" s="3">
        <f>MAX(0,100*(1-N299/KM_MAX))</f>
        <v/>
      </c>
      <c r="BZ299" s="3">
        <f>IF(BB299&lt;KMA_SOSP,IF(AA299="sí",100,KMA_PEN),IF(BB299&lt;=KMA_IDEAL_MAX,100,MAX(0,100*(KMA_CERO-BB299)/(KMA_CERO-KMA_IDEAL_MAX))))</f>
        <v/>
      </c>
      <c r="CA299" s="3">
        <f>MAX(0,MIN(100,100*(M299-ANIO_MIN)/(ANIO_ACTUAL-ANIO_MIN)))</f>
        <v/>
      </c>
      <c r="CB299" s="3">
        <f>W_KMT*BY299+W_KMA*BZ299+W_EDAD*CA299</f>
        <v/>
      </c>
      <c r="CC299" s="3">
        <f>P_ITV*(V299="sí")+P_LIBRO*(W299="sí")+P_CORREA*(X299="sí")+P_PROP*(Y299=1)+P_GAR*(Z299="sí")+P_FOTOS*MIN(1,N(U299)/FOTOS_OBJ)</f>
        <v/>
      </c>
      <c r="CD299" s="3">
        <f>MAX(0,MIN(100,IFERROR(VLOOKUP(BP299,ETQ_TBL,2,0),0)-IF(BQ299="sí",ETQ_PEN_DUD,IF(AS299="regla",ETQ_PEN_REGLA,0))))</f>
        <v/>
      </c>
      <c r="CE299" s="3">
        <f>NEUTRO</f>
        <v/>
      </c>
      <c r="CF299" s="3">
        <f>IFERROR(VLOOKUP(L299,SEGURO_TBL,3,0),"")</f>
        <v/>
      </c>
      <c r="CG299" s="3">
        <f>IF(CF299="",NEUTRO,MAX(0,MIN(100,100*(SEG_REF_MAX-CF299)/(SEG_REF_MAX-SEG_REF_MIN))))</f>
        <v/>
      </c>
      <c r="CH299" s="3">
        <f>W_CONS*CE299+W_SEG*CG299</f>
        <v/>
      </c>
      <c r="CI299" s="3">
        <f>IF(N(AB299)&gt;0,AB299,IF(AND(R299="profesional",SG_LEGAL_ON=1),GAR_LEGAL,0))</f>
        <v/>
      </c>
      <c r="CJ299" s="3">
        <f>SG_GAR*MIN(1,CI299/SG_GAR_FULL)+SG_AMPL*(AC299="sí")+SG_KMC*(AF299="sí")+SG_REV*(N(AE299)&gt;0)+SG_DEV*MIN(1,N(AG299)/SG_DEV_FULL)+SG_HIST*(W299="sí")</f>
        <v/>
      </c>
      <c r="CK299" s="3">
        <f>IFERROR(VLOOKUP(L299,CARR_PEN_TBL,2,0),0)</f>
        <v/>
      </c>
      <c r="CL299" s="3">
        <f>W_FIAB*BW299+W_PRECIO*BX299+W_KMEDAD*CB299+W_ANUNCIO*CC299+W_USO*CH299+W_SEGURIDAD*CJ299+W_ETIQUETA*CD299-CK299</f>
        <v/>
      </c>
      <c r="CM299" s="4">
        <f>IF(N(I299)&gt;0,I299,IFERROR(ROUND(_xlfn.NUMBERVALUE(LEFT(G299,FIND(" ",G299&amp;" ")-1),".")*1000,0),99999))</f>
        <v/>
      </c>
      <c r="CN299" s="3">
        <f>IF(R299="profesional",0,IF(O299&lt;CUOTA_VALOR_MAX,IF(BA299&gt;ITP_TRAMO_ALTO,SUMIFS(CF_CUOTA,CF_MAS,ITP_TRAMO_ALTO,CF_CCMIN,"&lt;="&amp;CM299,CF_CCMAX,"&gt;="&amp;CM299),IF(BA299&gt;ITP_TRAMO_BAJO,SUMIFS(CF_CUOTA,CF_MAS,ITP_TRAMO_BAJO,CF_CCMIN,"&lt;="&amp;CM299,CF_CCMAX,"&gt;="&amp;CM299),O299*ITP_TIPO)),O299*ITP_TIPO))</f>
        <v/>
      </c>
      <c r="CO299" s="4">
        <f>IF(R299="profesional",N(AK299),0)</f>
        <v/>
      </c>
      <c r="CP299" s="3">
        <f>IF(AND(R299="profesional",ISNUMBER(AK299),AL299="sí"),0,TASA_DGT)</f>
        <v/>
      </c>
      <c r="CQ299" s="3">
        <f>INFORME_DGT</f>
        <v/>
      </c>
      <c r="CR299" s="4">
        <f>O299+CO299+CN299+CP299+CQ299</f>
        <v/>
      </c>
      <c r="CS299" s="4">
        <f>CR299+N(CF299)</f>
        <v/>
      </c>
      <c r="CT299" s="3">
        <f>IF(CR299&lt;=TOTAL_MAX,"sí",IF(CR299&lt;=TOTAL_MAX+MARGEN_NEG,"negociar","no"))</f>
        <v/>
      </c>
      <c r="CU299" s="4">
        <f>IF(CT299&lt;&gt;"no",COUNTIFS($CT$2:$CT$545,"&lt;&gt;no",$CL$2:$CL$545,"&gt;"&amp;CL299)+COUNTIFS($CT$2:CT299,"&lt;&gt;no",$CL$2:CL299,CL299),"")</f>
        <v/>
      </c>
    </row>
    <row r="300">
      <c r="A300" s="2" t="inlineStr">
        <is>
          <t>wallapop:1315801957</t>
        </is>
      </c>
      <c r="B300" s="2" t="inlineStr">
        <is>
          <t>wallapop</t>
        </is>
      </c>
      <c r="C300" s="2" t="inlineStr">
        <is>
          <t>https://es.wallapop.com/item/ford-focus-2008-1315801957</t>
        </is>
      </c>
      <c r="D300" s="2" t="inlineStr">
        <is>
          <t>Ford Focus 2008</t>
        </is>
      </c>
      <c r="E300" s="2" t="inlineStr">
        <is>
          <t>Ford</t>
        </is>
      </c>
      <c r="F300" s="2" t="inlineStr">
        <is>
          <t>Ford Focus</t>
        </is>
      </c>
      <c r="G300" s="2" t="n"/>
      <c r="H300" s="2" t="n"/>
      <c r="I300" s="2" t="n"/>
      <c r="J300" s="2" t="n"/>
      <c r="K300" s="2" t="inlineStr">
        <is>
          <t>gasolina</t>
        </is>
      </c>
      <c r="L300" s="2" t="inlineStr">
        <is>
          <t>compacto</t>
        </is>
      </c>
      <c r="M300" s="2" t="n">
        <v>2008</v>
      </c>
      <c r="N300" s="2" t="n">
        <v>112000</v>
      </c>
      <c r="O300" s="2" t="n">
        <v>4950</v>
      </c>
      <c r="P300" s="2" t="inlineStr">
        <is>
          <t>manual</t>
        </is>
      </c>
      <c r="Q300" s="2" t="inlineStr">
        <is>
          <t>no</t>
        </is>
      </c>
      <c r="R300" s="2" t="inlineStr">
        <is>
          <t>particular</t>
        </is>
      </c>
      <c r="S300" s="2" t="inlineStr">
        <is>
          <t>Valencia (46007)</t>
        </is>
      </c>
      <c r="T300" s="2" t="inlineStr">
        <is>
          <t>2026-10-21T20:55:13</t>
        </is>
      </c>
      <c r="U300" s="2" t="n">
        <v>7</v>
      </c>
      <c r="V300" s="2" t="inlineStr">
        <is>
          <t>sí</t>
        </is>
      </c>
      <c r="W300" s="2" t="n"/>
      <c r="X300" s="2" t="n"/>
      <c r="Y300" s="2" t="n"/>
      <c r="Z300" s="2" t="n"/>
      <c r="AA300" s="2" t="n"/>
      <c r="AB300" s="2" t="n"/>
      <c r="AC300" s="2" t="n"/>
      <c r="AD300" s="2" t="n"/>
      <c r="AE300" s="2" t="n"/>
      <c r="AF300" s="2" t="n"/>
      <c r="AG300" s="2" t="n"/>
      <c r="AH300" s="2" t="n"/>
      <c r="AI300" s="2" t="n"/>
      <c r="AJ300" s="2" t="n"/>
      <c r="AK300" s="2" t="n"/>
      <c r="AL300" s="2" t="n"/>
      <c r="AM300" s="2" t="n">
        <v>2.8</v>
      </c>
      <c r="AN300" s="2" t="n"/>
      <c r="AO300" s="2" t="inlineStr">
        <is>
          <t>2008</t>
        </is>
      </c>
      <c r="AP300" s="2" t="n">
        <v>2008</v>
      </c>
      <c r="AQ300" s="2" t="n"/>
      <c r="AR300" s="2" t="n"/>
      <c r="AS300" s="2" t="inlineStr">
        <is>
          <t>regla</t>
        </is>
      </c>
      <c r="AT300" s="2" t="n">
        <v>4970</v>
      </c>
      <c r="AU300" s="2" t="n">
        <v>8</v>
      </c>
      <c r="AV300" s="2" t="inlineStr">
        <is>
          <t>modelo+año+km</t>
        </is>
      </c>
      <c r="AW300" s="2" t="n"/>
      <c r="AX300" s="2" t="inlineStr">
        <is>
          <t>por encima del presupuesto (5154 €), negociar; cilindrada desconocida: se aplica el tramo de cuota fija más alto; cuota fija ITP: &gt;12 años, más de 2.000 cc</t>
        </is>
      </c>
      <c r="AY300" s="2" t="inlineStr">
        <is>
          <t>Vendo en perfecto estado de funcionamiento, revisiones al dia e ITV recien pasada</t>
        </is>
      </c>
      <c r="AZ300" s="2" t="inlineStr">
        <is>
          <t>https://es.wallapop.com/item/ford-focus-2008-1315801957 (__NEXT_DATA__ item) /home/user/Alopecia/buscador-coches/raw/wallapop/97277dee6ec37239.json</t>
        </is>
      </c>
      <c r="BA300" s="3">
        <f>MAX(ANIO_ACTUAL-M300,0)</f>
        <v/>
      </c>
      <c r="BB300" s="4">
        <f>N300/MAX(BA300,0.5)</f>
        <v/>
      </c>
      <c r="BC300" s="4">
        <f>F300</f>
        <v/>
      </c>
      <c r="BD300" s="3">
        <f>BC300&amp;"|"&amp;INT(M300/SEG_ANIO)*SEG_ANIO</f>
        <v/>
      </c>
      <c r="BE300" s="3">
        <f>BD300&amp;"|"&amp;INT(N300/SEG_KM)*SEG_KM</f>
        <v/>
      </c>
      <c r="BF300" s="4">
        <f>COUNTIF($BC$2:$BC$545,BC300)</f>
        <v/>
      </c>
      <c r="BG300" s="4">
        <f>COUNTIF($BD$2:$BD$545,BD300)</f>
        <v/>
      </c>
      <c r="BH300" s="4">
        <f>COUNTIF($BE$2:$BE$545,BE300)</f>
        <v/>
      </c>
      <c r="BI300" s="3">
        <f t="array" ref="BI300">IF(N(AU300)&gt;=MIN_N,AT300,IF(BH300&gt;=MIN_N,MEDIAN(IF($BE$2:$BE$545=BE300,$O$2:$O$545)),IF(BG300&gt;=MIN_N,MEDIAN(IF($BD$2:$BD$545=BD300,$O$2:$O$545)),MEDIAN(IF($BC$2:$BC$545=BC300,$O$2:$O$545)))))</f>
        <v/>
      </c>
      <c r="BJ300" s="3">
        <f>IF(N(AU300)&gt;=MIN_N,"mercado "&amp;AV300,IF(BH300&gt;=MIN_N,"modelo+año+km",IF(BG300&gt;=MIN_N,"modelo+año","modelo")))</f>
        <v/>
      </c>
      <c r="BK300" s="4">
        <f>(BI300-O300)/BI300</f>
        <v/>
      </c>
      <c r="BL300" s="3">
        <f>IF(COUNTIFS(FR_FUEL,K300,FR_YEAR,AP300)&gt;0,1,0)</f>
        <v/>
      </c>
      <c r="BM300" s="3">
        <f>IF(COUNTIFS(FR_FUEL,K300,FR_YEAR,AP300-1)&gt;0,1,0)</f>
        <v/>
      </c>
      <c r="BN300" s="4">
        <f>IF(N(AQ300)&gt;0,AP300*100+AQ300,IF(AND(BL300=1,BM300=1),(AP300-1)*100+1,AP300*100+1))</f>
        <v/>
      </c>
      <c r="BO300" s="3">
        <f>IF(OR(K300="hibrido",K300="glp",K300="gnc",K300="phev"),"ECO",IF(K300="electrico","CERO",IF(K300="gasolina",IF(BN300&gt;=GAS_C_YM,"C",IF(BN300&gt;=GAS_B_YM,"B","A")),IF(K300="diesel",IF(BN300&gt;=DIE_C_YM,"C",IF(BN300&gt;=DIE_B_YM,"B","A")),""))))</f>
        <v/>
      </c>
      <c r="BP300" s="4">
        <f>BO300</f>
        <v/>
      </c>
      <c r="BQ300" s="4">
        <f>IF(AS300="regla",IF(AND(N(AQ300)=0,BL300=1),"sí","no"),"no")</f>
        <v/>
      </c>
      <c r="BR300" s="3">
        <f>IFERROR(VLOOKUP(F300,MOD_TBL,11,0),IFERROR(VLOOKUP(E300,OCU_TBL,2,0),NEUTRO))</f>
        <v/>
      </c>
      <c r="BS300" s="3">
        <f>SUMIFS(MOT_AJUSTE,MOT_MOTOR,G300,MOT_MARCA,E300,MOT_DESDE,"&lt;="&amp;M300,MOT_HASTA,"&gt;="&amp;M300)+SUMIFS(MOT_AJUSTE,MOT_MOTOR,G300,MOT_MARCA,"(todas)",MOT_DESDE,"&lt;="&amp;M300,MOT_HASTA,"&gt;="&amp;M300)</f>
        <v/>
      </c>
      <c r="BT300" s="3">
        <f>SUMIFS(COMB_AJUSTE,COMB_COMB,K300)</f>
        <v/>
      </c>
      <c r="BU300" s="3">
        <f>COUNTIFS(MOT_MOTOR,G300,MOT_MARCA,E300,MOT_DESDE,"&lt;="&amp;M300,MOT_HASTA,"&gt;="&amp;M300)+COUNTIFS(MOT_MOTOR,G300,MOT_MARCA,"(todas)",MOT_DESDE,"&lt;="&amp;M300,MOT_HASTA,"&gt;="&amp;M300)</f>
        <v/>
      </c>
      <c r="BV300" s="3">
        <f>IF(AND(K300="diesel",BU300=0),MIN(BR300,NEUTRO),BR300)</f>
        <v/>
      </c>
      <c r="BW300" s="4">
        <f>MAX(0,MIN(100,BV300+BS300+BT300))</f>
        <v/>
      </c>
      <c r="BX300" s="3">
        <f>MAX(0,MIN(100,50+BK300*PRECIO_PEND))</f>
        <v/>
      </c>
      <c r="BY300" s="3">
        <f>MAX(0,100*(1-N300/KM_MAX))</f>
        <v/>
      </c>
      <c r="BZ300" s="3">
        <f>IF(BB300&lt;KMA_SOSP,IF(AA300="sí",100,KMA_PEN),IF(BB300&lt;=KMA_IDEAL_MAX,100,MAX(0,100*(KMA_CERO-BB300)/(KMA_CERO-KMA_IDEAL_MAX))))</f>
        <v/>
      </c>
      <c r="CA300" s="3">
        <f>MAX(0,MIN(100,100*(M300-ANIO_MIN)/(ANIO_ACTUAL-ANIO_MIN)))</f>
        <v/>
      </c>
      <c r="CB300" s="3">
        <f>W_KMT*BY300+W_KMA*BZ300+W_EDAD*CA300</f>
        <v/>
      </c>
      <c r="CC300" s="3">
        <f>P_ITV*(V300="sí")+P_LIBRO*(W300="sí")+P_CORREA*(X300="sí")+P_PROP*(Y300=1)+P_GAR*(Z300="sí")+P_FOTOS*MIN(1,N(U300)/FOTOS_OBJ)</f>
        <v/>
      </c>
      <c r="CD300" s="3">
        <f>MAX(0,MIN(100,IFERROR(VLOOKUP(BP300,ETQ_TBL,2,0),0)-IF(BQ300="sí",ETQ_PEN_DUD,IF(AS300="regla",ETQ_PEN_REGLA,0))))</f>
        <v/>
      </c>
      <c r="CE300" s="3">
        <f>NEUTRO</f>
        <v/>
      </c>
      <c r="CF300" s="3">
        <f>IFERROR(VLOOKUP(L300,SEGURO_TBL,3,0),"")</f>
        <v/>
      </c>
      <c r="CG300" s="3">
        <f>IF(CF300="",NEUTRO,MAX(0,MIN(100,100*(SEG_REF_MAX-CF300)/(SEG_REF_MAX-SEG_REF_MIN))))</f>
        <v/>
      </c>
      <c r="CH300" s="3">
        <f>W_CONS*CE300+W_SEG*CG300</f>
        <v/>
      </c>
      <c r="CI300" s="3">
        <f>IF(N(AB300)&gt;0,AB300,IF(AND(R300="profesional",SG_LEGAL_ON=1),GAR_LEGAL,0))</f>
        <v/>
      </c>
      <c r="CJ300" s="3">
        <f>SG_GAR*MIN(1,CI300/SG_GAR_FULL)+SG_AMPL*(AC300="sí")+SG_KMC*(AF300="sí")+SG_REV*(N(AE300)&gt;0)+SG_DEV*MIN(1,N(AG300)/SG_DEV_FULL)+SG_HIST*(W300="sí")</f>
        <v/>
      </c>
      <c r="CK300" s="3">
        <f>IFERROR(VLOOKUP(L300,CARR_PEN_TBL,2,0),0)</f>
        <v/>
      </c>
      <c r="CL300" s="3">
        <f>W_FIAB*BW300+W_PRECIO*BX300+W_KMEDAD*CB300+W_ANUNCIO*CC300+W_USO*CH300+W_SEGURIDAD*CJ300+W_ETIQUETA*CD300-CK300</f>
        <v/>
      </c>
      <c r="CM300" s="4">
        <f>IF(N(I300)&gt;0,I300,IFERROR(ROUND(_xlfn.NUMBERVALUE(LEFT(G300,FIND(" ",G300&amp;" ")-1),".")*1000,0),99999))</f>
        <v/>
      </c>
      <c r="CN300" s="3">
        <f>IF(R300="profesional",0,IF(O300&lt;CUOTA_VALOR_MAX,IF(BA300&gt;ITP_TRAMO_ALTO,SUMIFS(CF_CUOTA,CF_MAS,ITP_TRAMO_ALTO,CF_CCMIN,"&lt;="&amp;CM300,CF_CCMAX,"&gt;="&amp;CM300),IF(BA300&gt;ITP_TRAMO_BAJO,SUMIFS(CF_CUOTA,CF_MAS,ITP_TRAMO_BAJO,CF_CCMIN,"&lt;="&amp;CM300,CF_CCMAX,"&gt;="&amp;CM300),O300*ITP_TIPO)),O300*ITP_TIPO))</f>
        <v/>
      </c>
      <c r="CO300" s="4">
        <f>IF(R300="profesional",N(AK300),0)</f>
        <v/>
      </c>
      <c r="CP300" s="3">
        <f>IF(AND(R300="profesional",ISNUMBER(AK300),AL300="sí"),0,TASA_DGT)</f>
        <v/>
      </c>
      <c r="CQ300" s="3">
        <f>INFORME_DGT</f>
        <v/>
      </c>
      <c r="CR300" s="4">
        <f>O300+CO300+CN300+CP300+CQ300</f>
        <v/>
      </c>
      <c r="CS300" s="4">
        <f>CR300+N(CF300)</f>
        <v/>
      </c>
      <c r="CT300" s="3">
        <f>IF(CR300&lt;=TOTAL_MAX,"sí",IF(CR300&lt;=TOTAL_MAX+MARGEN_NEG,"negociar","no"))</f>
        <v/>
      </c>
      <c r="CU300" s="4">
        <f>IF(CT300&lt;&gt;"no",COUNTIFS($CT$2:$CT$545,"&lt;&gt;no",$CL$2:$CL$545,"&gt;"&amp;CL300)+COUNTIFS($CT$2:CT300,"&lt;&gt;no",$CL$2:CL300,CL300),"")</f>
        <v/>
      </c>
    </row>
    <row r="301">
      <c r="A301" s="2" t="inlineStr">
        <is>
          <t>wallapop:1312349242</t>
        </is>
      </c>
      <c r="B301" s="2" t="inlineStr">
        <is>
          <t>wallapop</t>
        </is>
      </c>
      <c r="C301" s="2" t="inlineStr">
        <is>
          <t>https://es.wallapop.com/item/ford-focus-2006-1312349242</t>
        </is>
      </c>
      <c r="D301" s="2" t="inlineStr">
        <is>
          <t>Ford Focus 2006</t>
        </is>
      </c>
      <c r="E301" s="2" t="inlineStr">
        <is>
          <t>Ford</t>
        </is>
      </c>
      <c r="F301" s="2" t="inlineStr">
        <is>
          <t>Ford Focus</t>
        </is>
      </c>
      <c r="G301" s="2" t="inlineStr">
        <is>
          <t>1.8 TDCi</t>
        </is>
      </c>
      <c r="H301" s="2" t="inlineStr">
        <is>
          <t>1.8 TDCi 115 Trend 5p</t>
        </is>
      </c>
      <c r="I301" s="2" t="n"/>
      <c r="J301" s="2" t="n">
        <v>115</v>
      </c>
      <c r="K301" s="2" t="inlineStr">
        <is>
          <t>diesel</t>
        </is>
      </c>
      <c r="L301" s="2" t="inlineStr">
        <is>
          <t>compacto</t>
        </is>
      </c>
      <c r="M301" s="2" t="n">
        <v>2006</v>
      </c>
      <c r="N301" s="2" t="n">
        <v>214500</v>
      </c>
      <c r="O301" s="2" t="n">
        <v>3200</v>
      </c>
      <c r="P301" s="2" t="inlineStr">
        <is>
          <t>manual</t>
        </is>
      </c>
      <c r="Q301" s="2" t="inlineStr">
        <is>
          <t>no</t>
        </is>
      </c>
      <c r="R301" s="2" t="inlineStr">
        <is>
          <t>particular</t>
        </is>
      </c>
      <c r="S301" s="2" t="inlineStr">
        <is>
          <t>Valencia (46009)</t>
        </is>
      </c>
      <c r="T301" s="2" t="inlineStr">
        <is>
          <t>2026-10-12T18:38:28</t>
        </is>
      </c>
      <c r="U301" s="2" t="n">
        <v>10</v>
      </c>
      <c r="V301" s="2" t="inlineStr">
        <is>
          <t>sí</t>
        </is>
      </c>
      <c r="W301" s="2" t="n"/>
      <c r="X301" s="2" t="n"/>
      <c r="Y301" s="2" t="n"/>
      <c r="Z301" s="2" t="n"/>
      <c r="AA301" s="2" t="n"/>
      <c r="AB301" s="2" t="n"/>
      <c r="AC301" s="2" t="n"/>
      <c r="AD301" s="2" t="n"/>
      <c r="AE301" s="2" t="n"/>
      <c r="AF301" s="2" t="n"/>
      <c r="AG301" s="2" t="n"/>
      <c r="AH301" s="2" t="n"/>
      <c r="AI301" s="2" t="n"/>
      <c r="AJ301" s="2" t="n"/>
      <c r="AK301" s="2" t="n"/>
      <c r="AL301" s="2" t="n"/>
      <c r="AM301" s="2" t="n">
        <v>2.7</v>
      </c>
      <c r="AN301" s="2" t="n"/>
      <c r="AO301" s="2" t="inlineStr">
        <is>
          <t>2006</t>
        </is>
      </c>
      <c r="AP301" s="2" t="n">
        <v>2006</v>
      </c>
      <c r="AQ301" s="2" t="n"/>
      <c r="AR301" s="2" t="n"/>
      <c r="AS301" s="2" t="inlineStr">
        <is>
          <t>regla</t>
        </is>
      </c>
      <c r="AT301" s="2" t="n">
        <v>2995</v>
      </c>
      <c r="AU301" s="2" t="n">
        <v>16</v>
      </c>
      <c r="AV301" s="2" t="inlineStr">
        <is>
          <t>modelo+año+km</t>
        </is>
      </c>
      <c r="AW301" s="2" t="inlineStr">
        <is>
          <t>cochesnet:71727987 (https://www.coches.net/ford-focus-18-tdci-trend-5p-diesel-2006-en-valencia-71727987-covo.aspx); cochesnet:71727562 (https://www.coches.net/ford-focus-diesel-2006-en-valencia-71727562-covo.aspx)</t>
        </is>
      </c>
      <c r="AX301" s="2" t="inlineStr">
        <is>
          <t>etiqueta A dudosa: confirmar etiqueta con la DGT antes de comprar; cuota fija ITP: &gt;12 años, 1.501-2.000 cc; diésel: motor sin fuente de fiabilidad (fiabilidad limitada a neutra)</t>
        </is>
      </c>
      <c r="AY301" s="2" t="inlineStr">
        <is>
          <t>Vendo Ford Focus 2006 1.8 tdci 115cv
El coche esta perfecto de mecánica y el coche funciona perfectamente lo único es marcas típicas de los años que tiene y pintura algo dregadada.
*Control de crucero
*Aire y calefacción funcionando a la perfección
*ITV recién pasada hasta octubre de 2027
sin problema
*Ruedas en muy buen estado
*Faros recién pulidos
*214.500 km</t>
        </is>
      </c>
      <c r="AZ301" s="2" t="inlineStr">
        <is>
          <t>https://es.wallapop.com/item/ford-focus-2006-1312349242 (__NEXT_DATA__ item) /home/user/Alopecia/buscador-coches/raw/wallapop/c89e43264ee9cf60.json</t>
        </is>
      </c>
      <c r="BA301" s="3">
        <f>MAX(ANIO_ACTUAL-M301,0)</f>
        <v/>
      </c>
      <c r="BB301" s="4">
        <f>N301/MAX(BA301,0.5)</f>
        <v/>
      </c>
      <c r="BC301" s="4">
        <f>F301</f>
        <v/>
      </c>
      <c r="BD301" s="3">
        <f>BC301&amp;"|"&amp;INT(M301/SEG_ANIO)*SEG_ANIO</f>
        <v/>
      </c>
      <c r="BE301" s="3">
        <f>BD301&amp;"|"&amp;INT(N301/SEG_KM)*SEG_KM</f>
        <v/>
      </c>
      <c r="BF301" s="4">
        <f>COUNTIF($BC$2:$BC$545,BC301)</f>
        <v/>
      </c>
      <c r="BG301" s="4">
        <f>COUNTIF($BD$2:$BD$545,BD301)</f>
        <v/>
      </c>
      <c r="BH301" s="4">
        <f>COUNTIF($BE$2:$BE$545,BE301)</f>
        <v/>
      </c>
      <c r="BI301" s="3">
        <f t="array" ref="BI301">IF(N(AU301)&gt;=MIN_N,AT301,IF(BH301&gt;=MIN_N,MEDIAN(IF($BE$2:$BE$545=BE301,$O$2:$O$545)),IF(BG301&gt;=MIN_N,MEDIAN(IF($BD$2:$BD$545=BD301,$O$2:$O$545)),MEDIAN(IF($BC$2:$BC$545=BC301,$O$2:$O$545)))))</f>
        <v/>
      </c>
      <c r="BJ301" s="3">
        <f>IF(N(AU301)&gt;=MIN_N,"mercado "&amp;AV301,IF(BH301&gt;=MIN_N,"modelo+año+km",IF(BG301&gt;=MIN_N,"modelo+año","modelo")))</f>
        <v/>
      </c>
      <c r="BK301" s="4">
        <f>(BI301-O301)/BI301</f>
        <v/>
      </c>
      <c r="BL301" s="3">
        <f>IF(COUNTIFS(FR_FUEL,K301,FR_YEAR,AP301)&gt;0,1,0)</f>
        <v/>
      </c>
      <c r="BM301" s="3">
        <f>IF(COUNTIFS(FR_FUEL,K301,FR_YEAR,AP301-1)&gt;0,1,0)</f>
        <v/>
      </c>
      <c r="BN301" s="4">
        <f>IF(N(AQ301)&gt;0,AP301*100+AQ301,IF(AND(BL301=1,BM301=1),(AP301-1)*100+1,AP301*100+1))</f>
        <v/>
      </c>
      <c r="BO301" s="3">
        <f>IF(OR(K301="hibrido",K301="glp",K301="gnc",K301="phev"),"ECO",IF(K301="electrico","CERO",IF(K301="gasolina",IF(BN301&gt;=GAS_C_YM,"C",IF(BN301&gt;=GAS_B_YM,"B","A")),IF(K301="diesel",IF(BN301&gt;=DIE_C_YM,"C",IF(BN301&gt;=DIE_B_YM,"B","A")),""))))</f>
        <v/>
      </c>
      <c r="BP301" s="4">
        <f>BO301</f>
        <v/>
      </c>
      <c r="BQ301" s="4">
        <f>IF(AS301="regla",IF(AND(N(AQ301)=0,BL301=1),"sí","no"),"no")</f>
        <v/>
      </c>
      <c r="BR301" s="3">
        <f>IFERROR(VLOOKUP(F301,MOD_TBL,11,0),IFERROR(VLOOKUP(E301,OCU_TBL,2,0),NEUTRO))</f>
        <v/>
      </c>
      <c r="BS301" s="3">
        <f>SUMIFS(MOT_AJUSTE,MOT_MOTOR,G301,MOT_MARCA,E301,MOT_DESDE,"&lt;="&amp;M301,MOT_HASTA,"&gt;="&amp;M301)+SUMIFS(MOT_AJUSTE,MOT_MOTOR,G301,MOT_MARCA,"(todas)",MOT_DESDE,"&lt;="&amp;M301,MOT_HASTA,"&gt;="&amp;M301)</f>
        <v/>
      </c>
      <c r="BT301" s="3">
        <f>SUMIFS(COMB_AJUSTE,COMB_COMB,K301)</f>
        <v/>
      </c>
      <c r="BU301" s="3">
        <f>COUNTIFS(MOT_MOTOR,G301,MOT_MARCA,E301,MOT_DESDE,"&lt;="&amp;M301,MOT_HASTA,"&gt;="&amp;M301)+COUNTIFS(MOT_MOTOR,G301,MOT_MARCA,"(todas)",MOT_DESDE,"&lt;="&amp;M301,MOT_HASTA,"&gt;="&amp;M301)</f>
        <v/>
      </c>
      <c r="BV301" s="3">
        <f>IF(AND(K301="diesel",BU301=0),MIN(BR301,NEUTRO),BR301)</f>
        <v/>
      </c>
      <c r="BW301" s="4">
        <f>MAX(0,MIN(100,BV301+BS301+BT301))</f>
        <v/>
      </c>
      <c r="BX301" s="3">
        <f>MAX(0,MIN(100,50+BK301*PRECIO_PEND))</f>
        <v/>
      </c>
      <c r="BY301" s="3">
        <f>MAX(0,100*(1-N301/KM_MAX))</f>
        <v/>
      </c>
      <c r="BZ301" s="3">
        <f>IF(BB301&lt;KMA_SOSP,IF(AA301="sí",100,KMA_PEN),IF(BB301&lt;=KMA_IDEAL_MAX,100,MAX(0,100*(KMA_CERO-BB301)/(KMA_CERO-KMA_IDEAL_MAX))))</f>
        <v/>
      </c>
      <c r="CA301" s="3">
        <f>MAX(0,MIN(100,100*(M301-ANIO_MIN)/(ANIO_ACTUAL-ANIO_MIN)))</f>
        <v/>
      </c>
      <c r="CB301" s="3">
        <f>W_KMT*BY301+W_KMA*BZ301+W_EDAD*CA301</f>
        <v/>
      </c>
      <c r="CC301" s="3">
        <f>P_ITV*(V301="sí")+P_LIBRO*(W301="sí")+P_CORREA*(X301="sí")+P_PROP*(Y301=1)+P_GAR*(Z301="sí")+P_FOTOS*MIN(1,N(U301)/FOTOS_OBJ)</f>
        <v/>
      </c>
      <c r="CD301" s="3">
        <f>MAX(0,MIN(100,IFERROR(VLOOKUP(BP301,ETQ_TBL,2,0),0)-IF(BQ301="sí",ETQ_PEN_DUD,IF(AS301="regla",ETQ_PEN_REGLA,0))))</f>
        <v/>
      </c>
      <c r="CE301" s="3">
        <f>NEUTRO</f>
        <v/>
      </c>
      <c r="CF301" s="3">
        <f>IFERROR(VLOOKUP(L301,SEGURO_TBL,3,0),"")</f>
        <v/>
      </c>
      <c r="CG301" s="3">
        <f>IF(CF301="",NEUTRO,MAX(0,MIN(100,100*(SEG_REF_MAX-CF301)/(SEG_REF_MAX-SEG_REF_MIN))))</f>
        <v/>
      </c>
      <c r="CH301" s="3">
        <f>W_CONS*CE301+W_SEG*CG301</f>
        <v/>
      </c>
      <c r="CI301" s="3">
        <f>IF(N(AB301)&gt;0,AB301,IF(AND(R301="profesional",SG_LEGAL_ON=1),GAR_LEGAL,0))</f>
        <v/>
      </c>
      <c r="CJ301" s="3">
        <f>SG_GAR*MIN(1,CI301/SG_GAR_FULL)+SG_AMPL*(AC301="sí")+SG_KMC*(AF301="sí")+SG_REV*(N(AE301)&gt;0)+SG_DEV*MIN(1,N(AG301)/SG_DEV_FULL)+SG_HIST*(W301="sí")</f>
        <v/>
      </c>
      <c r="CK301" s="3">
        <f>IFERROR(VLOOKUP(L301,CARR_PEN_TBL,2,0),0)</f>
        <v/>
      </c>
      <c r="CL301" s="3">
        <f>W_FIAB*BW301+W_PRECIO*BX301+W_KMEDAD*CB301+W_ANUNCIO*CC301+W_USO*CH301+W_SEGURIDAD*CJ301+W_ETIQUETA*CD301-CK301</f>
        <v/>
      </c>
      <c r="CM301" s="4">
        <f>IF(N(I301)&gt;0,I301,IFERROR(ROUND(_xlfn.NUMBERVALUE(LEFT(G301,FIND(" ",G301&amp;" ")-1),".")*1000,0),99999))</f>
        <v/>
      </c>
      <c r="CN301" s="3">
        <f>IF(R301="profesional",0,IF(O301&lt;CUOTA_VALOR_MAX,IF(BA301&gt;ITP_TRAMO_ALTO,SUMIFS(CF_CUOTA,CF_MAS,ITP_TRAMO_ALTO,CF_CCMIN,"&lt;="&amp;CM301,CF_CCMAX,"&gt;="&amp;CM301),IF(BA301&gt;ITP_TRAMO_BAJO,SUMIFS(CF_CUOTA,CF_MAS,ITP_TRAMO_BAJO,CF_CCMIN,"&lt;="&amp;CM301,CF_CCMAX,"&gt;="&amp;CM301),O301*ITP_TIPO)),O301*ITP_TIPO))</f>
        <v/>
      </c>
      <c r="CO301" s="4">
        <f>IF(R301="profesional",N(AK301),0)</f>
        <v/>
      </c>
      <c r="CP301" s="3">
        <f>IF(AND(R301="profesional",ISNUMBER(AK301),AL301="sí"),0,TASA_DGT)</f>
        <v/>
      </c>
      <c r="CQ301" s="3">
        <f>INFORME_DGT</f>
        <v/>
      </c>
      <c r="CR301" s="4">
        <f>O301+CO301+CN301+CP301+CQ301</f>
        <v/>
      </c>
      <c r="CS301" s="4">
        <f>CR301+N(CF301)</f>
        <v/>
      </c>
      <c r="CT301" s="3">
        <f>IF(CR301&lt;=TOTAL_MAX,"sí",IF(CR301&lt;=TOTAL_MAX+MARGEN_NEG,"negociar","no"))</f>
        <v/>
      </c>
      <c r="CU301" s="4">
        <f>IF(CT301&lt;&gt;"no",COUNTIFS($CT$2:$CT$545,"&lt;&gt;no",$CL$2:$CL$545,"&gt;"&amp;CL301)+COUNTIFS($CT$2:CT301,"&lt;&gt;no",$CL$2:CL301,CL301),"")</f>
        <v/>
      </c>
    </row>
    <row r="302">
      <c r="A302" s="2" t="inlineStr">
        <is>
          <t>wallapop:1318134950</t>
        </is>
      </c>
      <c r="B302" s="2" t="inlineStr">
        <is>
          <t>wallapop</t>
        </is>
      </c>
      <c r="C302" s="2" t="inlineStr">
        <is>
          <t>https://es.wallapop.com/item/ford-focus-2006-1318134950</t>
        </is>
      </c>
      <c r="D302" s="2" t="inlineStr">
        <is>
          <t>Ford Focus 2006</t>
        </is>
      </c>
      <c r="E302" s="2" t="inlineStr">
        <is>
          <t>Ford</t>
        </is>
      </c>
      <c r="F302" s="2" t="inlineStr">
        <is>
          <t>Ford Focus</t>
        </is>
      </c>
      <c r="G302" s="2" t="n"/>
      <c r="H302" s="2" t="n"/>
      <c r="I302" s="2" t="n"/>
      <c r="J302" s="2" t="n"/>
      <c r="K302" s="2" t="inlineStr">
        <is>
          <t>gasolina</t>
        </is>
      </c>
      <c r="L302" s="2" t="inlineStr">
        <is>
          <t>compacto</t>
        </is>
      </c>
      <c r="M302" s="2" t="n">
        <v>2006</v>
      </c>
      <c r="N302" s="2" t="n">
        <v>213000</v>
      </c>
      <c r="O302" s="2" t="n">
        <v>2240</v>
      </c>
      <c r="P302" s="2" t="inlineStr">
        <is>
          <t>manual</t>
        </is>
      </c>
      <c r="Q302" s="2" t="inlineStr">
        <is>
          <t>no</t>
        </is>
      </c>
      <c r="R302" s="2" t="inlineStr">
        <is>
          <t>particular</t>
        </is>
      </c>
      <c r="S302" s="2" t="inlineStr">
        <is>
          <t>Torrent (46900)</t>
        </is>
      </c>
      <c r="T302" s="2" t="inlineStr">
        <is>
          <t>2026-10-28T16:40:27</t>
        </is>
      </c>
      <c r="U302" s="2" t="n">
        <v>10</v>
      </c>
      <c r="V302" s="2" t="n"/>
      <c r="W302" s="2" t="n"/>
      <c r="X302" s="2" t="n"/>
      <c r="Y302" s="2" t="n"/>
      <c r="Z302" s="2" t="n"/>
      <c r="AA302" s="2" t="n"/>
      <c r="AB302" s="2" t="n"/>
      <c r="AC302" s="2" t="n"/>
      <c r="AD302" s="2" t="n"/>
      <c r="AE302" s="2" t="n"/>
      <c r="AF302" s="2" t="n"/>
      <c r="AG302" s="2" t="n"/>
      <c r="AH302" s="2" t="n"/>
      <c r="AI302" s="2" t="n"/>
      <c r="AJ302" s="2" t="n"/>
      <c r="AK302" s="2" t="n"/>
      <c r="AL302" s="2" t="n"/>
      <c r="AM302" s="2" t="n">
        <v>8.9</v>
      </c>
      <c r="AN302" s="2" t="n"/>
      <c r="AO302" s="2" t="inlineStr">
        <is>
          <t>2006</t>
        </is>
      </c>
      <c r="AP302" s="2" t="n">
        <v>2006</v>
      </c>
      <c r="AQ302" s="2" t="n"/>
      <c r="AR302" s="2" t="n"/>
      <c r="AS302" s="2" t="inlineStr">
        <is>
          <t>regla</t>
        </is>
      </c>
      <c r="AT302" s="2" t="n">
        <v>2995</v>
      </c>
      <c r="AU302" s="2" t="n">
        <v>16</v>
      </c>
      <c r="AV302" s="2" t="inlineStr">
        <is>
          <t>modelo+año+km</t>
        </is>
      </c>
      <c r="AW302" s="2" t="n"/>
      <c r="AX302" s="2" t="inlineStr">
        <is>
          <t>cilindrada desconocida: se aplica el tramo de cuota fija más alto; cuota fija ITP: &gt;12 años, más de 2.000 cc</t>
        </is>
      </c>
      <c r="AY302" s="2" t="inlineStr">
        <is>
          <t>Ford Focus 2006
105cv
1600 Gasolina
Cambio Manual
Bien cuidado
Itv
Cambio de nombre incluido.
213000</t>
        </is>
      </c>
      <c r="AZ302" s="2" t="inlineStr">
        <is>
          <t>https://es.wallapop.com/item/ford-focus-2006-1318134950 (__NEXT_DATA__ item) /home/user/Alopecia/buscador-coches/raw/wallapop/7b068a8c43ec61b8.json</t>
        </is>
      </c>
      <c r="BA302" s="3">
        <f>MAX(ANIO_ACTUAL-M302,0)</f>
        <v/>
      </c>
      <c r="BB302" s="4">
        <f>N302/MAX(BA302,0.5)</f>
        <v/>
      </c>
      <c r="BC302" s="4">
        <f>F302</f>
        <v/>
      </c>
      <c r="BD302" s="3">
        <f>BC302&amp;"|"&amp;INT(M302/SEG_ANIO)*SEG_ANIO</f>
        <v/>
      </c>
      <c r="BE302" s="3">
        <f>BD302&amp;"|"&amp;INT(N302/SEG_KM)*SEG_KM</f>
        <v/>
      </c>
      <c r="BF302" s="4">
        <f>COUNTIF($BC$2:$BC$545,BC302)</f>
        <v/>
      </c>
      <c r="BG302" s="4">
        <f>COUNTIF($BD$2:$BD$545,BD302)</f>
        <v/>
      </c>
      <c r="BH302" s="4">
        <f>COUNTIF($BE$2:$BE$545,BE302)</f>
        <v/>
      </c>
      <c r="BI302" s="3">
        <f t="array" ref="BI302">IF(N(AU302)&gt;=MIN_N,AT302,IF(BH302&gt;=MIN_N,MEDIAN(IF($BE$2:$BE$545=BE302,$O$2:$O$545)),IF(BG302&gt;=MIN_N,MEDIAN(IF($BD$2:$BD$545=BD302,$O$2:$O$545)),MEDIAN(IF($BC$2:$BC$545=BC302,$O$2:$O$545)))))</f>
        <v/>
      </c>
      <c r="BJ302" s="3">
        <f>IF(N(AU302)&gt;=MIN_N,"mercado "&amp;AV302,IF(BH302&gt;=MIN_N,"modelo+año+km",IF(BG302&gt;=MIN_N,"modelo+año","modelo")))</f>
        <v/>
      </c>
      <c r="BK302" s="4">
        <f>(BI302-O302)/BI302</f>
        <v/>
      </c>
      <c r="BL302" s="3">
        <f>IF(COUNTIFS(FR_FUEL,K302,FR_YEAR,AP302)&gt;0,1,0)</f>
        <v/>
      </c>
      <c r="BM302" s="3">
        <f>IF(COUNTIFS(FR_FUEL,K302,FR_YEAR,AP302-1)&gt;0,1,0)</f>
        <v/>
      </c>
      <c r="BN302" s="4">
        <f>IF(N(AQ302)&gt;0,AP302*100+AQ302,IF(AND(BL302=1,BM302=1),(AP302-1)*100+1,AP302*100+1))</f>
        <v/>
      </c>
      <c r="BO302" s="3">
        <f>IF(OR(K302="hibrido",K302="glp",K302="gnc",K302="phev"),"ECO",IF(K302="electrico","CERO",IF(K302="gasolina",IF(BN302&gt;=GAS_C_YM,"C",IF(BN302&gt;=GAS_B_YM,"B","A")),IF(K302="diesel",IF(BN302&gt;=DIE_C_YM,"C",IF(BN302&gt;=DIE_B_YM,"B","A")),""))))</f>
        <v/>
      </c>
      <c r="BP302" s="4">
        <f>BO302</f>
        <v/>
      </c>
      <c r="BQ302" s="4">
        <f>IF(AS302="regla",IF(AND(N(AQ302)=0,BL302=1),"sí","no"),"no")</f>
        <v/>
      </c>
      <c r="BR302" s="3">
        <f>IFERROR(VLOOKUP(F302,MOD_TBL,11,0),IFERROR(VLOOKUP(E302,OCU_TBL,2,0),NEUTRO))</f>
        <v/>
      </c>
      <c r="BS302" s="3">
        <f>SUMIFS(MOT_AJUSTE,MOT_MOTOR,G302,MOT_MARCA,E302,MOT_DESDE,"&lt;="&amp;M302,MOT_HASTA,"&gt;="&amp;M302)+SUMIFS(MOT_AJUSTE,MOT_MOTOR,G302,MOT_MARCA,"(todas)",MOT_DESDE,"&lt;="&amp;M302,MOT_HASTA,"&gt;="&amp;M302)</f>
        <v/>
      </c>
      <c r="BT302" s="3">
        <f>SUMIFS(COMB_AJUSTE,COMB_COMB,K302)</f>
        <v/>
      </c>
      <c r="BU302" s="3">
        <f>COUNTIFS(MOT_MOTOR,G302,MOT_MARCA,E302,MOT_DESDE,"&lt;="&amp;M302,MOT_HASTA,"&gt;="&amp;M302)+COUNTIFS(MOT_MOTOR,G302,MOT_MARCA,"(todas)",MOT_DESDE,"&lt;="&amp;M302,MOT_HASTA,"&gt;="&amp;M302)</f>
        <v/>
      </c>
      <c r="BV302" s="3">
        <f>IF(AND(K302="diesel",BU302=0),MIN(BR302,NEUTRO),BR302)</f>
        <v/>
      </c>
      <c r="BW302" s="4">
        <f>MAX(0,MIN(100,BV302+BS302+BT302))</f>
        <v/>
      </c>
      <c r="BX302" s="3">
        <f>MAX(0,MIN(100,50+BK302*PRECIO_PEND))</f>
        <v/>
      </c>
      <c r="BY302" s="3">
        <f>MAX(0,100*(1-N302/KM_MAX))</f>
        <v/>
      </c>
      <c r="BZ302" s="3">
        <f>IF(BB302&lt;KMA_SOSP,IF(AA302="sí",100,KMA_PEN),IF(BB302&lt;=KMA_IDEAL_MAX,100,MAX(0,100*(KMA_CERO-BB302)/(KMA_CERO-KMA_IDEAL_MAX))))</f>
        <v/>
      </c>
      <c r="CA302" s="3">
        <f>MAX(0,MIN(100,100*(M302-ANIO_MIN)/(ANIO_ACTUAL-ANIO_MIN)))</f>
        <v/>
      </c>
      <c r="CB302" s="3">
        <f>W_KMT*BY302+W_KMA*BZ302+W_EDAD*CA302</f>
        <v/>
      </c>
      <c r="CC302" s="3">
        <f>P_ITV*(V302="sí")+P_LIBRO*(W302="sí")+P_CORREA*(X302="sí")+P_PROP*(Y302=1)+P_GAR*(Z302="sí")+P_FOTOS*MIN(1,N(U302)/FOTOS_OBJ)</f>
        <v/>
      </c>
      <c r="CD302" s="3">
        <f>MAX(0,MIN(100,IFERROR(VLOOKUP(BP302,ETQ_TBL,2,0),0)-IF(BQ302="sí",ETQ_PEN_DUD,IF(AS302="regla",ETQ_PEN_REGLA,0))))</f>
        <v/>
      </c>
      <c r="CE302" s="3">
        <f>NEUTRO</f>
        <v/>
      </c>
      <c r="CF302" s="3">
        <f>IFERROR(VLOOKUP(L302,SEGURO_TBL,3,0),"")</f>
        <v/>
      </c>
      <c r="CG302" s="3">
        <f>IF(CF302="",NEUTRO,MAX(0,MIN(100,100*(SEG_REF_MAX-CF302)/(SEG_REF_MAX-SEG_REF_MIN))))</f>
        <v/>
      </c>
      <c r="CH302" s="3">
        <f>W_CONS*CE302+W_SEG*CG302</f>
        <v/>
      </c>
      <c r="CI302" s="3">
        <f>IF(N(AB302)&gt;0,AB302,IF(AND(R302="profesional",SG_LEGAL_ON=1),GAR_LEGAL,0))</f>
        <v/>
      </c>
      <c r="CJ302" s="3">
        <f>SG_GAR*MIN(1,CI302/SG_GAR_FULL)+SG_AMPL*(AC302="sí")+SG_KMC*(AF302="sí")+SG_REV*(N(AE302)&gt;0)+SG_DEV*MIN(1,N(AG302)/SG_DEV_FULL)+SG_HIST*(W302="sí")</f>
        <v/>
      </c>
      <c r="CK302" s="3">
        <f>IFERROR(VLOOKUP(L302,CARR_PEN_TBL,2,0),0)</f>
        <v/>
      </c>
      <c r="CL302" s="3">
        <f>W_FIAB*BW302+W_PRECIO*BX302+W_KMEDAD*CB302+W_ANUNCIO*CC302+W_USO*CH302+W_SEGURIDAD*CJ302+W_ETIQUETA*CD302-CK302</f>
        <v/>
      </c>
      <c r="CM302" s="4">
        <f>IF(N(I302)&gt;0,I302,IFERROR(ROUND(_xlfn.NUMBERVALUE(LEFT(G302,FIND(" ",G302&amp;" ")-1),".")*1000,0),99999))</f>
        <v/>
      </c>
      <c r="CN302" s="3">
        <f>IF(R302="profesional",0,IF(O302&lt;CUOTA_VALOR_MAX,IF(BA302&gt;ITP_TRAMO_ALTO,SUMIFS(CF_CUOTA,CF_MAS,ITP_TRAMO_ALTO,CF_CCMIN,"&lt;="&amp;CM302,CF_CCMAX,"&gt;="&amp;CM302),IF(BA302&gt;ITP_TRAMO_BAJO,SUMIFS(CF_CUOTA,CF_MAS,ITP_TRAMO_BAJO,CF_CCMIN,"&lt;="&amp;CM302,CF_CCMAX,"&gt;="&amp;CM302),O302*ITP_TIPO)),O302*ITP_TIPO))</f>
        <v/>
      </c>
      <c r="CO302" s="4">
        <f>IF(R302="profesional",N(AK302),0)</f>
        <v/>
      </c>
      <c r="CP302" s="3">
        <f>IF(AND(R302="profesional",ISNUMBER(AK302),AL302="sí"),0,TASA_DGT)</f>
        <v/>
      </c>
      <c r="CQ302" s="3">
        <f>INFORME_DGT</f>
        <v/>
      </c>
      <c r="CR302" s="4">
        <f>O302+CO302+CN302+CP302+CQ302</f>
        <v/>
      </c>
      <c r="CS302" s="4">
        <f>CR302+N(CF302)</f>
        <v/>
      </c>
      <c r="CT302" s="3">
        <f>IF(CR302&lt;=TOTAL_MAX,"sí",IF(CR302&lt;=TOTAL_MAX+MARGEN_NEG,"negociar","no"))</f>
        <v/>
      </c>
      <c r="CU302" s="4">
        <f>IF(CT302&lt;&gt;"no",COUNTIFS($CT$2:$CT$545,"&lt;&gt;no",$CL$2:$CL$545,"&gt;"&amp;CL302)+COUNTIFS($CT$2:CT302,"&lt;&gt;no",$CL$2:CL302,CL302),"")</f>
        <v/>
      </c>
    </row>
    <row r="303">
      <c r="A303" s="2" t="inlineStr">
        <is>
          <t>wallapop:1302217553</t>
        </is>
      </c>
      <c r="B303" s="2" t="inlineStr">
        <is>
          <t>wallapop</t>
        </is>
      </c>
      <c r="C303" s="2" t="inlineStr">
        <is>
          <t>https://es.wallapop.com/item/ford-focus-2007-1302217553</t>
        </is>
      </c>
      <c r="D303" s="2" t="inlineStr">
        <is>
          <t>Ford Focus 2007</t>
        </is>
      </c>
      <c r="E303" s="2" t="inlineStr">
        <is>
          <t>Ford</t>
        </is>
      </c>
      <c r="F303" s="2" t="inlineStr">
        <is>
          <t>Ford Focus</t>
        </is>
      </c>
      <c r="G303" s="2" t="inlineStr">
        <is>
          <t>1.6</t>
        </is>
      </c>
      <c r="H303" s="2" t="inlineStr">
        <is>
          <t>1.6 TI-VCT 115 Trend 3p</t>
        </is>
      </c>
      <c r="I303" s="2" t="n"/>
      <c r="J303" s="2" t="n">
        <v>115</v>
      </c>
      <c r="K303" s="2" t="inlineStr">
        <is>
          <t>gasolina</t>
        </is>
      </c>
      <c r="L303" s="2" t="inlineStr">
        <is>
          <t>compacto</t>
        </is>
      </c>
      <c r="M303" s="2" t="n">
        <v>2007</v>
      </c>
      <c r="N303" s="2" t="n">
        <v>190000</v>
      </c>
      <c r="O303" s="2" t="n">
        <v>3500</v>
      </c>
      <c r="P303" s="2" t="inlineStr">
        <is>
          <t>manual</t>
        </is>
      </c>
      <c r="Q303" s="2" t="inlineStr">
        <is>
          <t>no</t>
        </is>
      </c>
      <c r="R303" s="2" t="inlineStr">
        <is>
          <t>particular</t>
        </is>
      </c>
      <c r="S303" s="2" t="inlineStr">
        <is>
          <t>Manises (46940)</t>
        </is>
      </c>
      <c r="T303" s="2" t="inlineStr">
        <is>
          <t>2026-10-09T00:00:14</t>
        </is>
      </c>
      <c r="U303" s="2" t="n">
        <v>6</v>
      </c>
      <c r="V303" s="2" t="n"/>
      <c r="W303" s="2" t="inlineStr">
        <is>
          <t>sí</t>
        </is>
      </c>
      <c r="X303" s="2" t="inlineStr">
        <is>
          <t>sí</t>
        </is>
      </c>
      <c r="Y303" s="2" t="n"/>
      <c r="Z303" s="2" t="n"/>
      <c r="AA303" s="2" t="n"/>
      <c r="AB303" s="2" t="n"/>
      <c r="AC303" s="2" t="n"/>
      <c r="AD303" s="2" t="n"/>
      <c r="AE303" s="2" t="n"/>
      <c r="AF303" s="2" t="n"/>
      <c r="AG303" s="2" t="n"/>
      <c r="AH303" s="2" t="n"/>
      <c r="AI303" s="2" t="n"/>
      <c r="AJ303" s="2" t="n"/>
      <c r="AK303" s="2" t="n"/>
      <c r="AL303" s="2" t="n"/>
      <c r="AM303" s="2" t="n">
        <v>7.4</v>
      </c>
      <c r="AN303" s="2" t="n"/>
      <c r="AO303" s="2" t="inlineStr">
        <is>
          <t>2007</t>
        </is>
      </c>
      <c r="AP303" s="2" t="n">
        <v>2007</v>
      </c>
      <c r="AQ303" s="2" t="n"/>
      <c r="AR303" s="2" t="n"/>
      <c r="AS303" s="2" t="inlineStr">
        <is>
          <t>regla</t>
        </is>
      </c>
      <c r="AT303" s="2" t="n">
        <v>3870</v>
      </c>
      <c r="AU303" s="2" t="n">
        <v>10</v>
      </c>
      <c r="AV303" s="2" t="inlineStr">
        <is>
          <t>modelo+año+km</t>
        </is>
      </c>
      <c r="AW303" s="2" t="n"/>
      <c r="AX303" s="2" t="inlineStr">
        <is>
          <t>cuota fija ITP: &gt;12 años, 1.501-2.000 cc</t>
        </is>
      </c>
      <c r="AY303" s="2" t="inlineStr">
        <is>
          <t>Techo solar, pantalla táctil, distribución cambiada,ruedas, mantenimiento al día, gasta muy poco</t>
        </is>
      </c>
      <c r="AZ303" s="2" t="inlineStr">
        <is>
          <t>https://es.wallapop.com/item/ford-focus-2007-1302217553 (__NEXT_DATA__ item) /home/user/Alopecia/buscador-coches/raw/wallapop/d9835e6b776463c9.json</t>
        </is>
      </c>
      <c r="BA303" s="3">
        <f>MAX(ANIO_ACTUAL-M303,0)</f>
        <v/>
      </c>
      <c r="BB303" s="4">
        <f>N303/MAX(BA303,0.5)</f>
        <v/>
      </c>
      <c r="BC303" s="4">
        <f>F303</f>
        <v/>
      </c>
      <c r="BD303" s="3">
        <f>BC303&amp;"|"&amp;INT(M303/SEG_ANIO)*SEG_ANIO</f>
        <v/>
      </c>
      <c r="BE303" s="3">
        <f>BD303&amp;"|"&amp;INT(N303/SEG_KM)*SEG_KM</f>
        <v/>
      </c>
      <c r="BF303" s="4">
        <f>COUNTIF($BC$2:$BC$545,BC303)</f>
        <v/>
      </c>
      <c r="BG303" s="4">
        <f>COUNTIF($BD$2:$BD$545,BD303)</f>
        <v/>
      </c>
      <c r="BH303" s="4">
        <f>COUNTIF($BE$2:$BE$545,BE303)</f>
        <v/>
      </c>
      <c r="BI303" s="3">
        <f t="array" ref="BI303">IF(N(AU303)&gt;=MIN_N,AT303,IF(BH303&gt;=MIN_N,MEDIAN(IF($BE$2:$BE$545=BE303,$O$2:$O$545)),IF(BG303&gt;=MIN_N,MEDIAN(IF($BD$2:$BD$545=BD303,$O$2:$O$545)),MEDIAN(IF($BC$2:$BC$545=BC303,$O$2:$O$545)))))</f>
        <v/>
      </c>
      <c r="BJ303" s="3">
        <f>IF(N(AU303)&gt;=MIN_N,"mercado "&amp;AV303,IF(BH303&gt;=MIN_N,"modelo+año+km",IF(BG303&gt;=MIN_N,"modelo+año","modelo")))</f>
        <v/>
      </c>
      <c r="BK303" s="4">
        <f>(BI303-O303)/BI303</f>
        <v/>
      </c>
      <c r="BL303" s="3">
        <f>IF(COUNTIFS(FR_FUEL,K303,FR_YEAR,AP303)&gt;0,1,0)</f>
        <v/>
      </c>
      <c r="BM303" s="3">
        <f>IF(COUNTIFS(FR_FUEL,K303,FR_YEAR,AP303-1)&gt;0,1,0)</f>
        <v/>
      </c>
      <c r="BN303" s="4">
        <f>IF(N(AQ303)&gt;0,AP303*100+AQ303,IF(AND(BL303=1,BM303=1),(AP303-1)*100+1,AP303*100+1))</f>
        <v/>
      </c>
      <c r="BO303" s="3">
        <f>IF(OR(K303="hibrido",K303="glp",K303="gnc",K303="phev"),"ECO",IF(K303="electrico","CERO",IF(K303="gasolina",IF(BN303&gt;=GAS_C_YM,"C",IF(BN303&gt;=GAS_B_YM,"B","A")),IF(K303="diesel",IF(BN303&gt;=DIE_C_YM,"C",IF(BN303&gt;=DIE_B_YM,"B","A")),""))))</f>
        <v/>
      </c>
      <c r="BP303" s="4">
        <f>BO303</f>
        <v/>
      </c>
      <c r="BQ303" s="4">
        <f>IF(AS303="regla",IF(AND(N(AQ303)=0,BL303=1),"sí","no"),"no")</f>
        <v/>
      </c>
      <c r="BR303" s="3">
        <f>IFERROR(VLOOKUP(F303,MOD_TBL,11,0),IFERROR(VLOOKUP(E303,OCU_TBL,2,0),NEUTRO))</f>
        <v/>
      </c>
      <c r="BS303" s="3">
        <f>SUMIFS(MOT_AJUSTE,MOT_MOTOR,G303,MOT_MARCA,E303,MOT_DESDE,"&lt;="&amp;M303,MOT_HASTA,"&gt;="&amp;M303)+SUMIFS(MOT_AJUSTE,MOT_MOTOR,G303,MOT_MARCA,"(todas)",MOT_DESDE,"&lt;="&amp;M303,MOT_HASTA,"&gt;="&amp;M303)</f>
        <v/>
      </c>
      <c r="BT303" s="3">
        <f>SUMIFS(COMB_AJUSTE,COMB_COMB,K303)</f>
        <v/>
      </c>
      <c r="BU303" s="3">
        <f>COUNTIFS(MOT_MOTOR,G303,MOT_MARCA,E303,MOT_DESDE,"&lt;="&amp;M303,MOT_HASTA,"&gt;="&amp;M303)+COUNTIFS(MOT_MOTOR,G303,MOT_MARCA,"(todas)",MOT_DESDE,"&lt;="&amp;M303,MOT_HASTA,"&gt;="&amp;M303)</f>
        <v/>
      </c>
      <c r="BV303" s="3">
        <f>IF(AND(K303="diesel",BU303=0),MIN(BR303,NEUTRO),BR303)</f>
        <v/>
      </c>
      <c r="BW303" s="4">
        <f>MAX(0,MIN(100,BV303+BS303+BT303))</f>
        <v/>
      </c>
      <c r="BX303" s="3">
        <f>MAX(0,MIN(100,50+BK303*PRECIO_PEND))</f>
        <v/>
      </c>
      <c r="BY303" s="3">
        <f>MAX(0,100*(1-N303/KM_MAX))</f>
        <v/>
      </c>
      <c r="BZ303" s="3">
        <f>IF(BB303&lt;KMA_SOSP,IF(AA303="sí",100,KMA_PEN),IF(BB303&lt;=KMA_IDEAL_MAX,100,MAX(0,100*(KMA_CERO-BB303)/(KMA_CERO-KMA_IDEAL_MAX))))</f>
        <v/>
      </c>
      <c r="CA303" s="3">
        <f>MAX(0,MIN(100,100*(M303-ANIO_MIN)/(ANIO_ACTUAL-ANIO_MIN)))</f>
        <v/>
      </c>
      <c r="CB303" s="3">
        <f>W_KMT*BY303+W_KMA*BZ303+W_EDAD*CA303</f>
        <v/>
      </c>
      <c r="CC303" s="3">
        <f>P_ITV*(V303="sí")+P_LIBRO*(W303="sí")+P_CORREA*(X303="sí")+P_PROP*(Y303=1)+P_GAR*(Z303="sí")+P_FOTOS*MIN(1,N(U303)/FOTOS_OBJ)</f>
        <v/>
      </c>
      <c r="CD303" s="3">
        <f>MAX(0,MIN(100,IFERROR(VLOOKUP(BP303,ETQ_TBL,2,0),0)-IF(BQ303="sí",ETQ_PEN_DUD,IF(AS303="regla",ETQ_PEN_REGLA,0))))</f>
        <v/>
      </c>
      <c r="CE303" s="3">
        <f>NEUTRO</f>
        <v/>
      </c>
      <c r="CF303" s="3">
        <f>IFERROR(VLOOKUP(L303,SEGURO_TBL,3,0),"")</f>
        <v/>
      </c>
      <c r="CG303" s="3">
        <f>IF(CF303="",NEUTRO,MAX(0,MIN(100,100*(SEG_REF_MAX-CF303)/(SEG_REF_MAX-SEG_REF_MIN))))</f>
        <v/>
      </c>
      <c r="CH303" s="3">
        <f>W_CONS*CE303+W_SEG*CG303</f>
        <v/>
      </c>
      <c r="CI303" s="3">
        <f>IF(N(AB303)&gt;0,AB303,IF(AND(R303="profesional",SG_LEGAL_ON=1),GAR_LEGAL,0))</f>
        <v/>
      </c>
      <c r="CJ303" s="3">
        <f>SG_GAR*MIN(1,CI303/SG_GAR_FULL)+SG_AMPL*(AC303="sí")+SG_KMC*(AF303="sí")+SG_REV*(N(AE303)&gt;0)+SG_DEV*MIN(1,N(AG303)/SG_DEV_FULL)+SG_HIST*(W303="sí")</f>
        <v/>
      </c>
      <c r="CK303" s="3">
        <f>IFERROR(VLOOKUP(L303,CARR_PEN_TBL,2,0),0)</f>
        <v/>
      </c>
      <c r="CL303" s="3">
        <f>W_FIAB*BW303+W_PRECIO*BX303+W_KMEDAD*CB303+W_ANUNCIO*CC303+W_USO*CH303+W_SEGURIDAD*CJ303+W_ETIQUETA*CD303-CK303</f>
        <v/>
      </c>
      <c r="CM303" s="4">
        <f>IF(N(I303)&gt;0,I303,IFERROR(ROUND(_xlfn.NUMBERVALUE(LEFT(G303,FIND(" ",G303&amp;" ")-1),".")*1000,0),99999))</f>
        <v/>
      </c>
      <c r="CN303" s="3">
        <f>IF(R303="profesional",0,IF(O303&lt;CUOTA_VALOR_MAX,IF(BA303&gt;ITP_TRAMO_ALTO,SUMIFS(CF_CUOTA,CF_MAS,ITP_TRAMO_ALTO,CF_CCMIN,"&lt;="&amp;CM303,CF_CCMAX,"&gt;="&amp;CM303),IF(BA303&gt;ITP_TRAMO_BAJO,SUMIFS(CF_CUOTA,CF_MAS,ITP_TRAMO_BAJO,CF_CCMIN,"&lt;="&amp;CM303,CF_CCMAX,"&gt;="&amp;CM303),O303*ITP_TIPO)),O303*ITP_TIPO))</f>
        <v/>
      </c>
      <c r="CO303" s="4">
        <f>IF(R303="profesional",N(AK303),0)</f>
        <v/>
      </c>
      <c r="CP303" s="3">
        <f>IF(AND(R303="profesional",ISNUMBER(AK303),AL303="sí"),0,TASA_DGT)</f>
        <v/>
      </c>
      <c r="CQ303" s="3">
        <f>INFORME_DGT</f>
        <v/>
      </c>
      <c r="CR303" s="4">
        <f>O303+CO303+CN303+CP303+CQ303</f>
        <v/>
      </c>
      <c r="CS303" s="4">
        <f>CR303+N(CF303)</f>
        <v/>
      </c>
      <c r="CT303" s="3">
        <f>IF(CR303&lt;=TOTAL_MAX,"sí",IF(CR303&lt;=TOTAL_MAX+MARGEN_NEG,"negociar","no"))</f>
        <v/>
      </c>
      <c r="CU303" s="4">
        <f>IF(CT303&lt;&gt;"no",COUNTIFS($CT$2:$CT$545,"&lt;&gt;no",$CL$2:$CL$545,"&gt;"&amp;CL303)+COUNTIFS($CT$2:CT303,"&lt;&gt;no",$CL$2:CL303,CL303),"")</f>
        <v/>
      </c>
    </row>
    <row r="304">
      <c r="A304" s="2" t="inlineStr">
        <is>
          <t>wallapop:1313114494</t>
        </is>
      </c>
      <c r="B304" s="2" t="inlineStr">
        <is>
          <t>wallapop</t>
        </is>
      </c>
      <c r="C304" s="2" t="inlineStr">
        <is>
          <t>https://es.wallapop.com/item/fiat-punto-2007-1313114494</t>
        </is>
      </c>
      <c r="D304" s="2" t="inlineStr">
        <is>
          <t>FIAT Punto 2007</t>
        </is>
      </c>
      <c r="E304" s="2" t="inlineStr">
        <is>
          <t>Fiat</t>
        </is>
      </c>
      <c r="F304" s="2" t="inlineStr">
        <is>
          <t>Fiat Punto</t>
        </is>
      </c>
      <c r="G304" s="2" t="inlineStr">
        <is>
          <t>1.2</t>
        </is>
      </c>
      <c r="H304" s="2" t="inlineStr">
        <is>
          <t>1.2 60 Classic 3p</t>
        </is>
      </c>
      <c r="I304" s="2" t="n"/>
      <c r="J304" s="2" t="n">
        <v>60</v>
      </c>
      <c r="K304" s="2" t="inlineStr">
        <is>
          <t>gasolina</t>
        </is>
      </c>
      <c r="L304" s="2" t="inlineStr">
        <is>
          <t>utilitario</t>
        </is>
      </c>
      <c r="M304" s="2" t="n">
        <v>2007</v>
      </c>
      <c r="N304" s="2" t="n">
        <v>72000</v>
      </c>
      <c r="O304" s="2" t="n">
        <v>2900</v>
      </c>
      <c r="P304" s="2" t="inlineStr">
        <is>
          <t>manual</t>
        </is>
      </c>
      <c r="Q304" s="2" t="inlineStr">
        <is>
          <t>no</t>
        </is>
      </c>
      <c r="R304" s="2" t="inlineStr">
        <is>
          <t>particular</t>
        </is>
      </c>
      <c r="S304" s="2" t="inlineStr">
        <is>
          <t>Valencia (46018)</t>
        </is>
      </c>
      <c r="T304" s="2" t="inlineStr">
        <is>
          <t>2026-10-30T13:38:45</t>
        </is>
      </c>
      <c r="U304" s="2" t="n">
        <v>7</v>
      </c>
      <c r="V304" s="2" t="n"/>
      <c r="W304" s="2" t="n"/>
      <c r="X304" s="2" t="n"/>
      <c r="Y304" s="2" t="n"/>
      <c r="Z304" s="2" t="n"/>
      <c r="AA304" s="2" t="n"/>
      <c r="AB304" s="2" t="n"/>
      <c r="AC304" s="2" t="n"/>
      <c r="AD304" s="2" t="n"/>
      <c r="AE304" s="2" t="n"/>
      <c r="AF304" s="2" t="n"/>
      <c r="AG304" s="2" t="n"/>
      <c r="AH304" s="2" t="n"/>
      <c r="AI304" s="2" t="n"/>
      <c r="AJ304" s="2" t="n"/>
      <c r="AK304" s="2" t="n"/>
      <c r="AL304" s="2" t="n"/>
      <c r="AM304" s="2" t="n">
        <v>1.9</v>
      </c>
      <c r="AN304" s="2" t="n"/>
      <c r="AO304" s="2" t="inlineStr">
        <is>
          <t>2007</t>
        </is>
      </c>
      <c r="AP304" s="2" t="n">
        <v>2007</v>
      </c>
      <c r="AQ304" s="2" t="n"/>
      <c r="AR304" s="2" t="n"/>
      <c r="AS304" s="2" t="inlineStr">
        <is>
          <t>regla</t>
        </is>
      </c>
      <c r="AT304" s="2" t="n">
        <v>2500</v>
      </c>
      <c r="AU304" s="2" t="n">
        <v>13</v>
      </c>
      <c r="AV304" s="2" t="inlineStr">
        <is>
          <t>modelo+año</t>
        </is>
      </c>
      <c r="AW304" s="2" t="n"/>
      <c r="AX304" s="2" t="inlineStr">
        <is>
          <t>cuota fija ITP: &gt;12 años, hasta 1.500 cc; fiabilidad del modelo PENDIENTE de fuente (puntuación neutra)</t>
        </is>
      </c>
      <c r="AY304" s="2" t="inlineStr">
        <is>
          <t>Vendo Fiat punto con muy pocos kilómetros, ITV para un año, detalles de pintura, interior impecable ,funcionamiento del motor muy fino, acepto prueba mecánica. Un saludo.</t>
        </is>
      </c>
      <c r="AZ304" s="2" t="inlineStr">
        <is>
          <t>https://es.wallapop.com/item/fiat-punto-2007-1313114494 (__NEXT_DATA__ item) /home/user/Alopecia/buscador-coches/raw/wallapop/59ff10c6d9a86297.json</t>
        </is>
      </c>
      <c r="BA304" s="3">
        <f>MAX(ANIO_ACTUAL-M304,0)</f>
        <v/>
      </c>
      <c r="BB304" s="4">
        <f>N304/MAX(BA304,0.5)</f>
        <v/>
      </c>
      <c r="BC304" s="4">
        <f>F304</f>
        <v/>
      </c>
      <c r="BD304" s="3">
        <f>BC304&amp;"|"&amp;INT(M304/SEG_ANIO)*SEG_ANIO</f>
        <v/>
      </c>
      <c r="BE304" s="3">
        <f>BD304&amp;"|"&amp;INT(N304/SEG_KM)*SEG_KM</f>
        <v/>
      </c>
      <c r="BF304" s="4">
        <f>COUNTIF($BC$2:$BC$545,BC304)</f>
        <v/>
      </c>
      <c r="BG304" s="4">
        <f>COUNTIF($BD$2:$BD$545,BD304)</f>
        <v/>
      </c>
      <c r="BH304" s="4">
        <f>COUNTIF($BE$2:$BE$545,BE304)</f>
        <v/>
      </c>
      <c r="BI304" s="3">
        <f t="array" ref="BI304">IF(N(AU304)&gt;=MIN_N,AT304,IF(BH304&gt;=MIN_N,MEDIAN(IF($BE$2:$BE$545=BE304,$O$2:$O$545)),IF(BG304&gt;=MIN_N,MEDIAN(IF($BD$2:$BD$545=BD304,$O$2:$O$545)),MEDIAN(IF($BC$2:$BC$545=BC304,$O$2:$O$545)))))</f>
        <v/>
      </c>
      <c r="BJ304" s="3">
        <f>IF(N(AU304)&gt;=MIN_N,"mercado "&amp;AV304,IF(BH304&gt;=MIN_N,"modelo+año+km",IF(BG304&gt;=MIN_N,"modelo+año","modelo")))</f>
        <v/>
      </c>
      <c r="BK304" s="4">
        <f>(BI304-O304)/BI304</f>
        <v/>
      </c>
      <c r="BL304" s="3">
        <f>IF(COUNTIFS(FR_FUEL,K304,FR_YEAR,AP304)&gt;0,1,0)</f>
        <v/>
      </c>
      <c r="BM304" s="3">
        <f>IF(COUNTIFS(FR_FUEL,K304,FR_YEAR,AP304-1)&gt;0,1,0)</f>
        <v/>
      </c>
      <c r="BN304" s="4">
        <f>IF(N(AQ304)&gt;0,AP304*100+AQ304,IF(AND(BL304=1,BM304=1),(AP304-1)*100+1,AP304*100+1))</f>
        <v/>
      </c>
      <c r="BO304" s="3">
        <f>IF(OR(K304="hibrido",K304="glp",K304="gnc",K304="phev"),"ECO",IF(K304="electrico","CERO",IF(K304="gasolina",IF(BN304&gt;=GAS_C_YM,"C",IF(BN304&gt;=GAS_B_YM,"B","A")),IF(K304="diesel",IF(BN304&gt;=DIE_C_YM,"C",IF(BN304&gt;=DIE_B_YM,"B","A")),""))))</f>
        <v/>
      </c>
      <c r="BP304" s="4">
        <f>BO304</f>
        <v/>
      </c>
      <c r="BQ304" s="4">
        <f>IF(AS304="regla",IF(AND(N(AQ304)=0,BL304=1),"sí","no"),"no")</f>
        <v/>
      </c>
      <c r="BR304" s="3">
        <f>IFERROR(VLOOKUP(F304,MOD_TBL,11,0),IFERROR(VLOOKUP(E304,OCU_TBL,2,0),NEUTRO))</f>
        <v/>
      </c>
      <c r="BS304" s="3">
        <f>SUMIFS(MOT_AJUSTE,MOT_MOTOR,G304,MOT_MARCA,E304,MOT_DESDE,"&lt;="&amp;M304,MOT_HASTA,"&gt;="&amp;M304)+SUMIFS(MOT_AJUSTE,MOT_MOTOR,G304,MOT_MARCA,"(todas)",MOT_DESDE,"&lt;="&amp;M304,MOT_HASTA,"&gt;="&amp;M304)</f>
        <v/>
      </c>
      <c r="BT304" s="3">
        <f>SUMIFS(COMB_AJUSTE,COMB_COMB,K304)</f>
        <v/>
      </c>
      <c r="BU304" s="3">
        <f>COUNTIFS(MOT_MOTOR,G304,MOT_MARCA,E304,MOT_DESDE,"&lt;="&amp;M304,MOT_HASTA,"&gt;="&amp;M304)+COUNTIFS(MOT_MOTOR,G304,MOT_MARCA,"(todas)",MOT_DESDE,"&lt;="&amp;M304,MOT_HASTA,"&gt;="&amp;M304)</f>
        <v/>
      </c>
      <c r="BV304" s="3">
        <f>IF(AND(K304="diesel",BU304=0),MIN(BR304,NEUTRO),BR304)</f>
        <v/>
      </c>
      <c r="BW304" s="4">
        <f>MAX(0,MIN(100,BV304+BS304+BT304))</f>
        <v/>
      </c>
      <c r="BX304" s="3">
        <f>MAX(0,MIN(100,50+BK304*PRECIO_PEND))</f>
        <v/>
      </c>
      <c r="BY304" s="3">
        <f>MAX(0,100*(1-N304/KM_MAX))</f>
        <v/>
      </c>
      <c r="BZ304" s="3">
        <f>IF(BB304&lt;KMA_SOSP,IF(AA304="sí",100,KMA_PEN),IF(BB304&lt;=KMA_IDEAL_MAX,100,MAX(0,100*(KMA_CERO-BB304)/(KMA_CERO-KMA_IDEAL_MAX))))</f>
        <v/>
      </c>
      <c r="CA304" s="3">
        <f>MAX(0,MIN(100,100*(M304-ANIO_MIN)/(ANIO_ACTUAL-ANIO_MIN)))</f>
        <v/>
      </c>
      <c r="CB304" s="3">
        <f>W_KMT*BY304+W_KMA*BZ304+W_EDAD*CA304</f>
        <v/>
      </c>
      <c r="CC304" s="3">
        <f>P_ITV*(V304="sí")+P_LIBRO*(W304="sí")+P_CORREA*(X304="sí")+P_PROP*(Y304=1)+P_GAR*(Z304="sí")+P_FOTOS*MIN(1,N(U304)/FOTOS_OBJ)</f>
        <v/>
      </c>
      <c r="CD304" s="3">
        <f>MAX(0,MIN(100,IFERROR(VLOOKUP(BP304,ETQ_TBL,2,0),0)-IF(BQ304="sí",ETQ_PEN_DUD,IF(AS304="regla",ETQ_PEN_REGLA,0))))</f>
        <v/>
      </c>
      <c r="CE304" s="3">
        <f>NEUTRO</f>
        <v/>
      </c>
      <c r="CF304" s="3">
        <f>IFERROR(VLOOKUP(L304,SEGURO_TBL,3,0),"")</f>
        <v/>
      </c>
      <c r="CG304" s="3">
        <f>IF(CF304="",NEUTRO,MAX(0,MIN(100,100*(SEG_REF_MAX-CF304)/(SEG_REF_MAX-SEG_REF_MIN))))</f>
        <v/>
      </c>
      <c r="CH304" s="3">
        <f>W_CONS*CE304+W_SEG*CG304</f>
        <v/>
      </c>
      <c r="CI304" s="3">
        <f>IF(N(AB304)&gt;0,AB304,IF(AND(R304="profesional",SG_LEGAL_ON=1),GAR_LEGAL,0))</f>
        <v/>
      </c>
      <c r="CJ304" s="3">
        <f>SG_GAR*MIN(1,CI304/SG_GAR_FULL)+SG_AMPL*(AC304="sí")+SG_KMC*(AF304="sí")+SG_REV*(N(AE304)&gt;0)+SG_DEV*MIN(1,N(AG304)/SG_DEV_FULL)+SG_HIST*(W304="sí")</f>
        <v/>
      </c>
      <c r="CK304" s="3">
        <f>IFERROR(VLOOKUP(L304,CARR_PEN_TBL,2,0),0)</f>
        <v/>
      </c>
      <c r="CL304" s="3">
        <f>W_FIAB*BW304+W_PRECIO*BX304+W_KMEDAD*CB304+W_ANUNCIO*CC304+W_USO*CH304+W_SEGURIDAD*CJ304+W_ETIQUETA*CD304-CK304</f>
        <v/>
      </c>
      <c r="CM304" s="4">
        <f>IF(N(I304)&gt;0,I304,IFERROR(ROUND(_xlfn.NUMBERVALUE(LEFT(G304,FIND(" ",G304&amp;" ")-1),".")*1000,0),99999))</f>
        <v/>
      </c>
      <c r="CN304" s="3">
        <f>IF(R304="profesional",0,IF(O304&lt;CUOTA_VALOR_MAX,IF(BA304&gt;ITP_TRAMO_ALTO,SUMIFS(CF_CUOTA,CF_MAS,ITP_TRAMO_ALTO,CF_CCMIN,"&lt;="&amp;CM304,CF_CCMAX,"&gt;="&amp;CM304),IF(BA304&gt;ITP_TRAMO_BAJO,SUMIFS(CF_CUOTA,CF_MAS,ITP_TRAMO_BAJO,CF_CCMIN,"&lt;="&amp;CM304,CF_CCMAX,"&gt;="&amp;CM304),O304*ITP_TIPO)),O304*ITP_TIPO))</f>
        <v/>
      </c>
      <c r="CO304" s="4">
        <f>IF(R304="profesional",N(AK304),0)</f>
        <v/>
      </c>
      <c r="CP304" s="3">
        <f>IF(AND(R304="profesional",ISNUMBER(AK304),AL304="sí"),0,TASA_DGT)</f>
        <v/>
      </c>
      <c r="CQ304" s="3">
        <f>INFORME_DGT</f>
        <v/>
      </c>
      <c r="CR304" s="4">
        <f>O304+CO304+CN304+CP304+CQ304</f>
        <v/>
      </c>
      <c r="CS304" s="4">
        <f>CR304+N(CF304)</f>
        <v/>
      </c>
      <c r="CT304" s="3">
        <f>IF(CR304&lt;=TOTAL_MAX,"sí",IF(CR304&lt;=TOTAL_MAX+MARGEN_NEG,"negociar","no"))</f>
        <v/>
      </c>
      <c r="CU304" s="4">
        <f>IF(CT304&lt;&gt;"no",COUNTIFS($CT$2:$CT$545,"&lt;&gt;no",$CL$2:$CL$545,"&gt;"&amp;CL304)+COUNTIFS($CT$2:CT304,"&lt;&gt;no",$CL$2:CL304,CL304),"")</f>
        <v/>
      </c>
    </row>
    <row r="305">
      <c r="A305" s="2" t="inlineStr">
        <is>
          <t>wallapop:1309755985</t>
        </is>
      </c>
      <c r="B305" s="2" t="inlineStr">
        <is>
          <t>wallapop</t>
        </is>
      </c>
      <c r="C305" s="2" t="inlineStr">
        <is>
          <t>https://es.wallapop.com/item/fiat-punto-evo-2011-1309755985</t>
        </is>
      </c>
      <c r="D305" s="2" t="inlineStr">
        <is>
          <t>FIAT Punto Evo 2011</t>
        </is>
      </c>
      <c r="E305" s="2" t="inlineStr">
        <is>
          <t>Fiat</t>
        </is>
      </c>
      <c r="F305" s="2" t="inlineStr">
        <is>
          <t>Fiat Punto</t>
        </is>
      </c>
      <c r="G305" s="2" t="inlineStr">
        <is>
          <t>1.4</t>
        </is>
      </c>
      <c r="H305" s="2" t="inlineStr">
        <is>
          <t xml:space="preserve">1.4 8v 77 My Life 5p S/S </t>
        </is>
      </c>
      <c r="I305" s="2" t="n"/>
      <c r="J305" s="2" t="n">
        <v>77</v>
      </c>
      <c r="K305" s="2" t="inlineStr">
        <is>
          <t>gasolina</t>
        </is>
      </c>
      <c r="L305" s="2" t="inlineStr">
        <is>
          <t>utilitario</t>
        </is>
      </c>
      <c r="M305" s="2" t="n">
        <v>2011</v>
      </c>
      <c r="N305" s="2" t="n">
        <v>112000</v>
      </c>
      <c r="O305" s="2" t="n">
        <v>4990</v>
      </c>
      <c r="P305" s="2" t="inlineStr">
        <is>
          <t>manual</t>
        </is>
      </c>
      <c r="Q305" s="2" t="inlineStr">
        <is>
          <t>no</t>
        </is>
      </c>
      <c r="R305" s="2" t="inlineStr">
        <is>
          <t>particular</t>
        </is>
      </c>
      <c r="S305" s="2" t="inlineStr">
        <is>
          <t>Valencia (46009)</t>
        </is>
      </c>
      <c r="T305" s="2" t="inlineStr">
        <is>
          <t>2026-10-21T16:43:37</t>
        </is>
      </c>
      <c r="U305" s="2" t="n">
        <v>10</v>
      </c>
      <c r="V305" s="2" t="n"/>
      <c r="W305" s="2" t="n"/>
      <c r="X305" s="2" t="n"/>
      <c r="Y305" s="2" t="n"/>
      <c r="Z305" s="2" t="n"/>
      <c r="AA305" s="2" t="n"/>
      <c r="AB305" s="2" t="n"/>
      <c r="AC305" s="2" t="n"/>
      <c r="AD305" s="2" t="n"/>
      <c r="AE305" s="2" t="n"/>
      <c r="AF305" s="2" t="n"/>
      <c r="AG305" s="2" t="n"/>
      <c r="AH305" s="2" t="n"/>
      <c r="AI305" s="2" t="n"/>
      <c r="AJ305" s="2" t="n"/>
      <c r="AK305" s="2" t="n"/>
      <c r="AL305" s="2" t="n"/>
      <c r="AM305" s="2" t="n">
        <v>1.5</v>
      </c>
      <c r="AN305" s="2" t="n"/>
      <c r="AO305" s="2" t="inlineStr">
        <is>
          <t>2011</t>
        </is>
      </c>
      <c r="AP305" s="2" t="n">
        <v>2011</v>
      </c>
      <c r="AQ305" s="2" t="n"/>
      <c r="AR305" s="2" t="n"/>
      <c r="AS305" s="2" t="inlineStr">
        <is>
          <t>regla</t>
        </is>
      </c>
      <c r="AT305" s="2" t="n">
        <v>4990</v>
      </c>
      <c r="AU305" s="2" t="n">
        <v>4</v>
      </c>
      <c r="AV305" s="2" t="inlineStr">
        <is>
          <t>modelo+año+km</t>
        </is>
      </c>
      <c r="AW305" s="2" t="n"/>
      <c r="AX305" s="2" t="inlineStr">
        <is>
          <t>por encima del presupuesto (5094 €), negociar; cuota fija ITP: &gt;12 años, hasta 1.500 cc; fiabilidad del modelo PENDIENTE de fuente (puntuación neutra)</t>
        </is>
      </c>
      <c r="AY305" s="2" t="inlineStr">
        <is>
          <t xml:space="preserve">Fiat Punto 1.4 año 2011 con 112.000Kms 77CV. 
Equipamiento:
- elevalunas eléctricos 
- Espejos eléctricos 
- Aire acondicionado 
- Dirección asistida
- Mando a distancia 
- Ordenador de abordo
Mantenimiento:
- KIT completo distribución 
- Cambio de aceite
- Filtro de aire
- Filtro de aceite
- ITV VIGENTE 05/27
</t>
        </is>
      </c>
      <c r="AZ305" s="2" t="inlineStr">
        <is>
          <t>https://es.wallapop.com/item/fiat-punto-evo-2011-1309755985 (__NEXT_DATA__ item) /home/user/Alopecia/buscador-coches/raw/wallapop/2bb006ced84288ad.json</t>
        </is>
      </c>
      <c r="BA305" s="3">
        <f>MAX(ANIO_ACTUAL-M305,0)</f>
        <v/>
      </c>
      <c r="BB305" s="4">
        <f>N305/MAX(BA305,0.5)</f>
        <v/>
      </c>
      <c r="BC305" s="4">
        <f>F305</f>
        <v/>
      </c>
      <c r="BD305" s="3">
        <f>BC305&amp;"|"&amp;INT(M305/SEG_ANIO)*SEG_ANIO</f>
        <v/>
      </c>
      <c r="BE305" s="3">
        <f>BD305&amp;"|"&amp;INT(N305/SEG_KM)*SEG_KM</f>
        <v/>
      </c>
      <c r="BF305" s="4">
        <f>COUNTIF($BC$2:$BC$545,BC305)</f>
        <v/>
      </c>
      <c r="BG305" s="4">
        <f>COUNTIF($BD$2:$BD$545,BD305)</f>
        <v/>
      </c>
      <c r="BH305" s="4">
        <f>COUNTIF($BE$2:$BE$545,BE305)</f>
        <v/>
      </c>
      <c r="BI305" s="3">
        <f t="array" ref="BI305">IF(N(AU305)&gt;=MIN_N,AT305,IF(BH305&gt;=MIN_N,MEDIAN(IF($BE$2:$BE$545=BE305,$O$2:$O$545)),IF(BG305&gt;=MIN_N,MEDIAN(IF($BD$2:$BD$545=BD305,$O$2:$O$545)),MEDIAN(IF($BC$2:$BC$545=BC305,$O$2:$O$545)))))</f>
        <v/>
      </c>
      <c r="BJ305" s="3">
        <f>IF(N(AU305)&gt;=MIN_N,"mercado "&amp;AV305,IF(BH305&gt;=MIN_N,"modelo+año+km",IF(BG305&gt;=MIN_N,"modelo+año","modelo")))</f>
        <v/>
      </c>
      <c r="BK305" s="4">
        <f>(BI305-O305)/BI305</f>
        <v/>
      </c>
      <c r="BL305" s="3">
        <f>IF(COUNTIFS(FR_FUEL,K305,FR_YEAR,AP305)&gt;0,1,0)</f>
        <v/>
      </c>
      <c r="BM305" s="3">
        <f>IF(COUNTIFS(FR_FUEL,K305,FR_YEAR,AP305-1)&gt;0,1,0)</f>
        <v/>
      </c>
      <c r="BN305" s="4">
        <f>IF(N(AQ305)&gt;0,AP305*100+AQ305,IF(AND(BL305=1,BM305=1),(AP305-1)*100+1,AP305*100+1))</f>
        <v/>
      </c>
      <c r="BO305" s="3">
        <f>IF(OR(K305="hibrido",K305="glp",K305="gnc",K305="phev"),"ECO",IF(K305="electrico","CERO",IF(K305="gasolina",IF(BN305&gt;=GAS_C_YM,"C",IF(BN305&gt;=GAS_B_YM,"B","A")),IF(K305="diesel",IF(BN305&gt;=DIE_C_YM,"C",IF(BN305&gt;=DIE_B_YM,"B","A")),""))))</f>
        <v/>
      </c>
      <c r="BP305" s="4">
        <f>BO305</f>
        <v/>
      </c>
      <c r="BQ305" s="4">
        <f>IF(AS305="regla",IF(AND(N(AQ305)=0,BL305=1),"sí","no"),"no")</f>
        <v/>
      </c>
      <c r="BR305" s="3">
        <f>IFERROR(VLOOKUP(F305,MOD_TBL,11,0),IFERROR(VLOOKUP(E305,OCU_TBL,2,0),NEUTRO))</f>
        <v/>
      </c>
      <c r="BS305" s="3">
        <f>SUMIFS(MOT_AJUSTE,MOT_MOTOR,G305,MOT_MARCA,E305,MOT_DESDE,"&lt;="&amp;M305,MOT_HASTA,"&gt;="&amp;M305)+SUMIFS(MOT_AJUSTE,MOT_MOTOR,G305,MOT_MARCA,"(todas)",MOT_DESDE,"&lt;="&amp;M305,MOT_HASTA,"&gt;="&amp;M305)</f>
        <v/>
      </c>
      <c r="BT305" s="3">
        <f>SUMIFS(COMB_AJUSTE,COMB_COMB,K305)</f>
        <v/>
      </c>
      <c r="BU305" s="3">
        <f>COUNTIFS(MOT_MOTOR,G305,MOT_MARCA,E305,MOT_DESDE,"&lt;="&amp;M305,MOT_HASTA,"&gt;="&amp;M305)+COUNTIFS(MOT_MOTOR,G305,MOT_MARCA,"(todas)",MOT_DESDE,"&lt;="&amp;M305,MOT_HASTA,"&gt;="&amp;M305)</f>
        <v/>
      </c>
      <c r="BV305" s="3">
        <f>IF(AND(K305="diesel",BU305=0),MIN(BR305,NEUTRO),BR305)</f>
        <v/>
      </c>
      <c r="BW305" s="4">
        <f>MAX(0,MIN(100,BV305+BS305+BT305))</f>
        <v/>
      </c>
      <c r="BX305" s="3">
        <f>MAX(0,MIN(100,50+BK305*PRECIO_PEND))</f>
        <v/>
      </c>
      <c r="BY305" s="3">
        <f>MAX(0,100*(1-N305/KM_MAX))</f>
        <v/>
      </c>
      <c r="BZ305" s="3">
        <f>IF(BB305&lt;KMA_SOSP,IF(AA305="sí",100,KMA_PEN),IF(BB305&lt;=KMA_IDEAL_MAX,100,MAX(0,100*(KMA_CERO-BB305)/(KMA_CERO-KMA_IDEAL_MAX))))</f>
        <v/>
      </c>
      <c r="CA305" s="3">
        <f>MAX(0,MIN(100,100*(M305-ANIO_MIN)/(ANIO_ACTUAL-ANIO_MIN)))</f>
        <v/>
      </c>
      <c r="CB305" s="3">
        <f>W_KMT*BY305+W_KMA*BZ305+W_EDAD*CA305</f>
        <v/>
      </c>
      <c r="CC305" s="3">
        <f>P_ITV*(V305="sí")+P_LIBRO*(W305="sí")+P_CORREA*(X305="sí")+P_PROP*(Y305=1)+P_GAR*(Z305="sí")+P_FOTOS*MIN(1,N(U305)/FOTOS_OBJ)</f>
        <v/>
      </c>
      <c r="CD305" s="3">
        <f>MAX(0,MIN(100,IFERROR(VLOOKUP(BP305,ETQ_TBL,2,0),0)-IF(BQ305="sí",ETQ_PEN_DUD,IF(AS305="regla",ETQ_PEN_REGLA,0))))</f>
        <v/>
      </c>
      <c r="CE305" s="3">
        <f>NEUTRO</f>
        <v/>
      </c>
      <c r="CF305" s="3">
        <f>IFERROR(VLOOKUP(L305,SEGURO_TBL,3,0),"")</f>
        <v/>
      </c>
      <c r="CG305" s="3">
        <f>IF(CF305="",NEUTRO,MAX(0,MIN(100,100*(SEG_REF_MAX-CF305)/(SEG_REF_MAX-SEG_REF_MIN))))</f>
        <v/>
      </c>
      <c r="CH305" s="3">
        <f>W_CONS*CE305+W_SEG*CG305</f>
        <v/>
      </c>
      <c r="CI305" s="3">
        <f>IF(N(AB305)&gt;0,AB305,IF(AND(R305="profesional",SG_LEGAL_ON=1),GAR_LEGAL,0))</f>
        <v/>
      </c>
      <c r="CJ305" s="3">
        <f>SG_GAR*MIN(1,CI305/SG_GAR_FULL)+SG_AMPL*(AC305="sí")+SG_KMC*(AF305="sí")+SG_REV*(N(AE305)&gt;0)+SG_DEV*MIN(1,N(AG305)/SG_DEV_FULL)+SG_HIST*(W305="sí")</f>
        <v/>
      </c>
      <c r="CK305" s="3">
        <f>IFERROR(VLOOKUP(L305,CARR_PEN_TBL,2,0),0)</f>
        <v/>
      </c>
      <c r="CL305" s="3">
        <f>W_FIAB*BW305+W_PRECIO*BX305+W_KMEDAD*CB305+W_ANUNCIO*CC305+W_USO*CH305+W_SEGURIDAD*CJ305+W_ETIQUETA*CD305-CK305</f>
        <v/>
      </c>
      <c r="CM305" s="4">
        <f>IF(N(I305)&gt;0,I305,IFERROR(ROUND(_xlfn.NUMBERVALUE(LEFT(G305,FIND(" ",G305&amp;" ")-1),".")*1000,0),99999))</f>
        <v/>
      </c>
      <c r="CN305" s="3">
        <f>IF(R305="profesional",0,IF(O305&lt;CUOTA_VALOR_MAX,IF(BA305&gt;ITP_TRAMO_ALTO,SUMIFS(CF_CUOTA,CF_MAS,ITP_TRAMO_ALTO,CF_CCMIN,"&lt;="&amp;CM305,CF_CCMAX,"&gt;="&amp;CM305),IF(BA305&gt;ITP_TRAMO_BAJO,SUMIFS(CF_CUOTA,CF_MAS,ITP_TRAMO_BAJO,CF_CCMIN,"&lt;="&amp;CM305,CF_CCMAX,"&gt;="&amp;CM305),O305*ITP_TIPO)),O305*ITP_TIPO))</f>
        <v/>
      </c>
      <c r="CO305" s="4">
        <f>IF(R305="profesional",N(AK305),0)</f>
        <v/>
      </c>
      <c r="CP305" s="3">
        <f>IF(AND(R305="profesional",ISNUMBER(AK305),AL305="sí"),0,TASA_DGT)</f>
        <v/>
      </c>
      <c r="CQ305" s="3">
        <f>INFORME_DGT</f>
        <v/>
      </c>
      <c r="CR305" s="4">
        <f>O305+CO305+CN305+CP305+CQ305</f>
        <v/>
      </c>
      <c r="CS305" s="4">
        <f>CR305+N(CF305)</f>
        <v/>
      </c>
      <c r="CT305" s="3">
        <f>IF(CR305&lt;=TOTAL_MAX,"sí",IF(CR305&lt;=TOTAL_MAX+MARGEN_NEG,"negociar","no"))</f>
        <v/>
      </c>
      <c r="CU305" s="4">
        <f>IF(CT305&lt;&gt;"no",COUNTIFS($CT$2:$CT$545,"&lt;&gt;no",$CL$2:$CL$545,"&gt;"&amp;CL305)+COUNTIFS($CT$2:CT305,"&lt;&gt;no",$CL$2:CL305,CL305),"")</f>
        <v/>
      </c>
    </row>
    <row r="306">
      <c r="A306" s="2" t="inlineStr">
        <is>
          <t>wallapop:1313124669</t>
        </is>
      </c>
      <c r="B306" s="2" t="inlineStr">
        <is>
          <t>wallapop</t>
        </is>
      </c>
      <c r="C306" s="2" t="inlineStr">
        <is>
          <t>https://es.wallapop.com/item/fiat-punto-2006-1313124669</t>
        </is>
      </c>
      <c r="D306" s="2" t="inlineStr">
        <is>
          <t>FIAT Punto 2006</t>
        </is>
      </c>
      <c r="E306" s="2" t="inlineStr">
        <is>
          <t>Fiat</t>
        </is>
      </c>
      <c r="F306" s="2" t="inlineStr">
        <is>
          <t>Fiat Punto</t>
        </is>
      </c>
      <c r="G306" s="2" t="inlineStr">
        <is>
          <t>1.4</t>
        </is>
      </c>
      <c r="H306" s="2" t="inlineStr">
        <is>
          <t>Grande 1.4 16v 95 Sport 3p</t>
        </is>
      </c>
      <c r="I306" s="2" t="n"/>
      <c r="J306" s="2" t="n">
        <v>95</v>
      </c>
      <c r="K306" s="2" t="inlineStr">
        <is>
          <t>gasolina</t>
        </is>
      </c>
      <c r="L306" s="2" t="inlineStr">
        <is>
          <t>utilitario</t>
        </is>
      </c>
      <c r="M306" s="2" t="n">
        <v>2006</v>
      </c>
      <c r="N306" s="2" t="n">
        <v>201000</v>
      </c>
      <c r="O306" s="2" t="n">
        <v>2999</v>
      </c>
      <c r="P306" s="2" t="inlineStr">
        <is>
          <t>manual</t>
        </is>
      </c>
      <c r="Q306" s="2" t="inlineStr">
        <is>
          <t>no</t>
        </is>
      </c>
      <c r="R306" s="2" t="inlineStr">
        <is>
          <t>profesional</t>
        </is>
      </c>
      <c r="S306" s="2" t="inlineStr">
        <is>
          <t>Torrent (46900)</t>
        </is>
      </c>
      <c r="T306" s="2" t="inlineStr">
        <is>
          <t>2026-10-15T09:42:12</t>
        </is>
      </c>
      <c r="U306" s="2" t="n">
        <v>19</v>
      </c>
      <c r="V306" s="2" t="n"/>
      <c r="W306" s="2" t="n"/>
      <c r="X306" s="2" t="n"/>
      <c r="Y306" s="2" t="n"/>
      <c r="Z306" s="2" t="n"/>
      <c r="AA306" s="2" t="n"/>
      <c r="AB306" s="2" t="n"/>
      <c r="AC306" s="2" t="n"/>
      <c r="AD306" s="2" t="n"/>
      <c r="AE306" s="2" t="n"/>
      <c r="AF306" s="2" t="n"/>
      <c r="AG306" s="2" t="n"/>
      <c r="AH306" s="2" t="n"/>
      <c r="AI306" s="2" t="n"/>
      <c r="AJ306" s="2" t="n"/>
      <c r="AK306" s="2" t="n"/>
      <c r="AL306" s="2" t="n"/>
      <c r="AM306" s="2" t="n">
        <v>9.300000000000001</v>
      </c>
      <c r="AN306" s="2" t="n"/>
      <c r="AO306" s="2" t="inlineStr">
        <is>
          <t>2006</t>
        </is>
      </c>
      <c r="AP306" s="2" t="n">
        <v>2006</v>
      </c>
      <c r="AQ306" s="2" t="n"/>
      <c r="AR306" s="2" t="n"/>
      <c r="AS306" s="2" t="inlineStr">
        <is>
          <t>regla</t>
        </is>
      </c>
      <c r="AT306" s="2" t="n"/>
      <c r="AU306" s="2" t="n"/>
      <c r="AV306" s="2" t="n"/>
      <c r="AW306" s="2" t="n"/>
      <c r="AX306" s="2" t="inlineStr">
        <is>
          <t>vendedor profesional: sin ITP (operación con IVA/REBU, confirmar en factura); gastos de gestión del vendedor no indicados: se suma la tasa DGT; preguntar el precio final; fiabilidad del modelo PENDIENTE de fuente (puntuación neutra)</t>
        </is>
      </c>
      <c r="AY306" s="2" t="inlineStr">
        <is>
          <t>SE VENDE 
CON 1AÑO DE GARANTÍA 
CON POSIBILIDAD DE TRANSPORTAR A CUALQUIER PUNTO 
SE ENTREGA CON SUS MANTENIMIENTO ECHOS 
EXTRAS 
CLIMA 
LLANTAS 
DIRECCIÓN ASISTIDA 
ELEVALUNAS ELÉCTRICOS 
RETROVISORES ELÉCTRICOS 
AIBAG 
ABS
ESP
SISTEMA DE AUDIO 
ASIENTOS DEPORTIVOS 
ORDENADOR A BORDO 
VOLANTE MULTIFUNCION 
ECT,,</t>
        </is>
      </c>
      <c r="AZ306" s="2" t="inlineStr">
        <is>
          <t>https://es.wallapop.com/item/fiat-punto-2006-1313124669 (__NEXT_DATA__ item) /home/user/Alopecia/buscador-coches/raw/wallapop/1a5864ca0bb0dab6.json</t>
        </is>
      </c>
      <c r="BA306" s="3">
        <f>MAX(ANIO_ACTUAL-M306,0)</f>
        <v/>
      </c>
      <c r="BB306" s="4">
        <f>N306/MAX(BA306,0.5)</f>
        <v/>
      </c>
      <c r="BC306" s="4">
        <f>F306</f>
        <v/>
      </c>
      <c r="BD306" s="3">
        <f>BC306&amp;"|"&amp;INT(M306/SEG_ANIO)*SEG_ANIO</f>
        <v/>
      </c>
      <c r="BE306" s="3">
        <f>BD306&amp;"|"&amp;INT(N306/SEG_KM)*SEG_KM</f>
        <v/>
      </c>
      <c r="BF306" s="4">
        <f>COUNTIF($BC$2:$BC$545,BC306)</f>
        <v/>
      </c>
      <c r="BG306" s="4">
        <f>COUNTIF($BD$2:$BD$545,BD306)</f>
        <v/>
      </c>
      <c r="BH306" s="4">
        <f>COUNTIF($BE$2:$BE$545,BE306)</f>
        <v/>
      </c>
      <c r="BI306" s="3">
        <f t="array" ref="BI306">IF(N(AU306)&gt;=MIN_N,AT306,IF(BH306&gt;=MIN_N,MEDIAN(IF($BE$2:$BE$545=BE306,$O$2:$O$545)),IF(BG306&gt;=MIN_N,MEDIAN(IF($BD$2:$BD$545=BD306,$O$2:$O$545)),MEDIAN(IF($BC$2:$BC$545=BC306,$O$2:$O$545)))))</f>
        <v/>
      </c>
      <c r="BJ306" s="3">
        <f>IF(N(AU306)&gt;=MIN_N,"mercado "&amp;AV306,IF(BH306&gt;=MIN_N,"modelo+año+km",IF(BG306&gt;=MIN_N,"modelo+año","modelo")))</f>
        <v/>
      </c>
      <c r="BK306" s="4">
        <f>(BI306-O306)/BI306</f>
        <v/>
      </c>
      <c r="BL306" s="3">
        <f>IF(COUNTIFS(FR_FUEL,K306,FR_YEAR,AP306)&gt;0,1,0)</f>
        <v/>
      </c>
      <c r="BM306" s="3">
        <f>IF(COUNTIFS(FR_FUEL,K306,FR_YEAR,AP306-1)&gt;0,1,0)</f>
        <v/>
      </c>
      <c r="BN306" s="4">
        <f>IF(N(AQ306)&gt;0,AP306*100+AQ306,IF(AND(BL306=1,BM306=1),(AP306-1)*100+1,AP306*100+1))</f>
        <v/>
      </c>
      <c r="BO306" s="3">
        <f>IF(OR(K306="hibrido",K306="glp",K306="gnc",K306="phev"),"ECO",IF(K306="electrico","CERO",IF(K306="gasolina",IF(BN306&gt;=GAS_C_YM,"C",IF(BN306&gt;=GAS_B_YM,"B","A")),IF(K306="diesel",IF(BN306&gt;=DIE_C_YM,"C",IF(BN306&gt;=DIE_B_YM,"B","A")),""))))</f>
        <v/>
      </c>
      <c r="BP306" s="4">
        <f>BO306</f>
        <v/>
      </c>
      <c r="BQ306" s="4">
        <f>IF(AS306="regla",IF(AND(N(AQ306)=0,BL306=1),"sí","no"),"no")</f>
        <v/>
      </c>
      <c r="BR306" s="3">
        <f>IFERROR(VLOOKUP(F306,MOD_TBL,11,0),IFERROR(VLOOKUP(E306,OCU_TBL,2,0),NEUTRO))</f>
        <v/>
      </c>
      <c r="BS306" s="3">
        <f>SUMIFS(MOT_AJUSTE,MOT_MOTOR,G306,MOT_MARCA,E306,MOT_DESDE,"&lt;="&amp;M306,MOT_HASTA,"&gt;="&amp;M306)+SUMIFS(MOT_AJUSTE,MOT_MOTOR,G306,MOT_MARCA,"(todas)",MOT_DESDE,"&lt;="&amp;M306,MOT_HASTA,"&gt;="&amp;M306)</f>
        <v/>
      </c>
      <c r="BT306" s="3">
        <f>SUMIFS(COMB_AJUSTE,COMB_COMB,K306)</f>
        <v/>
      </c>
      <c r="BU306" s="3">
        <f>COUNTIFS(MOT_MOTOR,G306,MOT_MARCA,E306,MOT_DESDE,"&lt;="&amp;M306,MOT_HASTA,"&gt;="&amp;M306)+COUNTIFS(MOT_MOTOR,G306,MOT_MARCA,"(todas)",MOT_DESDE,"&lt;="&amp;M306,MOT_HASTA,"&gt;="&amp;M306)</f>
        <v/>
      </c>
      <c r="BV306" s="3">
        <f>IF(AND(K306="diesel",BU306=0),MIN(BR306,NEUTRO),BR306)</f>
        <v/>
      </c>
      <c r="BW306" s="4">
        <f>MAX(0,MIN(100,BV306+BS306+BT306))</f>
        <v/>
      </c>
      <c r="BX306" s="3">
        <f>MAX(0,MIN(100,50+BK306*PRECIO_PEND))</f>
        <v/>
      </c>
      <c r="BY306" s="3">
        <f>MAX(0,100*(1-N306/KM_MAX))</f>
        <v/>
      </c>
      <c r="BZ306" s="3">
        <f>IF(BB306&lt;KMA_SOSP,IF(AA306="sí",100,KMA_PEN),IF(BB306&lt;=KMA_IDEAL_MAX,100,MAX(0,100*(KMA_CERO-BB306)/(KMA_CERO-KMA_IDEAL_MAX))))</f>
        <v/>
      </c>
      <c r="CA306" s="3">
        <f>MAX(0,MIN(100,100*(M306-ANIO_MIN)/(ANIO_ACTUAL-ANIO_MIN)))</f>
        <v/>
      </c>
      <c r="CB306" s="3">
        <f>W_KMT*BY306+W_KMA*BZ306+W_EDAD*CA306</f>
        <v/>
      </c>
      <c r="CC306" s="3">
        <f>P_ITV*(V306="sí")+P_LIBRO*(W306="sí")+P_CORREA*(X306="sí")+P_PROP*(Y306=1)+P_GAR*(Z306="sí")+P_FOTOS*MIN(1,N(U306)/FOTOS_OBJ)</f>
        <v/>
      </c>
      <c r="CD306" s="3">
        <f>MAX(0,MIN(100,IFERROR(VLOOKUP(BP306,ETQ_TBL,2,0),0)-IF(BQ306="sí",ETQ_PEN_DUD,IF(AS306="regla",ETQ_PEN_REGLA,0))))</f>
        <v/>
      </c>
      <c r="CE306" s="3">
        <f>NEUTRO</f>
        <v/>
      </c>
      <c r="CF306" s="3">
        <f>IFERROR(VLOOKUP(L306,SEGURO_TBL,3,0),"")</f>
        <v/>
      </c>
      <c r="CG306" s="3">
        <f>IF(CF306="",NEUTRO,MAX(0,MIN(100,100*(SEG_REF_MAX-CF306)/(SEG_REF_MAX-SEG_REF_MIN))))</f>
        <v/>
      </c>
      <c r="CH306" s="3">
        <f>W_CONS*CE306+W_SEG*CG306</f>
        <v/>
      </c>
      <c r="CI306" s="3">
        <f>IF(N(AB306)&gt;0,AB306,IF(AND(R306="profesional",SG_LEGAL_ON=1),GAR_LEGAL,0))</f>
        <v/>
      </c>
      <c r="CJ306" s="3">
        <f>SG_GAR*MIN(1,CI306/SG_GAR_FULL)+SG_AMPL*(AC306="sí")+SG_KMC*(AF306="sí")+SG_REV*(N(AE306)&gt;0)+SG_DEV*MIN(1,N(AG306)/SG_DEV_FULL)+SG_HIST*(W306="sí")</f>
        <v/>
      </c>
      <c r="CK306" s="3">
        <f>IFERROR(VLOOKUP(L306,CARR_PEN_TBL,2,0),0)</f>
        <v/>
      </c>
      <c r="CL306" s="3">
        <f>W_FIAB*BW306+W_PRECIO*BX306+W_KMEDAD*CB306+W_ANUNCIO*CC306+W_USO*CH306+W_SEGURIDAD*CJ306+W_ETIQUETA*CD306-CK306</f>
        <v/>
      </c>
      <c r="CM306" s="4">
        <f>IF(N(I306)&gt;0,I306,IFERROR(ROUND(_xlfn.NUMBERVALUE(LEFT(G306,FIND(" ",G306&amp;" ")-1),".")*1000,0),99999))</f>
        <v/>
      </c>
      <c r="CN306" s="3">
        <f>IF(R306="profesional",0,IF(O306&lt;CUOTA_VALOR_MAX,IF(BA306&gt;ITP_TRAMO_ALTO,SUMIFS(CF_CUOTA,CF_MAS,ITP_TRAMO_ALTO,CF_CCMIN,"&lt;="&amp;CM306,CF_CCMAX,"&gt;="&amp;CM306),IF(BA306&gt;ITP_TRAMO_BAJO,SUMIFS(CF_CUOTA,CF_MAS,ITP_TRAMO_BAJO,CF_CCMIN,"&lt;="&amp;CM306,CF_CCMAX,"&gt;="&amp;CM306),O306*ITP_TIPO)),O306*ITP_TIPO))</f>
        <v/>
      </c>
      <c r="CO306" s="4">
        <f>IF(R306="profesional",N(AK306),0)</f>
        <v/>
      </c>
      <c r="CP306" s="3">
        <f>IF(AND(R306="profesional",ISNUMBER(AK306),AL306="sí"),0,TASA_DGT)</f>
        <v/>
      </c>
      <c r="CQ306" s="3">
        <f>INFORME_DGT</f>
        <v/>
      </c>
      <c r="CR306" s="4">
        <f>O306+CO306+CN306+CP306+CQ306</f>
        <v/>
      </c>
      <c r="CS306" s="4">
        <f>CR306+N(CF306)</f>
        <v/>
      </c>
      <c r="CT306" s="3">
        <f>IF(CR306&lt;=TOTAL_MAX,"sí",IF(CR306&lt;=TOTAL_MAX+MARGEN_NEG,"negociar","no"))</f>
        <v/>
      </c>
      <c r="CU306" s="4">
        <f>IF(CT306&lt;&gt;"no",COUNTIFS($CT$2:$CT$545,"&lt;&gt;no",$CL$2:$CL$545,"&gt;"&amp;CL306)+COUNTIFS($CT$2:CT306,"&lt;&gt;no",$CL$2:CL306,CL306),"")</f>
        <v/>
      </c>
    </row>
    <row r="307">
      <c r="A307" s="2" t="inlineStr">
        <is>
          <t>wallapop:1308782246</t>
        </is>
      </c>
      <c r="B307" s="2" t="inlineStr">
        <is>
          <t>wallapop</t>
        </is>
      </c>
      <c r="C307" s="2" t="inlineStr">
        <is>
          <t>https://es.wallapop.com/item/fiat-punto-2007-1308782246</t>
        </is>
      </c>
      <c r="D307" s="2" t="inlineStr">
        <is>
          <t>FIAT Punto 2007</t>
        </is>
      </c>
      <c r="E307" s="2" t="inlineStr">
        <is>
          <t>Fiat</t>
        </is>
      </c>
      <c r="F307" s="2" t="inlineStr">
        <is>
          <t>Fiat Punto</t>
        </is>
      </c>
      <c r="G307" s="2" t="inlineStr">
        <is>
          <t>1.4</t>
        </is>
      </c>
      <c r="H307" s="2" t="inlineStr">
        <is>
          <t>Grande 1.4 16v 95 Dynamic 3p</t>
        </is>
      </c>
      <c r="I307" s="2" t="n"/>
      <c r="J307" s="2" t="n">
        <v>95</v>
      </c>
      <c r="K307" s="2" t="inlineStr">
        <is>
          <t>gasolina</t>
        </is>
      </c>
      <c r="L307" s="2" t="inlineStr">
        <is>
          <t>utilitario</t>
        </is>
      </c>
      <c r="M307" s="2" t="n">
        <v>2007</v>
      </c>
      <c r="N307" s="2" t="n">
        <v>179000</v>
      </c>
      <c r="O307" s="2" t="n">
        <v>3499</v>
      </c>
      <c r="P307" s="2" t="inlineStr">
        <is>
          <t>manual</t>
        </is>
      </c>
      <c r="Q307" s="2" t="inlineStr">
        <is>
          <t>no</t>
        </is>
      </c>
      <c r="R307" s="2" t="inlineStr">
        <is>
          <t>profesional</t>
        </is>
      </c>
      <c r="S307" s="2" t="inlineStr">
        <is>
          <t>Torrent (46900)</t>
        </is>
      </c>
      <c r="T307" s="2" t="inlineStr">
        <is>
          <t>2026-10-14T16:15:36</t>
        </is>
      </c>
      <c r="U307" s="2" t="n">
        <v>10</v>
      </c>
      <c r="V307" s="2" t="n"/>
      <c r="W307" s="2" t="n"/>
      <c r="X307" s="2" t="n"/>
      <c r="Y307" s="2" t="n"/>
      <c r="Z307" s="2" t="n"/>
      <c r="AA307" s="2" t="n"/>
      <c r="AB307" s="2" t="n"/>
      <c r="AC307" s="2" t="n"/>
      <c r="AD307" s="2" t="n"/>
      <c r="AE307" s="2" t="n"/>
      <c r="AF307" s="2" t="n"/>
      <c r="AG307" s="2" t="n"/>
      <c r="AH307" s="2" t="n"/>
      <c r="AI307" s="2" t="n"/>
      <c r="AJ307" s="2" t="n"/>
      <c r="AK307" s="2" t="n"/>
      <c r="AL307" s="2" t="n"/>
      <c r="AM307" s="2" t="n">
        <v>9.300000000000001</v>
      </c>
      <c r="AN307" s="2" t="n"/>
      <c r="AO307" s="2" t="inlineStr">
        <is>
          <t>2007</t>
        </is>
      </c>
      <c r="AP307" s="2" t="n">
        <v>2007</v>
      </c>
      <c r="AQ307" s="2" t="n"/>
      <c r="AR307" s="2" t="n"/>
      <c r="AS307" s="2" t="inlineStr">
        <is>
          <t>regla</t>
        </is>
      </c>
      <c r="AT307" s="2" t="n">
        <v>2500</v>
      </c>
      <c r="AU307" s="2" t="n">
        <v>13</v>
      </c>
      <c r="AV307" s="2" t="inlineStr">
        <is>
          <t>modelo+año</t>
        </is>
      </c>
      <c r="AW307" s="2" t="n"/>
      <c r="AX307" s="2" t="inlineStr">
        <is>
          <t>vendedor profesional: sin ITP (operación con IVA/REBU, confirmar en factura); gastos de gestión del vendedor no indicados: se suma la tasa DGT; preguntar el precio final; fiabilidad del modelo PENDIENTE de fuente (puntuación neutra)</t>
        </is>
      </c>
      <c r="AY307" s="2" t="inlineStr">
        <is>
          <t xml:space="preserve">SE VENDE 
CON 1AÑO DE GARANTÍA 
CON POSIBILIDAD DE TRANSPORTAR A CUALQUIER PUNTO 
SE ENTREGA CON SUS MANTENIMIENTO ECHOS 
EXTRAS 
DIRECCIÓN ASISTIDA 
CLIMA 
SISTEMA DE AUDIO 
ABS
ESP
ANCLAJES ISOFIX 
CIERRE CENTRALIZADO 
ELEVALUNAS ELÉCTRICOS 
RETROVISORES ELÉCTRICOS 
ASIENTOS DEPORTIVOS 
MUCHISIMOS EXTRAS MAS 
</t>
        </is>
      </c>
      <c r="AZ307" s="2" t="inlineStr">
        <is>
          <t>https://es.wallapop.com/item/fiat-punto-2007-1308782246 (__NEXT_DATA__ item) /home/user/Alopecia/buscador-coches/raw/wallapop/dd2ba05449fe4e02.json</t>
        </is>
      </c>
      <c r="BA307" s="3">
        <f>MAX(ANIO_ACTUAL-M307,0)</f>
        <v/>
      </c>
      <c r="BB307" s="4">
        <f>N307/MAX(BA307,0.5)</f>
        <v/>
      </c>
      <c r="BC307" s="4">
        <f>F307</f>
        <v/>
      </c>
      <c r="BD307" s="3">
        <f>BC307&amp;"|"&amp;INT(M307/SEG_ANIO)*SEG_ANIO</f>
        <v/>
      </c>
      <c r="BE307" s="3">
        <f>BD307&amp;"|"&amp;INT(N307/SEG_KM)*SEG_KM</f>
        <v/>
      </c>
      <c r="BF307" s="4">
        <f>COUNTIF($BC$2:$BC$545,BC307)</f>
        <v/>
      </c>
      <c r="BG307" s="4">
        <f>COUNTIF($BD$2:$BD$545,BD307)</f>
        <v/>
      </c>
      <c r="BH307" s="4">
        <f>COUNTIF($BE$2:$BE$545,BE307)</f>
        <v/>
      </c>
      <c r="BI307" s="3">
        <f t="array" ref="BI307">IF(N(AU307)&gt;=MIN_N,AT307,IF(BH307&gt;=MIN_N,MEDIAN(IF($BE$2:$BE$545=BE307,$O$2:$O$545)),IF(BG307&gt;=MIN_N,MEDIAN(IF($BD$2:$BD$545=BD307,$O$2:$O$545)),MEDIAN(IF($BC$2:$BC$545=BC307,$O$2:$O$545)))))</f>
        <v/>
      </c>
      <c r="BJ307" s="3">
        <f>IF(N(AU307)&gt;=MIN_N,"mercado "&amp;AV307,IF(BH307&gt;=MIN_N,"modelo+año+km",IF(BG307&gt;=MIN_N,"modelo+año","modelo")))</f>
        <v/>
      </c>
      <c r="BK307" s="4">
        <f>(BI307-O307)/BI307</f>
        <v/>
      </c>
      <c r="BL307" s="3">
        <f>IF(COUNTIFS(FR_FUEL,K307,FR_YEAR,AP307)&gt;0,1,0)</f>
        <v/>
      </c>
      <c r="BM307" s="3">
        <f>IF(COUNTIFS(FR_FUEL,K307,FR_YEAR,AP307-1)&gt;0,1,0)</f>
        <v/>
      </c>
      <c r="BN307" s="4">
        <f>IF(N(AQ307)&gt;0,AP307*100+AQ307,IF(AND(BL307=1,BM307=1),(AP307-1)*100+1,AP307*100+1))</f>
        <v/>
      </c>
      <c r="BO307" s="3">
        <f>IF(OR(K307="hibrido",K307="glp",K307="gnc",K307="phev"),"ECO",IF(K307="electrico","CERO",IF(K307="gasolina",IF(BN307&gt;=GAS_C_YM,"C",IF(BN307&gt;=GAS_B_YM,"B","A")),IF(K307="diesel",IF(BN307&gt;=DIE_C_YM,"C",IF(BN307&gt;=DIE_B_YM,"B","A")),""))))</f>
        <v/>
      </c>
      <c r="BP307" s="4">
        <f>BO307</f>
        <v/>
      </c>
      <c r="BQ307" s="4">
        <f>IF(AS307="regla",IF(AND(N(AQ307)=0,BL307=1),"sí","no"),"no")</f>
        <v/>
      </c>
      <c r="BR307" s="3">
        <f>IFERROR(VLOOKUP(F307,MOD_TBL,11,0),IFERROR(VLOOKUP(E307,OCU_TBL,2,0),NEUTRO))</f>
        <v/>
      </c>
      <c r="BS307" s="3">
        <f>SUMIFS(MOT_AJUSTE,MOT_MOTOR,G307,MOT_MARCA,E307,MOT_DESDE,"&lt;="&amp;M307,MOT_HASTA,"&gt;="&amp;M307)+SUMIFS(MOT_AJUSTE,MOT_MOTOR,G307,MOT_MARCA,"(todas)",MOT_DESDE,"&lt;="&amp;M307,MOT_HASTA,"&gt;="&amp;M307)</f>
        <v/>
      </c>
      <c r="BT307" s="3">
        <f>SUMIFS(COMB_AJUSTE,COMB_COMB,K307)</f>
        <v/>
      </c>
      <c r="BU307" s="3">
        <f>COUNTIFS(MOT_MOTOR,G307,MOT_MARCA,E307,MOT_DESDE,"&lt;="&amp;M307,MOT_HASTA,"&gt;="&amp;M307)+COUNTIFS(MOT_MOTOR,G307,MOT_MARCA,"(todas)",MOT_DESDE,"&lt;="&amp;M307,MOT_HASTA,"&gt;="&amp;M307)</f>
        <v/>
      </c>
      <c r="BV307" s="3">
        <f>IF(AND(K307="diesel",BU307=0),MIN(BR307,NEUTRO),BR307)</f>
        <v/>
      </c>
      <c r="BW307" s="4">
        <f>MAX(0,MIN(100,BV307+BS307+BT307))</f>
        <v/>
      </c>
      <c r="BX307" s="3">
        <f>MAX(0,MIN(100,50+BK307*PRECIO_PEND))</f>
        <v/>
      </c>
      <c r="BY307" s="3">
        <f>MAX(0,100*(1-N307/KM_MAX))</f>
        <v/>
      </c>
      <c r="BZ307" s="3">
        <f>IF(BB307&lt;KMA_SOSP,IF(AA307="sí",100,KMA_PEN),IF(BB307&lt;=KMA_IDEAL_MAX,100,MAX(0,100*(KMA_CERO-BB307)/(KMA_CERO-KMA_IDEAL_MAX))))</f>
        <v/>
      </c>
      <c r="CA307" s="3">
        <f>MAX(0,MIN(100,100*(M307-ANIO_MIN)/(ANIO_ACTUAL-ANIO_MIN)))</f>
        <v/>
      </c>
      <c r="CB307" s="3">
        <f>W_KMT*BY307+W_KMA*BZ307+W_EDAD*CA307</f>
        <v/>
      </c>
      <c r="CC307" s="3">
        <f>P_ITV*(V307="sí")+P_LIBRO*(W307="sí")+P_CORREA*(X307="sí")+P_PROP*(Y307=1)+P_GAR*(Z307="sí")+P_FOTOS*MIN(1,N(U307)/FOTOS_OBJ)</f>
        <v/>
      </c>
      <c r="CD307" s="3">
        <f>MAX(0,MIN(100,IFERROR(VLOOKUP(BP307,ETQ_TBL,2,0),0)-IF(BQ307="sí",ETQ_PEN_DUD,IF(AS307="regla",ETQ_PEN_REGLA,0))))</f>
        <v/>
      </c>
      <c r="CE307" s="3">
        <f>NEUTRO</f>
        <v/>
      </c>
      <c r="CF307" s="3">
        <f>IFERROR(VLOOKUP(L307,SEGURO_TBL,3,0),"")</f>
        <v/>
      </c>
      <c r="CG307" s="3">
        <f>IF(CF307="",NEUTRO,MAX(0,MIN(100,100*(SEG_REF_MAX-CF307)/(SEG_REF_MAX-SEG_REF_MIN))))</f>
        <v/>
      </c>
      <c r="CH307" s="3">
        <f>W_CONS*CE307+W_SEG*CG307</f>
        <v/>
      </c>
      <c r="CI307" s="3">
        <f>IF(N(AB307)&gt;0,AB307,IF(AND(R307="profesional",SG_LEGAL_ON=1),GAR_LEGAL,0))</f>
        <v/>
      </c>
      <c r="CJ307" s="3">
        <f>SG_GAR*MIN(1,CI307/SG_GAR_FULL)+SG_AMPL*(AC307="sí")+SG_KMC*(AF307="sí")+SG_REV*(N(AE307)&gt;0)+SG_DEV*MIN(1,N(AG307)/SG_DEV_FULL)+SG_HIST*(W307="sí")</f>
        <v/>
      </c>
      <c r="CK307" s="3">
        <f>IFERROR(VLOOKUP(L307,CARR_PEN_TBL,2,0),0)</f>
        <v/>
      </c>
      <c r="CL307" s="3">
        <f>W_FIAB*BW307+W_PRECIO*BX307+W_KMEDAD*CB307+W_ANUNCIO*CC307+W_USO*CH307+W_SEGURIDAD*CJ307+W_ETIQUETA*CD307-CK307</f>
        <v/>
      </c>
      <c r="CM307" s="4">
        <f>IF(N(I307)&gt;0,I307,IFERROR(ROUND(_xlfn.NUMBERVALUE(LEFT(G307,FIND(" ",G307&amp;" ")-1),".")*1000,0),99999))</f>
        <v/>
      </c>
      <c r="CN307" s="3">
        <f>IF(R307="profesional",0,IF(O307&lt;CUOTA_VALOR_MAX,IF(BA307&gt;ITP_TRAMO_ALTO,SUMIFS(CF_CUOTA,CF_MAS,ITP_TRAMO_ALTO,CF_CCMIN,"&lt;="&amp;CM307,CF_CCMAX,"&gt;="&amp;CM307),IF(BA307&gt;ITP_TRAMO_BAJO,SUMIFS(CF_CUOTA,CF_MAS,ITP_TRAMO_BAJO,CF_CCMIN,"&lt;="&amp;CM307,CF_CCMAX,"&gt;="&amp;CM307),O307*ITP_TIPO)),O307*ITP_TIPO))</f>
        <v/>
      </c>
      <c r="CO307" s="4">
        <f>IF(R307="profesional",N(AK307),0)</f>
        <v/>
      </c>
      <c r="CP307" s="3">
        <f>IF(AND(R307="profesional",ISNUMBER(AK307),AL307="sí"),0,TASA_DGT)</f>
        <v/>
      </c>
      <c r="CQ307" s="3">
        <f>INFORME_DGT</f>
        <v/>
      </c>
      <c r="CR307" s="4">
        <f>O307+CO307+CN307+CP307+CQ307</f>
        <v/>
      </c>
      <c r="CS307" s="4">
        <f>CR307+N(CF307)</f>
        <v/>
      </c>
      <c r="CT307" s="3">
        <f>IF(CR307&lt;=TOTAL_MAX,"sí",IF(CR307&lt;=TOTAL_MAX+MARGEN_NEG,"negociar","no"))</f>
        <v/>
      </c>
      <c r="CU307" s="4">
        <f>IF(CT307&lt;&gt;"no",COUNTIFS($CT$2:$CT$545,"&lt;&gt;no",$CL$2:$CL$545,"&gt;"&amp;CL307)+COUNTIFS($CT$2:CT307,"&lt;&gt;no",$CL$2:CL307,CL307),"")</f>
        <v/>
      </c>
    </row>
    <row r="308">
      <c r="A308" s="2" t="inlineStr">
        <is>
          <t>wallapop:1305071192</t>
        </is>
      </c>
      <c r="B308" s="2" t="inlineStr">
        <is>
          <t>wallapop</t>
        </is>
      </c>
      <c r="C308" s="2" t="inlineStr">
        <is>
          <t>https://es.wallapop.com/item/fiat-punto-1-4-t-jet-sport-88-kw-120-cv-1305071192</t>
        </is>
      </c>
      <c r="D308" s="2" t="inlineStr">
        <is>
          <t>Fiat Punto 1.4 T-Jet Sport 88 kW (120 CV)</t>
        </is>
      </c>
      <c r="E308" s="2" t="inlineStr">
        <is>
          <t>Fiat</t>
        </is>
      </c>
      <c r="F308" s="2" t="inlineStr">
        <is>
          <t>Fiat Punto</t>
        </is>
      </c>
      <c r="G308" s="2" t="inlineStr">
        <is>
          <t>1.4 T-Jet</t>
        </is>
      </c>
      <c r="H308" s="2" t="inlineStr">
        <is>
          <t>1.4 T-Jet Sport 88 kW (120 CV)</t>
        </is>
      </c>
      <c r="I308" s="2" t="n"/>
      <c r="J308" s="2" t="n">
        <v>120</v>
      </c>
      <c r="K308" s="2" t="inlineStr">
        <is>
          <t>gasolina</t>
        </is>
      </c>
      <c r="L308" s="2" t="inlineStr">
        <is>
          <t>utilitario</t>
        </is>
      </c>
      <c r="M308" s="2" t="n">
        <v>2010</v>
      </c>
      <c r="N308" s="2" t="n">
        <v>135827</v>
      </c>
      <c r="O308" s="2" t="n">
        <v>4990</v>
      </c>
      <c r="P308" s="2" t="inlineStr">
        <is>
          <t>manual</t>
        </is>
      </c>
      <c r="Q308" s="2" t="inlineStr">
        <is>
          <t>no</t>
        </is>
      </c>
      <c r="R308" s="2" t="inlineStr">
        <is>
          <t>profesional</t>
        </is>
      </c>
      <c r="S308" s="2" t="inlineStr">
        <is>
          <t>Paterna (46980)</t>
        </is>
      </c>
      <c r="T308" s="2" t="inlineStr">
        <is>
          <t>2026-10-26T14:33:00</t>
        </is>
      </c>
      <c r="U308" s="2" t="n">
        <v>11</v>
      </c>
      <c r="V308" s="2" t="n"/>
      <c r="W308" s="2" t="inlineStr">
        <is>
          <t>sí</t>
        </is>
      </c>
      <c r="X308" s="2" t="n"/>
      <c r="Y308" s="2" t="n"/>
      <c r="Z308" s="2" t="inlineStr">
        <is>
          <t>sí</t>
        </is>
      </c>
      <c r="AA308" s="2" t="n"/>
      <c r="AB308" s="2" t="n"/>
      <c r="AC308" s="2" t="n"/>
      <c r="AD308" s="2" t="n"/>
      <c r="AE308" s="2" t="n"/>
      <c r="AF308" s="2" t="inlineStr">
        <is>
          <t>sí</t>
        </is>
      </c>
      <c r="AG308" s="2" t="n"/>
      <c r="AH308" s="2" t="n"/>
      <c r="AI308" s="2" t="n"/>
      <c r="AJ308" s="2" t="n"/>
      <c r="AK308" s="2" t="n"/>
      <c r="AL308" s="2" t="n"/>
      <c r="AM308" s="2" t="n">
        <v>6.4</v>
      </c>
      <c r="AN308" s="2" t="inlineStr">
        <is>
          <t>1000KMS</t>
        </is>
      </c>
      <c r="AO308" s="2" t="inlineStr">
        <is>
          <t>2010</t>
        </is>
      </c>
      <c r="AP308" s="2" t="n">
        <v>2010</v>
      </c>
      <c r="AQ308" s="2" t="n"/>
      <c r="AR308" s="2" t="inlineStr">
        <is>
          <t>B</t>
        </is>
      </c>
      <c r="AS308" s="2" t="inlineStr">
        <is>
          <t>DGT</t>
        </is>
      </c>
      <c r="AT308" s="2" t="n">
        <v>4990</v>
      </c>
      <c r="AU308" s="2" t="n">
        <v>4</v>
      </c>
      <c r="AV308" s="2" t="inlineStr">
        <is>
          <t>modelo+año+km</t>
        </is>
      </c>
      <c r="AW308" s="2" t="n"/>
      <c r="AX308"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308" s="2" t="inlineStr">
        <is>
          <t>Ref.195599950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(17").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308" s="2" t="inlineStr">
        <is>
          <t>https://es.wallapop.com/item/fiat-punto-1-4-t-jet-sport-88-kw-120-cv-1305071192 (__NEXT_DATA__ item) /home/user/Alopecia/buscador-coches/raw/wallapop/dc1b925771b4a0c9.json</t>
        </is>
      </c>
      <c r="BA308" s="3">
        <f>MAX(ANIO_ACTUAL-M308,0)</f>
        <v/>
      </c>
      <c r="BB308" s="4">
        <f>N308/MAX(BA308,0.5)</f>
        <v/>
      </c>
      <c r="BC308" s="4">
        <f>F308</f>
        <v/>
      </c>
      <c r="BD308" s="3">
        <f>BC308&amp;"|"&amp;INT(M308/SEG_ANIO)*SEG_ANIO</f>
        <v/>
      </c>
      <c r="BE308" s="3">
        <f>BD308&amp;"|"&amp;INT(N308/SEG_KM)*SEG_KM</f>
        <v/>
      </c>
      <c r="BF308" s="4">
        <f>COUNTIF($BC$2:$BC$545,BC308)</f>
        <v/>
      </c>
      <c r="BG308" s="4">
        <f>COUNTIF($BD$2:$BD$545,BD308)</f>
        <v/>
      </c>
      <c r="BH308" s="4">
        <f>COUNTIF($BE$2:$BE$545,BE308)</f>
        <v/>
      </c>
      <c r="BI308" s="3">
        <f t="array" ref="BI308">IF(N(AU308)&gt;=MIN_N,AT308,IF(BH308&gt;=MIN_N,MEDIAN(IF($BE$2:$BE$545=BE308,$O$2:$O$545)),IF(BG308&gt;=MIN_N,MEDIAN(IF($BD$2:$BD$545=BD308,$O$2:$O$545)),MEDIAN(IF($BC$2:$BC$545=BC308,$O$2:$O$545)))))</f>
        <v/>
      </c>
      <c r="BJ308" s="3">
        <f>IF(N(AU308)&gt;=MIN_N,"mercado "&amp;AV308,IF(BH308&gt;=MIN_N,"modelo+año+km",IF(BG308&gt;=MIN_N,"modelo+año","modelo")))</f>
        <v/>
      </c>
      <c r="BK308" s="4">
        <f>(BI308-O308)/BI308</f>
        <v/>
      </c>
      <c r="BL308" s="3">
        <f>IF(COUNTIFS(FR_FUEL,K308,FR_YEAR,AP308)&gt;0,1,0)</f>
        <v/>
      </c>
      <c r="BM308" s="3">
        <f>IF(COUNTIFS(FR_FUEL,K308,FR_YEAR,AP308-1)&gt;0,1,0)</f>
        <v/>
      </c>
      <c r="BN308" s="4">
        <f>IF(N(AQ308)&gt;0,AP308*100+AQ308,IF(AND(BL308=1,BM308=1),(AP308-1)*100+1,AP308*100+1))</f>
        <v/>
      </c>
      <c r="BO308" s="3">
        <f>IF(OR(K308="hibrido",K308="glp",K308="gnc",K308="phev"),"ECO",IF(K308="electrico","CERO",IF(K308="gasolina",IF(BN308&gt;=GAS_C_YM,"C",IF(BN308&gt;=GAS_B_YM,"B","A")),IF(K308="diesel",IF(BN308&gt;=DIE_C_YM,"C",IF(BN308&gt;=DIE_B_YM,"B","A")),""))))</f>
        <v/>
      </c>
      <c r="BP308" s="2" t="inlineStr">
        <is>
          <t>B</t>
        </is>
      </c>
      <c r="BQ308" s="4">
        <f>IF(AS308="regla",IF(AND(N(AQ308)=0,BL308=1),"sí","no"),"no")</f>
        <v/>
      </c>
      <c r="BR308" s="3">
        <f>IFERROR(VLOOKUP(F308,MOD_TBL,11,0),IFERROR(VLOOKUP(E308,OCU_TBL,2,0),NEUTRO))</f>
        <v/>
      </c>
      <c r="BS308" s="3">
        <f>SUMIFS(MOT_AJUSTE,MOT_MOTOR,G308,MOT_MARCA,E308,MOT_DESDE,"&lt;="&amp;M308,MOT_HASTA,"&gt;="&amp;M308)+SUMIFS(MOT_AJUSTE,MOT_MOTOR,G308,MOT_MARCA,"(todas)",MOT_DESDE,"&lt;="&amp;M308,MOT_HASTA,"&gt;="&amp;M308)</f>
        <v/>
      </c>
      <c r="BT308" s="3">
        <f>SUMIFS(COMB_AJUSTE,COMB_COMB,K308)</f>
        <v/>
      </c>
      <c r="BU308" s="3">
        <f>COUNTIFS(MOT_MOTOR,G308,MOT_MARCA,E308,MOT_DESDE,"&lt;="&amp;M308,MOT_HASTA,"&gt;="&amp;M308)+COUNTIFS(MOT_MOTOR,G308,MOT_MARCA,"(todas)",MOT_DESDE,"&lt;="&amp;M308,MOT_HASTA,"&gt;="&amp;M308)</f>
        <v/>
      </c>
      <c r="BV308" s="3">
        <f>IF(AND(K308="diesel",BU308=0),MIN(BR308,NEUTRO),BR308)</f>
        <v/>
      </c>
      <c r="BW308" s="4">
        <f>MAX(0,MIN(100,BV308+BS308+BT308))</f>
        <v/>
      </c>
      <c r="BX308" s="3">
        <f>MAX(0,MIN(100,50+BK308*PRECIO_PEND))</f>
        <v/>
      </c>
      <c r="BY308" s="3">
        <f>MAX(0,100*(1-N308/KM_MAX))</f>
        <v/>
      </c>
      <c r="BZ308" s="3">
        <f>IF(BB308&lt;KMA_SOSP,IF(AA308="sí",100,KMA_PEN),IF(BB308&lt;=KMA_IDEAL_MAX,100,MAX(0,100*(KMA_CERO-BB308)/(KMA_CERO-KMA_IDEAL_MAX))))</f>
        <v/>
      </c>
      <c r="CA308" s="3">
        <f>MAX(0,MIN(100,100*(M308-ANIO_MIN)/(ANIO_ACTUAL-ANIO_MIN)))</f>
        <v/>
      </c>
      <c r="CB308" s="3">
        <f>W_KMT*BY308+W_KMA*BZ308+W_EDAD*CA308</f>
        <v/>
      </c>
      <c r="CC308" s="3">
        <f>P_ITV*(V308="sí")+P_LIBRO*(W308="sí")+P_CORREA*(X308="sí")+P_PROP*(Y308=1)+P_GAR*(Z308="sí")+P_FOTOS*MIN(1,N(U308)/FOTOS_OBJ)</f>
        <v/>
      </c>
      <c r="CD308" s="3">
        <f>MAX(0,MIN(100,IFERROR(VLOOKUP(BP308,ETQ_TBL,2,0),0)-IF(BQ308="sí",ETQ_PEN_DUD,IF(AS308="regla",ETQ_PEN_REGLA,0))))</f>
        <v/>
      </c>
      <c r="CE308" s="3">
        <f>NEUTRO</f>
        <v/>
      </c>
      <c r="CF308" s="3">
        <f>IFERROR(VLOOKUP(L308,SEGURO_TBL,3,0),"")</f>
        <v/>
      </c>
      <c r="CG308" s="3">
        <f>IF(CF308="",NEUTRO,MAX(0,MIN(100,100*(SEG_REF_MAX-CF308)/(SEG_REF_MAX-SEG_REF_MIN))))</f>
        <v/>
      </c>
      <c r="CH308" s="3">
        <f>W_CONS*CE308+W_SEG*CG308</f>
        <v/>
      </c>
      <c r="CI308" s="3">
        <f>IF(N(AB308)&gt;0,AB308,IF(AND(R308="profesional",SG_LEGAL_ON=1),GAR_LEGAL,0))</f>
        <v/>
      </c>
      <c r="CJ308" s="3">
        <f>SG_GAR*MIN(1,CI308/SG_GAR_FULL)+SG_AMPL*(AC308="sí")+SG_KMC*(AF308="sí")+SG_REV*(N(AE308)&gt;0)+SG_DEV*MIN(1,N(AG308)/SG_DEV_FULL)+SG_HIST*(W308="sí")</f>
        <v/>
      </c>
      <c r="CK308" s="3">
        <f>IFERROR(VLOOKUP(L308,CARR_PEN_TBL,2,0),0)</f>
        <v/>
      </c>
      <c r="CL308" s="3">
        <f>W_FIAB*BW308+W_PRECIO*BX308+W_KMEDAD*CB308+W_ANUNCIO*CC308+W_USO*CH308+W_SEGURIDAD*CJ308+W_ETIQUETA*CD308-CK308</f>
        <v/>
      </c>
      <c r="CM308" s="4">
        <f>IF(N(I308)&gt;0,I308,IFERROR(ROUND(_xlfn.NUMBERVALUE(LEFT(G308,FIND(" ",G308&amp;" ")-1),".")*1000,0),99999))</f>
        <v/>
      </c>
      <c r="CN308" s="3">
        <f>IF(R308="profesional",0,IF(O308&lt;CUOTA_VALOR_MAX,IF(BA308&gt;ITP_TRAMO_ALTO,SUMIFS(CF_CUOTA,CF_MAS,ITP_TRAMO_ALTO,CF_CCMIN,"&lt;="&amp;CM308,CF_CCMAX,"&gt;="&amp;CM308),IF(BA308&gt;ITP_TRAMO_BAJO,SUMIFS(CF_CUOTA,CF_MAS,ITP_TRAMO_BAJO,CF_CCMIN,"&lt;="&amp;CM308,CF_CCMAX,"&gt;="&amp;CM308),O308*ITP_TIPO)),O308*ITP_TIPO))</f>
        <v/>
      </c>
      <c r="CO308" s="4">
        <f>IF(R308="profesional",N(AK308),0)</f>
        <v/>
      </c>
      <c r="CP308" s="3">
        <f>IF(AND(R308="profesional",ISNUMBER(AK308),AL308="sí"),0,TASA_DGT)</f>
        <v/>
      </c>
      <c r="CQ308" s="3">
        <f>INFORME_DGT</f>
        <v/>
      </c>
      <c r="CR308" s="4">
        <f>O308+CO308+CN308+CP308+CQ308</f>
        <v/>
      </c>
      <c r="CS308" s="4">
        <f>CR308+N(CF308)</f>
        <v/>
      </c>
      <c r="CT308" s="3">
        <f>IF(CR308&lt;=TOTAL_MAX,"sí",IF(CR308&lt;=TOTAL_MAX+MARGEN_NEG,"negociar","no"))</f>
        <v/>
      </c>
      <c r="CU308" s="4">
        <f>IF(CT308&lt;&gt;"no",COUNTIFS($CT$2:$CT$545,"&lt;&gt;no",$CL$2:$CL$545,"&gt;"&amp;CL308)+COUNTIFS($CT$2:CT308,"&lt;&gt;no",$CL$2:CL308,CL308),"")</f>
        <v/>
      </c>
    </row>
    <row r="309">
      <c r="A309" s="2" t="inlineStr">
        <is>
          <t>wallapop:1316397731</t>
        </is>
      </c>
      <c r="B309" s="2" t="inlineStr">
        <is>
          <t>wallapop</t>
        </is>
      </c>
      <c r="C309" s="2" t="inlineStr">
        <is>
          <t>https://es.wallapop.com/item/nissan-micra-2013-1316397731</t>
        </is>
      </c>
      <c r="D309" s="2" t="inlineStr">
        <is>
          <t>Nissan Micra 2013</t>
        </is>
      </c>
      <c r="E309" s="2" t="inlineStr">
        <is>
          <t>Nissan</t>
        </is>
      </c>
      <c r="F309" s="2" t="inlineStr">
        <is>
          <t>Nissan Micra</t>
        </is>
      </c>
      <c r="G309" s="2" t="inlineStr">
        <is>
          <t>1.2</t>
        </is>
      </c>
      <c r="H309" s="2" t="inlineStr">
        <is>
          <t>1.2G DIG-S 98 Tekna Premium 5p S/S</t>
        </is>
      </c>
      <c r="I309" s="2" t="n"/>
      <c r="J309" s="2" t="n">
        <v>98</v>
      </c>
      <c r="K309" s="2" t="inlineStr">
        <is>
          <t>gasolina</t>
        </is>
      </c>
      <c r="L309" s="2" t="inlineStr">
        <is>
          <t>utilitario</t>
        </is>
      </c>
      <c r="M309" s="2" t="n">
        <v>2013</v>
      </c>
      <c r="N309" s="2" t="n">
        <v>131000</v>
      </c>
      <c r="O309" s="2" t="n">
        <v>4800</v>
      </c>
      <c r="P309" s="2" t="inlineStr">
        <is>
          <t>manual</t>
        </is>
      </c>
      <c r="Q309" s="2" t="inlineStr">
        <is>
          <t>no</t>
        </is>
      </c>
      <c r="R309" s="2" t="inlineStr">
        <is>
          <t>particular</t>
        </is>
      </c>
      <c r="S309" s="2" t="inlineStr">
        <is>
          <t>Valencia (46021)</t>
        </is>
      </c>
      <c r="T309" s="2" t="inlineStr">
        <is>
          <t>2026-10-26T08:51:48</t>
        </is>
      </c>
      <c r="U309" s="2" t="n">
        <v>9</v>
      </c>
      <c r="V309" s="2" t="n"/>
      <c r="W309" s="2" t="n"/>
      <c r="X309" s="2" t="n"/>
      <c r="Y309" s="2" t="n"/>
      <c r="Z309" s="2" t="n"/>
      <c r="AA309" s="2" t="inlineStr">
        <is>
          <t>sí</t>
        </is>
      </c>
      <c r="AB309" s="2" t="n"/>
      <c r="AC309" s="2" t="n"/>
      <c r="AD309" s="2" t="n"/>
      <c r="AE309" s="2" t="n"/>
      <c r="AF309" s="2" t="n"/>
      <c r="AG309" s="2" t="n"/>
      <c r="AH309" s="2" t="n"/>
      <c r="AI309" s="2" t="n"/>
      <c r="AJ309" s="2" t="n"/>
      <c r="AK309" s="2" t="n"/>
      <c r="AL309" s="2" t="n"/>
      <c r="AM309" s="2" t="n">
        <v>1.7</v>
      </c>
      <c r="AN309" s="2" t="n"/>
      <c r="AO309" s="2" t="inlineStr">
        <is>
          <t>2013</t>
        </is>
      </c>
      <c r="AP309" s="2" t="n">
        <v>2013</v>
      </c>
      <c r="AQ309" s="2" t="n"/>
      <c r="AR309" s="2" t="n"/>
      <c r="AS309" s="2" t="inlineStr">
        <is>
          <t>regla</t>
        </is>
      </c>
      <c r="AT309" s="2" t="n"/>
      <c r="AU309" s="2" t="n"/>
      <c r="AV309" s="2" t="n"/>
      <c r="AW309" s="2" t="n"/>
      <c r="AX309" s="2" t="inlineStr">
        <is>
          <t>antigüedad en el límite del tramo: depende de la fecha exacta de matriculación; cuota fija ITP: &gt;12 años, hasta 1.500 cc; mediana con solo 3 anuncio(s)</t>
        </is>
      </c>
      <c r="AY309" s="2" t="inlineStr">
        <is>
          <t xml:space="preserve">Nissan Micra 1.2 DIG-S Tekna Premium · 98 CV · 2013 · 131.000 km
Lo vendo porque apenas lo utilizo, ya que tengo moto. Hasta la fecha ha tenido un uso ocasional.
Acabado Tekna Premium, con etiqueta medioambiental C. Muy equipado: navegador, Bluetooth, puerto USB, ordenador de viaje, control de crucero y limitador de velocidad, sensor de lluvia, luces automáticas, climatizador electrónico, techo panorámico, llantas de 17”, retrovisores abatibles, apertura y arranque sin llave y elevalunas eléctricos. Lleva neumáticos nuevos.
Tiene arañazos propios del uso. Los sensores de aparcamiento delanteros presentan un fallo. También tiene fallos esporádicos del sistema Start/Stop y, en ocasiones, aparece un aviso relacionado con el árbol de levas. Se informa de estas incidencias para que se tengan en cuenta. </t>
        </is>
      </c>
      <c r="AZ309" s="2" t="inlineStr">
        <is>
          <t>https://es.wallapop.com/item/nissan-micra-2013-1316397731 (__NEXT_DATA__ item) /home/user/Alopecia/buscador-coches/raw/wallapop/30ee9f6b045b7b17.json</t>
        </is>
      </c>
      <c r="BA309" s="3">
        <f>MAX(ANIO_ACTUAL-M309,0)</f>
        <v/>
      </c>
      <c r="BB309" s="4">
        <f>N309/MAX(BA309,0.5)</f>
        <v/>
      </c>
      <c r="BC309" s="4">
        <f>F309</f>
        <v/>
      </c>
      <c r="BD309" s="3">
        <f>BC309&amp;"|"&amp;INT(M309/SEG_ANIO)*SEG_ANIO</f>
        <v/>
      </c>
      <c r="BE309" s="3">
        <f>BD309&amp;"|"&amp;INT(N309/SEG_KM)*SEG_KM</f>
        <v/>
      </c>
      <c r="BF309" s="4">
        <f>COUNTIF($BC$2:$BC$545,BC309)</f>
        <v/>
      </c>
      <c r="BG309" s="4">
        <f>COUNTIF($BD$2:$BD$545,BD309)</f>
        <v/>
      </c>
      <c r="BH309" s="4">
        <f>COUNTIF($BE$2:$BE$545,BE309)</f>
        <v/>
      </c>
      <c r="BI309" s="3">
        <f t="array" ref="BI309">IF(N(AU309)&gt;=MIN_N,AT309,IF(BH309&gt;=MIN_N,MEDIAN(IF($BE$2:$BE$545=BE309,$O$2:$O$545)),IF(BG309&gt;=MIN_N,MEDIAN(IF($BD$2:$BD$545=BD309,$O$2:$O$545)),MEDIAN(IF($BC$2:$BC$545=BC309,$O$2:$O$545)))))</f>
        <v/>
      </c>
      <c r="BJ309" s="3">
        <f>IF(N(AU309)&gt;=MIN_N,"mercado "&amp;AV309,IF(BH309&gt;=MIN_N,"modelo+año+km",IF(BG309&gt;=MIN_N,"modelo+año","modelo")))</f>
        <v/>
      </c>
      <c r="BK309" s="4">
        <f>(BI309-O309)/BI309</f>
        <v/>
      </c>
      <c r="BL309" s="3">
        <f>IF(COUNTIFS(FR_FUEL,K309,FR_YEAR,AP309)&gt;0,1,0)</f>
        <v/>
      </c>
      <c r="BM309" s="3">
        <f>IF(COUNTIFS(FR_FUEL,K309,FR_YEAR,AP309-1)&gt;0,1,0)</f>
        <v/>
      </c>
      <c r="BN309" s="4">
        <f>IF(N(AQ309)&gt;0,AP309*100+AQ309,IF(AND(BL309=1,BM309=1),(AP309-1)*100+1,AP309*100+1))</f>
        <v/>
      </c>
      <c r="BO309" s="3">
        <f>IF(OR(K309="hibrido",K309="glp",K309="gnc",K309="phev"),"ECO",IF(K309="electrico","CERO",IF(K309="gasolina",IF(BN309&gt;=GAS_C_YM,"C",IF(BN309&gt;=GAS_B_YM,"B","A")),IF(K309="diesel",IF(BN309&gt;=DIE_C_YM,"C",IF(BN309&gt;=DIE_B_YM,"B","A")),""))))</f>
        <v/>
      </c>
      <c r="BP309" s="4">
        <f>BO309</f>
        <v/>
      </c>
      <c r="BQ309" s="4">
        <f>IF(AS309="regla",IF(AND(N(AQ309)=0,BL309=1),"sí","no"),"no")</f>
        <v/>
      </c>
      <c r="BR309" s="3">
        <f>IFERROR(VLOOKUP(F309,MOD_TBL,11,0),IFERROR(VLOOKUP(E309,OCU_TBL,2,0),NEUTRO))</f>
        <v/>
      </c>
      <c r="BS309" s="3">
        <f>SUMIFS(MOT_AJUSTE,MOT_MOTOR,G309,MOT_MARCA,E309,MOT_DESDE,"&lt;="&amp;M309,MOT_HASTA,"&gt;="&amp;M309)+SUMIFS(MOT_AJUSTE,MOT_MOTOR,G309,MOT_MARCA,"(todas)",MOT_DESDE,"&lt;="&amp;M309,MOT_HASTA,"&gt;="&amp;M309)</f>
        <v/>
      </c>
      <c r="BT309" s="3">
        <f>SUMIFS(COMB_AJUSTE,COMB_COMB,K309)</f>
        <v/>
      </c>
      <c r="BU309" s="3">
        <f>COUNTIFS(MOT_MOTOR,G309,MOT_MARCA,E309,MOT_DESDE,"&lt;="&amp;M309,MOT_HASTA,"&gt;="&amp;M309)+COUNTIFS(MOT_MOTOR,G309,MOT_MARCA,"(todas)",MOT_DESDE,"&lt;="&amp;M309,MOT_HASTA,"&gt;="&amp;M309)</f>
        <v/>
      </c>
      <c r="BV309" s="3">
        <f>IF(AND(K309="diesel",BU309=0),MIN(BR309,NEUTRO),BR309)</f>
        <v/>
      </c>
      <c r="BW309" s="4">
        <f>MAX(0,MIN(100,BV309+BS309+BT309))</f>
        <v/>
      </c>
      <c r="BX309" s="3">
        <f>MAX(0,MIN(100,50+BK309*PRECIO_PEND))</f>
        <v/>
      </c>
      <c r="BY309" s="3">
        <f>MAX(0,100*(1-N309/KM_MAX))</f>
        <v/>
      </c>
      <c r="BZ309" s="3">
        <f>IF(BB309&lt;KMA_SOSP,IF(AA309="sí",100,KMA_PEN),IF(BB309&lt;=KMA_IDEAL_MAX,100,MAX(0,100*(KMA_CERO-BB309)/(KMA_CERO-KMA_IDEAL_MAX))))</f>
        <v/>
      </c>
      <c r="CA309" s="3">
        <f>MAX(0,MIN(100,100*(M309-ANIO_MIN)/(ANIO_ACTUAL-ANIO_MIN)))</f>
        <v/>
      </c>
      <c r="CB309" s="3">
        <f>W_KMT*BY309+W_KMA*BZ309+W_EDAD*CA309</f>
        <v/>
      </c>
      <c r="CC309" s="3">
        <f>P_ITV*(V309="sí")+P_LIBRO*(W309="sí")+P_CORREA*(X309="sí")+P_PROP*(Y309=1)+P_GAR*(Z309="sí")+P_FOTOS*MIN(1,N(U309)/FOTOS_OBJ)</f>
        <v/>
      </c>
      <c r="CD309" s="3">
        <f>MAX(0,MIN(100,IFERROR(VLOOKUP(BP309,ETQ_TBL,2,0),0)-IF(BQ309="sí",ETQ_PEN_DUD,IF(AS309="regla",ETQ_PEN_REGLA,0))))</f>
        <v/>
      </c>
      <c r="CE309" s="3">
        <f>NEUTRO</f>
        <v/>
      </c>
      <c r="CF309" s="3">
        <f>IFERROR(VLOOKUP(L309,SEGURO_TBL,3,0),"")</f>
        <v/>
      </c>
      <c r="CG309" s="3">
        <f>IF(CF309="",NEUTRO,MAX(0,MIN(100,100*(SEG_REF_MAX-CF309)/(SEG_REF_MAX-SEG_REF_MIN))))</f>
        <v/>
      </c>
      <c r="CH309" s="3">
        <f>W_CONS*CE309+W_SEG*CG309</f>
        <v/>
      </c>
      <c r="CI309" s="3">
        <f>IF(N(AB309)&gt;0,AB309,IF(AND(R309="profesional",SG_LEGAL_ON=1),GAR_LEGAL,0))</f>
        <v/>
      </c>
      <c r="CJ309" s="3">
        <f>SG_GAR*MIN(1,CI309/SG_GAR_FULL)+SG_AMPL*(AC309="sí")+SG_KMC*(AF309="sí")+SG_REV*(N(AE309)&gt;0)+SG_DEV*MIN(1,N(AG309)/SG_DEV_FULL)+SG_HIST*(W309="sí")</f>
        <v/>
      </c>
      <c r="CK309" s="3">
        <f>IFERROR(VLOOKUP(L309,CARR_PEN_TBL,2,0),0)</f>
        <v/>
      </c>
      <c r="CL309" s="3">
        <f>W_FIAB*BW309+W_PRECIO*BX309+W_KMEDAD*CB309+W_ANUNCIO*CC309+W_USO*CH309+W_SEGURIDAD*CJ309+W_ETIQUETA*CD309-CK309</f>
        <v/>
      </c>
      <c r="CM309" s="4">
        <f>IF(N(I309)&gt;0,I309,IFERROR(ROUND(_xlfn.NUMBERVALUE(LEFT(G309,FIND(" ",G309&amp;" ")-1),".")*1000,0),99999))</f>
        <v/>
      </c>
      <c r="CN309" s="3">
        <f>IF(R309="profesional",0,IF(O309&lt;CUOTA_VALOR_MAX,IF(BA309&gt;ITP_TRAMO_ALTO,SUMIFS(CF_CUOTA,CF_MAS,ITP_TRAMO_ALTO,CF_CCMIN,"&lt;="&amp;CM309,CF_CCMAX,"&gt;="&amp;CM309),IF(BA309&gt;ITP_TRAMO_BAJO,SUMIFS(CF_CUOTA,CF_MAS,ITP_TRAMO_BAJO,CF_CCMIN,"&lt;="&amp;CM309,CF_CCMAX,"&gt;="&amp;CM309),O309*ITP_TIPO)),O309*ITP_TIPO))</f>
        <v/>
      </c>
      <c r="CO309" s="4">
        <f>IF(R309="profesional",N(AK309),0)</f>
        <v/>
      </c>
      <c r="CP309" s="3">
        <f>IF(AND(R309="profesional",ISNUMBER(AK309),AL309="sí"),0,TASA_DGT)</f>
        <v/>
      </c>
      <c r="CQ309" s="3">
        <f>INFORME_DGT</f>
        <v/>
      </c>
      <c r="CR309" s="4">
        <f>O309+CO309+CN309+CP309+CQ309</f>
        <v/>
      </c>
      <c r="CS309" s="4">
        <f>CR309+N(CF309)</f>
        <v/>
      </c>
      <c r="CT309" s="3">
        <f>IF(CR309&lt;=TOTAL_MAX,"sí",IF(CR309&lt;=TOTAL_MAX+MARGEN_NEG,"negociar","no"))</f>
        <v/>
      </c>
      <c r="CU309" s="4">
        <f>IF(CT309&lt;&gt;"no",COUNTIFS($CT$2:$CT$545,"&lt;&gt;no",$CL$2:$CL$545,"&gt;"&amp;CL309)+COUNTIFS($CT$2:CT309,"&lt;&gt;no",$CL$2:CL309,CL309),"")</f>
        <v/>
      </c>
    </row>
    <row r="310">
      <c r="A310" s="2" t="inlineStr">
        <is>
          <t>wallapop:1215062849</t>
        </is>
      </c>
      <c r="B310" s="2" t="inlineStr">
        <is>
          <t>wallapop</t>
        </is>
      </c>
      <c r="C310" s="2" t="inlineStr">
        <is>
          <t>https://es.wallapop.com/item/nissan-micra-2006-1215062849</t>
        </is>
      </c>
      <c r="D310" s="2" t="inlineStr">
        <is>
          <t>Nissan Micra 2006</t>
        </is>
      </c>
      <c r="E310" s="2" t="inlineStr">
        <is>
          <t>Nissan</t>
        </is>
      </c>
      <c r="F310" s="2" t="inlineStr">
        <is>
          <t>Nissan Micra</t>
        </is>
      </c>
      <c r="G310" s="2" t="inlineStr">
        <is>
          <t>1.2</t>
        </is>
      </c>
      <c r="H310" s="2" t="inlineStr">
        <is>
          <t>1.2i 80 Visia Plus 5p</t>
        </is>
      </c>
      <c r="I310" s="2" t="n"/>
      <c r="J310" s="2" t="n">
        <v>80</v>
      </c>
      <c r="K310" s="2" t="inlineStr">
        <is>
          <t>gasolina</t>
        </is>
      </c>
      <c r="L310" s="2" t="inlineStr">
        <is>
          <t>utilitario</t>
        </is>
      </c>
      <c r="M310" s="2" t="n">
        <v>2006</v>
      </c>
      <c r="N310" s="2" t="n">
        <v>160000</v>
      </c>
      <c r="O310" s="2" t="n">
        <v>3000</v>
      </c>
      <c r="P310" s="2" t="inlineStr">
        <is>
          <t>manual</t>
        </is>
      </c>
      <c r="Q310" s="2" t="inlineStr">
        <is>
          <t>no</t>
        </is>
      </c>
      <c r="R310" s="2" t="inlineStr">
        <is>
          <t>particular</t>
        </is>
      </c>
      <c r="S310" s="2" t="inlineStr">
        <is>
          <t>Valencia (46002)</t>
        </is>
      </c>
      <c r="T310" s="2" t="inlineStr">
        <is>
          <t>2026-10-08T16:14:04</t>
        </is>
      </c>
      <c r="U310" s="2" t="n">
        <v>4</v>
      </c>
      <c r="V310" s="2" t="n"/>
      <c r="W310" s="2" t="n"/>
      <c r="X310" s="2" t="n"/>
      <c r="Y310" s="2" t="n"/>
      <c r="Z310" s="2" t="n"/>
      <c r="AA310" s="2" t="n"/>
      <c r="AB310" s="2" t="n"/>
      <c r="AC310" s="2" t="n"/>
      <c r="AD310" s="2" t="n"/>
      <c r="AE310" s="2" t="n"/>
      <c r="AF310" s="2" t="n"/>
      <c r="AG310" s="2" t="n"/>
      <c r="AH310" s="2" t="n"/>
      <c r="AI310" s="2" t="n"/>
      <c r="AJ310" s="2" t="n"/>
      <c r="AK310" s="2" t="n"/>
      <c r="AL310" s="2" t="n"/>
      <c r="AM310" s="2" t="n">
        <v>1</v>
      </c>
      <c r="AN310" s="2" t="n"/>
      <c r="AO310" s="2" t="inlineStr">
        <is>
          <t>2006</t>
        </is>
      </c>
      <c r="AP310" s="2" t="n">
        <v>2006</v>
      </c>
      <c r="AQ310" s="2" t="n"/>
      <c r="AR310" s="2" t="n"/>
      <c r="AS310" s="2" t="inlineStr">
        <is>
          <t>regla</t>
        </is>
      </c>
      <c r="AT310" s="2" t="n">
        <v>2500</v>
      </c>
      <c r="AU310" s="2" t="n">
        <v>5</v>
      </c>
      <c r="AV310" s="2" t="inlineStr">
        <is>
          <t>modelo+año+km</t>
        </is>
      </c>
      <c r="AW310" s="2" t="n"/>
      <c r="AX310" s="2" t="inlineStr">
        <is>
          <t>cuota fija ITP: &gt;12 años, hasta 1.500 cc</t>
        </is>
      </c>
      <c r="AY310" s="2" t="inlineStr">
        <is>
          <t xml:space="preserve">Verde lima </t>
        </is>
      </c>
      <c r="AZ310" s="2" t="inlineStr">
        <is>
          <t>https://es.wallapop.com/item/nissan-micra-2006-1215062849 (__NEXT_DATA__ item) /home/user/Alopecia/buscador-coches/raw/wallapop/a64993cbac8b377a.json</t>
        </is>
      </c>
      <c r="BA310" s="3">
        <f>MAX(ANIO_ACTUAL-M310,0)</f>
        <v/>
      </c>
      <c r="BB310" s="4">
        <f>N310/MAX(BA310,0.5)</f>
        <v/>
      </c>
      <c r="BC310" s="4">
        <f>F310</f>
        <v/>
      </c>
      <c r="BD310" s="3">
        <f>BC310&amp;"|"&amp;INT(M310/SEG_ANIO)*SEG_ANIO</f>
        <v/>
      </c>
      <c r="BE310" s="3">
        <f>BD310&amp;"|"&amp;INT(N310/SEG_KM)*SEG_KM</f>
        <v/>
      </c>
      <c r="BF310" s="4">
        <f>COUNTIF($BC$2:$BC$545,BC310)</f>
        <v/>
      </c>
      <c r="BG310" s="4">
        <f>COUNTIF($BD$2:$BD$545,BD310)</f>
        <v/>
      </c>
      <c r="BH310" s="4">
        <f>COUNTIF($BE$2:$BE$545,BE310)</f>
        <v/>
      </c>
      <c r="BI310" s="3">
        <f t="array" ref="BI310">IF(N(AU310)&gt;=MIN_N,AT310,IF(BH310&gt;=MIN_N,MEDIAN(IF($BE$2:$BE$545=BE310,$O$2:$O$545)),IF(BG310&gt;=MIN_N,MEDIAN(IF($BD$2:$BD$545=BD310,$O$2:$O$545)),MEDIAN(IF($BC$2:$BC$545=BC310,$O$2:$O$545)))))</f>
        <v/>
      </c>
      <c r="BJ310" s="3">
        <f>IF(N(AU310)&gt;=MIN_N,"mercado "&amp;AV310,IF(BH310&gt;=MIN_N,"modelo+año+km",IF(BG310&gt;=MIN_N,"modelo+año","modelo")))</f>
        <v/>
      </c>
      <c r="BK310" s="4">
        <f>(BI310-O310)/BI310</f>
        <v/>
      </c>
      <c r="BL310" s="3">
        <f>IF(COUNTIFS(FR_FUEL,K310,FR_YEAR,AP310)&gt;0,1,0)</f>
        <v/>
      </c>
      <c r="BM310" s="3">
        <f>IF(COUNTIFS(FR_FUEL,K310,FR_YEAR,AP310-1)&gt;0,1,0)</f>
        <v/>
      </c>
      <c r="BN310" s="4">
        <f>IF(N(AQ310)&gt;0,AP310*100+AQ310,IF(AND(BL310=1,BM310=1),(AP310-1)*100+1,AP310*100+1))</f>
        <v/>
      </c>
      <c r="BO310" s="3">
        <f>IF(OR(K310="hibrido",K310="glp",K310="gnc",K310="phev"),"ECO",IF(K310="electrico","CERO",IF(K310="gasolina",IF(BN310&gt;=GAS_C_YM,"C",IF(BN310&gt;=GAS_B_YM,"B","A")),IF(K310="diesel",IF(BN310&gt;=DIE_C_YM,"C",IF(BN310&gt;=DIE_B_YM,"B","A")),""))))</f>
        <v/>
      </c>
      <c r="BP310" s="4">
        <f>BO310</f>
        <v/>
      </c>
      <c r="BQ310" s="4">
        <f>IF(AS310="regla",IF(AND(N(AQ310)=0,BL310=1),"sí","no"),"no")</f>
        <v/>
      </c>
      <c r="BR310" s="3">
        <f>IFERROR(VLOOKUP(F310,MOD_TBL,11,0),IFERROR(VLOOKUP(E310,OCU_TBL,2,0),NEUTRO))</f>
        <v/>
      </c>
      <c r="BS310" s="3">
        <f>SUMIFS(MOT_AJUSTE,MOT_MOTOR,G310,MOT_MARCA,E310,MOT_DESDE,"&lt;="&amp;M310,MOT_HASTA,"&gt;="&amp;M310)+SUMIFS(MOT_AJUSTE,MOT_MOTOR,G310,MOT_MARCA,"(todas)",MOT_DESDE,"&lt;="&amp;M310,MOT_HASTA,"&gt;="&amp;M310)</f>
        <v/>
      </c>
      <c r="BT310" s="3">
        <f>SUMIFS(COMB_AJUSTE,COMB_COMB,K310)</f>
        <v/>
      </c>
      <c r="BU310" s="3">
        <f>COUNTIFS(MOT_MOTOR,G310,MOT_MARCA,E310,MOT_DESDE,"&lt;="&amp;M310,MOT_HASTA,"&gt;="&amp;M310)+COUNTIFS(MOT_MOTOR,G310,MOT_MARCA,"(todas)",MOT_DESDE,"&lt;="&amp;M310,MOT_HASTA,"&gt;="&amp;M310)</f>
        <v/>
      </c>
      <c r="BV310" s="3">
        <f>IF(AND(K310="diesel",BU310=0),MIN(BR310,NEUTRO),BR310)</f>
        <v/>
      </c>
      <c r="BW310" s="4">
        <f>MAX(0,MIN(100,BV310+BS310+BT310))</f>
        <v/>
      </c>
      <c r="BX310" s="3">
        <f>MAX(0,MIN(100,50+BK310*PRECIO_PEND))</f>
        <v/>
      </c>
      <c r="BY310" s="3">
        <f>MAX(0,100*(1-N310/KM_MAX))</f>
        <v/>
      </c>
      <c r="BZ310" s="3">
        <f>IF(BB310&lt;KMA_SOSP,IF(AA310="sí",100,KMA_PEN),IF(BB310&lt;=KMA_IDEAL_MAX,100,MAX(0,100*(KMA_CERO-BB310)/(KMA_CERO-KMA_IDEAL_MAX))))</f>
        <v/>
      </c>
      <c r="CA310" s="3">
        <f>MAX(0,MIN(100,100*(M310-ANIO_MIN)/(ANIO_ACTUAL-ANIO_MIN)))</f>
        <v/>
      </c>
      <c r="CB310" s="3">
        <f>W_KMT*BY310+W_KMA*BZ310+W_EDAD*CA310</f>
        <v/>
      </c>
      <c r="CC310" s="3">
        <f>P_ITV*(V310="sí")+P_LIBRO*(W310="sí")+P_CORREA*(X310="sí")+P_PROP*(Y310=1)+P_GAR*(Z310="sí")+P_FOTOS*MIN(1,N(U310)/FOTOS_OBJ)</f>
        <v/>
      </c>
      <c r="CD310" s="3">
        <f>MAX(0,MIN(100,IFERROR(VLOOKUP(BP310,ETQ_TBL,2,0),0)-IF(BQ310="sí",ETQ_PEN_DUD,IF(AS310="regla",ETQ_PEN_REGLA,0))))</f>
        <v/>
      </c>
      <c r="CE310" s="3">
        <f>NEUTRO</f>
        <v/>
      </c>
      <c r="CF310" s="3">
        <f>IFERROR(VLOOKUP(L310,SEGURO_TBL,3,0),"")</f>
        <v/>
      </c>
      <c r="CG310" s="3">
        <f>IF(CF310="",NEUTRO,MAX(0,MIN(100,100*(SEG_REF_MAX-CF310)/(SEG_REF_MAX-SEG_REF_MIN))))</f>
        <v/>
      </c>
      <c r="CH310" s="3">
        <f>W_CONS*CE310+W_SEG*CG310</f>
        <v/>
      </c>
      <c r="CI310" s="3">
        <f>IF(N(AB310)&gt;0,AB310,IF(AND(R310="profesional",SG_LEGAL_ON=1),GAR_LEGAL,0))</f>
        <v/>
      </c>
      <c r="CJ310" s="3">
        <f>SG_GAR*MIN(1,CI310/SG_GAR_FULL)+SG_AMPL*(AC310="sí")+SG_KMC*(AF310="sí")+SG_REV*(N(AE310)&gt;0)+SG_DEV*MIN(1,N(AG310)/SG_DEV_FULL)+SG_HIST*(W310="sí")</f>
        <v/>
      </c>
      <c r="CK310" s="3">
        <f>IFERROR(VLOOKUP(L310,CARR_PEN_TBL,2,0),0)</f>
        <v/>
      </c>
      <c r="CL310" s="3">
        <f>W_FIAB*BW310+W_PRECIO*BX310+W_KMEDAD*CB310+W_ANUNCIO*CC310+W_USO*CH310+W_SEGURIDAD*CJ310+W_ETIQUETA*CD310-CK310</f>
        <v/>
      </c>
      <c r="CM310" s="4">
        <f>IF(N(I310)&gt;0,I310,IFERROR(ROUND(_xlfn.NUMBERVALUE(LEFT(G310,FIND(" ",G310&amp;" ")-1),".")*1000,0),99999))</f>
        <v/>
      </c>
      <c r="CN310" s="3">
        <f>IF(R310="profesional",0,IF(O310&lt;CUOTA_VALOR_MAX,IF(BA310&gt;ITP_TRAMO_ALTO,SUMIFS(CF_CUOTA,CF_MAS,ITP_TRAMO_ALTO,CF_CCMIN,"&lt;="&amp;CM310,CF_CCMAX,"&gt;="&amp;CM310),IF(BA310&gt;ITP_TRAMO_BAJO,SUMIFS(CF_CUOTA,CF_MAS,ITP_TRAMO_BAJO,CF_CCMIN,"&lt;="&amp;CM310,CF_CCMAX,"&gt;="&amp;CM310),O310*ITP_TIPO)),O310*ITP_TIPO))</f>
        <v/>
      </c>
      <c r="CO310" s="4">
        <f>IF(R310="profesional",N(AK310),0)</f>
        <v/>
      </c>
      <c r="CP310" s="3">
        <f>IF(AND(R310="profesional",ISNUMBER(AK310),AL310="sí"),0,TASA_DGT)</f>
        <v/>
      </c>
      <c r="CQ310" s="3">
        <f>INFORME_DGT</f>
        <v/>
      </c>
      <c r="CR310" s="4">
        <f>O310+CO310+CN310+CP310+CQ310</f>
        <v/>
      </c>
      <c r="CS310" s="4">
        <f>CR310+N(CF310)</f>
        <v/>
      </c>
      <c r="CT310" s="3">
        <f>IF(CR310&lt;=TOTAL_MAX,"sí",IF(CR310&lt;=TOTAL_MAX+MARGEN_NEG,"negociar","no"))</f>
        <v/>
      </c>
      <c r="CU310" s="4">
        <f>IF(CT310&lt;&gt;"no",COUNTIFS($CT$2:$CT$545,"&lt;&gt;no",$CL$2:$CL$545,"&gt;"&amp;CL310)+COUNTIFS($CT$2:CT310,"&lt;&gt;no",$CL$2:CL310,CL310),"")</f>
        <v/>
      </c>
    </row>
    <row r="311">
      <c r="A311" s="2" t="inlineStr">
        <is>
          <t>wallapop:1308792677</t>
        </is>
      </c>
      <c r="B311" s="2" t="inlineStr">
        <is>
          <t>wallapop</t>
        </is>
      </c>
      <c r="C311" s="2" t="inlineStr">
        <is>
          <t>https://es.wallapop.com/item/suzuki-swift-2006-1308792677</t>
        </is>
      </c>
      <c r="D311" s="2" t="inlineStr">
        <is>
          <t>Suzuki Swift 2006</t>
        </is>
      </c>
      <c r="E311" s="2" t="inlineStr">
        <is>
          <t>Suzuki</t>
        </is>
      </c>
      <c r="F311" s="2" t="inlineStr">
        <is>
          <t>Suzuki Swift</t>
        </is>
      </c>
      <c r="G311" s="2" t="inlineStr">
        <is>
          <t>1.3</t>
        </is>
      </c>
      <c r="H311" s="2" t="inlineStr">
        <is>
          <t>1.3 ddis 69 glx 5p</t>
        </is>
      </c>
      <c r="I311" s="2" t="n"/>
      <c r="J311" s="2" t="n">
        <v>70</v>
      </c>
      <c r="K311" s="2" t="inlineStr">
        <is>
          <t>diesel</t>
        </is>
      </c>
      <c r="L311" s="2" t="inlineStr">
        <is>
          <t>utilitario</t>
        </is>
      </c>
      <c r="M311" s="2" t="n">
        <v>2006</v>
      </c>
      <c r="N311" s="2" t="n">
        <v>122000</v>
      </c>
      <c r="O311" s="2" t="n">
        <v>3475</v>
      </c>
      <c r="P311" s="2" t="inlineStr">
        <is>
          <t>manual</t>
        </is>
      </c>
      <c r="Q311" s="2" t="inlineStr">
        <is>
          <t>no</t>
        </is>
      </c>
      <c r="R311" s="2" t="inlineStr">
        <is>
          <t>particular</t>
        </is>
      </c>
      <c r="S311" s="2" t="inlineStr">
        <is>
          <t>Valencia (46003)</t>
        </is>
      </c>
      <c r="T311" s="2" t="inlineStr">
        <is>
          <t>2026-10-31T11:16:15</t>
        </is>
      </c>
      <c r="U311" s="2" t="n">
        <v>10</v>
      </c>
      <c r="V311" s="2" t="inlineStr">
        <is>
          <t>sí</t>
        </is>
      </c>
      <c r="W311" s="2" t="n"/>
      <c r="X311" s="2" t="n"/>
      <c r="Y311" s="2" t="n"/>
      <c r="Z311" s="2" t="n"/>
      <c r="AA311" s="2" t="n"/>
      <c r="AB311" s="2" t="n"/>
      <c r="AC311" s="2" t="n"/>
      <c r="AD311" s="2" t="n"/>
      <c r="AE311" s="2" t="n"/>
      <c r="AF311" s="2" t="n"/>
      <c r="AG311" s="2" t="n"/>
      <c r="AH311" s="2" t="n"/>
      <c r="AI311" s="2" t="n"/>
      <c r="AJ311" s="2" t="n"/>
      <c r="AK311" s="2" t="n"/>
      <c r="AL311" s="2" t="n"/>
      <c r="AM311" s="2" t="n">
        <v>0.4</v>
      </c>
      <c r="AN311" s="2" t="inlineStr">
        <is>
          <t>DE3000KM</t>
        </is>
      </c>
      <c r="AO311" s="2" t="inlineStr">
        <is>
          <t>2006</t>
        </is>
      </c>
      <c r="AP311" s="2" t="n">
        <v>2006</v>
      </c>
      <c r="AQ311" s="2" t="n"/>
      <c r="AR311" s="2" t="n"/>
      <c r="AS311" s="2" t="inlineStr">
        <is>
          <t>regla</t>
        </is>
      </c>
      <c r="AT311" s="2" t="n">
        <v>3475</v>
      </c>
      <c r="AU311" s="2" t="n">
        <v>5</v>
      </c>
      <c r="AV311" s="2" t="inlineStr">
        <is>
          <t>modelo+año</t>
        </is>
      </c>
      <c r="AW311" s="2" t="n"/>
      <c r="AX311" s="2" t="inlineStr">
        <is>
          <t>etiqueta A dudosa: confirmar etiqueta con la DGT antes de comprar; cuota fija ITP: &gt;12 años, hasta 1.500 cc; diésel: motor sin fuente de fiabilidad (fiabilidad limitada a neutra)</t>
        </is>
      </c>
      <c r="AY311" s="2" t="inlineStr">
        <is>
          <t>-Vendo Suzuki Swift 1.3 Ddis diesel del 2006 de 70cv con 122000km, precio algo negociable 
-Vendo el coche porque tengo otro y no voy a usar este, tiene pastillas, discos de freno, aceite y filtros cambiado hace menos de 3000km, la batería tiene 2 años se le cambió el alternador hace tiempo y los faros están pulidos, ITV pasada hace menos de un mes.
-Distribucion por cadena
-Tengo informe carfax de cuando lo compré, lo paso por privado si me escribes 
-Etiqueta medioambiental B
Pantalla android con Apple carplay y android auto 4gb de RAM y 64 de almacenamiento(costo más de 250€) también tengo la radio original, se puede ver en la foto del maletero.
-Interior impoluto recién limpiado con máquina lavatapicerias de inyección extracción.
-Presenta desgastes lógicos por los años en ambos parachoques, delantero y trasero de ahí su precio 
-Ideal como primer coche o coche para ir al trabajo, no consume nada.
-Cualquier duda o consulta no dudes en escribir, el coche se puede ver en Valencia</t>
        </is>
      </c>
      <c r="AZ311" s="2" t="inlineStr">
        <is>
          <t>https://es.wallapop.com/item/suzuki-swift-2006-1308792677 (__NEXT_DATA__ item) /home/user/Alopecia/buscador-coches/raw/wallapop/3e07ac0f485f0795.json</t>
        </is>
      </c>
      <c r="BA311" s="3">
        <f>MAX(ANIO_ACTUAL-M311,0)</f>
        <v/>
      </c>
      <c r="BB311" s="4">
        <f>N311/MAX(BA311,0.5)</f>
        <v/>
      </c>
      <c r="BC311" s="4">
        <f>F311</f>
        <v/>
      </c>
      <c r="BD311" s="3">
        <f>BC311&amp;"|"&amp;INT(M311/SEG_ANIO)*SEG_ANIO</f>
        <v/>
      </c>
      <c r="BE311" s="3">
        <f>BD311&amp;"|"&amp;INT(N311/SEG_KM)*SEG_KM</f>
        <v/>
      </c>
      <c r="BF311" s="4">
        <f>COUNTIF($BC$2:$BC$545,BC311)</f>
        <v/>
      </c>
      <c r="BG311" s="4">
        <f>COUNTIF($BD$2:$BD$545,BD311)</f>
        <v/>
      </c>
      <c r="BH311" s="4">
        <f>COUNTIF($BE$2:$BE$545,BE311)</f>
        <v/>
      </c>
      <c r="BI311" s="3">
        <f t="array" ref="BI311">IF(N(AU311)&gt;=MIN_N,AT311,IF(BH311&gt;=MIN_N,MEDIAN(IF($BE$2:$BE$545=BE311,$O$2:$O$545)),IF(BG311&gt;=MIN_N,MEDIAN(IF($BD$2:$BD$545=BD311,$O$2:$O$545)),MEDIAN(IF($BC$2:$BC$545=BC311,$O$2:$O$545)))))</f>
        <v/>
      </c>
      <c r="BJ311" s="3">
        <f>IF(N(AU311)&gt;=MIN_N,"mercado "&amp;AV311,IF(BH311&gt;=MIN_N,"modelo+año+km",IF(BG311&gt;=MIN_N,"modelo+año","modelo")))</f>
        <v/>
      </c>
      <c r="BK311" s="4">
        <f>(BI311-O311)/BI311</f>
        <v/>
      </c>
      <c r="BL311" s="3">
        <f>IF(COUNTIFS(FR_FUEL,K311,FR_YEAR,AP311)&gt;0,1,0)</f>
        <v/>
      </c>
      <c r="BM311" s="3">
        <f>IF(COUNTIFS(FR_FUEL,K311,FR_YEAR,AP311-1)&gt;0,1,0)</f>
        <v/>
      </c>
      <c r="BN311" s="4">
        <f>IF(N(AQ311)&gt;0,AP311*100+AQ311,IF(AND(BL311=1,BM311=1),(AP311-1)*100+1,AP311*100+1))</f>
        <v/>
      </c>
      <c r="BO311" s="3">
        <f>IF(OR(K311="hibrido",K311="glp",K311="gnc",K311="phev"),"ECO",IF(K311="electrico","CERO",IF(K311="gasolina",IF(BN311&gt;=GAS_C_YM,"C",IF(BN311&gt;=GAS_B_YM,"B","A")),IF(K311="diesel",IF(BN311&gt;=DIE_C_YM,"C",IF(BN311&gt;=DIE_B_YM,"B","A")),""))))</f>
        <v/>
      </c>
      <c r="BP311" s="4">
        <f>BO311</f>
        <v/>
      </c>
      <c r="BQ311" s="4">
        <f>IF(AS311="regla",IF(AND(N(AQ311)=0,BL311=1),"sí","no"),"no")</f>
        <v/>
      </c>
      <c r="BR311" s="3">
        <f>IFERROR(VLOOKUP(F311,MOD_TBL,11,0),IFERROR(VLOOKUP(E311,OCU_TBL,2,0),NEUTRO))</f>
        <v/>
      </c>
      <c r="BS311" s="3">
        <f>SUMIFS(MOT_AJUSTE,MOT_MOTOR,G311,MOT_MARCA,E311,MOT_DESDE,"&lt;="&amp;M311,MOT_HASTA,"&gt;="&amp;M311)+SUMIFS(MOT_AJUSTE,MOT_MOTOR,G311,MOT_MARCA,"(todas)",MOT_DESDE,"&lt;="&amp;M311,MOT_HASTA,"&gt;="&amp;M311)</f>
        <v/>
      </c>
      <c r="BT311" s="3">
        <f>SUMIFS(COMB_AJUSTE,COMB_COMB,K311)</f>
        <v/>
      </c>
      <c r="BU311" s="3">
        <f>COUNTIFS(MOT_MOTOR,G311,MOT_MARCA,E311,MOT_DESDE,"&lt;="&amp;M311,MOT_HASTA,"&gt;="&amp;M311)+COUNTIFS(MOT_MOTOR,G311,MOT_MARCA,"(todas)",MOT_DESDE,"&lt;="&amp;M311,MOT_HASTA,"&gt;="&amp;M311)</f>
        <v/>
      </c>
      <c r="BV311" s="3">
        <f>IF(AND(K311="diesel",BU311=0),MIN(BR311,NEUTRO),BR311)</f>
        <v/>
      </c>
      <c r="BW311" s="4">
        <f>MAX(0,MIN(100,BV311+BS311+BT311))</f>
        <v/>
      </c>
      <c r="BX311" s="3">
        <f>MAX(0,MIN(100,50+BK311*PRECIO_PEND))</f>
        <v/>
      </c>
      <c r="BY311" s="3">
        <f>MAX(0,100*(1-N311/KM_MAX))</f>
        <v/>
      </c>
      <c r="BZ311" s="3">
        <f>IF(BB311&lt;KMA_SOSP,IF(AA311="sí",100,KMA_PEN),IF(BB311&lt;=KMA_IDEAL_MAX,100,MAX(0,100*(KMA_CERO-BB311)/(KMA_CERO-KMA_IDEAL_MAX))))</f>
        <v/>
      </c>
      <c r="CA311" s="3">
        <f>MAX(0,MIN(100,100*(M311-ANIO_MIN)/(ANIO_ACTUAL-ANIO_MIN)))</f>
        <v/>
      </c>
      <c r="CB311" s="3">
        <f>W_KMT*BY311+W_KMA*BZ311+W_EDAD*CA311</f>
        <v/>
      </c>
      <c r="CC311" s="3">
        <f>P_ITV*(V311="sí")+P_LIBRO*(W311="sí")+P_CORREA*(X311="sí")+P_PROP*(Y311=1)+P_GAR*(Z311="sí")+P_FOTOS*MIN(1,N(U311)/FOTOS_OBJ)</f>
        <v/>
      </c>
      <c r="CD311" s="3">
        <f>MAX(0,MIN(100,IFERROR(VLOOKUP(BP311,ETQ_TBL,2,0),0)-IF(BQ311="sí",ETQ_PEN_DUD,IF(AS311="regla",ETQ_PEN_REGLA,0))))</f>
        <v/>
      </c>
      <c r="CE311" s="3">
        <f>NEUTRO</f>
        <v/>
      </c>
      <c r="CF311" s="3">
        <f>IFERROR(VLOOKUP(L311,SEGURO_TBL,3,0),"")</f>
        <v/>
      </c>
      <c r="CG311" s="3">
        <f>IF(CF311="",NEUTRO,MAX(0,MIN(100,100*(SEG_REF_MAX-CF311)/(SEG_REF_MAX-SEG_REF_MIN))))</f>
        <v/>
      </c>
      <c r="CH311" s="3">
        <f>W_CONS*CE311+W_SEG*CG311</f>
        <v/>
      </c>
      <c r="CI311" s="3">
        <f>IF(N(AB311)&gt;0,AB311,IF(AND(R311="profesional",SG_LEGAL_ON=1),GAR_LEGAL,0))</f>
        <v/>
      </c>
      <c r="CJ311" s="3">
        <f>SG_GAR*MIN(1,CI311/SG_GAR_FULL)+SG_AMPL*(AC311="sí")+SG_KMC*(AF311="sí")+SG_REV*(N(AE311)&gt;0)+SG_DEV*MIN(1,N(AG311)/SG_DEV_FULL)+SG_HIST*(W311="sí")</f>
        <v/>
      </c>
      <c r="CK311" s="3">
        <f>IFERROR(VLOOKUP(L311,CARR_PEN_TBL,2,0),0)</f>
        <v/>
      </c>
      <c r="CL311" s="3">
        <f>W_FIAB*BW311+W_PRECIO*BX311+W_KMEDAD*CB311+W_ANUNCIO*CC311+W_USO*CH311+W_SEGURIDAD*CJ311+W_ETIQUETA*CD311-CK311</f>
        <v/>
      </c>
      <c r="CM311" s="4">
        <f>IF(N(I311)&gt;0,I311,IFERROR(ROUND(_xlfn.NUMBERVALUE(LEFT(G311,FIND(" ",G311&amp;" ")-1),".")*1000,0),99999))</f>
        <v/>
      </c>
      <c r="CN311" s="3">
        <f>IF(R311="profesional",0,IF(O311&lt;CUOTA_VALOR_MAX,IF(BA311&gt;ITP_TRAMO_ALTO,SUMIFS(CF_CUOTA,CF_MAS,ITP_TRAMO_ALTO,CF_CCMIN,"&lt;="&amp;CM311,CF_CCMAX,"&gt;="&amp;CM311),IF(BA311&gt;ITP_TRAMO_BAJO,SUMIFS(CF_CUOTA,CF_MAS,ITP_TRAMO_BAJO,CF_CCMIN,"&lt;="&amp;CM311,CF_CCMAX,"&gt;="&amp;CM311),O311*ITP_TIPO)),O311*ITP_TIPO))</f>
        <v/>
      </c>
      <c r="CO311" s="4">
        <f>IF(R311="profesional",N(AK311),0)</f>
        <v/>
      </c>
      <c r="CP311" s="3">
        <f>IF(AND(R311="profesional",ISNUMBER(AK311),AL311="sí"),0,TASA_DGT)</f>
        <v/>
      </c>
      <c r="CQ311" s="3">
        <f>INFORME_DGT</f>
        <v/>
      </c>
      <c r="CR311" s="4">
        <f>O311+CO311+CN311+CP311+CQ311</f>
        <v/>
      </c>
      <c r="CS311" s="4">
        <f>CR311+N(CF311)</f>
        <v/>
      </c>
      <c r="CT311" s="3">
        <f>IF(CR311&lt;=TOTAL_MAX,"sí",IF(CR311&lt;=TOTAL_MAX+MARGEN_NEG,"negociar","no"))</f>
        <v/>
      </c>
      <c r="CU311" s="4">
        <f>IF(CT311&lt;&gt;"no",COUNTIFS($CT$2:$CT$545,"&lt;&gt;no",$CL$2:$CL$545,"&gt;"&amp;CL311)+COUNTIFS($CT$2:CT311,"&lt;&gt;no",$CL$2:CL311,CL311),"")</f>
        <v/>
      </c>
    </row>
    <row r="312">
      <c r="A312" s="2" t="inlineStr">
        <is>
          <t>wallapop:1317562817</t>
        </is>
      </c>
      <c r="B312" s="2" t="inlineStr">
        <is>
          <t>wallapop</t>
        </is>
      </c>
      <c r="C312" s="2" t="inlineStr">
        <is>
          <t>https://es.wallapop.com/item/mitsubishi-colt-2006-1317562817</t>
        </is>
      </c>
      <c r="D312" s="2" t="inlineStr">
        <is>
          <t>Mitsubishi Colt 2006</t>
        </is>
      </c>
      <c r="E312" s="2" t="inlineStr">
        <is>
          <t>Mitsubishi</t>
        </is>
      </c>
      <c r="F312" s="2" t="inlineStr">
        <is>
          <t>Mitsubishi Colt</t>
        </is>
      </c>
      <c r="G312" s="2" t="inlineStr">
        <is>
          <t>1.3</t>
        </is>
      </c>
      <c r="H312" s="2" t="inlineStr">
        <is>
          <t>1.3 16v 95 Inform 5p</t>
        </is>
      </c>
      <c r="I312" s="2" t="n"/>
      <c r="J312" s="2" t="n">
        <v>95</v>
      </c>
      <c r="K312" s="2" t="inlineStr">
        <is>
          <t>gasolina</t>
        </is>
      </c>
      <c r="L312" s="2" t="inlineStr">
        <is>
          <t>utilitario</t>
        </is>
      </c>
      <c r="M312" s="2" t="n">
        <v>2006</v>
      </c>
      <c r="N312" s="2" t="n">
        <v>156000</v>
      </c>
      <c r="O312" s="2" t="n">
        <v>2600</v>
      </c>
      <c r="P312" s="2" t="inlineStr">
        <is>
          <t>manual</t>
        </is>
      </c>
      <c r="Q312" s="2" t="inlineStr">
        <is>
          <t>no</t>
        </is>
      </c>
      <c r="R312" s="2" t="inlineStr">
        <is>
          <t>particular</t>
        </is>
      </c>
      <c r="S312" s="2" t="inlineStr">
        <is>
          <t>Valencia (46015)</t>
        </is>
      </c>
      <c r="T312" s="2" t="inlineStr">
        <is>
          <t>2026-10-26T23:15:37</t>
        </is>
      </c>
      <c r="U312" s="2" t="n">
        <v>9</v>
      </c>
      <c r="V312" s="2" t="n"/>
      <c r="W312" s="2" t="n"/>
      <c r="X312" s="2" t="n"/>
      <c r="Y312" s="2" t="n"/>
      <c r="Z312" s="2" t="n"/>
      <c r="AA312" s="2" t="n"/>
      <c r="AB312" s="2" t="n"/>
      <c r="AC312" s="2" t="n"/>
      <c r="AD312" s="2" t="n"/>
      <c r="AE312" s="2" t="n"/>
      <c r="AF312" s="2" t="n"/>
      <c r="AG312" s="2" t="n"/>
      <c r="AH312" s="2" t="n"/>
      <c r="AI312" s="2" t="n"/>
      <c r="AJ312" s="2" t="n"/>
      <c r="AK312" s="2" t="n"/>
      <c r="AL312" s="2" t="n"/>
      <c r="AM312" s="2" t="n">
        <v>3.2</v>
      </c>
      <c r="AN312" s="2" t="n"/>
      <c r="AO312" s="2" t="inlineStr">
        <is>
          <t>2006</t>
        </is>
      </c>
      <c r="AP312" s="2" t="n">
        <v>2006</v>
      </c>
      <c r="AQ312" s="2" t="n"/>
      <c r="AR312" s="2" t="n"/>
      <c r="AS312" s="2" t="inlineStr">
        <is>
          <t>regla</t>
        </is>
      </c>
      <c r="AT312" s="2" t="n">
        <v>2600</v>
      </c>
      <c r="AU312" s="2" t="n">
        <v>5</v>
      </c>
      <c r="AV312" s="2" t="inlineStr">
        <is>
          <t>modelo+año</t>
        </is>
      </c>
      <c r="AW312" s="2" t="n"/>
      <c r="AX312" s="2" t="inlineStr">
        <is>
          <t>cuota fija ITP: &gt;12 años, hasta 1.500 cc; fiabilidad del modelo PENDIENTE de fuente (puntuación neutra)</t>
        </is>
      </c>
      <c r="AY312" s="2" t="inlineStr">
        <is>
          <t xml:space="preserve">
Mitsubishi Colt en Valencia</t>
        </is>
      </c>
      <c r="AZ312" s="2" t="inlineStr">
        <is>
          <t>https://es.wallapop.com/item/mitsubishi-colt-2006-1317562817 (__NEXT_DATA__ item) /home/user/Alopecia/buscador-coches/raw/wallapop/37ed15adb777233f.json</t>
        </is>
      </c>
      <c r="BA312" s="3">
        <f>MAX(ANIO_ACTUAL-M312,0)</f>
        <v/>
      </c>
      <c r="BB312" s="4">
        <f>N312/MAX(BA312,0.5)</f>
        <v/>
      </c>
      <c r="BC312" s="4">
        <f>F312</f>
        <v/>
      </c>
      <c r="BD312" s="3">
        <f>BC312&amp;"|"&amp;INT(M312/SEG_ANIO)*SEG_ANIO</f>
        <v/>
      </c>
      <c r="BE312" s="3">
        <f>BD312&amp;"|"&amp;INT(N312/SEG_KM)*SEG_KM</f>
        <v/>
      </c>
      <c r="BF312" s="4">
        <f>COUNTIF($BC$2:$BC$545,BC312)</f>
        <v/>
      </c>
      <c r="BG312" s="4">
        <f>COUNTIF($BD$2:$BD$545,BD312)</f>
        <v/>
      </c>
      <c r="BH312" s="4">
        <f>COUNTIF($BE$2:$BE$545,BE312)</f>
        <v/>
      </c>
      <c r="BI312" s="3">
        <f t="array" ref="BI312">IF(N(AU312)&gt;=MIN_N,AT312,IF(BH312&gt;=MIN_N,MEDIAN(IF($BE$2:$BE$545=BE312,$O$2:$O$545)),IF(BG312&gt;=MIN_N,MEDIAN(IF($BD$2:$BD$545=BD312,$O$2:$O$545)),MEDIAN(IF($BC$2:$BC$545=BC312,$O$2:$O$545)))))</f>
        <v/>
      </c>
      <c r="BJ312" s="3">
        <f>IF(N(AU312)&gt;=MIN_N,"mercado "&amp;AV312,IF(BH312&gt;=MIN_N,"modelo+año+km",IF(BG312&gt;=MIN_N,"modelo+año","modelo")))</f>
        <v/>
      </c>
      <c r="BK312" s="4">
        <f>(BI312-O312)/BI312</f>
        <v/>
      </c>
      <c r="BL312" s="3">
        <f>IF(COUNTIFS(FR_FUEL,K312,FR_YEAR,AP312)&gt;0,1,0)</f>
        <v/>
      </c>
      <c r="BM312" s="3">
        <f>IF(COUNTIFS(FR_FUEL,K312,FR_YEAR,AP312-1)&gt;0,1,0)</f>
        <v/>
      </c>
      <c r="BN312" s="4">
        <f>IF(N(AQ312)&gt;0,AP312*100+AQ312,IF(AND(BL312=1,BM312=1),(AP312-1)*100+1,AP312*100+1))</f>
        <v/>
      </c>
      <c r="BO312" s="3">
        <f>IF(OR(K312="hibrido",K312="glp",K312="gnc",K312="phev"),"ECO",IF(K312="electrico","CERO",IF(K312="gasolina",IF(BN312&gt;=GAS_C_YM,"C",IF(BN312&gt;=GAS_B_YM,"B","A")),IF(K312="diesel",IF(BN312&gt;=DIE_C_YM,"C",IF(BN312&gt;=DIE_B_YM,"B","A")),""))))</f>
        <v/>
      </c>
      <c r="BP312" s="4">
        <f>BO312</f>
        <v/>
      </c>
      <c r="BQ312" s="4">
        <f>IF(AS312="regla",IF(AND(N(AQ312)=0,BL312=1),"sí","no"),"no")</f>
        <v/>
      </c>
      <c r="BR312" s="3">
        <f>IFERROR(VLOOKUP(F312,MOD_TBL,11,0),IFERROR(VLOOKUP(E312,OCU_TBL,2,0),NEUTRO))</f>
        <v/>
      </c>
      <c r="BS312" s="3">
        <f>SUMIFS(MOT_AJUSTE,MOT_MOTOR,G312,MOT_MARCA,E312,MOT_DESDE,"&lt;="&amp;M312,MOT_HASTA,"&gt;="&amp;M312)+SUMIFS(MOT_AJUSTE,MOT_MOTOR,G312,MOT_MARCA,"(todas)",MOT_DESDE,"&lt;="&amp;M312,MOT_HASTA,"&gt;="&amp;M312)</f>
        <v/>
      </c>
      <c r="BT312" s="3">
        <f>SUMIFS(COMB_AJUSTE,COMB_COMB,K312)</f>
        <v/>
      </c>
      <c r="BU312" s="3">
        <f>COUNTIFS(MOT_MOTOR,G312,MOT_MARCA,E312,MOT_DESDE,"&lt;="&amp;M312,MOT_HASTA,"&gt;="&amp;M312)+COUNTIFS(MOT_MOTOR,G312,MOT_MARCA,"(todas)",MOT_DESDE,"&lt;="&amp;M312,MOT_HASTA,"&gt;="&amp;M312)</f>
        <v/>
      </c>
      <c r="BV312" s="3">
        <f>IF(AND(K312="diesel",BU312=0),MIN(BR312,NEUTRO),BR312)</f>
        <v/>
      </c>
      <c r="BW312" s="4">
        <f>MAX(0,MIN(100,BV312+BS312+BT312))</f>
        <v/>
      </c>
      <c r="BX312" s="3">
        <f>MAX(0,MIN(100,50+BK312*PRECIO_PEND))</f>
        <v/>
      </c>
      <c r="BY312" s="3">
        <f>MAX(0,100*(1-N312/KM_MAX))</f>
        <v/>
      </c>
      <c r="BZ312" s="3">
        <f>IF(BB312&lt;KMA_SOSP,IF(AA312="sí",100,KMA_PEN),IF(BB312&lt;=KMA_IDEAL_MAX,100,MAX(0,100*(KMA_CERO-BB312)/(KMA_CERO-KMA_IDEAL_MAX))))</f>
        <v/>
      </c>
      <c r="CA312" s="3">
        <f>MAX(0,MIN(100,100*(M312-ANIO_MIN)/(ANIO_ACTUAL-ANIO_MIN)))</f>
        <v/>
      </c>
      <c r="CB312" s="3">
        <f>W_KMT*BY312+W_KMA*BZ312+W_EDAD*CA312</f>
        <v/>
      </c>
      <c r="CC312" s="3">
        <f>P_ITV*(V312="sí")+P_LIBRO*(W312="sí")+P_CORREA*(X312="sí")+P_PROP*(Y312=1)+P_GAR*(Z312="sí")+P_FOTOS*MIN(1,N(U312)/FOTOS_OBJ)</f>
        <v/>
      </c>
      <c r="CD312" s="3">
        <f>MAX(0,MIN(100,IFERROR(VLOOKUP(BP312,ETQ_TBL,2,0),0)-IF(BQ312="sí",ETQ_PEN_DUD,IF(AS312="regla",ETQ_PEN_REGLA,0))))</f>
        <v/>
      </c>
      <c r="CE312" s="3">
        <f>NEUTRO</f>
        <v/>
      </c>
      <c r="CF312" s="3">
        <f>IFERROR(VLOOKUP(L312,SEGURO_TBL,3,0),"")</f>
        <v/>
      </c>
      <c r="CG312" s="3">
        <f>IF(CF312="",NEUTRO,MAX(0,MIN(100,100*(SEG_REF_MAX-CF312)/(SEG_REF_MAX-SEG_REF_MIN))))</f>
        <v/>
      </c>
      <c r="CH312" s="3">
        <f>W_CONS*CE312+W_SEG*CG312</f>
        <v/>
      </c>
      <c r="CI312" s="3">
        <f>IF(N(AB312)&gt;0,AB312,IF(AND(R312="profesional",SG_LEGAL_ON=1),GAR_LEGAL,0))</f>
        <v/>
      </c>
      <c r="CJ312" s="3">
        <f>SG_GAR*MIN(1,CI312/SG_GAR_FULL)+SG_AMPL*(AC312="sí")+SG_KMC*(AF312="sí")+SG_REV*(N(AE312)&gt;0)+SG_DEV*MIN(1,N(AG312)/SG_DEV_FULL)+SG_HIST*(W312="sí")</f>
        <v/>
      </c>
      <c r="CK312" s="3">
        <f>IFERROR(VLOOKUP(L312,CARR_PEN_TBL,2,0),0)</f>
        <v/>
      </c>
      <c r="CL312" s="3">
        <f>W_FIAB*BW312+W_PRECIO*BX312+W_KMEDAD*CB312+W_ANUNCIO*CC312+W_USO*CH312+W_SEGURIDAD*CJ312+W_ETIQUETA*CD312-CK312</f>
        <v/>
      </c>
      <c r="CM312" s="4">
        <f>IF(N(I312)&gt;0,I312,IFERROR(ROUND(_xlfn.NUMBERVALUE(LEFT(G312,FIND(" ",G312&amp;" ")-1),".")*1000,0),99999))</f>
        <v/>
      </c>
      <c r="CN312" s="3">
        <f>IF(R312="profesional",0,IF(O312&lt;CUOTA_VALOR_MAX,IF(BA312&gt;ITP_TRAMO_ALTO,SUMIFS(CF_CUOTA,CF_MAS,ITP_TRAMO_ALTO,CF_CCMIN,"&lt;="&amp;CM312,CF_CCMAX,"&gt;="&amp;CM312),IF(BA312&gt;ITP_TRAMO_BAJO,SUMIFS(CF_CUOTA,CF_MAS,ITP_TRAMO_BAJO,CF_CCMIN,"&lt;="&amp;CM312,CF_CCMAX,"&gt;="&amp;CM312),O312*ITP_TIPO)),O312*ITP_TIPO))</f>
        <v/>
      </c>
      <c r="CO312" s="4">
        <f>IF(R312="profesional",N(AK312),0)</f>
        <v/>
      </c>
      <c r="CP312" s="3">
        <f>IF(AND(R312="profesional",ISNUMBER(AK312),AL312="sí"),0,TASA_DGT)</f>
        <v/>
      </c>
      <c r="CQ312" s="3">
        <f>INFORME_DGT</f>
        <v/>
      </c>
      <c r="CR312" s="4">
        <f>O312+CO312+CN312+CP312+CQ312</f>
        <v/>
      </c>
      <c r="CS312" s="4">
        <f>CR312+N(CF312)</f>
        <v/>
      </c>
      <c r="CT312" s="3">
        <f>IF(CR312&lt;=TOTAL_MAX,"sí",IF(CR312&lt;=TOTAL_MAX+MARGEN_NEG,"negociar","no"))</f>
        <v/>
      </c>
      <c r="CU312" s="4">
        <f>IF(CT312&lt;&gt;"no",COUNTIFS($CT$2:$CT$545,"&lt;&gt;no",$CL$2:$CL$545,"&gt;"&amp;CL312)+COUNTIFS($CT$2:CT312,"&lt;&gt;no",$CL$2:CL312,CL312),"")</f>
        <v/>
      </c>
    </row>
    <row r="313">
      <c r="A313" s="2" t="inlineStr">
        <is>
          <t>wallapop:1305417932</t>
        </is>
      </c>
      <c r="B313" s="2" t="inlineStr">
        <is>
          <t>wallapop</t>
        </is>
      </c>
      <c r="C313" s="2" t="inlineStr">
        <is>
          <t>https://es.wallapop.com/item/mitsubishi-colt-1-3-16v-invite-70-kw-95-cv-1305417932</t>
        </is>
      </c>
      <c r="D313" s="2" t="inlineStr">
        <is>
          <t>Mitsubishi Colt 1.3 16v Invite 70 kW (95 CV)</t>
        </is>
      </c>
      <c r="E313" s="2" t="inlineStr">
        <is>
          <t>Mitsubishi</t>
        </is>
      </c>
      <c r="F313" s="2" t="inlineStr">
        <is>
          <t>Mitsubishi Colt</t>
        </is>
      </c>
      <c r="G313" s="2" t="inlineStr">
        <is>
          <t>1.3</t>
        </is>
      </c>
      <c r="H313" s="2" t="inlineStr">
        <is>
          <t>1.3 16v Invite 70 kW (95 CV)</t>
        </is>
      </c>
      <c r="I313" s="2" t="n"/>
      <c r="J313" s="2" t="n">
        <v>95</v>
      </c>
      <c r="K313" s="2" t="inlineStr">
        <is>
          <t>gasolina</t>
        </is>
      </c>
      <c r="L313" s="2" t="inlineStr">
        <is>
          <t>utilitario</t>
        </is>
      </c>
      <c r="M313" s="2" t="n">
        <v>2006</v>
      </c>
      <c r="N313" s="2" t="n">
        <v>149575</v>
      </c>
      <c r="O313" s="2" t="n">
        <v>3890</v>
      </c>
      <c r="P313" s="2" t="inlineStr">
        <is>
          <t>manual</t>
        </is>
      </c>
      <c r="Q313" s="2" t="inlineStr">
        <is>
          <t>no</t>
        </is>
      </c>
      <c r="R313" s="2" t="inlineStr">
        <is>
          <t>profesional</t>
        </is>
      </c>
      <c r="S313" s="2" t="inlineStr">
        <is>
          <t>Valencia (46002)</t>
        </is>
      </c>
      <c r="T313" s="2" t="inlineStr">
        <is>
          <t>2026-10-28T09:18:11</t>
        </is>
      </c>
      <c r="U313" s="2" t="n">
        <v>14</v>
      </c>
      <c r="V313" s="2" t="n"/>
      <c r="W313" s="2" t="n"/>
      <c r="X313" s="2" t="n"/>
      <c r="Y313" s="2" t="n"/>
      <c r="Z313" s="2" t="inlineStr">
        <is>
          <t>sí</t>
        </is>
      </c>
      <c r="AA313" s="2" t="n"/>
      <c r="AB313" s="2" t="n"/>
      <c r="AC313" s="2" t="n"/>
      <c r="AD313" s="2" t="n"/>
      <c r="AE313" s="2" t="n"/>
      <c r="AF313" s="2" t="n"/>
      <c r="AG313" s="2" t="n"/>
      <c r="AH313" s="2" t="n">
        <v>3890</v>
      </c>
      <c r="AI313" s="2" t="n">
        <v>3890</v>
      </c>
      <c r="AJ313" s="2" t="n"/>
      <c r="AK313" s="2" t="n"/>
      <c r="AL313" s="2" t="n"/>
      <c r="AM313" s="2" t="n">
        <v>0.1</v>
      </c>
      <c r="AN313" s="2" t="n"/>
      <c r="AO313" s="2" t="inlineStr">
        <is>
          <t>2006</t>
        </is>
      </c>
      <c r="AP313" s="2" t="n">
        <v>2006</v>
      </c>
      <c r="AQ313" s="2" t="n"/>
      <c r="AR313" s="2" t="n"/>
      <c r="AS313" s="2" t="inlineStr">
        <is>
          <t>regla</t>
        </is>
      </c>
      <c r="AT313" s="2" t="n">
        <v>2600</v>
      </c>
      <c r="AU313" s="2" t="n">
        <v>5</v>
      </c>
      <c r="AV313" s="2" t="inlineStr">
        <is>
          <t>modelo+año</t>
        </is>
      </c>
      <c r="AW313" s="2" t="n"/>
      <c r="AX313" s="2" t="inlineStr">
        <is>
          <t>vendedor profesional: sin ITP (operación con IVA/REBU, confirmar en factura); gastos de gestión del vendedor no indicados: se suma la tasa DGT; preguntar el precio final; fiabilidad del modelo PENDIENTE de fuente (puntuación neutra)</t>
        </is>
      </c>
      <c r="AY313" s="2" t="inlineStr">
        <is>
          <t>Ref.145769565
Este Mitsubishi Colt 1.3 16v Invite 70 kW (95 CV) se encuentra en nuestra delegación de HR Motor Lleida.
En HRmotor tenemos tu coche de segunda mano sin garantía para uso profesional o empresarial. Si eres particular, consulta nuestras condiciones a ventas a particulares.
Contamos con un stock de +3.000 coches de segunda mano para que puedas comprar un coche de ocasión que se adapte a todas tus necesidades y preferencias en nuestros más de 30 concesionarios repartidos en toda España. De esta manera nos encontramos en Madrid con 4 centros (Rivas-Vaciamadrid, Torrejón de Ardoz, Alcobendas, Collado Villalba); en Barcelona con 4 centros (Sant Boi de Llobregat, Lliça de Vall, Badalona, Manresa); en Valencia con 3 centros (Quart de Poblet, Paterna, Sedaví); en Sevilla con 2 centros (Sevilla, Alcalá de Guadaíra); en Málaga con 2 centros (Churriana, Cruz de Humilladero). Además, nos podrás encontrar también en Lleida, Girona, Castellón, Alicante, Alcoy, Elche, Vila-Real, Bilbao, Gijón, Mallorca, Murcia, Pamplona, San Sebastián, Tudela, A Coruña, Valladolid y Zaragoza.
Precio al contado de 3.890 €.
Precio financiado de 3.890 € (sujeto a oferta especial de financiación consulte condiciones).
***EQUIPAMIENTO EXTRA:***
Consulte equipamiento extra con su comercial
***EQUIPAMIENTO SERIE:***
Llantas de aleación, 15", Ordenador, Aire Acondicionado, Climatizador, Airbag, Airbag acompañante, Airbag conductor, Airbags laterales, ABS, Dirección asistida, Elevalunas eléctrico, I</t>
        </is>
      </c>
      <c r="AZ313" s="2" t="inlineStr">
        <is>
          <t>https://es.wallapop.com/item/mitsubishi-colt-1-3-16v-invite-70-kw-95-cv-1305417932 (__NEXT_DATA__ item) /home/user/Alopecia/buscador-coches/raw/wallapop/f3b435677b754898.json</t>
        </is>
      </c>
      <c r="BA313" s="3">
        <f>MAX(ANIO_ACTUAL-M313,0)</f>
        <v/>
      </c>
      <c r="BB313" s="4">
        <f>N313/MAX(BA313,0.5)</f>
        <v/>
      </c>
      <c r="BC313" s="4">
        <f>F313</f>
        <v/>
      </c>
      <c r="BD313" s="3">
        <f>BC313&amp;"|"&amp;INT(M313/SEG_ANIO)*SEG_ANIO</f>
        <v/>
      </c>
      <c r="BE313" s="3">
        <f>BD313&amp;"|"&amp;INT(N313/SEG_KM)*SEG_KM</f>
        <v/>
      </c>
      <c r="BF313" s="4">
        <f>COUNTIF($BC$2:$BC$545,BC313)</f>
        <v/>
      </c>
      <c r="BG313" s="4">
        <f>COUNTIF($BD$2:$BD$545,BD313)</f>
        <v/>
      </c>
      <c r="BH313" s="4">
        <f>COUNTIF($BE$2:$BE$545,BE313)</f>
        <v/>
      </c>
      <c r="BI313" s="3">
        <f t="array" ref="BI313">IF(N(AU313)&gt;=MIN_N,AT313,IF(BH313&gt;=MIN_N,MEDIAN(IF($BE$2:$BE$545=BE313,$O$2:$O$545)),IF(BG313&gt;=MIN_N,MEDIAN(IF($BD$2:$BD$545=BD313,$O$2:$O$545)),MEDIAN(IF($BC$2:$BC$545=BC313,$O$2:$O$545)))))</f>
        <v/>
      </c>
      <c r="BJ313" s="3">
        <f>IF(N(AU313)&gt;=MIN_N,"mercado "&amp;AV313,IF(BH313&gt;=MIN_N,"modelo+año+km",IF(BG313&gt;=MIN_N,"modelo+año","modelo")))</f>
        <v/>
      </c>
      <c r="BK313" s="4">
        <f>(BI313-O313)/BI313</f>
        <v/>
      </c>
      <c r="BL313" s="3">
        <f>IF(COUNTIFS(FR_FUEL,K313,FR_YEAR,AP313)&gt;0,1,0)</f>
        <v/>
      </c>
      <c r="BM313" s="3">
        <f>IF(COUNTIFS(FR_FUEL,K313,FR_YEAR,AP313-1)&gt;0,1,0)</f>
        <v/>
      </c>
      <c r="BN313" s="4">
        <f>IF(N(AQ313)&gt;0,AP313*100+AQ313,IF(AND(BL313=1,BM313=1),(AP313-1)*100+1,AP313*100+1))</f>
        <v/>
      </c>
      <c r="BO313" s="3">
        <f>IF(OR(K313="hibrido",K313="glp",K313="gnc",K313="phev"),"ECO",IF(K313="electrico","CERO",IF(K313="gasolina",IF(BN313&gt;=GAS_C_YM,"C",IF(BN313&gt;=GAS_B_YM,"B","A")),IF(K313="diesel",IF(BN313&gt;=DIE_C_YM,"C",IF(BN313&gt;=DIE_B_YM,"B","A")),""))))</f>
        <v/>
      </c>
      <c r="BP313" s="4">
        <f>BO313</f>
        <v/>
      </c>
      <c r="BQ313" s="4">
        <f>IF(AS313="regla",IF(AND(N(AQ313)=0,BL313=1),"sí","no"),"no")</f>
        <v/>
      </c>
      <c r="BR313" s="3">
        <f>IFERROR(VLOOKUP(F313,MOD_TBL,11,0),IFERROR(VLOOKUP(E313,OCU_TBL,2,0),NEUTRO))</f>
        <v/>
      </c>
      <c r="BS313" s="3">
        <f>SUMIFS(MOT_AJUSTE,MOT_MOTOR,G313,MOT_MARCA,E313,MOT_DESDE,"&lt;="&amp;M313,MOT_HASTA,"&gt;="&amp;M313)+SUMIFS(MOT_AJUSTE,MOT_MOTOR,G313,MOT_MARCA,"(todas)",MOT_DESDE,"&lt;="&amp;M313,MOT_HASTA,"&gt;="&amp;M313)</f>
        <v/>
      </c>
      <c r="BT313" s="3">
        <f>SUMIFS(COMB_AJUSTE,COMB_COMB,K313)</f>
        <v/>
      </c>
      <c r="BU313" s="3">
        <f>COUNTIFS(MOT_MOTOR,G313,MOT_MARCA,E313,MOT_DESDE,"&lt;="&amp;M313,MOT_HASTA,"&gt;="&amp;M313)+COUNTIFS(MOT_MOTOR,G313,MOT_MARCA,"(todas)",MOT_DESDE,"&lt;="&amp;M313,MOT_HASTA,"&gt;="&amp;M313)</f>
        <v/>
      </c>
      <c r="BV313" s="3">
        <f>IF(AND(K313="diesel",BU313=0),MIN(BR313,NEUTRO),BR313)</f>
        <v/>
      </c>
      <c r="BW313" s="4">
        <f>MAX(0,MIN(100,BV313+BS313+BT313))</f>
        <v/>
      </c>
      <c r="BX313" s="3">
        <f>MAX(0,MIN(100,50+BK313*PRECIO_PEND))</f>
        <v/>
      </c>
      <c r="BY313" s="3">
        <f>MAX(0,100*(1-N313/KM_MAX))</f>
        <v/>
      </c>
      <c r="BZ313" s="3">
        <f>IF(BB313&lt;KMA_SOSP,IF(AA313="sí",100,KMA_PEN),IF(BB313&lt;=KMA_IDEAL_MAX,100,MAX(0,100*(KMA_CERO-BB313)/(KMA_CERO-KMA_IDEAL_MAX))))</f>
        <v/>
      </c>
      <c r="CA313" s="3">
        <f>MAX(0,MIN(100,100*(M313-ANIO_MIN)/(ANIO_ACTUAL-ANIO_MIN)))</f>
        <v/>
      </c>
      <c r="CB313" s="3">
        <f>W_KMT*BY313+W_KMA*BZ313+W_EDAD*CA313</f>
        <v/>
      </c>
      <c r="CC313" s="3">
        <f>P_ITV*(V313="sí")+P_LIBRO*(W313="sí")+P_CORREA*(X313="sí")+P_PROP*(Y313=1)+P_GAR*(Z313="sí")+P_FOTOS*MIN(1,N(U313)/FOTOS_OBJ)</f>
        <v/>
      </c>
      <c r="CD313" s="3">
        <f>MAX(0,MIN(100,IFERROR(VLOOKUP(BP313,ETQ_TBL,2,0),0)-IF(BQ313="sí",ETQ_PEN_DUD,IF(AS313="regla",ETQ_PEN_REGLA,0))))</f>
        <v/>
      </c>
      <c r="CE313" s="3">
        <f>NEUTRO</f>
        <v/>
      </c>
      <c r="CF313" s="3">
        <f>IFERROR(VLOOKUP(L313,SEGURO_TBL,3,0),"")</f>
        <v/>
      </c>
      <c r="CG313" s="3">
        <f>IF(CF313="",NEUTRO,MAX(0,MIN(100,100*(SEG_REF_MAX-CF313)/(SEG_REF_MAX-SEG_REF_MIN))))</f>
        <v/>
      </c>
      <c r="CH313" s="3">
        <f>W_CONS*CE313+W_SEG*CG313</f>
        <v/>
      </c>
      <c r="CI313" s="3">
        <f>IF(N(AB313)&gt;0,AB313,IF(AND(R313="profesional",SG_LEGAL_ON=1),GAR_LEGAL,0))</f>
        <v/>
      </c>
      <c r="CJ313" s="3">
        <f>SG_GAR*MIN(1,CI313/SG_GAR_FULL)+SG_AMPL*(AC313="sí")+SG_KMC*(AF313="sí")+SG_REV*(N(AE313)&gt;0)+SG_DEV*MIN(1,N(AG313)/SG_DEV_FULL)+SG_HIST*(W313="sí")</f>
        <v/>
      </c>
      <c r="CK313" s="3">
        <f>IFERROR(VLOOKUP(L313,CARR_PEN_TBL,2,0),0)</f>
        <v/>
      </c>
      <c r="CL313" s="3">
        <f>W_FIAB*BW313+W_PRECIO*BX313+W_KMEDAD*CB313+W_ANUNCIO*CC313+W_USO*CH313+W_SEGURIDAD*CJ313+W_ETIQUETA*CD313-CK313</f>
        <v/>
      </c>
      <c r="CM313" s="4">
        <f>IF(N(I313)&gt;0,I313,IFERROR(ROUND(_xlfn.NUMBERVALUE(LEFT(G313,FIND(" ",G313&amp;" ")-1),".")*1000,0),99999))</f>
        <v/>
      </c>
      <c r="CN313" s="3">
        <f>IF(R313="profesional",0,IF(O313&lt;CUOTA_VALOR_MAX,IF(BA313&gt;ITP_TRAMO_ALTO,SUMIFS(CF_CUOTA,CF_MAS,ITP_TRAMO_ALTO,CF_CCMIN,"&lt;="&amp;CM313,CF_CCMAX,"&gt;="&amp;CM313),IF(BA313&gt;ITP_TRAMO_BAJO,SUMIFS(CF_CUOTA,CF_MAS,ITP_TRAMO_BAJO,CF_CCMIN,"&lt;="&amp;CM313,CF_CCMAX,"&gt;="&amp;CM313),O313*ITP_TIPO)),O313*ITP_TIPO))</f>
        <v/>
      </c>
      <c r="CO313" s="4">
        <f>IF(R313="profesional",N(AK313),0)</f>
        <v/>
      </c>
      <c r="CP313" s="3">
        <f>IF(AND(R313="profesional",ISNUMBER(AK313),AL313="sí"),0,TASA_DGT)</f>
        <v/>
      </c>
      <c r="CQ313" s="3">
        <f>INFORME_DGT</f>
        <v/>
      </c>
      <c r="CR313" s="4">
        <f>O313+CO313+CN313+CP313+CQ313</f>
        <v/>
      </c>
      <c r="CS313" s="4">
        <f>CR313+N(CF313)</f>
        <v/>
      </c>
      <c r="CT313" s="3">
        <f>IF(CR313&lt;=TOTAL_MAX,"sí",IF(CR313&lt;=TOTAL_MAX+MARGEN_NEG,"negociar","no"))</f>
        <v/>
      </c>
      <c r="CU313" s="4">
        <f>IF(CT313&lt;&gt;"no",COUNTIFS($CT$2:$CT$545,"&lt;&gt;no",$CL$2:$CL$545,"&gt;"&amp;CL313)+COUNTIFS($CT$2:CT313,"&lt;&gt;no",$CL$2:CL313,CL313),"")</f>
        <v/>
      </c>
    </row>
    <row r="314">
      <c r="A314" s="2" t="inlineStr">
        <is>
          <t>wallapop:1310393842</t>
        </is>
      </c>
      <c r="B314" s="2" t="inlineStr">
        <is>
          <t>wallapop</t>
        </is>
      </c>
      <c r="C314" s="2" t="inlineStr">
        <is>
          <t>https://es.wallapop.com/item/audi-a3-2008-1310393842</t>
        </is>
      </c>
      <c r="D314" s="2" t="inlineStr">
        <is>
          <t>Audi A3 2008</t>
        </is>
      </c>
      <c r="E314" s="2" t="inlineStr">
        <is>
          <t>Audi</t>
        </is>
      </c>
      <c r="F314" s="2" t="inlineStr">
        <is>
          <t>Audi A3</t>
        </is>
      </c>
      <c r="G314" s="2" t="inlineStr">
        <is>
          <t>1.9 TDI</t>
        </is>
      </c>
      <c r="H314" s="2" t="inlineStr">
        <is>
          <t>1.9 TDI 105 Ambiente 3p</t>
        </is>
      </c>
      <c r="I314" s="2" t="n"/>
      <c r="J314" s="2" t="n">
        <v>105</v>
      </c>
      <c r="K314" s="2" t="inlineStr">
        <is>
          <t>diesel</t>
        </is>
      </c>
      <c r="L314" s="2" t="inlineStr">
        <is>
          <t>compacto</t>
        </is>
      </c>
      <c r="M314" s="2" t="n">
        <v>2008</v>
      </c>
      <c r="N314" s="2" t="n">
        <v>107000</v>
      </c>
      <c r="O314" s="2" t="n">
        <v>4500</v>
      </c>
      <c r="P314" s="2" t="inlineStr">
        <is>
          <t>manual</t>
        </is>
      </c>
      <c r="Q314" s="2" t="inlineStr">
        <is>
          <t>no</t>
        </is>
      </c>
      <c r="R314" s="2" t="inlineStr">
        <is>
          <t>particular</t>
        </is>
      </c>
      <c r="S314" s="2" t="inlineStr">
        <is>
          <t>Sagunt/Sagunto (46500)</t>
        </is>
      </c>
      <c r="T314" s="2" t="inlineStr">
        <is>
          <t>2026-10-21T20:15:46</t>
        </is>
      </c>
      <c r="U314" s="2" t="n">
        <v>7</v>
      </c>
      <c r="V314" s="2" t="inlineStr">
        <is>
          <t>sí</t>
        </is>
      </c>
      <c r="W314" s="2" t="n"/>
      <c r="X314" s="2" t="n"/>
      <c r="Y314" s="2" t="n"/>
      <c r="Z314" s="2" t="n"/>
      <c r="AA314" s="2" t="n"/>
      <c r="AB314" s="2" t="n"/>
      <c r="AC314" s="2" t="n"/>
      <c r="AD314" s="2" t="n"/>
      <c r="AE314" s="2" t="n"/>
      <c r="AF314" s="2" t="n"/>
      <c r="AG314" s="2" t="n"/>
      <c r="AH314" s="2" t="n"/>
      <c r="AI314" s="2" t="n"/>
      <c r="AJ314" s="2" t="n"/>
      <c r="AK314" s="2" t="n"/>
      <c r="AL314" s="2" t="n"/>
      <c r="AM314" s="2" t="n">
        <v>25</v>
      </c>
      <c r="AN314" s="2" t="n"/>
      <c r="AO314" s="2" t="inlineStr">
        <is>
          <t>2008</t>
        </is>
      </c>
      <c r="AP314" s="2" t="n">
        <v>2008</v>
      </c>
      <c r="AQ314" s="2" t="n"/>
      <c r="AR314" s="2" t="n"/>
      <c r="AS314" s="2" t="inlineStr">
        <is>
          <t>regla</t>
        </is>
      </c>
      <c r="AT314" s="2" t="n">
        <v>6000</v>
      </c>
      <c r="AU314" s="2" t="n">
        <v>43</v>
      </c>
      <c r="AV314" s="2" t="inlineStr">
        <is>
          <t>modelo+año</t>
        </is>
      </c>
      <c r="AW314" s="2" t="n"/>
      <c r="AX314" s="2" t="inlineStr">
        <is>
          <t>cuota fija ITP: &gt;12 años, 1.501-2.000 cc; diésel: motor sin fuente de fiabilidad (fiabilidad limitada a neutra); fiabilidad del modelo PENDIENTE de fuente (puntuación neutra)</t>
        </is>
      </c>
      <c r="AY314" s="2" t="inlineStr">
        <is>
          <t>Se vende Audi A3 Coupé (3 puertas) con el motor más fiable del mercado (1.9 TDI 105 CV). El coche está impecable y listo para rodar.
• 107.000 kilómetros reales y certificados.
• segundo duelo ).
• ITV recién pasada.
• Consumo mínimo y mecánica al día.</t>
        </is>
      </c>
      <c r="AZ314" s="2" t="inlineStr">
        <is>
          <t>https://es.wallapop.com/item/audi-a3-2008-1310393842 (__NEXT_DATA__ item) /home/user/Alopecia/buscador-coches/raw/wallapop/c348ab302d852fcd.json</t>
        </is>
      </c>
      <c r="BA314" s="3">
        <f>MAX(ANIO_ACTUAL-M314,0)</f>
        <v/>
      </c>
      <c r="BB314" s="4">
        <f>N314/MAX(BA314,0.5)</f>
        <v/>
      </c>
      <c r="BC314" s="4">
        <f>F314</f>
        <v/>
      </c>
      <c r="BD314" s="3">
        <f>BC314&amp;"|"&amp;INT(M314/SEG_ANIO)*SEG_ANIO</f>
        <v/>
      </c>
      <c r="BE314" s="3">
        <f>BD314&amp;"|"&amp;INT(N314/SEG_KM)*SEG_KM</f>
        <v/>
      </c>
      <c r="BF314" s="4">
        <f>COUNTIF($BC$2:$BC$545,BC314)</f>
        <v/>
      </c>
      <c r="BG314" s="4">
        <f>COUNTIF($BD$2:$BD$545,BD314)</f>
        <v/>
      </c>
      <c r="BH314" s="4">
        <f>COUNTIF($BE$2:$BE$545,BE314)</f>
        <v/>
      </c>
      <c r="BI314" s="3">
        <f t="array" ref="BI314">IF(N(AU314)&gt;=MIN_N,AT314,IF(BH314&gt;=MIN_N,MEDIAN(IF($BE$2:$BE$545=BE314,$O$2:$O$545)),IF(BG314&gt;=MIN_N,MEDIAN(IF($BD$2:$BD$545=BD314,$O$2:$O$545)),MEDIAN(IF($BC$2:$BC$545=BC314,$O$2:$O$545)))))</f>
        <v/>
      </c>
      <c r="BJ314" s="3">
        <f>IF(N(AU314)&gt;=MIN_N,"mercado "&amp;AV314,IF(BH314&gt;=MIN_N,"modelo+año+km",IF(BG314&gt;=MIN_N,"modelo+año","modelo")))</f>
        <v/>
      </c>
      <c r="BK314" s="4">
        <f>(BI314-O314)/BI314</f>
        <v/>
      </c>
      <c r="BL314" s="3">
        <f>IF(COUNTIFS(FR_FUEL,K314,FR_YEAR,AP314)&gt;0,1,0)</f>
        <v/>
      </c>
      <c r="BM314" s="3">
        <f>IF(COUNTIFS(FR_FUEL,K314,FR_YEAR,AP314-1)&gt;0,1,0)</f>
        <v/>
      </c>
      <c r="BN314" s="4">
        <f>IF(N(AQ314)&gt;0,AP314*100+AQ314,IF(AND(BL314=1,BM314=1),(AP314-1)*100+1,AP314*100+1))</f>
        <v/>
      </c>
      <c r="BO314" s="3">
        <f>IF(OR(K314="hibrido",K314="glp",K314="gnc",K314="phev"),"ECO",IF(K314="electrico","CERO",IF(K314="gasolina",IF(BN314&gt;=GAS_C_YM,"C",IF(BN314&gt;=GAS_B_YM,"B","A")),IF(K314="diesel",IF(BN314&gt;=DIE_C_YM,"C",IF(BN314&gt;=DIE_B_YM,"B","A")),""))))</f>
        <v/>
      </c>
      <c r="BP314" s="4">
        <f>BO314</f>
        <v/>
      </c>
      <c r="BQ314" s="4">
        <f>IF(AS314="regla",IF(AND(N(AQ314)=0,BL314=1),"sí","no"),"no")</f>
        <v/>
      </c>
      <c r="BR314" s="3">
        <f>IFERROR(VLOOKUP(F314,MOD_TBL,11,0),IFERROR(VLOOKUP(E314,OCU_TBL,2,0),NEUTRO))</f>
        <v/>
      </c>
      <c r="BS314" s="3">
        <f>SUMIFS(MOT_AJUSTE,MOT_MOTOR,G314,MOT_MARCA,E314,MOT_DESDE,"&lt;="&amp;M314,MOT_HASTA,"&gt;="&amp;M314)+SUMIFS(MOT_AJUSTE,MOT_MOTOR,G314,MOT_MARCA,"(todas)",MOT_DESDE,"&lt;="&amp;M314,MOT_HASTA,"&gt;="&amp;M314)</f>
        <v/>
      </c>
      <c r="BT314" s="3">
        <f>SUMIFS(COMB_AJUSTE,COMB_COMB,K314)</f>
        <v/>
      </c>
      <c r="BU314" s="3">
        <f>COUNTIFS(MOT_MOTOR,G314,MOT_MARCA,E314,MOT_DESDE,"&lt;="&amp;M314,MOT_HASTA,"&gt;="&amp;M314)+COUNTIFS(MOT_MOTOR,G314,MOT_MARCA,"(todas)",MOT_DESDE,"&lt;="&amp;M314,MOT_HASTA,"&gt;="&amp;M314)</f>
        <v/>
      </c>
      <c r="BV314" s="3">
        <f>IF(AND(K314="diesel",BU314=0),MIN(BR314,NEUTRO),BR314)</f>
        <v/>
      </c>
      <c r="BW314" s="4">
        <f>MAX(0,MIN(100,BV314+BS314+BT314))</f>
        <v/>
      </c>
      <c r="BX314" s="3">
        <f>MAX(0,MIN(100,50+BK314*PRECIO_PEND))</f>
        <v/>
      </c>
      <c r="BY314" s="3">
        <f>MAX(0,100*(1-N314/KM_MAX))</f>
        <v/>
      </c>
      <c r="BZ314" s="3">
        <f>IF(BB314&lt;KMA_SOSP,IF(AA314="sí",100,KMA_PEN),IF(BB314&lt;=KMA_IDEAL_MAX,100,MAX(0,100*(KMA_CERO-BB314)/(KMA_CERO-KMA_IDEAL_MAX))))</f>
        <v/>
      </c>
      <c r="CA314" s="3">
        <f>MAX(0,MIN(100,100*(M314-ANIO_MIN)/(ANIO_ACTUAL-ANIO_MIN)))</f>
        <v/>
      </c>
      <c r="CB314" s="3">
        <f>W_KMT*BY314+W_KMA*BZ314+W_EDAD*CA314</f>
        <v/>
      </c>
      <c r="CC314" s="3">
        <f>P_ITV*(V314="sí")+P_LIBRO*(W314="sí")+P_CORREA*(X314="sí")+P_PROP*(Y314=1)+P_GAR*(Z314="sí")+P_FOTOS*MIN(1,N(U314)/FOTOS_OBJ)</f>
        <v/>
      </c>
      <c r="CD314" s="3">
        <f>MAX(0,MIN(100,IFERROR(VLOOKUP(BP314,ETQ_TBL,2,0),0)-IF(BQ314="sí",ETQ_PEN_DUD,IF(AS314="regla",ETQ_PEN_REGLA,0))))</f>
        <v/>
      </c>
      <c r="CE314" s="3">
        <f>NEUTRO</f>
        <v/>
      </c>
      <c r="CF314" s="3">
        <f>IFERROR(VLOOKUP(L314,SEGURO_TBL,3,0),"")</f>
        <v/>
      </c>
      <c r="CG314" s="3">
        <f>IF(CF314="",NEUTRO,MAX(0,MIN(100,100*(SEG_REF_MAX-CF314)/(SEG_REF_MAX-SEG_REF_MIN))))</f>
        <v/>
      </c>
      <c r="CH314" s="3">
        <f>W_CONS*CE314+W_SEG*CG314</f>
        <v/>
      </c>
      <c r="CI314" s="3">
        <f>IF(N(AB314)&gt;0,AB314,IF(AND(R314="profesional",SG_LEGAL_ON=1),GAR_LEGAL,0))</f>
        <v/>
      </c>
      <c r="CJ314" s="3">
        <f>SG_GAR*MIN(1,CI314/SG_GAR_FULL)+SG_AMPL*(AC314="sí")+SG_KMC*(AF314="sí")+SG_REV*(N(AE314)&gt;0)+SG_DEV*MIN(1,N(AG314)/SG_DEV_FULL)+SG_HIST*(W314="sí")</f>
        <v/>
      </c>
      <c r="CK314" s="3">
        <f>IFERROR(VLOOKUP(L314,CARR_PEN_TBL,2,0),0)</f>
        <v/>
      </c>
      <c r="CL314" s="3">
        <f>W_FIAB*BW314+W_PRECIO*BX314+W_KMEDAD*CB314+W_ANUNCIO*CC314+W_USO*CH314+W_SEGURIDAD*CJ314+W_ETIQUETA*CD314-CK314</f>
        <v/>
      </c>
      <c r="CM314" s="4">
        <f>IF(N(I314)&gt;0,I314,IFERROR(ROUND(_xlfn.NUMBERVALUE(LEFT(G314,FIND(" ",G314&amp;" ")-1),".")*1000,0),99999))</f>
        <v/>
      </c>
      <c r="CN314" s="3">
        <f>IF(R314="profesional",0,IF(O314&lt;CUOTA_VALOR_MAX,IF(BA314&gt;ITP_TRAMO_ALTO,SUMIFS(CF_CUOTA,CF_MAS,ITP_TRAMO_ALTO,CF_CCMIN,"&lt;="&amp;CM314,CF_CCMAX,"&gt;="&amp;CM314),IF(BA314&gt;ITP_TRAMO_BAJO,SUMIFS(CF_CUOTA,CF_MAS,ITP_TRAMO_BAJO,CF_CCMIN,"&lt;="&amp;CM314,CF_CCMAX,"&gt;="&amp;CM314),O314*ITP_TIPO)),O314*ITP_TIPO))</f>
        <v/>
      </c>
      <c r="CO314" s="4">
        <f>IF(R314="profesional",N(AK314),0)</f>
        <v/>
      </c>
      <c r="CP314" s="3">
        <f>IF(AND(R314="profesional",ISNUMBER(AK314),AL314="sí"),0,TASA_DGT)</f>
        <v/>
      </c>
      <c r="CQ314" s="3">
        <f>INFORME_DGT</f>
        <v/>
      </c>
      <c r="CR314" s="4">
        <f>O314+CO314+CN314+CP314+CQ314</f>
        <v/>
      </c>
      <c r="CS314" s="4">
        <f>CR314+N(CF314)</f>
        <v/>
      </c>
      <c r="CT314" s="3">
        <f>IF(CR314&lt;=TOTAL_MAX,"sí",IF(CR314&lt;=TOTAL_MAX+MARGEN_NEG,"negociar","no"))</f>
        <v/>
      </c>
      <c r="CU314" s="4">
        <f>IF(CT314&lt;&gt;"no",COUNTIFS($CT$2:$CT$545,"&lt;&gt;no",$CL$2:$CL$545,"&gt;"&amp;CL314)+COUNTIFS($CT$2:CT314,"&lt;&gt;no",$CL$2:CL314,CL314),"")</f>
        <v/>
      </c>
    </row>
    <row r="315">
      <c r="A315" s="2" t="inlineStr">
        <is>
          <t>wallapop:1283507982</t>
        </is>
      </c>
      <c r="B315" s="2" t="inlineStr">
        <is>
          <t>wallapop</t>
        </is>
      </c>
      <c r="C315" s="2" t="inlineStr">
        <is>
          <t>https://es.wallapop.com/item/chevrolet-aveo-2014-1283507982</t>
        </is>
      </c>
      <c r="D315" s="2" t="inlineStr">
        <is>
          <t>Chevrolet Aveo 2014</t>
        </is>
      </c>
      <c r="E315" s="2" t="inlineStr">
        <is>
          <t>Chevrolet</t>
        </is>
      </c>
      <c r="F315" s="2" t="inlineStr">
        <is>
          <t>Chevrolet Aveo</t>
        </is>
      </c>
      <c r="G315" s="2" t="inlineStr">
        <is>
          <t>1.3</t>
        </is>
      </c>
      <c r="H315" s="2" t="inlineStr">
        <is>
          <t>1.3 95 LT+ 5p MY14</t>
        </is>
      </c>
      <c r="I315" s="2" t="n"/>
      <c r="J315" s="2" t="n">
        <v>95</v>
      </c>
      <c r="K315" s="2" t="inlineStr">
        <is>
          <t>diesel</t>
        </is>
      </c>
      <c r="L315" s="2" t="inlineStr">
        <is>
          <t>utilitario</t>
        </is>
      </c>
      <c r="M315" s="2" t="n">
        <v>2014</v>
      </c>
      <c r="N315" s="2" t="n">
        <v>137000</v>
      </c>
      <c r="O315" s="2" t="n">
        <v>5000</v>
      </c>
      <c r="P315" s="2" t="inlineStr">
        <is>
          <t>manual</t>
        </is>
      </c>
      <c r="Q315" s="2" t="inlineStr">
        <is>
          <t>no</t>
        </is>
      </c>
      <c r="R315" s="2" t="inlineStr">
        <is>
          <t>particular</t>
        </is>
      </c>
      <c r="S315" s="2" t="inlineStr">
        <is>
          <t>Valencia (46004)</t>
        </is>
      </c>
      <c r="T315" s="2" t="inlineStr">
        <is>
          <t>2026-10-27T19:42:02</t>
        </is>
      </c>
      <c r="U315" s="2" t="n">
        <v>6</v>
      </c>
      <c r="V315" s="2" t="inlineStr">
        <is>
          <t>sí</t>
        </is>
      </c>
      <c r="W315" s="2" t="n"/>
      <c r="X315" s="2" t="n"/>
      <c r="Y315" s="2" t="n"/>
      <c r="Z315" s="2" t="n"/>
      <c r="AA315" s="2" t="n"/>
      <c r="AB315" s="2" t="n"/>
      <c r="AC315" s="2" t="n"/>
      <c r="AD315" s="2" t="n"/>
      <c r="AE315" s="2" t="n"/>
      <c r="AF315" s="2" t="n"/>
      <c r="AG315" s="2" t="n"/>
      <c r="AH315" s="2" t="n"/>
      <c r="AI315" s="2" t="n"/>
      <c r="AJ315" s="2" t="n"/>
      <c r="AK315" s="2" t="n"/>
      <c r="AL315" s="2" t="n"/>
      <c r="AM315" s="2" t="n">
        <v>1.5</v>
      </c>
      <c r="AN315" s="2" t="n"/>
      <c r="AO315" s="2" t="inlineStr">
        <is>
          <t>2014</t>
        </is>
      </c>
      <c r="AP315" s="2" t="n">
        <v>2014</v>
      </c>
      <c r="AQ315" s="2" t="n"/>
      <c r="AR315" s="2" t="n"/>
      <c r="AS315" s="2" t="inlineStr">
        <is>
          <t>regla</t>
        </is>
      </c>
      <c r="AT315" s="2" t="n"/>
      <c r="AU315" s="2" t="n"/>
      <c r="AV315" s="2" t="n"/>
      <c r="AW315" s="2" t="n"/>
      <c r="AX315" s="2" t="inlineStr">
        <is>
          <t>por encima del presupuesto (5184 €), negociar; cuota fija ITP: &gt;5 y &lt;=12 años, hasta 1.500 cc; diésel: motor sin fuente de fiabilidad (fiabilidad limitada a neutra); fiabilidad del modelo PENDIENTE de fuente (puntuación neutra)</t>
        </is>
      </c>
      <c r="AY315" s="2" t="inlineStr">
        <is>
          <t xml:space="preserve">Vendo chevrolet aveo 2014
Diesel
137000km
Itv en vigor 
Mantenimientos al dia 
Muy conservado tanto por fuera como su interior 
Negociable </t>
        </is>
      </c>
      <c r="AZ315" s="2" t="inlineStr">
        <is>
          <t>https://es.wallapop.com/item/chevrolet-aveo-2014-1283507982 (__NEXT_DATA__ item) /home/user/Alopecia/buscador-coches/raw/wallapop/4c279e14cf49bbab.json</t>
        </is>
      </c>
      <c r="BA315" s="3">
        <f>MAX(ANIO_ACTUAL-M315,0)</f>
        <v/>
      </c>
      <c r="BB315" s="4">
        <f>N315/MAX(BA315,0.5)</f>
        <v/>
      </c>
      <c r="BC315" s="4">
        <f>F315</f>
        <v/>
      </c>
      <c r="BD315" s="3">
        <f>BC315&amp;"|"&amp;INT(M315/SEG_ANIO)*SEG_ANIO</f>
        <v/>
      </c>
      <c r="BE315" s="3">
        <f>BD315&amp;"|"&amp;INT(N315/SEG_KM)*SEG_KM</f>
        <v/>
      </c>
      <c r="BF315" s="4">
        <f>COUNTIF($BC$2:$BC$545,BC315)</f>
        <v/>
      </c>
      <c r="BG315" s="4">
        <f>COUNTIF($BD$2:$BD$545,BD315)</f>
        <v/>
      </c>
      <c r="BH315" s="4">
        <f>COUNTIF($BE$2:$BE$545,BE315)</f>
        <v/>
      </c>
      <c r="BI315" s="3">
        <f t="array" ref="BI315">IF(N(AU315)&gt;=MIN_N,AT315,IF(BH315&gt;=MIN_N,MEDIAN(IF($BE$2:$BE$545=BE315,$O$2:$O$545)),IF(BG315&gt;=MIN_N,MEDIAN(IF($BD$2:$BD$545=BD315,$O$2:$O$545)),MEDIAN(IF($BC$2:$BC$545=BC315,$O$2:$O$545)))))</f>
        <v/>
      </c>
      <c r="BJ315" s="3">
        <f>IF(N(AU315)&gt;=MIN_N,"mercado "&amp;AV315,IF(BH315&gt;=MIN_N,"modelo+año+km",IF(BG315&gt;=MIN_N,"modelo+año","modelo")))</f>
        <v/>
      </c>
      <c r="BK315" s="4">
        <f>(BI315-O315)/BI315</f>
        <v/>
      </c>
      <c r="BL315" s="3">
        <f>IF(COUNTIFS(FR_FUEL,K315,FR_YEAR,AP315)&gt;0,1,0)</f>
        <v/>
      </c>
      <c r="BM315" s="3">
        <f>IF(COUNTIFS(FR_FUEL,K315,FR_YEAR,AP315-1)&gt;0,1,0)</f>
        <v/>
      </c>
      <c r="BN315" s="4">
        <f>IF(N(AQ315)&gt;0,AP315*100+AQ315,IF(AND(BL315=1,BM315=1),(AP315-1)*100+1,AP315*100+1))</f>
        <v/>
      </c>
      <c r="BO315" s="3">
        <f>IF(OR(K315="hibrido",K315="glp",K315="gnc",K315="phev"),"ECO",IF(K315="electrico","CERO",IF(K315="gasolina",IF(BN315&gt;=GAS_C_YM,"C",IF(BN315&gt;=GAS_B_YM,"B","A")),IF(K315="diesel",IF(BN315&gt;=DIE_C_YM,"C",IF(BN315&gt;=DIE_B_YM,"B","A")),""))))</f>
        <v/>
      </c>
      <c r="BP315" s="4">
        <f>BO315</f>
        <v/>
      </c>
      <c r="BQ315" s="4">
        <f>IF(AS315="regla",IF(AND(N(AQ315)=0,BL315=1),"sí","no"),"no")</f>
        <v/>
      </c>
      <c r="BR315" s="3">
        <f>IFERROR(VLOOKUP(F315,MOD_TBL,11,0),IFERROR(VLOOKUP(E315,OCU_TBL,2,0),NEUTRO))</f>
        <v/>
      </c>
      <c r="BS315" s="3">
        <f>SUMIFS(MOT_AJUSTE,MOT_MOTOR,G315,MOT_MARCA,E315,MOT_DESDE,"&lt;="&amp;M315,MOT_HASTA,"&gt;="&amp;M315)+SUMIFS(MOT_AJUSTE,MOT_MOTOR,G315,MOT_MARCA,"(todas)",MOT_DESDE,"&lt;="&amp;M315,MOT_HASTA,"&gt;="&amp;M315)</f>
        <v/>
      </c>
      <c r="BT315" s="3">
        <f>SUMIFS(COMB_AJUSTE,COMB_COMB,K315)</f>
        <v/>
      </c>
      <c r="BU315" s="3">
        <f>COUNTIFS(MOT_MOTOR,G315,MOT_MARCA,E315,MOT_DESDE,"&lt;="&amp;M315,MOT_HASTA,"&gt;="&amp;M315)+COUNTIFS(MOT_MOTOR,G315,MOT_MARCA,"(todas)",MOT_DESDE,"&lt;="&amp;M315,MOT_HASTA,"&gt;="&amp;M315)</f>
        <v/>
      </c>
      <c r="BV315" s="3">
        <f>IF(AND(K315="diesel",BU315=0),MIN(BR315,NEUTRO),BR315)</f>
        <v/>
      </c>
      <c r="BW315" s="4">
        <f>MAX(0,MIN(100,BV315+BS315+BT315))</f>
        <v/>
      </c>
      <c r="BX315" s="3">
        <f>MAX(0,MIN(100,50+BK315*PRECIO_PEND))</f>
        <v/>
      </c>
      <c r="BY315" s="3">
        <f>MAX(0,100*(1-N315/KM_MAX))</f>
        <v/>
      </c>
      <c r="BZ315" s="3">
        <f>IF(BB315&lt;KMA_SOSP,IF(AA315="sí",100,KMA_PEN),IF(BB315&lt;=KMA_IDEAL_MAX,100,MAX(0,100*(KMA_CERO-BB315)/(KMA_CERO-KMA_IDEAL_MAX))))</f>
        <v/>
      </c>
      <c r="CA315" s="3">
        <f>MAX(0,MIN(100,100*(M315-ANIO_MIN)/(ANIO_ACTUAL-ANIO_MIN)))</f>
        <v/>
      </c>
      <c r="CB315" s="3">
        <f>W_KMT*BY315+W_KMA*BZ315+W_EDAD*CA315</f>
        <v/>
      </c>
      <c r="CC315" s="3">
        <f>P_ITV*(V315="sí")+P_LIBRO*(W315="sí")+P_CORREA*(X315="sí")+P_PROP*(Y315=1)+P_GAR*(Z315="sí")+P_FOTOS*MIN(1,N(U315)/FOTOS_OBJ)</f>
        <v/>
      </c>
      <c r="CD315" s="3">
        <f>MAX(0,MIN(100,IFERROR(VLOOKUP(BP315,ETQ_TBL,2,0),0)-IF(BQ315="sí",ETQ_PEN_DUD,IF(AS315="regla",ETQ_PEN_REGLA,0))))</f>
        <v/>
      </c>
      <c r="CE315" s="3">
        <f>NEUTRO</f>
        <v/>
      </c>
      <c r="CF315" s="3">
        <f>IFERROR(VLOOKUP(L315,SEGURO_TBL,3,0),"")</f>
        <v/>
      </c>
      <c r="CG315" s="3">
        <f>IF(CF315="",NEUTRO,MAX(0,MIN(100,100*(SEG_REF_MAX-CF315)/(SEG_REF_MAX-SEG_REF_MIN))))</f>
        <v/>
      </c>
      <c r="CH315" s="3">
        <f>W_CONS*CE315+W_SEG*CG315</f>
        <v/>
      </c>
      <c r="CI315" s="3">
        <f>IF(N(AB315)&gt;0,AB315,IF(AND(R315="profesional",SG_LEGAL_ON=1),GAR_LEGAL,0))</f>
        <v/>
      </c>
      <c r="CJ315" s="3">
        <f>SG_GAR*MIN(1,CI315/SG_GAR_FULL)+SG_AMPL*(AC315="sí")+SG_KMC*(AF315="sí")+SG_REV*(N(AE315)&gt;0)+SG_DEV*MIN(1,N(AG315)/SG_DEV_FULL)+SG_HIST*(W315="sí")</f>
        <v/>
      </c>
      <c r="CK315" s="3">
        <f>IFERROR(VLOOKUP(L315,CARR_PEN_TBL,2,0),0)</f>
        <v/>
      </c>
      <c r="CL315" s="3">
        <f>W_FIAB*BW315+W_PRECIO*BX315+W_KMEDAD*CB315+W_ANUNCIO*CC315+W_USO*CH315+W_SEGURIDAD*CJ315+W_ETIQUETA*CD315-CK315</f>
        <v/>
      </c>
      <c r="CM315" s="4">
        <f>IF(N(I315)&gt;0,I315,IFERROR(ROUND(_xlfn.NUMBERVALUE(LEFT(G315,FIND(" ",G315&amp;" ")-1),".")*1000,0),99999))</f>
        <v/>
      </c>
      <c r="CN315" s="3">
        <f>IF(R315="profesional",0,IF(O315&lt;CUOTA_VALOR_MAX,IF(BA315&gt;ITP_TRAMO_ALTO,SUMIFS(CF_CUOTA,CF_MAS,ITP_TRAMO_ALTO,CF_CCMIN,"&lt;="&amp;CM315,CF_CCMAX,"&gt;="&amp;CM315),IF(BA315&gt;ITP_TRAMO_BAJO,SUMIFS(CF_CUOTA,CF_MAS,ITP_TRAMO_BAJO,CF_CCMIN,"&lt;="&amp;CM315,CF_CCMAX,"&gt;="&amp;CM315),O315*ITP_TIPO)),O315*ITP_TIPO))</f>
        <v/>
      </c>
      <c r="CO315" s="4">
        <f>IF(R315="profesional",N(AK315),0)</f>
        <v/>
      </c>
      <c r="CP315" s="3">
        <f>IF(AND(R315="profesional",ISNUMBER(AK315),AL315="sí"),0,TASA_DGT)</f>
        <v/>
      </c>
      <c r="CQ315" s="3">
        <f>INFORME_DGT</f>
        <v/>
      </c>
      <c r="CR315" s="4">
        <f>O315+CO315+CN315+CP315+CQ315</f>
        <v/>
      </c>
      <c r="CS315" s="4">
        <f>CR315+N(CF315)</f>
        <v/>
      </c>
      <c r="CT315" s="3">
        <f>IF(CR315&lt;=TOTAL_MAX,"sí",IF(CR315&lt;=TOTAL_MAX+MARGEN_NEG,"negociar","no"))</f>
        <v/>
      </c>
      <c r="CU315" s="4">
        <f>IF(CT315&lt;&gt;"no",COUNTIFS($CT$2:$CT$545,"&lt;&gt;no",$CL$2:$CL$545,"&gt;"&amp;CL315)+COUNTIFS($CT$2:CT315,"&lt;&gt;no",$CL$2:CL315,CL315),"")</f>
        <v/>
      </c>
    </row>
    <row r="316">
      <c r="A316" s="2" t="inlineStr">
        <is>
          <t>wallapop:1221552223</t>
        </is>
      </c>
      <c r="B316" s="2" t="inlineStr">
        <is>
          <t>wallapop</t>
        </is>
      </c>
      <c r="C316" s="2" t="inlineStr">
        <is>
          <t>https://es.wallapop.com/item/chevrolet-cruze-2012-1221552223</t>
        </is>
      </c>
      <c r="D316" s="2" t="inlineStr">
        <is>
          <t>Chevrolet Cruze 2012</t>
        </is>
      </c>
      <c r="E316" s="2" t="inlineStr">
        <is>
          <t>Chevrolet</t>
        </is>
      </c>
      <c r="F316" s="2" t="inlineStr">
        <is>
          <t>Chevrolet Cruze</t>
        </is>
      </c>
      <c r="G316" s="2" t="inlineStr">
        <is>
          <t>1.7</t>
        </is>
      </c>
      <c r="H316" s="2" t="inlineStr">
        <is>
          <t>1.7 130 LT 4p MY12</t>
        </is>
      </c>
      <c r="I316" s="2" t="n"/>
      <c r="J316" s="2" t="n">
        <v>130</v>
      </c>
      <c r="K316" s="2" t="inlineStr">
        <is>
          <t>diesel</t>
        </is>
      </c>
      <c r="L316" s="2" t="inlineStr">
        <is>
          <t>berlina</t>
        </is>
      </c>
      <c r="M316" s="2" t="n">
        <v>2012</v>
      </c>
      <c r="N316" s="2" t="n">
        <v>212000</v>
      </c>
      <c r="O316" s="2" t="n">
        <v>4800</v>
      </c>
      <c r="P316" s="2" t="inlineStr">
        <is>
          <t>manual</t>
        </is>
      </c>
      <c r="Q316" s="2" t="inlineStr">
        <is>
          <t>no</t>
        </is>
      </c>
      <c r="R316" s="2" t="inlineStr">
        <is>
          <t>particular</t>
        </is>
      </c>
      <c r="S316" s="2" t="inlineStr">
        <is>
          <t>Valencia (46002)</t>
        </is>
      </c>
      <c r="T316" s="2" t="inlineStr">
        <is>
          <t>2026-10-20T08:38:10</t>
        </is>
      </c>
      <c r="U316" s="2" t="n">
        <v>7</v>
      </c>
      <c r="V316" s="2" t="n"/>
      <c r="W316" s="2" t="n"/>
      <c r="X316" s="2" t="n"/>
      <c r="Y316" s="2" t="n"/>
      <c r="Z316" s="2" t="n"/>
      <c r="AA316" s="2" t="n"/>
      <c r="AB316" s="2" t="n"/>
      <c r="AC316" s="2" t="n"/>
      <c r="AD316" s="2" t="n"/>
      <c r="AE316" s="2" t="n"/>
      <c r="AF316" s="2" t="n"/>
      <c r="AG316" s="2" t="n"/>
      <c r="AH316" s="2" t="n"/>
      <c r="AI316" s="2" t="n"/>
      <c r="AJ316" s="2" t="n"/>
      <c r="AK316" s="2" t="n"/>
      <c r="AL316" s="2" t="n"/>
      <c r="AM316" s="2" t="n">
        <v>0.8</v>
      </c>
      <c r="AN316" s="2" t="n"/>
      <c r="AO316" s="2" t="inlineStr">
        <is>
          <t>2012</t>
        </is>
      </c>
      <c r="AP316" s="2" t="n">
        <v>2012</v>
      </c>
      <c r="AQ316" s="2" t="n"/>
      <c r="AR316" s="2" t="n"/>
      <c r="AS316" s="2" t="inlineStr">
        <is>
          <t>regla</t>
        </is>
      </c>
      <c r="AT316" s="2" t="n">
        <v>3100</v>
      </c>
      <c r="AU316" s="2" t="n">
        <v>6</v>
      </c>
      <c r="AV316" s="2" t="inlineStr">
        <is>
          <t>modelo+año+km</t>
        </is>
      </c>
      <c r="AW316" s="2" t="n"/>
      <c r="AX316" s="2" t="inlineStr">
        <is>
          <t>cuota fija ITP: &gt;12 años, 1.501-2.000 cc; diésel: motor sin fuente de fiabilidad (fiabilidad limitada a neutra); carrocería berlina: -4 puntos; fiabilidad del modelo PENDIENTE de fuente (puntuación neutra)</t>
        </is>
      </c>
      <c r="AY316" s="2" t="inlineStr">
        <is>
          <t xml:space="preserve">El coche esta como nuevo, acepta revisión mecánica.
 Tiene sensor de aparcamiento y camara trasera, CarPlay.
Caja de sexta. Todo funciona  perfectamente, el interior esta como nuevo.
Dos ruedas nuevas.
Algo Negociable </t>
        </is>
      </c>
      <c r="AZ316" s="2" t="inlineStr">
        <is>
          <t>https://es.wallapop.com/item/chevrolet-cruze-2012-1221552223 (__NEXT_DATA__ item) /home/user/Alopecia/buscador-coches/raw/wallapop/8535eb953389ae55.json</t>
        </is>
      </c>
      <c r="BA316" s="3">
        <f>MAX(ANIO_ACTUAL-M316,0)</f>
        <v/>
      </c>
      <c r="BB316" s="4">
        <f>N316/MAX(BA316,0.5)</f>
        <v/>
      </c>
      <c r="BC316" s="4">
        <f>F316</f>
        <v/>
      </c>
      <c r="BD316" s="3">
        <f>BC316&amp;"|"&amp;INT(M316/SEG_ANIO)*SEG_ANIO</f>
        <v/>
      </c>
      <c r="BE316" s="3">
        <f>BD316&amp;"|"&amp;INT(N316/SEG_KM)*SEG_KM</f>
        <v/>
      </c>
      <c r="BF316" s="4">
        <f>COUNTIF($BC$2:$BC$545,BC316)</f>
        <v/>
      </c>
      <c r="BG316" s="4">
        <f>COUNTIF($BD$2:$BD$545,BD316)</f>
        <v/>
      </c>
      <c r="BH316" s="4">
        <f>COUNTIF($BE$2:$BE$545,BE316)</f>
        <v/>
      </c>
      <c r="BI316" s="3">
        <f t="array" ref="BI316">IF(N(AU316)&gt;=MIN_N,AT316,IF(BH316&gt;=MIN_N,MEDIAN(IF($BE$2:$BE$545=BE316,$O$2:$O$545)),IF(BG316&gt;=MIN_N,MEDIAN(IF($BD$2:$BD$545=BD316,$O$2:$O$545)),MEDIAN(IF($BC$2:$BC$545=BC316,$O$2:$O$545)))))</f>
        <v/>
      </c>
      <c r="BJ316" s="3">
        <f>IF(N(AU316)&gt;=MIN_N,"mercado "&amp;AV316,IF(BH316&gt;=MIN_N,"modelo+año+km",IF(BG316&gt;=MIN_N,"modelo+año","modelo")))</f>
        <v/>
      </c>
      <c r="BK316" s="4">
        <f>(BI316-O316)/BI316</f>
        <v/>
      </c>
      <c r="BL316" s="3">
        <f>IF(COUNTIFS(FR_FUEL,K316,FR_YEAR,AP316)&gt;0,1,0)</f>
        <v/>
      </c>
      <c r="BM316" s="3">
        <f>IF(COUNTIFS(FR_FUEL,K316,FR_YEAR,AP316-1)&gt;0,1,0)</f>
        <v/>
      </c>
      <c r="BN316" s="4">
        <f>IF(N(AQ316)&gt;0,AP316*100+AQ316,IF(AND(BL316=1,BM316=1),(AP316-1)*100+1,AP316*100+1))</f>
        <v/>
      </c>
      <c r="BO316" s="3">
        <f>IF(OR(K316="hibrido",K316="glp",K316="gnc",K316="phev"),"ECO",IF(K316="electrico","CERO",IF(K316="gasolina",IF(BN316&gt;=GAS_C_YM,"C",IF(BN316&gt;=GAS_B_YM,"B","A")),IF(K316="diesel",IF(BN316&gt;=DIE_C_YM,"C",IF(BN316&gt;=DIE_B_YM,"B","A")),""))))</f>
        <v/>
      </c>
      <c r="BP316" s="4">
        <f>BO316</f>
        <v/>
      </c>
      <c r="BQ316" s="4">
        <f>IF(AS316="regla",IF(AND(N(AQ316)=0,BL316=1),"sí","no"),"no")</f>
        <v/>
      </c>
      <c r="BR316" s="3">
        <f>IFERROR(VLOOKUP(F316,MOD_TBL,11,0),IFERROR(VLOOKUP(E316,OCU_TBL,2,0),NEUTRO))</f>
        <v/>
      </c>
      <c r="BS316" s="3">
        <f>SUMIFS(MOT_AJUSTE,MOT_MOTOR,G316,MOT_MARCA,E316,MOT_DESDE,"&lt;="&amp;M316,MOT_HASTA,"&gt;="&amp;M316)+SUMIFS(MOT_AJUSTE,MOT_MOTOR,G316,MOT_MARCA,"(todas)",MOT_DESDE,"&lt;="&amp;M316,MOT_HASTA,"&gt;="&amp;M316)</f>
        <v/>
      </c>
      <c r="BT316" s="3">
        <f>SUMIFS(COMB_AJUSTE,COMB_COMB,K316)</f>
        <v/>
      </c>
      <c r="BU316" s="3">
        <f>COUNTIFS(MOT_MOTOR,G316,MOT_MARCA,E316,MOT_DESDE,"&lt;="&amp;M316,MOT_HASTA,"&gt;="&amp;M316)+COUNTIFS(MOT_MOTOR,G316,MOT_MARCA,"(todas)",MOT_DESDE,"&lt;="&amp;M316,MOT_HASTA,"&gt;="&amp;M316)</f>
        <v/>
      </c>
      <c r="BV316" s="3">
        <f>IF(AND(K316="diesel",BU316=0),MIN(BR316,NEUTRO),BR316)</f>
        <v/>
      </c>
      <c r="BW316" s="4">
        <f>MAX(0,MIN(100,BV316+BS316+BT316))</f>
        <v/>
      </c>
      <c r="BX316" s="3">
        <f>MAX(0,MIN(100,50+BK316*PRECIO_PEND))</f>
        <v/>
      </c>
      <c r="BY316" s="3">
        <f>MAX(0,100*(1-N316/KM_MAX))</f>
        <v/>
      </c>
      <c r="BZ316" s="3">
        <f>IF(BB316&lt;KMA_SOSP,IF(AA316="sí",100,KMA_PEN),IF(BB316&lt;=KMA_IDEAL_MAX,100,MAX(0,100*(KMA_CERO-BB316)/(KMA_CERO-KMA_IDEAL_MAX))))</f>
        <v/>
      </c>
      <c r="CA316" s="3">
        <f>MAX(0,MIN(100,100*(M316-ANIO_MIN)/(ANIO_ACTUAL-ANIO_MIN)))</f>
        <v/>
      </c>
      <c r="CB316" s="3">
        <f>W_KMT*BY316+W_KMA*BZ316+W_EDAD*CA316</f>
        <v/>
      </c>
      <c r="CC316" s="3">
        <f>P_ITV*(V316="sí")+P_LIBRO*(W316="sí")+P_CORREA*(X316="sí")+P_PROP*(Y316=1)+P_GAR*(Z316="sí")+P_FOTOS*MIN(1,N(U316)/FOTOS_OBJ)</f>
        <v/>
      </c>
      <c r="CD316" s="3">
        <f>MAX(0,MIN(100,IFERROR(VLOOKUP(BP316,ETQ_TBL,2,0),0)-IF(BQ316="sí",ETQ_PEN_DUD,IF(AS316="regla",ETQ_PEN_REGLA,0))))</f>
        <v/>
      </c>
      <c r="CE316" s="3">
        <f>NEUTRO</f>
        <v/>
      </c>
      <c r="CF316" s="3">
        <f>IFERROR(VLOOKUP(L316,SEGURO_TBL,3,0),"")</f>
        <v/>
      </c>
      <c r="CG316" s="3">
        <f>IF(CF316="",NEUTRO,MAX(0,MIN(100,100*(SEG_REF_MAX-CF316)/(SEG_REF_MAX-SEG_REF_MIN))))</f>
        <v/>
      </c>
      <c r="CH316" s="3">
        <f>W_CONS*CE316+W_SEG*CG316</f>
        <v/>
      </c>
      <c r="CI316" s="3">
        <f>IF(N(AB316)&gt;0,AB316,IF(AND(R316="profesional",SG_LEGAL_ON=1),GAR_LEGAL,0))</f>
        <v/>
      </c>
      <c r="CJ316" s="3">
        <f>SG_GAR*MIN(1,CI316/SG_GAR_FULL)+SG_AMPL*(AC316="sí")+SG_KMC*(AF316="sí")+SG_REV*(N(AE316)&gt;0)+SG_DEV*MIN(1,N(AG316)/SG_DEV_FULL)+SG_HIST*(W316="sí")</f>
        <v/>
      </c>
      <c r="CK316" s="3">
        <f>IFERROR(VLOOKUP(L316,CARR_PEN_TBL,2,0),0)</f>
        <v/>
      </c>
      <c r="CL316" s="3">
        <f>W_FIAB*BW316+W_PRECIO*BX316+W_KMEDAD*CB316+W_ANUNCIO*CC316+W_USO*CH316+W_SEGURIDAD*CJ316+W_ETIQUETA*CD316-CK316</f>
        <v/>
      </c>
      <c r="CM316" s="4">
        <f>IF(N(I316)&gt;0,I316,IFERROR(ROUND(_xlfn.NUMBERVALUE(LEFT(G316,FIND(" ",G316&amp;" ")-1),".")*1000,0),99999))</f>
        <v/>
      </c>
      <c r="CN316" s="3">
        <f>IF(R316="profesional",0,IF(O316&lt;CUOTA_VALOR_MAX,IF(BA316&gt;ITP_TRAMO_ALTO,SUMIFS(CF_CUOTA,CF_MAS,ITP_TRAMO_ALTO,CF_CCMIN,"&lt;="&amp;CM316,CF_CCMAX,"&gt;="&amp;CM316),IF(BA316&gt;ITP_TRAMO_BAJO,SUMIFS(CF_CUOTA,CF_MAS,ITP_TRAMO_BAJO,CF_CCMIN,"&lt;="&amp;CM316,CF_CCMAX,"&gt;="&amp;CM316),O316*ITP_TIPO)),O316*ITP_TIPO))</f>
        <v/>
      </c>
      <c r="CO316" s="4">
        <f>IF(R316="profesional",N(AK316),0)</f>
        <v/>
      </c>
      <c r="CP316" s="3">
        <f>IF(AND(R316="profesional",ISNUMBER(AK316),AL316="sí"),0,TASA_DGT)</f>
        <v/>
      </c>
      <c r="CQ316" s="3">
        <f>INFORME_DGT</f>
        <v/>
      </c>
      <c r="CR316" s="4">
        <f>O316+CO316+CN316+CP316+CQ316</f>
        <v/>
      </c>
      <c r="CS316" s="4">
        <f>CR316+N(CF316)</f>
        <v/>
      </c>
      <c r="CT316" s="3">
        <f>IF(CR316&lt;=TOTAL_MAX,"sí",IF(CR316&lt;=TOTAL_MAX+MARGEN_NEG,"negociar","no"))</f>
        <v/>
      </c>
      <c r="CU316" s="4">
        <f>IF(CT316&lt;&gt;"no",COUNTIFS($CT$2:$CT$545,"&lt;&gt;no",$CL$2:$CL$545,"&gt;"&amp;CL316)+COUNTIFS($CT$2:CT316,"&lt;&gt;no",$CL$2:CL316,CL316),"")</f>
        <v/>
      </c>
    </row>
    <row r="317">
      <c r="A317" s="2" t="inlineStr">
        <is>
          <t>cochesnet:71876607</t>
        </is>
      </c>
      <c r="B317" s="2" t="inlineStr">
        <is>
          <t>cochesnet</t>
        </is>
      </c>
      <c r="C317" s="2" t="inlineStr">
        <is>
          <t>https://www.coches.net/seat-toledo-20-tdi-stylance-5p-diesel-2006-en-valencia-71876607-covo.aspx</t>
        </is>
      </c>
      <c r="D317" s="2" t="inlineStr">
        <is>
          <t>SEAT Toledo 2.0 TDI STYLANCE</t>
        </is>
      </c>
      <c r="E317" s="2" t="inlineStr">
        <is>
          <t>Seat</t>
        </is>
      </c>
      <c r="F317" s="2" t="inlineStr">
        <is>
          <t>Seat Toledo</t>
        </is>
      </c>
      <c r="G317" s="2" t="inlineStr">
        <is>
          <t>2.0 TDI</t>
        </is>
      </c>
      <c r="H317" s="2" t="inlineStr">
        <is>
          <t>2.0 TDI STYLANCE</t>
        </is>
      </c>
      <c r="I317" s="2" t="n"/>
      <c r="J317" s="2" t="n"/>
      <c r="K317" s="2" t="inlineStr">
        <is>
          <t>diesel</t>
        </is>
      </c>
      <c r="L317" s="2" t="inlineStr">
        <is>
          <t>berlina</t>
        </is>
      </c>
      <c r="M317" s="2" t="n">
        <v>2006</v>
      </c>
      <c r="N317" s="2" t="n">
        <v>175500</v>
      </c>
      <c r="O317" s="2" t="n">
        <v>3700</v>
      </c>
      <c r="P317" s="2" t="inlineStr">
        <is>
          <t>manual</t>
        </is>
      </c>
      <c r="Q317" s="2" t="inlineStr">
        <is>
          <t>no</t>
        </is>
      </c>
      <c r="R317" s="2" t="inlineStr">
        <is>
          <t>particular</t>
        </is>
      </c>
      <c r="S317" s="2" t="inlineStr">
        <is>
          <t>Paterna</t>
        </is>
      </c>
      <c r="T317" s="2" t="inlineStr">
        <is>
          <t>2026-10-31T08:56:52Z</t>
        </is>
      </c>
      <c r="U317" s="2" t="n"/>
      <c r="V317" s="2" t="inlineStr">
        <is>
          <t>sí</t>
        </is>
      </c>
      <c r="W317" s="2" t="n"/>
      <c r="X317" s="2" t="n"/>
      <c r="Y317" s="2" t="n"/>
      <c r="Z317" s="2" t="inlineStr">
        <is>
          <t>no</t>
        </is>
      </c>
      <c r="AA317" s="2" t="n"/>
      <c r="AB317" s="2" t="n"/>
      <c r="AC317" s="2" t="n"/>
      <c r="AD317" s="2" t="n"/>
      <c r="AE317" s="2" t="n"/>
      <c r="AF317" s="2" t="n"/>
      <c r="AG317" s="2" t="n"/>
      <c r="AH317" s="2" t="n">
        <v>3700</v>
      </c>
      <c r="AI317" s="2" t="n"/>
      <c r="AJ317" s="2" t="n"/>
      <c r="AK317" s="2" t="n"/>
      <c r="AL317" s="2" t="n"/>
      <c r="AM317" s="2" t="n">
        <v>6.8</v>
      </c>
      <c r="AN317" s="2" t="n"/>
      <c r="AO317" s="2" t="inlineStr">
        <is>
          <t>07/2006</t>
        </is>
      </c>
      <c r="AP317" s="2" t="n">
        <v>2006</v>
      </c>
      <c r="AQ317" s="2" t="n">
        <v>7</v>
      </c>
      <c r="AR317" s="2" t="inlineStr">
        <is>
          <t>B</t>
        </is>
      </c>
      <c r="AS317" s="2" t="inlineStr">
        <is>
          <t>anuncio</t>
        </is>
      </c>
      <c r="AT317" s="2" t="n">
        <v>4049.5</v>
      </c>
      <c r="AU317" s="2" t="n">
        <v>6</v>
      </c>
      <c r="AV317" s="2" t="inlineStr">
        <is>
          <t>modelo+año+km</t>
        </is>
      </c>
      <c r="AW317" s="2" t="n"/>
      <c r="AX317" s="2" t="inlineStr">
        <is>
          <t>cuota fija ITP: &gt;12 años, 1.501-2.000 cc; diésel: motor sin fuente de fiabilidad (fiabilidad limitada a neutra); carrocería berlina: -4 puntos; fiabilidad del modelo PENDIENTE de fuente (puntuación neutra)</t>
        </is>
      </c>
      <c r="AY317" s="2" t="inlineStr">
        <is>
          <t xml:space="preserve">?? SEAT TOLEDO 2.0 TDI STYLANCE / STYLE – 2006
?? Precio: 3700 €
Se vende SEAT Toledo 2.0 TDI Stylance/Style, año 2006, diésel, con 175.500 km.
? Motor 2.0 TDI
? Diésel
? Cambio manual
? 175.500 km
? ITV hasta 12/2026
? 5 plazas
? Amplio y cómodo
? Ideal para uso diario y viajes
? Buen maletero y gran espacio interior
Coche práctico, espacioso y con un motor diésel de buen rendimiento.
?? Se puede ver y probar.
?? Interesados, contactar por mensaje para más información o concertar una visita.
</t>
        </is>
      </c>
      <c r="AZ317" s="2" t="inlineStr">
        <is>
          <t>https://www.coches.net/seat-toledo-20-tdi-stylance-5p-diesel-2006-en-valencia-71876607-covo.aspx (window.__INITIAL_PROPS__.ad) /home/user/Alopecia/buscador-coches/raw/cochesnet/03de17b638a80877.json</t>
        </is>
      </c>
      <c r="BA317" s="3">
        <f>MAX(ANIO_ACTUAL-M317,0)</f>
        <v/>
      </c>
      <c r="BB317" s="4">
        <f>N317/MAX(BA317,0.5)</f>
        <v/>
      </c>
      <c r="BC317" s="4">
        <f>F317</f>
        <v/>
      </c>
      <c r="BD317" s="3">
        <f>BC317&amp;"|"&amp;INT(M317/SEG_ANIO)*SEG_ANIO</f>
        <v/>
      </c>
      <c r="BE317" s="3">
        <f>BD317&amp;"|"&amp;INT(N317/SEG_KM)*SEG_KM</f>
        <v/>
      </c>
      <c r="BF317" s="4">
        <f>COUNTIF($BC$2:$BC$545,BC317)</f>
        <v/>
      </c>
      <c r="BG317" s="4">
        <f>COUNTIF($BD$2:$BD$545,BD317)</f>
        <v/>
      </c>
      <c r="BH317" s="4">
        <f>COUNTIF($BE$2:$BE$545,BE317)</f>
        <v/>
      </c>
      <c r="BI317" s="3">
        <f t="array" ref="BI317">IF(N(AU317)&gt;=MIN_N,AT317,IF(BH317&gt;=MIN_N,MEDIAN(IF($BE$2:$BE$545=BE317,$O$2:$O$545)),IF(BG317&gt;=MIN_N,MEDIAN(IF($BD$2:$BD$545=BD317,$O$2:$O$545)),MEDIAN(IF($BC$2:$BC$545=BC317,$O$2:$O$545)))))</f>
        <v/>
      </c>
      <c r="BJ317" s="3">
        <f>IF(N(AU317)&gt;=MIN_N,"mercado "&amp;AV317,IF(BH317&gt;=MIN_N,"modelo+año+km",IF(BG317&gt;=MIN_N,"modelo+año","modelo")))</f>
        <v/>
      </c>
      <c r="BK317" s="4">
        <f>(BI317-O317)/BI317</f>
        <v/>
      </c>
      <c r="BL317" s="3">
        <f>IF(COUNTIFS(FR_FUEL,K317,FR_YEAR,AP317)&gt;0,1,0)</f>
        <v/>
      </c>
      <c r="BM317" s="3">
        <f>IF(COUNTIFS(FR_FUEL,K317,FR_YEAR,AP317-1)&gt;0,1,0)</f>
        <v/>
      </c>
      <c r="BN317" s="4">
        <f>IF(N(AQ317)&gt;0,AP317*100+AQ317,IF(AND(BL317=1,BM317=1),(AP317-1)*100+1,AP317*100+1))</f>
        <v/>
      </c>
      <c r="BO317" s="3">
        <f>IF(OR(K317="hibrido",K317="glp",K317="gnc",K317="phev"),"ECO",IF(K317="electrico","CERO",IF(K317="gasolina",IF(BN317&gt;=GAS_C_YM,"C",IF(BN317&gt;=GAS_B_YM,"B","A")),IF(K317="diesel",IF(BN317&gt;=DIE_C_YM,"C",IF(BN317&gt;=DIE_B_YM,"B","A")),""))))</f>
        <v/>
      </c>
      <c r="BP317" s="2" t="inlineStr">
        <is>
          <t>B</t>
        </is>
      </c>
      <c r="BQ317" s="4">
        <f>IF(AS317="regla",IF(AND(N(AQ317)=0,BL317=1),"sí","no"),"no")</f>
        <v/>
      </c>
      <c r="BR317" s="3">
        <f>IFERROR(VLOOKUP(F317,MOD_TBL,11,0),IFERROR(VLOOKUP(E317,OCU_TBL,2,0),NEUTRO))</f>
        <v/>
      </c>
      <c r="BS317" s="3">
        <f>SUMIFS(MOT_AJUSTE,MOT_MOTOR,G317,MOT_MARCA,E317,MOT_DESDE,"&lt;="&amp;M317,MOT_HASTA,"&gt;="&amp;M317)+SUMIFS(MOT_AJUSTE,MOT_MOTOR,G317,MOT_MARCA,"(todas)",MOT_DESDE,"&lt;="&amp;M317,MOT_HASTA,"&gt;="&amp;M317)</f>
        <v/>
      </c>
      <c r="BT317" s="3">
        <f>SUMIFS(COMB_AJUSTE,COMB_COMB,K317)</f>
        <v/>
      </c>
      <c r="BU317" s="3">
        <f>COUNTIFS(MOT_MOTOR,G317,MOT_MARCA,E317,MOT_DESDE,"&lt;="&amp;M317,MOT_HASTA,"&gt;="&amp;M317)+COUNTIFS(MOT_MOTOR,G317,MOT_MARCA,"(todas)",MOT_DESDE,"&lt;="&amp;M317,MOT_HASTA,"&gt;="&amp;M317)</f>
        <v/>
      </c>
      <c r="BV317" s="3">
        <f>IF(AND(K317="diesel",BU317=0),MIN(BR317,NEUTRO),BR317)</f>
        <v/>
      </c>
      <c r="BW317" s="4">
        <f>MAX(0,MIN(100,BV317+BS317+BT317))</f>
        <v/>
      </c>
      <c r="BX317" s="3">
        <f>MAX(0,MIN(100,50+BK317*PRECIO_PEND))</f>
        <v/>
      </c>
      <c r="BY317" s="3">
        <f>MAX(0,100*(1-N317/KM_MAX))</f>
        <v/>
      </c>
      <c r="BZ317" s="3">
        <f>IF(BB317&lt;KMA_SOSP,IF(AA317="sí",100,KMA_PEN),IF(BB317&lt;=KMA_IDEAL_MAX,100,MAX(0,100*(KMA_CERO-BB317)/(KMA_CERO-KMA_IDEAL_MAX))))</f>
        <v/>
      </c>
      <c r="CA317" s="3">
        <f>MAX(0,MIN(100,100*(M317-ANIO_MIN)/(ANIO_ACTUAL-ANIO_MIN)))</f>
        <v/>
      </c>
      <c r="CB317" s="3">
        <f>W_KMT*BY317+W_KMA*BZ317+W_EDAD*CA317</f>
        <v/>
      </c>
      <c r="CC317" s="3">
        <f>P_ITV*(V317="sí")+P_LIBRO*(W317="sí")+P_CORREA*(X317="sí")+P_PROP*(Y317=1)+P_GAR*(Z317="sí")+P_FOTOS*MIN(1,N(U317)/FOTOS_OBJ)</f>
        <v/>
      </c>
      <c r="CD317" s="3">
        <f>MAX(0,MIN(100,IFERROR(VLOOKUP(BP317,ETQ_TBL,2,0),0)-IF(BQ317="sí",ETQ_PEN_DUD,IF(AS317="regla",ETQ_PEN_REGLA,0))))</f>
        <v/>
      </c>
      <c r="CE317" s="3">
        <f>NEUTRO</f>
        <v/>
      </c>
      <c r="CF317" s="3">
        <f>IFERROR(VLOOKUP(L317,SEGURO_TBL,3,0),"")</f>
        <v/>
      </c>
      <c r="CG317" s="3">
        <f>IF(CF317="",NEUTRO,MAX(0,MIN(100,100*(SEG_REF_MAX-CF317)/(SEG_REF_MAX-SEG_REF_MIN))))</f>
        <v/>
      </c>
      <c r="CH317" s="3">
        <f>W_CONS*CE317+W_SEG*CG317</f>
        <v/>
      </c>
      <c r="CI317" s="3">
        <f>IF(N(AB317)&gt;0,AB317,IF(AND(R317="profesional",SG_LEGAL_ON=1),GAR_LEGAL,0))</f>
        <v/>
      </c>
      <c r="CJ317" s="3">
        <f>SG_GAR*MIN(1,CI317/SG_GAR_FULL)+SG_AMPL*(AC317="sí")+SG_KMC*(AF317="sí")+SG_REV*(N(AE317)&gt;0)+SG_DEV*MIN(1,N(AG317)/SG_DEV_FULL)+SG_HIST*(W317="sí")</f>
        <v/>
      </c>
      <c r="CK317" s="3">
        <f>IFERROR(VLOOKUP(L317,CARR_PEN_TBL,2,0),0)</f>
        <v/>
      </c>
      <c r="CL317" s="3">
        <f>W_FIAB*BW317+W_PRECIO*BX317+W_KMEDAD*CB317+W_ANUNCIO*CC317+W_USO*CH317+W_SEGURIDAD*CJ317+W_ETIQUETA*CD317-CK317</f>
        <v/>
      </c>
      <c r="CM317" s="4">
        <f>IF(N(I317)&gt;0,I317,IFERROR(ROUND(_xlfn.NUMBERVALUE(LEFT(G317,FIND(" ",G317&amp;" ")-1),".")*1000,0),99999))</f>
        <v/>
      </c>
      <c r="CN317" s="3">
        <f>IF(R317="profesional",0,IF(O317&lt;CUOTA_VALOR_MAX,IF(BA317&gt;ITP_TRAMO_ALTO,SUMIFS(CF_CUOTA,CF_MAS,ITP_TRAMO_ALTO,CF_CCMIN,"&lt;="&amp;CM317,CF_CCMAX,"&gt;="&amp;CM317),IF(BA317&gt;ITP_TRAMO_BAJO,SUMIFS(CF_CUOTA,CF_MAS,ITP_TRAMO_BAJO,CF_CCMIN,"&lt;="&amp;CM317,CF_CCMAX,"&gt;="&amp;CM317),O317*ITP_TIPO)),O317*ITP_TIPO))</f>
        <v/>
      </c>
      <c r="CO317" s="4">
        <f>IF(R317="profesional",N(AK317),0)</f>
        <v/>
      </c>
      <c r="CP317" s="3">
        <f>IF(AND(R317="profesional",ISNUMBER(AK317),AL317="sí"),0,TASA_DGT)</f>
        <v/>
      </c>
      <c r="CQ317" s="3">
        <f>INFORME_DGT</f>
        <v/>
      </c>
      <c r="CR317" s="4">
        <f>O317+CO317+CN317+CP317+CQ317</f>
        <v/>
      </c>
      <c r="CS317" s="4">
        <f>CR317+N(CF317)</f>
        <v/>
      </c>
      <c r="CT317" s="3">
        <f>IF(CR317&lt;=TOTAL_MAX,"sí",IF(CR317&lt;=TOTAL_MAX+MARGEN_NEG,"negociar","no"))</f>
        <v/>
      </c>
      <c r="CU317" s="4">
        <f>IF(CT317&lt;&gt;"no",COUNTIFS($CT$2:$CT$545,"&lt;&gt;no",$CL$2:$CL$545,"&gt;"&amp;CL317)+COUNTIFS($CT$2:CT317,"&lt;&gt;no",$CL$2:CL317,CL317),"")</f>
        <v/>
      </c>
    </row>
    <row r="318">
      <c r="A318" s="2" t="inlineStr">
        <is>
          <t>cochesnet:71799024</t>
        </is>
      </c>
      <c r="B318" s="2" t="inlineStr">
        <is>
          <t>cochesnet</t>
        </is>
      </c>
      <c r="C318" s="2" t="inlineStr">
        <is>
          <t>https://www.coches.net/opel-astra-13-cdti-111-years-gtc-3p-diesel-2011-en-valencia-71799024-covo.aspx</t>
        </is>
      </c>
      <c r="D318" s="2" t="inlineStr">
        <is>
          <t>OPEL Astra 1.3 CDTi 111 Years GTC</t>
        </is>
      </c>
      <c r="E318" s="2" t="inlineStr">
        <is>
          <t>Opel</t>
        </is>
      </c>
      <c r="F318" s="2" t="inlineStr">
        <is>
          <t>Opel Astra</t>
        </is>
      </c>
      <c r="G318" s="2" t="inlineStr">
        <is>
          <t>1.3 CDTi</t>
        </is>
      </c>
      <c r="H318" s="2" t="inlineStr">
        <is>
          <t>1.3 CDTi 111 Years GTC</t>
        </is>
      </c>
      <c r="I318" s="2" t="n"/>
      <c r="J318" s="2" t="n"/>
      <c r="K318" s="2" t="inlineStr">
        <is>
          <t>diesel</t>
        </is>
      </c>
      <c r="L318" s="2" t="inlineStr">
        <is>
          <t>compacto</t>
        </is>
      </c>
      <c r="M318" s="2" t="n">
        <v>2010</v>
      </c>
      <c r="N318" s="2" t="n">
        <v>114000</v>
      </c>
      <c r="O318" s="2" t="n">
        <v>4990</v>
      </c>
      <c r="P318" s="2" t="inlineStr">
        <is>
          <t>manual</t>
        </is>
      </c>
      <c r="Q318" s="2" t="inlineStr">
        <is>
          <t>no</t>
        </is>
      </c>
      <c r="R318" s="2" t="inlineStr">
        <is>
          <t>profesional</t>
        </is>
      </c>
      <c r="S318" s="2" t="inlineStr">
        <is>
          <t>JM Automóviles Alboraya</t>
        </is>
      </c>
      <c r="T318" s="2" t="inlineStr">
        <is>
          <t>2026-10-21T12:55:24Z</t>
        </is>
      </c>
      <c r="U318" s="2" t="n">
        <v>14</v>
      </c>
      <c r="V318" s="2" t="n"/>
      <c r="W318" s="2" t="n"/>
      <c r="X318" s="2" t="n"/>
      <c r="Y318" s="2" t="n"/>
      <c r="Z318" s="2" t="inlineStr">
        <is>
          <t>sí</t>
        </is>
      </c>
      <c r="AA318" s="2" t="n"/>
      <c r="AB318" s="2" t="n">
        <v>12</v>
      </c>
      <c r="AC318" s="2" t="n"/>
      <c r="AD318" s="2" t="n"/>
      <c r="AE318" s="2" t="n"/>
      <c r="AF318" s="2" t="n"/>
      <c r="AG318" s="2" t="n"/>
      <c r="AH318" s="2" t="n">
        <v>4990</v>
      </c>
      <c r="AI318" s="2" t="n">
        <v>4990</v>
      </c>
      <c r="AJ318" s="2" t="n"/>
      <c r="AK318" s="2" t="n"/>
      <c r="AL318" s="2" t="n"/>
      <c r="AM318" s="2" t="n">
        <v>4</v>
      </c>
      <c r="AN318" s="2" t="n"/>
      <c r="AO318" s="2" t="inlineStr">
        <is>
          <t>2010</t>
        </is>
      </c>
      <c r="AP318" s="2" t="n">
        <v>2010</v>
      </c>
      <c r="AQ318" s="2" t="n"/>
      <c r="AR318" s="2" t="inlineStr">
        <is>
          <t>B</t>
        </is>
      </c>
      <c r="AS318" s="2" t="inlineStr">
        <is>
          <t>anuncio</t>
        </is>
      </c>
      <c r="AT318" s="2" t="n">
        <v>5695</v>
      </c>
      <c r="AU318" s="2" t="n">
        <v>8</v>
      </c>
      <c r="AV318" s="2" t="inlineStr">
        <is>
          <t>modelo+año+km</t>
        </is>
      </c>
      <c r="AW318" s="2" t="n"/>
      <c r="AX318"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318" s="2" t="inlineStr">
        <is>
          <t>OPEL ASTRA GTC 1.3 CDTI 90 CV ESSENTIA – 2010
Opel Astra GTC del año 2010, equipado con motor 1.3 CDTI diésel de 90 CV y acabado Essentia. Un compacto de diseño deportivo, práctico y económico, ideal para el día a día y los desplazamientos por carretera.
DATOS PRINCIPALES
Año: 2010
Motor: 1.3 CDTI diésel
Potencia: 90 CV
Cambio: Manual
Acabado: Essentia
Carrocería: GTC
EQUIPAMIENTO DESTACADO
Aire acondicionado
Radio/CD
Volante multifunción
Elevalunas eléctricos
Cierre centralizado
Luces antiniebla
ABS + ESP
Ordenador de a bordo
LO MEJOR
Motor 1.3 CDTI de 90 CV
Acabado Essentia
Diseño deportivo GTC
Motor diésel de consumo contenido
Compacto y práctico
Ideal para uso diario y carretera
Vehículo en buen estado, cuidado y preparado para su entrega.</t>
        </is>
      </c>
      <c r="AZ318" s="2" t="inlineStr">
        <is>
          <t>https://www.coches.net/opel-astra-13-cdti-111-years-gtc-3p-diesel-2011-en-valencia-71799024-covo.aspx (window.__INITIAL_PROPS__.ad) /home/user/Alopecia/buscador-coches/raw/cochesnet/9933ecb8a0c80054.json</t>
        </is>
      </c>
      <c r="BA318" s="3">
        <f>MAX(ANIO_ACTUAL-M318,0)</f>
        <v/>
      </c>
      <c r="BB318" s="4">
        <f>N318/MAX(BA318,0.5)</f>
        <v/>
      </c>
      <c r="BC318" s="4">
        <f>F318</f>
        <v/>
      </c>
      <c r="BD318" s="3">
        <f>BC318&amp;"|"&amp;INT(M318/SEG_ANIO)*SEG_ANIO</f>
        <v/>
      </c>
      <c r="BE318" s="3">
        <f>BD318&amp;"|"&amp;INT(N318/SEG_KM)*SEG_KM</f>
        <v/>
      </c>
      <c r="BF318" s="4">
        <f>COUNTIF($BC$2:$BC$545,BC318)</f>
        <v/>
      </c>
      <c r="BG318" s="4">
        <f>COUNTIF($BD$2:$BD$545,BD318)</f>
        <v/>
      </c>
      <c r="BH318" s="4">
        <f>COUNTIF($BE$2:$BE$545,BE318)</f>
        <v/>
      </c>
      <c r="BI318" s="3">
        <f t="array" ref="BI318">IF(N(AU318)&gt;=MIN_N,AT318,IF(BH318&gt;=MIN_N,MEDIAN(IF($BE$2:$BE$545=BE318,$O$2:$O$545)),IF(BG318&gt;=MIN_N,MEDIAN(IF($BD$2:$BD$545=BD318,$O$2:$O$545)),MEDIAN(IF($BC$2:$BC$545=BC318,$O$2:$O$545)))))</f>
        <v/>
      </c>
      <c r="BJ318" s="3">
        <f>IF(N(AU318)&gt;=MIN_N,"mercado "&amp;AV318,IF(BH318&gt;=MIN_N,"modelo+año+km",IF(BG318&gt;=MIN_N,"modelo+año","modelo")))</f>
        <v/>
      </c>
      <c r="BK318" s="4">
        <f>(BI318-O318)/BI318</f>
        <v/>
      </c>
      <c r="BL318" s="3">
        <f>IF(COUNTIFS(FR_FUEL,K318,FR_YEAR,AP318)&gt;0,1,0)</f>
        <v/>
      </c>
      <c r="BM318" s="3">
        <f>IF(COUNTIFS(FR_FUEL,K318,FR_YEAR,AP318-1)&gt;0,1,0)</f>
        <v/>
      </c>
      <c r="BN318" s="4">
        <f>IF(N(AQ318)&gt;0,AP318*100+AQ318,IF(AND(BL318=1,BM318=1),(AP318-1)*100+1,AP318*100+1))</f>
        <v/>
      </c>
      <c r="BO318" s="3">
        <f>IF(OR(K318="hibrido",K318="glp",K318="gnc",K318="phev"),"ECO",IF(K318="electrico","CERO",IF(K318="gasolina",IF(BN318&gt;=GAS_C_YM,"C",IF(BN318&gt;=GAS_B_YM,"B","A")),IF(K318="diesel",IF(BN318&gt;=DIE_C_YM,"C",IF(BN318&gt;=DIE_B_YM,"B","A")),""))))</f>
        <v/>
      </c>
      <c r="BP318" s="2" t="inlineStr">
        <is>
          <t>B</t>
        </is>
      </c>
      <c r="BQ318" s="4">
        <f>IF(AS318="regla",IF(AND(N(AQ318)=0,BL318=1),"sí","no"),"no")</f>
        <v/>
      </c>
      <c r="BR318" s="3">
        <f>IFERROR(VLOOKUP(F318,MOD_TBL,11,0),IFERROR(VLOOKUP(E318,OCU_TBL,2,0),NEUTRO))</f>
        <v/>
      </c>
      <c r="BS318" s="3">
        <f>SUMIFS(MOT_AJUSTE,MOT_MOTOR,G318,MOT_MARCA,E318,MOT_DESDE,"&lt;="&amp;M318,MOT_HASTA,"&gt;="&amp;M318)+SUMIFS(MOT_AJUSTE,MOT_MOTOR,G318,MOT_MARCA,"(todas)",MOT_DESDE,"&lt;="&amp;M318,MOT_HASTA,"&gt;="&amp;M318)</f>
        <v/>
      </c>
      <c r="BT318" s="3">
        <f>SUMIFS(COMB_AJUSTE,COMB_COMB,K318)</f>
        <v/>
      </c>
      <c r="BU318" s="3">
        <f>COUNTIFS(MOT_MOTOR,G318,MOT_MARCA,E318,MOT_DESDE,"&lt;="&amp;M318,MOT_HASTA,"&gt;="&amp;M318)+COUNTIFS(MOT_MOTOR,G318,MOT_MARCA,"(todas)",MOT_DESDE,"&lt;="&amp;M318,MOT_HASTA,"&gt;="&amp;M318)</f>
        <v/>
      </c>
      <c r="BV318" s="3">
        <f>IF(AND(K318="diesel",BU318=0),MIN(BR318,NEUTRO),BR318)</f>
        <v/>
      </c>
      <c r="BW318" s="4">
        <f>MAX(0,MIN(100,BV318+BS318+BT318))</f>
        <v/>
      </c>
      <c r="BX318" s="3">
        <f>MAX(0,MIN(100,50+BK318*PRECIO_PEND))</f>
        <v/>
      </c>
      <c r="BY318" s="3">
        <f>MAX(0,100*(1-N318/KM_MAX))</f>
        <v/>
      </c>
      <c r="BZ318" s="3">
        <f>IF(BB318&lt;KMA_SOSP,IF(AA318="sí",100,KMA_PEN),IF(BB318&lt;=KMA_IDEAL_MAX,100,MAX(0,100*(KMA_CERO-BB318)/(KMA_CERO-KMA_IDEAL_MAX))))</f>
        <v/>
      </c>
      <c r="CA318" s="3">
        <f>MAX(0,MIN(100,100*(M318-ANIO_MIN)/(ANIO_ACTUAL-ANIO_MIN)))</f>
        <v/>
      </c>
      <c r="CB318" s="3">
        <f>W_KMT*BY318+W_KMA*BZ318+W_EDAD*CA318</f>
        <v/>
      </c>
      <c r="CC318" s="3">
        <f>P_ITV*(V318="sí")+P_LIBRO*(W318="sí")+P_CORREA*(X318="sí")+P_PROP*(Y318=1)+P_GAR*(Z318="sí")+P_FOTOS*MIN(1,N(U318)/FOTOS_OBJ)</f>
        <v/>
      </c>
      <c r="CD318" s="3">
        <f>MAX(0,MIN(100,IFERROR(VLOOKUP(BP318,ETQ_TBL,2,0),0)-IF(BQ318="sí",ETQ_PEN_DUD,IF(AS318="regla",ETQ_PEN_REGLA,0))))</f>
        <v/>
      </c>
      <c r="CE318" s="3">
        <f>NEUTRO</f>
        <v/>
      </c>
      <c r="CF318" s="3">
        <f>IFERROR(VLOOKUP(L318,SEGURO_TBL,3,0),"")</f>
        <v/>
      </c>
      <c r="CG318" s="3">
        <f>IF(CF318="",NEUTRO,MAX(0,MIN(100,100*(SEG_REF_MAX-CF318)/(SEG_REF_MAX-SEG_REF_MIN))))</f>
        <v/>
      </c>
      <c r="CH318" s="3">
        <f>W_CONS*CE318+W_SEG*CG318</f>
        <v/>
      </c>
      <c r="CI318" s="3">
        <f>IF(N(AB318)&gt;0,AB318,IF(AND(R318="profesional",SG_LEGAL_ON=1),GAR_LEGAL,0))</f>
        <v/>
      </c>
      <c r="CJ318" s="3">
        <f>SG_GAR*MIN(1,CI318/SG_GAR_FULL)+SG_AMPL*(AC318="sí")+SG_KMC*(AF318="sí")+SG_REV*(N(AE318)&gt;0)+SG_DEV*MIN(1,N(AG318)/SG_DEV_FULL)+SG_HIST*(W318="sí")</f>
        <v/>
      </c>
      <c r="CK318" s="3">
        <f>IFERROR(VLOOKUP(L318,CARR_PEN_TBL,2,0),0)</f>
        <v/>
      </c>
      <c r="CL318" s="3">
        <f>W_FIAB*BW318+W_PRECIO*BX318+W_KMEDAD*CB318+W_ANUNCIO*CC318+W_USO*CH318+W_SEGURIDAD*CJ318+W_ETIQUETA*CD318-CK318</f>
        <v/>
      </c>
      <c r="CM318" s="4">
        <f>IF(N(I318)&gt;0,I318,IFERROR(ROUND(_xlfn.NUMBERVALUE(LEFT(G318,FIND(" ",G318&amp;" ")-1),".")*1000,0),99999))</f>
        <v/>
      </c>
      <c r="CN318" s="3">
        <f>IF(R318="profesional",0,IF(O318&lt;CUOTA_VALOR_MAX,IF(BA318&gt;ITP_TRAMO_ALTO,SUMIFS(CF_CUOTA,CF_MAS,ITP_TRAMO_ALTO,CF_CCMIN,"&lt;="&amp;CM318,CF_CCMAX,"&gt;="&amp;CM318),IF(BA318&gt;ITP_TRAMO_BAJO,SUMIFS(CF_CUOTA,CF_MAS,ITP_TRAMO_BAJO,CF_CCMIN,"&lt;="&amp;CM318,CF_CCMAX,"&gt;="&amp;CM318),O318*ITP_TIPO)),O318*ITP_TIPO))</f>
        <v/>
      </c>
      <c r="CO318" s="4">
        <f>IF(R318="profesional",N(AK318),0)</f>
        <v/>
      </c>
      <c r="CP318" s="3">
        <f>IF(AND(R318="profesional",ISNUMBER(AK318),AL318="sí"),0,TASA_DGT)</f>
        <v/>
      </c>
      <c r="CQ318" s="3">
        <f>INFORME_DGT</f>
        <v/>
      </c>
      <c r="CR318" s="4">
        <f>O318+CO318+CN318+CP318+CQ318</f>
        <v/>
      </c>
      <c r="CS318" s="4">
        <f>CR318+N(CF318)</f>
        <v/>
      </c>
      <c r="CT318" s="3">
        <f>IF(CR318&lt;=TOTAL_MAX,"sí",IF(CR318&lt;=TOTAL_MAX+MARGEN_NEG,"negociar","no"))</f>
        <v/>
      </c>
      <c r="CU318" s="4">
        <f>IF(CT318&lt;&gt;"no",COUNTIFS($CT$2:$CT$545,"&lt;&gt;no",$CL$2:$CL$545,"&gt;"&amp;CL318)+COUNTIFS($CT$2:CT318,"&lt;&gt;no",$CL$2:CL318,CL318),"")</f>
        <v/>
      </c>
    </row>
    <row r="319">
      <c r="A319" s="2" t="inlineStr">
        <is>
          <t>cochesnet:71599225</t>
        </is>
      </c>
      <c r="B319" s="2" t="inlineStr">
        <is>
          <t>cochesnet</t>
        </is>
      </c>
      <c r="C319" s="2" t="inlineStr">
        <is>
          <t>https://www.coches.net/opel-astra-19-cdti-enjoy-120-cv-5p-diesel-2007-en-valencia-71599225-covo.aspx</t>
        </is>
      </c>
      <c r="D319" s="2" t="inlineStr">
        <is>
          <t>OPEL Astra 1.9 CDTi Enjoy 120 CV</t>
        </is>
      </c>
      <c r="E319" s="2" t="inlineStr">
        <is>
          <t>Opel</t>
        </is>
      </c>
      <c r="F319" s="2" t="inlineStr">
        <is>
          <t>Opel Astra</t>
        </is>
      </c>
      <c r="G319" s="2" t="inlineStr">
        <is>
          <t>1.9 CDTi</t>
        </is>
      </c>
      <c r="H319" s="2" t="inlineStr">
        <is>
          <t>1.9 CDTi Enjoy 120 CV</t>
        </is>
      </c>
      <c r="I319" s="2" t="n"/>
      <c r="J319" s="2" t="n">
        <v>120</v>
      </c>
      <c r="K319" s="2" t="inlineStr">
        <is>
          <t>diesel</t>
        </is>
      </c>
      <c r="L319" s="2" t="inlineStr">
        <is>
          <t>compacto</t>
        </is>
      </c>
      <c r="M319" s="2" t="n">
        <v>2006</v>
      </c>
      <c r="N319" s="2" t="n">
        <v>129000</v>
      </c>
      <c r="O319" s="2" t="n">
        <v>4190</v>
      </c>
      <c r="P319" s="2" t="inlineStr">
        <is>
          <t>manual</t>
        </is>
      </c>
      <c r="Q319" s="2" t="inlineStr">
        <is>
          <t>no</t>
        </is>
      </c>
      <c r="R319" s="2" t="inlineStr">
        <is>
          <t>profesional</t>
        </is>
      </c>
      <c r="S319" s="2" t="inlineStr">
        <is>
          <t>Only Cars Valencia Aldaia</t>
        </is>
      </c>
      <c r="T319" s="2" t="inlineStr">
        <is>
          <t>2026-09-25T16:51:25Z</t>
        </is>
      </c>
      <c r="U319" s="2" t="n">
        <v>11</v>
      </c>
      <c r="V319" s="2" t="n"/>
      <c r="W319" s="2" t="n"/>
      <c r="X319" s="2" t="n"/>
      <c r="Y319" s="2" t="n"/>
      <c r="Z319" s="2" t="inlineStr">
        <is>
          <t>sí</t>
        </is>
      </c>
      <c r="AA319" s="2" t="n"/>
      <c r="AB319" s="2" t="n">
        <v>12</v>
      </c>
      <c r="AC319" s="2" t="n"/>
      <c r="AD319" s="2" t="n"/>
      <c r="AE319" s="2" t="n"/>
      <c r="AF319" s="2" t="n"/>
      <c r="AG319" s="2" t="n"/>
      <c r="AH319" s="2" t="n">
        <v>4190</v>
      </c>
      <c r="AI319" s="2" t="n"/>
      <c r="AJ319" s="2" t="n"/>
      <c r="AK319" s="2" t="n"/>
      <c r="AL319" s="2" t="n"/>
      <c r="AM319" s="2" t="n">
        <v>7.5</v>
      </c>
      <c r="AN319" s="2" t="n"/>
      <c r="AO319" s="2" t="inlineStr">
        <is>
          <t>2006</t>
        </is>
      </c>
      <c r="AP319" s="2" t="n">
        <v>2006</v>
      </c>
      <c r="AQ319" s="2" t="n"/>
      <c r="AR319" s="2" t="inlineStr">
        <is>
          <t>B</t>
        </is>
      </c>
      <c r="AS319" s="2" t="inlineStr">
        <is>
          <t>anuncio</t>
        </is>
      </c>
      <c r="AT319" s="2" t="n">
        <v>3725</v>
      </c>
      <c r="AU319" s="2" t="n">
        <v>12</v>
      </c>
      <c r="AV319" s="2" t="inlineStr">
        <is>
          <t>modelo+año+km</t>
        </is>
      </c>
      <c r="AW319" s="2" t="n"/>
      <c r="AX319" s="2" t="inlineStr">
        <is>
          <t>vendedor profesional: sin ITP (operación con IVA/REBU, confirmar en factura); gastos de gestión del vendedor no indicados: se suma la tasa DGT; preguntar el precio final; diésel: motor sin fuente de fiabilidad (fiabilidad limitada a neutra)</t>
        </is>
      </c>
      <c r="AY319" s="2" t="inlineStr">
        <is>
          <t>Opel Astra 1.9 CDTI Enjoy año 2006 con 129.000Kms 120CV.
Equipamiento:
- elevalunas eléctricos 
- Espejos eléctricos 
- Aire acondicionado 
- Dirección asistida
- Mando a distancia 
Mantenimiento:
   - cambio de filtro de aire
   - cambio de filtro de aceite
   - cambio de aceite 
   - Dos juegos de llave
   - Alfombrillas</t>
        </is>
      </c>
      <c r="AZ319" s="2" t="inlineStr">
        <is>
          <t>https://www.coches.net/opel-astra-19-cdti-enjoy-120-cv-5p-diesel-2007-en-valencia-71599225-covo.aspx (window.__INITIAL_PROPS__.ad) /home/user/Alopecia/buscador-coches/raw/cochesnet/f421bcba4a0c6277.json</t>
        </is>
      </c>
      <c r="BA319" s="3">
        <f>MAX(ANIO_ACTUAL-M319,0)</f>
        <v/>
      </c>
      <c r="BB319" s="4">
        <f>N319/MAX(BA319,0.5)</f>
        <v/>
      </c>
      <c r="BC319" s="4">
        <f>F319</f>
        <v/>
      </c>
      <c r="BD319" s="3">
        <f>BC319&amp;"|"&amp;INT(M319/SEG_ANIO)*SEG_ANIO</f>
        <v/>
      </c>
      <c r="BE319" s="3">
        <f>BD319&amp;"|"&amp;INT(N319/SEG_KM)*SEG_KM</f>
        <v/>
      </c>
      <c r="BF319" s="4">
        <f>COUNTIF($BC$2:$BC$545,BC319)</f>
        <v/>
      </c>
      <c r="BG319" s="4">
        <f>COUNTIF($BD$2:$BD$545,BD319)</f>
        <v/>
      </c>
      <c r="BH319" s="4">
        <f>COUNTIF($BE$2:$BE$545,BE319)</f>
        <v/>
      </c>
      <c r="BI319" s="3">
        <f t="array" ref="BI319">IF(N(AU319)&gt;=MIN_N,AT319,IF(BH319&gt;=MIN_N,MEDIAN(IF($BE$2:$BE$545=BE319,$O$2:$O$545)),IF(BG319&gt;=MIN_N,MEDIAN(IF($BD$2:$BD$545=BD319,$O$2:$O$545)),MEDIAN(IF($BC$2:$BC$545=BC319,$O$2:$O$545)))))</f>
        <v/>
      </c>
      <c r="BJ319" s="3">
        <f>IF(N(AU319)&gt;=MIN_N,"mercado "&amp;AV319,IF(BH319&gt;=MIN_N,"modelo+año+km",IF(BG319&gt;=MIN_N,"modelo+año","modelo")))</f>
        <v/>
      </c>
      <c r="BK319" s="4">
        <f>(BI319-O319)/BI319</f>
        <v/>
      </c>
      <c r="BL319" s="3">
        <f>IF(COUNTIFS(FR_FUEL,K319,FR_YEAR,AP319)&gt;0,1,0)</f>
        <v/>
      </c>
      <c r="BM319" s="3">
        <f>IF(COUNTIFS(FR_FUEL,K319,FR_YEAR,AP319-1)&gt;0,1,0)</f>
        <v/>
      </c>
      <c r="BN319" s="4">
        <f>IF(N(AQ319)&gt;0,AP319*100+AQ319,IF(AND(BL319=1,BM319=1),(AP319-1)*100+1,AP319*100+1))</f>
        <v/>
      </c>
      <c r="BO319" s="3">
        <f>IF(OR(K319="hibrido",K319="glp",K319="gnc",K319="phev"),"ECO",IF(K319="electrico","CERO",IF(K319="gasolina",IF(BN319&gt;=GAS_C_YM,"C",IF(BN319&gt;=GAS_B_YM,"B","A")),IF(K319="diesel",IF(BN319&gt;=DIE_C_YM,"C",IF(BN319&gt;=DIE_B_YM,"B","A")),""))))</f>
        <v/>
      </c>
      <c r="BP319" s="2" t="inlineStr">
        <is>
          <t>B</t>
        </is>
      </c>
      <c r="BQ319" s="4">
        <f>IF(AS319="regla",IF(AND(N(AQ319)=0,BL319=1),"sí","no"),"no")</f>
        <v/>
      </c>
      <c r="BR319" s="3">
        <f>IFERROR(VLOOKUP(F319,MOD_TBL,11,0),IFERROR(VLOOKUP(E319,OCU_TBL,2,0),NEUTRO))</f>
        <v/>
      </c>
      <c r="BS319" s="3">
        <f>SUMIFS(MOT_AJUSTE,MOT_MOTOR,G319,MOT_MARCA,E319,MOT_DESDE,"&lt;="&amp;M319,MOT_HASTA,"&gt;="&amp;M319)+SUMIFS(MOT_AJUSTE,MOT_MOTOR,G319,MOT_MARCA,"(todas)",MOT_DESDE,"&lt;="&amp;M319,MOT_HASTA,"&gt;="&amp;M319)</f>
        <v/>
      </c>
      <c r="BT319" s="3">
        <f>SUMIFS(COMB_AJUSTE,COMB_COMB,K319)</f>
        <v/>
      </c>
      <c r="BU319" s="3">
        <f>COUNTIFS(MOT_MOTOR,G319,MOT_MARCA,E319,MOT_DESDE,"&lt;="&amp;M319,MOT_HASTA,"&gt;="&amp;M319)+COUNTIFS(MOT_MOTOR,G319,MOT_MARCA,"(todas)",MOT_DESDE,"&lt;="&amp;M319,MOT_HASTA,"&gt;="&amp;M319)</f>
        <v/>
      </c>
      <c r="BV319" s="3">
        <f>IF(AND(K319="diesel",BU319=0),MIN(BR319,NEUTRO),BR319)</f>
        <v/>
      </c>
      <c r="BW319" s="4">
        <f>MAX(0,MIN(100,BV319+BS319+BT319))</f>
        <v/>
      </c>
      <c r="BX319" s="3">
        <f>MAX(0,MIN(100,50+BK319*PRECIO_PEND))</f>
        <v/>
      </c>
      <c r="BY319" s="3">
        <f>MAX(0,100*(1-N319/KM_MAX))</f>
        <v/>
      </c>
      <c r="BZ319" s="3">
        <f>IF(BB319&lt;KMA_SOSP,IF(AA319="sí",100,KMA_PEN),IF(BB319&lt;=KMA_IDEAL_MAX,100,MAX(0,100*(KMA_CERO-BB319)/(KMA_CERO-KMA_IDEAL_MAX))))</f>
        <v/>
      </c>
      <c r="CA319" s="3">
        <f>MAX(0,MIN(100,100*(M319-ANIO_MIN)/(ANIO_ACTUAL-ANIO_MIN)))</f>
        <v/>
      </c>
      <c r="CB319" s="3">
        <f>W_KMT*BY319+W_KMA*BZ319+W_EDAD*CA319</f>
        <v/>
      </c>
      <c r="CC319" s="3">
        <f>P_ITV*(V319="sí")+P_LIBRO*(W319="sí")+P_CORREA*(X319="sí")+P_PROP*(Y319=1)+P_GAR*(Z319="sí")+P_FOTOS*MIN(1,N(U319)/FOTOS_OBJ)</f>
        <v/>
      </c>
      <c r="CD319" s="3">
        <f>MAX(0,MIN(100,IFERROR(VLOOKUP(BP319,ETQ_TBL,2,0),0)-IF(BQ319="sí",ETQ_PEN_DUD,IF(AS319="regla",ETQ_PEN_REGLA,0))))</f>
        <v/>
      </c>
      <c r="CE319" s="3">
        <f>NEUTRO</f>
        <v/>
      </c>
      <c r="CF319" s="3">
        <f>IFERROR(VLOOKUP(L319,SEGURO_TBL,3,0),"")</f>
        <v/>
      </c>
      <c r="CG319" s="3">
        <f>IF(CF319="",NEUTRO,MAX(0,MIN(100,100*(SEG_REF_MAX-CF319)/(SEG_REF_MAX-SEG_REF_MIN))))</f>
        <v/>
      </c>
      <c r="CH319" s="3">
        <f>W_CONS*CE319+W_SEG*CG319</f>
        <v/>
      </c>
      <c r="CI319" s="3">
        <f>IF(N(AB319)&gt;0,AB319,IF(AND(R319="profesional",SG_LEGAL_ON=1),GAR_LEGAL,0))</f>
        <v/>
      </c>
      <c r="CJ319" s="3">
        <f>SG_GAR*MIN(1,CI319/SG_GAR_FULL)+SG_AMPL*(AC319="sí")+SG_KMC*(AF319="sí")+SG_REV*(N(AE319)&gt;0)+SG_DEV*MIN(1,N(AG319)/SG_DEV_FULL)+SG_HIST*(W319="sí")</f>
        <v/>
      </c>
      <c r="CK319" s="3">
        <f>IFERROR(VLOOKUP(L319,CARR_PEN_TBL,2,0),0)</f>
        <v/>
      </c>
      <c r="CL319" s="3">
        <f>W_FIAB*BW319+W_PRECIO*BX319+W_KMEDAD*CB319+W_ANUNCIO*CC319+W_USO*CH319+W_SEGURIDAD*CJ319+W_ETIQUETA*CD319-CK319</f>
        <v/>
      </c>
      <c r="CM319" s="4">
        <f>IF(N(I319)&gt;0,I319,IFERROR(ROUND(_xlfn.NUMBERVALUE(LEFT(G319,FIND(" ",G319&amp;" ")-1),".")*1000,0),99999))</f>
        <v/>
      </c>
      <c r="CN319" s="3">
        <f>IF(R319="profesional",0,IF(O319&lt;CUOTA_VALOR_MAX,IF(BA319&gt;ITP_TRAMO_ALTO,SUMIFS(CF_CUOTA,CF_MAS,ITP_TRAMO_ALTO,CF_CCMIN,"&lt;="&amp;CM319,CF_CCMAX,"&gt;="&amp;CM319),IF(BA319&gt;ITP_TRAMO_BAJO,SUMIFS(CF_CUOTA,CF_MAS,ITP_TRAMO_BAJO,CF_CCMIN,"&lt;="&amp;CM319,CF_CCMAX,"&gt;="&amp;CM319),O319*ITP_TIPO)),O319*ITP_TIPO))</f>
        <v/>
      </c>
      <c r="CO319" s="4">
        <f>IF(R319="profesional",N(AK319),0)</f>
        <v/>
      </c>
      <c r="CP319" s="3">
        <f>IF(AND(R319="profesional",ISNUMBER(AK319),AL319="sí"),0,TASA_DGT)</f>
        <v/>
      </c>
      <c r="CQ319" s="3">
        <f>INFORME_DGT</f>
        <v/>
      </c>
      <c r="CR319" s="4">
        <f>O319+CO319+CN319+CP319+CQ319</f>
        <v/>
      </c>
      <c r="CS319" s="4">
        <f>CR319+N(CF319)</f>
        <v/>
      </c>
      <c r="CT319" s="3">
        <f>IF(CR319&lt;=TOTAL_MAX,"sí",IF(CR319&lt;=TOTAL_MAX+MARGEN_NEG,"negociar","no"))</f>
        <v/>
      </c>
      <c r="CU319" s="4">
        <f>IF(CT319&lt;&gt;"no",COUNTIFS($CT$2:$CT$545,"&lt;&gt;no",$CL$2:$CL$545,"&gt;"&amp;CL319)+COUNTIFS($CT$2:CT319,"&lt;&gt;no",$CL$2:CL319,CL319),"")</f>
        <v/>
      </c>
    </row>
    <row r="320">
      <c r="A320" s="2" t="inlineStr">
        <is>
          <t>cochesnet:71859065</t>
        </is>
      </c>
      <c r="B320" s="2" t="inlineStr">
        <is>
          <t>cochesnet</t>
        </is>
      </c>
      <c r="C320" s="2" t="inlineStr">
        <is>
          <t>https://www.coches.net/opel-astra-20-cdti-165-cv-excellence-auto-st-5p-diesel-2015-en-valencia-71859065-covo.aspx</t>
        </is>
      </c>
      <c r="D320" s="2" t="inlineStr">
        <is>
          <t>OPEL Astra 2.0 CDTi 165 CV Excellence Auto ST</t>
        </is>
      </c>
      <c r="E320" s="2" t="inlineStr">
        <is>
          <t>Opel</t>
        </is>
      </c>
      <c r="F320" s="2" t="inlineStr">
        <is>
          <t>Opel Astra</t>
        </is>
      </c>
      <c r="G320" s="2" t="inlineStr">
        <is>
          <t>2.0 CDTi</t>
        </is>
      </c>
      <c r="H320" s="2" t="inlineStr">
        <is>
          <t>2.0 CDTi 165 CV Excellence Auto ST</t>
        </is>
      </c>
      <c r="I320" s="2" t="n"/>
      <c r="J320" s="2" t="n">
        <v>165</v>
      </c>
      <c r="K320" s="2" t="inlineStr">
        <is>
          <t>diesel</t>
        </is>
      </c>
      <c r="L320" s="2" t="inlineStr">
        <is>
          <t>familiar</t>
        </is>
      </c>
      <c r="M320" s="2" t="n">
        <v>2015</v>
      </c>
      <c r="N320" s="2" t="n">
        <v>200000</v>
      </c>
      <c r="O320" s="2" t="n">
        <v>4850</v>
      </c>
      <c r="P320" s="2" t="inlineStr">
        <is>
          <t>automatico</t>
        </is>
      </c>
      <c r="Q320" s="2" t="inlineStr">
        <is>
          <t>sí</t>
        </is>
      </c>
      <c r="R320" s="2" t="inlineStr">
        <is>
          <t>particular</t>
        </is>
      </c>
      <c r="S320" s="2" t="n"/>
      <c r="T320" s="2" t="inlineStr">
        <is>
          <t>2026-10-29T06:46:11Z</t>
        </is>
      </c>
      <c r="U320" s="2" t="n">
        <v>1</v>
      </c>
      <c r="V320" s="2" t="n"/>
      <c r="W320" s="2" t="n"/>
      <c r="X320" s="2" t="n"/>
      <c r="Y320" s="2" t="n">
        <v>1</v>
      </c>
      <c r="Z320" s="2" t="inlineStr">
        <is>
          <t>no</t>
        </is>
      </c>
      <c r="AA320" s="2" t="n"/>
      <c r="AB320" s="2" t="n"/>
      <c r="AC320" s="2" t="n"/>
      <c r="AD320" s="2" t="n"/>
      <c r="AE320" s="2" t="n"/>
      <c r="AF320" s="2" t="n"/>
      <c r="AG320" s="2" t="n"/>
      <c r="AH320" s="2" t="n">
        <v>4850</v>
      </c>
      <c r="AI320" s="2" t="n"/>
      <c r="AJ320" s="2" t="n"/>
      <c r="AK320" s="2" t="n"/>
      <c r="AL320" s="2" t="n"/>
      <c r="AM320" s="2" t="n"/>
      <c r="AN320" s="2" t="n"/>
      <c r="AO320" s="2" t="inlineStr">
        <is>
          <t>2015</t>
        </is>
      </c>
      <c r="AP320" s="2" t="n">
        <v>2015</v>
      </c>
      <c r="AQ320" s="2" t="n"/>
      <c r="AR320" s="2" t="n"/>
      <c r="AS320" s="2" t="inlineStr">
        <is>
          <t>regla</t>
        </is>
      </c>
      <c r="AT320" s="2" t="n">
        <v>5300</v>
      </c>
      <c r="AU320" s="2" t="n">
        <v>30</v>
      </c>
      <c r="AV320" s="2" t="inlineStr">
        <is>
          <t>modelo+año</t>
        </is>
      </c>
      <c r="AW320" s="2" t="n"/>
      <c r="AX320" s="2" t="inlineStr">
        <is>
          <t>etiqueta B dudosa: confirmar etiqueta con la DGT antes de comprar; por encima del presupuesto (5094 €), negociar; cuota fija ITP: &gt;5 y &lt;=12 años, 1.501-2.000 cc; diésel: motor sin fuente de fiabilidad (fiabilidad limitada a neutra); carrocería familiar: -3 puntos; distancia no verificable (el anuncio solo indica la provincia): confirmar que está a &lt;= 70 km</t>
        </is>
      </c>
      <c r="AY320" s="2" t="inlineStr">
        <is>
          <t>Vendo Opel Astra 2.0cdti  165 caballos automático tiene todos los extras coche de único dueño más información por privado. Gracias</t>
        </is>
      </c>
      <c r="AZ320" s="2" t="inlineStr">
        <is>
          <t>https://www.coches.net/opel-astra-20-cdti-165-cv-excellence-auto-st-5p-diesel-2015-en-valencia-71859065-covo.aspx (window.__INITIAL_PROPS__.ad) /home/user/Alopecia/buscador-coches/raw/cochesnet/96e5c359755bc3a5.json</t>
        </is>
      </c>
      <c r="BA320" s="3">
        <f>MAX(ANIO_ACTUAL-M320,0)</f>
        <v/>
      </c>
      <c r="BB320" s="4">
        <f>N320/MAX(BA320,0.5)</f>
        <v/>
      </c>
      <c r="BC320" s="4">
        <f>F320</f>
        <v/>
      </c>
      <c r="BD320" s="3">
        <f>BC320&amp;"|"&amp;INT(M320/SEG_ANIO)*SEG_ANIO</f>
        <v/>
      </c>
      <c r="BE320" s="3">
        <f>BD320&amp;"|"&amp;INT(N320/SEG_KM)*SEG_KM</f>
        <v/>
      </c>
      <c r="BF320" s="4">
        <f>COUNTIF($BC$2:$BC$545,BC320)</f>
        <v/>
      </c>
      <c r="BG320" s="4">
        <f>COUNTIF($BD$2:$BD$545,BD320)</f>
        <v/>
      </c>
      <c r="BH320" s="4">
        <f>COUNTIF($BE$2:$BE$545,BE320)</f>
        <v/>
      </c>
      <c r="BI320" s="3">
        <f t="array" ref="BI320">IF(N(AU320)&gt;=MIN_N,AT320,IF(BH320&gt;=MIN_N,MEDIAN(IF($BE$2:$BE$545=BE320,$O$2:$O$545)),IF(BG320&gt;=MIN_N,MEDIAN(IF($BD$2:$BD$545=BD320,$O$2:$O$545)),MEDIAN(IF($BC$2:$BC$545=BC320,$O$2:$O$545)))))</f>
        <v/>
      </c>
      <c r="BJ320" s="3">
        <f>IF(N(AU320)&gt;=MIN_N,"mercado "&amp;AV320,IF(BH320&gt;=MIN_N,"modelo+año+km",IF(BG320&gt;=MIN_N,"modelo+año","modelo")))</f>
        <v/>
      </c>
      <c r="BK320" s="4">
        <f>(BI320-O320)/BI320</f>
        <v/>
      </c>
      <c r="BL320" s="3">
        <f>IF(COUNTIFS(FR_FUEL,K320,FR_YEAR,AP320)&gt;0,1,0)</f>
        <v/>
      </c>
      <c r="BM320" s="3">
        <f>IF(COUNTIFS(FR_FUEL,K320,FR_YEAR,AP320-1)&gt;0,1,0)</f>
        <v/>
      </c>
      <c r="BN320" s="4">
        <f>IF(N(AQ320)&gt;0,AP320*100+AQ320,IF(AND(BL320=1,BM320=1),(AP320-1)*100+1,AP320*100+1))</f>
        <v/>
      </c>
      <c r="BO320" s="3">
        <f>IF(OR(K320="hibrido",K320="glp",K320="gnc",K320="phev"),"ECO",IF(K320="electrico","CERO",IF(K320="gasolina",IF(BN320&gt;=GAS_C_YM,"C",IF(BN320&gt;=GAS_B_YM,"B","A")),IF(K320="diesel",IF(BN320&gt;=DIE_C_YM,"C",IF(BN320&gt;=DIE_B_YM,"B","A")),""))))</f>
        <v/>
      </c>
      <c r="BP320" s="4">
        <f>BO320</f>
        <v/>
      </c>
      <c r="BQ320" s="4">
        <f>IF(AS320="regla",IF(AND(N(AQ320)=0,BL320=1),"sí","no"),"no")</f>
        <v/>
      </c>
      <c r="BR320" s="3">
        <f>IFERROR(VLOOKUP(F320,MOD_TBL,11,0),IFERROR(VLOOKUP(E320,OCU_TBL,2,0),NEUTRO))</f>
        <v/>
      </c>
      <c r="BS320" s="3">
        <f>SUMIFS(MOT_AJUSTE,MOT_MOTOR,G320,MOT_MARCA,E320,MOT_DESDE,"&lt;="&amp;M320,MOT_HASTA,"&gt;="&amp;M320)+SUMIFS(MOT_AJUSTE,MOT_MOTOR,G320,MOT_MARCA,"(todas)",MOT_DESDE,"&lt;="&amp;M320,MOT_HASTA,"&gt;="&amp;M320)</f>
        <v/>
      </c>
      <c r="BT320" s="3">
        <f>SUMIFS(COMB_AJUSTE,COMB_COMB,K320)</f>
        <v/>
      </c>
      <c r="BU320" s="3">
        <f>COUNTIFS(MOT_MOTOR,G320,MOT_MARCA,E320,MOT_DESDE,"&lt;="&amp;M320,MOT_HASTA,"&gt;="&amp;M320)+COUNTIFS(MOT_MOTOR,G320,MOT_MARCA,"(todas)",MOT_DESDE,"&lt;="&amp;M320,MOT_HASTA,"&gt;="&amp;M320)</f>
        <v/>
      </c>
      <c r="BV320" s="3">
        <f>IF(AND(K320="diesel",BU320=0),MIN(BR320,NEUTRO),BR320)</f>
        <v/>
      </c>
      <c r="BW320" s="4">
        <f>MAX(0,MIN(100,BV320+BS320+BT320))</f>
        <v/>
      </c>
      <c r="BX320" s="3">
        <f>MAX(0,MIN(100,50+BK320*PRECIO_PEND))</f>
        <v/>
      </c>
      <c r="BY320" s="3">
        <f>MAX(0,100*(1-N320/KM_MAX))</f>
        <v/>
      </c>
      <c r="BZ320" s="3">
        <f>IF(BB320&lt;KMA_SOSP,IF(AA320="sí",100,KMA_PEN),IF(BB320&lt;=KMA_IDEAL_MAX,100,MAX(0,100*(KMA_CERO-BB320)/(KMA_CERO-KMA_IDEAL_MAX))))</f>
        <v/>
      </c>
      <c r="CA320" s="3">
        <f>MAX(0,MIN(100,100*(M320-ANIO_MIN)/(ANIO_ACTUAL-ANIO_MIN)))</f>
        <v/>
      </c>
      <c r="CB320" s="3">
        <f>W_KMT*BY320+W_KMA*BZ320+W_EDAD*CA320</f>
        <v/>
      </c>
      <c r="CC320" s="3">
        <f>P_ITV*(V320="sí")+P_LIBRO*(W320="sí")+P_CORREA*(X320="sí")+P_PROP*(Y320=1)+P_GAR*(Z320="sí")+P_FOTOS*MIN(1,N(U320)/FOTOS_OBJ)</f>
        <v/>
      </c>
      <c r="CD320" s="3">
        <f>MAX(0,MIN(100,IFERROR(VLOOKUP(BP320,ETQ_TBL,2,0),0)-IF(BQ320="sí",ETQ_PEN_DUD,IF(AS320="regla",ETQ_PEN_REGLA,0))))</f>
        <v/>
      </c>
      <c r="CE320" s="3">
        <f>NEUTRO</f>
        <v/>
      </c>
      <c r="CF320" s="3">
        <f>IFERROR(VLOOKUP(L320,SEGURO_TBL,3,0),"")</f>
        <v/>
      </c>
      <c r="CG320" s="3">
        <f>IF(CF320="",NEUTRO,MAX(0,MIN(100,100*(SEG_REF_MAX-CF320)/(SEG_REF_MAX-SEG_REF_MIN))))</f>
        <v/>
      </c>
      <c r="CH320" s="3">
        <f>W_CONS*CE320+W_SEG*CG320</f>
        <v/>
      </c>
      <c r="CI320" s="3">
        <f>IF(N(AB320)&gt;0,AB320,IF(AND(R320="profesional",SG_LEGAL_ON=1),GAR_LEGAL,0))</f>
        <v/>
      </c>
      <c r="CJ320" s="3">
        <f>SG_GAR*MIN(1,CI320/SG_GAR_FULL)+SG_AMPL*(AC320="sí")+SG_KMC*(AF320="sí")+SG_REV*(N(AE320)&gt;0)+SG_DEV*MIN(1,N(AG320)/SG_DEV_FULL)+SG_HIST*(W320="sí")</f>
        <v/>
      </c>
      <c r="CK320" s="3">
        <f>IFERROR(VLOOKUP(L320,CARR_PEN_TBL,2,0),0)</f>
        <v/>
      </c>
      <c r="CL320" s="3">
        <f>W_FIAB*BW320+W_PRECIO*BX320+W_KMEDAD*CB320+W_ANUNCIO*CC320+W_USO*CH320+W_SEGURIDAD*CJ320+W_ETIQUETA*CD320-CK320</f>
        <v/>
      </c>
      <c r="CM320" s="4">
        <f>IF(N(I320)&gt;0,I320,IFERROR(ROUND(_xlfn.NUMBERVALUE(LEFT(G320,FIND(" ",G320&amp;" ")-1),".")*1000,0),99999))</f>
        <v/>
      </c>
      <c r="CN320" s="3">
        <f>IF(R320="profesional",0,IF(O320&lt;CUOTA_VALOR_MAX,IF(BA320&gt;ITP_TRAMO_ALTO,SUMIFS(CF_CUOTA,CF_MAS,ITP_TRAMO_ALTO,CF_CCMIN,"&lt;="&amp;CM320,CF_CCMAX,"&gt;="&amp;CM320),IF(BA320&gt;ITP_TRAMO_BAJO,SUMIFS(CF_CUOTA,CF_MAS,ITP_TRAMO_BAJO,CF_CCMIN,"&lt;="&amp;CM320,CF_CCMAX,"&gt;="&amp;CM320),O320*ITP_TIPO)),O320*ITP_TIPO))</f>
        <v/>
      </c>
      <c r="CO320" s="4">
        <f>IF(R320="profesional",N(AK320),0)</f>
        <v/>
      </c>
      <c r="CP320" s="3">
        <f>IF(AND(R320="profesional",ISNUMBER(AK320),AL320="sí"),0,TASA_DGT)</f>
        <v/>
      </c>
      <c r="CQ320" s="3">
        <f>INFORME_DGT</f>
        <v/>
      </c>
      <c r="CR320" s="4">
        <f>O320+CO320+CN320+CP320+CQ320</f>
        <v/>
      </c>
      <c r="CS320" s="4">
        <f>CR320+N(CF320)</f>
        <v/>
      </c>
      <c r="CT320" s="3">
        <f>IF(CR320&lt;=TOTAL_MAX,"sí",IF(CR320&lt;=TOTAL_MAX+MARGEN_NEG,"negociar","no"))</f>
        <v/>
      </c>
      <c r="CU320" s="4">
        <f>IF(CT320&lt;&gt;"no",COUNTIFS($CT$2:$CT$545,"&lt;&gt;no",$CL$2:$CL$545,"&gt;"&amp;CL320)+COUNTIFS($CT$2:CT320,"&lt;&gt;no",$CL$2:CL320,CL320),"")</f>
        <v/>
      </c>
    </row>
    <row r="321">
      <c r="A321" s="2" t="inlineStr">
        <is>
          <t>cochesnet:71722524</t>
        </is>
      </c>
      <c r="B321" s="2" t="inlineStr">
        <is>
          <t>cochesnet</t>
        </is>
      </c>
      <c r="C321" s="2" t="inlineStr">
        <is>
          <t>https://www.coches.net/opel-astra-14-enjoy-5p-gasolina-2006-en-valencia-71722524-covo.aspx</t>
        </is>
      </c>
      <c r="D321" s="2" t="inlineStr">
        <is>
          <t>OPEL Astra 1.4 Enjoy</t>
        </is>
      </c>
      <c r="E321" s="2" t="inlineStr">
        <is>
          <t>Opel</t>
        </is>
      </c>
      <c r="F321" s="2" t="inlineStr">
        <is>
          <t>Opel Astra</t>
        </is>
      </c>
      <c r="G321" s="2" t="inlineStr">
        <is>
          <t>1.4</t>
        </is>
      </c>
      <c r="H321" s="2" t="inlineStr">
        <is>
          <t>1.4 Enjoy</t>
        </is>
      </c>
      <c r="I321" s="2" t="n"/>
      <c r="J321" s="2" t="n"/>
      <c r="K321" s="2" t="inlineStr">
        <is>
          <t>gasolina</t>
        </is>
      </c>
      <c r="L321" s="2" t="inlineStr">
        <is>
          <t>compacto</t>
        </is>
      </c>
      <c r="M321" s="2" t="n">
        <v>2006</v>
      </c>
      <c r="N321" s="2" t="n">
        <v>78450</v>
      </c>
      <c r="O321" s="2" t="n">
        <v>4490</v>
      </c>
      <c r="P321" s="2" t="inlineStr">
        <is>
          <t>manual</t>
        </is>
      </c>
      <c r="Q321" s="2" t="inlineStr">
        <is>
          <t>no</t>
        </is>
      </c>
      <c r="R321" s="2" t="inlineStr">
        <is>
          <t>profesional</t>
        </is>
      </c>
      <c r="S321" s="2" t="inlineStr">
        <is>
          <t>Automóviles OCASIÓN.  Valencia</t>
        </is>
      </c>
      <c r="T321" s="2" t="inlineStr">
        <is>
          <t>2026-10-11T14:37:16Z</t>
        </is>
      </c>
      <c r="U321" s="2" t="n">
        <v>81</v>
      </c>
      <c r="V321" s="2" t="inlineStr">
        <is>
          <t>sí</t>
        </is>
      </c>
      <c r="W321" s="2" t="inlineStr">
        <is>
          <t>sí</t>
        </is>
      </c>
      <c r="X321" s="2" t="n"/>
      <c r="Y321" s="2" t="n">
        <v>1</v>
      </c>
      <c r="Z321" s="2" t="inlineStr">
        <is>
          <t>sí</t>
        </is>
      </c>
      <c r="AA321" s="2" t="n"/>
      <c r="AB321" s="2" t="n">
        <v>12</v>
      </c>
      <c r="AC321" s="2" t="n"/>
      <c r="AD321" s="2" t="n"/>
      <c r="AE321" s="2" t="n"/>
      <c r="AF321" s="2" t="inlineStr">
        <is>
          <t>sí</t>
        </is>
      </c>
      <c r="AG321" s="2" t="n"/>
      <c r="AH321" s="2" t="n">
        <v>4490</v>
      </c>
      <c r="AI321" s="2" t="n"/>
      <c r="AJ321" s="2" t="n"/>
      <c r="AK321" s="2" t="n"/>
      <c r="AL321" s="2" t="n"/>
      <c r="AM321" s="2" t="n">
        <v>0.1</v>
      </c>
      <c r="AN321" s="2" t="n"/>
      <c r="AO321" s="2" t="inlineStr">
        <is>
          <t>2006</t>
        </is>
      </c>
      <c r="AP321" s="2" t="n">
        <v>2006</v>
      </c>
      <c r="AQ321" s="2" t="n"/>
      <c r="AR321" s="2" t="inlineStr">
        <is>
          <t>B</t>
        </is>
      </c>
      <c r="AS321" s="2" t="inlineStr">
        <is>
          <t>anuncio</t>
        </is>
      </c>
      <c r="AT321" s="2" t="n">
        <v>2500</v>
      </c>
      <c r="AU321" s="2" t="n">
        <v>64</v>
      </c>
      <c r="AV321" s="2" t="inlineStr">
        <is>
          <t>modelo+año</t>
        </is>
      </c>
      <c r="AW321" s="2" t="n"/>
      <c r="AX321" s="2" t="inlineStr">
        <is>
          <t>vendedor profesional: sin ITP (operación con IVA/REBU, confirmar en factura); gastos de gestión del vendedor no indicados: se suma la tasa DGT; preguntar el precio final</t>
        </is>
      </c>
      <c r="AY321" s="2" t="inlineStr">
        <is>
          <t>****PARA MAS INFORMACIÓN, SOLO SE ATENDERÁ MEDIANTE LAMADA TELEFÓNICA. NO SE CONTESTARAN MENSAJES POR CHAT. SOLO LLAMADAS****
Vehículo DISPONIBLE - Entrega INMEDIATA (IMPECABLE).
*****Para + información, contactar SOLO por vía telefónica.
Para ver y probar el Vehículo siempre con CITA PREVIA*****.
Vehículo nacional. Único propietario. Historial de Mantenimiento del Vehículo. Kilómetros CERTIFICADOS. ITV en vigor hasta 2027 (Favorable). Revisión de mantenimiento + Kit de Distribución al día. Neumáticos Bridgestone. Dispone de pegatina medio ambiental.
EXTRAS: Acabado ENJOY/SPORT. Con Climatizador digital. Faros deportivos Xenón con óptica negra. Ordenador abordo. Sistema de Audio OPEL. Cierre centralizado. Elevalunas eléctricos. Retrovisores eléctricos. Abs/Esp/Airbargs/Isofix en asientos traseros. Antinieblas delanter/trasero. Gran capacidad de maletero. Pintura metalizada. Dispone de 2 llaves con mando. LLantas de aleación en 16 pulgadas. ETC.
Vehículo económico, amplio, versátil y de bajo consumo.
***Cambio de nombre. Más Seguro Mecánico PLUS de 1 año:  500.-€***.
Para + INFO, contactar solo por vía telefónica...</t>
        </is>
      </c>
      <c r="AZ321" s="2" t="inlineStr">
        <is>
          <t>https://www.coches.net/opel-astra-14-enjoy-5p-gasolina-2006-en-valencia-71722524-covo.aspx (window.__INITIAL_PROPS__.ad) /home/user/Alopecia/buscador-coches/raw/cochesnet/30ba241b7773e8c7.json</t>
        </is>
      </c>
      <c r="BA321" s="3">
        <f>MAX(ANIO_ACTUAL-M321,0)</f>
        <v/>
      </c>
      <c r="BB321" s="4">
        <f>N321/MAX(BA321,0.5)</f>
        <v/>
      </c>
      <c r="BC321" s="4">
        <f>F321</f>
        <v/>
      </c>
      <c r="BD321" s="3">
        <f>BC321&amp;"|"&amp;INT(M321/SEG_ANIO)*SEG_ANIO</f>
        <v/>
      </c>
      <c r="BE321" s="3">
        <f>BD321&amp;"|"&amp;INT(N321/SEG_KM)*SEG_KM</f>
        <v/>
      </c>
      <c r="BF321" s="4">
        <f>COUNTIF($BC$2:$BC$545,BC321)</f>
        <v/>
      </c>
      <c r="BG321" s="4">
        <f>COUNTIF($BD$2:$BD$545,BD321)</f>
        <v/>
      </c>
      <c r="BH321" s="4">
        <f>COUNTIF($BE$2:$BE$545,BE321)</f>
        <v/>
      </c>
      <c r="BI321" s="3">
        <f t="array" ref="BI321">IF(N(AU321)&gt;=MIN_N,AT321,IF(BH321&gt;=MIN_N,MEDIAN(IF($BE$2:$BE$545=BE321,$O$2:$O$545)),IF(BG321&gt;=MIN_N,MEDIAN(IF($BD$2:$BD$545=BD321,$O$2:$O$545)),MEDIAN(IF($BC$2:$BC$545=BC321,$O$2:$O$545)))))</f>
        <v/>
      </c>
      <c r="BJ321" s="3">
        <f>IF(N(AU321)&gt;=MIN_N,"mercado "&amp;AV321,IF(BH321&gt;=MIN_N,"modelo+año+km",IF(BG321&gt;=MIN_N,"modelo+año","modelo")))</f>
        <v/>
      </c>
      <c r="BK321" s="4">
        <f>(BI321-O321)/BI321</f>
        <v/>
      </c>
      <c r="BL321" s="3">
        <f>IF(COUNTIFS(FR_FUEL,K321,FR_YEAR,AP321)&gt;0,1,0)</f>
        <v/>
      </c>
      <c r="BM321" s="3">
        <f>IF(COUNTIFS(FR_FUEL,K321,FR_YEAR,AP321-1)&gt;0,1,0)</f>
        <v/>
      </c>
      <c r="BN321" s="4">
        <f>IF(N(AQ321)&gt;0,AP321*100+AQ321,IF(AND(BL321=1,BM321=1),(AP321-1)*100+1,AP321*100+1))</f>
        <v/>
      </c>
      <c r="BO321" s="3">
        <f>IF(OR(K321="hibrido",K321="glp",K321="gnc",K321="phev"),"ECO",IF(K321="electrico","CERO",IF(K321="gasolina",IF(BN321&gt;=GAS_C_YM,"C",IF(BN321&gt;=GAS_B_YM,"B","A")),IF(K321="diesel",IF(BN321&gt;=DIE_C_YM,"C",IF(BN321&gt;=DIE_B_YM,"B","A")),""))))</f>
        <v/>
      </c>
      <c r="BP321" s="2" t="inlineStr">
        <is>
          <t>B</t>
        </is>
      </c>
      <c r="BQ321" s="4">
        <f>IF(AS321="regla",IF(AND(N(AQ321)=0,BL321=1),"sí","no"),"no")</f>
        <v/>
      </c>
      <c r="BR321" s="3">
        <f>IFERROR(VLOOKUP(F321,MOD_TBL,11,0),IFERROR(VLOOKUP(E321,OCU_TBL,2,0),NEUTRO))</f>
        <v/>
      </c>
      <c r="BS321" s="3">
        <f>SUMIFS(MOT_AJUSTE,MOT_MOTOR,G321,MOT_MARCA,E321,MOT_DESDE,"&lt;="&amp;M321,MOT_HASTA,"&gt;="&amp;M321)+SUMIFS(MOT_AJUSTE,MOT_MOTOR,G321,MOT_MARCA,"(todas)",MOT_DESDE,"&lt;="&amp;M321,MOT_HASTA,"&gt;="&amp;M321)</f>
        <v/>
      </c>
      <c r="BT321" s="3">
        <f>SUMIFS(COMB_AJUSTE,COMB_COMB,K321)</f>
        <v/>
      </c>
      <c r="BU321" s="3">
        <f>COUNTIFS(MOT_MOTOR,G321,MOT_MARCA,E321,MOT_DESDE,"&lt;="&amp;M321,MOT_HASTA,"&gt;="&amp;M321)+COUNTIFS(MOT_MOTOR,G321,MOT_MARCA,"(todas)",MOT_DESDE,"&lt;="&amp;M321,MOT_HASTA,"&gt;="&amp;M321)</f>
        <v/>
      </c>
      <c r="BV321" s="3">
        <f>IF(AND(K321="diesel",BU321=0),MIN(BR321,NEUTRO),BR321)</f>
        <v/>
      </c>
      <c r="BW321" s="4">
        <f>MAX(0,MIN(100,BV321+BS321+BT321))</f>
        <v/>
      </c>
      <c r="BX321" s="3">
        <f>MAX(0,MIN(100,50+BK321*PRECIO_PEND))</f>
        <v/>
      </c>
      <c r="BY321" s="3">
        <f>MAX(0,100*(1-N321/KM_MAX))</f>
        <v/>
      </c>
      <c r="BZ321" s="3">
        <f>IF(BB321&lt;KMA_SOSP,IF(AA321="sí",100,KMA_PEN),IF(BB321&lt;=KMA_IDEAL_MAX,100,MAX(0,100*(KMA_CERO-BB321)/(KMA_CERO-KMA_IDEAL_MAX))))</f>
        <v/>
      </c>
      <c r="CA321" s="3">
        <f>MAX(0,MIN(100,100*(M321-ANIO_MIN)/(ANIO_ACTUAL-ANIO_MIN)))</f>
        <v/>
      </c>
      <c r="CB321" s="3">
        <f>W_KMT*BY321+W_KMA*BZ321+W_EDAD*CA321</f>
        <v/>
      </c>
      <c r="CC321" s="3">
        <f>P_ITV*(V321="sí")+P_LIBRO*(W321="sí")+P_CORREA*(X321="sí")+P_PROP*(Y321=1)+P_GAR*(Z321="sí")+P_FOTOS*MIN(1,N(U321)/FOTOS_OBJ)</f>
        <v/>
      </c>
      <c r="CD321" s="3">
        <f>MAX(0,MIN(100,IFERROR(VLOOKUP(BP321,ETQ_TBL,2,0),0)-IF(BQ321="sí",ETQ_PEN_DUD,IF(AS321="regla",ETQ_PEN_REGLA,0))))</f>
        <v/>
      </c>
      <c r="CE321" s="3">
        <f>NEUTRO</f>
        <v/>
      </c>
      <c r="CF321" s="3">
        <f>IFERROR(VLOOKUP(L321,SEGURO_TBL,3,0),"")</f>
        <v/>
      </c>
      <c r="CG321" s="3">
        <f>IF(CF321="",NEUTRO,MAX(0,MIN(100,100*(SEG_REF_MAX-CF321)/(SEG_REF_MAX-SEG_REF_MIN))))</f>
        <v/>
      </c>
      <c r="CH321" s="3">
        <f>W_CONS*CE321+W_SEG*CG321</f>
        <v/>
      </c>
      <c r="CI321" s="3">
        <f>IF(N(AB321)&gt;0,AB321,IF(AND(R321="profesional",SG_LEGAL_ON=1),GAR_LEGAL,0))</f>
        <v/>
      </c>
      <c r="CJ321" s="3">
        <f>SG_GAR*MIN(1,CI321/SG_GAR_FULL)+SG_AMPL*(AC321="sí")+SG_KMC*(AF321="sí")+SG_REV*(N(AE321)&gt;0)+SG_DEV*MIN(1,N(AG321)/SG_DEV_FULL)+SG_HIST*(W321="sí")</f>
        <v/>
      </c>
      <c r="CK321" s="3">
        <f>IFERROR(VLOOKUP(L321,CARR_PEN_TBL,2,0),0)</f>
        <v/>
      </c>
      <c r="CL321" s="3">
        <f>W_FIAB*BW321+W_PRECIO*BX321+W_KMEDAD*CB321+W_ANUNCIO*CC321+W_USO*CH321+W_SEGURIDAD*CJ321+W_ETIQUETA*CD321-CK321</f>
        <v/>
      </c>
      <c r="CM321" s="4">
        <f>IF(N(I321)&gt;0,I321,IFERROR(ROUND(_xlfn.NUMBERVALUE(LEFT(G321,FIND(" ",G321&amp;" ")-1),".")*1000,0),99999))</f>
        <v/>
      </c>
      <c r="CN321" s="3">
        <f>IF(R321="profesional",0,IF(O321&lt;CUOTA_VALOR_MAX,IF(BA321&gt;ITP_TRAMO_ALTO,SUMIFS(CF_CUOTA,CF_MAS,ITP_TRAMO_ALTO,CF_CCMIN,"&lt;="&amp;CM321,CF_CCMAX,"&gt;="&amp;CM321),IF(BA321&gt;ITP_TRAMO_BAJO,SUMIFS(CF_CUOTA,CF_MAS,ITP_TRAMO_BAJO,CF_CCMIN,"&lt;="&amp;CM321,CF_CCMAX,"&gt;="&amp;CM321),O321*ITP_TIPO)),O321*ITP_TIPO))</f>
        <v/>
      </c>
      <c r="CO321" s="4">
        <f>IF(R321="profesional",N(AK321),0)</f>
        <v/>
      </c>
      <c r="CP321" s="3">
        <f>IF(AND(R321="profesional",ISNUMBER(AK321),AL321="sí"),0,TASA_DGT)</f>
        <v/>
      </c>
      <c r="CQ321" s="3">
        <f>INFORME_DGT</f>
        <v/>
      </c>
      <c r="CR321" s="4">
        <f>O321+CO321+CN321+CP321+CQ321</f>
        <v/>
      </c>
      <c r="CS321" s="4">
        <f>CR321+N(CF321)</f>
        <v/>
      </c>
      <c r="CT321" s="3">
        <f>IF(CR321&lt;=TOTAL_MAX,"sí",IF(CR321&lt;=TOTAL_MAX+MARGEN_NEG,"negociar","no"))</f>
        <v/>
      </c>
      <c r="CU321" s="4">
        <f>IF(CT321&lt;&gt;"no",COUNTIFS($CT$2:$CT$545,"&lt;&gt;no",$CL$2:$CL$545,"&gt;"&amp;CL321)+COUNTIFS($CT$2:CT321,"&lt;&gt;no",$CL$2:CL321,CL321),"")</f>
        <v/>
      </c>
    </row>
    <row r="322">
      <c r="A322" s="2" t="inlineStr">
        <is>
          <t>cochesnet:71829456</t>
        </is>
      </c>
      <c r="B322" s="2" t="inlineStr">
        <is>
          <t>cochesnet</t>
        </is>
      </c>
      <c r="C322" s="2" t="inlineStr">
        <is>
          <t>https://www.coches.net/opel-astra-19-cdti-sport-120-cv-5p-diesel-2007-en-valencia-71829456-covo.aspx</t>
        </is>
      </c>
      <c r="D322" s="2" t="inlineStr">
        <is>
          <t>OPEL Astra 1.9 CDTi Sport 120 CV</t>
        </is>
      </c>
      <c r="E322" s="2" t="inlineStr">
        <is>
          <t>Opel</t>
        </is>
      </c>
      <c r="F322" s="2" t="inlineStr">
        <is>
          <t>Opel Astra</t>
        </is>
      </c>
      <c r="G322" s="2" t="inlineStr">
        <is>
          <t>1.9 CDTi</t>
        </is>
      </c>
      <c r="H322" s="2" t="inlineStr">
        <is>
          <t>1.9 CDTi Sport 120 CV</t>
        </is>
      </c>
      <c r="I322" s="2" t="n"/>
      <c r="J322" s="2" t="n">
        <v>120</v>
      </c>
      <c r="K322" s="2" t="inlineStr">
        <is>
          <t>diesel</t>
        </is>
      </c>
      <c r="L322" s="2" t="inlineStr">
        <is>
          <t>compacto</t>
        </is>
      </c>
      <c r="M322" s="2" t="n">
        <v>2007</v>
      </c>
      <c r="N322" s="2" t="n">
        <v>139618</v>
      </c>
      <c r="O322" s="2" t="n">
        <v>3850</v>
      </c>
      <c r="P322" s="2" t="inlineStr">
        <is>
          <t>manual</t>
        </is>
      </c>
      <c r="Q322" s="2" t="inlineStr">
        <is>
          <t>no</t>
        </is>
      </c>
      <c r="R322" s="2" t="inlineStr">
        <is>
          <t>particular</t>
        </is>
      </c>
      <c r="S322" s="2" t="inlineStr">
        <is>
          <t>Sagunto (Sagunt)</t>
        </is>
      </c>
      <c r="T322" s="2" t="inlineStr">
        <is>
          <t>2026-10-25T19:21:08Z</t>
        </is>
      </c>
      <c r="U322" s="2" t="n"/>
      <c r="V322" s="2" t="n"/>
      <c r="W322" s="2" t="n"/>
      <c r="X322" s="2" t="n"/>
      <c r="Y322" s="2" t="n"/>
      <c r="Z322" s="2" t="inlineStr">
        <is>
          <t>no</t>
        </is>
      </c>
      <c r="AA322" s="2" t="n"/>
      <c r="AB322" s="2" t="n"/>
      <c r="AC322" s="2" t="n"/>
      <c r="AD322" s="2" t="n"/>
      <c r="AE322" s="2" t="n"/>
      <c r="AF322" s="2" t="n"/>
      <c r="AG322" s="2" t="n"/>
      <c r="AH322" s="2" t="n">
        <v>3850</v>
      </c>
      <c r="AI322" s="2" t="n"/>
      <c r="AJ322" s="2" t="n"/>
      <c r="AK322" s="2" t="n"/>
      <c r="AL322" s="2" t="n"/>
      <c r="AM322" s="2" t="n"/>
      <c r="AN322" s="2" t="n"/>
      <c r="AO322" s="2" t="inlineStr">
        <is>
          <t>01/2007</t>
        </is>
      </c>
      <c r="AP322" s="2" t="n">
        <v>2007</v>
      </c>
      <c r="AQ322" s="2" t="n">
        <v>1</v>
      </c>
      <c r="AR322" s="2" t="n"/>
      <c r="AS322" s="2" t="inlineStr">
        <is>
          <t>regla</t>
        </is>
      </c>
      <c r="AT322" s="2" t="n">
        <v>4445</v>
      </c>
      <c r="AU322" s="2" t="n">
        <v>10</v>
      </c>
      <c r="AV322" s="2" t="inlineStr">
        <is>
          <t>modelo+año+km</t>
        </is>
      </c>
      <c r="AW322" s="2" t="n"/>
      <c r="AX322" s="2" t="inlineStr">
        <is>
          <t>cuota fija ITP: &gt;12 años, 1.501-2.000 cc; diésel: motor sin fuente de fiabilidad (fiabilidad limitada a neutra); distancia no verificable (el anuncio solo indica la provincia): confirmar que está a &lt;= 70 km</t>
        </is>
      </c>
      <c r="AY322" s="2" t="inlineStr">
        <is>
          <t>Vendo mi Opel Astra 1.9 CDTi Sport 120 CV, un berlina diésel que combina fiabilidad y eficiencia energética. Este modelo es conocido por su robustez y bajo consumo, ideal si buscas un vehículo práctico para el día a día sin gastar demasiado en combustible.
El motor diésel de 120 CV ofrece una buena relación potencia-consumo, perfecta tanto para trayectos urbanos como para carretera. La transmisión manual te da control total sobre la conducción, y con cinco puertas y plazas dispone de espacio suficiente para familia o amigos.
Se trata de un vehículo que ha cumplido su ciclo de vida con normalidad. Si buscas un coche funcional, económico y que siga siendo fiable, este Astra es una buena opción a considerar. Puedes verlo en la zona de Valencia y comprobar su estado directamente.
Estoy disponible para resolver cualquier duda específica que tengas sobre el vehículo. Puedes contactarme por teléfono o chat para concertar una cita y realizar una inspección en persona. No dudes en preguntar sobre cualquier aspecto que no esté claro en la ficha del anuncio.
Contacta hoy mismo para conocer más detalles y dar una segunda vida a este Astra.</t>
        </is>
      </c>
      <c r="AZ322" s="2" t="inlineStr">
        <is>
          <t>https://www.coches.net/opel-astra-19-cdti-sport-120-cv-5p-diesel-2007-en-valencia-71829456-covo.aspx (window.__INITIAL_PROPS__.ad) /home/user/Alopecia/buscador-coches/raw/cochesnet/635c2b386befc46c.json</t>
        </is>
      </c>
      <c r="BA322" s="3">
        <f>MAX(ANIO_ACTUAL-M322,0)</f>
        <v/>
      </c>
      <c r="BB322" s="4">
        <f>N322/MAX(BA322,0.5)</f>
        <v/>
      </c>
      <c r="BC322" s="4">
        <f>F322</f>
        <v/>
      </c>
      <c r="BD322" s="3">
        <f>BC322&amp;"|"&amp;INT(M322/SEG_ANIO)*SEG_ANIO</f>
        <v/>
      </c>
      <c r="BE322" s="3">
        <f>BD322&amp;"|"&amp;INT(N322/SEG_KM)*SEG_KM</f>
        <v/>
      </c>
      <c r="BF322" s="4">
        <f>COUNTIF($BC$2:$BC$545,BC322)</f>
        <v/>
      </c>
      <c r="BG322" s="4">
        <f>COUNTIF($BD$2:$BD$545,BD322)</f>
        <v/>
      </c>
      <c r="BH322" s="4">
        <f>COUNTIF($BE$2:$BE$545,BE322)</f>
        <v/>
      </c>
      <c r="BI322" s="3">
        <f t="array" ref="BI322">IF(N(AU322)&gt;=MIN_N,AT322,IF(BH322&gt;=MIN_N,MEDIAN(IF($BE$2:$BE$545=BE322,$O$2:$O$545)),IF(BG322&gt;=MIN_N,MEDIAN(IF($BD$2:$BD$545=BD322,$O$2:$O$545)),MEDIAN(IF($BC$2:$BC$545=BC322,$O$2:$O$545)))))</f>
        <v/>
      </c>
      <c r="BJ322" s="3">
        <f>IF(N(AU322)&gt;=MIN_N,"mercado "&amp;AV322,IF(BH322&gt;=MIN_N,"modelo+año+km",IF(BG322&gt;=MIN_N,"modelo+año","modelo")))</f>
        <v/>
      </c>
      <c r="BK322" s="4">
        <f>(BI322-O322)/BI322</f>
        <v/>
      </c>
      <c r="BL322" s="3">
        <f>IF(COUNTIFS(FR_FUEL,K322,FR_YEAR,AP322)&gt;0,1,0)</f>
        <v/>
      </c>
      <c r="BM322" s="3">
        <f>IF(COUNTIFS(FR_FUEL,K322,FR_YEAR,AP322-1)&gt;0,1,0)</f>
        <v/>
      </c>
      <c r="BN322" s="4">
        <f>IF(N(AQ322)&gt;0,AP322*100+AQ322,IF(AND(BL322=1,BM322=1),(AP322-1)*100+1,AP322*100+1))</f>
        <v/>
      </c>
      <c r="BO322" s="3">
        <f>IF(OR(K322="hibrido",K322="glp",K322="gnc",K322="phev"),"ECO",IF(K322="electrico","CERO",IF(K322="gasolina",IF(BN322&gt;=GAS_C_YM,"C",IF(BN322&gt;=GAS_B_YM,"B","A")),IF(K322="diesel",IF(BN322&gt;=DIE_C_YM,"C",IF(BN322&gt;=DIE_B_YM,"B","A")),""))))</f>
        <v/>
      </c>
      <c r="BP322" s="4">
        <f>BO322</f>
        <v/>
      </c>
      <c r="BQ322" s="4">
        <f>IF(AS322="regla",IF(AND(N(AQ322)=0,BL322=1),"sí","no"),"no")</f>
        <v/>
      </c>
      <c r="BR322" s="3">
        <f>IFERROR(VLOOKUP(F322,MOD_TBL,11,0),IFERROR(VLOOKUP(E322,OCU_TBL,2,0),NEUTRO))</f>
        <v/>
      </c>
      <c r="BS322" s="3">
        <f>SUMIFS(MOT_AJUSTE,MOT_MOTOR,G322,MOT_MARCA,E322,MOT_DESDE,"&lt;="&amp;M322,MOT_HASTA,"&gt;="&amp;M322)+SUMIFS(MOT_AJUSTE,MOT_MOTOR,G322,MOT_MARCA,"(todas)",MOT_DESDE,"&lt;="&amp;M322,MOT_HASTA,"&gt;="&amp;M322)</f>
        <v/>
      </c>
      <c r="BT322" s="3">
        <f>SUMIFS(COMB_AJUSTE,COMB_COMB,K322)</f>
        <v/>
      </c>
      <c r="BU322" s="3">
        <f>COUNTIFS(MOT_MOTOR,G322,MOT_MARCA,E322,MOT_DESDE,"&lt;="&amp;M322,MOT_HASTA,"&gt;="&amp;M322)+COUNTIFS(MOT_MOTOR,G322,MOT_MARCA,"(todas)",MOT_DESDE,"&lt;="&amp;M322,MOT_HASTA,"&gt;="&amp;M322)</f>
        <v/>
      </c>
      <c r="BV322" s="3">
        <f>IF(AND(K322="diesel",BU322=0),MIN(BR322,NEUTRO),BR322)</f>
        <v/>
      </c>
      <c r="BW322" s="4">
        <f>MAX(0,MIN(100,BV322+BS322+BT322))</f>
        <v/>
      </c>
      <c r="BX322" s="3">
        <f>MAX(0,MIN(100,50+BK322*PRECIO_PEND))</f>
        <v/>
      </c>
      <c r="BY322" s="3">
        <f>MAX(0,100*(1-N322/KM_MAX))</f>
        <v/>
      </c>
      <c r="BZ322" s="3">
        <f>IF(BB322&lt;KMA_SOSP,IF(AA322="sí",100,KMA_PEN),IF(BB322&lt;=KMA_IDEAL_MAX,100,MAX(0,100*(KMA_CERO-BB322)/(KMA_CERO-KMA_IDEAL_MAX))))</f>
        <v/>
      </c>
      <c r="CA322" s="3">
        <f>MAX(0,MIN(100,100*(M322-ANIO_MIN)/(ANIO_ACTUAL-ANIO_MIN)))</f>
        <v/>
      </c>
      <c r="CB322" s="3">
        <f>W_KMT*BY322+W_KMA*BZ322+W_EDAD*CA322</f>
        <v/>
      </c>
      <c r="CC322" s="3">
        <f>P_ITV*(V322="sí")+P_LIBRO*(W322="sí")+P_CORREA*(X322="sí")+P_PROP*(Y322=1)+P_GAR*(Z322="sí")+P_FOTOS*MIN(1,N(U322)/FOTOS_OBJ)</f>
        <v/>
      </c>
      <c r="CD322" s="3">
        <f>MAX(0,MIN(100,IFERROR(VLOOKUP(BP322,ETQ_TBL,2,0),0)-IF(BQ322="sí",ETQ_PEN_DUD,IF(AS322="regla",ETQ_PEN_REGLA,0))))</f>
        <v/>
      </c>
      <c r="CE322" s="3">
        <f>NEUTRO</f>
        <v/>
      </c>
      <c r="CF322" s="3">
        <f>IFERROR(VLOOKUP(L322,SEGURO_TBL,3,0),"")</f>
        <v/>
      </c>
      <c r="CG322" s="3">
        <f>IF(CF322="",NEUTRO,MAX(0,MIN(100,100*(SEG_REF_MAX-CF322)/(SEG_REF_MAX-SEG_REF_MIN))))</f>
        <v/>
      </c>
      <c r="CH322" s="3">
        <f>W_CONS*CE322+W_SEG*CG322</f>
        <v/>
      </c>
      <c r="CI322" s="3">
        <f>IF(N(AB322)&gt;0,AB322,IF(AND(R322="profesional",SG_LEGAL_ON=1),GAR_LEGAL,0))</f>
        <v/>
      </c>
      <c r="CJ322" s="3">
        <f>SG_GAR*MIN(1,CI322/SG_GAR_FULL)+SG_AMPL*(AC322="sí")+SG_KMC*(AF322="sí")+SG_REV*(N(AE322)&gt;0)+SG_DEV*MIN(1,N(AG322)/SG_DEV_FULL)+SG_HIST*(W322="sí")</f>
        <v/>
      </c>
      <c r="CK322" s="3">
        <f>IFERROR(VLOOKUP(L322,CARR_PEN_TBL,2,0),0)</f>
        <v/>
      </c>
      <c r="CL322" s="3">
        <f>W_FIAB*BW322+W_PRECIO*BX322+W_KMEDAD*CB322+W_ANUNCIO*CC322+W_USO*CH322+W_SEGURIDAD*CJ322+W_ETIQUETA*CD322-CK322</f>
        <v/>
      </c>
      <c r="CM322" s="4">
        <f>IF(N(I322)&gt;0,I322,IFERROR(ROUND(_xlfn.NUMBERVALUE(LEFT(G322,FIND(" ",G322&amp;" ")-1),".")*1000,0),99999))</f>
        <v/>
      </c>
      <c r="CN322" s="3">
        <f>IF(R322="profesional",0,IF(O322&lt;CUOTA_VALOR_MAX,IF(BA322&gt;ITP_TRAMO_ALTO,SUMIFS(CF_CUOTA,CF_MAS,ITP_TRAMO_ALTO,CF_CCMIN,"&lt;="&amp;CM322,CF_CCMAX,"&gt;="&amp;CM322),IF(BA322&gt;ITP_TRAMO_BAJO,SUMIFS(CF_CUOTA,CF_MAS,ITP_TRAMO_BAJO,CF_CCMIN,"&lt;="&amp;CM322,CF_CCMAX,"&gt;="&amp;CM322),O322*ITP_TIPO)),O322*ITP_TIPO))</f>
        <v/>
      </c>
      <c r="CO322" s="4">
        <f>IF(R322="profesional",N(AK322),0)</f>
        <v/>
      </c>
      <c r="CP322" s="3">
        <f>IF(AND(R322="profesional",ISNUMBER(AK322),AL322="sí"),0,TASA_DGT)</f>
        <v/>
      </c>
      <c r="CQ322" s="3">
        <f>INFORME_DGT</f>
        <v/>
      </c>
      <c r="CR322" s="4">
        <f>O322+CO322+CN322+CP322+CQ322</f>
        <v/>
      </c>
      <c r="CS322" s="4">
        <f>CR322+N(CF322)</f>
        <v/>
      </c>
      <c r="CT322" s="3">
        <f>IF(CR322&lt;=TOTAL_MAX,"sí",IF(CR322&lt;=TOTAL_MAX+MARGEN_NEG,"negociar","no"))</f>
        <v/>
      </c>
      <c r="CU322" s="4">
        <f>IF(CT322&lt;&gt;"no",COUNTIFS($CT$2:$CT$545,"&lt;&gt;no",$CL$2:$CL$545,"&gt;"&amp;CL322)+COUNTIFS($CT$2:CT322,"&lt;&gt;no",$CL$2:CL322,CL322),"")</f>
        <v/>
      </c>
    </row>
    <row r="323">
      <c r="A323" s="2" t="inlineStr">
        <is>
          <t>cochesnet:71573870</t>
        </is>
      </c>
      <c r="B323" s="2" t="inlineStr">
        <is>
          <t>cochesnet</t>
        </is>
      </c>
      <c r="C323" s="2" t="inlineStr">
        <is>
          <t>https://www.coches.net/opel-astra-diesel-2006-en-valencia-71573870-covo.aspx</t>
        </is>
      </c>
      <c r="D323" s="2" t="inlineStr">
        <is>
          <t>OPEL Astra</t>
        </is>
      </c>
      <c r="E323" s="2" t="inlineStr">
        <is>
          <t>Opel</t>
        </is>
      </c>
      <c r="F323" s="2" t="inlineStr">
        <is>
          <t>Opel Astra</t>
        </is>
      </c>
      <c r="G323" s="2" t="n"/>
      <c r="H323" s="2" t="n"/>
      <c r="I323" s="2" t="n"/>
      <c r="J323" s="2" t="n"/>
      <c r="K323" s="2" t="inlineStr">
        <is>
          <t>diesel</t>
        </is>
      </c>
      <c r="L323" s="2" t="inlineStr">
        <is>
          <t>compacto</t>
        </is>
      </c>
      <c r="M323" s="2" t="n">
        <v>2006</v>
      </c>
      <c r="N323" s="2" t="n">
        <v>199000</v>
      </c>
      <c r="O323" s="2" t="n">
        <v>2500</v>
      </c>
      <c r="P323" s="2" t="inlineStr">
        <is>
          <t>manual</t>
        </is>
      </c>
      <c r="Q323" s="2" t="inlineStr">
        <is>
          <t>no</t>
        </is>
      </c>
      <c r="R323" s="2" t="inlineStr">
        <is>
          <t>particular</t>
        </is>
      </c>
      <c r="S323" s="2" t="n"/>
      <c r="T323" s="2" t="inlineStr">
        <is>
          <t>2026-09-22T15:09:56Z</t>
        </is>
      </c>
      <c r="U323" s="2" t="n">
        <v>8</v>
      </c>
      <c r="V323" s="2" t="inlineStr">
        <is>
          <t>sí</t>
        </is>
      </c>
      <c r="W323" s="2" t="n"/>
      <c r="X323" s="2" t="inlineStr">
        <is>
          <t>sí</t>
        </is>
      </c>
      <c r="Y323" s="2" t="n">
        <v>1</v>
      </c>
      <c r="Z323" s="2" t="inlineStr">
        <is>
          <t>no</t>
        </is>
      </c>
      <c r="AA323" s="2" t="n"/>
      <c r="AB323" s="2" t="n"/>
      <c r="AC323" s="2" t="n"/>
      <c r="AD323" s="2" t="n"/>
      <c r="AE323" s="2" t="n"/>
      <c r="AF323" s="2" t="n"/>
      <c r="AG323" s="2" t="n"/>
      <c r="AH323" s="2" t="n">
        <v>2500</v>
      </c>
      <c r="AI323" s="2" t="n"/>
      <c r="AJ323" s="2" t="n"/>
      <c r="AK323" s="2" t="n"/>
      <c r="AL323" s="2" t="n"/>
      <c r="AM323" s="2" t="n"/>
      <c r="AN323" s="2" t="n"/>
      <c r="AO323" s="2" t="inlineStr">
        <is>
          <t>2006</t>
        </is>
      </c>
      <c r="AP323" s="2" t="n">
        <v>2006</v>
      </c>
      <c r="AQ323" s="2" t="n"/>
      <c r="AR323" s="2" t="n"/>
      <c r="AS323" s="2" t="inlineStr">
        <is>
          <t>regla</t>
        </is>
      </c>
      <c r="AT323" s="2" t="n">
        <v>2850</v>
      </c>
      <c r="AU323" s="2" t="n">
        <v>16</v>
      </c>
      <c r="AV323" s="2" t="inlineStr">
        <is>
          <t>modelo+año+km</t>
        </is>
      </c>
      <c r="AW323" s="2" t="n"/>
      <c r="AX323"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23" s="2" t="inlineStr">
        <is>
          <t>?? Opel Astra 1.9 CDTI 120 CV – 
6 velocidades coche en perfecto stado de funcionamiento solo 1 dueño anterior muy bien mantenido no tiene ningún problèma 
? 199.000 km
? Motor 1.9 CDTI 120 CV
? Cambio manual de 6 velocidades
? ITV recién pasada 2027
? Neumáticos nuevos + discos pastillas 
? Aceite y filtros  cambiados
? Muy buen estado general
? Listo para usar
 distribución hecha hace 50mil km motor muy fiable poco consumo 
Muchos extras asientos de piel
Velocidad de crucero 
Ordenador a bordo 
Volante multifunción 
Faros automáticos
2 llaves 
Rueda de repuesto 
Equipo de sonido 
Botón Sport 
Ventanas eléctricas 
Espejos eléctricos 
Etc...</t>
        </is>
      </c>
      <c r="AZ323" s="2" t="inlineStr">
        <is>
          <t>https://www.coches.net/opel-astra-diesel-2006-en-valencia-71573870-covo.aspx (window.__INITIAL_PROPS__.ad) /home/user/Alopecia/buscador-coches/raw/cochesnet/4c4e7532ec4fd38d.json</t>
        </is>
      </c>
      <c r="BA323" s="3">
        <f>MAX(ANIO_ACTUAL-M323,0)</f>
        <v/>
      </c>
      <c r="BB323" s="4">
        <f>N323/MAX(BA323,0.5)</f>
        <v/>
      </c>
      <c r="BC323" s="4">
        <f>F323</f>
        <v/>
      </c>
      <c r="BD323" s="3">
        <f>BC323&amp;"|"&amp;INT(M323/SEG_ANIO)*SEG_ANIO</f>
        <v/>
      </c>
      <c r="BE323" s="3">
        <f>BD323&amp;"|"&amp;INT(N323/SEG_KM)*SEG_KM</f>
        <v/>
      </c>
      <c r="BF323" s="4">
        <f>COUNTIF($BC$2:$BC$545,BC323)</f>
        <v/>
      </c>
      <c r="BG323" s="4">
        <f>COUNTIF($BD$2:$BD$545,BD323)</f>
        <v/>
      </c>
      <c r="BH323" s="4">
        <f>COUNTIF($BE$2:$BE$545,BE323)</f>
        <v/>
      </c>
      <c r="BI323" s="3">
        <f t="array" ref="BI323">IF(N(AU323)&gt;=MIN_N,AT323,IF(BH323&gt;=MIN_N,MEDIAN(IF($BE$2:$BE$545=BE323,$O$2:$O$545)),IF(BG323&gt;=MIN_N,MEDIAN(IF($BD$2:$BD$545=BD323,$O$2:$O$545)),MEDIAN(IF($BC$2:$BC$545=BC323,$O$2:$O$545)))))</f>
        <v/>
      </c>
      <c r="BJ323" s="3">
        <f>IF(N(AU323)&gt;=MIN_N,"mercado "&amp;AV323,IF(BH323&gt;=MIN_N,"modelo+año+km",IF(BG323&gt;=MIN_N,"modelo+año","modelo")))</f>
        <v/>
      </c>
      <c r="BK323" s="4">
        <f>(BI323-O323)/BI323</f>
        <v/>
      </c>
      <c r="BL323" s="3">
        <f>IF(COUNTIFS(FR_FUEL,K323,FR_YEAR,AP323)&gt;0,1,0)</f>
        <v/>
      </c>
      <c r="BM323" s="3">
        <f>IF(COUNTIFS(FR_FUEL,K323,FR_YEAR,AP323-1)&gt;0,1,0)</f>
        <v/>
      </c>
      <c r="BN323" s="4">
        <f>IF(N(AQ323)&gt;0,AP323*100+AQ323,IF(AND(BL323=1,BM323=1),(AP323-1)*100+1,AP323*100+1))</f>
        <v/>
      </c>
      <c r="BO323" s="3">
        <f>IF(OR(K323="hibrido",K323="glp",K323="gnc",K323="phev"),"ECO",IF(K323="electrico","CERO",IF(K323="gasolina",IF(BN323&gt;=GAS_C_YM,"C",IF(BN323&gt;=GAS_B_YM,"B","A")),IF(K323="diesel",IF(BN323&gt;=DIE_C_YM,"C",IF(BN323&gt;=DIE_B_YM,"B","A")),""))))</f>
        <v/>
      </c>
      <c r="BP323" s="4">
        <f>BO323</f>
        <v/>
      </c>
      <c r="BQ323" s="4">
        <f>IF(AS323="regla",IF(AND(N(AQ323)=0,BL323=1),"sí","no"),"no")</f>
        <v/>
      </c>
      <c r="BR323" s="3">
        <f>IFERROR(VLOOKUP(F323,MOD_TBL,11,0),IFERROR(VLOOKUP(E323,OCU_TBL,2,0),NEUTRO))</f>
        <v/>
      </c>
      <c r="BS323" s="3">
        <f>SUMIFS(MOT_AJUSTE,MOT_MOTOR,G323,MOT_MARCA,E323,MOT_DESDE,"&lt;="&amp;M323,MOT_HASTA,"&gt;="&amp;M323)+SUMIFS(MOT_AJUSTE,MOT_MOTOR,G323,MOT_MARCA,"(todas)",MOT_DESDE,"&lt;="&amp;M323,MOT_HASTA,"&gt;="&amp;M323)</f>
        <v/>
      </c>
      <c r="BT323" s="3">
        <f>SUMIFS(COMB_AJUSTE,COMB_COMB,K323)</f>
        <v/>
      </c>
      <c r="BU323" s="3">
        <f>COUNTIFS(MOT_MOTOR,G323,MOT_MARCA,E323,MOT_DESDE,"&lt;="&amp;M323,MOT_HASTA,"&gt;="&amp;M323)+COUNTIFS(MOT_MOTOR,G323,MOT_MARCA,"(todas)",MOT_DESDE,"&lt;="&amp;M323,MOT_HASTA,"&gt;="&amp;M323)</f>
        <v/>
      </c>
      <c r="BV323" s="3">
        <f>IF(AND(K323="diesel",BU323=0),MIN(BR323,NEUTRO),BR323)</f>
        <v/>
      </c>
      <c r="BW323" s="4">
        <f>MAX(0,MIN(100,BV323+BS323+BT323))</f>
        <v/>
      </c>
      <c r="BX323" s="3">
        <f>MAX(0,MIN(100,50+BK323*PRECIO_PEND))</f>
        <v/>
      </c>
      <c r="BY323" s="3">
        <f>MAX(0,100*(1-N323/KM_MAX))</f>
        <v/>
      </c>
      <c r="BZ323" s="3">
        <f>IF(BB323&lt;KMA_SOSP,IF(AA323="sí",100,KMA_PEN),IF(BB323&lt;=KMA_IDEAL_MAX,100,MAX(0,100*(KMA_CERO-BB323)/(KMA_CERO-KMA_IDEAL_MAX))))</f>
        <v/>
      </c>
      <c r="CA323" s="3">
        <f>MAX(0,MIN(100,100*(M323-ANIO_MIN)/(ANIO_ACTUAL-ANIO_MIN)))</f>
        <v/>
      </c>
      <c r="CB323" s="3">
        <f>W_KMT*BY323+W_KMA*BZ323+W_EDAD*CA323</f>
        <v/>
      </c>
      <c r="CC323" s="3">
        <f>P_ITV*(V323="sí")+P_LIBRO*(W323="sí")+P_CORREA*(X323="sí")+P_PROP*(Y323=1)+P_GAR*(Z323="sí")+P_FOTOS*MIN(1,N(U323)/FOTOS_OBJ)</f>
        <v/>
      </c>
      <c r="CD323" s="3">
        <f>MAX(0,MIN(100,IFERROR(VLOOKUP(BP323,ETQ_TBL,2,0),0)-IF(BQ323="sí",ETQ_PEN_DUD,IF(AS323="regla",ETQ_PEN_REGLA,0))))</f>
        <v/>
      </c>
      <c r="CE323" s="3">
        <f>NEUTRO</f>
        <v/>
      </c>
      <c r="CF323" s="3">
        <f>IFERROR(VLOOKUP(L323,SEGURO_TBL,3,0),"")</f>
        <v/>
      </c>
      <c r="CG323" s="3">
        <f>IF(CF323="",NEUTRO,MAX(0,MIN(100,100*(SEG_REF_MAX-CF323)/(SEG_REF_MAX-SEG_REF_MIN))))</f>
        <v/>
      </c>
      <c r="CH323" s="3">
        <f>W_CONS*CE323+W_SEG*CG323</f>
        <v/>
      </c>
      <c r="CI323" s="3">
        <f>IF(N(AB323)&gt;0,AB323,IF(AND(R323="profesional",SG_LEGAL_ON=1),GAR_LEGAL,0))</f>
        <v/>
      </c>
      <c r="CJ323" s="3">
        <f>SG_GAR*MIN(1,CI323/SG_GAR_FULL)+SG_AMPL*(AC323="sí")+SG_KMC*(AF323="sí")+SG_REV*(N(AE323)&gt;0)+SG_DEV*MIN(1,N(AG323)/SG_DEV_FULL)+SG_HIST*(W323="sí")</f>
        <v/>
      </c>
      <c r="CK323" s="3">
        <f>IFERROR(VLOOKUP(L323,CARR_PEN_TBL,2,0),0)</f>
        <v/>
      </c>
      <c r="CL323" s="3">
        <f>W_FIAB*BW323+W_PRECIO*BX323+W_KMEDAD*CB323+W_ANUNCIO*CC323+W_USO*CH323+W_SEGURIDAD*CJ323+W_ETIQUETA*CD323-CK323</f>
        <v/>
      </c>
      <c r="CM323" s="4">
        <f>IF(N(I323)&gt;0,I323,IFERROR(ROUND(_xlfn.NUMBERVALUE(LEFT(G323,FIND(" ",G323&amp;" ")-1),".")*1000,0),99999))</f>
        <v/>
      </c>
      <c r="CN323" s="3">
        <f>IF(R323="profesional",0,IF(O323&lt;CUOTA_VALOR_MAX,IF(BA323&gt;ITP_TRAMO_ALTO,SUMIFS(CF_CUOTA,CF_MAS,ITP_TRAMO_ALTO,CF_CCMIN,"&lt;="&amp;CM323,CF_CCMAX,"&gt;="&amp;CM323),IF(BA323&gt;ITP_TRAMO_BAJO,SUMIFS(CF_CUOTA,CF_MAS,ITP_TRAMO_BAJO,CF_CCMIN,"&lt;="&amp;CM323,CF_CCMAX,"&gt;="&amp;CM323),O323*ITP_TIPO)),O323*ITP_TIPO))</f>
        <v/>
      </c>
      <c r="CO323" s="4">
        <f>IF(R323="profesional",N(AK323),0)</f>
        <v/>
      </c>
      <c r="CP323" s="3">
        <f>IF(AND(R323="profesional",ISNUMBER(AK323),AL323="sí"),0,TASA_DGT)</f>
        <v/>
      </c>
      <c r="CQ323" s="3">
        <f>INFORME_DGT</f>
        <v/>
      </c>
      <c r="CR323" s="4">
        <f>O323+CO323+CN323+CP323+CQ323</f>
        <v/>
      </c>
      <c r="CS323" s="4">
        <f>CR323+N(CF323)</f>
        <v/>
      </c>
      <c r="CT323" s="3">
        <f>IF(CR323&lt;=TOTAL_MAX,"sí",IF(CR323&lt;=TOTAL_MAX+MARGEN_NEG,"negociar","no"))</f>
        <v/>
      </c>
      <c r="CU323" s="4">
        <f>IF(CT323&lt;&gt;"no",COUNTIFS($CT$2:$CT$545,"&lt;&gt;no",$CL$2:$CL$545,"&gt;"&amp;CL323)+COUNTIFS($CT$2:CT323,"&lt;&gt;no",$CL$2:CL323,CL323),"")</f>
        <v/>
      </c>
    </row>
    <row r="324">
      <c r="A324" s="2" t="inlineStr">
        <is>
          <t>cochesnet:71528758</t>
        </is>
      </c>
      <c r="B324" s="2" t="inlineStr">
        <is>
          <t>cochesnet</t>
        </is>
      </c>
      <c r="C324" s="2" t="inlineStr">
        <is>
          <t>https://www.coches.net/opel-astra-diesel-2007-en-valencia-71528758-covo.aspx</t>
        </is>
      </c>
      <c r="D324" s="2" t="inlineStr">
        <is>
          <t>OPEL Astra</t>
        </is>
      </c>
      <c r="E324" s="2" t="inlineStr">
        <is>
          <t>Opel</t>
        </is>
      </c>
      <c r="F324" s="2" t="inlineStr">
        <is>
          <t>Opel Astra</t>
        </is>
      </c>
      <c r="G324" s="2" t="n"/>
      <c r="H324" s="2" t="n"/>
      <c r="I324" s="2" t="n"/>
      <c r="J324" s="2" t="n"/>
      <c r="K324" s="2" t="inlineStr">
        <is>
          <t>diesel</t>
        </is>
      </c>
      <c r="L324" s="2" t="inlineStr">
        <is>
          <t>compacto</t>
        </is>
      </c>
      <c r="M324" s="2" t="n">
        <v>2007</v>
      </c>
      <c r="N324" s="2" t="n">
        <v>177500</v>
      </c>
      <c r="O324" s="2" t="n">
        <v>4300</v>
      </c>
      <c r="P324" s="2" t="inlineStr">
        <is>
          <t>manual</t>
        </is>
      </c>
      <c r="Q324" s="2" t="inlineStr">
        <is>
          <t>no</t>
        </is>
      </c>
      <c r="R324" s="2" t="inlineStr">
        <is>
          <t>particular</t>
        </is>
      </c>
      <c r="S324" s="2" t="n"/>
      <c r="T324" s="2" t="inlineStr">
        <is>
          <t>2026-09-16T13:56:59Z</t>
        </is>
      </c>
      <c r="U324" s="2" t="n">
        <v>9</v>
      </c>
      <c r="V324" s="2" t="inlineStr">
        <is>
          <t>sí</t>
        </is>
      </c>
      <c r="W324" s="2" t="n"/>
      <c r="X324" s="2" t="n"/>
      <c r="Y324" s="2" t="n"/>
      <c r="Z324" s="2" t="inlineStr">
        <is>
          <t>no</t>
        </is>
      </c>
      <c r="AA324" s="2" t="n"/>
      <c r="AB324" s="2" t="n"/>
      <c r="AC324" s="2" t="n"/>
      <c r="AD324" s="2" t="n"/>
      <c r="AE324" s="2" t="n"/>
      <c r="AF324" s="2" t="n"/>
      <c r="AG324" s="2" t="n"/>
      <c r="AH324" s="2" t="n">
        <v>4300</v>
      </c>
      <c r="AI324" s="2" t="n"/>
      <c r="AJ324" s="2" t="n"/>
      <c r="AK324" s="2" t="n"/>
      <c r="AL324" s="2" t="n"/>
      <c r="AM324" s="2" t="n"/>
      <c r="AN324" s="2" t="n"/>
      <c r="AO324" s="2" t="inlineStr">
        <is>
          <t>2007</t>
        </is>
      </c>
      <c r="AP324" s="2" t="n">
        <v>2007</v>
      </c>
      <c r="AQ324" s="2" t="n"/>
      <c r="AR324" s="2" t="n"/>
      <c r="AS324" s="2" t="inlineStr">
        <is>
          <t>regla</t>
        </is>
      </c>
      <c r="AT324" s="2" t="n">
        <v>4300</v>
      </c>
      <c r="AU324" s="2" t="n">
        <v>17</v>
      </c>
      <c r="AV324" s="2" t="inlineStr">
        <is>
          <t>modelo+año+km</t>
        </is>
      </c>
      <c r="AW324" s="2" t="n"/>
      <c r="AX32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24" s="2" t="inlineStr">
        <is>
          <t>Se vende Opel Astra TwinTop 1.9 CDTI 150CV.
Versión alta de gama con caja manual de 6 velocidades y techo rígido eléctrico retráctil.
Vehículo muy cuidado, con 170.000 km y funcionamiento perfecto.
? Techo eléctrico funcionando al 100%
? Motor 1.9 CDTI 150CV
? 6 velocidades
? Climatizador
? Llantas de aleación
? Muy económico para su potencia
? Excelente comportamiento en carretera
? ITV al día
Un coche que combina la comodidad de un coupé en invierno y la diversión de un descapotable en verano.
Se puede ver y probar sin compromiso.
?? Valencia</t>
        </is>
      </c>
      <c r="AZ324" s="2" t="inlineStr">
        <is>
          <t>https://www.coches.net/opel-astra-diesel-2007-en-valencia-71528758-covo.aspx (window.__INITIAL_PROPS__.ad) /home/user/Alopecia/buscador-coches/raw/cochesnet/7c452f9bad637184.json</t>
        </is>
      </c>
      <c r="BA324" s="3">
        <f>MAX(ANIO_ACTUAL-M324,0)</f>
        <v/>
      </c>
      <c r="BB324" s="4">
        <f>N324/MAX(BA324,0.5)</f>
        <v/>
      </c>
      <c r="BC324" s="4">
        <f>F324</f>
        <v/>
      </c>
      <c r="BD324" s="3">
        <f>BC324&amp;"|"&amp;INT(M324/SEG_ANIO)*SEG_ANIO</f>
        <v/>
      </c>
      <c r="BE324" s="3">
        <f>BD324&amp;"|"&amp;INT(N324/SEG_KM)*SEG_KM</f>
        <v/>
      </c>
      <c r="BF324" s="4">
        <f>COUNTIF($BC$2:$BC$545,BC324)</f>
        <v/>
      </c>
      <c r="BG324" s="4">
        <f>COUNTIF($BD$2:$BD$545,BD324)</f>
        <v/>
      </c>
      <c r="BH324" s="4">
        <f>COUNTIF($BE$2:$BE$545,BE324)</f>
        <v/>
      </c>
      <c r="BI324" s="3">
        <f t="array" ref="BI324">IF(N(AU324)&gt;=MIN_N,AT324,IF(BH324&gt;=MIN_N,MEDIAN(IF($BE$2:$BE$545=BE324,$O$2:$O$545)),IF(BG324&gt;=MIN_N,MEDIAN(IF($BD$2:$BD$545=BD324,$O$2:$O$545)),MEDIAN(IF($BC$2:$BC$545=BC324,$O$2:$O$545)))))</f>
        <v/>
      </c>
      <c r="BJ324" s="3">
        <f>IF(N(AU324)&gt;=MIN_N,"mercado "&amp;AV324,IF(BH324&gt;=MIN_N,"modelo+año+km",IF(BG324&gt;=MIN_N,"modelo+año","modelo")))</f>
        <v/>
      </c>
      <c r="BK324" s="4">
        <f>(BI324-O324)/BI324</f>
        <v/>
      </c>
      <c r="BL324" s="3">
        <f>IF(COUNTIFS(FR_FUEL,K324,FR_YEAR,AP324)&gt;0,1,0)</f>
        <v/>
      </c>
      <c r="BM324" s="3">
        <f>IF(COUNTIFS(FR_FUEL,K324,FR_YEAR,AP324-1)&gt;0,1,0)</f>
        <v/>
      </c>
      <c r="BN324" s="4">
        <f>IF(N(AQ324)&gt;0,AP324*100+AQ324,IF(AND(BL324=1,BM324=1),(AP324-1)*100+1,AP324*100+1))</f>
        <v/>
      </c>
      <c r="BO324" s="3">
        <f>IF(OR(K324="hibrido",K324="glp",K324="gnc",K324="phev"),"ECO",IF(K324="electrico","CERO",IF(K324="gasolina",IF(BN324&gt;=GAS_C_YM,"C",IF(BN324&gt;=GAS_B_YM,"B","A")),IF(K324="diesel",IF(BN324&gt;=DIE_C_YM,"C",IF(BN324&gt;=DIE_B_YM,"B","A")),""))))</f>
        <v/>
      </c>
      <c r="BP324" s="4">
        <f>BO324</f>
        <v/>
      </c>
      <c r="BQ324" s="4">
        <f>IF(AS324="regla",IF(AND(N(AQ324)=0,BL324=1),"sí","no"),"no")</f>
        <v/>
      </c>
      <c r="BR324" s="3">
        <f>IFERROR(VLOOKUP(F324,MOD_TBL,11,0),IFERROR(VLOOKUP(E324,OCU_TBL,2,0),NEUTRO))</f>
        <v/>
      </c>
      <c r="BS324" s="3">
        <f>SUMIFS(MOT_AJUSTE,MOT_MOTOR,G324,MOT_MARCA,E324,MOT_DESDE,"&lt;="&amp;M324,MOT_HASTA,"&gt;="&amp;M324)+SUMIFS(MOT_AJUSTE,MOT_MOTOR,G324,MOT_MARCA,"(todas)",MOT_DESDE,"&lt;="&amp;M324,MOT_HASTA,"&gt;="&amp;M324)</f>
        <v/>
      </c>
      <c r="BT324" s="3">
        <f>SUMIFS(COMB_AJUSTE,COMB_COMB,K324)</f>
        <v/>
      </c>
      <c r="BU324" s="3">
        <f>COUNTIFS(MOT_MOTOR,G324,MOT_MARCA,E324,MOT_DESDE,"&lt;="&amp;M324,MOT_HASTA,"&gt;="&amp;M324)+COUNTIFS(MOT_MOTOR,G324,MOT_MARCA,"(todas)",MOT_DESDE,"&lt;="&amp;M324,MOT_HASTA,"&gt;="&amp;M324)</f>
        <v/>
      </c>
      <c r="BV324" s="3">
        <f>IF(AND(K324="diesel",BU324=0),MIN(BR324,NEUTRO),BR324)</f>
        <v/>
      </c>
      <c r="BW324" s="4">
        <f>MAX(0,MIN(100,BV324+BS324+BT324))</f>
        <v/>
      </c>
      <c r="BX324" s="3">
        <f>MAX(0,MIN(100,50+BK324*PRECIO_PEND))</f>
        <v/>
      </c>
      <c r="BY324" s="3">
        <f>MAX(0,100*(1-N324/KM_MAX))</f>
        <v/>
      </c>
      <c r="BZ324" s="3">
        <f>IF(BB324&lt;KMA_SOSP,IF(AA324="sí",100,KMA_PEN),IF(BB324&lt;=KMA_IDEAL_MAX,100,MAX(0,100*(KMA_CERO-BB324)/(KMA_CERO-KMA_IDEAL_MAX))))</f>
        <v/>
      </c>
      <c r="CA324" s="3">
        <f>MAX(0,MIN(100,100*(M324-ANIO_MIN)/(ANIO_ACTUAL-ANIO_MIN)))</f>
        <v/>
      </c>
      <c r="CB324" s="3">
        <f>W_KMT*BY324+W_KMA*BZ324+W_EDAD*CA324</f>
        <v/>
      </c>
      <c r="CC324" s="3">
        <f>P_ITV*(V324="sí")+P_LIBRO*(W324="sí")+P_CORREA*(X324="sí")+P_PROP*(Y324=1)+P_GAR*(Z324="sí")+P_FOTOS*MIN(1,N(U324)/FOTOS_OBJ)</f>
        <v/>
      </c>
      <c r="CD324" s="3">
        <f>MAX(0,MIN(100,IFERROR(VLOOKUP(BP324,ETQ_TBL,2,0),0)-IF(BQ324="sí",ETQ_PEN_DUD,IF(AS324="regla",ETQ_PEN_REGLA,0))))</f>
        <v/>
      </c>
      <c r="CE324" s="3">
        <f>NEUTRO</f>
        <v/>
      </c>
      <c r="CF324" s="3">
        <f>IFERROR(VLOOKUP(L324,SEGURO_TBL,3,0),"")</f>
        <v/>
      </c>
      <c r="CG324" s="3">
        <f>IF(CF324="",NEUTRO,MAX(0,MIN(100,100*(SEG_REF_MAX-CF324)/(SEG_REF_MAX-SEG_REF_MIN))))</f>
        <v/>
      </c>
      <c r="CH324" s="3">
        <f>W_CONS*CE324+W_SEG*CG324</f>
        <v/>
      </c>
      <c r="CI324" s="3">
        <f>IF(N(AB324)&gt;0,AB324,IF(AND(R324="profesional",SG_LEGAL_ON=1),GAR_LEGAL,0))</f>
        <v/>
      </c>
      <c r="CJ324" s="3">
        <f>SG_GAR*MIN(1,CI324/SG_GAR_FULL)+SG_AMPL*(AC324="sí")+SG_KMC*(AF324="sí")+SG_REV*(N(AE324)&gt;0)+SG_DEV*MIN(1,N(AG324)/SG_DEV_FULL)+SG_HIST*(W324="sí")</f>
        <v/>
      </c>
      <c r="CK324" s="3">
        <f>IFERROR(VLOOKUP(L324,CARR_PEN_TBL,2,0),0)</f>
        <v/>
      </c>
      <c r="CL324" s="3">
        <f>W_FIAB*BW324+W_PRECIO*BX324+W_KMEDAD*CB324+W_ANUNCIO*CC324+W_USO*CH324+W_SEGURIDAD*CJ324+W_ETIQUETA*CD324-CK324</f>
        <v/>
      </c>
      <c r="CM324" s="4">
        <f>IF(N(I324)&gt;0,I324,IFERROR(ROUND(_xlfn.NUMBERVALUE(LEFT(G324,FIND(" ",G324&amp;" ")-1),".")*1000,0),99999))</f>
        <v/>
      </c>
      <c r="CN324" s="3">
        <f>IF(R324="profesional",0,IF(O324&lt;CUOTA_VALOR_MAX,IF(BA324&gt;ITP_TRAMO_ALTO,SUMIFS(CF_CUOTA,CF_MAS,ITP_TRAMO_ALTO,CF_CCMIN,"&lt;="&amp;CM324,CF_CCMAX,"&gt;="&amp;CM324),IF(BA324&gt;ITP_TRAMO_BAJO,SUMIFS(CF_CUOTA,CF_MAS,ITP_TRAMO_BAJO,CF_CCMIN,"&lt;="&amp;CM324,CF_CCMAX,"&gt;="&amp;CM324),O324*ITP_TIPO)),O324*ITP_TIPO))</f>
        <v/>
      </c>
      <c r="CO324" s="4">
        <f>IF(R324="profesional",N(AK324),0)</f>
        <v/>
      </c>
      <c r="CP324" s="3">
        <f>IF(AND(R324="profesional",ISNUMBER(AK324),AL324="sí"),0,TASA_DGT)</f>
        <v/>
      </c>
      <c r="CQ324" s="3">
        <f>INFORME_DGT</f>
        <v/>
      </c>
      <c r="CR324" s="4">
        <f>O324+CO324+CN324+CP324+CQ324</f>
        <v/>
      </c>
      <c r="CS324" s="4">
        <f>CR324+N(CF324)</f>
        <v/>
      </c>
      <c r="CT324" s="3">
        <f>IF(CR324&lt;=TOTAL_MAX,"sí",IF(CR324&lt;=TOTAL_MAX+MARGEN_NEG,"negociar","no"))</f>
        <v/>
      </c>
      <c r="CU324" s="4">
        <f>IF(CT324&lt;&gt;"no",COUNTIFS($CT$2:$CT$545,"&lt;&gt;no",$CL$2:$CL$545,"&gt;"&amp;CL324)+COUNTIFS($CT$2:CT324,"&lt;&gt;no",$CL$2:CL324,CL324),"")</f>
        <v/>
      </c>
    </row>
    <row r="325">
      <c r="A325" s="2" t="inlineStr">
        <is>
          <t>cochesnet:71478387</t>
        </is>
      </c>
      <c r="B325" s="2" t="inlineStr">
        <is>
          <t>cochesnet</t>
        </is>
      </c>
      <c r="C325" s="2" t="inlineStr">
        <is>
          <t>https://www.coches.net/opel-astra-17-cdti-110-cv-sportive-5p-diesel-2012-en-valencia-71478387-covo.aspx</t>
        </is>
      </c>
      <c r="D325" s="2" t="inlineStr">
        <is>
          <t>OPEL Astra 1.7 CDTi 110 CV Sportive</t>
        </is>
      </c>
      <c r="E325" s="2" t="inlineStr">
        <is>
          <t>Opel</t>
        </is>
      </c>
      <c r="F325" s="2" t="inlineStr">
        <is>
          <t>Opel Astra</t>
        </is>
      </c>
      <c r="G325" s="2" t="inlineStr">
        <is>
          <t>1.7 CDTi</t>
        </is>
      </c>
      <c r="H325" s="2" t="n"/>
      <c r="I325" s="2" t="n"/>
      <c r="J325" s="2" t="n">
        <v>110</v>
      </c>
      <c r="K325" s="2" t="inlineStr">
        <is>
          <t>diesel</t>
        </is>
      </c>
      <c r="L325" s="2" t="inlineStr">
        <is>
          <t>compacto</t>
        </is>
      </c>
      <c r="M325" s="2" t="n">
        <v>2012</v>
      </c>
      <c r="N325" s="2" t="n">
        <v>207000</v>
      </c>
      <c r="O325" s="2" t="n">
        <v>4800</v>
      </c>
      <c r="P325" s="2" t="n"/>
      <c r="Q325" s="2" t="n"/>
      <c r="R325" s="2" t="inlineStr">
        <is>
          <t>particular</t>
        </is>
      </c>
      <c r="S325" s="2" t="inlineStr">
        <is>
          <t>Sueca</t>
        </is>
      </c>
      <c r="T325" s="2" t="inlineStr">
        <is>
          <t>2026-09-09T18:22:01Z</t>
        </is>
      </c>
      <c r="U325" s="2" t="n">
        <v>12</v>
      </c>
      <c r="V325" s="2" t="n"/>
      <c r="W325" s="2" t="n"/>
      <c r="X325" s="2" t="n"/>
      <c r="Y325" s="2" t="n"/>
      <c r="Z325" s="2" t="inlineStr">
        <is>
          <t>no</t>
        </is>
      </c>
      <c r="AA325" s="2" t="n"/>
      <c r="AB325" s="2" t="n"/>
      <c r="AC325" s="2" t="n"/>
      <c r="AD325" s="2" t="n"/>
      <c r="AE325" s="2" t="n"/>
      <c r="AF325" s="2" t="n"/>
      <c r="AG325" s="2" t="n"/>
      <c r="AH325" s="2" t="n">
        <v>4800</v>
      </c>
      <c r="AI325" s="2" t="n"/>
      <c r="AJ325" s="2" t="n"/>
      <c r="AK325" s="2" t="n"/>
      <c r="AL325" s="2" t="n"/>
      <c r="AM325" s="2" t="n"/>
      <c r="AN325" s="2" t="n"/>
      <c r="AO325" s="2" t="inlineStr">
        <is>
          <t>2012</t>
        </is>
      </c>
      <c r="AP325" s="2" t="n">
        <v>2012</v>
      </c>
      <c r="AQ325" s="2" t="n"/>
      <c r="AR325" s="2" t="n"/>
      <c r="AS325" s="2" t="inlineStr">
        <is>
          <t>regla</t>
        </is>
      </c>
      <c r="AT325" s="2" t="n">
        <v>4490</v>
      </c>
      <c r="AU325" s="2" t="n">
        <v>7</v>
      </c>
      <c r="AV325" s="2" t="inlineStr">
        <is>
          <t>modelo+año+km</t>
        </is>
      </c>
      <c r="AW325" s="2" t="n"/>
      <c r="AX325" s="2" t="inlineStr">
        <is>
          <t>cuota fija ITP: &gt;12 años, 1.501-2.000 cc; diésel: motor sin fuente de fiabilidad (fiabilidad limitada a neutra); distancia no verificable (el anuncio solo indica la provincia): confirmar que está a &lt;= 70 km</t>
        </is>
      </c>
      <c r="AY325" s="2" t="inlineStr"/>
      <c r="AZ325" s="2" t="inlineStr">
        <is>
          <t>https://www.coches.net/opel/astra/segunda-mano/valencia/?pg=5 /home/user/Alopecia/buscador-coches/raw/cochesnet/967b780079be0c97.json</t>
        </is>
      </c>
      <c r="BA325" s="3">
        <f>MAX(ANIO_ACTUAL-M325,0)</f>
        <v/>
      </c>
      <c r="BB325" s="4">
        <f>N325/MAX(BA325,0.5)</f>
        <v/>
      </c>
      <c r="BC325" s="4">
        <f>F325</f>
        <v/>
      </c>
      <c r="BD325" s="3">
        <f>BC325&amp;"|"&amp;INT(M325/SEG_ANIO)*SEG_ANIO</f>
        <v/>
      </c>
      <c r="BE325" s="3">
        <f>BD325&amp;"|"&amp;INT(N325/SEG_KM)*SEG_KM</f>
        <v/>
      </c>
      <c r="BF325" s="4">
        <f>COUNTIF($BC$2:$BC$545,BC325)</f>
        <v/>
      </c>
      <c r="BG325" s="4">
        <f>COUNTIF($BD$2:$BD$545,BD325)</f>
        <v/>
      </c>
      <c r="BH325" s="4">
        <f>COUNTIF($BE$2:$BE$545,BE325)</f>
        <v/>
      </c>
      <c r="BI325" s="3">
        <f t="array" ref="BI325">IF(N(AU325)&gt;=MIN_N,AT325,IF(BH325&gt;=MIN_N,MEDIAN(IF($BE$2:$BE$545=BE325,$O$2:$O$545)),IF(BG325&gt;=MIN_N,MEDIAN(IF($BD$2:$BD$545=BD325,$O$2:$O$545)),MEDIAN(IF($BC$2:$BC$545=BC325,$O$2:$O$545)))))</f>
        <v/>
      </c>
      <c r="BJ325" s="3">
        <f>IF(N(AU325)&gt;=MIN_N,"mercado "&amp;AV325,IF(BH325&gt;=MIN_N,"modelo+año+km",IF(BG325&gt;=MIN_N,"modelo+año","modelo")))</f>
        <v/>
      </c>
      <c r="BK325" s="4">
        <f>(BI325-O325)/BI325</f>
        <v/>
      </c>
      <c r="BL325" s="3">
        <f>IF(COUNTIFS(FR_FUEL,K325,FR_YEAR,AP325)&gt;0,1,0)</f>
        <v/>
      </c>
      <c r="BM325" s="3">
        <f>IF(COUNTIFS(FR_FUEL,K325,FR_YEAR,AP325-1)&gt;0,1,0)</f>
        <v/>
      </c>
      <c r="BN325" s="4">
        <f>IF(N(AQ325)&gt;0,AP325*100+AQ325,IF(AND(BL325=1,BM325=1),(AP325-1)*100+1,AP325*100+1))</f>
        <v/>
      </c>
      <c r="BO325" s="3">
        <f>IF(OR(K325="hibrido",K325="glp",K325="gnc",K325="phev"),"ECO",IF(K325="electrico","CERO",IF(K325="gasolina",IF(BN325&gt;=GAS_C_YM,"C",IF(BN325&gt;=GAS_B_YM,"B","A")),IF(K325="diesel",IF(BN325&gt;=DIE_C_YM,"C",IF(BN325&gt;=DIE_B_YM,"B","A")),""))))</f>
        <v/>
      </c>
      <c r="BP325" s="4">
        <f>BO325</f>
        <v/>
      </c>
      <c r="BQ325" s="4">
        <f>IF(AS325="regla",IF(AND(N(AQ325)=0,BL325=1),"sí","no"),"no")</f>
        <v/>
      </c>
      <c r="BR325" s="3">
        <f>IFERROR(VLOOKUP(F325,MOD_TBL,11,0),IFERROR(VLOOKUP(E325,OCU_TBL,2,0),NEUTRO))</f>
        <v/>
      </c>
      <c r="BS325" s="3">
        <f>SUMIFS(MOT_AJUSTE,MOT_MOTOR,G325,MOT_MARCA,E325,MOT_DESDE,"&lt;="&amp;M325,MOT_HASTA,"&gt;="&amp;M325)+SUMIFS(MOT_AJUSTE,MOT_MOTOR,G325,MOT_MARCA,"(todas)",MOT_DESDE,"&lt;="&amp;M325,MOT_HASTA,"&gt;="&amp;M325)</f>
        <v/>
      </c>
      <c r="BT325" s="3">
        <f>SUMIFS(COMB_AJUSTE,COMB_COMB,K325)</f>
        <v/>
      </c>
      <c r="BU325" s="3">
        <f>COUNTIFS(MOT_MOTOR,G325,MOT_MARCA,E325,MOT_DESDE,"&lt;="&amp;M325,MOT_HASTA,"&gt;="&amp;M325)+COUNTIFS(MOT_MOTOR,G325,MOT_MARCA,"(todas)",MOT_DESDE,"&lt;="&amp;M325,MOT_HASTA,"&gt;="&amp;M325)</f>
        <v/>
      </c>
      <c r="BV325" s="3">
        <f>IF(AND(K325="diesel",BU325=0),MIN(BR325,NEUTRO),BR325)</f>
        <v/>
      </c>
      <c r="BW325" s="4">
        <f>MAX(0,MIN(100,BV325+BS325+BT325))</f>
        <v/>
      </c>
      <c r="BX325" s="3">
        <f>MAX(0,MIN(100,50+BK325*PRECIO_PEND))</f>
        <v/>
      </c>
      <c r="BY325" s="3">
        <f>MAX(0,100*(1-N325/KM_MAX))</f>
        <v/>
      </c>
      <c r="BZ325" s="3">
        <f>IF(BB325&lt;KMA_SOSP,IF(AA325="sí",100,KMA_PEN),IF(BB325&lt;=KMA_IDEAL_MAX,100,MAX(0,100*(KMA_CERO-BB325)/(KMA_CERO-KMA_IDEAL_MAX))))</f>
        <v/>
      </c>
      <c r="CA325" s="3">
        <f>MAX(0,MIN(100,100*(M325-ANIO_MIN)/(ANIO_ACTUAL-ANIO_MIN)))</f>
        <v/>
      </c>
      <c r="CB325" s="3">
        <f>W_KMT*BY325+W_KMA*BZ325+W_EDAD*CA325</f>
        <v/>
      </c>
      <c r="CC325" s="3">
        <f>P_ITV*(V325="sí")+P_LIBRO*(W325="sí")+P_CORREA*(X325="sí")+P_PROP*(Y325=1)+P_GAR*(Z325="sí")+P_FOTOS*MIN(1,N(U325)/FOTOS_OBJ)</f>
        <v/>
      </c>
      <c r="CD325" s="3">
        <f>MAX(0,MIN(100,IFERROR(VLOOKUP(BP325,ETQ_TBL,2,0),0)-IF(BQ325="sí",ETQ_PEN_DUD,IF(AS325="regla",ETQ_PEN_REGLA,0))))</f>
        <v/>
      </c>
      <c r="CE325" s="3">
        <f>NEUTRO</f>
        <v/>
      </c>
      <c r="CF325" s="3">
        <f>IFERROR(VLOOKUP(L325,SEGURO_TBL,3,0),"")</f>
        <v/>
      </c>
      <c r="CG325" s="3">
        <f>IF(CF325="",NEUTRO,MAX(0,MIN(100,100*(SEG_REF_MAX-CF325)/(SEG_REF_MAX-SEG_REF_MIN))))</f>
        <v/>
      </c>
      <c r="CH325" s="3">
        <f>W_CONS*CE325+W_SEG*CG325</f>
        <v/>
      </c>
      <c r="CI325" s="3">
        <f>IF(N(AB325)&gt;0,AB325,IF(AND(R325="profesional",SG_LEGAL_ON=1),GAR_LEGAL,0))</f>
        <v/>
      </c>
      <c r="CJ325" s="3">
        <f>SG_GAR*MIN(1,CI325/SG_GAR_FULL)+SG_AMPL*(AC325="sí")+SG_KMC*(AF325="sí")+SG_REV*(N(AE325)&gt;0)+SG_DEV*MIN(1,N(AG325)/SG_DEV_FULL)+SG_HIST*(W325="sí")</f>
        <v/>
      </c>
      <c r="CK325" s="3">
        <f>IFERROR(VLOOKUP(L325,CARR_PEN_TBL,2,0),0)</f>
        <v/>
      </c>
      <c r="CL325" s="3">
        <f>W_FIAB*BW325+W_PRECIO*BX325+W_KMEDAD*CB325+W_ANUNCIO*CC325+W_USO*CH325+W_SEGURIDAD*CJ325+W_ETIQUETA*CD325-CK325</f>
        <v/>
      </c>
      <c r="CM325" s="4">
        <f>IF(N(I325)&gt;0,I325,IFERROR(ROUND(_xlfn.NUMBERVALUE(LEFT(G325,FIND(" ",G325&amp;" ")-1),".")*1000,0),99999))</f>
        <v/>
      </c>
      <c r="CN325" s="3">
        <f>IF(R325="profesional",0,IF(O325&lt;CUOTA_VALOR_MAX,IF(BA325&gt;ITP_TRAMO_ALTO,SUMIFS(CF_CUOTA,CF_MAS,ITP_TRAMO_ALTO,CF_CCMIN,"&lt;="&amp;CM325,CF_CCMAX,"&gt;="&amp;CM325),IF(BA325&gt;ITP_TRAMO_BAJO,SUMIFS(CF_CUOTA,CF_MAS,ITP_TRAMO_BAJO,CF_CCMIN,"&lt;="&amp;CM325,CF_CCMAX,"&gt;="&amp;CM325),O325*ITP_TIPO)),O325*ITP_TIPO))</f>
        <v/>
      </c>
      <c r="CO325" s="4">
        <f>IF(R325="profesional",N(AK325),0)</f>
        <v/>
      </c>
      <c r="CP325" s="3">
        <f>IF(AND(R325="profesional",ISNUMBER(AK325),AL325="sí"),0,TASA_DGT)</f>
        <v/>
      </c>
      <c r="CQ325" s="3">
        <f>INFORME_DGT</f>
        <v/>
      </c>
      <c r="CR325" s="4">
        <f>O325+CO325+CN325+CP325+CQ325</f>
        <v/>
      </c>
      <c r="CS325" s="4">
        <f>CR325+N(CF325)</f>
        <v/>
      </c>
      <c r="CT325" s="3">
        <f>IF(CR325&lt;=TOTAL_MAX,"sí",IF(CR325&lt;=TOTAL_MAX+MARGEN_NEG,"negociar","no"))</f>
        <v/>
      </c>
      <c r="CU325" s="4">
        <f>IF(CT325&lt;&gt;"no",COUNTIFS($CT$2:$CT$545,"&lt;&gt;no",$CL$2:$CL$545,"&gt;"&amp;CL325)+COUNTIFS($CT$2:CT325,"&lt;&gt;no",$CL$2:CL325,CL325),"")</f>
        <v/>
      </c>
    </row>
    <row r="326">
      <c r="A326" s="2" t="inlineStr">
        <is>
          <t>cochesnet:71450364</t>
        </is>
      </c>
      <c r="B326" s="2" t="inlineStr">
        <is>
          <t>cochesnet</t>
        </is>
      </c>
      <c r="C326" s="2" t="inlineStr">
        <is>
          <t>https://www.coches.net/opel-astra-gasolina-2006-en-valencia-71450364-covo.aspx</t>
        </is>
      </c>
      <c r="D326" s="2" t="inlineStr">
        <is>
          <t>OPEL Astra 1.4 Essentia</t>
        </is>
      </c>
      <c r="E326" s="2" t="inlineStr">
        <is>
          <t>Opel</t>
        </is>
      </c>
      <c r="F326" s="2" t="inlineStr">
        <is>
          <t>Opel Astra</t>
        </is>
      </c>
      <c r="G326" s="2" t="inlineStr">
        <is>
          <t>1.4</t>
        </is>
      </c>
      <c r="H326" s="2" t="inlineStr">
        <is>
          <t>1.4 Essentia</t>
        </is>
      </c>
      <c r="I326" s="2" t="n"/>
      <c r="J326" s="2" t="n"/>
      <c r="K326" s="2" t="inlineStr">
        <is>
          <t>gasolina</t>
        </is>
      </c>
      <c r="L326" s="2" t="inlineStr">
        <is>
          <t>compacto</t>
        </is>
      </c>
      <c r="M326" s="2" t="n">
        <v>2006</v>
      </c>
      <c r="N326" s="2" t="n">
        <v>187000</v>
      </c>
      <c r="O326" s="2" t="n">
        <v>2700</v>
      </c>
      <c r="P326" s="2" t="inlineStr">
        <is>
          <t>manual</t>
        </is>
      </c>
      <c r="Q326" s="2" t="inlineStr">
        <is>
          <t>no</t>
        </is>
      </c>
      <c r="R326" s="2" t="inlineStr">
        <is>
          <t>particular</t>
        </is>
      </c>
      <c r="S326" s="2" t="inlineStr">
        <is>
          <t>San Antonio de Benagéber</t>
        </is>
      </c>
      <c r="T326" s="2" t="inlineStr">
        <is>
          <t>2026-09-05T20:28:44Z</t>
        </is>
      </c>
      <c r="U326" s="2" t="n">
        <v>7</v>
      </c>
      <c r="V326" s="2" t="inlineStr">
        <is>
          <t>sí</t>
        </is>
      </c>
      <c r="W326" s="2" t="n"/>
      <c r="X326" s="2" t="n"/>
      <c r="Y326" s="2" t="n"/>
      <c r="Z326" s="2" t="inlineStr">
        <is>
          <t>no</t>
        </is>
      </c>
      <c r="AA326" s="2" t="n"/>
      <c r="AB326" s="2" t="n"/>
      <c r="AC326" s="2" t="n"/>
      <c r="AD326" s="2" t="n"/>
      <c r="AE326" s="2" t="n"/>
      <c r="AF326" s="2" t="n"/>
      <c r="AG326" s="2" t="n"/>
      <c r="AH326" s="2" t="n">
        <v>2700</v>
      </c>
      <c r="AI326" s="2" t="n"/>
      <c r="AJ326" s="2" t="n"/>
      <c r="AK326" s="2" t="n"/>
      <c r="AL326" s="2" t="n"/>
      <c r="AM326" s="2" t="n">
        <v>19.1</v>
      </c>
      <c r="AN326" s="2" t="n"/>
      <c r="AO326" s="2" t="inlineStr">
        <is>
          <t>2006</t>
        </is>
      </c>
      <c r="AP326" s="2" t="n">
        <v>2006</v>
      </c>
      <c r="AQ326" s="2" t="n"/>
      <c r="AR326" s="2" t="n"/>
      <c r="AS326" s="2" t="inlineStr">
        <is>
          <t>regla</t>
        </is>
      </c>
      <c r="AT326" s="2" t="n">
        <v>2850</v>
      </c>
      <c r="AU326" s="2" t="n">
        <v>16</v>
      </c>
      <c r="AV326" s="2" t="inlineStr">
        <is>
          <t>modelo+año+km</t>
        </is>
      </c>
      <c r="AW326" s="2" t="n"/>
      <c r="AX326" s="2" t="inlineStr">
        <is>
          <t>cuota fija ITP: &gt;12 años, hasta 1.500 cc</t>
        </is>
      </c>
      <c r="AY326" s="2" t="inlineStr">
        <is>
          <t xml:space="preserve">Opel Astra 2006 Manual. ITV recién pasada SIN FALTAS.Lo vendo por tener otro coche y no usarlo. Tiene años pero funciona muy bien y está listo para circular.Mantenimientos recientes:Bomba de agua nueva.Aire acondicionado a la perfección (compresor nuevo).Faros recién pulidos.Extras:Bola de enganche homologada.Manos libres Parrot.Se puede ver y probar sin compromiso. ¡Escríbeme!  algo negociable </t>
        </is>
      </c>
      <c r="AZ326" s="2" t="inlineStr">
        <is>
          <t>https://www.coches.net/opel-astra-gasolina-2006-en-valencia-71450364-covo.aspx (window.__INITIAL_PROPS__.ad) /home/user/Alopecia/buscador-coches/raw/cochesnet/e2418849cab83a5b.json</t>
        </is>
      </c>
      <c r="BA326" s="3">
        <f>MAX(ANIO_ACTUAL-M326,0)</f>
        <v/>
      </c>
      <c r="BB326" s="4">
        <f>N326/MAX(BA326,0.5)</f>
        <v/>
      </c>
      <c r="BC326" s="4">
        <f>F326</f>
        <v/>
      </c>
      <c r="BD326" s="3">
        <f>BC326&amp;"|"&amp;INT(M326/SEG_ANIO)*SEG_ANIO</f>
        <v/>
      </c>
      <c r="BE326" s="3">
        <f>BD326&amp;"|"&amp;INT(N326/SEG_KM)*SEG_KM</f>
        <v/>
      </c>
      <c r="BF326" s="4">
        <f>COUNTIF($BC$2:$BC$545,BC326)</f>
        <v/>
      </c>
      <c r="BG326" s="4">
        <f>COUNTIF($BD$2:$BD$545,BD326)</f>
        <v/>
      </c>
      <c r="BH326" s="4">
        <f>COUNTIF($BE$2:$BE$545,BE326)</f>
        <v/>
      </c>
      <c r="BI326" s="3">
        <f t="array" ref="BI326">IF(N(AU326)&gt;=MIN_N,AT326,IF(BH326&gt;=MIN_N,MEDIAN(IF($BE$2:$BE$545=BE326,$O$2:$O$545)),IF(BG326&gt;=MIN_N,MEDIAN(IF($BD$2:$BD$545=BD326,$O$2:$O$545)),MEDIAN(IF($BC$2:$BC$545=BC326,$O$2:$O$545)))))</f>
        <v/>
      </c>
      <c r="BJ326" s="3">
        <f>IF(N(AU326)&gt;=MIN_N,"mercado "&amp;AV326,IF(BH326&gt;=MIN_N,"modelo+año+km",IF(BG326&gt;=MIN_N,"modelo+año","modelo")))</f>
        <v/>
      </c>
      <c r="BK326" s="4">
        <f>(BI326-O326)/BI326</f>
        <v/>
      </c>
      <c r="BL326" s="3">
        <f>IF(COUNTIFS(FR_FUEL,K326,FR_YEAR,AP326)&gt;0,1,0)</f>
        <v/>
      </c>
      <c r="BM326" s="3">
        <f>IF(COUNTIFS(FR_FUEL,K326,FR_YEAR,AP326-1)&gt;0,1,0)</f>
        <v/>
      </c>
      <c r="BN326" s="4">
        <f>IF(N(AQ326)&gt;0,AP326*100+AQ326,IF(AND(BL326=1,BM326=1),(AP326-1)*100+1,AP326*100+1))</f>
        <v/>
      </c>
      <c r="BO326" s="3">
        <f>IF(OR(K326="hibrido",K326="glp",K326="gnc",K326="phev"),"ECO",IF(K326="electrico","CERO",IF(K326="gasolina",IF(BN326&gt;=GAS_C_YM,"C",IF(BN326&gt;=GAS_B_YM,"B","A")),IF(K326="diesel",IF(BN326&gt;=DIE_C_YM,"C",IF(BN326&gt;=DIE_B_YM,"B","A")),""))))</f>
        <v/>
      </c>
      <c r="BP326" s="4">
        <f>BO326</f>
        <v/>
      </c>
      <c r="BQ326" s="4">
        <f>IF(AS326="regla",IF(AND(N(AQ326)=0,BL326=1),"sí","no"),"no")</f>
        <v/>
      </c>
      <c r="BR326" s="3">
        <f>IFERROR(VLOOKUP(F326,MOD_TBL,11,0),IFERROR(VLOOKUP(E326,OCU_TBL,2,0),NEUTRO))</f>
        <v/>
      </c>
      <c r="BS326" s="3">
        <f>SUMIFS(MOT_AJUSTE,MOT_MOTOR,G326,MOT_MARCA,E326,MOT_DESDE,"&lt;="&amp;M326,MOT_HASTA,"&gt;="&amp;M326)+SUMIFS(MOT_AJUSTE,MOT_MOTOR,G326,MOT_MARCA,"(todas)",MOT_DESDE,"&lt;="&amp;M326,MOT_HASTA,"&gt;="&amp;M326)</f>
        <v/>
      </c>
      <c r="BT326" s="3">
        <f>SUMIFS(COMB_AJUSTE,COMB_COMB,K326)</f>
        <v/>
      </c>
      <c r="BU326" s="3">
        <f>COUNTIFS(MOT_MOTOR,G326,MOT_MARCA,E326,MOT_DESDE,"&lt;="&amp;M326,MOT_HASTA,"&gt;="&amp;M326)+COUNTIFS(MOT_MOTOR,G326,MOT_MARCA,"(todas)",MOT_DESDE,"&lt;="&amp;M326,MOT_HASTA,"&gt;="&amp;M326)</f>
        <v/>
      </c>
      <c r="BV326" s="3">
        <f>IF(AND(K326="diesel",BU326=0),MIN(BR326,NEUTRO),BR326)</f>
        <v/>
      </c>
      <c r="BW326" s="4">
        <f>MAX(0,MIN(100,BV326+BS326+BT326))</f>
        <v/>
      </c>
      <c r="BX326" s="3">
        <f>MAX(0,MIN(100,50+BK326*PRECIO_PEND))</f>
        <v/>
      </c>
      <c r="BY326" s="3">
        <f>MAX(0,100*(1-N326/KM_MAX))</f>
        <v/>
      </c>
      <c r="BZ326" s="3">
        <f>IF(BB326&lt;KMA_SOSP,IF(AA326="sí",100,KMA_PEN),IF(BB326&lt;=KMA_IDEAL_MAX,100,MAX(0,100*(KMA_CERO-BB326)/(KMA_CERO-KMA_IDEAL_MAX))))</f>
        <v/>
      </c>
      <c r="CA326" s="3">
        <f>MAX(0,MIN(100,100*(M326-ANIO_MIN)/(ANIO_ACTUAL-ANIO_MIN)))</f>
        <v/>
      </c>
      <c r="CB326" s="3">
        <f>W_KMT*BY326+W_KMA*BZ326+W_EDAD*CA326</f>
        <v/>
      </c>
      <c r="CC326" s="3">
        <f>P_ITV*(V326="sí")+P_LIBRO*(W326="sí")+P_CORREA*(X326="sí")+P_PROP*(Y326=1)+P_GAR*(Z326="sí")+P_FOTOS*MIN(1,N(U326)/FOTOS_OBJ)</f>
        <v/>
      </c>
      <c r="CD326" s="3">
        <f>MAX(0,MIN(100,IFERROR(VLOOKUP(BP326,ETQ_TBL,2,0),0)-IF(BQ326="sí",ETQ_PEN_DUD,IF(AS326="regla",ETQ_PEN_REGLA,0))))</f>
        <v/>
      </c>
      <c r="CE326" s="3">
        <f>NEUTRO</f>
        <v/>
      </c>
      <c r="CF326" s="3">
        <f>IFERROR(VLOOKUP(L326,SEGURO_TBL,3,0),"")</f>
        <v/>
      </c>
      <c r="CG326" s="3">
        <f>IF(CF326="",NEUTRO,MAX(0,MIN(100,100*(SEG_REF_MAX-CF326)/(SEG_REF_MAX-SEG_REF_MIN))))</f>
        <v/>
      </c>
      <c r="CH326" s="3">
        <f>W_CONS*CE326+W_SEG*CG326</f>
        <v/>
      </c>
      <c r="CI326" s="3">
        <f>IF(N(AB326)&gt;0,AB326,IF(AND(R326="profesional",SG_LEGAL_ON=1),GAR_LEGAL,0))</f>
        <v/>
      </c>
      <c r="CJ326" s="3">
        <f>SG_GAR*MIN(1,CI326/SG_GAR_FULL)+SG_AMPL*(AC326="sí")+SG_KMC*(AF326="sí")+SG_REV*(N(AE326)&gt;0)+SG_DEV*MIN(1,N(AG326)/SG_DEV_FULL)+SG_HIST*(W326="sí")</f>
        <v/>
      </c>
      <c r="CK326" s="3">
        <f>IFERROR(VLOOKUP(L326,CARR_PEN_TBL,2,0),0)</f>
        <v/>
      </c>
      <c r="CL326" s="3">
        <f>W_FIAB*BW326+W_PRECIO*BX326+W_KMEDAD*CB326+W_ANUNCIO*CC326+W_USO*CH326+W_SEGURIDAD*CJ326+W_ETIQUETA*CD326-CK326</f>
        <v/>
      </c>
      <c r="CM326" s="4">
        <f>IF(N(I326)&gt;0,I326,IFERROR(ROUND(_xlfn.NUMBERVALUE(LEFT(G326,FIND(" ",G326&amp;" ")-1),".")*1000,0),99999))</f>
        <v/>
      </c>
      <c r="CN326" s="3">
        <f>IF(R326="profesional",0,IF(O326&lt;CUOTA_VALOR_MAX,IF(BA326&gt;ITP_TRAMO_ALTO,SUMIFS(CF_CUOTA,CF_MAS,ITP_TRAMO_ALTO,CF_CCMIN,"&lt;="&amp;CM326,CF_CCMAX,"&gt;="&amp;CM326),IF(BA326&gt;ITP_TRAMO_BAJO,SUMIFS(CF_CUOTA,CF_MAS,ITP_TRAMO_BAJO,CF_CCMIN,"&lt;="&amp;CM326,CF_CCMAX,"&gt;="&amp;CM326),O326*ITP_TIPO)),O326*ITP_TIPO))</f>
        <v/>
      </c>
      <c r="CO326" s="4">
        <f>IF(R326="profesional",N(AK326),0)</f>
        <v/>
      </c>
      <c r="CP326" s="3">
        <f>IF(AND(R326="profesional",ISNUMBER(AK326),AL326="sí"),0,TASA_DGT)</f>
        <v/>
      </c>
      <c r="CQ326" s="3">
        <f>INFORME_DGT</f>
        <v/>
      </c>
      <c r="CR326" s="4">
        <f>O326+CO326+CN326+CP326+CQ326</f>
        <v/>
      </c>
      <c r="CS326" s="4">
        <f>CR326+N(CF326)</f>
        <v/>
      </c>
      <c r="CT326" s="3">
        <f>IF(CR326&lt;=TOTAL_MAX,"sí",IF(CR326&lt;=TOTAL_MAX+MARGEN_NEG,"negociar","no"))</f>
        <v/>
      </c>
      <c r="CU326" s="4">
        <f>IF(CT326&lt;&gt;"no",COUNTIFS($CT$2:$CT$545,"&lt;&gt;no",$CL$2:$CL$545,"&gt;"&amp;CL326)+COUNTIFS($CT$2:CT326,"&lt;&gt;no",$CL$2:CL326,CL326),"")</f>
        <v/>
      </c>
    </row>
    <row r="327">
      <c r="A327" s="2" t="inlineStr">
        <is>
          <t>cochesnet:71241892</t>
        </is>
      </c>
      <c r="B327" s="2" t="inlineStr">
        <is>
          <t>cochesnet</t>
        </is>
      </c>
      <c r="C327" s="2" t="inlineStr">
        <is>
          <t>https://www.coches.net/opel-astra-17-cdti-enjoy-sw-5p-diesel-2007-en-valencia-71241892-covo.aspx</t>
        </is>
      </c>
      <c r="D327" s="2" t="inlineStr">
        <is>
          <t>OPEL Astra 1.7 CDTi Enjoy SW</t>
        </is>
      </c>
      <c r="E327" s="2" t="inlineStr">
        <is>
          <t>Opel</t>
        </is>
      </c>
      <c r="F327" s="2" t="inlineStr">
        <is>
          <t>Opel Astra</t>
        </is>
      </c>
      <c r="G327" s="2" t="inlineStr">
        <is>
          <t>1.7 CDTi</t>
        </is>
      </c>
      <c r="H327" s="2" t="inlineStr">
        <is>
          <t>1.7 CDTi Enjoy SW</t>
        </is>
      </c>
      <c r="I327" s="2" t="n"/>
      <c r="J327" s="2" t="n"/>
      <c r="K327" s="2" t="inlineStr">
        <is>
          <t>diesel</t>
        </is>
      </c>
      <c r="L327" s="2" t="inlineStr">
        <is>
          <t>familiar</t>
        </is>
      </c>
      <c r="M327" s="2" t="n">
        <v>2006</v>
      </c>
      <c r="N327" s="2" t="n">
        <v>168488</v>
      </c>
      <c r="O327" s="2" t="n">
        <v>3490</v>
      </c>
      <c r="P327" s="2" t="inlineStr">
        <is>
          <t>manual</t>
        </is>
      </c>
      <c r="Q327" s="2" t="inlineStr">
        <is>
          <t>no</t>
        </is>
      </c>
      <c r="R327" s="2" t="inlineStr">
        <is>
          <t>profesional</t>
        </is>
      </c>
      <c r="S327" s="2" t="inlineStr">
        <is>
          <t>Automóviles Nord Bonrepòs i Mirambell</t>
        </is>
      </c>
      <c r="T327" s="2" t="inlineStr">
        <is>
          <t>2026-08-06T13:08:47Z</t>
        </is>
      </c>
      <c r="U327" s="2" t="n">
        <v>15</v>
      </c>
      <c r="V327" s="2" t="n"/>
      <c r="W327" s="2" t="inlineStr">
        <is>
          <t>sí</t>
        </is>
      </c>
      <c r="X327" s="2" t="n"/>
      <c r="Y327" s="2" t="n">
        <v>1</v>
      </c>
      <c r="Z327" s="2" t="inlineStr">
        <is>
          <t>sí</t>
        </is>
      </c>
      <c r="AA327" s="2" t="n"/>
      <c r="AB327" s="2" t="n">
        <v>12</v>
      </c>
      <c r="AC327" s="2" t="n"/>
      <c r="AD327" s="2" t="n"/>
      <c r="AE327" s="2" t="n"/>
      <c r="AF327" s="2" t="n"/>
      <c r="AG327" s="2" t="n"/>
      <c r="AH327" s="2" t="n">
        <v>3490</v>
      </c>
      <c r="AI327" s="2" t="n"/>
      <c r="AJ327" s="2" t="n"/>
      <c r="AK327" s="2" t="n"/>
      <c r="AL327" s="2" t="n"/>
      <c r="AM327" s="2" t="n">
        <v>5.3</v>
      </c>
      <c r="AN327" s="2" t="n"/>
      <c r="AO327" s="2" t="inlineStr">
        <is>
          <t>2006</t>
        </is>
      </c>
      <c r="AP327" s="2" t="n">
        <v>2006</v>
      </c>
      <c r="AQ327" s="2" t="n"/>
      <c r="AR327" s="2" t="inlineStr">
        <is>
          <t>B</t>
        </is>
      </c>
      <c r="AS327" s="2" t="inlineStr">
        <is>
          <t>anuncio</t>
        </is>
      </c>
      <c r="AT327" s="2" t="n">
        <v>2850</v>
      </c>
      <c r="AU327" s="2" t="n">
        <v>16</v>
      </c>
      <c r="AV327" s="2" t="inlineStr">
        <is>
          <t>modelo+año+km</t>
        </is>
      </c>
      <c r="AW327" s="2" t="n"/>
      <c r="AX327"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t>
        </is>
      </c>
      <c r="AY327" s="2" t="inlineStr">
        <is>
          <t>-Automóviles Nord-
Opel Astra SW 1.7CDTi motor diésel de bajo consumo de procedencia nacional y único propietario.
El vehículo dispone de los siguientes extras: 
-Cierre centralizado
-Ordenador de abordo
-Elevalunas delanteros eléctricos
-Asientos confort 
-Radio cd mp3 
-Sistema ABS y control de estabilidad ESP
-Aire acondicionado
-El vehículo se entrega con la ITV y el mantenimiento al día
-Dirección asistida
-Dos llaves
-Ordenador abordo
El anuncio puede contener errores tipográficos y esta sujeto a cambios o variaciones por el vendedor en cualquier momento
Para mas información llamar al teléfono de contacto.
OPEL ASTRA EN SILLA</t>
        </is>
      </c>
      <c r="AZ327" s="2" t="inlineStr">
        <is>
          <t>https://www.coches.net/opel-astra-17-cdti-enjoy-sw-5p-diesel-2007-en-valencia-71241892-covo.aspx (window.__INITIAL_PROPS__.ad) /home/user/Alopecia/buscador-coches/raw/cochesnet/dce79a1705535ace.json</t>
        </is>
      </c>
      <c r="BA327" s="3">
        <f>MAX(ANIO_ACTUAL-M327,0)</f>
        <v/>
      </c>
      <c r="BB327" s="4">
        <f>N327/MAX(BA327,0.5)</f>
        <v/>
      </c>
      <c r="BC327" s="4">
        <f>F327</f>
        <v/>
      </c>
      <c r="BD327" s="3">
        <f>BC327&amp;"|"&amp;INT(M327/SEG_ANIO)*SEG_ANIO</f>
        <v/>
      </c>
      <c r="BE327" s="3">
        <f>BD327&amp;"|"&amp;INT(N327/SEG_KM)*SEG_KM</f>
        <v/>
      </c>
      <c r="BF327" s="4">
        <f>COUNTIF($BC$2:$BC$545,BC327)</f>
        <v/>
      </c>
      <c r="BG327" s="4">
        <f>COUNTIF($BD$2:$BD$545,BD327)</f>
        <v/>
      </c>
      <c r="BH327" s="4">
        <f>COUNTIF($BE$2:$BE$545,BE327)</f>
        <v/>
      </c>
      <c r="BI327" s="3">
        <f t="array" ref="BI327">IF(N(AU327)&gt;=MIN_N,AT327,IF(BH327&gt;=MIN_N,MEDIAN(IF($BE$2:$BE$545=BE327,$O$2:$O$545)),IF(BG327&gt;=MIN_N,MEDIAN(IF($BD$2:$BD$545=BD327,$O$2:$O$545)),MEDIAN(IF($BC$2:$BC$545=BC327,$O$2:$O$545)))))</f>
        <v/>
      </c>
      <c r="BJ327" s="3">
        <f>IF(N(AU327)&gt;=MIN_N,"mercado "&amp;AV327,IF(BH327&gt;=MIN_N,"modelo+año+km",IF(BG327&gt;=MIN_N,"modelo+año","modelo")))</f>
        <v/>
      </c>
      <c r="BK327" s="4">
        <f>(BI327-O327)/BI327</f>
        <v/>
      </c>
      <c r="BL327" s="3">
        <f>IF(COUNTIFS(FR_FUEL,K327,FR_YEAR,AP327)&gt;0,1,0)</f>
        <v/>
      </c>
      <c r="BM327" s="3">
        <f>IF(COUNTIFS(FR_FUEL,K327,FR_YEAR,AP327-1)&gt;0,1,0)</f>
        <v/>
      </c>
      <c r="BN327" s="4">
        <f>IF(N(AQ327)&gt;0,AP327*100+AQ327,IF(AND(BL327=1,BM327=1),(AP327-1)*100+1,AP327*100+1))</f>
        <v/>
      </c>
      <c r="BO327" s="3">
        <f>IF(OR(K327="hibrido",K327="glp",K327="gnc",K327="phev"),"ECO",IF(K327="electrico","CERO",IF(K327="gasolina",IF(BN327&gt;=GAS_C_YM,"C",IF(BN327&gt;=GAS_B_YM,"B","A")),IF(K327="diesel",IF(BN327&gt;=DIE_C_YM,"C",IF(BN327&gt;=DIE_B_YM,"B","A")),""))))</f>
        <v/>
      </c>
      <c r="BP327" s="2" t="inlineStr">
        <is>
          <t>B</t>
        </is>
      </c>
      <c r="BQ327" s="4">
        <f>IF(AS327="regla",IF(AND(N(AQ327)=0,BL327=1),"sí","no"),"no")</f>
        <v/>
      </c>
      <c r="BR327" s="3">
        <f>IFERROR(VLOOKUP(F327,MOD_TBL,11,0),IFERROR(VLOOKUP(E327,OCU_TBL,2,0),NEUTRO))</f>
        <v/>
      </c>
      <c r="BS327" s="3">
        <f>SUMIFS(MOT_AJUSTE,MOT_MOTOR,G327,MOT_MARCA,E327,MOT_DESDE,"&lt;="&amp;M327,MOT_HASTA,"&gt;="&amp;M327)+SUMIFS(MOT_AJUSTE,MOT_MOTOR,G327,MOT_MARCA,"(todas)",MOT_DESDE,"&lt;="&amp;M327,MOT_HASTA,"&gt;="&amp;M327)</f>
        <v/>
      </c>
      <c r="BT327" s="3">
        <f>SUMIFS(COMB_AJUSTE,COMB_COMB,K327)</f>
        <v/>
      </c>
      <c r="BU327" s="3">
        <f>COUNTIFS(MOT_MOTOR,G327,MOT_MARCA,E327,MOT_DESDE,"&lt;="&amp;M327,MOT_HASTA,"&gt;="&amp;M327)+COUNTIFS(MOT_MOTOR,G327,MOT_MARCA,"(todas)",MOT_DESDE,"&lt;="&amp;M327,MOT_HASTA,"&gt;="&amp;M327)</f>
        <v/>
      </c>
      <c r="BV327" s="3">
        <f>IF(AND(K327="diesel",BU327=0),MIN(BR327,NEUTRO),BR327)</f>
        <v/>
      </c>
      <c r="BW327" s="4">
        <f>MAX(0,MIN(100,BV327+BS327+BT327))</f>
        <v/>
      </c>
      <c r="BX327" s="3">
        <f>MAX(0,MIN(100,50+BK327*PRECIO_PEND))</f>
        <v/>
      </c>
      <c r="BY327" s="3">
        <f>MAX(0,100*(1-N327/KM_MAX))</f>
        <v/>
      </c>
      <c r="BZ327" s="3">
        <f>IF(BB327&lt;KMA_SOSP,IF(AA327="sí",100,KMA_PEN),IF(BB327&lt;=KMA_IDEAL_MAX,100,MAX(0,100*(KMA_CERO-BB327)/(KMA_CERO-KMA_IDEAL_MAX))))</f>
        <v/>
      </c>
      <c r="CA327" s="3">
        <f>MAX(0,MIN(100,100*(M327-ANIO_MIN)/(ANIO_ACTUAL-ANIO_MIN)))</f>
        <v/>
      </c>
      <c r="CB327" s="3">
        <f>W_KMT*BY327+W_KMA*BZ327+W_EDAD*CA327</f>
        <v/>
      </c>
      <c r="CC327" s="3">
        <f>P_ITV*(V327="sí")+P_LIBRO*(W327="sí")+P_CORREA*(X327="sí")+P_PROP*(Y327=1)+P_GAR*(Z327="sí")+P_FOTOS*MIN(1,N(U327)/FOTOS_OBJ)</f>
        <v/>
      </c>
      <c r="CD327" s="3">
        <f>MAX(0,MIN(100,IFERROR(VLOOKUP(BP327,ETQ_TBL,2,0),0)-IF(BQ327="sí",ETQ_PEN_DUD,IF(AS327="regla",ETQ_PEN_REGLA,0))))</f>
        <v/>
      </c>
      <c r="CE327" s="3">
        <f>NEUTRO</f>
        <v/>
      </c>
      <c r="CF327" s="3">
        <f>IFERROR(VLOOKUP(L327,SEGURO_TBL,3,0),"")</f>
        <v/>
      </c>
      <c r="CG327" s="3">
        <f>IF(CF327="",NEUTRO,MAX(0,MIN(100,100*(SEG_REF_MAX-CF327)/(SEG_REF_MAX-SEG_REF_MIN))))</f>
        <v/>
      </c>
      <c r="CH327" s="3">
        <f>W_CONS*CE327+W_SEG*CG327</f>
        <v/>
      </c>
      <c r="CI327" s="3">
        <f>IF(N(AB327)&gt;0,AB327,IF(AND(R327="profesional",SG_LEGAL_ON=1),GAR_LEGAL,0))</f>
        <v/>
      </c>
      <c r="CJ327" s="3">
        <f>SG_GAR*MIN(1,CI327/SG_GAR_FULL)+SG_AMPL*(AC327="sí")+SG_KMC*(AF327="sí")+SG_REV*(N(AE327)&gt;0)+SG_DEV*MIN(1,N(AG327)/SG_DEV_FULL)+SG_HIST*(W327="sí")</f>
        <v/>
      </c>
      <c r="CK327" s="3">
        <f>IFERROR(VLOOKUP(L327,CARR_PEN_TBL,2,0),0)</f>
        <v/>
      </c>
      <c r="CL327" s="3">
        <f>W_FIAB*BW327+W_PRECIO*BX327+W_KMEDAD*CB327+W_ANUNCIO*CC327+W_USO*CH327+W_SEGURIDAD*CJ327+W_ETIQUETA*CD327-CK327</f>
        <v/>
      </c>
      <c r="CM327" s="4">
        <f>IF(N(I327)&gt;0,I327,IFERROR(ROUND(_xlfn.NUMBERVALUE(LEFT(G327,FIND(" ",G327&amp;" ")-1),".")*1000,0),99999))</f>
        <v/>
      </c>
      <c r="CN327" s="3">
        <f>IF(R327="profesional",0,IF(O327&lt;CUOTA_VALOR_MAX,IF(BA327&gt;ITP_TRAMO_ALTO,SUMIFS(CF_CUOTA,CF_MAS,ITP_TRAMO_ALTO,CF_CCMIN,"&lt;="&amp;CM327,CF_CCMAX,"&gt;="&amp;CM327),IF(BA327&gt;ITP_TRAMO_BAJO,SUMIFS(CF_CUOTA,CF_MAS,ITP_TRAMO_BAJO,CF_CCMIN,"&lt;="&amp;CM327,CF_CCMAX,"&gt;="&amp;CM327),O327*ITP_TIPO)),O327*ITP_TIPO))</f>
        <v/>
      </c>
      <c r="CO327" s="4">
        <f>IF(R327="profesional",N(AK327),0)</f>
        <v/>
      </c>
      <c r="CP327" s="3">
        <f>IF(AND(R327="profesional",ISNUMBER(AK327),AL327="sí"),0,TASA_DGT)</f>
        <v/>
      </c>
      <c r="CQ327" s="3">
        <f>INFORME_DGT</f>
        <v/>
      </c>
      <c r="CR327" s="4">
        <f>O327+CO327+CN327+CP327+CQ327</f>
        <v/>
      </c>
      <c r="CS327" s="4">
        <f>CR327+N(CF327)</f>
        <v/>
      </c>
      <c r="CT327" s="3">
        <f>IF(CR327&lt;=TOTAL_MAX,"sí",IF(CR327&lt;=TOTAL_MAX+MARGEN_NEG,"negociar","no"))</f>
        <v/>
      </c>
      <c r="CU327" s="4">
        <f>IF(CT327&lt;&gt;"no",COUNTIFS($CT$2:$CT$545,"&lt;&gt;no",$CL$2:$CL$545,"&gt;"&amp;CL327)+COUNTIFS($CT$2:CT327,"&lt;&gt;no",$CL$2:CL327,CL327),"")</f>
        <v/>
      </c>
    </row>
    <row r="328">
      <c r="A328" s="2" t="inlineStr">
        <is>
          <t>cochesnet:71218282</t>
        </is>
      </c>
      <c r="B328" s="2" t="inlineStr">
        <is>
          <t>cochesnet</t>
        </is>
      </c>
      <c r="C328" s="2" t="inlineStr">
        <is>
          <t>https://www.coches.net/opel-astra-gtc-16-16v-enjoy-3p-gasolina-2007-en-valencia-71218282-covo.aspx</t>
        </is>
      </c>
      <c r="D328" s="2" t="inlineStr">
        <is>
          <t>OPEL Astra GTC 1.6 16v Enjoy</t>
        </is>
      </c>
      <c r="E328" s="2" t="inlineStr">
        <is>
          <t>Opel</t>
        </is>
      </c>
      <c r="F328" s="2" t="inlineStr">
        <is>
          <t>Opel Astra</t>
        </is>
      </c>
      <c r="G328" s="2" t="inlineStr">
        <is>
          <t>1.6</t>
        </is>
      </c>
      <c r="H328" s="2" t="inlineStr">
        <is>
          <t>GTC 1.6 16v Enjoy</t>
        </is>
      </c>
      <c r="I328" s="2" t="n"/>
      <c r="J328" s="2" t="n"/>
      <c r="K328" s="2" t="inlineStr">
        <is>
          <t>gasolina</t>
        </is>
      </c>
      <c r="L328" s="2" t="inlineStr">
        <is>
          <t>compacto</t>
        </is>
      </c>
      <c r="M328" s="2" t="n">
        <v>2007</v>
      </c>
      <c r="N328" s="2" t="n">
        <v>215000</v>
      </c>
      <c r="O328" s="2" t="n">
        <v>2750</v>
      </c>
      <c r="P328" s="2" t="inlineStr">
        <is>
          <t>manual</t>
        </is>
      </c>
      <c r="Q328" s="2" t="inlineStr">
        <is>
          <t>no</t>
        </is>
      </c>
      <c r="R328" s="2" t="inlineStr">
        <is>
          <t>particular</t>
        </is>
      </c>
      <c r="S328" s="2" t="inlineStr">
        <is>
          <t>Gandia</t>
        </is>
      </c>
      <c r="T328" s="2" t="inlineStr">
        <is>
          <t>2026-10-12T16:24:49Z</t>
        </is>
      </c>
      <c r="U328" s="2" t="n">
        <v>11</v>
      </c>
      <c r="V328" s="2" t="inlineStr">
        <is>
          <t>sí</t>
        </is>
      </c>
      <c r="W328" s="2" t="n"/>
      <c r="X328" s="2" t="n"/>
      <c r="Y328" s="2" t="n"/>
      <c r="Z328" s="2" t="inlineStr">
        <is>
          <t>no</t>
        </is>
      </c>
      <c r="AA328" s="2" t="n"/>
      <c r="AB328" s="2" t="n"/>
      <c r="AC328" s="2" t="n"/>
      <c r="AD328" s="2" t="n"/>
      <c r="AE328" s="2" t="n"/>
      <c r="AF328" s="2" t="n"/>
      <c r="AG328" s="2" t="n"/>
      <c r="AH328" s="2" t="n">
        <v>2750</v>
      </c>
      <c r="AI328" s="2" t="n"/>
      <c r="AJ328" s="2" t="n"/>
      <c r="AK328" s="2" t="n"/>
      <c r="AL328" s="2" t="n"/>
      <c r="AM328" s="2" t="n">
        <v>58.4</v>
      </c>
      <c r="AN328" s="2" t="n"/>
      <c r="AO328" s="2" t="inlineStr">
        <is>
          <t>04/2007</t>
        </is>
      </c>
      <c r="AP328" s="2" t="n">
        <v>2007</v>
      </c>
      <c r="AQ328" s="2" t="n">
        <v>4</v>
      </c>
      <c r="AR328" s="2" t="n"/>
      <c r="AS328" s="2" t="inlineStr">
        <is>
          <t>regla</t>
        </is>
      </c>
      <c r="AT328" s="2" t="n">
        <v>2725</v>
      </c>
      <c r="AU328" s="2" t="n">
        <v>8</v>
      </c>
      <c r="AV328" s="2" t="inlineStr">
        <is>
          <t>modelo+año+km</t>
        </is>
      </c>
      <c r="AW328" s="2" t="n"/>
      <c r="AX328" s="2" t="inlineStr">
        <is>
          <t>cuota fija ITP: &gt;12 años, 1.501-2.000 cc</t>
        </is>
      </c>
      <c r="AY328" s="2" t="inlineStr">
        <is>
          <t>Opel Astra GTC 1.6 16V Enjoy Gasolina 215.000km
– ITV recién pasada – Batería nueva
Se vende Opel Astra GTC 1.6 16V Enjoy gasolina, matriculado en 2007. Coche fiable y cómodo, ideal tanto para ciudad como para carretera. Se encuentra en buen estado de funcionamiento y listo para usar.
Extras y mantenimiento:
* ITV recién pasada.
* Batería nueva recién cambiada.
* Pantalla táctil con Bluetooth instalada (ideal para música y llamadas manos libres).
* Faros de xenón.
* Motor 1.6 gasolina de bajo mantenimiento y buena fiabilidad.
* Buen estado general.
* Aire acondicionado en perfecto estado
El coche funciona correctamente y está al día para poder utilizarlo desde el primer día, sin necesidad de hacer ninguna inversión inmediata.
Se puede ver y probar sin compromiso.
Precio negociable dentro de lo razonable. Abstenerse ofertas absurdas</t>
        </is>
      </c>
      <c r="AZ328" s="2" t="inlineStr">
        <is>
          <t>https://www.coches.net/opel-astra-gtc-16-16v-enjoy-3p-gasolina-2007-en-valencia-71218282-covo.aspx (window.__INITIAL_PROPS__.ad) /home/user/Alopecia/buscador-coches/raw/cochesnet/e2ae7d02dbd56ff2.json</t>
        </is>
      </c>
      <c r="BA328" s="3">
        <f>MAX(ANIO_ACTUAL-M328,0)</f>
        <v/>
      </c>
      <c r="BB328" s="4">
        <f>N328/MAX(BA328,0.5)</f>
        <v/>
      </c>
      <c r="BC328" s="4">
        <f>F328</f>
        <v/>
      </c>
      <c r="BD328" s="3">
        <f>BC328&amp;"|"&amp;INT(M328/SEG_ANIO)*SEG_ANIO</f>
        <v/>
      </c>
      <c r="BE328" s="3">
        <f>BD328&amp;"|"&amp;INT(N328/SEG_KM)*SEG_KM</f>
        <v/>
      </c>
      <c r="BF328" s="4">
        <f>COUNTIF($BC$2:$BC$545,BC328)</f>
        <v/>
      </c>
      <c r="BG328" s="4">
        <f>COUNTIF($BD$2:$BD$545,BD328)</f>
        <v/>
      </c>
      <c r="BH328" s="4">
        <f>COUNTIF($BE$2:$BE$545,BE328)</f>
        <v/>
      </c>
      <c r="BI328" s="3">
        <f t="array" ref="BI328">IF(N(AU328)&gt;=MIN_N,AT328,IF(BH328&gt;=MIN_N,MEDIAN(IF($BE$2:$BE$545=BE328,$O$2:$O$545)),IF(BG328&gt;=MIN_N,MEDIAN(IF($BD$2:$BD$545=BD328,$O$2:$O$545)),MEDIAN(IF($BC$2:$BC$545=BC328,$O$2:$O$545)))))</f>
        <v/>
      </c>
      <c r="BJ328" s="3">
        <f>IF(N(AU328)&gt;=MIN_N,"mercado "&amp;AV328,IF(BH328&gt;=MIN_N,"modelo+año+km",IF(BG328&gt;=MIN_N,"modelo+año","modelo")))</f>
        <v/>
      </c>
      <c r="BK328" s="4">
        <f>(BI328-O328)/BI328</f>
        <v/>
      </c>
      <c r="BL328" s="3">
        <f>IF(COUNTIFS(FR_FUEL,K328,FR_YEAR,AP328)&gt;0,1,0)</f>
        <v/>
      </c>
      <c r="BM328" s="3">
        <f>IF(COUNTIFS(FR_FUEL,K328,FR_YEAR,AP328-1)&gt;0,1,0)</f>
        <v/>
      </c>
      <c r="BN328" s="4">
        <f>IF(N(AQ328)&gt;0,AP328*100+AQ328,IF(AND(BL328=1,BM328=1),(AP328-1)*100+1,AP328*100+1))</f>
        <v/>
      </c>
      <c r="BO328" s="3">
        <f>IF(OR(K328="hibrido",K328="glp",K328="gnc",K328="phev"),"ECO",IF(K328="electrico","CERO",IF(K328="gasolina",IF(BN328&gt;=GAS_C_YM,"C",IF(BN328&gt;=GAS_B_YM,"B","A")),IF(K328="diesel",IF(BN328&gt;=DIE_C_YM,"C",IF(BN328&gt;=DIE_B_YM,"B","A")),""))))</f>
        <v/>
      </c>
      <c r="BP328" s="4">
        <f>BO328</f>
        <v/>
      </c>
      <c r="BQ328" s="4">
        <f>IF(AS328="regla",IF(AND(N(AQ328)=0,BL328=1),"sí","no"),"no")</f>
        <v/>
      </c>
      <c r="BR328" s="3">
        <f>IFERROR(VLOOKUP(F328,MOD_TBL,11,0),IFERROR(VLOOKUP(E328,OCU_TBL,2,0),NEUTRO))</f>
        <v/>
      </c>
      <c r="BS328" s="3">
        <f>SUMIFS(MOT_AJUSTE,MOT_MOTOR,G328,MOT_MARCA,E328,MOT_DESDE,"&lt;="&amp;M328,MOT_HASTA,"&gt;="&amp;M328)+SUMIFS(MOT_AJUSTE,MOT_MOTOR,G328,MOT_MARCA,"(todas)",MOT_DESDE,"&lt;="&amp;M328,MOT_HASTA,"&gt;="&amp;M328)</f>
        <v/>
      </c>
      <c r="BT328" s="3">
        <f>SUMIFS(COMB_AJUSTE,COMB_COMB,K328)</f>
        <v/>
      </c>
      <c r="BU328" s="3">
        <f>COUNTIFS(MOT_MOTOR,G328,MOT_MARCA,E328,MOT_DESDE,"&lt;="&amp;M328,MOT_HASTA,"&gt;="&amp;M328)+COUNTIFS(MOT_MOTOR,G328,MOT_MARCA,"(todas)",MOT_DESDE,"&lt;="&amp;M328,MOT_HASTA,"&gt;="&amp;M328)</f>
        <v/>
      </c>
      <c r="BV328" s="3">
        <f>IF(AND(K328="diesel",BU328=0),MIN(BR328,NEUTRO),BR328)</f>
        <v/>
      </c>
      <c r="BW328" s="4">
        <f>MAX(0,MIN(100,BV328+BS328+BT328))</f>
        <v/>
      </c>
      <c r="BX328" s="3">
        <f>MAX(0,MIN(100,50+BK328*PRECIO_PEND))</f>
        <v/>
      </c>
      <c r="BY328" s="3">
        <f>MAX(0,100*(1-N328/KM_MAX))</f>
        <v/>
      </c>
      <c r="BZ328" s="3">
        <f>IF(BB328&lt;KMA_SOSP,IF(AA328="sí",100,KMA_PEN),IF(BB328&lt;=KMA_IDEAL_MAX,100,MAX(0,100*(KMA_CERO-BB328)/(KMA_CERO-KMA_IDEAL_MAX))))</f>
        <v/>
      </c>
      <c r="CA328" s="3">
        <f>MAX(0,MIN(100,100*(M328-ANIO_MIN)/(ANIO_ACTUAL-ANIO_MIN)))</f>
        <v/>
      </c>
      <c r="CB328" s="3">
        <f>W_KMT*BY328+W_KMA*BZ328+W_EDAD*CA328</f>
        <v/>
      </c>
      <c r="CC328" s="3">
        <f>P_ITV*(V328="sí")+P_LIBRO*(W328="sí")+P_CORREA*(X328="sí")+P_PROP*(Y328=1)+P_GAR*(Z328="sí")+P_FOTOS*MIN(1,N(U328)/FOTOS_OBJ)</f>
        <v/>
      </c>
      <c r="CD328" s="3">
        <f>MAX(0,MIN(100,IFERROR(VLOOKUP(BP328,ETQ_TBL,2,0),0)-IF(BQ328="sí",ETQ_PEN_DUD,IF(AS328="regla",ETQ_PEN_REGLA,0))))</f>
        <v/>
      </c>
      <c r="CE328" s="3">
        <f>NEUTRO</f>
        <v/>
      </c>
      <c r="CF328" s="3">
        <f>IFERROR(VLOOKUP(L328,SEGURO_TBL,3,0),"")</f>
        <v/>
      </c>
      <c r="CG328" s="3">
        <f>IF(CF328="",NEUTRO,MAX(0,MIN(100,100*(SEG_REF_MAX-CF328)/(SEG_REF_MAX-SEG_REF_MIN))))</f>
        <v/>
      </c>
      <c r="CH328" s="3">
        <f>W_CONS*CE328+W_SEG*CG328</f>
        <v/>
      </c>
      <c r="CI328" s="3">
        <f>IF(N(AB328)&gt;0,AB328,IF(AND(R328="profesional",SG_LEGAL_ON=1),GAR_LEGAL,0))</f>
        <v/>
      </c>
      <c r="CJ328" s="3">
        <f>SG_GAR*MIN(1,CI328/SG_GAR_FULL)+SG_AMPL*(AC328="sí")+SG_KMC*(AF328="sí")+SG_REV*(N(AE328)&gt;0)+SG_DEV*MIN(1,N(AG328)/SG_DEV_FULL)+SG_HIST*(W328="sí")</f>
        <v/>
      </c>
      <c r="CK328" s="3">
        <f>IFERROR(VLOOKUP(L328,CARR_PEN_TBL,2,0),0)</f>
        <v/>
      </c>
      <c r="CL328" s="3">
        <f>W_FIAB*BW328+W_PRECIO*BX328+W_KMEDAD*CB328+W_ANUNCIO*CC328+W_USO*CH328+W_SEGURIDAD*CJ328+W_ETIQUETA*CD328-CK328</f>
        <v/>
      </c>
      <c r="CM328" s="4">
        <f>IF(N(I328)&gt;0,I328,IFERROR(ROUND(_xlfn.NUMBERVALUE(LEFT(G328,FIND(" ",G328&amp;" ")-1),".")*1000,0),99999))</f>
        <v/>
      </c>
      <c r="CN328" s="3">
        <f>IF(R328="profesional",0,IF(O328&lt;CUOTA_VALOR_MAX,IF(BA328&gt;ITP_TRAMO_ALTO,SUMIFS(CF_CUOTA,CF_MAS,ITP_TRAMO_ALTO,CF_CCMIN,"&lt;="&amp;CM328,CF_CCMAX,"&gt;="&amp;CM328),IF(BA328&gt;ITP_TRAMO_BAJO,SUMIFS(CF_CUOTA,CF_MAS,ITP_TRAMO_BAJO,CF_CCMIN,"&lt;="&amp;CM328,CF_CCMAX,"&gt;="&amp;CM328),O328*ITP_TIPO)),O328*ITP_TIPO))</f>
        <v/>
      </c>
      <c r="CO328" s="4">
        <f>IF(R328="profesional",N(AK328),0)</f>
        <v/>
      </c>
      <c r="CP328" s="3">
        <f>IF(AND(R328="profesional",ISNUMBER(AK328),AL328="sí"),0,TASA_DGT)</f>
        <v/>
      </c>
      <c r="CQ328" s="3">
        <f>INFORME_DGT</f>
        <v/>
      </c>
      <c r="CR328" s="4">
        <f>O328+CO328+CN328+CP328+CQ328</f>
        <v/>
      </c>
      <c r="CS328" s="4">
        <f>CR328+N(CF328)</f>
        <v/>
      </c>
      <c r="CT328" s="3">
        <f>IF(CR328&lt;=TOTAL_MAX,"sí",IF(CR328&lt;=TOTAL_MAX+MARGEN_NEG,"negociar","no"))</f>
        <v/>
      </c>
      <c r="CU328" s="4">
        <f>IF(CT328&lt;&gt;"no",COUNTIFS($CT$2:$CT$545,"&lt;&gt;no",$CL$2:$CL$545,"&gt;"&amp;CL328)+COUNTIFS($CT$2:CT328,"&lt;&gt;no",$CL$2:CL328,CL328),"")</f>
        <v/>
      </c>
    </row>
    <row r="329">
      <c r="A329" s="2" t="inlineStr">
        <is>
          <t>cochesnet:71233866</t>
        </is>
      </c>
      <c r="B329" s="2" t="inlineStr">
        <is>
          <t>cochesnet</t>
        </is>
      </c>
      <c r="C329" s="2" t="inlineStr">
        <is>
          <t>https://www.coches.net/opel-astra-gtc-17-cdti-sport-3p-diesel-2006-en-valencia-71233866-covo.aspx</t>
        </is>
      </c>
      <c r="D329" s="2" t="inlineStr">
        <is>
          <t>OPEL Astra GTC 1.7 CDTi Sport</t>
        </is>
      </c>
      <c r="E329" s="2" t="inlineStr">
        <is>
          <t>Opel</t>
        </is>
      </c>
      <c r="F329" s="2" t="inlineStr">
        <is>
          <t>Opel Astra</t>
        </is>
      </c>
      <c r="G329" s="2" t="inlineStr">
        <is>
          <t>1.7 CDTi</t>
        </is>
      </c>
      <c r="H329" s="2" t="inlineStr">
        <is>
          <t>GTC 1.7 CDTi Sport</t>
        </is>
      </c>
      <c r="I329" s="2" t="n"/>
      <c r="J329" s="2" t="n"/>
      <c r="K329" s="2" t="inlineStr">
        <is>
          <t>diesel</t>
        </is>
      </c>
      <c r="L329" s="2" t="inlineStr">
        <is>
          <t>compacto</t>
        </is>
      </c>
      <c r="M329" s="2" t="n">
        <v>2006</v>
      </c>
      <c r="N329" s="2" t="n">
        <v>205000</v>
      </c>
      <c r="O329" s="2" t="n">
        <v>1600</v>
      </c>
      <c r="P329" s="2" t="inlineStr">
        <is>
          <t>manual</t>
        </is>
      </c>
      <c r="Q329" s="2" t="inlineStr">
        <is>
          <t>no</t>
        </is>
      </c>
      <c r="R329" s="2" t="inlineStr">
        <is>
          <t>particular</t>
        </is>
      </c>
      <c r="S329" s="2" t="inlineStr">
        <is>
          <t>Carlet</t>
        </is>
      </c>
      <c r="T329" s="2" t="inlineStr">
        <is>
          <t>2026-08-05T12:47:24Z</t>
        </is>
      </c>
      <c r="U329" s="2" t="n"/>
      <c r="V329" s="2" t="n"/>
      <c r="W329" s="2" t="n"/>
      <c r="X329" s="2" t="n"/>
      <c r="Y329" s="2" t="n"/>
      <c r="Z329" s="2" t="inlineStr">
        <is>
          <t>no</t>
        </is>
      </c>
      <c r="AA329" s="2" t="n"/>
      <c r="AB329" s="2" t="n"/>
      <c r="AC329" s="2" t="n"/>
      <c r="AD329" s="2" t="n"/>
      <c r="AE329" s="2" t="n"/>
      <c r="AF329" s="2" t="n"/>
      <c r="AG329" s="2" t="n"/>
      <c r="AH329" s="2" t="n">
        <v>1600</v>
      </c>
      <c r="AI329" s="2" t="n"/>
      <c r="AJ329" s="2" t="n"/>
      <c r="AK329" s="2" t="n"/>
      <c r="AL329" s="2" t="n"/>
      <c r="AM329" s="2" t="n">
        <v>29.8</v>
      </c>
      <c r="AN329" s="2" t="inlineStr">
        <is>
          <t>DE1686CC</t>
        </is>
      </c>
      <c r="AO329" s="2" t="inlineStr">
        <is>
          <t>04/2006</t>
        </is>
      </c>
      <c r="AP329" s="2" t="n">
        <v>2006</v>
      </c>
      <c r="AQ329" s="2" t="n">
        <v>4</v>
      </c>
      <c r="AR329" s="2" t="n"/>
      <c r="AS329" s="2" t="inlineStr">
        <is>
          <t>regla</t>
        </is>
      </c>
      <c r="AT329" s="2" t="n">
        <v>2450</v>
      </c>
      <c r="AU329" s="2" t="n">
        <v>14</v>
      </c>
      <c r="AV329" s="2" t="inlineStr">
        <is>
          <t>modelo+año+km</t>
        </is>
      </c>
      <c r="AW329" s="2" t="n"/>
      <c r="AX329" s="2" t="inlineStr">
        <is>
          <t>cuota fija ITP: &gt;12 años, 1.501-2.000 cc; diésel: motor sin fuente de fiabilidad (fiabilidad limitada a neutra)</t>
        </is>
      </c>
      <c r="AY329" s="2" t="inlineStr">
        <is>
          <t>Vendo mi Opel Astra GTC 1.7 CDTi Sport, un berlina compacto y versátil que ha demostrado ser una apuesta segura en fiabilidad y eficiencia. Con motor diesel de 110 CV, ofrece una excelente relación entre potencia y consumo, ideal para quien busca rendimiento sin sacrificar economía en carburante.
El vehículo se encuentra en estado de uso habitual, tanto en interior como en exterior, reflejando un uso cotidiano normal. La carrocería blanca mantiene su aspecto limpio, y la mecánica diesel sigue funcionando con solidez, característica de estos motores Opel.
Este modelo destaca por su practicidad: tres puertas, cinco plazas y cambio manual que facilita una conducción directa y controlada. Perfecto tanto para desplazamientos urbanos como para trayectos más largos, combina agilidad en ciudad con estabilidad en carretera.
El motor de 1686 cc ha sido probado y testado a lo largo del tiempo, demostrando la durabilidad característica de la marca. Si buscas un vehículo funcional, económico de mantener y con capacidad de carga versátil, esta es una opción a considerar.
Estoy disponible para responder cualquier duda específica sobre el estado mecánico, histórico de mantenimiento o cualquier otro aspecto que quieras conocer antes de tomar tu decisión. Puedo contactarte por teléfono o chat para resolver todas tus preguntas.
Contacta hoy mismo y ven a comprobarlo por ti mismo. ¡No lo dejes escapar!
EL COCHE LE HACE FALTA CANVIARLE RL TURBO</t>
        </is>
      </c>
      <c r="AZ329" s="2" t="inlineStr">
        <is>
          <t>https://www.coches.net/opel-astra-gtc-17-cdti-sport-3p-diesel-2006-en-valencia-71233866-covo.aspx (window.__INITIAL_PROPS__.ad) /home/user/Alopecia/buscador-coches/raw/cochesnet/f6643daaaac92d13.json</t>
        </is>
      </c>
      <c r="BA329" s="3">
        <f>MAX(ANIO_ACTUAL-M329,0)</f>
        <v/>
      </c>
      <c r="BB329" s="4">
        <f>N329/MAX(BA329,0.5)</f>
        <v/>
      </c>
      <c r="BC329" s="4">
        <f>F329</f>
        <v/>
      </c>
      <c r="BD329" s="3">
        <f>BC329&amp;"|"&amp;INT(M329/SEG_ANIO)*SEG_ANIO</f>
        <v/>
      </c>
      <c r="BE329" s="3">
        <f>BD329&amp;"|"&amp;INT(N329/SEG_KM)*SEG_KM</f>
        <v/>
      </c>
      <c r="BF329" s="4">
        <f>COUNTIF($BC$2:$BC$545,BC329)</f>
        <v/>
      </c>
      <c r="BG329" s="4">
        <f>COUNTIF($BD$2:$BD$545,BD329)</f>
        <v/>
      </c>
      <c r="BH329" s="4">
        <f>COUNTIF($BE$2:$BE$545,BE329)</f>
        <v/>
      </c>
      <c r="BI329" s="3">
        <f t="array" ref="BI329">IF(N(AU329)&gt;=MIN_N,AT329,IF(BH329&gt;=MIN_N,MEDIAN(IF($BE$2:$BE$545=BE329,$O$2:$O$545)),IF(BG329&gt;=MIN_N,MEDIAN(IF($BD$2:$BD$545=BD329,$O$2:$O$545)),MEDIAN(IF($BC$2:$BC$545=BC329,$O$2:$O$545)))))</f>
        <v/>
      </c>
      <c r="BJ329" s="3">
        <f>IF(N(AU329)&gt;=MIN_N,"mercado "&amp;AV329,IF(BH329&gt;=MIN_N,"modelo+año+km",IF(BG329&gt;=MIN_N,"modelo+año","modelo")))</f>
        <v/>
      </c>
      <c r="BK329" s="4">
        <f>(BI329-O329)/BI329</f>
        <v/>
      </c>
      <c r="BL329" s="3">
        <f>IF(COUNTIFS(FR_FUEL,K329,FR_YEAR,AP329)&gt;0,1,0)</f>
        <v/>
      </c>
      <c r="BM329" s="3">
        <f>IF(COUNTIFS(FR_FUEL,K329,FR_YEAR,AP329-1)&gt;0,1,0)</f>
        <v/>
      </c>
      <c r="BN329" s="4">
        <f>IF(N(AQ329)&gt;0,AP329*100+AQ329,IF(AND(BL329=1,BM329=1),(AP329-1)*100+1,AP329*100+1))</f>
        <v/>
      </c>
      <c r="BO329" s="3">
        <f>IF(OR(K329="hibrido",K329="glp",K329="gnc",K329="phev"),"ECO",IF(K329="electrico","CERO",IF(K329="gasolina",IF(BN329&gt;=GAS_C_YM,"C",IF(BN329&gt;=GAS_B_YM,"B","A")),IF(K329="diesel",IF(BN329&gt;=DIE_C_YM,"C",IF(BN329&gt;=DIE_B_YM,"B","A")),""))))</f>
        <v/>
      </c>
      <c r="BP329" s="4">
        <f>BO329</f>
        <v/>
      </c>
      <c r="BQ329" s="4">
        <f>IF(AS329="regla",IF(AND(N(AQ329)=0,BL329=1),"sí","no"),"no")</f>
        <v/>
      </c>
      <c r="BR329" s="3">
        <f>IFERROR(VLOOKUP(F329,MOD_TBL,11,0),IFERROR(VLOOKUP(E329,OCU_TBL,2,0),NEUTRO))</f>
        <v/>
      </c>
      <c r="BS329" s="3">
        <f>SUMIFS(MOT_AJUSTE,MOT_MOTOR,G329,MOT_MARCA,E329,MOT_DESDE,"&lt;="&amp;M329,MOT_HASTA,"&gt;="&amp;M329)+SUMIFS(MOT_AJUSTE,MOT_MOTOR,G329,MOT_MARCA,"(todas)",MOT_DESDE,"&lt;="&amp;M329,MOT_HASTA,"&gt;="&amp;M329)</f>
        <v/>
      </c>
      <c r="BT329" s="3">
        <f>SUMIFS(COMB_AJUSTE,COMB_COMB,K329)</f>
        <v/>
      </c>
      <c r="BU329" s="3">
        <f>COUNTIFS(MOT_MOTOR,G329,MOT_MARCA,E329,MOT_DESDE,"&lt;="&amp;M329,MOT_HASTA,"&gt;="&amp;M329)+COUNTIFS(MOT_MOTOR,G329,MOT_MARCA,"(todas)",MOT_DESDE,"&lt;="&amp;M329,MOT_HASTA,"&gt;="&amp;M329)</f>
        <v/>
      </c>
      <c r="BV329" s="3">
        <f>IF(AND(K329="diesel",BU329=0),MIN(BR329,NEUTRO),BR329)</f>
        <v/>
      </c>
      <c r="BW329" s="4">
        <f>MAX(0,MIN(100,BV329+BS329+BT329))</f>
        <v/>
      </c>
      <c r="BX329" s="3">
        <f>MAX(0,MIN(100,50+BK329*PRECIO_PEND))</f>
        <v/>
      </c>
      <c r="BY329" s="3">
        <f>MAX(0,100*(1-N329/KM_MAX))</f>
        <v/>
      </c>
      <c r="BZ329" s="3">
        <f>IF(BB329&lt;KMA_SOSP,IF(AA329="sí",100,KMA_PEN),IF(BB329&lt;=KMA_IDEAL_MAX,100,MAX(0,100*(KMA_CERO-BB329)/(KMA_CERO-KMA_IDEAL_MAX))))</f>
        <v/>
      </c>
      <c r="CA329" s="3">
        <f>MAX(0,MIN(100,100*(M329-ANIO_MIN)/(ANIO_ACTUAL-ANIO_MIN)))</f>
        <v/>
      </c>
      <c r="CB329" s="3">
        <f>W_KMT*BY329+W_KMA*BZ329+W_EDAD*CA329</f>
        <v/>
      </c>
      <c r="CC329" s="3">
        <f>P_ITV*(V329="sí")+P_LIBRO*(W329="sí")+P_CORREA*(X329="sí")+P_PROP*(Y329=1)+P_GAR*(Z329="sí")+P_FOTOS*MIN(1,N(U329)/FOTOS_OBJ)</f>
        <v/>
      </c>
      <c r="CD329" s="3">
        <f>MAX(0,MIN(100,IFERROR(VLOOKUP(BP329,ETQ_TBL,2,0),0)-IF(BQ329="sí",ETQ_PEN_DUD,IF(AS329="regla",ETQ_PEN_REGLA,0))))</f>
        <v/>
      </c>
      <c r="CE329" s="3">
        <f>NEUTRO</f>
        <v/>
      </c>
      <c r="CF329" s="3">
        <f>IFERROR(VLOOKUP(L329,SEGURO_TBL,3,0),"")</f>
        <v/>
      </c>
      <c r="CG329" s="3">
        <f>IF(CF329="",NEUTRO,MAX(0,MIN(100,100*(SEG_REF_MAX-CF329)/(SEG_REF_MAX-SEG_REF_MIN))))</f>
        <v/>
      </c>
      <c r="CH329" s="3">
        <f>W_CONS*CE329+W_SEG*CG329</f>
        <v/>
      </c>
      <c r="CI329" s="3">
        <f>IF(N(AB329)&gt;0,AB329,IF(AND(R329="profesional",SG_LEGAL_ON=1),GAR_LEGAL,0))</f>
        <v/>
      </c>
      <c r="CJ329" s="3">
        <f>SG_GAR*MIN(1,CI329/SG_GAR_FULL)+SG_AMPL*(AC329="sí")+SG_KMC*(AF329="sí")+SG_REV*(N(AE329)&gt;0)+SG_DEV*MIN(1,N(AG329)/SG_DEV_FULL)+SG_HIST*(W329="sí")</f>
        <v/>
      </c>
      <c r="CK329" s="3">
        <f>IFERROR(VLOOKUP(L329,CARR_PEN_TBL,2,0),0)</f>
        <v/>
      </c>
      <c r="CL329" s="3">
        <f>W_FIAB*BW329+W_PRECIO*BX329+W_KMEDAD*CB329+W_ANUNCIO*CC329+W_USO*CH329+W_SEGURIDAD*CJ329+W_ETIQUETA*CD329-CK329</f>
        <v/>
      </c>
      <c r="CM329" s="4">
        <f>IF(N(I329)&gt;0,I329,IFERROR(ROUND(_xlfn.NUMBERVALUE(LEFT(G329,FIND(" ",G329&amp;" ")-1),".")*1000,0),99999))</f>
        <v/>
      </c>
      <c r="CN329" s="3">
        <f>IF(R329="profesional",0,IF(O329&lt;CUOTA_VALOR_MAX,IF(BA329&gt;ITP_TRAMO_ALTO,SUMIFS(CF_CUOTA,CF_MAS,ITP_TRAMO_ALTO,CF_CCMIN,"&lt;="&amp;CM329,CF_CCMAX,"&gt;="&amp;CM329),IF(BA329&gt;ITP_TRAMO_BAJO,SUMIFS(CF_CUOTA,CF_MAS,ITP_TRAMO_BAJO,CF_CCMIN,"&lt;="&amp;CM329,CF_CCMAX,"&gt;="&amp;CM329),O329*ITP_TIPO)),O329*ITP_TIPO))</f>
        <v/>
      </c>
      <c r="CO329" s="4">
        <f>IF(R329="profesional",N(AK329),0)</f>
        <v/>
      </c>
      <c r="CP329" s="3">
        <f>IF(AND(R329="profesional",ISNUMBER(AK329),AL329="sí"),0,TASA_DGT)</f>
        <v/>
      </c>
      <c r="CQ329" s="3">
        <f>INFORME_DGT</f>
        <v/>
      </c>
      <c r="CR329" s="4">
        <f>O329+CO329+CN329+CP329+CQ329</f>
        <v/>
      </c>
      <c r="CS329" s="4">
        <f>CR329+N(CF329)</f>
        <v/>
      </c>
      <c r="CT329" s="3">
        <f>IF(CR329&lt;=TOTAL_MAX,"sí",IF(CR329&lt;=TOTAL_MAX+MARGEN_NEG,"negociar","no"))</f>
        <v/>
      </c>
      <c r="CU329" s="4">
        <f>IF(CT329&lt;&gt;"no",COUNTIFS($CT$2:$CT$545,"&lt;&gt;no",$CL$2:$CL$545,"&gt;"&amp;CL329)+COUNTIFS($CT$2:CT329,"&lt;&gt;no",$CL$2:CL329,CL329),"")</f>
        <v/>
      </c>
    </row>
    <row r="330">
      <c r="A330" s="2" t="inlineStr">
        <is>
          <t>cochesnet:70786163</t>
        </is>
      </c>
      <c r="B330" s="2" t="inlineStr">
        <is>
          <t>cochesnet</t>
        </is>
      </c>
      <c r="C330" s="2" t="inlineStr">
        <is>
          <t>https://www.coches.net/opel-astra-gasolina-2006-en-valencia-70786163-covo.aspx</t>
        </is>
      </c>
      <c r="D330" s="2" t="inlineStr">
        <is>
          <t>OPEL Astra</t>
        </is>
      </c>
      <c r="E330" s="2" t="inlineStr">
        <is>
          <t>Opel</t>
        </is>
      </c>
      <c r="F330" s="2" t="inlineStr">
        <is>
          <t>Opel Astra</t>
        </is>
      </c>
      <c r="G330" s="2" t="n"/>
      <c r="H330" s="2" t="n"/>
      <c r="I330" s="2" t="n"/>
      <c r="J330" s="2" t="n"/>
      <c r="K330" s="2" t="inlineStr">
        <is>
          <t>gasolina</t>
        </is>
      </c>
      <c r="L330" s="2" t="inlineStr">
        <is>
          <t>compacto</t>
        </is>
      </c>
      <c r="M330" s="2" t="n">
        <v>2006</v>
      </c>
      <c r="N330" s="2" t="n">
        <v>100000</v>
      </c>
      <c r="O330" s="2" t="n">
        <v>5000</v>
      </c>
      <c r="P330" s="2" t="inlineStr">
        <is>
          <t>manual</t>
        </is>
      </c>
      <c r="Q330" s="2" t="inlineStr">
        <is>
          <t>no</t>
        </is>
      </c>
      <c r="R330" s="2" t="inlineStr">
        <is>
          <t>particular</t>
        </is>
      </c>
      <c r="S330" s="2" t="n"/>
      <c r="T330" s="2" t="inlineStr">
        <is>
          <t>2026-06-03T20:13:30Z</t>
        </is>
      </c>
      <c r="U330" s="2" t="n">
        <v>9</v>
      </c>
      <c r="V330" s="2" t="n"/>
      <c r="W330" s="2" t="n"/>
      <c r="X330" s="2" t="n"/>
      <c r="Y330" s="2" t="n"/>
      <c r="Z330" s="2" t="inlineStr">
        <is>
          <t>no</t>
        </is>
      </c>
      <c r="AA330" s="2" t="n"/>
      <c r="AB330" s="2" t="n"/>
      <c r="AC330" s="2" t="n"/>
      <c r="AD330" s="2" t="n"/>
      <c r="AE330" s="2" t="n"/>
      <c r="AF330" s="2" t="n"/>
      <c r="AG330" s="2" t="n"/>
      <c r="AH330" s="2" t="n">
        <v>5000</v>
      </c>
      <c r="AI330" s="2" t="n"/>
      <c r="AJ330" s="2" t="n"/>
      <c r="AK330" s="2" t="n"/>
      <c r="AL330" s="2" t="n"/>
      <c r="AM330" s="2" t="n"/>
      <c r="AN330" s="2" t="n"/>
      <c r="AO330" s="2" t="inlineStr">
        <is>
          <t>2006</t>
        </is>
      </c>
      <c r="AP330" s="2" t="n">
        <v>2006</v>
      </c>
      <c r="AQ330" s="2" t="n"/>
      <c r="AR330" s="2" t="n"/>
      <c r="AS330" s="2" t="inlineStr">
        <is>
          <t>regla</t>
        </is>
      </c>
      <c r="AT330" s="2" t="n">
        <v>3725</v>
      </c>
      <c r="AU330" s="2" t="n">
        <v>12</v>
      </c>
      <c r="AV330" s="2" t="inlineStr">
        <is>
          <t>modelo+año+km</t>
        </is>
      </c>
      <c r="AW330" s="2" t="n"/>
      <c r="AX330" s="2" t="inlineStr">
        <is>
          <t>por encima del presupuesto (5204 €), negociar; cilindrada desconocida: se aplica el tramo de cuota fija más alto; cuota fija ITP: &gt;12 años, más de 2.000 cc; distancia no verificable (el anuncio solo indica la provincia): confirmar que está a &lt;= 70 km</t>
        </is>
      </c>
      <c r="AY330" s="2" t="inlineStr">
        <is>
          <t>Se vende Opel Astra GTC del año 2006 en color beige champagne, con motor 1.6 gasolina y cambio manual. Vehículo de 3 puertas, deportivo, elegante y cuidado, con solo 97.000 km
? Equipamiento destacado:
* Asientos de piel
* Asientos calefactables
* Cambio manual
* Motor 1.6 gasolina
* Carrocería GTC de 3 puertas
* Color beige champagne
* Aforador cambiado
* Bomba de agua cambiada
* Bujías cambiadas</t>
        </is>
      </c>
      <c r="AZ330" s="2" t="inlineStr">
        <is>
          <t>https://www.coches.net/opel-astra-gasolina-2006-en-valencia-70786163-covo.aspx (window.__INITIAL_PROPS__.ad) /home/user/Alopecia/buscador-coches/raw/cochesnet/eb938e90c95230a8.json</t>
        </is>
      </c>
      <c r="BA330" s="3">
        <f>MAX(ANIO_ACTUAL-M330,0)</f>
        <v/>
      </c>
      <c r="BB330" s="4">
        <f>N330/MAX(BA330,0.5)</f>
        <v/>
      </c>
      <c r="BC330" s="4">
        <f>F330</f>
        <v/>
      </c>
      <c r="BD330" s="3">
        <f>BC330&amp;"|"&amp;INT(M330/SEG_ANIO)*SEG_ANIO</f>
        <v/>
      </c>
      <c r="BE330" s="3">
        <f>BD330&amp;"|"&amp;INT(N330/SEG_KM)*SEG_KM</f>
        <v/>
      </c>
      <c r="BF330" s="4">
        <f>COUNTIF($BC$2:$BC$545,BC330)</f>
        <v/>
      </c>
      <c r="BG330" s="4">
        <f>COUNTIF($BD$2:$BD$545,BD330)</f>
        <v/>
      </c>
      <c r="BH330" s="4">
        <f>COUNTIF($BE$2:$BE$545,BE330)</f>
        <v/>
      </c>
      <c r="BI330" s="3">
        <f t="array" ref="BI330">IF(N(AU330)&gt;=MIN_N,AT330,IF(BH330&gt;=MIN_N,MEDIAN(IF($BE$2:$BE$545=BE330,$O$2:$O$545)),IF(BG330&gt;=MIN_N,MEDIAN(IF($BD$2:$BD$545=BD330,$O$2:$O$545)),MEDIAN(IF($BC$2:$BC$545=BC330,$O$2:$O$545)))))</f>
        <v/>
      </c>
      <c r="BJ330" s="3">
        <f>IF(N(AU330)&gt;=MIN_N,"mercado "&amp;AV330,IF(BH330&gt;=MIN_N,"modelo+año+km",IF(BG330&gt;=MIN_N,"modelo+año","modelo")))</f>
        <v/>
      </c>
      <c r="BK330" s="4">
        <f>(BI330-O330)/BI330</f>
        <v/>
      </c>
      <c r="BL330" s="3">
        <f>IF(COUNTIFS(FR_FUEL,K330,FR_YEAR,AP330)&gt;0,1,0)</f>
        <v/>
      </c>
      <c r="BM330" s="3">
        <f>IF(COUNTIFS(FR_FUEL,K330,FR_YEAR,AP330-1)&gt;0,1,0)</f>
        <v/>
      </c>
      <c r="BN330" s="4">
        <f>IF(N(AQ330)&gt;0,AP330*100+AQ330,IF(AND(BL330=1,BM330=1),(AP330-1)*100+1,AP330*100+1))</f>
        <v/>
      </c>
      <c r="BO330" s="3">
        <f>IF(OR(K330="hibrido",K330="glp",K330="gnc",K330="phev"),"ECO",IF(K330="electrico","CERO",IF(K330="gasolina",IF(BN330&gt;=GAS_C_YM,"C",IF(BN330&gt;=GAS_B_YM,"B","A")),IF(K330="diesel",IF(BN330&gt;=DIE_C_YM,"C",IF(BN330&gt;=DIE_B_YM,"B","A")),""))))</f>
        <v/>
      </c>
      <c r="BP330" s="4">
        <f>BO330</f>
        <v/>
      </c>
      <c r="BQ330" s="4">
        <f>IF(AS330="regla",IF(AND(N(AQ330)=0,BL330=1),"sí","no"),"no")</f>
        <v/>
      </c>
      <c r="BR330" s="3">
        <f>IFERROR(VLOOKUP(F330,MOD_TBL,11,0),IFERROR(VLOOKUP(E330,OCU_TBL,2,0),NEUTRO))</f>
        <v/>
      </c>
      <c r="BS330" s="3">
        <f>SUMIFS(MOT_AJUSTE,MOT_MOTOR,G330,MOT_MARCA,E330,MOT_DESDE,"&lt;="&amp;M330,MOT_HASTA,"&gt;="&amp;M330)+SUMIFS(MOT_AJUSTE,MOT_MOTOR,G330,MOT_MARCA,"(todas)",MOT_DESDE,"&lt;="&amp;M330,MOT_HASTA,"&gt;="&amp;M330)</f>
        <v/>
      </c>
      <c r="BT330" s="3">
        <f>SUMIFS(COMB_AJUSTE,COMB_COMB,K330)</f>
        <v/>
      </c>
      <c r="BU330" s="3">
        <f>COUNTIFS(MOT_MOTOR,G330,MOT_MARCA,E330,MOT_DESDE,"&lt;="&amp;M330,MOT_HASTA,"&gt;="&amp;M330)+COUNTIFS(MOT_MOTOR,G330,MOT_MARCA,"(todas)",MOT_DESDE,"&lt;="&amp;M330,MOT_HASTA,"&gt;="&amp;M330)</f>
        <v/>
      </c>
      <c r="BV330" s="3">
        <f>IF(AND(K330="diesel",BU330=0),MIN(BR330,NEUTRO),BR330)</f>
        <v/>
      </c>
      <c r="BW330" s="4">
        <f>MAX(0,MIN(100,BV330+BS330+BT330))</f>
        <v/>
      </c>
      <c r="BX330" s="3">
        <f>MAX(0,MIN(100,50+BK330*PRECIO_PEND))</f>
        <v/>
      </c>
      <c r="BY330" s="3">
        <f>MAX(0,100*(1-N330/KM_MAX))</f>
        <v/>
      </c>
      <c r="BZ330" s="3">
        <f>IF(BB330&lt;KMA_SOSP,IF(AA330="sí",100,KMA_PEN),IF(BB330&lt;=KMA_IDEAL_MAX,100,MAX(0,100*(KMA_CERO-BB330)/(KMA_CERO-KMA_IDEAL_MAX))))</f>
        <v/>
      </c>
      <c r="CA330" s="3">
        <f>MAX(0,MIN(100,100*(M330-ANIO_MIN)/(ANIO_ACTUAL-ANIO_MIN)))</f>
        <v/>
      </c>
      <c r="CB330" s="3">
        <f>W_KMT*BY330+W_KMA*BZ330+W_EDAD*CA330</f>
        <v/>
      </c>
      <c r="CC330" s="3">
        <f>P_ITV*(V330="sí")+P_LIBRO*(W330="sí")+P_CORREA*(X330="sí")+P_PROP*(Y330=1)+P_GAR*(Z330="sí")+P_FOTOS*MIN(1,N(U330)/FOTOS_OBJ)</f>
        <v/>
      </c>
      <c r="CD330" s="3">
        <f>MAX(0,MIN(100,IFERROR(VLOOKUP(BP330,ETQ_TBL,2,0),0)-IF(BQ330="sí",ETQ_PEN_DUD,IF(AS330="regla",ETQ_PEN_REGLA,0))))</f>
        <v/>
      </c>
      <c r="CE330" s="3">
        <f>NEUTRO</f>
        <v/>
      </c>
      <c r="CF330" s="3">
        <f>IFERROR(VLOOKUP(L330,SEGURO_TBL,3,0),"")</f>
        <v/>
      </c>
      <c r="CG330" s="3">
        <f>IF(CF330="",NEUTRO,MAX(0,MIN(100,100*(SEG_REF_MAX-CF330)/(SEG_REF_MAX-SEG_REF_MIN))))</f>
        <v/>
      </c>
      <c r="CH330" s="3">
        <f>W_CONS*CE330+W_SEG*CG330</f>
        <v/>
      </c>
      <c r="CI330" s="3">
        <f>IF(N(AB330)&gt;0,AB330,IF(AND(R330="profesional",SG_LEGAL_ON=1),GAR_LEGAL,0))</f>
        <v/>
      </c>
      <c r="CJ330" s="3">
        <f>SG_GAR*MIN(1,CI330/SG_GAR_FULL)+SG_AMPL*(AC330="sí")+SG_KMC*(AF330="sí")+SG_REV*(N(AE330)&gt;0)+SG_DEV*MIN(1,N(AG330)/SG_DEV_FULL)+SG_HIST*(W330="sí")</f>
        <v/>
      </c>
      <c r="CK330" s="3">
        <f>IFERROR(VLOOKUP(L330,CARR_PEN_TBL,2,0),0)</f>
        <v/>
      </c>
      <c r="CL330" s="3">
        <f>W_FIAB*BW330+W_PRECIO*BX330+W_KMEDAD*CB330+W_ANUNCIO*CC330+W_USO*CH330+W_SEGURIDAD*CJ330+W_ETIQUETA*CD330-CK330</f>
        <v/>
      </c>
      <c r="CM330" s="4">
        <f>IF(N(I330)&gt;0,I330,IFERROR(ROUND(_xlfn.NUMBERVALUE(LEFT(G330,FIND(" ",G330&amp;" ")-1),".")*1000,0),99999))</f>
        <v/>
      </c>
      <c r="CN330" s="3">
        <f>IF(R330="profesional",0,IF(O330&lt;CUOTA_VALOR_MAX,IF(BA330&gt;ITP_TRAMO_ALTO,SUMIFS(CF_CUOTA,CF_MAS,ITP_TRAMO_ALTO,CF_CCMIN,"&lt;="&amp;CM330,CF_CCMAX,"&gt;="&amp;CM330),IF(BA330&gt;ITP_TRAMO_BAJO,SUMIFS(CF_CUOTA,CF_MAS,ITP_TRAMO_BAJO,CF_CCMIN,"&lt;="&amp;CM330,CF_CCMAX,"&gt;="&amp;CM330),O330*ITP_TIPO)),O330*ITP_TIPO))</f>
        <v/>
      </c>
      <c r="CO330" s="4">
        <f>IF(R330="profesional",N(AK330),0)</f>
        <v/>
      </c>
      <c r="CP330" s="3">
        <f>IF(AND(R330="profesional",ISNUMBER(AK330),AL330="sí"),0,TASA_DGT)</f>
        <v/>
      </c>
      <c r="CQ330" s="3">
        <f>INFORME_DGT</f>
        <v/>
      </c>
      <c r="CR330" s="4">
        <f>O330+CO330+CN330+CP330+CQ330</f>
        <v/>
      </c>
      <c r="CS330" s="4">
        <f>CR330+N(CF330)</f>
        <v/>
      </c>
      <c r="CT330" s="3">
        <f>IF(CR330&lt;=TOTAL_MAX,"sí",IF(CR330&lt;=TOTAL_MAX+MARGEN_NEG,"negociar","no"))</f>
        <v/>
      </c>
      <c r="CU330" s="4">
        <f>IF(CT330&lt;&gt;"no",COUNTIFS($CT$2:$CT$545,"&lt;&gt;no",$CL$2:$CL$545,"&gt;"&amp;CL330)+COUNTIFS($CT$2:CT330,"&lt;&gt;no",$CL$2:CL330,CL330),"")</f>
        <v/>
      </c>
    </row>
    <row r="331">
      <c r="A331" s="2" t="inlineStr">
        <is>
          <t>cochesnet:70647110</t>
        </is>
      </c>
      <c r="B331" s="2" t="inlineStr">
        <is>
          <t>cochesnet</t>
        </is>
      </c>
      <c r="C331" s="2" t="inlineStr">
        <is>
          <t>https://www.coches.net/opel-astra-diesel-2011-en-valencia-70647110-covo.aspx</t>
        </is>
      </c>
      <c r="D331" s="2" t="inlineStr">
        <is>
          <t>OPEL Astra</t>
        </is>
      </c>
      <c r="E331" s="2" t="inlineStr">
        <is>
          <t>Opel</t>
        </is>
      </c>
      <c r="F331" s="2" t="inlineStr">
        <is>
          <t>Opel Astra</t>
        </is>
      </c>
      <c r="G331" s="2" t="n"/>
      <c r="H331" s="2" t="n"/>
      <c r="I331" s="2" t="n"/>
      <c r="J331" s="2" t="n"/>
      <c r="K331" s="2" t="inlineStr">
        <is>
          <t>diesel</t>
        </is>
      </c>
      <c r="L331" s="2" t="inlineStr">
        <is>
          <t>compacto</t>
        </is>
      </c>
      <c r="M331" s="2" t="n">
        <v>2011</v>
      </c>
      <c r="N331" s="2" t="n">
        <v>160000</v>
      </c>
      <c r="O331" s="2" t="n">
        <v>5000</v>
      </c>
      <c r="P331" s="2" t="inlineStr">
        <is>
          <t>manual</t>
        </is>
      </c>
      <c r="Q331" s="2" t="inlineStr">
        <is>
          <t>no</t>
        </is>
      </c>
      <c r="R331" s="2" t="inlineStr">
        <is>
          <t>particular</t>
        </is>
      </c>
      <c r="S331" s="2" t="n"/>
      <c r="T331" s="2" t="inlineStr">
        <is>
          <t>2026-05-16T08:34:38Z</t>
        </is>
      </c>
      <c r="U331" s="2" t="n">
        <v>2</v>
      </c>
      <c r="V331" s="2" t="inlineStr">
        <is>
          <t>sí</t>
        </is>
      </c>
      <c r="W331" s="2" t="n"/>
      <c r="X331" s="2" t="n"/>
      <c r="Y331" s="2" t="n"/>
      <c r="Z331" s="2" t="inlineStr">
        <is>
          <t>no</t>
        </is>
      </c>
      <c r="AA331" s="2" t="n"/>
      <c r="AB331" s="2" t="n"/>
      <c r="AC331" s="2" t="n"/>
      <c r="AD331" s="2" t="n"/>
      <c r="AE331" s="2" t="n"/>
      <c r="AF331" s="2" t="n"/>
      <c r="AG331" s="2" t="n"/>
      <c r="AH331" s="2" t="n">
        <v>5000</v>
      </c>
      <c r="AI331" s="2" t="n"/>
      <c r="AJ331" s="2" t="n"/>
      <c r="AK331" s="2" t="n"/>
      <c r="AL331" s="2" t="n"/>
      <c r="AM331" s="2" t="n"/>
      <c r="AN331" s="2" t="n"/>
      <c r="AO331" s="2" t="inlineStr">
        <is>
          <t>2011</t>
        </is>
      </c>
      <c r="AP331" s="2" t="n">
        <v>2011</v>
      </c>
      <c r="AQ331" s="2" t="n"/>
      <c r="AR331" s="2" t="n"/>
      <c r="AS331" s="2" t="inlineStr">
        <is>
          <t>regla</t>
        </is>
      </c>
      <c r="AT331" s="2" t="n">
        <v>4745</v>
      </c>
      <c r="AU331" s="2" t="n">
        <v>10</v>
      </c>
      <c r="AV331" s="2" t="inlineStr">
        <is>
          <t>modelo+año+km</t>
        </is>
      </c>
      <c r="AW331" s="2" t="n"/>
      <c r="AX331" s="2" t="inlineStr">
        <is>
          <t>por encima del presupuesto (5204 €),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31" s="2" t="inlineStr">
        <is>
          <t>ITV pasada y todo al dia</t>
        </is>
      </c>
      <c r="AZ331" s="2" t="inlineStr">
        <is>
          <t>https://www.coches.net/opel-astra-diesel-2011-en-valencia-70647110-covo.aspx (window.__INITIAL_PROPS__.ad) /home/user/Alopecia/buscador-coches/raw/cochesnet/258b8d7de8e46929.json</t>
        </is>
      </c>
      <c r="BA331" s="3">
        <f>MAX(ANIO_ACTUAL-M331,0)</f>
        <v/>
      </c>
      <c r="BB331" s="4">
        <f>N331/MAX(BA331,0.5)</f>
        <v/>
      </c>
      <c r="BC331" s="4">
        <f>F331</f>
        <v/>
      </c>
      <c r="BD331" s="3">
        <f>BC331&amp;"|"&amp;INT(M331/SEG_ANIO)*SEG_ANIO</f>
        <v/>
      </c>
      <c r="BE331" s="3">
        <f>BD331&amp;"|"&amp;INT(N331/SEG_KM)*SEG_KM</f>
        <v/>
      </c>
      <c r="BF331" s="4">
        <f>COUNTIF($BC$2:$BC$545,BC331)</f>
        <v/>
      </c>
      <c r="BG331" s="4">
        <f>COUNTIF($BD$2:$BD$545,BD331)</f>
        <v/>
      </c>
      <c r="BH331" s="4">
        <f>COUNTIF($BE$2:$BE$545,BE331)</f>
        <v/>
      </c>
      <c r="BI331" s="3">
        <f t="array" ref="BI331">IF(N(AU331)&gt;=MIN_N,AT331,IF(BH331&gt;=MIN_N,MEDIAN(IF($BE$2:$BE$545=BE331,$O$2:$O$545)),IF(BG331&gt;=MIN_N,MEDIAN(IF($BD$2:$BD$545=BD331,$O$2:$O$545)),MEDIAN(IF($BC$2:$BC$545=BC331,$O$2:$O$545)))))</f>
        <v/>
      </c>
      <c r="BJ331" s="3">
        <f>IF(N(AU331)&gt;=MIN_N,"mercado "&amp;AV331,IF(BH331&gt;=MIN_N,"modelo+año+km",IF(BG331&gt;=MIN_N,"modelo+año","modelo")))</f>
        <v/>
      </c>
      <c r="BK331" s="4">
        <f>(BI331-O331)/BI331</f>
        <v/>
      </c>
      <c r="BL331" s="3">
        <f>IF(COUNTIFS(FR_FUEL,K331,FR_YEAR,AP331)&gt;0,1,0)</f>
        <v/>
      </c>
      <c r="BM331" s="3">
        <f>IF(COUNTIFS(FR_FUEL,K331,FR_YEAR,AP331-1)&gt;0,1,0)</f>
        <v/>
      </c>
      <c r="BN331" s="4">
        <f>IF(N(AQ331)&gt;0,AP331*100+AQ331,IF(AND(BL331=1,BM331=1),(AP331-1)*100+1,AP331*100+1))</f>
        <v/>
      </c>
      <c r="BO331" s="3">
        <f>IF(OR(K331="hibrido",K331="glp",K331="gnc",K331="phev"),"ECO",IF(K331="electrico","CERO",IF(K331="gasolina",IF(BN331&gt;=GAS_C_YM,"C",IF(BN331&gt;=GAS_B_YM,"B","A")),IF(K331="diesel",IF(BN331&gt;=DIE_C_YM,"C",IF(BN331&gt;=DIE_B_YM,"B","A")),""))))</f>
        <v/>
      </c>
      <c r="BP331" s="4">
        <f>BO331</f>
        <v/>
      </c>
      <c r="BQ331" s="4">
        <f>IF(AS331="regla",IF(AND(N(AQ331)=0,BL331=1),"sí","no"),"no")</f>
        <v/>
      </c>
      <c r="BR331" s="3">
        <f>IFERROR(VLOOKUP(F331,MOD_TBL,11,0),IFERROR(VLOOKUP(E331,OCU_TBL,2,0),NEUTRO))</f>
        <v/>
      </c>
      <c r="BS331" s="3">
        <f>SUMIFS(MOT_AJUSTE,MOT_MOTOR,G331,MOT_MARCA,E331,MOT_DESDE,"&lt;="&amp;M331,MOT_HASTA,"&gt;="&amp;M331)+SUMIFS(MOT_AJUSTE,MOT_MOTOR,G331,MOT_MARCA,"(todas)",MOT_DESDE,"&lt;="&amp;M331,MOT_HASTA,"&gt;="&amp;M331)</f>
        <v/>
      </c>
      <c r="BT331" s="3">
        <f>SUMIFS(COMB_AJUSTE,COMB_COMB,K331)</f>
        <v/>
      </c>
      <c r="BU331" s="3">
        <f>COUNTIFS(MOT_MOTOR,G331,MOT_MARCA,E331,MOT_DESDE,"&lt;="&amp;M331,MOT_HASTA,"&gt;="&amp;M331)+COUNTIFS(MOT_MOTOR,G331,MOT_MARCA,"(todas)",MOT_DESDE,"&lt;="&amp;M331,MOT_HASTA,"&gt;="&amp;M331)</f>
        <v/>
      </c>
      <c r="BV331" s="3">
        <f>IF(AND(K331="diesel",BU331=0),MIN(BR331,NEUTRO),BR331)</f>
        <v/>
      </c>
      <c r="BW331" s="4">
        <f>MAX(0,MIN(100,BV331+BS331+BT331))</f>
        <v/>
      </c>
      <c r="BX331" s="3">
        <f>MAX(0,MIN(100,50+BK331*PRECIO_PEND))</f>
        <v/>
      </c>
      <c r="BY331" s="3">
        <f>MAX(0,100*(1-N331/KM_MAX))</f>
        <v/>
      </c>
      <c r="BZ331" s="3">
        <f>IF(BB331&lt;KMA_SOSP,IF(AA331="sí",100,KMA_PEN),IF(BB331&lt;=KMA_IDEAL_MAX,100,MAX(0,100*(KMA_CERO-BB331)/(KMA_CERO-KMA_IDEAL_MAX))))</f>
        <v/>
      </c>
      <c r="CA331" s="3">
        <f>MAX(0,MIN(100,100*(M331-ANIO_MIN)/(ANIO_ACTUAL-ANIO_MIN)))</f>
        <v/>
      </c>
      <c r="CB331" s="3">
        <f>W_KMT*BY331+W_KMA*BZ331+W_EDAD*CA331</f>
        <v/>
      </c>
      <c r="CC331" s="3">
        <f>P_ITV*(V331="sí")+P_LIBRO*(W331="sí")+P_CORREA*(X331="sí")+P_PROP*(Y331=1)+P_GAR*(Z331="sí")+P_FOTOS*MIN(1,N(U331)/FOTOS_OBJ)</f>
        <v/>
      </c>
      <c r="CD331" s="3">
        <f>MAX(0,MIN(100,IFERROR(VLOOKUP(BP331,ETQ_TBL,2,0),0)-IF(BQ331="sí",ETQ_PEN_DUD,IF(AS331="regla",ETQ_PEN_REGLA,0))))</f>
        <v/>
      </c>
      <c r="CE331" s="3">
        <f>NEUTRO</f>
        <v/>
      </c>
      <c r="CF331" s="3">
        <f>IFERROR(VLOOKUP(L331,SEGURO_TBL,3,0),"")</f>
        <v/>
      </c>
      <c r="CG331" s="3">
        <f>IF(CF331="",NEUTRO,MAX(0,MIN(100,100*(SEG_REF_MAX-CF331)/(SEG_REF_MAX-SEG_REF_MIN))))</f>
        <v/>
      </c>
      <c r="CH331" s="3">
        <f>W_CONS*CE331+W_SEG*CG331</f>
        <v/>
      </c>
      <c r="CI331" s="3">
        <f>IF(N(AB331)&gt;0,AB331,IF(AND(R331="profesional",SG_LEGAL_ON=1),GAR_LEGAL,0))</f>
        <v/>
      </c>
      <c r="CJ331" s="3">
        <f>SG_GAR*MIN(1,CI331/SG_GAR_FULL)+SG_AMPL*(AC331="sí")+SG_KMC*(AF331="sí")+SG_REV*(N(AE331)&gt;0)+SG_DEV*MIN(1,N(AG331)/SG_DEV_FULL)+SG_HIST*(W331="sí")</f>
        <v/>
      </c>
      <c r="CK331" s="3">
        <f>IFERROR(VLOOKUP(L331,CARR_PEN_TBL,2,0),0)</f>
        <v/>
      </c>
      <c r="CL331" s="3">
        <f>W_FIAB*BW331+W_PRECIO*BX331+W_KMEDAD*CB331+W_ANUNCIO*CC331+W_USO*CH331+W_SEGURIDAD*CJ331+W_ETIQUETA*CD331-CK331</f>
        <v/>
      </c>
      <c r="CM331" s="4">
        <f>IF(N(I331)&gt;0,I331,IFERROR(ROUND(_xlfn.NUMBERVALUE(LEFT(G331,FIND(" ",G331&amp;" ")-1),".")*1000,0),99999))</f>
        <v/>
      </c>
      <c r="CN331" s="3">
        <f>IF(R331="profesional",0,IF(O331&lt;CUOTA_VALOR_MAX,IF(BA331&gt;ITP_TRAMO_ALTO,SUMIFS(CF_CUOTA,CF_MAS,ITP_TRAMO_ALTO,CF_CCMIN,"&lt;="&amp;CM331,CF_CCMAX,"&gt;="&amp;CM331),IF(BA331&gt;ITP_TRAMO_BAJO,SUMIFS(CF_CUOTA,CF_MAS,ITP_TRAMO_BAJO,CF_CCMIN,"&lt;="&amp;CM331,CF_CCMAX,"&gt;="&amp;CM331),O331*ITP_TIPO)),O331*ITP_TIPO))</f>
        <v/>
      </c>
      <c r="CO331" s="4">
        <f>IF(R331="profesional",N(AK331),0)</f>
        <v/>
      </c>
      <c r="CP331" s="3">
        <f>IF(AND(R331="profesional",ISNUMBER(AK331),AL331="sí"),0,TASA_DGT)</f>
        <v/>
      </c>
      <c r="CQ331" s="3">
        <f>INFORME_DGT</f>
        <v/>
      </c>
      <c r="CR331" s="4">
        <f>O331+CO331+CN331+CP331+CQ331</f>
        <v/>
      </c>
      <c r="CS331" s="4">
        <f>CR331+N(CF331)</f>
        <v/>
      </c>
      <c r="CT331" s="3">
        <f>IF(CR331&lt;=TOTAL_MAX,"sí",IF(CR331&lt;=TOTAL_MAX+MARGEN_NEG,"negociar","no"))</f>
        <v/>
      </c>
      <c r="CU331" s="4">
        <f>IF(CT331&lt;&gt;"no",COUNTIFS($CT$2:$CT$545,"&lt;&gt;no",$CL$2:$CL$545,"&gt;"&amp;CL331)+COUNTIFS($CT$2:CT331,"&lt;&gt;no",$CL$2:CL331,CL331),"")</f>
        <v/>
      </c>
    </row>
    <row r="332">
      <c r="A332" s="2" t="inlineStr">
        <is>
          <t>cochesnet:55368252</t>
        </is>
      </c>
      <c r="B332" s="2" t="inlineStr">
        <is>
          <t>cochesnet</t>
        </is>
      </c>
      <c r="C332" s="2" t="inlineStr">
        <is>
          <t>https://www.coches.net/opel-astra-gtc-19-cdti-120-cv-cosmo-3p-diesel-2007-en-valencia-55368252-covo.aspx</t>
        </is>
      </c>
      <c r="D332" s="2" t="inlineStr">
        <is>
          <t>OPEL Astra GTC 1.9 CDTi 120 CV Cosmo 3p.</t>
        </is>
      </c>
      <c r="E332" s="2" t="inlineStr">
        <is>
          <t>Opel</t>
        </is>
      </c>
      <c r="F332" s="2" t="inlineStr">
        <is>
          <t>Opel Astra</t>
        </is>
      </c>
      <c r="G332" s="2" t="inlineStr">
        <is>
          <t>1.9 CDTi</t>
        </is>
      </c>
      <c r="H332" s="2" t="inlineStr">
        <is>
          <t>GTC 1.9 CDTi 120 CV Cosmo</t>
        </is>
      </c>
      <c r="I332" s="2" t="n"/>
      <c r="J332" s="2" t="n">
        <v>120</v>
      </c>
      <c r="K332" s="2" t="inlineStr">
        <is>
          <t>diesel</t>
        </is>
      </c>
      <c r="L332" s="2" t="inlineStr">
        <is>
          <t>compacto</t>
        </is>
      </c>
      <c r="M332" s="2" t="n">
        <v>2007</v>
      </c>
      <c r="N332" s="2" t="n">
        <v>150000</v>
      </c>
      <c r="O332" s="2" t="n">
        <v>4450</v>
      </c>
      <c r="P332" s="2" t="inlineStr">
        <is>
          <t>manual</t>
        </is>
      </c>
      <c r="Q332" s="2" t="inlineStr">
        <is>
          <t>no</t>
        </is>
      </c>
      <c r="R332" s="2" t="inlineStr">
        <is>
          <t>particular</t>
        </is>
      </c>
      <c r="S332" s="2" t="n"/>
      <c r="T332" s="2" t="inlineStr">
        <is>
          <t>2023-06-15T12:40:11Z</t>
        </is>
      </c>
      <c r="U332" s="2" t="n">
        <v>16</v>
      </c>
      <c r="V332" s="2" t="inlineStr">
        <is>
          <t>sí</t>
        </is>
      </c>
      <c r="W332" s="2" t="n"/>
      <c r="X332" s="2" t="inlineStr">
        <is>
          <t>sí</t>
        </is>
      </c>
      <c r="Y332" s="2" t="n">
        <v>1</v>
      </c>
      <c r="Z332" s="2" t="inlineStr">
        <is>
          <t>no</t>
        </is>
      </c>
      <c r="AA332" s="2" t="n"/>
      <c r="AB332" s="2" t="n"/>
      <c r="AC332" s="2" t="n"/>
      <c r="AD332" s="2" t="n"/>
      <c r="AE332" s="2" t="n"/>
      <c r="AF332" s="2" t="n"/>
      <c r="AG332" s="2" t="n"/>
      <c r="AH332" s="2" t="n">
        <v>4450</v>
      </c>
      <c r="AI332" s="2" t="n"/>
      <c r="AJ332" s="2" t="n"/>
      <c r="AK332" s="2" t="n"/>
      <c r="AL332" s="2" t="n"/>
      <c r="AM332" s="2" t="n"/>
      <c r="AN332" s="2" t="n"/>
      <c r="AO332" s="2" t="inlineStr">
        <is>
          <t>2007</t>
        </is>
      </c>
      <c r="AP332" s="2" t="n">
        <v>2007</v>
      </c>
      <c r="AQ332" s="2" t="n"/>
      <c r="AR332" s="2" t="n"/>
      <c r="AS332" s="2" t="inlineStr">
        <is>
          <t>regla</t>
        </is>
      </c>
      <c r="AT332" s="2" t="n">
        <v>4300</v>
      </c>
      <c r="AU332" s="2" t="n">
        <v>17</v>
      </c>
      <c r="AV332" s="2" t="inlineStr">
        <is>
          <t>modelo+año+km</t>
        </is>
      </c>
      <c r="AW332" s="2" t="n"/>
      <c r="AX332" s="2" t="inlineStr">
        <is>
          <t>cuota fija ITP: &gt;12 años, 1.501-2.000 cc; diésel: motor sin fuente de fiabilidad (fiabilidad limitada a neutra); distancia no verificable (el anuncio solo indica la provincia): confirmar que está a &lt;= 70 km</t>
        </is>
      </c>
      <c r="AY332" s="2" t="inlineStr">
        <is>
          <t>Perfecto estado. Único propietario. Tapicería impoluta, cuero y tela. Radio CD MP3. Sensor de luces. control de crucero. batería nueva. Ruedas delanteras prácticamente nuevas Goodyear Assymetric. Cambiada la distribución hace apenas 20000 kms. Revisiones anuales. IVTM e ITV al día. Julio 2007. No ha dado problemas como los motores de 150cv. Muy fiable y poco consumo (5.5l/100km). Siempre en garaje. 2 llaves. Seguro vigente.</t>
        </is>
      </c>
      <c r="AZ332" s="2" t="inlineStr">
        <is>
          <t>https://www.coches.net/opel-astra-gtc-19-cdti-120-cv-cosmo-3p-diesel-2007-en-valencia-55368252-covo.aspx (window.__INITIAL_PROPS__.ad) /home/user/Alopecia/buscador-coches/raw/cochesnet/4bcd797495e51d4d.json</t>
        </is>
      </c>
      <c r="BA332" s="3">
        <f>MAX(ANIO_ACTUAL-M332,0)</f>
        <v/>
      </c>
      <c r="BB332" s="4">
        <f>N332/MAX(BA332,0.5)</f>
        <v/>
      </c>
      <c r="BC332" s="4">
        <f>F332</f>
        <v/>
      </c>
      <c r="BD332" s="3">
        <f>BC332&amp;"|"&amp;INT(M332/SEG_ANIO)*SEG_ANIO</f>
        <v/>
      </c>
      <c r="BE332" s="3">
        <f>BD332&amp;"|"&amp;INT(N332/SEG_KM)*SEG_KM</f>
        <v/>
      </c>
      <c r="BF332" s="4">
        <f>COUNTIF($BC$2:$BC$545,BC332)</f>
        <v/>
      </c>
      <c r="BG332" s="4">
        <f>COUNTIF($BD$2:$BD$545,BD332)</f>
        <v/>
      </c>
      <c r="BH332" s="4">
        <f>COUNTIF($BE$2:$BE$545,BE332)</f>
        <v/>
      </c>
      <c r="BI332" s="3">
        <f t="array" ref="BI332">IF(N(AU332)&gt;=MIN_N,AT332,IF(BH332&gt;=MIN_N,MEDIAN(IF($BE$2:$BE$545=BE332,$O$2:$O$545)),IF(BG332&gt;=MIN_N,MEDIAN(IF($BD$2:$BD$545=BD332,$O$2:$O$545)),MEDIAN(IF($BC$2:$BC$545=BC332,$O$2:$O$545)))))</f>
        <v/>
      </c>
      <c r="BJ332" s="3">
        <f>IF(N(AU332)&gt;=MIN_N,"mercado "&amp;AV332,IF(BH332&gt;=MIN_N,"modelo+año+km",IF(BG332&gt;=MIN_N,"modelo+año","modelo")))</f>
        <v/>
      </c>
      <c r="BK332" s="4">
        <f>(BI332-O332)/BI332</f>
        <v/>
      </c>
      <c r="BL332" s="3">
        <f>IF(COUNTIFS(FR_FUEL,K332,FR_YEAR,AP332)&gt;0,1,0)</f>
        <v/>
      </c>
      <c r="BM332" s="3">
        <f>IF(COUNTIFS(FR_FUEL,K332,FR_YEAR,AP332-1)&gt;0,1,0)</f>
        <v/>
      </c>
      <c r="BN332" s="4">
        <f>IF(N(AQ332)&gt;0,AP332*100+AQ332,IF(AND(BL332=1,BM332=1),(AP332-1)*100+1,AP332*100+1))</f>
        <v/>
      </c>
      <c r="BO332" s="3">
        <f>IF(OR(K332="hibrido",K332="glp",K332="gnc",K332="phev"),"ECO",IF(K332="electrico","CERO",IF(K332="gasolina",IF(BN332&gt;=GAS_C_YM,"C",IF(BN332&gt;=GAS_B_YM,"B","A")),IF(K332="diesel",IF(BN332&gt;=DIE_C_YM,"C",IF(BN332&gt;=DIE_B_YM,"B","A")),""))))</f>
        <v/>
      </c>
      <c r="BP332" s="4">
        <f>BO332</f>
        <v/>
      </c>
      <c r="BQ332" s="4">
        <f>IF(AS332="regla",IF(AND(N(AQ332)=0,BL332=1),"sí","no"),"no")</f>
        <v/>
      </c>
      <c r="BR332" s="3">
        <f>IFERROR(VLOOKUP(F332,MOD_TBL,11,0),IFERROR(VLOOKUP(E332,OCU_TBL,2,0),NEUTRO))</f>
        <v/>
      </c>
      <c r="BS332" s="3">
        <f>SUMIFS(MOT_AJUSTE,MOT_MOTOR,G332,MOT_MARCA,E332,MOT_DESDE,"&lt;="&amp;M332,MOT_HASTA,"&gt;="&amp;M332)+SUMIFS(MOT_AJUSTE,MOT_MOTOR,G332,MOT_MARCA,"(todas)",MOT_DESDE,"&lt;="&amp;M332,MOT_HASTA,"&gt;="&amp;M332)</f>
        <v/>
      </c>
      <c r="BT332" s="3">
        <f>SUMIFS(COMB_AJUSTE,COMB_COMB,K332)</f>
        <v/>
      </c>
      <c r="BU332" s="3">
        <f>COUNTIFS(MOT_MOTOR,G332,MOT_MARCA,E332,MOT_DESDE,"&lt;="&amp;M332,MOT_HASTA,"&gt;="&amp;M332)+COUNTIFS(MOT_MOTOR,G332,MOT_MARCA,"(todas)",MOT_DESDE,"&lt;="&amp;M332,MOT_HASTA,"&gt;="&amp;M332)</f>
        <v/>
      </c>
      <c r="BV332" s="3">
        <f>IF(AND(K332="diesel",BU332=0),MIN(BR332,NEUTRO),BR332)</f>
        <v/>
      </c>
      <c r="BW332" s="4">
        <f>MAX(0,MIN(100,BV332+BS332+BT332))</f>
        <v/>
      </c>
      <c r="BX332" s="3">
        <f>MAX(0,MIN(100,50+BK332*PRECIO_PEND))</f>
        <v/>
      </c>
      <c r="BY332" s="3">
        <f>MAX(0,100*(1-N332/KM_MAX))</f>
        <v/>
      </c>
      <c r="BZ332" s="3">
        <f>IF(BB332&lt;KMA_SOSP,IF(AA332="sí",100,KMA_PEN),IF(BB332&lt;=KMA_IDEAL_MAX,100,MAX(0,100*(KMA_CERO-BB332)/(KMA_CERO-KMA_IDEAL_MAX))))</f>
        <v/>
      </c>
      <c r="CA332" s="3">
        <f>MAX(0,MIN(100,100*(M332-ANIO_MIN)/(ANIO_ACTUAL-ANIO_MIN)))</f>
        <v/>
      </c>
      <c r="CB332" s="3">
        <f>W_KMT*BY332+W_KMA*BZ332+W_EDAD*CA332</f>
        <v/>
      </c>
      <c r="CC332" s="3">
        <f>P_ITV*(V332="sí")+P_LIBRO*(W332="sí")+P_CORREA*(X332="sí")+P_PROP*(Y332=1)+P_GAR*(Z332="sí")+P_FOTOS*MIN(1,N(U332)/FOTOS_OBJ)</f>
        <v/>
      </c>
      <c r="CD332" s="3">
        <f>MAX(0,MIN(100,IFERROR(VLOOKUP(BP332,ETQ_TBL,2,0),0)-IF(BQ332="sí",ETQ_PEN_DUD,IF(AS332="regla",ETQ_PEN_REGLA,0))))</f>
        <v/>
      </c>
      <c r="CE332" s="3">
        <f>NEUTRO</f>
        <v/>
      </c>
      <c r="CF332" s="3">
        <f>IFERROR(VLOOKUP(L332,SEGURO_TBL,3,0),"")</f>
        <v/>
      </c>
      <c r="CG332" s="3">
        <f>IF(CF332="",NEUTRO,MAX(0,MIN(100,100*(SEG_REF_MAX-CF332)/(SEG_REF_MAX-SEG_REF_MIN))))</f>
        <v/>
      </c>
      <c r="CH332" s="3">
        <f>W_CONS*CE332+W_SEG*CG332</f>
        <v/>
      </c>
      <c r="CI332" s="3">
        <f>IF(N(AB332)&gt;0,AB332,IF(AND(R332="profesional",SG_LEGAL_ON=1),GAR_LEGAL,0))</f>
        <v/>
      </c>
      <c r="CJ332" s="3">
        <f>SG_GAR*MIN(1,CI332/SG_GAR_FULL)+SG_AMPL*(AC332="sí")+SG_KMC*(AF332="sí")+SG_REV*(N(AE332)&gt;0)+SG_DEV*MIN(1,N(AG332)/SG_DEV_FULL)+SG_HIST*(W332="sí")</f>
        <v/>
      </c>
      <c r="CK332" s="3">
        <f>IFERROR(VLOOKUP(L332,CARR_PEN_TBL,2,0),0)</f>
        <v/>
      </c>
      <c r="CL332" s="3">
        <f>W_FIAB*BW332+W_PRECIO*BX332+W_KMEDAD*CB332+W_ANUNCIO*CC332+W_USO*CH332+W_SEGURIDAD*CJ332+W_ETIQUETA*CD332-CK332</f>
        <v/>
      </c>
      <c r="CM332" s="4">
        <f>IF(N(I332)&gt;0,I332,IFERROR(ROUND(_xlfn.NUMBERVALUE(LEFT(G332,FIND(" ",G332&amp;" ")-1),".")*1000,0),99999))</f>
        <v/>
      </c>
      <c r="CN332" s="3">
        <f>IF(R332="profesional",0,IF(O332&lt;CUOTA_VALOR_MAX,IF(BA332&gt;ITP_TRAMO_ALTO,SUMIFS(CF_CUOTA,CF_MAS,ITP_TRAMO_ALTO,CF_CCMIN,"&lt;="&amp;CM332,CF_CCMAX,"&gt;="&amp;CM332),IF(BA332&gt;ITP_TRAMO_BAJO,SUMIFS(CF_CUOTA,CF_MAS,ITP_TRAMO_BAJO,CF_CCMIN,"&lt;="&amp;CM332,CF_CCMAX,"&gt;="&amp;CM332),O332*ITP_TIPO)),O332*ITP_TIPO))</f>
        <v/>
      </c>
      <c r="CO332" s="4">
        <f>IF(R332="profesional",N(AK332),0)</f>
        <v/>
      </c>
      <c r="CP332" s="3">
        <f>IF(AND(R332="profesional",ISNUMBER(AK332),AL332="sí"),0,TASA_DGT)</f>
        <v/>
      </c>
      <c r="CQ332" s="3">
        <f>INFORME_DGT</f>
        <v/>
      </c>
      <c r="CR332" s="4">
        <f>O332+CO332+CN332+CP332+CQ332</f>
        <v/>
      </c>
      <c r="CS332" s="4">
        <f>CR332+N(CF332)</f>
        <v/>
      </c>
      <c r="CT332" s="3">
        <f>IF(CR332&lt;=TOTAL_MAX,"sí",IF(CR332&lt;=TOTAL_MAX+MARGEN_NEG,"negociar","no"))</f>
        <v/>
      </c>
      <c r="CU332" s="4">
        <f>IF(CT332&lt;&gt;"no",COUNTIFS($CT$2:$CT$545,"&lt;&gt;no",$CL$2:$CL$545,"&gt;"&amp;CL332)+COUNTIFS($CT$2:CT332,"&lt;&gt;no",$CL$2:CL332,CL332),"")</f>
        <v/>
      </c>
    </row>
    <row r="333">
      <c r="A333" s="2" t="inlineStr">
        <is>
          <t>cochesnet:55367607</t>
        </is>
      </c>
      <c r="B333" s="2" t="inlineStr">
        <is>
          <t>cochesnet</t>
        </is>
      </c>
      <c r="C333" s="2" t="inlineStr">
        <is>
          <t>https://www.coches.net/opel-astra-gtc-16-16v-enjoy-3p-gasolina-2006-en-valencia-55367607-covo.aspx</t>
        </is>
      </c>
      <c r="D333" s="2" t="inlineStr">
        <is>
          <t>OPEL Astra GTC 1.6 16v Enjoy 3p.</t>
        </is>
      </c>
      <c r="E333" s="2" t="inlineStr">
        <is>
          <t>Opel</t>
        </is>
      </c>
      <c r="F333" s="2" t="inlineStr">
        <is>
          <t>Opel Astra</t>
        </is>
      </c>
      <c r="G333" s="2" t="inlineStr">
        <is>
          <t>1.6</t>
        </is>
      </c>
      <c r="H333" s="2" t="inlineStr">
        <is>
          <t>GTC 1.6 16v Enjoy</t>
        </is>
      </c>
      <c r="I333" s="2" t="n"/>
      <c r="J333" s="2" t="n"/>
      <c r="K333" s="2" t="inlineStr">
        <is>
          <t>gasolina</t>
        </is>
      </c>
      <c r="L333" s="2" t="inlineStr">
        <is>
          <t>compacto</t>
        </is>
      </c>
      <c r="M333" s="2" t="n">
        <v>2006</v>
      </c>
      <c r="N333" s="2" t="n">
        <v>188000</v>
      </c>
      <c r="O333" s="2" t="n">
        <v>2300</v>
      </c>
      <c r="P333" s="2" t="inlineStr">
        <is>
          <t>manual</t>
        </is>
      </c>
      <c r="Q333" s="2" t="inlineStr">
        <is>
          <t>no</t>
        </is>
      </c>
      <c r="R333" s="2" t="inlineStr">
        <is>
          <t>particular</t>
        </is>
      </c>
      <c r="S333" s="2" t="n"/>
      <c r="T333" s="2" t="inlineStr">
        <is>
          <t>2023-06-15T11:40:02Z</t>
        </is>
      </c>
      <c r="U333" s="2" t="n"/>
      <c r="V333" s="2" t="inlineStr">
        <is>
          <t>sí</t>
        </is>
      </c>
      <c r="W333" s="2" t="n"/>
      <c r="X333" s="2" t="n"/>
      <c r="Y333" s="2" t="n"/>
      <c r="Z333" s="2" t="inlineStr">
        <is>
          <t>no</t>
        </is>
      </c>
      <c r="AA333" s="2" t="n"/>
      <c r="AB333" s="2" t="n"/>
      <c r="AC333" s="2" t="n"/>
      <c r="AD333" s="2" t="n"/>
      <c r="AE333" s="2" t="n"/>
      <c r="AF333" s="2" t="n"/>
      <c r="AG333" s="2" t="n"/>
      <c r="AH333" s="2" t="n">
        <v>2300</v>
      </c>
      <c r="AI333" s="2" t="n"/>
      <c r="AJ333" s="2" t="n"/>
      <c r="AK333" s="2" t="n"/>
      <c r="AL333" s="2" t="n"/>
      <c r="AM333" s="2" t="n"/>
      <c r="AN333" s="2" t="n"/>
      <c r="AO333" s="2" t="inlineStr">
        <is>
          <t>2006</t>
        </is>
      </c>
      <c r="AP333" s="2" t="n">
        <v>2006</v>
      </c>
      <c r="AQ333" s="2" t="n"/>
      <c r="AR333" s="2" t="inlineStr">
        <is>
          <t>C</t>
        </is>
      </c>
      <c r="AS333" s="2" t="inlineStr">
        <is>
          <t>anuncio</t>
        </is>
      </c>
      <c r="AT333" s="2" t="n">
        <v>2850</v>
      </c>
      <c r="AU333" s="2" t="n">
        <v>16</v>
      </c>
      <c r="AV333" s="2" t="inlineStr">
        <is>
          <t>modelo+año+km</t>
        </is>
      </c>
      <c r="AW333" s="2" t="n"/>
      <c r="AX333" s="2" t="inlineStr">
        <is>
          <t>cuota fija ITP: &gt;12 años, 1.501-2.000 cc; distancia no verificable (el anuncio solo indica la provincia): confirmar que está a &lt;= 70 km</t>
        </is>
      </c>
      <c r="AY333" s="2" t="inlineStr">
        <is>
          <t>Coche en perfecto estado,ITV pasada en Diciembre</t>
        </is>
      </c>
      <c r="AZ333" s="2" t="inlineStr">
        <is>
          <t>https://www.coches.net/opel-astra-gtc-16-16v-enjoy-3p-gasolina-2006-en-valencia-55367607-covo.aspx (window.__INITIAL_PROPS__.ad) /home/user/Alopecia/buscador-coches/raw/cochesnet/d07284cbb65382fa.json</t>
        </is>
      </c>
      <c r="BA333" s="3">
        <f>MAX(ANIO_ACTUAL-M333,0)</f>
        <v/>
      </c>
      <c r="BB333" s="4">
        <f>N333/MAX(BA333,0.5)</f>
        <v/>
      </c>
      <c r="BC333" s="4">
        <f>F333</f>
        <v/>
      </c>
      <c r="BD333" s="3">
        <f>BC333&amp;"|"&amp;INT(M333/SEG_ANIO)*SEG_ANIO</f>
        <v/>
      </c>
      <c r="BE333" s="3">
        <f>BD333&amp;"|"&amp;INT(N333/SEG_KM)*SEG_KM</f>
        <v/>
      </c>
      <c r="BF333" s="4">
        <f>COUNTIF($BC$2:$BC$545,BC333)</f>
        <v/>
      </c>
      <c r="BG333" s="4">
        <f>COUNTIF($BD$2:$BD$545,BD333)</f>
        <v/>
      </c>
      <c r="BH333" s="4">
        <f>COUNTIF($BE$2:$BE$545,BE333)</f>
        <v/>
      </c>
      <c r="BI333" s="3">
        <f t="array" ref="BI333">IF(N(AU333)&gt;=MIN_N,AT333,IF(BH333&gt;=MIN_N,MEDIAN(IF($BE$2:$BE$545=BE333,$O$2:$O$545)),IF(BG333&gt;=MIN_N,MEDIAN(IF($BD$2:$BD$545=BD333,$O$2:$O$545)),MEDIAN(IF($BC$2:$BC$545=BC333,$O$2:$O$545)))))</f>
        <v/>
      </c>
      <c r="BJ333" s="3">
        <f>IF(N(AU333)&gt;=MIN_N,"mercado "&amp;AV333,IF(BH333&gt;=MIN_N,"modelo+año+km",IF(BG333&gt;=MIN_N,"modelo+año","modelo")))</f>
        <v/>
      </c>
      <c r="BK333" s="4">
        <f>(BI333-O333)/BI333</f>
        <v/>
      </c>
      <c r="BL333" s="3">
        <f>IF(COUNTIFS(FR_FUEL,K333,FR_YEAR,AP333)&gt;0,1,0)</f>
        <v/>
      </c>
      <c r="BM333" s="3">
        <f>IF(COUNTIFS(FR_FUEL,K333,FR_YEAR,AP333-1)&gt;0,1,0)</f>
        <v/>
      </c>
      <c r="BN333" s="4">
        <f>IF(N(AQ333)&gt;0,AP333*100+AQ333,IF(AND(BL333=1,BM333=1),(AP333-1)*100+1,AP333*100+1))</f>
        <v/>
      </c>
      <c r="BO333" s="3">
        <f>IF(OR(K333="hibrido",K333="glp",K333="gnc",K333="phev"),"ECO",IF(K333="electrico","CERO",IF(K333="gasolina",IF(BN333&gt;=GAS_C_YM,"C",IF(BN333&gt;=GAS_B_YM,"B","A")),IF(K333="diesel",IF(BN333&gt;=DIE_C_YM,"C",IF(BN333&gt;=DIE_B_YM,"B","A")),""))))</f>
        <v/>
      </c>
      <c r="BP333" s="2" t="inlineStr">
        <is>
          <t>C</t>
        </is>
      </c>
      <c r="BQ333" s="4">
        <f>IF(AS333="regla",IF(AND(N(AQ333)=0,BL333=1),"sí","no"),"no")</f>
        <v/>
      </c>
      <c r="BR333" s="3">
        <f>IFERROR(VLOOKUP(F333,MOD_TBL,11,0),IFERROR(VLOOKUP(E333,OCU_TBL,2,0),NEUTRO))</f>
        <v/>
      </c>
      <c r="BS333" s="3">
        <f>SUMIFS(MOT_AJUSTE,MOT_MOTOR,G333,MOT_MARCA,E333,MOT_DESDE,"&lt;="&amp;M333,MOT_HASTA,"&gt;="&amp;M333)+SUMIFS(MOT_AJUSTE,MOT_MOTOR,G333,MOT_MARCA,"(todas)",MOT_DESDE,"&lt;="&amp;M333,MOT_HASTA,"&gt;="&amp;M333)</f>
        <v/>
      </c>
      <c r="BT333" s="3">
        <f>SUMIFS(COMB_AJUSTE,COMB_COMB,K333)</f>
        <v/>
      </c>
      <c r="BU333" s="3">
        <f>COUNTIFS(MOT_MOTOR,G333,MOT_MARCA,E333,MOT_DESDE,"&lt;="&amp;M333,MOT_HASTA,"&gt;="&amp;M333)+COUNTIFS(MOT_MOTOR,G333,MOT_MARCA,"(todas)",MOT_DESDE,"&lt;="&amp;M333,MOT_HASTA,"&gt;="&amp;M333)</f>
        <v/>
      </c>
      <c r="BV333" s="3">
        <f>IF(AND(K333="diesel",BU333=0),MIN(BR333,NEUTRO),BR333)</f>
        <v/>
      </c>
      <c r="BW333" s="4">
        <f>MAX(0,MIN(100,BV333+BS333+BT333))</f>
        <v/>
      </c>
      <c r="BX333" s="3">
        <f>MAX(0,MIN(100,50+BK333*PRECIO_PEND))</f>
        <v/>
      </c>
      <c r="BY333" s="3">
        <f>MAX(0,100*(1-N333/KM_MAX))</f>
        <v/>
      </c>
      <c r="BZ333" s="3">
        <f>IF(BB333&lt;KMA_SOSP,IF(AA333="sí",100,KMA_PEN),IF(BB333&lt;=KMA_IDEAL_MAX,100,MAX(0,100*(KMA_CERO-BB333)/(KMA_CERO-KMA_IDEAL_MAX))))</f>
        <v/>
      </c>
      <c r="CA333" s="3">
        <f>MAX(0,MIN(100,100*(M333-ANIO_MIN)/(ANIO_ACTUAL-ANIO_MIN)))</f>
        <v/>
      </c>
      <c r="CB333" s="3">
        <f>W_KMT*BY333+W_KMA*BZ333+W_EDAD*CA333</f>
        <v/>
      </c>
      <c r="CC333" s="3">
        <f>P_ITV*(V333="sí")+P_LIBRO*(W333="sí")+P_CORREA*(X333="sí")+P_PROP*(Y333=1)+P_GAR*(Z333="sí")+P_FOTOS*MIN(1,N(U333)/FOTOS_OBJ)</f>
        <v/>
      </c>
      <c r="CD333" s="3">
        <f>MAX(0,MIN(100,IFERROR(VLOOKUP(BP333,ETQ_TBL,2,0),0)-IF(BQ333="sí",ETQ_PEN_DUD,IF(AS333="regla",ETQ_PEN_REGLA,0))))</f>
        <v/>
      </c>
      <c r="CE333" s="3">
        <f>NEUTRO</f>
        <v/>
      </c>
      <c r="CF333" s="3">
        <f>IFERROR(VLOOKUP(L333,SEGURO_TBL,3,0),"")</f>
        <v/>
      </c>
      <c r="CG333" s="3">
        <f>IF(CF333="",NEUTRO,MAX(0,MIN(100,100*(SEG_REF_MAX-CF333)/(SEG_REF_MAX-SEG_REF_MIN))))</f>
        <v/>
      </c>
      <c r="CH333" s="3">
        <f>W_CONS*CE333+W_SEG*CG333</f>
        <v/>
      </c>
      <c r="CI333" s="3">
        <f>IF(N(AB333)&gt;0,AB333,IF(AND(R333="profesional",SG_LEGAL_ON=1),GAR_LEGAL,0))</f>
        <v/>
      </c>
      <c r="CJ333" s="3">
        <f>SG_GAR*MIN(1,CI333/SG_GAR_FULL)+SG_AMPL*(AC333="sí")+SG_KMC*(AF333="sí")+SG_REV*(N(AE333)&gt;0)+SG_DEV*MIN(1,N(AG333)/SG_DEV_FULL)+SG_HIST*(W333="sí")</f>
        <v/>
      </c>
      <c r="CK333" s="3">
        <f>IFERROR(VLOOKUP(L333,CARR_PEN_TBL,2,0),0)</f>
        <v/>
      </c>
      <c r="CL333" s="3">
        <f>W_FIAB*BW333+W_PRECIO*BX333+W_KMEDAD*CB333+W_ANUNCIO*CC333+W_USO*CH333+W_SEGURIDAD*CJ333+W_ETIQUETA*CD333-CK333</f>
        <v/>
      </c>
      <c r="CM333" s="4">
        <f>IF(N(I333)&gt;0,I333,IFERROR(ROUND(_xlfn.NUMBERVALUE(LEFT(G333,FIND(" ",G333&amp;" ")-1),".")*1000,0),99999))</f>
        <v/>
      </c>
      <c r="CN333" s="3">
        <f>IF(R333="profesional",0,IF(O333&lt;CUOTA_VALOR_MAX,IF(BA333&gt;ITP_TRAMO_ALTO,SUMIFS(CF_CUOTA,CF_MAS,ITP_TRAMO_ALTO,CF_CCMIN,"&lt;="&amp;CM333,CF_CCMAX,"&gt;="&amp;CM333),IF(BA333&gt;ITP_TRAMO_BAJO,SUMIFS(CF_CUOTA,CF_MAS,ITP_TRAMO_BAJO,CF_CCMIN,"&lt;="&amp;CM333,CF_CCMAX,"&gt;="&amp;CM333),O333*ITP_TIPO)),O333*ITP_TIPO))</f>
        <v/>
      </c>
      <c r="CO333" s="4">
        <f>IF(R333="profesional",N(AK333),0)</f>
        <v/>
      </c>
      <c r="CP333" s="3">
        <f>IF(AND(R333="profesional",ISNUMBER(AK333),AL333="sí"),0,TASA_DGT)</f>
        <v/>
      </c>
      <c r="CQ333" s="3">
        <f>INFORME_DGT</f>
        <v/>
      </c>
      <c r="CR333" s="4">
        <f>O333+CO333+CN333+CP333+CQ333</f>
        <v/>
      </c>
      <c r="CS333" s="4">
        <f>CR333+N(CF333)</f>
        <v/>
      </c>
      <c r="CT333" s="3">
        <f>IF(CR333&lt;=TOTAL_MAX,"sí",IF(CR333&lt;=TOTAL_MAX+MARGEN_NEG,"negociar","no"))</f>
        <v/>
      </c>
      <c r="CU333" s="4">
        <f>IF(CT333&lt;&gt;"no",COUNTIFS($CT$2:$CT$545,"&lt;&gt;no",$CL$2:$CL$545,"&gt;"&amp;CL333)+COUNTIFS($CT$2:CT333,"&lt;&gt;no",$CL$2:CL333,CL333),"")</f>
        <v/>
      </c>
    </row>
    <row r="334">
      <c r="A334" s="2" t="inlineStr">
        <is>
          <t>cochesnet:71780709</t>
        </is>
      </c>
      <c r="B334" s="2" t="inlineStr">
        <is>
          <t>cochesnet</t>
        </is>
      </c>
      <c r="C334" s="2" t="inlineStr">
        <is>
          <t>https://www.coches.net/opel-meriva-14-net-excellence-5p-gasolina-2015-en-valencia-71780709-covo.aspx</t>
        </is>
      </c>
      <c r="D334" s="2" t="inlineStr">
        <is>
          <t>OPEL Meriva 1.4 NET Excellence</t>
        </is>
      </c>
      <c r="E334" s="2" t="inlineStr">
        <is>
          <t>Opel</t>
        </is>
      </c>
      <c r="F334" s="2" t="inlineStr">
        <is>
          <t>Opel Meriva</t>
        </is>
      </c>
      <c r="G334" s="2" t="inlineStr">
        <is>
          <t>1.4</t>
        </is>
      </c>
      <c r="H334" s="2" t="inlineStr">
        <is>
          <t>1.4 NET Excellence</t>
        </is>
      </c>
      <c r="I334" s="2" t="n"/>
      <c r="J334" s="2" t="n"/>
      <c r="K334" s="2" t="inlineStr">
        <is>
          <t>gasolina</t>
        </is>
      </c>
      <c r="L334" s="2" t="inlineStr">
        <is>
          <t>monovolumen_pequeno</t>
        </is>
      </c>
      <c r="M334" s="2" t="n">
        <v>2015</v>
      </c>
      <c r="N334" s="2" t="n">
        <v>163570</v>
      </c>
      <c r="O334" s="2" t="n">
        <v>4300</v>
      </c>
      <c r="P334" s="2" t="inlineStr">
        <is>
          <t>manual</t>
        </is>
      </c>
      <c r="Q334" s="2" t="inlineStr">
        <is>
          <t>no</t>
        </is>
      </c>
      <c r="R334" s="2" t="inlineStr">
        <is>
          <t>particular</t>
        </is>
      </c>
      <c r="S334" s="2" t="inlineStr">
        <is>
          <t>Tavernes de la Valldigna</t>
        </is>
      </c>
      <c r="T334" s="2" t="inlineStr">
        <is>
          <t>2026-10-19T13:59:24Z</t>
        </is>
      </c>
      <c r="U334" s="2" t="n">
        <v>6</v>
      </c>
      <c r="V334" s="2" t="inlineStr">
        <is>
          <t>sí</t>
        </is>
      </c>
      <c r="W334" s="2" t="n"/>
      <c r="X334" s="2" t="n"/>
      <c r="Y334" s="2" t="n"/>
      <c r="Z334" s="2" t="inlineStr">
        <is>
          <t>no</t>
        </is>
      </c>
      <c r="AA334" s="2" t="n"/>
      <c r="AB334" s="2" t="n"/>
      <c r="AC334" s="2" t="n"/>
      <c r="AD334" s="2" t="n"/>
      <c r="AE334" s="2" t="n"/>
      <c r="AF334" s="2" t="n"/>
      <c r="AG334" s="2" t="n"/>
      <c r="AH334" s="2" t="n">
        <v>4300</v>
      </c>
      <c r="AI334" s="2" t="n"/>
      <c r="AJ334" s="2" t="n"/>
      <c r="AK334" s="2" t="n"/>
      <c r="AL334" s="2" t="n"/>
      <c r="AM334" s="2" t="n">
        <v>45.8</v>
      </c>
      <c r="AN334" s="2" t="n"/>
      <c r="AO334" s="2" t="inlineStr">
        <is>
          <t>05/2015</t>
        </is>
      </c>
      <c r="AP334" s="2" t="n">
        <v>2015</v>
      </c>
      <c r="AQ334" s="2" t="n">
        <v>5</v>
      </c>
      <c r="AR334" s="2" t="inlineStr">
        <is>
          <t>C</t>
        </is>
      </c>
      <c r="AS334" s="2" t="inlineStr">
        <is>
          <t>anuncio</t>
        </is>
      </c>
      <c r="AT334" s="2" t="n">
        <v>5990</v>
      </c>
      <c r="AU334" s="2" t="n">
        <v>5</v>
      </c>
      <c r="AV334" s="2" t="inlineStr">
        <is>
          <t>modelo+año+km</t>
        </is>
      </c>
      <c r="AW334" s="2" t="n"/>
      <c r="AX334" s="2" t="inlineStr">
        <is>
          <t>cuota fija ITP: &gt;5 y &lt;=12 años, hasta 1.500 cc; carrocería monovolumen_pequeno: -6 puntos; fiabilidad del modelo PENDIENTE de fuente (puntuación neutra)</t>
        </is>
      </c>
      <c r="AY334" s="2" t="inlineStr">
        <is>
          <t>?? SE VENDE OPEL MERIVA 1.4 GASOLINA 140 CV – AÑO 2015
?? Precio: 4.500 €
Vendo Opel Meriva del año 2015, motor 1.4 gasolina de 140 CV, con 163.570 km.
? ITV recién pasada.
? Cambios de aceite realizados.
? Motor gasolina de 140 CV.
? Se acepta prueba mecánica.
?? Importante: El coche se vende tal como está, ya que necesita algunos pequeños arreglos de mecánica. También tiene un arañazo en una de las puertas.
El precio tiene en cuenta estos detalles. Se puede revisar y probar para comprobar su estado antes de la compra.
?? Interesados, contactar por privado para más información o concertar una visita.
?? Precio: 4.500 €</t>
        </is>
      </c>
      <c r="AZ334" s="2" t="inlineStr">
        <is>
          <t>https://www.coches.net/opel-meriva-14-net-excellence-5p-gasolina-2015-en-valencia-71780709-covo.aspx (window.__INITIAL_PROPS__.ad) /home/user/Alopecia/buscador-coches/raw/cochesnet/47465970cd6ff1cf.json</t>
        </is>
      </c>
      <c r="BA334" s="3">
        <f>MAX(ANIO_ACTUAL-M334,0)</f>
        <v/>
      </c>
      <c r="BB334" s="4">
        <f>N334/MAX(BA334,0.5)</f>
        <v/>
      </c>
      <c r="BC334" s="4">
        <f>F334</f>
        <v/>
      </c>
      <c r="BD334" s="3">
        <f>BC334&amp;"|"&amp;INT(M334/SEG_ANIO)*SEG_ANIO</f>
        <v/>
      </c>
      <c r="BE334" s="3">
        <f>BD334&amp;"|"&amp;INT(N334/SEG_KM)*SEG_KM</f>
        <v/>
      </c>
      <c r="BF334" s="4">
        <f>COUNTIF($BC$2:$BC$545,BC334)</f>
        <v/>
      </c>
      <c r="BG334" s="4">
        <f>COUNTIF($BD$2:$BD$545,BD334)</f>
        <v/>
      </c>
      <c r="BH334" s="4">
        <f>COUNTIF($BE$2:$BE$545,BE334)</f>
        <v/>
      </c>
      <c r="BI334" s="3">
        <f t="array" ref="BI334">IF(N(AU334)&gt;=MIN_N,AT334,IF(BH334&gt;=MIN_N,MEDIAN(IF($BE$2:$BE$545=BE334,$O$2:$O$545)),IF(BG334&gt;=MIN_N,MEDIAN(IF($BD$2:$BD$545=BD334,$O$2:$O$545)),MEDIAN(IF($BC$2:$BC$545=BC334,$O$2:$O$545)))))</f>
        <v/>
      </c>
      <c r="BJ334" s="3">
        <f>IF(N(AU334)&gt;=MIN_N,"mercado "&amp;AV334,IF(BH334&gt;=MIN_N,"modelo+año+km",IF(BG334&gt;=MIN_N,"modelo+año","modelo")))</f>
        <v/>
      </c>
      <c r="BK334" s="4">
        <f>(BI334-O334)/BI334</f>
        <v/>
      </c>
      <c r="BL334" s="3">
        <f>IF(COUNTIFS(FR_FUEL,K334,FR_YEAR,AP334)&gt;0,1,0)</f>
        <v/>
      </c>
      <c r="BM334" s="3">
        <f>IF(COUNTIFS(FR_FUEL,K334,FR_YEAR,AP334-1)&gt;0,1,0)</f>
        <v/>
      </c>
      <c r="BN334" s="4">
        <f>IF(N(AQ334)&gt;0,AP334*100+AQ334,IF(AND(BL334=1,BM334=1),(AP334-1)*100+1,AP334*100+1))</f>
        <v/>
      </c>
      <c r="BO334" s="3">
        <f>IF(OR(K334="hibrido",K334="glp",K334="gnc",K334="phev"),"ECO",IF(K334="electrico","CERO",IF(K334="gasolina",IF(BN334&gt;=GAS_C_YM,"C",IF(BN334&gt;=GAS_B_YM,"B","A")),IF(K334="diesel",IF(BN334&gt;=DIE_C_YM,"C",IF(BN334&gt;=DIE_B_YM,"B","A")),""))))</f>
        <v/>
      </c>
      <c r="BP334" s="2" t="inlineStr">
        <is>
          <t>C</t>
        </is>
      </c>
      <c r="BQ334" s="4">
        <f>IF(AS334="regla",IF(AND(N(AQ334)=0,BL334=1),"sí","no"),"no")</f>
        <v/>
      </c>
      <c r="BR334" s="3">
        <f>IFERROR(VLOOKUP(F334,MOD_TBL,11,0),IFERROR(VLOOKUP(E334,OCU_TBL,2,0),NEUTRO))</f>
        <v/>
      </c>
      <c r="BS334" s="3">
        <f>SUMIFS(MOT_AJUSTE,MOT_MOTOR,G334,MOT_MARCA,E334,MOT_DESDE,"&lt;="&amp;M334,MOT_HASTA,"&gt;="&amp;M334)+SUMIFS(MOT_AJUSTE,MOT_MOTOR,G334,MOT_MARCA,"(todas)",MOT_DESDE,"&lt;="&amp;M334,MOT_HASTA,"&gt;="&amp;M334)</f>
        <v/>
      </c>
      <c r="BT334" s="3">
        <f>SUMIFS(COMB_AJUSTE,COMB_COMB,K334)</f>
        <v/>
      </c>
      <c r="BU334" s="3">
        <f>COUNTIFS(MOT_MOTOR,G334,MOT_MARCA,E334,MOT_DESDE,"&lt;="&amp;M334,MOT_HASTA,"&gt;="&amp;M334)+COUNTIFS(MOT_MOTOR,G334,MOT_MARCA,"(todas)",MOT_DESDE,"&lt;="&amp;M334,MOT_HASTA,"&gt;="&amp;M334)</f>
        <v/>
      </c>
      <c r="BV334" s="3">
        <f>IF(AND(K334="diesel",BU334=0),MIN(BR334,NEUTRO),BR334)</f>
        <v/>
      </c>
      <c r="BW334" s="4">
        <f>MAX(0,MIN(100,BV334+BS334+BT334))</f>
        <v/>
      </c>
      <c r="BX334" s="3">
        <f>MAX(0,MIN(100,50+BK334*PRECIO_PEND))</f>
        <v/>
      </c>
      <c r="BY334" s="3">
        <f>MAX(0,100*(1-N334/KM_MAX))</f>
        <v/>
      </c>
      <c r="BZ334" s="3">
        <f>IF(BB334&lt;KMA_SOSP,IF(AA334="sí",100,KMA_PEN),IF(BB334&lt;=KMA_IDEAL_MAX,100,MAX(0,100*(KMA_CERO-BB334)/(KMA_CERO-KMA_IDEAL_MAX))))</f>
        <v/>
      </c>
      <c r="CA334" s="3">
        <f>MAX(0,MIN(100,100*(M334-ANIO_MIN)/(ANIO_ACTUAL-ANIO_MIN)))</f>
        <v/>
      </c>
      <c r="CB334" s="3">
        <f>W_KMT*BY334+W_KMA*BZ334+W_EDAD*CA334</f>
        <v/>
      </c>
      <c r="CC334" s="3">
        <f>P_ITV*(V334="sí")+P_LIBRO*(W334="sí")+P_CORREA*(X334="sí")+P_PROP*(Y334=1)+P_GAR*(Z334="sí")+P_FOTOS*MIN(1,N(U334)/FOTOS_OBJ)</f>
        <v/>
      </c>
      <c r="CD334" s="3">
        <f>MAX(0,MIN(100,IFERROR(VLOOKUP(BP334,ETQ_TBL,2,0),0)-IF(BQ334="sí",ETQ_PEN_DUD,IF(AS334="regla",ETQ_PEN_REGLA,0))))</f>
        <v/>
      </c>
      <c r="CE334" s="3">
        <f>NEUTRO</f>
        <v/>
      </c>
      <c r="CF334" s="3">
        <f>IFERROR(VLOOKUP(L334,SEGURO_TBL,3,0),"")</f>
        <v/>
      </c>
      <c r="CG334" s="3">
        <f>IF(CF334="",NEUTRO,MAX(0,MIN(100,100*(SEG_REF_MAX-CF334)/(SEG_REF_MAX-SEG_REF_MIN))))</f>
        <v/>
      </c>
      <c r="CH334" s="3">
        <f>W_CONS*CE334+W_SEG*CG334</f>
        <v/>
      </c>
      <c r="CI334" s="3">
        <f>IF(N(AB334)&gt;0,AB334,IF(AND(R334="profesional",SG_LEGAL_ON=1),GAR_LEGAL,0))</f>
        <v/>
      </c>
      <c r="CJ334" s="3">
        <f>SG_GAR*MIN(1,CI334/SG_GAR_FULL)+SG_AMPL*(AC334="sí")+SG_KMC*(AF334="sí")+SG_REV*(N(AE334)&gt;0)+SG_DEV*MIN(1,N(AG334)/SG_DEV_FULL)+SG_HIST*(W334="sí")</f>
        <v/>
      </c>
      <c r="CK334" s="3">
        <f>IFERROR(VLOOKUP(L334,CARR_PEN_TBL,2,0),0)</f>
        <v/>
      </c>
      <c r="CL334" s="3">
        <f>W_FIAB*BW334+W_PRECIO*BX334+W_KMEDAD*CB334+W_ANUNCIO*CC334+W_USO*CH334+W_SEGURIDAD*CJ334+W_ETIQUETA*CD334-CK334</f>
        <v/>
      </c>
      <c r="CM334" s="4">
        <f>IF(N(I334)&gt;0,I334,IFERROR(ROUND(_xlfn.NUMBERVALUE(LEFT(G334,FIND(" ",G334&amp;" ")-1),".")*1000,0),99999))</f>
        <v/>
      </c>
      <c r="CN334" s="3">
        <f>IF(R334="profesional",0,IF(O334&lt;CUOTA_VALOR_MAX,IF(BA334&gt;ITP_TRAMO_ALTO,SUMIFS(CF_CUOTA,CF_MAS,ITP_TRAMO_ALTO,CF_CCMIN,"&lt;="&amp;CM334,CF_CCMAX,"&gt;="&amp;CM334),IF(BA334&gt;ITP_TRAMO_BAJO,SUMIFS(CF_CUOTA,CF_MAS,ITP_TRAMO_BAJO,CF_CCMIN,"&lt;="&amp;CM334,CF_CCMAX,"&gt;="&amp;CM334),O334*ITP_TIPO)),O334*ITP_TIPO))</f>
        <v/>
      </c>
      <c r="CO334" s="4">
        <f>IF(R334="profesional",N(AK334),0)</f>
        <v/>
      </c>
      <c r="CP334" s="3">
        <f>IF(AND(R334="profesional",ISNUMBER(AK334),AL334="sí"),0,TASA_DGT)</f>
        <v/>
      </c>
      <c r="CQ334" s="3">
        <f>INFORME_DGT</f>
        <v/>
      </c>
      <c r="CR334" s="4">
        <f>O334+CO334+CN334+CP334+CQ334</f>
        <v/>
      </c>
      <c r="CS334" s="4">
        <f>CR334+N(CF334)</f>
        <v/>
      </c>
      <c r="CT334" s="3">
        <f>IF(CR334&lt;=TOTAL_MAX,"sí",IF(CR334&lt;=TOTAL_MAX+MARGEN_NEG,"negociar","no"))</f>
        <v/>
      </c>
      <c r="CU334" s="4">
        <f>IF(CT334&lt;&gt;"no",COUNTIFS($CT$2:$CT$545,"&lt;&gt;no",$CL$2:$CL$545,"&gt;"&amp;CL334)+COUNTIFS($CT$2:CT334,"&lt;&gt;no",$CL$2:CL334,CL334),"")</f>
        <v/>
      </c>
    </row>
    <row r="335">
      <c r="A335" s="2" t="inlineStr">
        <is>
          <t>cochesnet:71508169</t>
        </is>
      </c>
      <c r="B335" s="2" t="inlineStr">
        <is>
          <t>cochesnet</t>
        </is>
      </c>
      <c r="C335" s="2" t="inlineStr">
        <is>
          <t>https://www.coches.net/renault-megane-coupecabrio-dynamique-16-16v-2p-gasolina-2007-en-valencia-71508169-covo.aspx</t>
        </is>
      </c>
      <c r="D335" s="2" t="inlineStr">
        <is>
          <t>RENAULT Mégane Coupecabrio Dynamique 1.6 16v</t>
        </is>
      </c>
      <c r="E335" s="2" t="inlineStr">
        <is>
          <t>Renault</t>
        </is>
      </c>
      <c r="F335" s="2" t="inlineStr">
        <is>
          <t>Renault Mégane</t>
        </is>
      </c>
      <c r="G335" s="2" t="inlineStr">
        <is>
          <t>1.6</t>
        </is>
      </c>
      <c r="H335" s="2" t="inlineStr">
        <is>
          <t>Coupecabrio Dynamique 1.6 16v</t>
        </is>
      </c>
      <c r="I335" s="2" t="n"/>
      <c r="J335" s="2" t="n"/>
      <c r="K335" s="2" t="inlineStr">
        <is>
          <t>gasolina</t>
        </is>
      </c>
      <c r="L335" s="2" t="inlineStr">
        <is>
          <t>compacto</t>
        </is>
      </c>
      <c r="M335" s="2" t="n">
        <v>2007</v>
      </c>
      <c r="N335" s="2" t="n">
        <v>115000</v>
      </c>
      <c r="O335" s="2" t="n">
        <v>4500</v>
      </c>
      <c r="P335" s="2" t="inlineStr">
        <is>
          <t>manual</t>
        </is>
      </c>
      <c r="Q335" s="2" t="inlineStr">
        <is>
          <t>no</t>
        </is>
      </c>
      <c r="R335" s="2" t="inlineStr">
        <is>
          <t>profesional</t>
        </is>
      </c>
      <c r="S335" s="2" t="inlineStr">
        <is>
          <t>JM Automóviles Alboraya</t>
        </is>
      </c>
      <c r="T335" s="2" t="inlineStr">
        <is>
          <t>2026-09-14T12:11:39Z</t>
        </is>
      </c>
      <c r="U335" s="2" t="n">
        <v>11</v>
      </c>
      <c r="V335" s="2" t="n"/>
      <c r="W335" s="2" t="n"/>
      <c r="X335" s="2" t="n"/>
      <c r="Y335" s="2" t="n"/>
      <c r="Z335" s="2" t="inlineStr">
        <is>
          <t>sí</t>
        </is>
      </c>
      <c r="AA335" s="2" t="n"/>
      <c r="AB335" s="2" t="n">
        <v>12</v>
      </c>
      <c r="AC335" s="2" t="n"/>
      <c r="AD335" s="2" t="n"/>
      <c r="AE335" s="2" t="n"/>
      <c r="AF335" s="2" t="n"/>
      <c r="AG335" s="2" t="n"/>
      <c r="AH335" s="2" t="n">
        <v>4500</v>
      </c>
      <c r="AI335" s="2" t="n">
        <v>4500</v>
      </c>
      <c r="AJ335" s="2" t="n"/>
      <c r="AK335" s="2" t="n"/>
      <c r="AL335" s="2" t="n"/>
      <c r="AM335" s="2" t="n">
        <v>4</v>
      </c>
      <c r="AN335" s="2" t="n"/>
      <c r="AO335" s="2" t="inlineStr">
        <is>
          <t>2007</t>
        </is>
      </c>
      <c r="AP335" s="2" t="n">
        <v>2007</v>
      </c>
      <c r="AQ335" s="2" t="n"/>
      <c r="AR335" s="2" t="inlineStr">
        <is>
          <t>C</t>
        </is>
      </c>
      <c r="AS335" s="2" t="inlineStr">
        <is>
          <t>anuncio</t>
        </is>
      </c>
      <c r="AT335" s="2" t="n">
        <v>4500</v>
      </c>
      <c r="AU335" s="2" t="n">
        <v>5</v>
      </c>
      <c r="AV335" s="2" t="inlineStr">
        <is>
          <t>modelo+año+km</t>
        </is>
      </c>
      <c r="AW335" s="2" t="n"/>
      <c r="AX335" s="2" t="inlineStr">
        <is>
          <t>vendedor profesional: sin ITP (operación con IVA/REBU, confirmar en factura); gastos de gestión del vendedor no indicados: se suma la tasa DGT; preguntar el precio final</t>
        </is>
      </c>
      <c r="AY335" s="2" t="inlineStr">
        <is>
          <t>RENAULT MÉGANE CABRIO 1.6 16V 110 CV DYNAMIQUE – 2007 – 114.000 KM
Renault Mégane Cabrio del 2007, con motor 1.6 gasolina de 110 CV, acabado Dynamique y solo 114.000 km. Un descapotable cómodo y atractivo, ideal para disfrutar de la conducción tanto en ciudad como en carretera.
DATOS PRINCIPALES
* Año: 2007
* Combustible: Gasolina
* Motor: 1.6 16V
* Potencia: 110 CV
* Cambio: Manual
* Kilómetros: 114.000 km
* Acabado: Dynamique
* Listo para entregar
EQUIPAMIENTO DESTACADO
* Techo descapotable
* Climatizador
* Radio CD
* Volante multifunción
* Control de velocidad
* Llantas de aleación
* Elevalunas eléctricos
* Cierre centralizado
* Faros antiniebla
* ABS y control de estabilidad
* ISOFIX
LO MEJOR
* Motor 1.6 gasolina de 110 CV
* Acabado Dynamique
* Solo 114.000 km
* Descapotable
* Diseño atractivo
* Ideal para disfrutar de la conducción
* Cómodo y práctico para el día a día
Vehículo en buen estado general, cuidado y listo para su entrega.</t>
        </is>
      </c>
      <c r="AZ335" s="2" t="inlineStr">
        <is>
          <t>https://www.coches.net/renault-megane-coupecabrio-dynamique-16-16v-2p-gasolina-2007-en-valencia-71508169-covo.aspx (window.__INITIAL_PROPS__.ad) /home/user/Alopecia/buscador-coches/raw/cochesnet/ae12582aa857913e.json</t>
        </is>
      </c>
      <c r="BA335" s="3">
        <f>MAX(ANIO_ACTUAL-M335,0)</f>
        <v/>
      </c>
      <c r="BB335" s="4">
        <f>N335/MAX(BA335,0.5)</f>
        <v/>
      </c>
      <c r="BC335" s="4">
        <f>F335</f>
        <v/>
      </c>
      <c r="BD335" s="3">
        <f>BC335&amp;"|"&amp;INT(M335/SEG_ANIO)*SEG_ANIO</f>
        <v/>
      </c>
      <c r="BE335" s="3">
        <f>BD335&amp;"|"&amp;INT(N335/SEG_KM)*SEG_KM</f>
        <v/>
      </c>
      <c r="BF335" s="4">
        <f>COUNTIF($BC$2:$BC$545,BC335)</f>
        <v/>
      </c>
      <c r="BG335" s="4">
        <f>COUNTIF($BD$2:$BD$545,BD335)</f>
        <v/>
      </c>
      <c r="BH335" s="4">
        <f>COUNTIF($BE$2:$BE$545,BE335)</f>
        <v/>
      </c>
      <c r="BI335" s="3">
        <f t="array" ref="BI335">IF(N(AU335)&gt;=MIN_N,AT335,IF(BH335&gt;=MIN_N,MEDIAN(IF($BE$2:$BE$545=BE335,$O$2:$O$545)),IF(BG335&gt;=MIN_N,MEDIAN(IF($BD$2:$BD$545=BD335,$O$2:$O$545)),MEDIAN(IF($BC$2:$BC$545=BC335,$O$2:$O$545)))))</f>
        <v/>
      </c>
      <c r="BJ335" s="3">
        <f>IF(N(AU335)&gt;=MIN_N,"mercado "&amp;AV335,IF(BH335&gt;=MIN_N,"modelo+año+km",IF(BG335&gt;=MIN_N,"modelo+año","modelo")))</f>
        <v/>
      </c>
      <c r="BK335" s="4">
        <f>(BI335-O335)/BI335</f>
        <v/>
      </c>
      <c r="BL335" s="3">
        <f>IF(COUNTIFS(FR_FUEL,K335,FR_YEAR,AP335)&gt;0,1,0)</f>
        <v/>
      </c>
      <c r="BM335" s="3">
        <f>IF(COUNTIFS(FR_FUEL,K335,FR_YEAR,AP335-1)&gt;0,1,0)</f>
        <v/>
      </c>
      <c r="BN335" s="4">
        <f>IF(N(AQ335)&gt;0,AP335*100+AQ335,IF(AND(BL335=1,BM335=1),(AP335-1)*100+1,AP335*100+1))</f>
        <v/>
      </c>
      <c r="BO335" s="3">
        <f>IF(OR(K335="hibrido",K335="glp",K335="gnc",K335="phev"),"ECO",IF(K335="electrico","CERO",IF(K335="gasolina",IF(BN335&gt;=GAS_C_YM,"C",IF(BN335&gt;=GAS_B_YM,"B","A")),IF(K335="diesel",IF(BN335&gt;=DIE_C_YM,"C",IF(BN335&gt;=DIE_B_YM,"B","A")),""))))</f>
        <v/>
      </c>
      <c r="BP335" s="2" t="inlineStr">
        <is>
          <t>C</t>
        </is>
      </c>
      <c r="BQ335" s="4">
        <f>IF(AS335="regla",IF(AND(N(AQ335)=0,BL335=1),"sí","no"),"no")</f>
        <v/>
      </c>
      <c r="BR335" s="3">
        <f>IFERROR(VLOOKUP(F335,MOD_TBL,11,0),IFERROR(VLOOKUP(E335,OCU_TBL,2,0),NEUTRO))</f>
        <v/>
      </c>
      <c r="BS335" s="3">
        <f>SUMIFS(MOT_AJUSTE,MOT_MOTOR,G335,MOT_MARCA,E335,MOT_DESDE,"&lt;="&amp;M335,MOT_HASTA,"&gt;="&amp;M335)+SUMIFS(MOT_AJUSTE,MOT_MOTOR,G335,MOT_MARCA,"(todas)",MOT_DESDE,"&lt;="&amp;M335,MOT_HASTA,"&gt;="&amp;M335)</f>
        <v/>
      </c>
      <c r="BT335" s="3">
        <f>SUMIFS(COMB_AJUSTE,COMB_COMB,K335)</f>
        <v/>
      </c>
      <c r="BU335" s="3">
        <f>COUNTIFS(MOT_MOTOR,G335,MOT_MARCA,E335,MOT_DESDE,"&lt;="&amp;M335,MOT_HASTA,"&gt;="&amp;M335)+COUNTIFS(MOT_MOTOR,G335,MOT_MARCA,"(todas)",MOT_DESDE,"&lt;="&amp;M335,MOT_HASTA,"&gt;="&amp;M335)</f>
        <v/>
      </c>
      <c r="BV335" s="3">
        <f>IF(AND(K335="diesel",BU335=0),MIN(BR335,NEUTRO),BR335)</f>
        <v/>
      </c>
      <c r="BW335" s="4">
        <f>MAX(0,MIN(100,BV335+BS335+BT335))</f>
        <v/>
      </c>
      <c r="BX335" s="3">
        <f>MAX(0,MIN(100,50+BK335*PRECIO_PEND))</f>
        <v/>
      </c>
      <c r="BY335" s="3">
        <f>MAX(0,100*(1-N335/KM_MAX))</f>
        <v/>
      </c>
      <c r="BZ335" s="3">
        <f>IF(BB335&lt;KMA_SOSP,IF(AA335="sí",100,KMA_PEN),IF(BB335&lt;=KMA_IDEAL_MAX,100,MAX(0,100*(KMA_CERO-BB335)/(KMA_CERO-KMA_IDEAL_MAX))))</f>
        <v/>
      </c>
      <c r="CA335" s="3">
        <f>MAX(0,MIN(100,100*(M335-ANIO_MIN)/(ANIO_ACTUAL-ANIO_MIN)))</f>
        <v/>
      </c>
      <c r="CB335" s="3">
        <f>W_KMT*BY335+W_KMA*BZ335+W_EDAD*CA335</f>
        <v/>
      </c>
      <c r="CC335" s="3">
        <f>P_ITV*(V335="sí")+P_LIBRO*(W335="sí")+P_CORREA*(X335="sí")+P_PROP*(Y335=1)+P_GAR*(Z335="sí")+P_FOTOS*MIN(1,N(U335)/FOTOS_OBJ)</f>
        <v/>
      </c>
      <c r="CD335" s="3">
        <f>MAX(0,MIN(100,IFERROR(VLOOKUP(BP335,ETQ_TBL,2,0),0)-IF(BQ335="sí",ETQ_PEN_DUD,IF(AS335="regla",ETQ_PEN_REGLA,0))))</f>
        <v/>
      </c>
      <c r="CE335" s="3">
        <f>NEUTRO</f>
        <v/>
      </c>
      <c r="CF335" s="3">
        <f>IFERROR(VLOOKUP(L335,SEGURO_TBL,3,0),"")</f>
        <v/>
      </c>
      <c r="CG335" s="3">
        <f>IF(CF335="",NEUTRO,MAX(0,MIN(100,100*(SEG_REF_MAX-CF335)/(SEG_REF_MAX-SEG_REF_MIN))))</f>
        <v/>
      </c>
      <c r="CH335" s="3">
        <f>W_CONS*CE335+W_SEG*CG335</f>
        <v/>
      </c>
      <c r="CI335" s="3">
        <f>IF(N(AB335)&gt;0,AB335,IF(AND(R335="profesional",SG_LEGAL_ON=1),GAR_LEGAL,0))</f>
        <v/>
      </c>
      <c r="CJ335" s="3">
        <f>SG_GAR*MIN(1,CI335/SG_GAR_FULL)+SG_AMPL*(AC335="sí")+SG_KMC*(AF335="sí")+SG_REV*(N(AE335)&gt;0)+SG_DEV*MIN(1,N(AG335)/SG_DEV_FULL)+SG_HIST*(W335="sí")</f>
        <v/>
      </c>
      <c r="CK335" s="3">
        <f>IFERROR(VLOOKUP(L335,CARR_PEN_TBL,2,0),0)</f>
        <v/>
      </c>
      <c r="CL335" s="3">
        <f>W_FIAB*BW335+W_PRECIO*BX335+W_KMEDAD*CB335+W_ANUNCIO*CC335+W_USO*CH335+W_SEGURIDAD*CJ335+W_ETIQUETA*CD335-CK335</f>
        <v/>
      </c>
      <c r="CM335" s="4">
        <f>IF(N(I335)&gt;0,I335,IFERROR(ROUND(_xlfn.NUMBERVALUE(LEFT(G335,FIND(" ",G335&amp;" ")-1),".")*1000,0),99999))</f>
        <v/>
      </c>
      <c r="CN335" s="3">
        <f>IF(R335="profesional",0,IF(O335&lt;CUOTA_VALOR_MAX,IF(BA335&gt;ITP_TRAMO_ALTO,SUMIFS(CF_CUOTA,CF_MAS,ITP_TRAMO_ALTO,CF_CCMIN,"&lt;="&amp;CM335,CF_CCMAX,"&gt;="&amp;CM335),IF(BA335&gt;ITP_TRAMO_BAJO,SUMIFS(CF_CUOTA,CF_MAS,ITP_TRAMO_BAJO,CF_CCMIN,"&lt;="&amp;CM335,CF_CCMAX,"&gt;="&amp;CM335),O335*ITP_TIPO)),O335*ITP_TIPO))</f>
        <v/>
      </c>
      <c r="CO335" s="4">
        <f>IF(R335="profesional",N(AK335),0)</f>
        <v/>
      </c>
      <c r="CP335" s="3">
        <f>IF(AND(R335="profesional",ISNUMBER(AK335),AL335="sí"),0,TASA_DGT)</f>
        <v/>
      </c>
      <c r="CQ335" s="3">
        <f>INFORME_DGT</f>
        <v/>
      </c>
      <c r="CR335" s="4">
        <f>O335+CO335+CN335+CP335+CQ335</f>
        <v/>
      </c>
      <c r="CS335" s="4">
        <f>CR335+N(CF335)</f>
        <v/>
      </c>
      <c r="CT335" s="3">
        <f>IF(CR335&lt;=TOTAL_MAX,"sí",IF(CR335&lt;=TOTAL_MAX+MARGEN_NEG,"negociar","no"))</f>
        <v/>
      </c>
      <c r="CU335" s="4">
        <f>IF(CT335&lt;&gt;"no",COUNTIFS($CT$2:$CT$545,"&lt;&gt;no",$CL$2:$CL$545,"&gt;"&amp;CL335)+COUNTIFS($CT$2:CT335,"&lt;&gt;no",$CL$2:CL335,CL335),"")</f>
        <v/>
      </c>
    </row>
    <row r="336">
      <c r="A336" s="2" t="inlineStr">
        <is>
          <t>cochesnet:71662456</t>
        </is>
      </c>
      <c r="B336" s="2" t="inlineStr">
        <is>
          <t>cochesnet</t>
        </is>
      </c>
      <c r="C336" s="2" t="inlineStr">
        <is>
          <t>https://www.coches.net/renault-megane-coupecabrio-dynamique-16-16v-2p-gasolina-2007-en-valencia-71662456-covo.aspx</t>
        </is>
      </c>
      <c r="D336" s="2" t="inlineStr">
        <is>
          <t>RENAULT Mégane Coupecabrio Dynamique 1.6 16v</t>
        </is>
      </c>
      <c r="E336" s="2" t="inlineStr">
        <is>
          <t>Renault</t>
        </is>
      </c>
      <c r="F336" s="2" t="inlineStr">
        <is>
          <t>Renault Mégane</t>
        </is>
      </c>
      <c r="G336" s="2" t="inlineStr">
        <is>
          <t>1.6</t>
        </is>
      </c>
      <c r="H336" s="2" t="inlineStr">
        <is>
          <t>Coupecabrio Dynamique 1.6 16v</t>
        </is>
      </c>
      <c r="I336" s="2" t="n"/>
      <c r="J336" s="2" t="n"/>
      <c r="K336" s="2" t="inlineStr">
        <is>
          <t>gasolina</t>
        </is>
      </c>
      <c r="L336" s="2" t="inlineStr">
        <is>
          <t>compacto</t>
        </is>
      </c>
      <c r="M336" s="2" t="n">
        <v>2007</v>
      </c>
      <c r="N336" s="2" t="n">
        <v>183000</v>
      </c>
      <c r="O336" s="2" t="n">
        <v>4750</v>
      </c>
      <c r="P336" s="2" t="inlineStr">
        <is>
          <t>manual</t>
        </is>
      </c>
      <c r="Q336" s="2" t="inlineStr">
        <is>
          <t>no</t>
        </is>
      </c>
      <c r="R336" s="2" t="inlineStr">
        <is>
          <t>profesional</t>
        </is>
      </c>
      <c r="S336" s="2" t="inlineStr">
        <is>
          <t>JM Automóviles Alboraya</t>
        </is>
      </c>
      <c r="T336" s="2" t="inlineStr">
        <is>
          <t>2026-10-02T23:57:31Z</t>
        </is>
      </c>
      <c r="U336" s="2" t="n">
        <v>10</v>
      </c>
      <c r="V336" s="2" t="n"/>
      <c r="W336" s="2" t="inlineStr">
        <is>
          <t>sí</t>
        </is>
      </c>
      <c r="X336" s="2" t="n"/>
      <c r="Y336" s="2" t="n"/>
      <c r="Z336" s="2" t="inlineStr">
        <is>
          <t>sí</t>
        </is>
      </c>
      <c r="AA336" s="2" t="n"/>
      <c r="AB336" s="2" t="n">
        <v>12</v>
      </c>
      <c r="AC336" s="2" t="n"/>
      <c r="AD336" s="2" t="n"/>
      <c r="AE336" s="2" t="n"/>
      <c r="AF336" s="2" t="n"/>
      <c r="AG336" s="2" t="n"/>
      <c r="AH336" s="2" t="n">
        <v>4750</v>
      </c>
      <c r="AI336" s="2" t="n">
        <v>4750</v>
      </c>
      <c r="AJ336" s="2" t="n"/>
      <c r="AK336" s="2" t="n"/>
      <c r="AL336" s="2" t="n"/>
      <c r="AM336" s="2" t="n">
        <v>4</v>
      </c>
      <c r="AN336" s="2" t="n"/>
      <c r="AO336" s="2" t="inlineStr">
        <is>
          <t>2007</t>
        </is>
      </c>
      <c r="AP336" s="2" t="n">
        <v>2007</v>
      </c>
      <c r="AQ336" s="2" t="n"/>
      <c r="AR336" s="2" t="inlineStr">
        <is>
          <t>C</t>
        </is>
      </c>
      <c r="AS336" s="2" t="inlineStr">
        <is>
          <t>anuncio</t>
        </is>
      </c>
      <c r="AT336" s="2" t="n">
        <v>3850</v>
      </c>
      <c r="AU336" s="2" t="n">
        <v>6</v>
      </c>
      <c r="AV336" s="2" t="inlineStr">
        <is>
          <t>modelo+año+km</t>
        </is>
      </c>
      <c r="AW336" s="2" t="n"/>
      <c r="AX336" s="2" t="inlineStr">
        <is>
          <t>vendedor profesional: sin ITP (operación con IVA/REBU, confirmar en factura); gastos de gestión del vendedor no indicados: se suma la tasa DGT; preguntar el precio final</t>
        </is>
      </c>
      <c r="AY336" s="2" t="inlineStr">
        <is>
          <t>RENAULT MÉGANE CABRIO 1.6 16V GASOLINA – 2007 – 182.000 KM
Descapotable elegante, cómodo y perfecto para disfrutar de la conducción a cielo abierto. Un coche ideal para quienes buscan estilo y diversión con un mantenimiento contenido.
DATOS PRINCIPALES
Año: 2007
Kilómetros: 182.000 km
Motor: 1.6 Gasolina
Potencia: 110 CV
Cambio manual
Mantenimiento al día
Listo para circular
EQUIPAMIENTO
Techo rígido retráctil eléctrico
Climatizador automático
Radio CD
Volante multifunción
Ordenador de a bordo
Elevalunas eléctricos
Cierre centralizado
Llantas de aleación
ABS + Control de estabilidad
Dirección asistida
LO MEJOR
Descapotable de techo rígido eléctrico
Motor gasolina fiable y de bajo mantenimiento
Cómodo para el día a día y escapadas
Excelente relación calidad-precio
Vehículo en buen estado general, cuidado y listo para su entrega.</t>
        </is>
      </c>
      <c r="AZ336" s="2" t="inlineStr">
        <is>
          <t>https://www.coches.net/renault-megane-coupecabrio-dynamique-16-16v-2p-gasolina-2007-en-valencia-71662456-covo.aspx (window.__INITIAL_PROPS__.ad) /home/user/Alopecia/buscador-coches/raw/cochesnet/2e16acfbd04d922b.json</t>
        </is>
      </c>
      <c r="BA336" s="3">
        <f>MAX(ANIO_ACTUAL-M336,0)</f>
        <v/>
      </c>
      <c r="BB336" s="4">
        <f>N336/MAX(BA336,0.5)</f>
        <v/>
      </c>
      <c r="BC336" s="4">
        <f>F336</f>
        <v/>
      </c>
      <c r="BD336" s="3">
        <f>BC336&amp;"|"&amp;INT(M336/SEG_ANIO)*SEG_ANIO</f>
        <v/>
      </c>
      <c r="BE336" s="3">
        <f>BD336&amp;"|"&amp;INT(N336/SEG_KM)*SEG_KM</f>
        <v/>
      </c>
      <c r="BF336" s="4">
        <f>COUNTIF($BC$2:$BC$545,BC336)</f>
        <v/>
      </c>
      <c r="BG336" s="4">
        <f>COUNTIF($BD$2:$BD$545,BD336)</f>
        <v/>
      </c>
      <c r="BH336" s="4">
        <f>COUNTIF($BE$2:$BE$545,BE336)</f>
        <v/>
      </c>
      <c r="BI336" s="3">
        <f t="array" ref="BI336">IF(N(AU336)&gt;=MIN_N,AT336,IF(BH336&gt;=MIN_N,MEDIAN(IF($BE$2:$BE$545=BE336,$O$2:$O$545)),IF(BG336&gt;=MIN_N,MEDIAN(IF($BD$2:$BD$545=BD336,$O$2:$O$545)),MEDIAN(IF($BC$2:$BC$545=BC336,$O$2:$O$545)))))</f>
        <v/>
      </c>
      <c r="BJ336" s="3">
        <f>IF(N(AU336)&gt;=MIN_N,"mercado "&amp;AV336,IF(BH336&gt;=MIN_N,"modelo+año+km",IF(BG336&gt;=MIN_N,"modelo+año","modelo")))</f>
        <v/>
      </c>
      <c r="BK336" s="4">
        <f>(BI336-O336)/BI336</f>
        <v/>
      </c>
      <c r="BL336" s="3">
        <f>IF(COUNTIFS(FR_FUEL,K336,FR_YEAR,AP336)&gt;0,1,0)</f>
        <v/>
      </c>
      <c r="BM336" s="3">
        <f>IF(COUNTIFS(FR_FUEL,K336,FR_YEAR,AP336-1)&gt;0,1,0)</f>
        <v/>
      </c>
      <c r="BN336" s="4">
        <f>IF(N(AQ336)&gt;0,AP336*100+AQ336,IF(AND(BL336=1,BM336=1),(AP336-1)*100+1,AP336*100+1))</f>
        <v/>
      </c>
      <c r="BO336" s="3">
        <f>IF(OR(K336="hibrido",K336="glp",K336="gnc",K336="phev"),"ECO",IF(K336="electrico","CERO",IF(K336="gasolina",IF(BN336&gt;=GAS_C_YM,"C",IF(BN336&gt;=GAS_B_YM,"B","A")),IF(K336="diesel",IF(BN336&gt;=DIE_C_YM,"C",IF(BN336&gt;=DIE_B_YM,"B","A")),""))))</f>
        <v/>
      </c>
      <c r="BP336" s="2" t="inlineStr">
        <is>
          <t>C</t>
        </is>
      </c>
      <c r="BQ336" s="4">
        <f>IF(AS336="regla",IF(AND(N(AQ336)=0,BL336=1),"sí","no"),"no")</f>
        <v/>
      </c>
      <c r="BR336" s="3">
        <f>IFERROR(VLOOKUP(F336,MOD_TBL,11,0),IFERROR(VLOOKUP(E336,OCU_TBL,2,0),NEUTRO))</f>
        <v/>
      </c>
      <c r="BS336" s="3">
        <f>SUMIFS(MOT_AJUSTE,MOT_MOTOR,G336,MOT_MARCA,E336,MOT_DESDE,"&lt;="&amp;M336,MOT_HASTA,"&gt;="&amp;M336)+SUMIFS(MOT_AJUSTE,MOT_MOTOR,G336,MOT_MARCA,"(todas)",MOT_DESDE,"&lt;="&amp;M336,MOT_HASTA,"&gt;="&amp;M336)</f>
        <v/>
      </c>
      <c r="BT336" s="3">
        <f>SUMIFS(COMB_AJUSTE,COMB_COMB,K336)</f>
        <v/>
      </c>
      <c r="BU336" s="3">
        <f>COUNTIFS(MOT_MOTOR,G336,MOT_MARCA,E336,MOT_DESDE,"&lt;="&amp;M336,MOT_HASTA,"&gt;="&amp;M336)+COUNTIFS(MOT_MOTOR,G336,MOT_MARCA,"(todas)",MOT_DESDE,"&lt;="&amp;M336,MOT_HASTA,"&gt;="&amp;M336)</f>
        <v/>
      </c>
      <c r="BV336" s="3">
        <f>IF(AND(K336="diesel",BU336=0),MIN(BR336,NEUTRO),BR336)</f>
        <v/>
      </c>
      <c r="BW336" s="4">
        <f>MAX(0,MIN(100,BV336+BS336+BT336))</f>
        <v/>
      </c>
      <c r="BX336" s="3">
        <f>MAX(0,MIN(100,50+BK336*PRECIO_PEND))</f>
        <v/>
      </c>
      <c r="BY336" s="3">
        <f>MAX(0,100*(1-N336/KM_MAX))</f>
        <v/>
      </c>
      <c r="BZ336" s="3">
        <f>IF(BB336&lt;KMA_SOSP,IF(AA336="sí",100,KMA_PEN),IF(BB336&lt;=KMA_IDEAL_MAX,100,MAX(0,100*(KMA_CERO-BB336)/(KMA_CERO-KMA_IDEAL_MAX))))</f>
        <v/>
      </c>
      <c r="CA336" s="3">
        <f>MAX(0,MIN(100,100*(M336-ANIO_MIN)/(ANIO_ACTUAL-ANIO_MIN)))</f>
        <v/>
      </c>
      <c r="CB336" s="3">
        <f>W_KMT*BY336+W_KMA*BZ336+W_EDAD*CA336</f>
        <v/>
      </c>
      <c r="CC336" s="3">
        <f>P_ITV*(V336="sí")+P_LIBRO*(W336="sí")+P_CORREA*(X336="sí")+P_PROP*(Y336=1)+P_GAR*(Z336="sí")+P_FOTOS*MIN(1,N(U336)/FOTOS_OBJ)</f>
        <v/>
      </c>
      <c r="CD336" s="3">
        <f>MAX(0,MIN(100,IFERROR(VLOOKUP(BP336,ETQ_TBL,2,0),0)-IF(BQ336="sí",ETQ_PEN_DUD,IF(AS336="regla",ETQ_PEN_REGLA,0))))</f>
        <v/>
      </c>
      <c r="CE336" s="3">
        <f>NEUTRO</f>
        <v/>
      </c>
      <c r="CF336" s="3">
        <f>IFERROR(VLOOKUP(L336,SEGURO_TBL,3,0),"")</f>
        <v/>
      </c>
      <c r="CG336" s="3">
        <f>IF(CF336="",NEUTRO,MAX(0,MIN(100,100*(SEG_REF_MAX-CF336)/(SEG_REF_MAX-SEG_REF_MIN))))</f>
        <v/>
      </c>
      <c r="CH336" s="3">
        <f>W_CONS*CE336+W_SEG*CG336</f>
        <v/>
      </c>
      <c r="CI336" s="3">
        <f>IF(N(AB336)&gt;0,AB336,IF(AND(R336="profesional",SG_LEGAL_ON=1),GAR_LEGAL,0))</f>
        <v/>
      </c>
      <c r="CJ336" s="3">
        <f>SG_GAR*MIN(1,CI336/SG_GAR_FULL)+SG_AMPL*(AC336="sí")+SG_KMC*(AF336="sí")+SG_REV*(N(AE336)&gt;0)+SG_DEV*MIN(1,N(AG336)/SG_DEV_FULL)+SG_HIST*(W336="sí")</f>
        <v/>
      </c>
      <c r="CK336" s="3">
        <f>IFERROR(VLOOKUP(L336,CARR_PEN_TBL,2,0),0)</f>
        <v/>
      </c>
      <c r="CL336" s="3">
        <f>W_FIAB*BW336+W_PRECIO*BX336+W_KMEDAD*CB336+W_ANUNCIO*CC336+W_USO*CH336+W_SEGURIDAD*CJ336+W_ETIQUETA*CD336-CK336</f>
        <v/>
      </c>
      <c r="CM336" s="4">
        <f>IF(N(I336)&gt;0,I336,IFERROR(ROUND(_xlfn.NUMBERVALUE(LEFT(G336,FIND(" ",G336&amp;" ")-1),".")*1000,0),99999))</f>
        <v/>
      </c>
      <c r="CN336" s="3">
        <f>IF(R336="profesional",0,IF(O336&lt;CUOTA_VALOR_MAX,IF(BA336&gt;ITP_TRAMO_ALTO,SUMIFS(CF_CUOTA,CF_MAS,ITP_TRAMO_ALTO,CF_CCMIN,"&lt;="&amp;CM336,CF_CCMAX,"&gt;="&amp;CM336),IF(BA336&gt;ITP_TRAMO_BAJO,SUMIFS(CF_CUOTA,CF_MAS,ITP_TRAMO_BAJO,CF_CCMIN,"&lt;="&amp;CM336,CF_CCMAX,"&gt;="&amp;CM336),O336*ITP_TIPO)),O336*ITP_TIPO))</f>
        <v/>
      </c>
      <c r="CO336" s="4">
        <f>IF(R336="profesional",N(AK336),0)</f>
        <v/>
      </c>
      <c r="CP336" s="3">
        <f>IF(AND(R336="profesional",ISNUMBER(AK336),AL336="sí"),0,TASA_DGT)</f>
        <v/>
      </c>
      <c r="CQ336" s="3">
        <f>INFORME_DGT</f>
        <v/>
      </c>
      <c r="CR336" s="4">
        <f>O336+CO336+CN336+CP336+CQ336</f>
        <v/>
      </c>
      <c r="CS336" s="4">
        <f>CR336+N(CF336)</f>
        <v/>
      </c>
      <c r="CT336" s="3">
        <f>IF(CR336&lt;=TOTAL_MAX,"sí",IF(CR336&lt;=TOTAL_MAX+MARGEN_NEG,"negociar","no"))</f>
        <v/>
      </c>
      <c r="CU336" s="4">
        <f>IF(CT336&lt;&gt;"no",COUNTIFS($CT$2:$CT$545,"&lt;&gt;no",$CL$2:$CL$545,"&gt;"&amp;CL336)+COUNTIFS($CT$2:CT336,"&lt;&gt;no",$CL$2:CL336,CL336),"")</f>
        <v/>
      </c>
    </row>
    <row r="337">
      <c r="A337" s="2" t="inlineStr">
        <is>
          <t>cochesnet:71827626</t>
        </is>
      </c>
      <c r="B337" s="2" t="inlineStr">
        <is>
          <t>cochesnet</t>
        </is>
      </c>
      <c r="C337" s="2" t="inlineStr">
        <is>
          <t>https://www.coches.net/renault-clio-rip-curl-15dci70-eco2-5p-diesel-2007-en-valencia-71827626-covo.aspx</t>
        </is>
      </c>
      <c r="D337" s="2" t="inlineStr">
        <is>
          <t>RENAULT Clio Rip Curl 1.5DCI70 eco2</t>
        </is>
      </c>
      <c r="E337" s="2" t="inlineStr">
        <is>
          <t>Renault</t>
        </is>
      </c>
      <c r="F337" s="2" t="inlineStr">
        <is>
          <t>Renault Clio</t>
        </is>
      </c>
      <c r="G337" s="2" t="inlineStr">
        <is>
          <t>1.5</t>
        </is>
      </c>
      <c r="H337" s="2" t="inlineStr">
        <is>
          <t>Rip Curl 1.5DCI70 eco2</t>
        </is>
      </c>
      <c r="I337" s="2" t="n"/>
      <c r="J337" s="2" t="n"/>
      <c r="K337" s="2" t="inlineStr">
        <is>
          <t>diesel</t>
        </is>
      </c>
      <c r="L337" s="2" t="inlineStr">
        <is>
          <t>utilitario</t>
        </is>
      </c>
      <c r="M337" s="2" t="n">
        <v>2007</v>
      </c>
      <c r="N337" s="2" t="n">
        <v>111800</v>
      </c>
      <c r="O337" s="2" t="n">
        <v>3500</v>
      </c>
      <c r="P337" s="2" t="inlineStr">
        <is>
          <t>manual</t>
        </is>
      </c>
      <c r="Q337" s="2" t="inlineStr">
        <is>
          <t>no</t>
        </is>
      </c>
      <c r="R337" s="2" t="inlineStr">
        <is>
          <t>particular</t>
        </is>
      </c>
      <c r="S337" s="2" t="inlineStr">
        <is>
          <t>Valencia</t>
        </is>
      </c>
      <c r="T337" s="2" t="inlineStr">
        <is>
          <t>2026-10-25T12:24:51Z</t>
        </is>
      </c>
      <c r="U337" s="2" t="n">
        <v>7</v>
      </c>
      <c r="V337" s="2" t="n"/>
      <c r="W337" s="2" t="n"/>
      <c r="X337" s="2" t="n"/>
      <c r="Y337" s="2" t="n">
        <v>1</v>
      </c>
      <c r="Z337" s="2" t="inlineStr">
        <is>
          <t>no</t>
        </is>
      </c>
      <c r="AA337" s="2" t="n"/>
      <c r="AB337" s="2" t="n"/>
      <c r="AC337" s="2" t="n"/>
      <c r="AD337" s="2" t="n"/>
      <c r="AE337" s="2" t="n"/>
      <c r="AF337" s="2" t="n"/>
      <c r="AG337" s="2" t="n"/>
      <c r="AH337" s="2" t="n">
        <v>3500</v>
      </c>
      <c r="AI337" s="2" t="n"/>
      <c r="AJ337" s="2" t="n"/>
      <c r="AK337" s="2" t="n"/>
      <c r="AL337" s="2" t="n"/>
      <c r="AM337" s="2" t="n">
        <v>0.1</v>
      </c>
      <c r="AN337" s="2" t="n"/>
      <c r="AO337" s="2" t="inlineStr">
        <is>
          <t>05/2007</t>
        </is>
      </c>
      <c r="AP337" s="2" t="n">
        <v>2007</v>
      </c>
      <c r="AQ337" s="2" t="n">
        <v>5</v>
      </c>
      <c r="AR337" s="2" t="inlineStr">
        <is>
          <t>ECO</t>
        </is>
      </c>
      <c r="AS337" s="2" t="inlineStr">
        <is>
          <t>anuncio</t>
        </is>
      </c>
      <c r="AT337" s="2" t="n">
        <v>3500</v>
      </c>
      <c r="AU337" s="2" t="n">
        <v>7</v>
      </c>
      <c r="AV337" s="2" t="inlineStr">
        <is>
          <t>modelo+año+km</t>
        </is>
      </c>
      <c r="AW337" s="2" t="n"/>
      <c r="AX337" s="2" t="inlineStr">
        <is>
          <t>cuota fija ITP: &gt;12 años, hasta 1.500 cc; diésel: motor sin fuente de fiabilidad (fiabilidad limitada a neutra)</t>
        </is>
      </c>
      <c r="AY337" s="2" t="inlineStr">
        <is>
          <t>Itv y revision recien pasada. Consumo minimo. Un solo propietario señora de 79 años. Por fuera tiene golpecitos propios de la edad del conductor pero sin golpes grandes. La tapiceria y salpicadero perfecto excepto un lado asiento del conductor que por el uso. llantas, elevalunas eléctrico, cierre centralizado, aire acondicionado.</t>
        </is>
      </c>
      <c r="AZ337" s="2" t="inlineStr">
        <is>
          <t>https://www.coches.net/renault-clio-rip-curl-15dci70-eco2-5p-diesel-2007-en-valencia-71827626-covo.aspx (window.__INITIAL_PROPS__.ad) /home/user/Alopecia/buscador-coches/raw/cochesnet/10e209fd0084eeaa.json</t>
        </is>
      </c>
      <c r="BA337" s="3">
        <f>MAX(ANIO_ACTUAL-M337,0)</f>
        <v/>
      </c>
      <c r="BB337" s="4">
        <f>N337/MAX(BA337,0.5)</f>
        <v/>
      </c>
      <c r="BC337" s="4">
        <f>F337</f>
        <v/>
      </c>
      <c r="BD337" s="3">
        <f>BC337&amp;"|"&amp;INT(M337/SEG_ANIO)*SEG_ANIO</f>
        <v/>
      </c>
      <c r="BE337" s="3">
        <f>BD337&amp;"|"&amp;INT(N337/SEG_KM)*SEG_KM</f>
        <v/>
      </c>
      <c r="BF337" s="4">
        <f>COUNTIF($BC$2:$BC$545,BC337)</f>
        <v/>
      </c>
      <c r="BG337" s="4">
        <f>COUNTIF($BD$2:$BD$545,BD337)</f>
        <v/>
      </c>
      <c r="BH337" s="4">
        <f>COUNTIF($BE$2:$BE$545,BE337)</f>
        <v/>
      </c>
      <c r="BI337" s="3">
        <f t="array" ref="BI337">IF(N(AU337)&gt;=MIN_N,AT337,IF(BH337&gt;=MIN_N,MEDIAN(IF($BE$2:$BE$545=BE337,$O$2:$O$545)),IF(BG337&gt;=MIN_N,MEDIAN(IF($BD$2:$BD$545=BD337,$O$2:$O$545)),MEDIAN(IF($BC$2:$BC$545=BC337,$O$2:$O$545)))))</f>
        <v/>
      </c>
      <c r="BJ337" s="3">
        <f>IF(N(AU337)&gt;=MIN_N,"mercado "&amp;AV337,IF(BH337&gt;=MIN_N,"modelo+año+km",IF(BG337&gt;=MIN_N,"modelo+año","modelo")))</f>
        <v/>
      </c>
      <c r="BK337" s="4">
        <f>(BI337-O337)/BI337</f>
        <v/>
      </c>
      <c r="BL337" s="3">
        <f>IF(COUNTIFS(FR_FUEL,K337,FR_YEAR,AP337)&gt;0,1,0)</f>
        <v/>
      </c>
      <c r="BM337" s="3">
        <f>IF(COUNTIFS(FR_FUEL,K337,FR_YEAR,AP337-1)&gt;0,1,0)</f>
        <v/>
      </c>
      <c r="BN337" s="4">
        <f>IF(N(AQ337)&gt;0,AP337*100+AQ337,IF(AND(BL337=1,BM337=1),(AP337-1)*100+1,AP337*100+1))</f>
        <v/>
      </c>
      <c r="BO337" s="3">
        <f>IF(OR(K337="hibrido",K337="glp",K337="gnc",K337="phev"),"ECO",IF(K337="electrico","CERO",IF(K337="gasolina",IF(BN337&gt;=GAS_C_YM,"C",IF(BN337&gt;=GAS_B_YM,"B","A")),IF(K337="diesel",IF(BN337&gt;=DIE_C_YM,"C",IF(BN337&gt;=DIE_B_YM,"B","A")),""))))</f>
        <v/>
      </c>
      <c r="BP337" s="2" t="inlineStr">
        <is>
          <t>ECO</t>
        </is>
      </c>
      <c r="BQ337" s="4">
        <f>IF(AS337="regla",IF(AND(N(AQ337)=0,BL337=1),"sí","no"),"no")</f>
        <v/>
      </c>
      <c r="BR337" s="3">
        <f>IFERROR(VLOOKUP(F337,MOD_TBL,11,0),IFERROR(VLOOKUP(E337,OCU_TBL,2,0),NEUTRO))</f>
        <v/>
      </c>
      <c r="BS337" s="3">
        <f>SUMIFS(MOT_AJUSTE,MOT_MOTOR,G337,MOT_MARCA,E337,MOT_DESDE,"&lt;="&amp;M337,MOT_HASTA,"&gt;="&amp;M337)+SUMIFS(MOT_AJUSTE,MOT_MOTOR,G337,MOT_MARCA,"(todas)",MOT_DESDE,"&lt;="&amp;M337,MOT_HASTA,"&gt;="&amp;M337)</f>
        <v/>
      </c>
      <c r="BT337" s="3">
        <f>SUMIFS(COMB_AJUSTE,COMB_COMB,K337)</f>
        <v/>
      </c>
      <c r="BU337" s="3">
        <f>COUNTIFS(MOT_MOTOR,G337,MOT_MARCA,E337,MOT_DESDE,"&lt;="&amp;M337,MOT_HASTA,"&gt;="&amp;M337)+COUNTIFS(MOT_MOTOR,G337,MOT_MARCA,"(todas)",MOT_DESDE,"&lt;="&amp;M337,MOT_HASTA,"&gt;="&amp;M337)</f>
        <v/>
      </c>
      <c r="BV337" s="3">
        <f>IF(AND(K337="diesel",BU337=0),MIN(BR337,NEUTRO),BR337)</f>
        <v/>
      </c>
      <c r="BW337" s="4">
        <f>MAX(0,MIN(100,BV337+BS337+BT337))</f>
        <v/>
      </c>
      <c r="BX337" s="3">
        <f>MAX(0,MIN(100,50+BK337*PRECIO_PEND))</f>
        <v/>
      </c>
      <c r="BY337" s="3">
        <f>MAX(0,100*(1-N337/KM_MAX))</f>
        <v/>
      </c>
      <c r="BZ337" s="3">
        <f>IF(BB337&lt;KMA_SOSP,IF(AA337="sí",100,KMA_PEN),IF(BB337&lt;=KMA_IDEAL_MAX,100,MAX(0,100*(KMA_CERO-BB337)/(KMA_CERO-KMA_IDEAL_MAX))))</f>
        <v/>
      </c>
      <c r="CA337" s="3">
        <f>MAX(0,MIN(100,100*(M337-ANIO_MIN)/(ANIO_ACTUAL-ANIO_MIN)))</f>
        <v/>
      </c>
      <c r="CB337" s="3">
        <f>W_KMT*BY337+W_KMA*BZ337+W_EDAD*CA337</f>
        <v/>
      </c>
      <c r="CC337" s="3">
        <f>P_ITV*(V337="sí")+P_LIBRO*(W337="sí")+P_CORREA*(X337="sí")+P_PROP*(Y337=1)+P_GAR*(Z337="sí")+P_FOTOS*MIN(1,N(U337)/FOTOS_OBJ)</f>
        <v/>
      </c>
      <c r="CD337" s="3">
        <f>MAX(0,MIN(100,IFERROR(VLOOKUP(BP337,ETQ_TBL,2,0),0)-IF(BQ337="sí",ETQ_PEN_DUD,IF(AS337="regla",ETQ_PEN_REGLA,0))))</f>
        <v/>
      </c>
      <c r="CE337" s="3">
        <f>NEUTRO</f>
        <v/>
      </c>
      <c r="CF337" s="3">
        <f>IFERROR(VLOOKUP(L337,SEGURO_TBL,3,0),"")</f>
        <v/>
      </c>
      <c r="CG337" s="3">
        <f>IF(CF337="",NEUTRO,MAX(0,MIN(100,100*(SEG_REF_MAX-CF337)/(SEG_REF_MAX-SEG_REF_MIN))))</f>
        <v/>
      </c>
      <c r="CH337" s="3">
        <f>W_CONS*CE337+W_SEG*CG337</f>
        <v/>
      </c>
      <c r="CI337" s="3">
        <f>IF(N(AB337)&gt;0,AB337,IF(AND(R337="profesional",SG_LEGAL_ON=1),GAR_LEGAL,0))</f>
        <v/>
      </c>
      <c r="CJ337" s="3">
        <f>SG_GAR*MIN(1,CI337/SG_GAR_FULL)+SG_AMPL*(AC337="sí")+SG_KMC*(AF337="sí")+SG_REV*(N(AE337)&gt;0)+SG_DEV*MIN(1,N(AG337)/SG_DEV_FULL)+SG_HIST*(W337="sí")</f>
        <v/>
      </c>
      <c r="CK337" s="3">
        <f>IFERROR(VLOOKUP(L337,CARR_PEN_TBL,2,0),0)</f>
        <v/>
      </c>
      <c r="CL337" s="3">
        <f>W_FIAB*BW337+W_PRECIO*BX337+W_KMEDAD*CB337+W_ANUNCIO*CC337+W_USO*CH337+W_SEGURIDAD*CJ337+W_ETIQUETA*CD337-CK337</f>
        <v/>
      </c>
      <c r="CM337" s="4">
        <f>IF(N(I337)&gt;0,I337,IFERROR(ROUND(_xlfn.NUMBERVALUE(LEFT(G337,FIND(" ",G337&amp;" ")-1),".")*1000,0),99999))</f>
        <v/>
      </c>
      <c r="CN337" s="3">
        <f>IF(R337="profesional",0,IF(O337&lt;CUOTA_VALOR_MAX,IF(BA337&gt;ITP_TRAMO_ALTO,SUMIFS(CF_CUOTA,CF_MAS,ITP_TRAMO_ALTO,CF_CCMIN,"&lt;="&amp;CM337,CF_CCMAX,"&gt;="&amp;CM337),IF(BA337&gt;ITP_TRAMO_BAJO,SUMIFS(CF_CUOTA,CF_MAS,ITP_TRAMO_BAJO,CF_CCMIN,"&lt;="&amp;CM337,CF_CCMAX,"&gt;="&amp;CM337),O337*ITP_TIPO)),O337*ITP_TIPO))</f>
        <v/>
      </c>
      <c r="CO337" s="4">
        <f>IF(R337="profesional",N(AK337),0)</f>
        <v/>
      </c>
      <c r="CP337" s="3">
        <f>IF(AND(R337="profesional",ISNUMBER(AK337),AL337="sí"),0,TASA_DGT)</f>
        <v/>
      </c>
      <c r="CQ337" s="3">
        <f>INFORME_DGT</f>
        <v/>
      </c>
      <c r="CR337" s="4">
        <f>O337+CO337+CN337+CP337+CQ337</f>
        <v/>
      </c>
      <c r="CS337" s="4">
        <f>CR337+N(CF337)</f>
        <v/>
      </c>
      <c r="CT337" s="3">
        <f>IF(CR337&lt;=TOTAL_MAX,"sí",IF(CR337&lt;=TOTAL_MAX+MARGEN_NEG,"negociar","no"))</f>
        <v/>
      </c>
      <c r="CU337" s="4">
        <f>IF(CT337&lt;&gt;"no",COUNTIFS($CT$2:$CT$545,"&lt;&gt;no",$CL$2:$CL$545,"&gt;"&amp;CL337)+COUNTIFS($CT$2:CT337,"&lt;&gt;no",$CL$2:CL337,CL337),"")</f>
        <v/>
      </c>
    </row>
    <row r="338">
      <c r="A338" s="2" t="inlineStr">
        <is>
          <t>cochesnet:71693535</t>
        </is>
      </c>
      <c r="B338" s="2" t="inlineStr">
        <is>
          <t>cochesnet</t>
        </is>
      </c>
      <c r="C338" s="2" t="inlineStr">
        <is>
          <t>https://www.coches.net/renault-clio-expression-12-16v-5p-gasolina-2007-en-valencia-71693535-covo.aspx</t>
        </is>
      </c>
      <c r="D338" s="2" t="inlineStr">
        <is>
          <t>RENAULT Clio Expression 1.2 16v</t>
        </is>
      </c>
      <c r="E338" s="2" t="inlineStr">
        <is>
          <t>Renault</t>
        </is>
      </c>
      <c r="F338" s="2" t="inlineStr">
        <is>
          <t>Renault Clio</t>
        </is>
      </c>
      <c r="G338" s="2" t="inlineStr">
        <is>
          <t>1.2</t>
        </is>
      </c>
      <c r="H338" s="2" t="inlineStr">
        <is>
          <t>Expression 1.2 16v</t>
        </is>
      </c>
      <c r="I338" s="2" t="n"/>
      <c r="J338" s="2" t="n"/>
      <c r="K338" s="2" t="inlineStr">
        <is>
          <t>gasolina</t>
        </is>
      </c>
      <c r="L338" s="2" t="inlineStr">
        <is>
          <t>utilitario</t>
        </is>
      </c>
      <c r="M338" s="2" t="n">
        <v>2007</v>
      </c>
      <c r="N338" s="2" t="n">
        <v>97000</v>
      </c>
      <c r="O338" s="2" t="n">
        <v>4000</v>
      </c>
      <c r="P338" s="2" t="inlineStr">
        <is>
          <t>manual</t>
        </is>
      </c>
      <c r="Q338" s="2" t="inlineStr">
        <is>
          <t>no</t>
        </is>
      </c>
      <c r="R338" s="2" t="inlineStr">
        <is>
          <t>profesional</t>
        </is>
      </c>
      <c r="S338" s="2" t="inlineStr">
        <is>
          <t>Beniparrell</t>
        </is>
      </c>
      <c r="T338" s="2" t="inlineStr">
        <is>
          <t>2026-10-07T12:15:49Z</t>
        </is>
      </c>
      <c r="U338" s="2" t="n">
        <v>14</v>
      </c>
      <c r="V338" s="2" t="n"/>
      <c r="W338" s="2" t="n"/>
      <c r="X338" s="2" t="n"/>
      <c r="Y338" s="2" t="n"/>
      <c r="Z338" s="2" t="inlineStr">
        <is>
          <t>sí</t>
        </is>
      </c>
      <c r="AA338" s="2" t="n"/>
      <c r="AB338" s="2" t="n">
        <v>12</v>
      </c>
      <c r="AC338" s="2" t="n"/>
      <c r="AD338" s="2" t="n"/>
      <c r="AE338" s="2" t="n"/>
      <c r="AF338" s="2" t="n"/>
      <c r="AG338" s="2" t="n"/>
      <c r="AH338" s="2" t="n">
        <v>4000</v>
      </c>
      <c r="AI338" s="2" t="n"/>
      <c r="AJ338" s="2" t="n"/>
      <c r="AK338" s="2" t="n"/>
      <c r="AL338" s="2" t="n"/>
      <c r="AM338" s="2" t="n">
        <v>10.2</v>
      </c>
      <c r="AN338" s="2" t="n"/>
      <c r="AO338" s="2" t="inlineStr">
        <is>
          <t>2007</t>
        </is>
      </c>
      <c r="AP338" s="2" t="n">
        <v>2007</v>
      </c>
      <c r="AQ338" s="2" t="n"/>
      <c r="AR338" s="2" t="inlineStr">
        <is>
          <t>C</t>
        </is>
      </c>
      <c r="AS338" s="2" t="inlineStr">
        <is>
          <t>anuncio</t>
        </is>
      </c>
      <c r="AT338" s="2" t="n">
        <v>3500</v>
      </c>
      <c r="AU338" s="2" t="n">
        <v>22</v>
      </c>
      <c r="AV338" s="2" t="inlineStr">
        <is>
          <t>modelo+año</t>
        </is>
      </c>
      <c r="AW338" s="2" t="n"/>
      <c r="AX338" s="2" t="inlineStr">
        <is>
          <t>vendedor profesional: sin ITP (operación con IVA/REBU, confirmar en factura); gastos de gestión del vendedor no indicados: se suma la tasa DGT; preguntar el precio final</t>
        </is>
      </c>
      <c r="AY338" s="2" t="inlineStr">
        <is>
          <t>Este Renault Clio Expression cuenta con dirección asistida eléctrica progresiva, climatización con filtro de partículas y sistema de audio completo con control remoto en volante para máxima comodidad. Equipado con control de crucero, ordenador de viaje multifunción, elevalunas eléctricos delanteros y retrovisores exteriores eléctricos desempañables. Dispone de asientos ajustables en altura con reposacabezas regulables, cristales tintados y limpiaparabrisas con intermitencia variable. Etiqueta medioambiental C que facilita acceso a zonas de circulación restringida en núcleos urbanos.GARANTÍA 12 meses (cobertura de 25 componentes del vehículo )cobertura de reparación hasta 2.000e en cualquier taller)</t>
        </is>
      </c>
      <c r="AZ338" s="2" t="inlineStr">
        <is>
          <t>https://www.coches.net/renault-clio-expression-12-16v-5p-gasolina-2007-en-valencia-71693535-covo.aspx (window.__INITIAL_PROPS__.ad) /home/user/Alopecia/buscador-coches/raw/cochesnet/d9d8e1e1790f9a56.json</t>
        </is>
      </c>
      <c r="BA338" s="3">
        <f>MAX(ANIO_ACTUAL-M338,0)</f>
        <v/>
      </c>
      <c r="BB338" s="4">
        <f>N338/MAX(BA338,0.5)</f>
        <v/>
      </c>
      <c r="BC338" s="4">
        <f>F338</f>
        <v/>
      </c>
      <c r="BD338" s="3">
        <f>BC338&amp;"|"&amp;INT(M338/SEG_ANIO)*SEG_ANIO</f>
        <v/>
      </c>
      <c r="BE338" s="3">
        <f>BD338&amp;"|"&amp;INT(N338/SEG_KM)*SEG_KM</f>
        <v/>
      </c>
      <c r="BF338" s="4">
        <f>COUNTIF($BC$2:$BC$545,BC338)</f>
        <v/>
      </c>
      <c r="BG338" s="4">
        <f>COUNTIF($BD$2:$BD$545,BD338)</f>
        <v/>
      </c>
      <c r="BH338" s="4">
        <f>COUNTIF($BE$2:$BE$545,BE338)</f>
        <v/>
      </c>
      <c r="BI338" s="3">
        <f t="array" ref="BI338">IF(N(AU338)&gt;=MIN_N,AT338,IF(BH338&gt;=MIN_N,MEDIAN(IF($BE$2:$BE$545=BE338,$O$2:$O$545)),IF(BG338&gt;=MIN_N,MEDIAN(IF($BD$2:$BD$545=BD338,$O$2:$O$545)),MEDIAN(IF($BC$2:$BC$545=BC338,$O$2:$O$545)))))</f>
        <v/>
      </c>
      <c r="BJ338" s="3">
        <f>IF(N(AU338)&gt;=MIN_N,"mercado "&amp;AV338,IF(BH338&gt;=MIN_N,"modelo+año+km",IF(BG338&gt;=MIN_N,"modelo+año","modelo")))</f>
        <v/>
      </c>
      <c r="BK338" s="4">
        <f>(BI338-O338)/BI338</f>
        <v/>
      </c>
      <c r="BL338" s="3">
        <f>IF(COUNTIFS(FR_FUEL,K338,FR_YEAR,AP338)&gt;0,1,0)</f>
        <v/>
      </c>
      <c r="BM338" s="3">
        <f>IF(COUNTIFS(FR_FUEL,K338,FR_YEAR,AP338-1)&gt;0,1,0)</f>
        <v/>
      </c>
      <c r="BN338" s="4">
        <f>IF(N(AQ338)&gt;0,AP338*100+AQ338,IF(AND(BL338=1,BM338=1),(AP338-1)*100+1,AP338*100+1))</f>
        <v/>
      </c>
      <c r="BO338" s="3">
        <f>IF(OR(K338="hibrido",K338="glp",K338="gnc",K338="phev"),"ECO",IF(K338="electrico","CERO",IF(K338="gasolina",IF(BN338&gt;=GAS_C_YM,"C",IF(BN338&gt;=GAS_B_YM,"B","A")),IF(K338="diesel",IF(BN338&gt;=DIE_C_YM,"C",IF(BN338&gt;=DIE_B_YM,"B","A")),""))))</f>
        <v/>
      </c>
      <c r="BP338" s="2" t="inlineStr">
        <is>
          <t>C</t>
        </is>
      </c>
      <c r="BQ338" s="4">
        <f>IF(AS338="regla",IF(AND(N(AQ338)=0,BL338=1),"sí","no"),"no")</f>
        <v/>
      </c>
      <c r="BR338" s="3">
        <f>IFERROR(VLOOKUP(F338,MOD_TBL,11,0),IFERROR(VLOOKUP(E338,OCU_TBL,2,0),NEUTRO))</f>
        <v/>
      </c>
      <c r="BS338" s="3">
        <f>SUMIFS(MOT_AJUSTE,MOT_MOTOR,G338,MOT_MARCA,E338,MOT_DESDE,"&lt;="&amp;M338,MOT_HASTA,"&gt;="&amp;M338)+SUMIFS(MOT_AJUSTE,MOT_MOTOR,G338,MOT_MARCA,"(todas)",MOT_DESDE,"&lt;="&amp;M338,MOT_HASTA,"&gt;="&amp;M338)</f>
        <v/>
      </c>
      <c r="BT338" s="3">
        <f>SUMIFS(COMB_AJUSTE,COMB_COMB,K338)</f>
        <v/>
      </c>
      <c r="BU338" s="3">
        <f>COUNTIFS(MOT_MOTOR,G338,MOT_MARCA,E338,MOT_DESDE,"&lt;="&amp;M338,MOT_HASTA,"&gt;="&amp;M338)+COUNTIFS(MOT_MOTOR,G338,MOT_MARCA,"(todas)",MOT_DESDE,"&lt;="&amp;M338,MOT_HASTA,"&gt;="&amp;M338)</f>
        <v/>
      </c>
      <c r="BV338" s="3">
        <f>IF(AND(K338="diesel",BU338=0),MIN(BR338,NEUTRO),BR338)</f>
        <v/>
      </c>
      <c r="BW338" s="4">
        <f>MAX(0,MIN(100,BV338+BS338+BT338))</f>
        <v/>
      </c>
      <c r="BX338" s="3">
        <f>MAX(0,MIN(100,50+BK338*PRECIO_PEND))</f>
        <v/>
      </c>
      <c r="BY338" s="3">
        <f>MAX(0,100*(1-N338/KM_MAX))</f>
        <v/>
      </c>
      <c r="BZ338" s="3">
        <f>IF(BB338&lt;KMA_SOSP,IF(AA338="sí",100,KMA_PEN),IF(BB338&lt;=KMA_IDEAL_MAX,100,MAX(0,100*(KMA_CERO-BB338)/(KMA_CERO-KMA_IDEAL_MAX))))</f>
        <v/>
      </c>
      <c r="CA338" s="3">
        <f>MAX(0,MIN(100,100*(M338-ANIO_MIN)/(ANIO_ACTUAL-ANIO_MIN)))</f>
        <v/>
      </c>
      <c r="CB338" s="3">
        <f>W_KMT*BY338+W_KMA*BZ338+W_EDAD*CA338</f>
        <v/>
      </c>
      <c r="CC338" s="3">
        <f>P_ITV*(V338="sí")+P_LIBRO*(W338="sí")+P_CORREA*(X338="sí")+P_PROP*(Y338=1)+P_GAR*(Z338="sí")+P_FOTOS*MIN(1,N(U338)/FOTOS_OBJ)</f>
        <v/>
      </c>
      <c r="CD338" s="3">
        <f>MAX(0,MIN(100,IFERROR(VLOOKUP(BP338,ETQ_TBL,2,0),0)-IF(BQ338="sí",ETQ_PEN_DUD,IF(AS338="regla",ETQ_PEN_REGLA,0))))</f>
        <v/>
      </c>
      <c r="CE338" s="3">
        <f>NEUTRO</f>
        <v/>
      </c>
      <c r="CF338" s="3">
        <f>IFERROR(VLOOKUP(L338,SEGURO_TBL,3,0),"")</f>
        <v/>
      </c>
      <c r="CG338" s="3">
        <f>IF(CF338="",NEUTRO,MAX(0,MIN(100,100*(SEG_REF_MAX-CF338)/(SEG_REF_MAX-SEG_REF_MIN))))</f>
        <v/>
      </c>
      <c r="CH338" s="3">
        <f>W_CONS*CE338+W_SEG*CG338</f>
        <v/>
      </c>
      <c r="CI338" s="3">
        <f>IF(N(AB338)&gt;0,AB338,IF(AND(R338="profesional",SG_LEGAL_ON=1),GAR_LEGAL,0))</f>
        <v/>
      </c>
      <c r="CJ338" s="3">
        <f>SG_GAR*MIN(1,CI338/SG_GAR_FULL)+SG_AMPL*(AC338="sí")+SG_KMC*(AF338="sí")+SG_REV*(N(AE338)&gt;0)+SG_DEV*MIN(1,N(AG338)/SG_DEV_FULL)+SG_HIST*(W338="sí")</f>
        <v/>
      </c>
      <c r="CK338" s="3">
        <f>IFERROR(VLOOKUP(L338,CARR_PEN_TBL,2,0),0)</f>
        <v/>
      </c>
      <c r="CL338" s="3">
        <f>W_FIAB*BW338+W_PRECIO*BX338+W_KMEDAD*CB338+W_ANUNCIO*CC338+W_USO*CH338+W_SEGURIDAD*CJ338+W_ETIQUETA*CD338-CK338</f>
        <v/>
      </c>
      <c r="CM338" s="4">
        <f>IF(N(I338)&gt;0,I338,IFERROR(ROUND(_xlfn.NUMBERVALUE(LEFT(G338,FIND(" ",G338&amp;" ")-1),".")*1000,0),99999))</f>
        <v/>
      </c>
      <c r="CN338" s="3">
        <f>IF(R338="profesional",0,IF(O338&lt;CUOTA_VALOR_MAX,IF(BA338&gt;ITP_TRAMO_ALTO,SUMIFS(CF_CUOTA,CF_MAS,ITP_TRAMO_ALTO,CF_CCMIN,"&lt;="&amp;CM338,CF_CCMAX,"&gt;="&amp;CM338),IF(BA338&gt;ITP_TRAMO_BAJO,SUMIFS(CF_CUOTA,CF_MAS,ITP_TRAMO_BAJO,CF_CCMIN,"&lt;="&amp;CM338,CF_CCMAX,"&gt;="&amp;CM338),O338*ITP_TIPO)),O338*ITP_TIPO))</f>
        <v/>
      </c>
      <c r="CO338" s="4">
        <f>IF(R338="profesional",N(AK338),0)</f>
        <v/>
      </c>
      <c r="CP338" s="3">
        <f>IF(AND(R338="profesional",ISNUMBER(AK338),AL338="sí"),0,TASA_DGT)</f>
        <v/>
      </c>
      <c r="CQ338" s="3">
        <f>INFORME_DGT</f>
        <v/>
      </c>
      <c r="CR338" s="4">
        <f>O338+CO338+CN338+CP338+CQ338</f>
        <v/>
      </c>
      <c r="CS338" s="4">
        <f>CR338+N(CF338)</f>
        <v/>
      </c>
      <c r="CT338" s="3">
        <f>IF(CR338&lt;=TOTAL_MAX,"sí",IF(CR338&lt;=TOTAL_MAX+MARGEN_NEG,"negociar","no"))</f>
        <v/>
      </c>
      <c r="CU338" s="4">
        <f>IF(CT338&lt;&gt;"no",COUNTIFS($CT$2:$CT$545,"&lt;&gt;no",$CL$2:$CL$545,"&gt;"&amp;CL338)+COUNTIFS($CT$2:CT338,"&lt;&gt;no",$CL$2:CL338,CL338),"")</f>
        <v/>
      </c>
    </row>
    <row r="339">
      <c r="A339" s="2" t="inlineStr">
        <is>
          <t>cochesnet:71728280</t>
        </is>
      </c>
      <c r="B339" s="2" t="inlineStr">
        <is>
          <t>cochesnet</t>
        </is>
      </c>
      <c r="C339" s="2" t="inlineStr">
        <is>
          <t>https://www.coches.net/renault-clio-luxe-privilege-15-dci105-5p-diesel-2006-en-valencia-71728280-covo.aspx</t>
        </is>
      </c>
      <c r="D339" s="2" t="inlineStr">
        <is>
          <t>RENAULT Clio Luxe Privilege 1.5 DCI105</t>
        </is>
      </c>
      <c r="E339" s="2" t="inlineStr">
        <is>
          <t>Renault</t>
        </is>
      </c>
      <c r="F339" s="2" t="inlineStr">
        <is>
          <t>Renault Clio</t>
        </is>
      </c>
      <c r="G339" s="2" t="inlineStr">
        <is>
          <t>1.5</t>
        </is>
      </c>
      <c r="H339" s="2" t="inlineStr">
        <is>
          <t>Luxe Privilege 1.5 DCI105</t>
        </is>
      </c>
      <c r="I339" s="2" t="n"/>
      <c r="J339" s="2" t="n"/>
      <c r="K339" s="2" t="inlineStr">
        <is>
          <t>diesel</t>
        </is>
      </c>
      <c r="L339" s="2" t="inlineStr">
        <is>
          <t>utilitario</t>
        </is>
      </c>
      <c r="M339" s="2" t="n">
        <v>2006</v>
      </c>
      <c r="N339" s="2" t="n">
        <v>205300</v>
      </c>
      <c r="O339" s="2" t="n">
        <v>2900</v>
      </c>
      <c r="P339" s="2" t="inlineStr">
        <is>
          <t>manual</t>
        </is>
      </c>
      <c r="Q339" s="2" t="inlineStr">
        <is>
          <t>no</t>
        </is>
      </c>
      <c r="R339" s="2" t="inlineStr">
        <is>
          <t>particular</t>
        </is>
      </c>
      <c r="S339" s="2" t="inlineStr">
        <is>
          <t>Valencia</t>
        </is>
      </c>
      <c r="T339" s="2" t="inlineStr">
        <is>
          <t>2026-10-12T19:35:02Z</t>
        </is>
      </c>
      <c r="U339" s="2" t="n">
        <v>13</v>
      </c>
      <c r="V339" s="2" t="n"/>
      <c r="W339" s="2" t="n"/>
      <c r="X339" s="2" t="n"/>
      <c r="Y339" s="2" t="n"/>
      <c r="Z339" s="2" t="inlineStr">
        <is>
          <t>no</t>
        </is>
      </c>
      <c r="AA339" s="2" t="n"/>
      <c r="AB339" s="2" t="n"/>
      <c r="AC339" s="2" t="n"/>
      <c r="AD339" s="2" t="n"/>
      <c r="AE339" s="2" t="n"/>
      <c r="AF339" s="2" t="n"/>
      <c r="AG339" s="2" t="n"/>
      <c r="AH339" s="2" t="n">
        <v>2900</v>
      </c>
      <c r="AI339" s="2" t="n"/>
      <c r="AJ339" s="2" t="n"/>
      <c r="AK339" s="2" t="n"/>
      <c r="AL339" s="2" t="n"/>
      <c r="AM339" s="2" t="n">
        <v>0.1</v>
      </c>
      <c r="AN339" s="2" t="n"/>
      <c r="AO339" s="2" t="inlineStr">
        <is>
          <t>11/2006</t>
        </is>
      </c>
      <c r="AP339" s="2" t="n">
        <v>2006</v>
      </c>
      <c r="AQ339" s="2" t="n">
        <v>11</v>
      </c>
      <c r="AR339" s="2" t="inlineStr">
        <is>
          <t>B</t>
        </is>
      </c>
      <c r="AS339" s="2" t="inlineStr">
        <is>
          <t>anuncio</t>
        </is>
      </c>
      <c r="AT339" s="2" t="n">
        <v>2300</v>
      </c>
      <c r="AU339" s="2" t="n">
        <v>5</v>
      </c>
      <c r="AV339" s="2" t="inlineStr">
        <is>
          <t>modelo+año+km</t>
        </is>
      </c>
      <c r="AW339" s="2" t="n"/>
      <c r="AX339" s="2" t="inlineStr">
        <is>
          <t>cuota fija ITP: &gt;12 años, hasta 1.500 cc; diésel: motor sin fuente de fiabilidad (fiabilidad limitada a neutra)</t>
        </is>
      </c>
      <c r="AY339" s="2" t="inlineStr">
        <is>
          <t>Vendo Renault Clio III de 2006, 5 puertas, motor 1.5 dCi turbodiésel de 105 CV y 205.300 km.
Versión con muy buen equipamiento, destacando:
* Control de crucero.
* Caja de 6ta
* Climatizador automático.
* Encendido automático de luces mediante sensor crepuscular.
* Regulación de intensidad de la iluminación interior.
* Volante revestido en cuero
* Faros de xenón con ópticas de lupa y lavafaros.
* Antinieblas delanteros y traseros.
* Función de iluminación en curva: se encienden los antinieblas delanteros según el giro del volante.
* Llantas de aleación de 16 pulgadas.
* Arranque mediante tarjeta Renault.
Mantenimiento reciente:
* Motor del limpiaparabrisas cambiado hace 3 meses.
* Neumáticos delanteros nuevos, cambiados hace 2 meses.
* Neumáticos traseros con aproximadamente un 60 % de vida útil.
* Cambio de aceite y filtro realizado hace 2.000 km (hace 3 meses).
ITV vigente hasta el 13/08/2027.
Coche con buen equipamiento y mantenimiento reciente. Se puede ver y probar. Transferencia a cargo del comprador.
Escucho ofertas coherentes.</t>
        </is>
      </c>
      <c r="AZ339" s="2" t="inlineStr">
        <is>
          <t>https://www.coches.net/renault-clio-luxe-privilege-15-dci105-5p-diesel-2006-en-valencia-71728280-covo.aspx (window.__INITIAL_PROPS__.ad) /home/user/Alopecia/buscador-coches/raw/cochesnet/3f171f1574d9313d.json</t>
        </is>
      </c>
      <c r="BA339" s="3">
        <f>MAX(ANIO_ACTUAL-M339,0)</f>
        <v/>
      </c>
      <c r="BB339" s="4">
        <f>N339/MAX(BA339,0.5)</f>
        <v/>
      </c>
      <c r="BC339" s="4">
        <f>F339</f>
        <v/>
      </c>
      <c r="BD339" s="3">
        <f>BC339&amp;"|"&amp;INT(M339/SEG_ANIO)*SEG_ANIO</f>
        <v/>
      </c>
      <c r="BE339" s="3">
        <f>BD339&amp;"|"&amp;INT(N339/SEG_KM)*SEG_KM</f>
        <v/>
      </c>
      <c r="BF339" s="4">
        <f>COUNTIF($BC$2:$BC$545,BC339)</f>
        <v/>
      </c>
      <c r="BG339" s="4">
        <f>COUNTIF($BD$2:$BD$545,BD339)</f>
        <v/>
      </c>
      <c r="BH339" s="4">
        <f>COUNTIF($BE$2:$BE$545,BE339)</f>
        <v/>
      </c>
      <c r="BI339" s="3">
        <f t="array" ref="BI339">IF(N(AU339)&gt;=MIN_N,AT339,IF(BH339&gt;=MIN_N,MEDIAN(IF($BE$2:$BE$545=BE339,$O$2:$O$545)),IF(BG339&gt;=MIN_N,MEDIAN(IF($BD$2:$BD$545=BD339,$O$2:$O$545)),MEDIAN(IF($BC$2:$BC$545=BC339,$O$2:$O$545)))))</f>
        <v/>
      </c>
      <c r="BJ339" s="3">
        <f>IF(N(AU339)&gt;=MIN_N,"mercado "&amp;AV339,IF(BH339&gt;=MIN_N,"modelo+año+km",IF(BG339&gt;=MIN_N,"modelo+año","modelo")))</f>
        <v/>
      </c>
      <c r="BK339" s="4">
        <f>(BI339-O339)/BI339</f>
        <v/>
      </c>
      <c r="BL339" s="3">
        <f>IF(COUNTIFS(FR_FUEL,K339,FR_YEAR,AP339)&gt;0,1,0)</f>
        <v/>
      </c>
      <c r="BM339" s="3">
        <f>IF(COUNTIFS(FR_FUEL,K339,FR_YEAR,AP339-1)&gt;0,1,0)</f>
        <v/>
      </c>
      <c r="BN339" s="4">
        <f>IF(N(AQ339)&gt;0,AP339*100+AQ339,IF(AND(BL339=1,BM339=1),(AP339-1)*100+1,AP339*100+1))</f>
        <v/>
      </c>
      <c r="BO339" s="3">
        <f>IF(OR(K339="hibrido",K339="glp",K339="gnc",K339="phev"),"ECO",IF(K339="electrico","CERO",IF(K339="gasolina",IF(BN339&gt;=GAS_C_YM,"C",IF(BN339&gt;=GAS_B_YM,"B","A")),IF(K339="diesel",IF(BN339&gt;=DIE_C_YM,"C",IF(BN339&gt;=DIE_B_YM,"B","A")),""))))</f>
        <v/>
      </c>
      <c r="BP339" s="2" t="inlineStr">
        <is>
          <t>B</t>
        </is>
      </c>
      <c r="BQ339" s="4">
        <f>IF(AS339="regla",IF(AND(N(AQ339)=0,BL339=1),"sí","no"),"no")</f>
        <v/>
      </c>
      <c r="BR339" s="3">
        <f>IFERROR(VLOOKUP(F339,MOD_TBL,11,0),IFERROR(VLOOKUP(E339,OCU_TBL,2,0),NEUTRO))</f>
        <v/>
      </c>
      <c r="BS339" s="3">
        <f>SUMIFS(MOT_AJUSTE,MOT_MOTOR,G339,MOT_MARCA,E339,MOT_DESDE,"&lt;="&amp;M339,MOT_HASTA,"&gt;="&amp;M339)+SUMIFS(MOT_AJUSTE,MOT_MOTOR,G339,MOT_MARCA,"(todas)",MOT_DESDE,"&lt;="&amp;M339,MOT_HASTA,"&gt;="&amp;M339)</f>
        <v/>
      </c>
      <c r="BT339" s="3">
        <f>SUMIFS(COMB_AJUSTE,COMB_COMB,K339)</f>
        <v/>
      </c>
      <c r="BU339" s="3">
        <f>COUNTIFS(MOT_MOTOR,G339,MOT_MARCA,E339,MOT_DESDE,"&lt;="&amp;M339,MOT_HASTA,"&gt;="&amp;M339)+COUNTIFS(MOT_MOTOR,G339,MOT_MARCA,"(todas)",MOT_DESDE,"&lt;="&amp;M339,MOT_HASTA,"&gt;="&amp;M339)</f>
        <v/>
      </c>
      <c r="BV339" s="3">
        <f>IF(AND(K339="diesel",BU339=0),MIN(BR339,NEUTRO),BR339)</f>
        <v/>
      </c>
      <c r="BW339" s="4">
        <f>MAX(0,MIN(100,BV339+BS339+BT339))</f>
        <v/>
      </c>
      <c r="BX339" s="3">
        <f>MAX(0,MIN(100,50+BK339*PRECIO_PEND))</f>
        <v/>
      </c>
      <c r="BY339" s="3">
        <f>MAX(0,100*(1-N339/KM_MAX))</f>
        <v/>
      </c>
      <c r="BZ339" s="3">
        <f>IF(BB339&lt;KMA_SOSP,IF(AA339="sí",100,KMA_PEN),IF(BB339&lt;=KMA_IDEAL_MAX,100,MAX(0,100*(KMA_CERO-BB339)/(KMA_CERO-KMA_IDEAL_MAX))))</f>
        <v/>
      </c>
      <c r="CA339" s="3">
        <f>MAX(0,MIN(100,100*(M339-ANIO_MIN)/(ANIO_ACTUAL-ANIO_MIN)))</f>
        <v/>
      </c>
      <c r="CB339" s="3">
        <f>W_KMT*BY339+W_KMA*BZ339+W_EDAD*CA339</f>
        <v/>
      </c>
      <c r="CC339" s="3">
        <f>P_ITV*(V339="sí")+P_LIBRO*(W339="sí")+P_CORREA*(X339="sí")+P_PROP*(Y339=1)+P_GAR*(Z339="sí")+P_FOTOS*MIN(1,N(U339)/FOTOS_OBJ)</f>
        <v/>
      </c>
      <c r="CD339" s="3">
        <f>MAX(0,MIN(100,IFERROR(VLOOKUP(BP339,ETQ_TBL,2,0),0)-IF(BQ339="sí",ETQ_PEN_DUD,IF(AS339="regla",ETQ_PEN_REGLA,0))))</f>
        <v/>
      </c>
      <c r="CE339" s="3">
        <f>NEUTRO</f>
        <v/>
      </c>
      <c r="CF339" s="3">
        <f>IFERROR(VLOOKUP(L339,SEGURO_TBL,3,0),"")</f>
        <v/>
      </c>
      <c r="CG339" s="3">
        <f>IF(CF339="",NEUTRO,MAX(0,MIN(100,100*(SEG_REF_MAX-CF339)/(SEG_REF_MAX-SEG_REF_MIN))))</f>
        <v/>
      </c>
      <c r="CH339" s="3">
        <f>W_CONS*CE339+W_SEG*CG339</f>
        <v/>
      </c>
      <c r="CI339" s="3">
        <f>IF(N(AB339)&gt;0,AB339,IF(AND(R339="profesional",SG_LEGAL_ON=1),GAR_LEGAL,0))</f>
        <v/>
      </c>
      <c r="CJ339" s="3">
        <f>SG_GAR*MIN(1,CI339/SG_GAR_FULL)+SG_AMPL*(AC339="sí")+SG_KMC*(AF339="sí")+SG_REV*(N(AE339)&gt;0)+SG_DEV*MIN(1,N(AG339)/SG_DEV_FULL)+SG_HIST*(W339="sí")</f>
        <v/>
      </c>
      <c r="CK339" s="3">
        <f>IFERROR(VLOOKUP(L339,CARR_PEN_TBL,2,0),0)</f>
        <v/>
      </c>
      <c r="CL339" s="3">
        <f>W_FIAB*BW339+W_PRECIO*BX339+W_KMEDAD*CB339+W_ANUNCIO*CC339+W_USO*CH339+W_SEGURIDAD*CJ339+W_ETIQUETA*CD339-CK339</f>
        <v/>
      </c>
      <c r="CM339" s="4">
        <f>IF(N(I339)&gt;0,I339,IFERROR(ROUND(_xlfn.NUMBERVALUE(LEFT(G339,FIND(" ",G339&amp;" ")-1),".")*1000,0),99999))</f>
        <v/>
      </c>
      <c r="CN339" s="3">
        <f>IF(R339="profesional",0,IF(O339&lt;CUOTA_VALOR_MAX,IF(BA339&gt;ITP_TRAMO_ALTO,SUMIFS(CF_CUOTA,CF_MAS,ITP_TRAMO_ALTO,CF_CCMIN,"&lt;="&amp;CM339,CF_CCMAX,"&gt;="&amp;CM339),IF(BA339&gt;ITP_TRAMO_BAJO,SUMIFS(CF_CUOTA,CF_MAS,ITP_TRAMO_BAJO,CF_CCMIN,"&lt;="&amp;CM339,CF_CCMAX,"&gt;="&amp;CM339),O339*ITP_TIPO)),O339*ITP_TIPO))</f>
        <v/>
      </c>
      <c r="CO339" s="4">
        <f>IF(R339="profesional",N(AK339),0)</f>
        <v/>
      </c>
      <c r="CP339" s="3">
        <f>IF(AND(R339="profesional",ISNUMBER(AK339),AL339="sí"),0,TASA_DGT)</f>
        <v/>
      </c>
      <c r="CQ339" s="3">
        <f>INFORME_DGT</f>
        <v/>
      </c>
      <c r="CR339" s="4">
        <f>O339+CO339+CN339+CP339+CQ339</f>
        <v/>
      </c>
      <c r="CS339" s="4">
        <f>CR339+N(CF339)</f>
        <v/>
      </c>
      <c r="CT339" s="3">
        <f>IF(CR339&lt;=TOTAL_MAX,"sí",IF(CR339&lt;=TOTAL_MAX+MARGEN_NEG,"negociar","no"))</f>
        <v/>
      </c>
      <c r="CU339" s="4">
        <f>IF(CT339&lt;&gt;"no",COUNTIFS($CT$2:$CT$545,"&lt;&gt;no",$CL$2:$CL$545,"&gt;"&amp;CL339)+COUNTIFS($CT$2:CT339,"&lt;&gt;no",$CL$2:CL339,CL339),"")</f>
        <v/>
      </c>
    </row>
    <row r="340">
      <c r="A340" s="2" t="inlineStr">
        <is>
          <t>cochesnet:71720117</t>
        </is>
      </c>
      <c r="B340" s="2" t="inlineStr">
        <is>
          <t>cochesnet</t>
        </is>
      </c>
      <c r="C340" s="2" t="inlineStr">
        <is>
          <t>https://www.coches.net/renault-clio-expression-12-16v-5p-gasolina-2006-en-valencia-71720117-covo.aspx</t>
        </is>
      </c>
      <c r="D340" s="2" t="inlineStr">
        <is>
          <t>RENAULT Clio Expression 1.2 16v</t>
        </is>
      </c>
      <c r="E340" s="2" t="inlineStr">
        <is>
          <t>Renault</t>
        </is>
      </c>
      <c r="F340" s="2" t="inlineStr">
        <is>
          <t>Renault Clio</t>
        </is>
      </c>
      <c r="G340" s="2" t="inlineStr">
        <is>
          <t>1.2</t>
        </is>
      </c>
      <c r="H340" s="2" t="inlineStr">
        <is>
          <t>Expression 1.2 16v</t>
        </is>
      </c>
      <c r="I340" s="2" t="n"/>
      <c r="J340" s="2" t="n"/>
      <c r="K340" s="2" t="inlineStr">
        <is>
          <t>gasolina</t>
        </is>
      </c>
      <c r="L340" s="2" t="inlineStr">
        <is>
          <t>utilitario</t>
        </is>
      </c>
      <c r="M340" s="2" t="n">
        <v>2006</v>
      </c>
      <c r="N340" s="2" t="n">
        <v>167000</v>
      </c>
      <c r="O340" s="2" t="n">
        <v>2700</v>
      </c>
      <c r="P340" s="2" t="inlineStr">
        <is>
          <t>manual</t>
        </is>
      </c>
      <c r="Q340" s="2" t="inlineStr">
        <is>
          <t>no</t>
        </is>
      </c>
      <c r="R340" s="2" t="inlineStr">
        <is>
          <t>particular</t>
        </is>
      </c>
      <c r="S340" s="2" t="inlineStr">
        <is>
          <t>Paiporta</t>
        </is>
      </c>
      <c r="T340" s="2" t="inlineStr">
        <is>
          <t>2026-10-10T19:47:45Z</t>
        </is>
      </c>
      <c r="U340" s="2" t="n">
        <v>8</v>
      </c>
      <c r="V340" s="2" t="n"/>
      <c r="W340" s="2" t="n"/>
      <c r="X340" s="2" t="n"/>
      <c r="Y340" s="2" t="n"/>
      <c r="Z340" s="2" t="inlineStr">
        <is>
          <t>no</t>
        </is>
      </c>
      <c r="AA340" s="2" t="n"/>
      <c r="AB340" s="2" t="n"/>
      <c r="AC340" s="2" t="n"/>
      <c r="AD340" s="2" t="n"/>
      <c r="AE340" s="2" t="n"/>
      <c r="AF340" s="2" t="n"/>
      <c r="AG340" s="2" t="n"/>
      <c r="AH340" s="2" t="n">
        <v>2700</v>
      </c>
      <c r="AI340" s="2" t="n"/>
      <c r="AJ340" s="2" t="n"/>
      <c r="AK340" s="2" t="n"/>
      <c r="AL340" s="2" t="n"/>
      <c r="AM340" s="2" t="n">
        <v>5.9</v>
      </c>
      <c r="AN340" s="2" t="n"/>
      <c r="AO340" s="2" t="inlineStr">
        <is>
          <t>2006</t>
        </is>
      </c>
      <c r="AP340" s="2" t="n">
        <v>2006</v>
      </c>
      <c r="AQ340" s="2" t="n"/>
      <c r="AR340" s="2" t="n"/>
      <c r="AS340" s="2" t="inlineStr">
        <is>
          <t>regla</t>
        </is>
      </c>
      <c r="AT340" s="2" t="n">
        <v>2700</v>
      </c>
      <c r="AU340" s="2" t="n">
        <v>5</v>
      </c>
      <c r="AV340" s="2" t="inlineStr">
        <is>
          <t>modelo+año+km</t>
        </is>
      </c>
      <c r="AW340" s="2" t="n"/>
      <c r="AX340" s="2" t="inlineStr">
        <is>
          <t>cuota fija ITP: &gt;12 años, hasta 1.500 cc</t>
        </is>
      </c>
      <c r="AY340" s="2" t="inlineStr">
        <is>
          <t>Vendo mi Renault Clio Expression 1.2 16v, un berlina práctico y fiable que ha sido mi compañero de viajes durante estos años. Se trata de un vehículo funcional, ideal para quienes buscan movilidad urbana sin complicaciones ni gastos excesivos.
Este Clio ofrece exactamente lo que necesitas en un coche de estas características: un motor eficiente de 75 CV que combina consumo moderado con la potencia suficiente para el día a día, tanto en ciudad como en carretera. La transmisión manual garantiza un control directo y sencillo, mientras que su carrocería de cinco puertas y cinco plazas lo hace versátil para cualquier situación.
El precio de 2700 euros representa una oportunidad real para quien busque un vehículo económico sin renunciar a la funcionalidad. Estoy vendiendo por debajo del valor de mercado porque quiero que encuentre un nuevo propietario que lo aproveche.
Este Renault es el tipo de coche que funciona: sin pretensiones, sin sorpresas desagradables. Si buscas algo fiable, manejable y asequible, este es tu vehículo. Perfecto como primer coche, para desplazamientos diarios o como segundo vehículo para la familia.
Si tienes dudas sobre el estado específico del coche, sobre su mantenimiento o cualquier aspecto que no aparezca en la ficha, no dudes en contactarme. Estoy disponible para responder tus preguntas y facilitar una prueba si lo deseas.
Contacta conmigo hoy mismo a través del chat. No lo dejes escapar.
Precio negociable</t>
        </is>
      </c>
      <c r="AZ340" s="2" t="inlineStr">
        <is>
          <t>https://www.coches.net/renault-clio-expression-12-16v-5p-gasolina-2006-en-valencia-71720117-covo.aspx (window.__INITIAL_PROPS__.ad) /home/user/Alopecia/buscador-coches/raw/cochesnet/3979d80b77cc3912.json</t>
        </is>
      </c>
      <c r="BA340" s="3">
        <f>MAX(ANIO_ACTUAL-M340,0)</f>
        <v/>
      </c>
      <c r="BB340" s="4">
        <f>N340/MAX(BA340,0.5)</f>
        <v/>
      </c>
      <c r="BC340" s="4">
        <f>F340</f>
        <v/>
      </c>
      <c r="BD340" s="3">
        <f>BC340&amp;"|"&amp;INT(M340/SEG_ANIO)*SEG_ANIO</f>
        <v/>
      </c>
      <c r="BE340" s="3">
        <f>BD340&amp;"|"&amp;INT(N340/SEG_KM)*SEG_KM</f>
        <v/>
      </c>
      <c r="BF340" s="4">
        <f>COUNTIF($BC$2:$BC$545,BC340)</f>
        <v/>
      </c>
      <c r="BG340" s="4">
        <f>COUNTIF($BD$2:$BD$545,BD340)</f>
        <v/>
      </c>
      <c r="BH340" s="4">
        <f>COUNTIF($BE$2:$BE$545,BE340)</f>
        <v/>
      </c>
      <c r="BI340" s="3">
        <f t="array" ref="BI340">IF(N(AU340)&gt;=MIN_N,AT340,IF(BH340&gt;=MIN_N,MEDIAN(IF($BE$2:$BE$545=BE340,$O$2:$O$545)),IF(BG340&gt;=MIN_N,MEDIAN(IF($BD$2:$BD$545=BD340,$O$2:$O$545)),MEDIAN(IF($BC$2:$BC$545=BC340,$O$2:$O$545)))))</f>
        <v/>
      </c>
      <c r="BJ340" s="3">
        <f>IF(N(AU340)&gt;=MIN_N,"mercado "&amp;AV340,IF(BH340&gt;=MIN_N,"modelo+año+km",IF(BG340&gt;=MIN_N,"modelo+año","modelo")))</f>
        <v/>
      </c>
      <c r="BK340" s="4">
        <f>(BI340-O340)/BI340</f>
        <v/>
      </c>
      <c r="BL340" s="3">
        <f>IF(COUNTIFS(FR_FUEL,K340,FR_YEAR,AP340)&gt;0,1,0)</f>
        <v/>
      </c>
      <c r="BM340" s="3">
        <f>IF(COUNTIFS(FR_FUEL,K340,FR_YEAR,AP340-1)&gt;0,1,0)</f>
        <v/>
      </c>
      <c r="BN340" s="4">
        <f>IF(N(AQ340)&gt;0,AP340*100+AQ340,IF(AND(BL340=1,BM340=1),(AP340-1)*100+1,AP340*100+1))</f>
        <v/>
      </c>
      <c r="BO340" s="3">
        <f>IF(OR(K340="hibrido",K340="glp",K340="gnc",K340="phev"),"ECO",IF(K340="electrico","CERO",IF(K340="gasolina",IF(BN340&gt;=GAS_C_YM,"C",IF(BN340&gt;=GAS_B_YM,"B","A")),IF(K340="diesel",IF(BN340&gt;=DIE_C_YM,"C",IF(BN340&gt;=DIE_B_YM,"B","A")),""))))</f>
        <v/>
      </c>
      <c r="BP340" s="4">
        <f>BO340</f>
        <v/>
      </c>
      <c r="BQ340" s="4">
        <f>IF(AS340="regla",IF(AND(N(AQ340)=0,BL340=1),"sí","no"),"no")</f>
        <v/>
      </c>
      <c r="BR340" s="3">
        <f>IFERROR(VLOOKUP(F340,MOD_TBL,11,0),IFERROR(VLOOKUP(E340,OCU_TBL,2,0),NEUTRO))</f>
        <v/>
      </c>
      <c r="BS340" s="3">
        <f>SUMIFS(MOT_AJUSTE,MOT_MOTOR,G340,MOT_MARCA,E340,MOT_DESDE,"&lt;="&amp;M340,MOT_HASTA,"&gt;="&amp;M340)+SUMIFS(MOT_AJUSTE,MOT_MOTOR,G340,MOT_MARCA,"(todas)",MOT_DESDE,"&lt;="&amp;M340,MOT_HASTA,"&gt;="&amp;M340)</f>
        <v/>
      </c>
      <c r="BT340" s="3">
        <f>SUMIFS(COMB_AJUSTE,COMB_COMB,K340)</f>
        <v/>
      </c>
      <c r="BU340" s="3">
        <f>COUNTIFS(MOT_MOTOR,G340,MOT_MARCA,E340,MOT_DESDE,"&lt;="&amp;M340,MOT_HASTA,"&gt;="&amp;M340)+COUNTIFS(MOT_MOTOR,G340,MOT_MARCA,"(todas)",MOT_DESDE,"&lt;="&amp;M340,MOT_HASTA,"&gt;="&amp;M340)</f>
        <v/>
      </c>
      <c r="BV340" s="3">
        <f>IF(AND(K340="diesel",BU340=0),MIN(BR340,NEUTRO),BR340)</f>
        <v/>
      </c>
      <c r="BW340" s="4">
        <f>MAX(0,MIN(100,BV340+BS340+BT340))</f>
        <v/>
      </c>
      <c r="BX340" s="3">
        <f>MAX(0,MIN(100,50+BK340*PRECIO_PEND))</f>
        <v/>
      </c>
      <c r="BY340" s="3">
        <f>MAX(0,100*(1-N340/KM_MAX))</f>
        <v/>
      </c>
      <c r="BZ340" s="3">
        <f>IF(BB340&lt;KMA_SOSP,IF(AA340="sí",100,KMA_PEN),IF(BB340&lt;=KMA_IDEAL_MAX,100,MAX(0,100*(KMA_CERO-BB340)/(KMA_CERO-KMA_IDEAL_MAX))))</f>
        <v/>
      </c>
      <c r="CA340" s="3">
        <f>MAX(0,MIN(100,100*(M340-ANIO_MIN)/(ANIO_ACTUAL-ANIO_MIN)))</f>
        <v/>
      </c>
      <c r="CB340" s="3">
        <f>W_KMT*BY340+W_KMA*BZ340+W_EDAD*CA340</f>
        <v/>
      </c>
      <c r="CC340" s="3">
        <f>P_ITV*(V340="sí")+P_LIBRO*(W340="sí")+P_CORREA*(X340="sí")+P_PROP*(Y340=1)+P_GAR*(Z340="sí")+P_FOTOS*MIN(1,N(U340)/FOTOS_OBJ)</f>
        <v/>
      </c>
      <c r="CD340" s="3">
        <f>MAX(0,MIN(100,IFERROR(VLOOKUP(BP340,ETQ_TBL,2,0),0)-IF(BQ340="sí",ETQ_PEN_DUD,IF(AS340="regla",ETQ_PEN_REGLA,0))))</f>
        <v/>
      </c>
      <c r="CE340" s="3">
        <f>NEUTRO</f>
        <v/>
      </c>
      <c r="CF340" s="3">
        <f>IFERROR(VLOOKUP(L340,SEGURO_TBL,3,0),"")</f>
        <v/>
      </c>
      <c r="CG340" s="3">
        <f>IF(CF340="",NEUTRO,MAX(0,MIN(100,100*(SEG_REF_MAX-CF340)/(SEG_REF_MAX-SEG_REF_MIN))))</f>
        <v/>
      </c>
      <c r="CH340" s="3">
        <f>W_CONS*CE340+W_SEG*CG340</f>
        <v/>
      </c>
      <c r="CI340" s="3">
        <f>IF(N(AB340)&gt;0,AB340,IF(AND(R340="profesional",SG_LEGAL_ON=1),GAR_LEGAL,0))</f>
        <v/>
      </c>
      <c r="CJ340" s="3">
        <f>SG_GAR*MIN(1,CI340/SG_GAR_FULL)+SG_AMPL*(AC340="sí")+SG_KMC*(AF340="sí")+SG_REV*(N(AE340)&gt;0)+SG_DEV*MIN(1,N(AG340)/SG_DEV_FULL)+SG_HIST*(W340="sí")</f>
        <v/>
      </c>
      <c r="CK340" s="3">
        <f>IFERROR(VLOOKUP(L340,CARR_PEN_TBL,2,0),0)</f>
        <v/>
      </c>
      <c r="CL340" s="3">
        <f>W_FIAB*BW340+W_PRECIO*BX340+W_KMEDAD*CB340+W_ANUNCIO*CC340+W_USO*CH340+W_SEGURIDAD*CJ340+W_ETIQUETA*CD340-CK340</f>
        <v/>
      </c>
      <c r="CM340" s="4">
        <f>IF(N(I340)&gt;0,I340,IFERROR(ROUND(_xlfn.NUMBERVALUE(LEFT(G340,FIND(" ",G340&amp;" ")-1),".")*1000,0),99999))</f>
        <v/>
      </c>
      <c r="CN340" s="3">
        <f>IF(R340="profesional",0,IF(O340&lt;CUOTA_VALOR_MAX,IF(BA340&gt;ITP_TRAMO_ALTO,SUMIFS(CF_CUOTA,CF_MAS,ITP_TRAMO_ALTO,CF_CCMIN,"&lt;="&amp;CM340,CF_CCMAX,"&gt;="&amp;CM340),IF(BA340&gt;ITP_TRAMO_BAJO,SUMIFS(CF_CUOTA,CF_MAS,ITP_TRAMO_BAJO,CF_CCMIN,"&lt;="&amp;CM340,CF_CCMAX,"&gt;="&amp;CM340),O340*ITP_TIPO)),O340*ITP_TIPO))</f>
        <v/>
      </c>
      <c r="CO340" s="4">
        <f>IF(R340="profesional",N(AK340),0)</f>
        <v/>
      </c>
      <c r="CP340" s="3">
        <f>IF(AND(R340="profesional",ISNUMBER(AK340),AL340="sí"),0,TASA_DGT)</f>
        <v/>
      </c>
      <c r="CQ340" s="3">
        <f>INFORME_DGT</f>
        <v/>
      </c>
      <c r="CR340" s="4">
        <f>O340+CO340+CN340+CP340+CQ340</f>
        <v/>
      </c>
      <c r="CS340" s="4">
        <f>CR340+N(CF340)</f>
        <v/>
      </c>
      <c r="CT340" s="3">
        <f>IF(CR340&lt;=TOTAL_MAX,"sí",IF(CR340&lt;=TOTAL_MAX+MARGEN_NEG,"negociar","no"))</f>
        <v/>
      </c>
      <c r="CU340" s="4">
        <f>IF(CT340&lt;&gt;"no",COUNTIFS($CT$2:$CT$545,"&lt;&gt;no",$CL$2:$CL$545,"&gt;"&amp;CL340)+COUNTIFS($CT$2:CT340,"&lt;&gt;no",$CL$2:CL340,CL340),"")</f>
        <v/>
      </c>
    </row>
    <row r="341">
      <c r="A341" s="2" t="inlineStr">
        <is>
          <t>cochesnet:71579391</t>
        </is>
      </c>
      <c r="B341" s="2" t="inlineStr">
        <is>
          <t>cochesnet</t>
        </is>
      </c>
      <c r="C341" s="2" t="inlineStr">
        <is>
          <t>https://www.coches.net/renault-clio-rip-curl-12-16v-3p-gasolina-2006-en-valencia-71579391-covo.aspx</t>
        </is>
      </c>
      <c r="D341" s="2" t="inlineStr">
        <is>
          <t>RENAULT Clio Rip Curl 1.2 16v</t>
        </is>
      </c>
      <c r="E341" s="2" t="inlineStr">
        <is>
          <t>Renault</t>
        </is>
      </c>
      <c r="F341" s="2" t="inlineStr">
        <is>
          <t>Renault Clio</t>
        </is>
      </c>
      <c r="G341" s="2" t="inlineStr">
        <is>
          <t>1.2</t>
        </is>
      </c>
      <c r="H341" s="2" t="inlineStr">
        <is>
          <t>Rip Curl 1.2 16v</t>
        </is>
      </c>
      <c r="I341" s="2" t="n"/>
      <c r="J341" s="2" t="n"/>
      <c r="K341" s="2" t="inlineStr">
        <is>
          <t>gasolina</t>
        </is>
      </c>
      <c r="L341" s="2" t="inlineStr">
        <is>
          <t>utilitario</t>
        </is>
      </c>
      <c r="M341" s="2" t="n">
        <v>2006</v>
      </c>
      <c r="N341" s="2" t="n">
        <v>194500</v>
      </c>
      <c r="O341" s="2" t="n">
        <v>3000</v>
      </c>
      <c r="P341" s="2" t="inlineStr">
        <is>
          <t>manual</t>
        </is>
      </c>
      <c r="Q341" s="2" t="inlineStr">
        <is>
          <t>no</t>
        </is>
      </c>
      <c r="R341" s="2" t="inlineStr">
        <is>
          <t>particular</t>
        </is>
      </c>
      <c r="S341" s="2" t="inlineStr">
        <is>
          <t>Paterna</t>
        </is>
      </c>
      <c r="T341" s="2" t="inlineStr">
        <is>
          <t>2026-09-23T11:52:13Z</t>
        </is>
      </c>
      <c r="U341" s="2" t="n"/>
      <c r="V341" s="2" t="n"/>
      <c r="W341" s="2" t="n"/>
      <c r="X341" s="2" t="n"/>
      <c r="Y341" s="2" t="n"/>
      <c r="Z341" s="2" t="inlineStr">
        <is>
          <t>no</t>
        </is>
      </c>
      <c r="AA341" s="2" t="n"/>
      <c r="AB341" s="2" t="n"/>
      <c r="AC341" s="2" t="n"/>
      <c r="AD341" s="2" t="n"/>
      <c r="AE341" s="2" t="n"/>
      <c r="AF341" s="2" t="n"/>
      <c r="AG341" s="2" t="n"/>
      <c r="AH341" s="2" t="n">
        <v>3000</v>
      </c>
      <c r="AI341" s="2" t="n"/>
      <c r="AJ341" s="2" t="n"/>
      <c r="AK341" s="2" t="n"/>
      <c r="AL341" s="2" t="n"/>
      <c r="AM341" s="2" t="n">
        <v>6.8</v>
      </c>
      <c r="AN341" s="2" t="n"/>
      <c r="AO341" s="2" t="inlineStr">
        <is>
          <t>2006</t>
        </is>
      </c>
      <c r="AP341" s="2" t="n">
        <v>2006</v>
      </c>
      <c r="AQ341" s="2" t="n"/>
      <c r="AR341" s="2" t="n"/>
      <c r="AS341" s="2" t="inlineStr">
        <is>
          <t>regla</t>
        </is>
      </c>
      <c r="AT341" s="2" t="n">
        <v>2700</v>
      </c>
      <c r="AU341" s="2" t="n">
        <v>5</v>
      </c>
      <c r="AV341" s="2" t="inlineStr">
        <is>
          <t>modelo+año+km</t>
        </is>
      </c>
      <c r="AW341" s="2" t="n"/>
      <c r="AX341" s="2" t="inlineStr">
        <is>
          <t>cuota fija ITP: &gt;12 años, hasta 1.500 cc</t>
        </is>
      </c>
      <c r="AY341" s="2" t="inlineStr"/>
      <c r="AZ341" s="2" t="inlineStr">
        <is>
          <t>https://www.coches.net/renault-clio-rip-curl-12-16v-3p-gasolina-2006-en-valencia-71579391-covo.aspx (window.__INITIAL_PROPS__.ad) /home/user/Alopecia/buscador-coches/raw/cochesnet/555967df191ed3b8.json</t>
        </is>
      </c>
      <c r="BA341" s="3">
        <f>MAX(ANIO_ACTUAL-M341,0)</f>
        <v/>
      </c>
      <c r="BB341" s="4">
        <f>N341/MAX(BA341,0.5)</f>
        <v/>
      </c>
      <c r="BC341" s="4">
        <f>F341</f>
        <v/>
      </c>
      <c r="BD341" s="3">
        <f>BC341&amp;"|"&amp;INT(M341/SEG_ANIO)*SEG_ANIO</f>
        <v/>
      </c>
      <c r="BE341" s="3">
        <f>BD341&amp;"|"&amp;INT(N341/SEG_KM)*SEG_KM</f>
        <v/>
      </c>
      <c r="BF341" s="4">
        <f>COUNTIF($BC$2:$BC$545,BC341)</f>
        <v/>
      </c>
      <c r="BG341" s="4">
        <f>COUNTIF($BD$2:$BD$545,BD341)</f>
        <v/>
      </c>
      <c r="BH341" s="4">
        <f>COUNTIF($BE$2:$BE$545,BE341)</f>
        <v/>
      </c>
      <c r="BI341" s="3">
        <f t="array" ref="BI341">IF(N(AU341)&gt;=MIN_N,AT341,IF(BH341&gt;=MIN_N,MEDIAN(IF($BE$2:$BE$545=BE341,$O$2:$O$545)),IF(BG341&gt;=MIN_N,MEDIAN(IF($BD$2:$BD$545=BD341,$O$2:$O$545)),MEDIAN(IF($BC$2:$BC$545=BC341,$O$2:$O$545)))))</f>
        <v/>
      </c>
      <c r="BJ341" s="3">
        <f>IF(N(AU341)&gt;=MIN_N,"mercado "&amp;AV341,IF(BH341&gt;=MIN_N,"modelo+año+km",IF(BG341&gt;=MIN_N,"modelo+año","modelo")))</f>
        <v/>
      </c>
      <c r="BK341" s="4">
        <f>(BI341-O341)/BI341</f>
        <v/>
      </c>
      <c r="BL341" s="3">
        <f>IF(COUNTIFS(FR_FUEL,K341,FR_YEAR,AP341)&gt;0,1,0)</f>
        <v/>
      </c>
      <c r="BM341" s="3">
        <f>IF(COUNTIFS(FR_FUEL,K341,FR_YEAR,AP341-1)&gt;0,1,0)</f>
        <v/>
      </c>
      <c r="BN341" s="4">
        <f>IF(N(AQ341)&gt;0,AP341*100+AQ341,IF(AND(BL341=1,BM341=1),(AP341-1)*100+1,AP341*100+1))</f>
        <v/>
      </c>
      <c r="BO341" s="3">
        <f>IF(OR(K341="hibrido",K341="glp",K341="gnc",K341="phev"),"ECO",IF(K341="electrico","CERO",IF(K341="gasolina",IF(BN341&gt;=GAS_C_YM,"C",IF(BN341&gt;=GAS_B_YM,"B","A")),IF(K341="diesel",IF(BN341&gt;=DIE_C_YM,"C",IF(BN341&gt;=DIE_B_YM,"B","A")),""))))</f>
        <v/>
      </c>
      <c r="BP341" s="4">
        <f>BO341</f>
        <v/>
      </c>
      <c r="BQ341" s="4">
        <f>IF(AS341="regla",IF(AND(N(AQ341)=0,BL341=1),"sí","no"),"no")</f>
        <v/>
      </c>
      <c r="BR341" s="3">
        <f>IFERROR(VLOOKUP(F341,MOD_TBL,11,0),IFERROR(VLOOKUP(E341,OCU_TBL,2,0),NEUTRO))</f>
        <v/>
      </c>
      <c r="BS341" s="3">
        <f>SUMIFS(MOT_AJUSTE,MOT_MOTOR,G341,MOT_MARCA,E341,MOT_DESDE,"&lt;="&amp;M341,MOT_HASTA,"&gt;="&amp;M341)+SUMIFS(MOT_AJUSTE,MOT_MOTOR,G341,MOT_MARCA,"(todas)",MOT_DESDE,"&lt;="&amp;M341,MOT_HASTA,"&gt;="&amp;M341)</f>
        <v/>
      </c>
      <c r="BT341" s="3">
        <f>SUMIFS(COMB_AJUSTE,COMB_COMB,K341)</f>
        <v/>
      </c>
      <c r="BU341" s="3">
        <f>COUNTIFS(MOT_MOTOR,G341,MOT_MARCA,E341,MOT_DESDE,"&lt;="&amp;M341,MOT_HASTA,"&gt;="&amp;M341)+COUNTIFS(MOT_MOTOR,G341,MOT_MARCA,"(todas)",MOT_DESDE,"&lt;="&amp;M341,MOT_HASTA,"&gt;="&amp;M341)</f>
        <v/>
      </c>
      <c r="BV341" s="3">
        <f>IF(AND(K341="diesel",BU341=0),MIN(BR341,NEUTRO),BR341)</f>
        <v/>
      </c>
      <c r="BW341" s="4">
        <f>MAX(0,MIN(100,BV341+BS341+BT341))</f>
        <v/>
      </c>
      <c r="BX341" s="3">
        <f>MAX(0,MIN(100,50+BK341*PRECIO_PEND))</f>
        <v/>
      </c>
      <c r="BY341" s="3">
        <f>MAX(0,100*(1-N341/KM_MAX))</f>
        <v/>
      </c>
      <c r="BZ341" s="3">
        <f>IF(BB341&lt;KMA_SOSP,IF(AA341="sí",100,KMA_PEN),IF(BB341&lt;=KMA_IDEAL_MAX,100,MAX(0,100*(KMA_CERO-BB341)/(KMA_CERO-KMA_IDEAL_MAX))))</f>
        <v/>
      </c>
      <c r="CA341" s="3">
        <f>MAX(0,MIN(100,100*(M341-ANIO_MIN)/(ANIO_ACTUAL-ANIO_MIN)))</f>
        <v/>
      </c>
      <c r="CB341" s="3">
        <f>W_KMT*BY341+W_KMA*BZ341+W_EDAD*CA341</f>
        <v/>
      </c>
      <c r="CC341" s="3">
        <f>P_ITV*(V341="sí")+P_LIBRO*(W341="sí")+P_CORREA*(X341="sí")+P_PROP*(Y341=1)+P_GAR*(Z341="sí")+P_FOTOS*MIN(1,N(U341)/FOTOS_OBJ)</f>
        <v/>
      </c>
      <c r="CD341" s="3">
        <f>MAX(0,MIN(100,IFERROR(VLOOKUP(BP341,ETQ_TBL,2,0),0)-IF(BQ341="sí",ETQ_PEN_DUD,IF(AS341="regla",ETQ_PEN_REGLA,0))))</f>
        <v/>
      </c>
      <c r="CE341" s="3">
        <f>NEUTRO</f>
        <v/>
      </c>
      <c r="CF341" s="3">
        <f>IFERROR(VLOOKUP(L341,SEGURO_TBL,3,0),"")</f>
        <v/>
      </c>
      <c r="CG341" s="3">
        <f>IF(CF341="",NEUTRO,MAX(0,MIN(100,100*(SEG_REF_MAX-CF341)/(SEG_REF_MAX-SEG_REF_MIN))))</f>
        <v/>
      </c>
      <c r="CH341" s="3">
        <f>W_CONS*CE341+W_SEG*CG341</f>
        <v/>
      </c>
      <c r="CI341" s="3">
        <f>IF(N(AB341)&gt;0,AB341,IF(AND(R341="profesional",SG_LEGAL_ON=1),GAR_LEGAL,0))</f>
        <v/>
      </c>
      <c r="CJ341" s="3">
        <f>SG_GAR*MIN(1,CI341/SG_GAR_FULL)+SG_AMPL*(AC341="sí")+SG_KMC*(AF341="sí")+SG_REV*(N(AE341)&gt;0)+SG_DEV*MIN(1,N(AG341)/SG_DEV_FULL)+SG_HIST*(W341="sí")</f>
        <v/>
      </c>
      <c r="CK341" s="3">
        <f>IFERROR(VLOOKUP(L341,CARR_PEN_TBL,2,0),0)</f>
        <v/>
      </c>
      <c r="CL341" s="3">
        <f>W_FIAB*BW341+W_PRECIO*BX341+W_KMEDAD*CB341+W_ANUNCIO*CC341+W_USO*CH341+W_SEGURIDAD*CJ341+W_ETIQUETA*CD341-CK341</f>
        <v/>
      </c>
      <c r="CM341" s="4">
        <f>IF(N(I341)&gt;0,I341,IFERROR(ROUND(_xlfn.NUMBERVALUE(LEFT(G341,FIND(" ",G341&amp;" ")-1),".")*1000,0),99999))</f>
        <v/>
      </c>
      <c r="CN341" s="3">
        <f>IF(R341="profesional",0,IF(O341&lt;CUOTA_VALOR_MAX,IF(BA341&gt;ITP_TRAMO_ALTO,SUMIFS(CF_CUOTA,CF_MAS,ITP_TRAMO_ALTO,CF_CCMIN,"&lt;="&amp;CM341,CF_CCMAX,"&gt;="&amp;CM341),IF(BA341&gt;ITP_TRAMO_BAJO,SUMIFS(CF_CUOTA,CF_MAS,ITP_TRAMO_BAJO,CF_CCMIN,"&lt;="&amp;CM341,CF_CCMAX,"&gt;="&amp;CM341),O341*ITP_TIPO)),O341*ITP_TIPO))</f>
        <v/>
      </c>
      <c r="CO341" s="4">
        <f>IF(R341="profesional",N(AK341),0)</f>
        <v/>
      </c>
      <c r="CP341" s="3">
        <f>IF(AND(R341="profesional",ISNUMBER(AK341),AL341="sí"),0,TASA_DGT)</f>
        <v/>
      </c>
      <c r="CQ341" s="3">
        <f>INFORME_DGT</f>
        <v/>
      </c>
      <c r="CR341" s="4">
        <f>O341+CO341+CN341+CP341+CQ341</f>
        <v/>
      </c>
      <c r="CS341" s="4">
        <f>CR341+N(CF341)</f>
        <v/>
      </c>
      <c r="CT341" s="3">
        <f>IF(CR341&lt;=TOTAL_MAX,"sí",IF(CR341&lt;=TOTAL_MAX+MARGEN_NEG,"negociar","no"))</f>
        <v/>
      </c>
      <c r="CU341" s="4">
        <f>IF(CT341&lt;&gt;"no",COUNTIFS($CT$2:$CT$545,"&lt;&gt;no",$CL$2:$CL$545,"&gt;"&amp;CL341)+COUNTIFS($CT$2:CT341,"&lt;&gt;no",$CL$2:CL341,CL341),"")</f>
        <v/>
      </c>
    </row>
    <row r="342">
      <c r="A342" s="2" t="inlineStr">
        <is>
          <t>cochesnet:61211557</t>
        </is>
      </c>
      <c r="B342" s="2" t="inlineStr">
        <is>
          <t>cochesnet</t>
        </is>
      </c>
      <c r="C342" s="2" t="inlineStr">
        <is>
          <t>https://www.coches.net/renault-clio-authentique-12-16v-5p-gasolina-2006-en-valencia-61211557-covo.aspx</t>
        </is>
      </c>
      <c r="D342" s="2" t="inlineStr">
        <is>
          <t>RENAULT Clio Authentique 1.2 16v</t>
        </is>
      </c>
      <c r="E342" s="2" t="inlineStr">
        <is>
          <t>Renault</t>
        </is>
      </c>
      <c r="F342" s="2" t="inlineStr">
        <is>
          <t>Renault Clio</t>
        </is>
      </c>
      <c r="G342" s="2" t="inlineStr">
        <is>
          <t>1.2</t>
        </is>
      </c>
      <c r="H342" s="2" t="inlineStr">
        <is>
          <t>Authentique 1.2 16v</t>
        </is>
      </c>
      <c r="I342" s="2" t="n"/>
      <c r="J342" s="2" t="n"/>
      <c r="K342" s="2" t="inlineStr">
        <is>
          <t>gasolina</t>
        </is>
      </c>
      <c r="L342" s="2" t="inlineStr">
        <is>
          <t>utilitario</t>
        </is>
      </c>
      <c r="M342" s="2" t="n">
        <v>2006</v>
      </c>
      <c r="N342" s="2" t="n">
        <v>168250</v>
      </c>
      <c r="O342" s="2" t="n">
        <v>3000</v>
      </c>
      <c r="P342" s="2" t="inlineStr">
        <is>
          <t>manual</t>
        </is>
      </c>
      <c r="Q342" s="2" t="inlineStr">
        <is>
          <t>no</t>
        </is>
      </c>
      <c r="R342" s="2" t="inlineStr">
        <is>
          <t>particular</t>
        </is>
      </c>
      <c r="S342" s="2" t="inlineStr">
        <is>
          <t>Rafelbuñol / Rafelbunyol</t>
        </is>
      </c>
      <c r="T342" s="2" t="inlineStr">
        <is>
          <t>2026-08-17T20:19:04Z</t>
        </is>
      </c>
      <c r="U342" s="2" t="n">
        <v>6</v>
      </c>
      <c r="V342" s="2" t="n"/>
      <c r="W342" s="2" t="n"/>
      <c r="X342" s="2" t="n"/>
      <c r="Y342" s="2" t="n"/>
      <c r="Z342" s="2" t="inlineStr">
        <is>
          <t>no</t>
        </is>
      </c>
      <c r="AA342" s="2" t="n"/>
      <c r="AB342" s="2" t="n"/>
      <c r="AC342" s="2" t="n"/>
      <c r="AD342" s="2" t="n"/>
      <c r="AE342" s="2" t="n"/>
      <c r="AF342" s="2" t="n"/>
      <c r="AG342" s="2" t="n"/>
      <c r="AH342" s="2" t="n">
        <v>3000</v>
      </c>
      <c r="AI342" s="2" t="n"/>
      <c r="AJ342" s="2" t="n"/>
      <c r="AK342" s="2" t="n"/>
      <c r="AL342" s="2" t="n"/>
      <c r="AM342" s="2" t="n"/>
      <c r="AN342" s="2" t="n"/>
      <c r="AO342" s="2" t="inlineStr">
        <is>
          <t>2006</t>
        </is>
      </c>
      <c r="AP342" s="2" t="n">
        <v>2006</v>
      </c>
      <c r="AQ342" s="2" t="n"/>
      <c r="AR342" s="2" t="n"/>
      <c r="AS342" s="2" t="inlineStr">
        <is>
          <t>regla</t>
        </is>
      </c>
      <c r="AT342" s="2" t="n">
        <v>2700</v>
      </c>
      <c r="AU342" s="2" t="n">
        <v>5</v>
      </c>
      <c r="AV342" s="2" t="inlineStr">
        <is>
          <t>modelo+año+km</t>
        </is>
      </c>
      <c r="AW342" s="2" t="n"/>
      <c r="AX342" s="2" t="inlineStr">
        <is>
          <t>cuota fija ITP: &gt;12 años, hasta 1.500 cc; distancia no verificable (el anuncio solo indica la provincia): confirmar que está a &lt;= 70 km</t>
        </is>
      </c>
      <c r="AY342" s="2" t="inlineStr">
        <is>
          <t xml:space="preserve">Clio en espectaculares condiciones. Tiene algunos rayones en la chapa producto del uso pero el motor va de locos. No hace un solo ruido, funciona a la perfección el aire acondicionado. Gasta muy poco combustible. Todos los mantenimientos al día. Lo vendo porque busco un coche más grande.
ITV hecha 30/01/2026
Distribución completa  16/08/2025
</t>
        </is>
      </c>
      <c r="AZ342" s="2" t="inlineStr">
        <is>
          <t>https://www.coches.net/renault-clio-authentique-12-16v-5p-gasolina-2006-en-valencia-61211557-covo.aspx (window.__INITIAL_PROPS__.ad) /home/user/Alopecia/buscador-coches/raw/cochesnet/41af1197a7b6372b.json</t>
        </is>
      </c>
      <c r="BA342" s="3">
        <f>MAX(ANIO_ACTUAL-M342,0)</f>
        <v/>
      </c>
      <c r="BB342" s="4">
        <f>N342/MAX(BA342,0.5)</f>
        <v/>
      </c>
      <c r="BC342" s="4">
        <f>F342</f>
        <v/>
      </c>
      <c r="BD342" s="3">
        <f>BC342&amp;"|"&amp;INT(M342/SEG_ANIO)*SEG_ANIO</f>
        <v/>
      </c>
      <c r="BE342" s="3">
        <f>BD342&amp;"|"&amp;INT(N342/SEG_KM)*SEG_KM</f>
        <v/>
      </c>
      <c r="BF342" s="4">
        <f>COUNTIF($BC$2:$BC$545,BC342)</f>
        <v/>
      </c>
      <c r="BG342" s="4">
        <f>COUNTIF($BD$2:$BD$545,BD342)</f>
        <v/>
      </c>
      <c r="BH342" s="4">
        <f>COUNTIF($BE$2:$BE$545,BE342)</f>
        <v/>
      </c>
      <c r="BI342" s="3">
        <f t="array" ref="BI342">IF(N(AU342)&gt;=MIN_N,AT342,IF(BH342&gt;=MIN_N,MEDIAN(IF($BE$2:$BE$545=BE342,$O$2:$O$545)),IF(BG342&gt;=MIN_N,MEDIAN(IF($BD$2:$BD$545=BD342,$O$2:$O$545)),MEDIAN(IF($BC$2:$BC$545=BC342,$O$2:$O$545)))))</f>
        <v/>
      </c>
      <c r="BJ342" s="3">
        <f>IF(N(AU342)&gt;=MIN_N,"mercado "&amp;AV342,IF(BH342&gt;=MIN_N,"modelo+año+km",IF(BG342&gt;=MIN_N,"modelo+año","modelo")))</f>
        <v/>
      </c>
      <c r="BK342" s="4">
        <f>(BI342-O342)/BI342</f>
        <v/>
      </c>
      <c r="BL342" s="3">
        <f>IF(COUNTIFS(FR_FUEL,K342,FR_YEAR,AP342)&gt;0,1,0)</f>
        <v/>
      </c>
      <c r="BM342" s="3">
        <f>IF(COUNTIFS(FR_FUEL,K342,FR_YEAR,AP342-1)&gt;0,1,0)</f>
        <v/>
      </c>
      <c r="BN342" s="4">
        <f>IF(N(AQ342)&gt;0,AP342*100+AQ342,IF(AND(BL342=1,BM342=1),(AP342-1)*100+1,AP342*100+1))</f>
        <v/>
      </c>
      <c r="BO342" s="3">
        <f>IF(OR(K342="hibrido",K342="glp",K342="gnc",K342="phev"),"ECO",IF(K342="electrico","CERO",IF(K342="gasolina",IF(BN342&gt;=GAS_C_YM,"C",IF(BN342&gt;=GAS_B_YM,"B","A")),IF(K342="diesel",IF(BN342&gt;=DIE_C_YM,"C",IF(BN342&gt;=DIE_B_YM,"B","A")),""))))</f>
        <v/>
      </c>
      <c r="BP342" s="4">
        <f>BO342</f>
        <v/>
      </c>
      <c r="BQ342" s="4">
        <f>IF(AS342="regla",IF(AND(N(AQ342)=0,BL342=1),"sí","no"),"no")</f>
        <v/>
      </c>
      <c r="BR342" s="3">
        <f>IFERROR(VLOOKUP(F342,MOD_TBL,11,0),IFERROR(VLOOKUP(E342,OCU_TBL,2,0),NEUTRO))</f>
        <v/>
      </c>
      <c r="BS342" s="3">
        <f>SUMIFS(MOT_AJUSTE,MOT_MOTOR,G342,MOT_MARCA,E342,MOT_DESDE,"&lt;="&amp;M342,MOT_HASTA,"&gt;="&amp;M342)+SUMIFS(MOT_AJUSTE,MOT_MOTOR,G342,MOT_MARCA,"(todas)",MOT_DESDE,"&lt;="&amp;M342,MOT_HASTA,"&gt;="&amp;M342)</f>
        <v/>
      </c>
      <c r="BT342" s="3">
        <f>SUMIFS(COMB_AJUSTE,COMB_COMB,K342)</f>
        <v/>
      </c>
      <c r="BU342" s="3">
        <f>COUNTIFS(MOT_MOTOR,G342,MOT_MARCA,E342,MOT_DESDE,"&lt;="&amp;M342,MOT_HASTA,"&gt;="&amp;M342)+COUNTIFS(MOT_MOTOR,G342,MOT_MARCA,"(todas)",MOT_DESDE,"&lt;="&amp;M342,MOT_HASTA,"&gt;="&amp;M342)</f>
        <v/>
      </c>
      <c r="BV342" s="3">
        <f>IF(AND(K342="diesel",BU342=0),MIN(BR342,NEUTRO),BR342)</f>
        <v/>
      </c>
      <c r="BW342" s="4">
        <f>MAX(0,MIN(100,BV342+BS342+BT342))</f>
        <v/>
      </c>
      <c r="BX342" s="3">
        <f>MAX(0,MIN(100,50+BK342*PRECIO_PEND))</f>
        <v/>
      </c>
      <c r="BY342" s="3">
        <f>MAX(0,100*(1-N342/KM_MAX))</f>
        <v/>
      </c>
      <c r="BZ342" s="3">
        <f>IF(BB342&lt;KMA_SOSP,IF(AA342="sí",100,KMA_PEN),IF(BB342&lt;=KMA_IDEAL_MAX,100,MAX(0,100*(KMA_CERO-BB342)/(KMA_CERO-KMA_IDEAL_MAX))))</f>
        <v/>
      </c>
      <c r="CA342" s="3">
        <f>MAX(0,MIN(100,100*(M342-ANIO_MIN)/(ANIO_ACTUAL-ANIO_MIN)))</f>
        <v/>
      </c>
      <c r="CB342" s="3">
        <f>W_KMT*BY342+W_KMA*BZ342+W_EDAD*CA342</f>
        <v/>
      </c>
      <c r="CC342" s="3">
        <f>P_ITV*(V342="sí")+P_LIBRO*(W342="sí")+P_CORREA*(X342="sí")+P_PROP*(Y342=1)+P_GAR*(Z342="sí")+P_FOTOS*MIN(1,N(U342)/FOTOS_OBJ)</f>
        <v/>
      </c>
      <c r="CD342" s="3">
        <f>MAX(0,MIN(100,IFERROR(VLOOKUP(BP342,ETQ_TBL,2,0),0)-IF(BQ342="sí",ETQ_PEN_DUD,IF(AS342="regla",ETQ_PEN_REGLA,0))))</f>
        <v/>
      </c>
      <c r="CE342" s="3">
        <f>NEUTRO</f>
        <v/>
      </c>
      <c r="CF342" s="3">
        <f>IFERROR(VLOOKUP(L342,SEGURO_TBL,3,0),"")</f>
        <v/>
      </c>
      <c r="CG342" s="3">
        <f>IF(CF342="",NEUTRO,MAX(0,MIN(100,100*(SEG_REF_MAX-CF342)/(SEG_REF_MAX-SEG_REF_MIN))))</f>
        <v/>
      </c>
      <c r="CH342" s="3">
        <f>W_CONS*CE342+W_SEG*CG342</f>
        <v/>
      </c>
      <c r="CI342" s="3">
        <f>IF(N(AB342)&gt;0,AB342,IF(AND(R342="profesional",SG_LEGAL_ON=1),GAR_LEGAL,0))</f>
        <v/>
      </c>
      <c r="CJ342" s="3">
        <f>SG_GAR*MIN(1,CI342/SG_GAR_FULL)+SG_AMPL*(AC342="sí")+SG_KMC*(AF342="sí")+SG_REV*(N(AE342)&gt;0)+SG_DEV*MIN(1,N(AG342)/SG_DEV_FULL)+SG_HIST*(W342="sí")</f>
        <v/>
      </c>
      <c r="CK342" s="3">
        <f>IFERROR(VLOOKUP(L342,CARR_PEN_TBL,2,0),0)</f>
        <v/>
      </c>
      <c r="CL342" s="3">
        <f>W_FIAB*BW342+W_PRECIO*BX342+W_KMEDAD*CB342+W_ANUNCIO*CC342+W_USO*CH342+W_SEGURIDAD*CJ342+W_ETIQUETA*CD342-CK342</f>
        <v/>
      </c>
      <c r="CM342" s="4">
        <f>IF(N(I342)&gt;0,I342,IFERROR(ROUND(_xlfn.NUMBERVALUE(LEFT(G342,FIND(" ",G342&amp;" ")-1),".")*1000,0),99999))</f>
        <v/>
      </c>
      <c r="CN342" s="3">
        <f>IF(R342="profesional",0,IF(O342&lt;CUOTA_VALOR_MAX,IF(BA342&gt;ITP_TRAMO_ALTO,SUMIFS(CF_CUOTA,CF_MAS,ITP_TRAMO_ALTO,CF_CCMIN,"&lt;="&amp;CM342,CF_CCMAX,"&gt;="&amp;CM342),IF(BA342&gt;ITP_TRAMO_BAJO,SUMIFS(CF_CUOTA,CF_MAS,ITP_TRAMO_BAJO,CF_CCMIN,"&lt;="&amp;CM342,CF_CCMAX,"&gt;="&amp;CM342),O342*ITP_TIPO)),O342*ITP_TIPO))</f>
        <v/>
      </c>
      <c r="CO342" s="4">
        <f>IF(R342="profesional",N(AK342),0)</f>
        <v/>
      </c>
      <c r="CP342" s="3">
        <f>IF(AND(R342="profesional",ISNUMBER(AK342),AL342="sí"),0,TASA_DGT)</f>
        <v/>
      </c>
      <c r="CQ342" s="3">
        <f>INFORME_DGT</f>
        <v/>
      </c>
      <c r="CR342" s="4">
        <f>O342+CO342+CN342+CP342+CQ342</f>
        <v/>
      </c>
      <c r="CS342" s="4">
        <f>CR342+N(CF342)</f>
        <v/>
      </c>
      <c r="CT342" s="3">
        <f>IF(CR342&lt;=TOTAL_MAX,"sí",IF(CR342&lt;=TOTAL_MAX+MARGEN_NEG,"negociar","no"))</f>
        <v/>
      </c>
      <c r="CU342" s="4">
        <f>IF(CT342&lt;&gt;"no",COUNTIFS($CT$2:$CT$545,"&lt;&gt;no",$CL$2:$CL$545,"&gt;"&amp;CL342)+COUNTIFS($CT$2:CT342,"&lt;&gt;no",$CL$2:CL342,CL342),"")</f>
        <v/>
      </c>
    </row>
    <row r="343">
      <c r="A343" s="2" t="inlineStr">
        <is>
          <t>cochesnet:54869719</t>
        </is>
      </c>
      <c r="B343" s="2" t="inlineStr">
        <is>
          <t>cochesnet</t>
        </is>
      </c>
      <c r="C343" s="2" t="inlineStr">
        <is>
          <t>https://www.coches.net/renault-clio-confort-dynamique-16-16v-3p-gasolina-2006-en-valencia-54869719-covo.aspx</t>
        </is>
      </c>
      <c r="D343" s="2" t="inlineStr">
        <is>
          <t>RENAULT Clio Confort Dynamique 1.6 16v 3p.</t>
        </is>
      </c>
      <c r="E343" s="2" t="inlineStr">
        <is>
          <t>Renault</t>
        </is>
      </c>
      <c r="F343" s="2" t="inlineStr">
        <is>
          <t>Renault Clio</t>
        </is>
      </c>
      <c r="G343" s="2" t="inlineStr">
        <is>
          <t>1.6</t>
        </is>
      </c>
      <c r="H343" s="2" t="inlineStr">
        <is>
          <t>Confort Dynamique 1.6 16v</t>
        </is>
      </c>
      <c r="I343" s="2" t="n"/>
      <c r="J343" s="2" t="n"/>
      <c r="K343" s="2" t="inlineStr">
        <is>
          <t>gasolina</t>
        </is>
      </c>
      <c r="L343" s="2" t="inlineStr">
        <is>
          <t>utilitario</t>
        </is>
      </c>
      <c r="M343" s="2" t="n">
        <v>2006</v>
      </c>
      <c r="N343" s="2" t="n">
        <v>102000</v>
      </c>
      <c r="O343" s="2" t="n">
        <v>3400</v>
      </c>
      <c r="P343" s="2" t="inlineStr">
        <is>
          <t>manual</t>
        </is>
      </c>
      <c r="Q343" s="2" t="inlineStr">
        <is>
          <t>no</t>
        </is>
      </c>
      <c r="R343" s="2" t="inlineStr">
        <is>
          <t>particular</t>
        </is>
      </c>
      <c r="S343" s="2" t="n"/>
      <c r="T343" s="2" t="inlineStr">
        <is>
          <t>2023-04-14T20:45:50Z</t>
        </is>
      </c>
      <c r="U343" s="2" t="n">
        <v>7</v>
      </c>
      <c r="V343" s="2" t="inlineStr">
        <is>
          <t>sí</t>
        </is>
      </c>
      <c r="W343" s="2" t="n"/>
      <c r="X343" s="2" t="n"/>
      <c r="Y343" s="2" t="n"/>
      <c r="Z343" s="2" t="inlineStr">
        <is>
          <t>no</t>
        </is>
      </c>
      <c r="AA343" s="2" t="n"/>
      <c r="AB343" s="2" t="n"/>
      <c r="AC343" s="2" t="n"/>
      <c r="AD343" s="2" t="n"/>
      <c r="AE343" s="2" t="n"/>
      <c r="AF343" s="2" t="n"/>
      <c r="AG343" s="2" t="n"/>
      <c r="AH343" s="2" t="n">
        <v>3400</v>
      </c>
      <c r="AI343" s="2" t="n"/>
      <c r="AJ343" s="2" t="n"/>
      <c r="AK343" s="2" t="n"/>
      <c r="AL343" s="2" t="n"/>
      <c r="AM343" s="2" t="n"/>
      <c r="AN343" s="2" t="n"/>
      <c r="AO343" s="2" t="inlineStr">
        <is>
          <t>2006</t>
        </is>
      </c>
      <c r="AP343" s="2" t="n">
        <v>2006</v>
      </c>
      <c r="AQ343" s="2" t="n"/>
      <c r="AR343" s="2" t="n"/>
      <c r="AS343" s="2" t="inlineStr">
        <is>
          <t>regla</t>
        </is>
      </c>
      <c r="AT343" s="2" t="n">
        <v>2750</v>
      </c>
      <c r="AU343" s="2" t="n">
        <v>18</v>
      </c>
      <c r="AV343" s="2" t="inlineStr">
        <is>
          <t>modelo+año</t>
        </is>
      </c>
      <c r="AW343" s="2" t="n"/>
      <c r="AX343" s="2" t="inlineStr">
        <is>
          <t>cuota fija ITP: &gt;12 años, 1.501-2.000 cc; distancia no verificable (el anuncio solo indica la provincia): confirmar que está a &lt;= 70 km</t>
        </is>
      </c>
      <c r="AY343" s="2" t="inlineStr">
        <is>
          <t>Choce en perfecto estado,ITV recién pasada y con etiqueta medioambiental.</t>
        </is>
      </c>
      <c r="AZ343" s="2" t="inlineStr">
        <is>
          <t>https://www.coches.net/renault-clio-confort-dynamique-16-16v-3p-gasolina-2006-en-valencia-54869719-covo.aspx (window.__INITIAL_PROPS__.ad) /home/user/Alopecia/buscador-coches/raw/cochesnet/d2f293c4bd05ca8e.json</t>
        </is>
      </c>
      <c r="BA343" s="3">
        <f>MAX(ANIO_ACTUAL-M343,0)</f>
        <v/>
      </c>
      <c r="BB343" s="4">
        <f>N343/MAX(BA343,0.5)</f>
        <v/>
      </c>
      <c r="BC343" s="4">
        <f>F343</f>
        <v/>
      </c>
      <c r="BD343" s="3">
        <f>BC343&amp;"|"&amp;INT(M343/SEG_ANIO)*SEG_ANIO</f>
        <v/>
      </c>
      <c r="BE343" s="3">
        <f>BD343&amp;"|"&amp;INT(N343/SEG_KM)*SEG_KM</f>
        <v/>
      </c>
      <c r="BF343" s="4">
        <f>COUNTIF($BC$2:$BC$545,BC343)</f>
        <v/>
      </c>
      <c r="BG343" s="4">
        <f>COUNTIF($BD$2:$BD$545,BD343)</f>
        <v/>
      </c>
      <c r="BH343" s="4">
        <f>COUNTIF($BE$2:$BE$545,BE343)</f>
        <v/>
      </c>
      <c r="BI343" s="3">
        <f t="array" ref="BI343">IF(N(AU343)&gt;=MIN_N,AT343,IF(BH343&gt;=MIN_N,MEDIAN(IF($BE$2:$BE$545=BE343,$O$2:$O$545)),IF(BG343&gt;=MIN_N,MEDIAN(IF($BD$2:$BD$545=BD343,$O$2:$O$545)),MEDIAN(IF($BC$2:$BC$545=BC343,$O$2:$O$545)))))</f>
        <v/>
      </c>
      <c r="BJ343" s="3">
        <f>IF(N(AU343)&gt;=MIN_N,"mercado "&amp;AV343,IF(BH343&gt;=MIN_N,"modelo+año+km",IF(BG343&gt;=MIN_N,"modelo+año","modelo")))</f>
        <v/>
      </c>
      <c r="BK343" s="4">
        <f>(BI343-O343)/BI343</f>
        <v/>
      </c>
      <c r="BL343" s="3">
        <f>IF(COUNTIFS(FR_FUEL,K343,FR_YEAR,AP343)&gt;0,1,0)</f>
        <v/>
      </c>
      <c r="BM343" s="3">
        <f>IF(COUNTIFS(FR_FUEL,K343,FR_YEAR,AP343-1)&gt;0,1,0)</f>
        <v/>
      </c>
      <c r="BN343" s="4">
        <f>IF(N(AQ343)&gt;0,AP343*100+AQ343,IF(AND(BL343=1,BM343=1),(AP343-1)*100+1,AP343*100+1))</f>
        <v/>
      </c>
      <c r="BO343" s="3">
        <f>IF(OR(K343="hibrido",K343="glp",K343="gnc",K343="phev"),"ECO",IF(K343="electrico","CERO",IF(K343="gasolina",IF(BN343&gt;=GAS_C_YM,"C",IF(BN343&gt;=GAS_B_YM,"B","A")),IF(K343="diesel",IF(BN343&gt;=DIE_C_YM,"C",IF(BN343&gt;=DIE_B_YM,"B","A")),""))))</f>
        <v/>
      </c>
      <c r="BP343" s="4">
        <f>BO343</f>
        <v/>
      </c>
      <c r="BQ343" s="4">
        <f>IF(AS343="regla",IF(AND(N(AQ343)=0,BL343=1),"sí","no"),"no")</f>
        <v/>
      </c>
      <c r="BR343" s="3">
        <f>IFERROR(VLOOKUP(F343,MOD_TBL,11,0),IFERROR(VLOOKUP(E343,OCU_TBL,2,0),NEUTRO))</f>
        <v/>
      </c>
      <c r="BS343" s="3">
        <f>SUMIFS(MOT_AJUSTE,MOT_MOTOR,G343,MOT_MARCA,E343,MOT_DESDE,"&lt;="&amp;M343,MOT_HASTA,"&gt;="&amp;M343)+SUMIFS(MOT_AJUSTE,MOT_MOTOR,G343,MOT_MARCA,"(todas)",MOT_DESDE,"&lt;="&amp;M343,MOT_HASTA,"&gt;="&amp;M343)</f>
        <v/>
      </c>
      <c r="BT343" s="3">
        <f>SUMIFS(COMB_AJUSTE,COMB_COMB,K343)</f>
        <v/>
      </c>
      <c r="BU343" s="3">
        <f>COUNTIFS(MOT_MOTOR,G343,MOT_MARCA,E343,MOT_DESDE,"&lt;="&amp;M343,MOT_HASTA,"&gt;="&amp;M343)+COUNTIFS(MOT_MOTOR,G343,MOT_MARCA,"(todas)",MOT_DESDE,"&lt;="&amp;M343,MOT_HASTA,"&gt;="&amp;M343)</f>
        <v/>
      </c>
      <c r="BV343" s="3">
        <f>IF(AND(K343="diesel",BU343=0),MIN(BR343,NEUTRO),BR343)</f>
        <v/>
      </c>
      <c r="BW343" s="4">
        <f>MAX(0,MIN(100,BV343+BS343+BT343))</f>
        <v/>
      </c>
      <c r="BX343" s="3">
        <f>MAX(0,MIN(100,50+BK343*PRECIO_PEND))</f>
        <v/>
      </c>
      <c r="BY343" s="3">
        <f>MAX(0,100*(1-N343/KM_MAX))</f>
        <v/>
      </c>
      <c r="BZ343" s="3">
        <f>IF(BB343&lt;KMA_SOSP,IF(AA343="sí",100,KMA_PEN),IF(BB343&lt;=KMA_IDEAL_MAX,100,MAX(0,100*(KMA_CERO-BB343)/(KMA_CERO-KMA_IDEAL_MAX))))</f>
        <v/>
      </c>
      <c r="CA343" s="3">
        <f>MAX(0,MIN(100,100*(M343-ANIO_MIN)/(ANIO_ACTUAL-ANIO_MIN)))</f>
        <v/>
      </c>
      <c r="CB343" s="3">
        <f>W_KMT*BY343+W_KMA*BZ343+W_EDAD*CA343</f>
        <v/>
      </c>
      <c r="CC343" s="3">
        <f>P_ITV*(V343="sí")+P_LIBRO*(W343="sí")+P_CORREA*(X343="sí")+P_PROP*(Y343=1)+P_GAR*(Z343="sí")+P_FOTOS*MIN(1,N(U343)/FOTOS_OBJ)</f>
        <v/>
      </c>
      <c r="CD343" s="3">
        <f>MAX(0,MIN(100,IFERROR(VLOOKUP(BP343,ETQ_TBL,2,0),0)-IF(BQ343="sí",ETQ_PEN_DUD,IF(AS343="regla",ETQ_PEN_REGLA,0))))</f>
        <v/>
      </c>
      <c r="CE343" s="3">
        <f>NEUTRO</f>
        <v/>
      </c>
      <c r="CF343" s="3">
        <f>IFERROR(VLOOKUP(L343,SEGURO_TBL,3,0),"")</f>
        <v/>
      </c>
      <c r="CG343" s="3">
        <f>IF(CF343="",NEUTRO,MAX(0,MIN(100,100*(SEG_REF_MAX-CF343)/(SEG_REF_MAX-SEG_REF_MIN))))</f>
        <v/>
      </c>
      <c r="CH343" s="3">
        <f>W_CONS*CE343+W_SEG*CG343</f>
        <v/>
      </c>
      <c r="CI343" s="3">
        <f>IF(N(AB343)&gt;0,AB343,IF(AND(R343="profesional",SG_LEGAL_ON=1),GAR_LEGAL,0))</f>
        <v/>
      </c>
      <c r="CJ343" s="3">
        <f>SG_GAR*MIN(1,CI343/SG_GAR_FULL)+SG_AMPL*(AC343="sí")+SG_KMC*(AF343="sí")+SG_REV*(N(AE343)&gt;0)+SG_DEV*MIN(1,N(AG343)/SG_DEV_FULL)+SG_HIST*(W343="sí")</f>
        <v/>
      </c>
      <c r="CK343" s="3">
        <f>IFERROR(VLOOKUP(L343,CARR_PEN_TBL,2,0),0)</f>
        <v/>
      </c>
      <c r="CL343" s="3">
        <f>W_FIAB*BW343+W_PRECIO*BX343+W_KMEDAD*CB343+W_ANUNCIO*CC343+W_USO*CH343+W_SEGURIDAD*CJ343+W_ETIQUETA*CD343-CK343</f>
        <v/>
      </c>
      <c r="CM343" s="4">
        <f>IF(N(I343)&gt;0,I343,IFERROR(ROUND(_xlfn.NUMBERVALUE(LEFT(G343,FIND(" ",G343&amp;" ")-1),".")*1000,0),99999))</f>
        <v/>
      </c>
      <c r="CN343" s="3">
        <f>IF(R343="profesional",0,IF(O343&lt;CUOTA_VALOR_MAX,IF(BA343&gt;ITP_TRAMO_ALTO,SUMIFS(CF_CUOTA,CF_MAS,ITP_TRAMO_ALTO,CF_CCMIN,"&lt;="&amp;CM343,CF_CCMAX,"&gt;="&amp;CM343),IF(BA343&gt;ITP_TRAMO_BAJO,SUMIFS(CF_CUOTA,CF_MAS,ITP_TRAMO_BAJO,CF_CCMIN,"&lt;="&amp;CM343,CF_CCMAX,"&gt;="&amp;CM343),O343*ITP_TIPO)),O343*ITP_TIPO))</f>
        <v/>
      </c>
      <c r="CO343" s="4">
        <f>IF(R343="profesional",N(AK343),0)</f>
        <v/>
      </c>
      <c r="CP343" s="3">
        <f>IF(AND(R343="profesional",ISNUMBER(AK343),AL343="sí"),0,TASA_DGT)</f>
        <v/>
      </c>
      <c r="CQ343" s="3">
        <f>INFORME_DGT</f>
        <v/>
      </c>
      <c r="CR343" s="4">
        <f>O343+CO343+CN343+CP343+CQ343</f>
        <v/>
      </c>
      <c r="CS343" s="4">
        <f>CR343+N(CF343)</f>
        <v/>
      </c>
      <c r="CT343" s="3">
        <f>IF(CR343&lt;=TOTAL_MAX,"sí",IF(CR343&lt;=TOTAL_MAX+MARGEN_NEG,"negociar","no"))</f>
        <v/>
      </c>
      <c r="CU343" s="4">
        <f>IF(CT343&lt;&gt;"no",COUNTIFS($CT$2:$CT$545,"&lt;&gt;no",$CL$2:$CL$545,"&gt;"&amp;CL343)+COUNTIFS($CT$2:CT343,"&lt;&gt;no",$CL$2:CL343,CL343),"")</f>
        <v/>
      </c>
    </row>
    <row r="344">
      <c r="A344" s="2" t="inlineStr">
        <is>
          <t>cochesnet:71867959</t>
        </is>
      </c>
      <c r="B344" s="2" t="inlineStr">
        <is>
          <t>cochesnet</t>
        </is>
      </c>
      <c r="C344" s="2" t="inlineStr">
        <is>
          <t>https://www.coches.net/renault-megane-emotion-16-16v-5p-gasolina-2006-en-valencia-71867959-covo.aspx</t>
        </is>
      </c>
      <c r="D344" s="2" t="inlineStr">
        <is>
          <t>RENAULT Megane EMOTION 1.6 16v</t>
        </is>
      </c>
      <c r="E344" s="2" t="inlineStr">
        <is>
          <t>Renault</t>
        </is>
      </c>
      <c r="F344" s="2" t="inlineStr">
        <is>
          <t>Renault Mégane</t>
        </is>
      </c>
      <c r="G344" s="2" t="inlineStr">
        <is>
          <t>1.6</t>
        </is>
      </c>
      <c r="H344" s="2" t="inlineStr">
        <is>
          <t>EMOTION 1.6 16v</t>
        </is>
      </c>
      <c r="I344" s="2" t="n"/>
      <c r="J344" s="2" t="n"/>
      <c r="K344" s="2" t="inlineStr">
        <is>
          <t>gasolina</t>
        </is>
      </c>
      <c r="L344" s="2" t="inlineStr">
        <is>
          <t>compacto</t>
        </is>
      </c>
      <c r="M344" s="2" t="n">
        <v>2006</v>
      </c>
      <c r="N344" s="2" t="n">
        <v>61686</v>
      </c>
      <c r="O344" s="2" t="n">
        <v>4000</v>
      </c>
      <c r="P344" s="2" t="inlineStr">
        <is>
          <t>manual</t>
        </is>
      </c>
      <c r="Q344" s="2" t="inlineStr">
        <is>
          <t>no</t>
        </is>
      </c>
      <c r="R344" s="2" t="inlineStr">
        <is>
          <t>particular</t>
        </is>
      </c>
      <c r="S344" s="2" t="inlineStr">
        <is>
          <t>Moncada</t>
        </is>
      </c>
      <c r="T344" s="2" t="inlineStr">
        <is>
          <t>2026-10-30T09:54:13Z</t>
        </is>
      </c>
      <c r="U344" s="2" t="n">
        <v>7</v>
      </c>
      <c r="V344" s="2" t="n"/>
      <c r="W344" s="2" t="n"/>
      <c r="X344" s="2" t="n"/>
      <c r="Y344" s="2" t="n"/>
      <c r="Z344" s="2" t="inlineStr">
        <is>
          <t>no</t>
        </is>
      </c>
      <c r="AA344" s="2" t="n"/>
      <c r="AB344" s="2" t="n"/>
      <c r="AC344" s="2" t="n"/>
      <c r="AD344" s="2" t="n"/>
      <c r="AE344" s="2" t="n"/>
      <c r="AF344" s="2" t="n"/>
      <c r="AG344" s="2" t="n"/>
      <c r="AH344" s="2" t="n">
        <v>4000</v>
      </c>
      <c r="AI344" s="2" t="n"/>
      <c r="AJ344" s="2" t="n"/>
      <c r="AK344" s="2" t="n"/>
      <c r="AL344" s="2" t="n"/>
      <c r="AM344" s="2" t="n">
        <v>8.699999999999999</v>
      </c>
      <c r="AN344" s="2" t="n"/>
      <c r="AO344" s="2" t="inlineStr">
        <is>
          <t>09/2006</t>
        </is>
      </c>
      <c r="AP344" s="2" t="n">
        <v>2006</v>
      </c>
      <c r="AQ344" s="2" t="n">
        <v>9</v>
      </c>
      <c r="AR344" s="2" t="inlineStr">
        <is>
          <t>C</t>
        </is>
      </c>
      <c r="AS344" s="2" t="inlineStr">
        <is>
          <t>anuncio</t>
        </is>
      </c>
      <c r="AT344" s="2" t="n">
        <v>4400</v>
      </c>
      <c r="AU344" s="2" t="n">
        <v>4</v>
      </c>
      <c r="AV344" s="2" t="inlineStr">
        <is>
          <t>modelo+año+km</t>
        </is>
      </c>
      <c r="AW344" s="2" t="n"/>
      <c r="AX344" s="2" t="inlineStr">
        <is>
          <t>cuota fija ITP: &gt;12 años, 1.501-2.000 cc</t>
        </is>
      </c>
      <c r="AY344" s="2" t="inlineStr">
        <is>
          <t>Si buscas un coche que combine fiabilidad, eficiencia y buen rendimiento a un precio justo, este Renault Mégane es para ti.
Se trata de un berlina versátil y práctico con motor de 1.6 litros y 110 caballos de potencia, perfectamente equilibrado para ofrecerte una conducción suave tanto en ciudad como en carretera. Con pocos kilómetros recorridos, el vehículo se encuentra en buen estado general, tanto en su exterior como en el interior, listo para continuar ofreciendo años de servicio sin problemas.
La etiqueta medioambiental C refleja su eficiencia energética, permitiéndote acceder a zonas de tráfico limitado en muchas ciudades. El cambio manual te proporciona un control total de la conducción, mientras que las cinco puertas y cinco plazas lo hacen ideal para familias o quienes necesitan versatilidad en sus desplazamientos.
A este precio, estás adquiriendo un vehículo con un excelente valor de mercado que no requiere inversión inmediata. Es la opción perfecta si buscas movilidad segura y económica sin comprometer la calidad.
Si tienes dudas sobre aspectos específicos del vehículo que no aparezcan en la ficha técnica, no dudes en contactarme a través del chat. Estoy aquí para resolver cualquier pregunta que tengas.
Contacta hoy mismo y no dejes escapar esta oportunidad.</t>
        </is>
      </c>
      <c r="AZ344" s="2" t="inlineStr">
        <is>
          <t>https://www.coches.net/renault-megane-emotion-16-16v-5p-gasolina-2006-en-valencia-71867959-covo.aspx (window.__INITIAL_PROPS__.ad) /home/user/Alopecia/buscador-coches/raw/cochesnet/337821967acbca32.json</t>
        </is>
      </c>
      <c r="BA344" s="3">
        <f>MAX(ANIO_ACTUAL-M344,0)</f>
        <v/>
      </c>
      <c r="BB344" s="4">
        <f>N344/MAX(BA344,0.5)</f>
        <v/>
      </c>
      <c r="BC344" s="4">
        <f>F344</f>
        <v/>
      </c>
      <c r="BD344" s="3">
        <f>BC344&amp;"|"&amp;INT(M344/SEG_ANIO)*SEG_ANIO</f>
        <v/>
      </c>
      <c r="BE344" s="3">
        <f>BD344&amp;"|"&amp;INT(N344/SEG_KM)*SEG_KM</f>
        <v/>
      </c>
      <c r="BF344" s="4">
        <f>COUNTIF($BC$2:$BC$545,BC344)</f>
        <v/>
      </c>
      <c r="BG344" s="4">
        <f>COUNTIF($BD$2:$BD$545,BD344)</f>
        <v/>
      </c>
      <c r="BH344" s="4">
        <f>COUNTIF($BE$2:$BE$545,BE344)</f>
        <v/>
      </c>
      <c r="BI344" s="3">
        <f t="array" ref="BI344">IF(N(AU344)&gt;=MIN_N,AT344,IF(BH344&gt;=MIN_N,MEDIAN(IF($BE$2:$BE$545=BE344,$O$2:$O$545)),IF(BG344&gt;=MIN_N,MEDIAN(IF($BD$2:$BD$545=BD344,$O$2:$O$545)),MEDIAN(IF($BC$2:$BC$545=BC344,$O$2:$O$545)))))</f>
        <v/>
      </c>
      <c r="BJ344" s="3">
        <f>IF(N(AU344)&gt;=MIN_N,"mercado "&amp;AV344,IF(BH344&gt;=MIN_N,"modelo+año+km",IF(BG344&gt;=MIN_N,"modelo+año","modelo")))</f>
        <v/>
      </c>
      <c r="BK344" s="4">
        <f>(BI344-O344)/BI344</f>
        <v/>
      </c>
      <c r="BL344" s="3">
        <f>IF(COUNTIFS(FR_FUEL,K344,FR_YEAR,AP344)&gt;0,1,0)</f>
        <v/>
      </c>
      <c r="BM344" s="3">
        <f>IF(COUNTIFS(FR_FUEL,K344,FR_YEAR,AP344-1)&gt;0,1,0)</f>
        <v/>
      </c>
      <c r="BN344" s="4">
        <f>IF(N(AQ344)&gt;0,AP344*100+AQ344,IF(AND(BL344=1,BM344=1),(AP344-1)*100+1,AP344*100+1))</f>
        <v/>
      </c>
      <c r="BO344" s="3">
        <f>IF(OR(K344="hibrido",K344="glp",K344="gnc",K344="phev"),"ECO",IF(K344="electrico","CERO",IF(K344="gasolina",IF(BN344&gt;=GAS_C_YM,"C",IF(BN344&gt;=GAS_B_YM,"B","A")),IF(K344="diesel",IF(BN344&gt;=DIE_C_YM,"C",IF(BN344&gt;=DIE_B_YM,"B","A")),""))))</f>
        <v/>
      </c>
      <c r="BP344" s="2" t="inlineStr">
        <is>
          <t>C</t>
        </is>
      </c>
      <c r="BQ344" s="4">
        <f>IF(AS344="regla",IF(AND(N(AQ344)=0,BL344=1),"sí","no"),"no")</f>
        <v/>
      </c>
      <c r="BR344" s="3">
        <f>IFERROR(VLOOKUP(F344,MOD_TBL,11,0),IFERROR(VLOOKUP(E344,OCU_TBL,2,0),NEUTRO))</f>
        <v/>
      </c>
      <c r="BS344" s="3">
        <f>SUMIFS(MOT_AJUSTE,MOT_MOTOR,G344,MOT_MARCA,E344,MOT_DESDE,"&lt;="&amp;M344,MOT_HASTA,"&gt;="&amp;M344)+SUMIFS(MOT_AJUSTE,MOT_MOTOR,G344,MOT_MARCA,"(todas)",MOT_DESDE,"&lt;="&amp;M344,MOT_HASTA,"&gt;="&amp;M344)</f>
        <v/>
      </c>
      <c r="BT344" s="3">
        <f>SUMIFS(COMB_AJUSTE,COMB_COMB,K344)</f>
        <v/>
      </c>
      <c r="BU344" s="3">
        <f>COUNTIFS(MOT_MOTOR,G344,MOT_MARCA,E344,MOT_DESDE,"&lt;="&amp;M344,MOT_HASTA,"&gt;="&amp;M344)+COUNTIFS(MOT_MOTOR,G344,MOT_MARCA,"(todas)",MOT_DESDE,"&lt;="&amp;M344,MOT_HASTA,"&gt;="&amp;M344)</f>
        <v/>
      </c>
      <c r="BV344" s="3">
        <f>IF(AND(K344="diesel",BU344=0),MIN(BR344,NEUTRO),BR344)</f>
        <v/>
      </c>
      <c r="BW344" s="4">
        <f>MAX(0,MIN(100,BV344+BS344+BT344))</f>
        <v/>
      </c>
      <c r="BX344" s="3">
        <f>MAX(0,MIN(100,50+BK344*PRECIO_PEND))</f>
        <v/>
      </c>
      <c r="BY344" s="3">
        <f>MAX(0,100*(1-N344/KM_MAX))</f>
        <v/>
      </c>
      <c r="BZ344" s="3">
        <f>IF(BB344&lt;KMA_SOSP,IF(AA344="sí",100,KMA_PEN),IF(BB344&lt;=KMA_IDEAL_MAX,100,MAX(0,100*(KMA_CERO-BB344)/(KMA_CERO-KMA_IDEAL_MAX))))</f>
        <v/>
      </c>
      <c r="CA344" s="3">
        <f>MAX(0,MIN(100,100*(M344-ANIO_MIN)/(ANIO_ACTUAL-ANIO_MIN)))</f>
        <v/>
      </c>
      <c r="CB344" s="3">
        <f>W_KMT*BY344+W_KMA*BZ344+W_EDAD*CA344</f>
        <v/>
      </c>
      <c r="CC344" s="3">
        <f>P_ITV*(V344="sí")+P_LIBRO*(W344="sí")+P_CORREA*(X344="sí")+P_PROP*(Y344=1)+P_GAR*(Z344="sí")+P_FOTOS*MIN(1,N(U344)/FOTOS_OBJ)</f>
        <v/>
      </c>
      <c r="CD344" s="3">
        <f>MAX(0,MIN(100,IFERROR(VLOOKUP(BP344,ETQ_TBL,2,0),0)-IF(BQ344="sí",ETQ_PEN_DUD,IF(AS344="regla",ETQ_PEN_REGLA,0))))</f>
        <v/>
      </c>
      <c r="CE344" s="3">
        <f>NEUTRO</f>
        <v/>
      </c>
      <c r="CF344" s="3">
        <f>IFERROR(VLOOKUP(L344,SEGURO_TBL,3,0),"")</f>
        <v/>
      </c>
      <c r="CG344" s="3">
        <f>IF(CF344="",NEUTRO,MAX(0,MIN(100,100*(SEG_REF_MAX-CF344)/(SEG_REF_MAX-SEG_REF_MIN))))</f>
        <v/>
      </c>
      <c r="CH344" s="3">
        <f>W_CONS*CE344+W_SEG*CG344</f>
        <v/>
      </c>
      <c r="CI344" s="3">
        <f>IF(N(AB344)&gt;0,AB344,IF(AND(R344="profesional",SG_LEGAL_ON=1),GAR_LEGAL,0))</f>
        <v/>
      </c>
      <c r="CJ344" s="3">
        <f>SG_GAR*MIN(1,CI344/SG_GAR_FULL)+SG_AMPL*(AC344="sí")+SG_KMC*(AF344="sí")+SG_REV*(N(AE344)&gt;0)+SG_DEV*MIN(1,N(AG344)/SG_DEV_FULL)+SG_HIST*(W344="sí")</f>
        <v/>
      </c>
      <c r="CK344" s="3">
        <f>IFERROR(VLOOKUP(L344,CARR_PEN_TBL,2,0),0)</f>
        <v/>
      </c>
      <c r="CL344" s="3">
        <f>W_FIAB*BW344+W_PRECIO*BX344+W_KMEDAD*CB344+W_ANUNCIO*CC344+W_USO*CH344+W_SEGURIDAD*CJ344+W_ETIQUETA*CD344-CK344</f>
        <v/>
      </c>
      <c r="CM344" s="4">
        <f>IF(N(I344)&gt;0,I344,IFERROR(ROUND(_xlfn.NUMBERVALUE(LEFT(G344,FIND(" ",G344&amp;" ")-1),".")*1000,0),99999))</f>
        <v/>
      </c>
      <c r="CN344" s="3">
        <f>IF(R344="profesional",0,IF(O344&lt;CUOTA_VALOR_MAX,IF(BA344&gt;ITP_TRAMO_ALTO,SUMIFS(CF_CUOTA,CF_MAS,ITP_TRAMO_ALTO,CF_CCMIN,"&lt;="&amp;CM344,CF_CCMAX,"&gt;="&amp;CM344),IF(BA344&gt;ITP_TRAMO_BAJO,SUMIFS(CF_CUOTA,CF_MAS,ITP_TRAMO_BAJO,CF_CCMIN,"&lt;="&amp;CM344,CF_CCMAX,"&gt;="&amp;CM344),O344*ITP_TIPO)),O344*ITP_TIPO))</f>
        <v/>
      </c>
      <c r="CO344" s="4">
        <f>IF(R344="profesional",N(AK344),0)</f>
        <v/>
      </c>
      <c r="CP344" s="3">
        <f>IF(AND(R344="profesional",ISNUMBER(AK344),AL344="sí"),0,TASA_DGT)</f>
        <v/>
      </c>
      <c r="CQ344" s="3">
        <f>INFORME_DGT</f>
        <v/>
      </c>
      <c r="CR344" s="4">
        <f>O344+CO344+CN344+CP344+CQ344</f>
        <v/>
      </c>
      <c r="CS344" s="4">
        <f>CR344+N(CF344)</f>
        <v/>
      </c>
      <c r="CT344" s="3">
        <f>IF(CR344&lt;=TOTAL_MAX,"sí",IF(CR344&lt;=TOTAL_MAX+MARGEN_NEG,"negociar","no"))</f>
        <v/>
      </c>
      <c r="CU344" s="4">
        <f>IF(CT344&lt;&gt;"no",COUNTIFS($CT$2:$CT$545,"&lt;&gt;no",$CL$2:$CL$545,"&gt;"&amp;CL344)+COUNTIFS($CT$2:CT344,"&lt;&gt;no",$CL$2:CL344,CL344),"")</f>
        <v/>
      </c>
    </row>
    <row r="345">
      <c r="A345" s="2" t="inlineStr">
        <is>
          <t>cochesnet:71684364</t>
        </is>
      </c>
      <c r="B345" s="2" t="inlineStr">
        <is>
          <t>cochesnet</t>
        </is>
      </c>
      <c r="C345" s="2" t="inlineStr">
        <is>
          <t>https://www.coches.net/renault-megane-business-dci-110-5p-diesel-2012-en-valencia-71684364-covo.aspx</t>
        </is>
      </c>
      <c r="D345" s="2" t="inlineStr">
        <is>
          <t>RENAULT Mégane Business dCi 110</t>
        </is>
      </c>
      <c r="E345" s="2" t="inlineStr">
        <is>
          <t>Renault</t>
        </is>
      </c>
      <c r="F345" s="2" t="inlineStr">
        <is>
          <t>Renault Mégane</t>
        </is>
      </c>
      <c r="G345" s="2" t="inlineStr">
        <is>
          <t>? dCi</t>
        </is>
      </c>
      <c r="H345" s="2" t="inlineStr">
        <is>
          <t>Business dCi 110</t>
        </is>
      </c>
      <c r="I345" s="2" t="n"/>
      <c r="J345" s="2" t="n"/>
      <c r="K345" s="2" t="inlineStr">
        <is>
          <t>diesel</t>
        </is>
      </c>
      <c r="L345" s="2" t="inlineStr">
        <is>
          <t>compacto</t>
        </is>
      </c>
      <c r="M345" s="2" t="n">
        <v>2012</v>
      </c>
      <c r="N345" s="2" t="n">
        <v>199000</v>
      </c>
      <c r="O345" s="2" t="n">
        <v>4990</v>
      </c>
      <c r="P345" s="2" t="inlineStr">
        <is>
          <t>manual</t>
        </is>
      </c>
      <c r="Q345" s="2" t="inlineStr">
        <is>
          <t>no</t>
        </is>
      </c>
      <c r="R345" s="2" t="inlineStr">
        <is>
          <t>profesional</t>
        </is>
      </c>
      <c r="S345" s="2" t="inlineStr">
        <is>
          <t>V.O. Eliana San Antonio de Benagéber</t>
        </is>
      </c>
      <c r="T345" s="2" t="inlineStr">
        <is>
          <t>2026-10-06T12:23:00Z</t>
        </is>
      </c>
      <c r="U345" s="2" t="n">
        <v>17</v>
      </c>
      <c r="V345" s="2" t="n"/>
      <c r="W345" s="2" t="n"/>
      <c r="X345" s="2" t="n"/>
      <c r="Y345" s="2" t="n"/>
      <c r="Z345" s="2" t="inlineStr">
        <is>
          <t>sí</t>
        </is>
      </c>
      <c r="AA345" s="2" t="n"/>
      <c r="AB345" s="2" t="n">
        <v>12</v>
      </c>
      <c r="AC345" s="2" t="n"/>
      <c r="AD345" s="2" t="n"/>
      <c r="AE345" s="2" t="n"/>
      <c r="AF345" s="2" t="n"/>
      <c r="AG345" s="2" t="n"/>
      <c r="AH345" s="2" t="n">
        <v>4990</v>
      </c>
      <c r="AI345" s="2" t="n"/>
      <c r="AJ345" s="2" t="n"/>
      <c r="AK345" s="2" t="n"/>
      <c r="AL345" s="2" t="n"/>
      <c r="AM345" s="2" t="n">
        <v>19.1</v>
      </c>
      <c r="AN345" s="2" t="n"/>
      <c r="AO345" s="2" t="inlineStr">
        <is>
          <t>2012</t>
        </is>
      </c>
      <c r="AP345" s="2" t="n">
        <v>2012</v>
      </c>
      <c r="AQ345" s="2" t="n"/>
      <c r="AR345" s="2" t="inlineStr">
        <is>
          <t>B</t>
        </is>
      </c>
      <c r="AS345" s="2" t="inlineStr">
        <is>
          <t>anuncio</t>
        </is>
      </c>
      <c r="AT345" s="2" t="n">
        <v>5045</v>
      </c>
      <c r="AU345" s="2" t="n">
        <v>12</v>
      </c>
      <c r="AV345" s="2" t="inlineStr">
        <is>
          <t>modelo+año+km</t>
        </is>
      </c>
      <c r="AW345" s="2" t="n"/>
      <c r="AX345"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345" s="2" t="inlineStr">
        <is>
          <t>Este Mégane Business dCi combina confort y tecnología con aire acondicionado bizona automático, volante multifunción de cuero ajustable y ordenador de viaje con datos de consumo en tiempo real. Equipado con control de crucero, limpiaparabrisas con sensor de lluvia, faros con regulación automática y sistema de audio con seis altavoces y control remoto en el volante. Dirección asistida eléctrica progresiva, cristales tintados y retrovisores eléctricos desempañables completan una propuesta práctica y versátil para uso diario.</t>
        </is>
      </c>
      <c r="AZ345" s="2" t="inlineStr">
        <is>
          <t>https://www.coches.net/renault-megane-business-dci-110-5p-diesel-2012-en-valencia-71684364-covo.aspx (window.__INITIAL_PROPS__.ad) /home/user/Alopecia/buscador-coches/raw/cochesnet/0b83cc2dfa699629.json</t>
        </is>
      </c>
      <c r="BA345" s="3">
        <f>MAX(ANIO_ACTUAL-M345,0)</f>
        <v/>
      </c>
      <c r="BB345" s="4">
        <f>N345/MAX(BA345,0.5)</f>
        <v/>
      </c>
      <c r="BC345" s="4">
        <f>F345</f>
        <v/>
      </c>
      <c r="BD345" s="3">
        <f>BC345&amp;"|"&amp;INT(M345/SEG_ANIO)*SEG_ANIO</f>
        <v/>
      </c>
      <c r="BE345" s="3">
        <f>BD345&amp;"|"&amp;INT(N345/SEG_KM)*SEG_KM</f>
        <v/>
      </c>
      <c r="BF345" s="4">
        <f>COUNTIF($BC$2:$BC$545,BC345)</f>
        <v/>
      </c>
      <c r="BG345" s="4">
        <f>COUNTIF($BD$2:$BD$545,BD345)</f>
        <v/>
      </c>
      <c r="BH345" s="4">
        <f>COUNTIF($BE$2:$BE$545,BE345)</f>
        <v/>
      </c>
      <c r="BI345" s="3">
        <f t="array" ref="BI345">IF(N(AU345)&gt;=MIN_N,AT345,IF(BH345&gt;=MIN_N,MEDIAN(IF($BE$2:$BE$545=BE345,$O$2:$O$545)),IF(BG345&gt;=MIN_N,MEDIAN(IF($BD$2:$BD$545=BD345,$O$2:$O$545)),MEDIAN(IF($BC$2:$BC$545=BC345,$O$2:$O$545)))))</f>
        <v/>
      </c>
      <c r="BJ345" s="3">
        <f>IF(N(AU345)&gt;=MIN_N,"mercado "&amp;AV345,IF(BH345&gt;=MIN_N,"modelo+año+km",IF(BG345&gt;=MIN_N,"modelo+año","modelo")))</f>
        <v/>
      </c>
      <c r="BK345" s="4">
        <f>(BI345-O345)/BI345</f>
        <v/>
      </c>
      <c r="BL345" s="3">
        <f>IF(COUNTIFS(FR_FUEL,K345,FR_YEAR,AP345)&gt;0,1,0)</f>
        <v/>
      </c>
      <c r="BM345" s="3">
        <f>IF(COUNTIFS(FR_FUEL,K345,FR_YEAR,AP345-1)&gt;0,1,0)</f>
        <v/>
      </c>
      <c r="BN345" s="4">
        <f>IF(N(AQ345)&gt;0,AP345*100+AQ345,IF(AND(BL345=1,BM345=1),(AP345-1)*100+1,AP345*100+1))</f>
        <v/>
      </c>
      <c r="BO345" s="3">
        <f>IF(OR(K345="hibrido",K345="glp",K345="gnc",K345="phev"),"ECO",IF(K345="electrico","CERO",IF(K345="gasolina",IF(BN345&gt;=GAS_C_YM,"C",IF(BN345&gt;=GAS_B_YM,"B","A")),IF(K345="diesel",IF(BN345&gt;=DIE_C_YM,"C",IF(BN345&gt;=DIE_B_YM,"B","A")),""))))</f>
        <v/>
      </c>
      <c r="BP345" s="2" t="inlineStr">
        <is>
          <t>B</t>
        </is>
      </c>
      <c r="BQ345" s="4">
        <f>IF(AS345="regla",IF(AND(N(AQ345)=0,BL345=1),"sí","no"),"no")</f>
        <v/>
      </c>
      <c r="BR345" s="3">
        <f>IFERROR(VLOOKUP(F345,MOD_TBL,11,0),IFERROR(VLOOKUP(E345,OCU_TBL,2,0),NEUTRO))</f>
        <v/>
      </c>
      <c r="BS345" s="3">
        <f>SUMIFS(MOT_AJUSTE,MOT_MOTOR,G345,MOT_MARCA,E345,MOT_DESDE,"&lt;="&amp;M345,MOT_HASTA,"&gt;="&amp;M345)+SUMIFS(MOT_AJUSTE,MOT_MOTOR,G345,MOT_MARCA,"(todas)",MOT_DESDE,"&lt;="&amp;M345,MOT_HASTA,"&gt;="&amp;M345)</f>
        <v/>
      </c>
      <c r="BT345" s="3">
        <f>SUMIFS(COMB_AJUSTE,COMB_COMB,K345)</f>
        <v/>
      </c>
      <c r="BU345" s="3">
        <f>COUNTIFS(MOT_MOTOR,G345,MOT_MARCA,E345,MOT_DESDE,"&lt;="&amp;M345,MOT_HASTA,"&gt;="&amp;M345)+COUNTIFS(MOT_MOTOR,G345,MOT_MARCA,"(todas)",MOT_DESDE,"&lt;="&amp;M345,MOT_HASTA,"&gt;="&amp;M345)</f>
        <v/>
      </c>
      <c r="BV345" s="3">
        <f>IF(AND(K345="diesel",BU345=0),MIN(BR345,NEUTRO),BR345)</f>
        <v/>
      </c>
      <c r="BW345" s="4">
        <f>MAX(0,MIN(100,BV345+BS345+BT345))</f>
        <v/>
      </c>
      <c r="BX345" s="3">
        <f>MAX(0,MIN(100,50+BK345*PRECIO_PEND))</f>
        <v/>
      </c>
      <c r="BY345" s="3">
        <f>MAX(0,100*(1-N345/KM_MAX))</f>
        <v/>
      </c>
      <c r="BZ345" s="3">
        <f>IF(BB345&lt;KMA_SOSP,IF(AA345="sí",100,KMA_PEN),IF(BB345&lt;=KMA_IDEAL_MAX,100,MAX(0,100*(KMA_CERO-BB345)/(KMA_CERO-KMA_IDEAL_MAX))))</f>
        <v/>
      </c>
      <c r="CA345" s="3">
        <f>MAX(0,MIN(100,100*(M345-ANIO_MIN)/(ANIO_ACTUAL-ANIO_MIN)))</f>
        <v/>
      </c>
      <c r="CB345" s="3">
        <f>W_KMT*BY345+W_KMA*BZ345+W_EDAD*CA345</f>
        <v/>
      </c>
      <c r="CC345" s="3">
        <f>P_ITV*(V345="sí")+P_LIBRO*(W345="sí")+P_CORREA*(X345="sí")+P_PROP*(Y345=1)+P_GAR*(Z345="sí")+P_FOTOS*MIN(1,N(U345)/FOTOS_OBJ)</f>
        <v/>
      </c>
      <c r="CD345" s="3">
        <f>MAX(0,MIN(100,IFERROR(VLOOKUP(BP345,ETQ_TBL,2,0),0)-IF(BQ345="sí",ETQ_PEN_DUD,IF(AS345="regla",ETQ_PEN_REGLA,0))))</f>
        <v/>
      </c>
      <c r="CE345" s="3">
        <f>NEUTRO</f>
        <v/>
      </c>
      <c r="CF345" s="3">
        <f>IFERROR(VLOOKUP(L345,SEGURO_TBL,3,0),"")</f>
        <v/>
      </c>
      <c r="CG345" s="3">
        <f>IF(CF345="",NEUTRO,MAX(0,MIN(100,100*(SEG_REF_MAX-CF345)/(SEG_REF_MAX-SEG_REF_MIN))))</f>
        <v/>
      </c>
      <c r="CH345" s="3">
        <f>W_CONS*CE345+W_SEG*CG345</f>
        <v/>
      </c>
      <c r="CI345" s="3">
        <f>IF(N(AB345)&gt;0,AB345,IF(AND(R345="profesional",SG_LEGAL_ON=1),GAR_LEGAL,0))</f>
        <v/>
      </c>
      <c r="CJ345" s="3">
        <f>SG_GAR*MIN(1,CI345/SG_GAR_FULL)+SG_AMPL*(AC345="sí")+SG_KMC*(AF345="sí")+SG_REV*(N(AE345)&gt;0)+SG_DEV*MIN(1,N(AG345)/SG_DEV_FULL)+SG_HIST*(W345="sí")</f>
        <v/>
      </c>
      <c r="CK345" s="3">
        <f>IFERROR(VLOOKUP(L345,CARR_PEN_TBL,2,0),0)</f>
        <v/>
      </c>
      <c r="CL345" s="3">
        <f>W_FIAB*BW345+W_PRECIO*BX345+W_KMEDAD*CB345+W_ANUNCIO*CC345+W_USO*CH345+W_SEGURIDAD*CJ345+W_ETIQUETA*CD345-CK345</f>
        <v/>
      </c>
      <c r="CM345" s="4">
        <f>IF(N(I345)&gt;0,I345,IFERROR(ROUND(_xlfn.NUMBERVALUE(LEFT(G345,FIND(" ",G345&amp;" ")-1),".")*1000,0),99999))</f>
        <v/>
      </c>
      <c r="CN345" s="3">
        <f>IF(R345="profesional",0,IF(O345&lt;CUOTA_VALOR_MAX,IF(BA345&gt;ITP_TRAMO_ALTO,SUMIFS(CF_CUOTA,CF_MAS,ITP_TRAMO_ALTO,CF_CCMIN,"&lt;="&amp;CM345,CF_CCMAX,"&gt;="&amp;CM345),IF(BA345&gt;ITP_TRAMO_BAJO,SUMIFS(CF_CUOTA,CF_MAS,ITP_TRAMO_BAJO,CF_CCMIN,"&lt;="&amp;CM345,CF_CCMAX,"&gt;="&amp;CM345),O345*ITP_TIPO)),O345*ITP_TIPO))</f>
        <v/>
      </c>
      <c r="CO345" s="4">
        <f>IF(R345="profesional",N(AK345),0)</f>
        <v/>
      </c>
      <c r="CP345" s="3">
        <f>IF(AND(R345="profesional",ISNUMBER(AK345),AL345="sí"),0,TASA_DGT)</f>
        <v/>
      </c>
      <c r="CQ345" s="3">
        <f>INFORME_DGT</f>
        <v/>
      </c>
      <c r="CR345" s="4">
        <f>O345+CO345+CN345+CP345+CQ345</f>
        <v/>
      </c>
      <c r="CS345" s="4">
        <f>CR345+N(CF345)</f>
        <v/>
      </c>
      <c r="CT345" s="3">
        <f>IF(CR345&lt;=TOTAL_MAX,"sí",IF(CR345&lt;=TOTAL_MAX+MARGEN_NEG,"negociar","no"))</f>
        <v/>
      </c>
      <c r="CU345" s="4">
        <f>IF(CT345&lt;&gt;"no",COUNTIFS($CT$2:$CT$545,"&lt;&gt;no",$CL$2:$CL$545,"&gt;"&amp;CL345)+COUNTIFS($CT$2:CT345,"&lt;&gt;no",$CL$2:CL345,CL345),"")</f>
        <v/>
      </c>
    </row>
    <row r="346">
      <c r="A346" s="2" t="inlineStr">
        <is>
          <t>cochesnet:71386380</t>
        </is>
      </c>
      <c r="B346" s="2" t="inlineStr">
        <is>
          <t>cochesnet</t>
        </is>
      </c>
      <c r="C346" s="2" t="inlineStr">
        <is>
          <t>https://www.coches.net/renault-megane-coupecabrio-privilege-19dci-2p-diesel-2007-en-valencia-71386380-covo.aspx</t>
        </is>
      </c>
      <c r="D346" s="2" t="inlineStr">
        <is>
          <t>RENAULT Mégane Coupecabrio Privilege 1.9dCi</t>
        </is>
      </c>
      <c r="E346" s="2" t="inlineStr">
        <is>
          <t>Renault</t>
        </is>
      </c>
      <c r="F346" s="2" t="inlineStr">
        <is>
          <t>Renault Mégane</t>
        </is>
      </c>
      <c r="G346" s="2" t="inlineStr">
        <is>
          <t>1.9</t>
        </is>
      </c>
      <c r="H346" s="2" t="inlineStr">
        <is>
          <t>Coupecabrio Privilege 1.9dCi</t>
        </is>
      </c>
      <c r="I346" s="2" t="n"/>
      <c r="J346" s="2" t="n"/>
      <c r="K346" s="2" t="inlineStr">
        <is>
          <t>diesel</t>
        </is>
      </c>
      <c r="L346" s="2" t="inlineStr">
        <is>
          <t>compacto</t>
        </is>
      </c>
      <c r="M346" s="2" t="n">
        <v>2006</v>
      </c>
      <c r="N346" s="2" t="n">
        <v>145000</v>
      </c>
      <c r="O346" s="2" t="n">
        <v>4500</v>
      </c>
      <c r="P346" s="2" t="inlineStr">
        <is>
          <t>manual</t>
        </is>
      </c>
      <c r="Q346" s="2" t="inlineStr">
        <is>
          <t>no</t>
        </is>
      </c>
      <c r="R346" s="2" t="inlineStr">
        <is>
          <t>profesional</t>
        </is>
      </c>
      <c r="S346" s="2" t="inlineStr">
        <is>
          <t>Albal</t>
        </is>
      </c>
      <c r="T346" s="2" t="inlineStr">
        <is>
          <t>2026-08-28T17:45:41Z</t>
        </is>
      </c>
      <c r="U346" s="2" t="n">
        <v>18</v>
      </c>
      <c r="V346" s="2" t="n"/>
      <c r="W346" s="2" t="n"/>
      <c r="X346" s="2" t="n"/>
      <c r="Y346" s="2" t="n">
        <v>2</v>
      </c>
      <c r="Z346" s="2" t="inlineStr">
        <is>
          <t>sí</t>
        </is>
      </c>
      <c r="AA346" s="2" t="n"/>
      <c r="AB346" s="2" t="n">
        <v>12</v>
      </c>
      <c r="AC346" s="2" t="inlineStr">
        <is>
          <t>sí</t>
        </is>
      </c>
      <c r="AD346" s="2" t="n"/>
      <c r="AE346" s="2" t="n"/>
      <c r="AF346" s="2" t="n"/>
      <c r="AG346" s="2" t="n">
        <v>15</v>
      </c>
      <c r="AH346" s="2" t="n">
        <v>4500</v>
      </c>
      <c r="AI346" s="2" t="n">
        <v>4500</v>
      </c>
      <c r="AJ346" s="2" t="n"/>
      <c r="AK346" s="2" t="n">
        <v>0</v>
      </c>
      <c r="AL346" s="2" t="inlineStr">
        <is>
          <t>sí</t>
        </is>
      </c>
      <c r="AM346" s="2" t="n">
        <v>8.699999999999999</v>
      </c>
      <c r="AN346" s="2" t="n"/>
      <c r="AO346" s="2" t="inlineStr">
        <is>
          <t>2006</t>
        </is>
      </c>
      <c r="AP346" s="2" t="n">
        <v>2006</v>
      </c>
      <c r="AQ346" s="2" t="n"/>
      <c r="AR346" s="2" t="n"/>
      <c r="AS346" s="2" t="inlineStr">
        <is>
          <t>regla</t>
        </is>
      </c>
      <c r="AT346" s="2" t="n">
        <v>3700</v>
      </c>
      <c r="AU346" s="2" t="n">
        <v>10</v>
      </c>
      <c r="AV346" s="2" t="inlineStr">
        <is>
          <t>modelo+año+km</t>
        </is>
      </c>
      <c r="AW346" s="2" t="n"/>
      <c r="AX346" s="2" t="inlineStr">
        <is>
          <t>etiqueta A dudosa: confirmar etiqueta con la DGT antes de comprar; vendedor profesional: sin ITP (operación con IVA/REBU, confirmar en factura); diésel: motor sin fuente de fiabilidad (fiabilidad limitada a neutra)</t>
        </is>
      </c>
      <c r="AY346" s="2" t="inlineStr">
        <is>
          <t xml:space="preserve">Megane Cabrio diesel 130 cv con muy pocos km
- Solo 2 propietarios.
- Neumáticos nuevos.
- Distribución realizada con trazabilidad.
- Discos y pastillas sustituídos.
- Embrague sustituído.
- Detallado interior en la piel y tela beige.
- Control de crucero.
- Apertura sin llave.
- Dos mandos originales.
- Manual del vehículo.
Para mas extras o ficha de equipamiento solicitarla al concesionario sin compromiso.
?? **COMPRA TU COCHE DESDE CASA — TE LO LLEVAMOS GRATIS**
En **AYD MOTORS VALENCIA** queremos que comprar tu próximo coche sea fácil, cómodo y seguro.
**Reserva el vehículo por solo 390 € y te lo enviamos GRATIS a cualquier punto de la Península.**
Antes del envío te facilitamos **fotos y vídeos detallados del vehículo** para que puedas comprobar su estado con total transparencia.
Una vez realizada la compra, recibirás el coche **directamente en tu domicilio mediante transporte individual**.
? **15 DÍAS O 1.000 KM DE PRUEBA**  
? **DEVOLUCIÓN GARANTIZADA según condiciones**  
? **12 MESES DE GARANTÍA INCLUIDOS**  
? Posibilidad de ampliar la garantía **hasta 24 meses**  
? **CAMBIO DE NOMBRE Y TRANSFERENCIA INCLUIDOS**  
? **IMPUESTOS INCLUIDOS**  
? **IVA INCLUIDO**  
? **DETAILING Y PREPARACIÓN PRE-ENTREGA**  
? **ENTREGA INMEDIATA** en vehículos disponibles  
? **ENVÍO GRATUITO A TODA LA PENÍNSULA** con la reserva de 390 €
?? **¿QUIERES CONOCER TODO EL EQUIPAMIENTO?**  
Solicítanos por WhatsApp la ficha completa del vehículo.
?? **WHATSAPP: +34**  
Atendemos </t>
        </is>
      </c>
      <c r="AZ346" s="2" t="inlineStr">
        <is>
          <t>https://www.coches.net/renault-megane-coupecabrio-privilege-19dci-2p-diesel-2007-en-valencia-71386380-covo.aspx (window.__INITIAL_PROPS__.ad) /home/user/Alopecia/buscador-coches/raw/cochesnet/9577b6ebc0ab5e60.json</t>
        </is>
      </c>
      <c r="BA346" s="3">
        <f>MAX(ANIO_ACTUAL-M346,0)</f>
        <v/>
      </c>
      <c r="BB346" s="4">
        <f>N346/MAX(BA346,0.5)</f>
        <v/>
      </c>
      <c r="BC346" s="4">
        <f>F346</f>
        <v/>
      </c>
      <c r="BD346" s="3">
        <f>BC346&amp;"|"&amp;INT(M346/SEG_ANIO)*SEG_ANIO</f>
        <v/>
      </c>
      <c r="BE346" s="3">
        <f>BD346&amp;"|"&amp;INT(N346/SEG_KM)*SEG_KM</f>
        <v/>
      </c>
      <c r="BF346" s="4">
        <f>COUNTIF($BC$2:$BC$545,BC346)</f>
        <v/>
      </c>
      <c r="BG346" s="4">
        <f>COUNTIF($BD$2:$BD$545,BD346)</f>
        <v/>
      </c>
      <c r="BH346" s="4">
        <f>COUNTIF($BE$2:$BE$545,BE346)</f>
        <v/>
      </c>
      <c r="BI346" s="3">
        <f t="array" ref="BI346">IF(N(AU346)&gt;=MIN_N,AT346,IF(BH346&gt;=MIN_N,MEDIAN(IF($BE$2:$BE$545=BE346,$O$2:$O$545)),IF(BG346&gt;=MIN_N,MEDIAN(IF($BD$2:$BD$545=BD346,$O$2:$O$545)),MEDIAN(IF($BC$2:$BC$545=BC346,$O$2:$O$545)))))</f>
        <v/>
      </c>
      <c r="BJ346" s="3">
        <f>IF(N(AU346)&gt;=MIN_N,"mercado "&amp;AV346,IF(BH346&gt;=MIN_N,"modelo+año+km",IF(BG346&gt;=MIN_N,"modelo+año","modelo")))</f>
        <v/>
      </c>
      <c r="BK346" s="4">
        <f>(BI346-O346)/BI346</f>
        <v/>
      </c>
      <c r="BL346" s="3">
        <f>IF(COUNTIFS(FR_FUEL,K346,FR_YEAR,AP346)&gt;0,1,0)</f>
        <v/>
      </c>
      <c r="BM346" s="3">
        <f>IF(COUNTIFS(FR_FUEL,K346,FR_YEAR,AP346-1)&gt;0,1,0)</f>
        <v/>
      </c>
      <c r="BN346" s="4">
        <f>IF(N(AQ346)&gt;0,AP346*100+AQ346,IF(AND(BL346=1,BM346=1),(AP346-1)*100+1,AP346*100+1))</f>
        <v/>
      </c>
      <c r="BO346" s="3">
        <f>IF(OR(K346="hibrido",K346="glp",K346="gnc",K346="phev"),"ECO",IF(K346="electrico","CERO",IF(K346="gasolina",IF(BN346&gt;=GAS_C_YM,"C",IF(BN346&gt;=GAS_B_YM,"B","A")),IF(K346="diesel",IF(BN346&gt;=DIE_C_YM,"C",IF(BN346&gt;=DIE_B_YM,"B","A")),""))))</f>
        <v/>
      </c>
      <c r="BP346" s="4">
        <f>BO346</f>
        <v/>
      </c>
      <c r="BQ346" s="4">
        <f>IF(AS346="regla",IF(AND(N(AQ346)=0,BL346=1),"sí","no"),"no")</f>
        <v/>
      </c>
      <c r="BR346" s="3">
        <f>IFERROR(VLOOKUP(F346,MOD_TBL,11,0),IFERROR(VLOOKUP(E346,OCU_TBL,2,0),NEUTRO))</f>
        <v/>
      </c>
      <c r="BS346" s="3">
        <f>SUMIFS(MOT_AJUSTE,MOT_MOTOR,G346,MOT_MARCA,E346,MOT_DESDE,"&lt;="&amp;M346,MOT_HASTA,"&gt;="&amp;M346)+SUMIFS(MOT_AJUSTE,MOT_MOTOR,G346,MOT_MARCA,"(todas)",MOT_DESDE,"&lt;="&amp;M346,MOT_HASTA,"&gt;="&amp;M346)</f>
        <v/>
      </c>
      <c r="BT346" s="3">
        <f>SUMIFS(COMB_AJUSTE,COMB_COMB,K346)</f>
        <v/>
      </c>
      <c r="BU346" s="3">
        <f>COUNTIFS(MOT_MOTOR,G346,MOT_MARCA,E346,MOT_DESDE,"&lt;="&amp;M346,MOT_HASTA,"&gt;="&amp;M346)+COUNTIFS(MOT_MOTOR,G346,MOT_MARCA,"(todas)",MOT_DESDE,"&lt;="&amp;M346,MOT_HASTA,"&gt;="&amp;M346)</f>
        <v/>
      </c>
      <c r="BV346" s="3">
        <f>IF(AND(K346="diesel",BU346=0),MIN(BR346,NEUTRO),BR346)</f>
        <v/>
      </c>
      <c r="BW346" s="4">
        <f>MAX(0,MIN(100,BV346+BS346+BT346))</f>
        <v/>
      </c>
      <c r="BX346" s="3">
        <f>MAX(0,MIN(100,50+BK346*PRECIO_PEND))</f>
        <v/>
      </c>
      <c r="BY346" s="3">
        <f>MAX(0,100*(1-N346/KM_MAX))</f>
        <v/>
      </c>
      <c r="BZ346" s="3">
        <f>IF(BB346&lt;KMA_SOSP,IF(AA346="sí",100,KMA_PEN),IF(BB346&lt;=KMA_IDEAL_MAX,100,MAX(0,100*(KMA_CERO-BB346)/(KMA_CERO-KMA_IDEAL_MAX))))</f>
        <v/>
      </c>
      <c r="CA346" s="3">
        <f>MAX(0,MIN(100,100*(M346-ANIO_MIN)/(ANIO_ACTUAL-ANIO_MIN)))</f>
        <v/>
      </c>
      <c r="CB346" s="3">
        <f>W_KMT*BY346+W_KMA*BZ346+W_EDAD*CA346</f>
        <v/>
      </c>
      <c r="CC346" s="3">
        <f>P_ITV*(V346="sí")+P_LIBRO*(W346="sí")+P_CORREA*(X346="sí")+P_PROP*(Y346=1)+P_GAR*(Z346="sí")+P_FOTOS*MIN(1,N(U346)/FOTOS_OBJ)</f>
        <v/>
      </c>
      <c r="CD346" s="3">
        <f>MAX(0,MIN(100,IFERROR(VLOOKUP(BP346,ETQ_TBL,2,0),0)-IF(BQ346="sí",ETQ_PEN_DUD,IF(AS346="regla",ETQ_PEN_REGLA,0))))</f>
        <v/>
      </c>
      <c r="CE346" s="3">
        <f>NEUTRO</f>
        <v/>
      </c>
      <c r="CF346" s="3">
        <f>IFERROR(VLOOKUP(L346,SEGURO_TBL,3,0),"")</f>
        <v/>
      </c>
      <c r="CG346" s="3">
        <f>IF(CF346="",NEUTRO,MAX(0,MIN(100,100*(SEG_REF_MAX-CF346)/(SEG_REF_MAX-SEG_REF_MIN))))</f>
        <v/>
      </c>
      <c r="CH346" s="3">
        <f>W_CONS*CE346+W_SEG*CG346</f>
        <v/>
      </c>
      <c r="CI346" s="3">
        <f>IF(N(AB346)&gt;0,AB346,IF(AND(R346="profesional",SG_LEGAL_ON=1),GAR_LEGAL,0))</f>
        <v/>
      </c>
      <c r="CJ346" s="3">
        <f>SG_GAR*MIN(1,CI346/SG_GAR_FULL)+SG_AMPL*(AC346="sí")+SG_KMC*(AF346="sí")+SG_REV*(N(AE346)&gt;0)+SG_DEV*MIN(1,N(AG346)/SG_DEV_FULL)+SG_HIST*(W346="sí")</f>
        <v/>
      </c>
      <c r="CK346" s="3">
        <f>IFERROR(VLOOKUP(L346,CARR_PEN_TBL,2,0),0)</f>
        <v/>
      </c>
      <c r="CL346" s="3">
        <f>W_FIAB*BW346+W_PRECIO*BX346+W_KMEDAD*CB346+W_ANUNCIO*CC346+W_USO*CH346+W_SEGURIDAD*CJ346+W_ETIQUETA*CD346-CK346</f>
        <v/>
      </c>
      <c r="CM346" s="4">
        <f>IF(N(I346)&gt;0,I346,IFERROR(ROUND(_xlfn.NUMBERVALUE(LEFT(G346,FIND(" ",G346&amp;" ")-1),".")*1000,0),99999))</f>
        <v/>
      </c>
      <c r="CN346" s="3">
        <f>IF(R346="profesional",0,IF(O346&lt;CUOTA_VALOR_MAX,IF(BA346&gt;ITP_TRAMO_ALTO,SUMIFS(CF_CUOTA,CF_MAS,ITP_TRAMO_ALTO,CF_CCMIN,"&lt;="&amp;CM346,CF_CCMAX,"&gt;="&amp;CM346),IF(BA346&gt;ITP_TRAMO_BAJO,SUMIFS(CF_CUOTA,CF_MAS,ITP_TRAMO_BAJO,CF_CCMIN,"&lt;="&amp;CM346,CF_CCMAX,"&gt;="&amp;CM346),O346*ITP_TIPO)),O346*ITP_TIPO))</f>
        <v/>
      </c>
      <c r="CO346" s="4">
        <f>IF(R346="profesional",N(AK346),0)</f>
        <v/>
      </c>
      <c r="CP346" s="3">
        <f>IF(AND(R346="profesional",ISNUMBER(AK346),AL346="sí"),0,TASA_DGT)</f>
        <v/>
      </c>
      <c r="CQ346" s="3">
        <f>INFORME_DGT</f>
        <v/>
      </c>
      <c r="CR346" s="4">
        <f>O346+CO346+CN346+CP346+CQ346</f>
        <v/>
      </c>
      <c r="CS346" s="4">
        <f>CR346+N(CF346)</f>
        <v/>
      </c>
      <c r="CT346" s="3">
        <f>IF(CR346&lt;=TOTAL_MAX,"sí",IF(CR346&lt;=TOTAL_MAX+MARGEN_NEG,"negociar","no"))</f>
        <v/>
      </c>
      <c r="CU346" s="4">
        <f>IF(CT346&lt;&gt;"no",COUNTIFS($CT$2:$CT$545,"&lt;&gt;no",$CL$2:$CL$545,"&gt;"&amp;CL346)+COUNTIFS($CT$2:CT346,"&lt;&gt;no",$CL$2:CL346,CL346),"")</f>
        <v/>
      </c>
    </row>
    <row r="347">
      <c r="A347" s="2" t="inlineStr">
        <is>
          <t>cochesnet:71537820</t>
        </is>
      </c>
      <c r="B347" s="2" t="inlineStr">
        <is>
          <t>cochesnet</t>
        </is>
      </c>
      <c r="C347" s="2" t="inlineStr">
        <is>
          <t>https://www.coches.net/renault-megane-dynamique-energy-dci-110-ss-eco2-3p-diesel-2012-en-valencia-71537820-covo.aspx</t>
        </is>
      </c>
      <c r="D347" s="2" t="inlineStr">
        <is>
          <t>RENAULT Mégane Dynamique Energy dCi 110 SS eco2</t>
        </is>
      </c>
      <c r="E347" s="2" t="inlineStr">
        <is>
          <t>Renault</t>
        </is>
      </c>
      <c r="F347" s="2" t="inlineStr">
        <is>
          <t>Renault Mégane</t>
        </is>
      </c>
      <c r="G347" s="2" t="inlineStr">
        <is>
          <t>? dCi</t>
        </is>
      </c>
      <c r="H347" s="2" t="inlineStr">
        <is>
          <t>Dynamique Energy dCi 110 SS eco2</t>
        </is>
      </c>
      <c r="I347" s="2" t="n"/>
      <c r="J347" s="2" t="n"/>
      <c r="K347" s="2" t="inlineStr">
        <is>
          <t>diesel</t>
        </is>
      </c>
      <c r="L347" s="2" t="inlineStr">
        <is>
          <t>compacto</t>
        </is>
      </c>
      <c r="M347" s="2" t="n">
        <v>2012</v>
      </c>
      <c r="N347" s="2" t="n">
        <v>120000</v>
      </c>
      <c r="O347" s="2" t="n">
        <v>4999</v>
      </c>
      <c r="P347" s="2" t="inlineStr">
        <is>
          <t>manual</t>
        </is>
      </c>
      <c r="Q347" s="2" t="inlineStr">
        <is>
          <t>no</t>
        </is>
      </c>
      <c r="R347" s="2" t="inlineStr">
        <is>
          <t>profesional</t>
        </is>
      </c>
      <c r="S347" s="2" t="inlineStr">
        <is>
          <t>Automoción Valencia Albal</t>
        </is>
      </c>
      <c r="T347" s="2" t="inlineStr">
        <is>
          <t>2026-09-17T17:16:15Z</t>
        </is>
      </c>
      <c r="U347" s="2" t="n">
        <v>14</v>
      </c>
      <c r="V347" s="2" t="inlineStr">
        <is>
          <t>sí</t>
        </is>
      </c>
      <c r="W347" s="2" t="n"/>
      <c r="X347" s="2" t="n"/>
      <c r="Y347" s="2" t="n"/>
      <c r="Z347" s="2" t="inlineStr">
        <is>
          <t>no</t>
        </is>
      </c>
      <c r="AA347" s="2" t="inlineStr">
        <is>
          <t>sí</t>
        </is>
      </c>
      <c r="AB347" s="2" t="n"/>
      <c r="AC347" s="2" t="n"/>
      <c r="AD347" s="2" t="n"/>
      <c r="AE347" s="2" t="n"/>
      <c r="AF347" s="2" t="inlineStr">
        <is>
          <t>sí</t>
        </is>
      </c>
      <c r="AG347" s="2" t="n"/>
      <c r="AH347" s="2" t="n">
        <v>4999</v>
      </c>
      <c r="AI347" s="2" t="n">
        <v>4999</v>
      </c>
      <c r="AJ347" s="2" t="n"/>
      <c r="AK347" s="2" t="n"/>
      <c r="AL347" s="2" t="n"/>
      <c r="AM347" s="2" t="n">
        <v>8.699999999999999</v>
      </c>
      <c r="AN347" s="2" t="n"/>
      <c r="AO347" s="2" t="inlineStr">
        <is>
          <t>2012</t>
        </is>
      </c>
      <c r="AP347" s="2" t="n">
        <v>2012</v>
      </c>
      <c r="AQ347" s="2" t="n"/>
      <c r="AR347" s="2" t="inlineStr">
        <is>
          <t>B</t>
        </is>
      </c>
      <c r="AS347" s="2" t="inlineStr">
        <is>
          <t>anuncio</t>
        </is>
      </c>
      <c r="AT347" s="2" t="n">
        <v>5900</v>
      </c>
      <c r="AU347" s="2" t="n">
        <v>5</v>
      </c>
      <c r="AV347" s="2" t="inlineStr">
        <is>
          <t>modelo+año+km</t>
        </is>
      </c>
      <c r="AW347" s="2" t="n"/>
      <c r="AX347"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AY347" s="2" t="inlineStr">
        <is>
          <t xml:space="preserve">•RENAUL  MEGANE III 1.5DCI 110CV GT-LINE
•AÑO 2012 123072 KM DISTINTIVO B
•TEL 664506303
 km certificados | ITV en vigor |
Equipamiento destacado:
Climatizador bizona
Control de velocidad (cruise control)
Limitador de velocidad
Sensor de luces y lluvia
Faros antiniebla
Elevalunas eléctricos delanteros y traseros
Retrovisores eléctricos
Llantas de aleación
Cierre centralizado con mando
Ordenador de a bordo
Radio CD/MP3 con mandos en el volante
ISOFIX
ABS, ESP, múltiples airbags
Información adicional:
120.000 km reales (123.072 km certificados)
ITV en vigor
Distintivo ambiental B
Contacto:
Teléfono: 664 506 303
</t>
        </is>
      </c>
      <c r="AZ347" s="2" t="inlineStr">
        <is>
          <t>https://www.coches.net/renault-megane-dynamique-energy-dci-110-ss-eco2-3p-diesel-2012-en-valencia-71537820-covo.aspx (window.__INITIAL_PROPS__.ad) /home/user/Alopecia/buscador-coches/raw/cochesnet/1c66f9e703cb9d52.json</t>
        </is>
      </c>
      <c r="BA347" s="3">
        <f>MAX(ANIO_ACTUAL-M347,0)</f>
        <v/>
      </c>
      <c r="BB347" s="4">
        <f>N347/MAX(BA347,0.5)</f>
        <v/>
      </c>
      <c r="BC347" s="4">
        <f>F347</f>
        <v/>
      </c>
      <c r="BD347" s="3">
        <f>BC347&amp;"|"&amp;INT(M347/SEG_ANIO)*SEG_ANIO</f>
        <v/>
      </c>
      <c r="BE347" s="3">
        <f>BD347&amp;"|"&amp;INT(N347/SEG_KM)*SEG_KM</f>
        <v/>
      </c>
      <c r="BF347" s="4">
        <f>COUNTIF($BC$2:$BC$545,BC347)</f>
        <v/>
      </c>
      <c r="BG347" s="4">
        <f>COUNTIF($BD$2:$BD$545,BD347)</f>
        <v/>
      </c>
      <c r="BH347" s="4">
        <f>COUNTIF($BE$2:$BE$545,BE347)</f>
        <v/>
      </c>
      <c r="BI347" s="3">
        <f t="array" ref="BI347">IF(N(AU347)&gt;=MIN_N,AT347,IF(BH347&gt;=MIN_N,MEDIAN(IF($BE$2:$BE$545=BE347,$O$2:$O$545)),IF(BG347&gt;=MIN_N,MEDIAN(IF($BD$2:$BD$545=BD347,$O$2:$O$545)),MEDIAN(IF($BC$2:$BC$545=BC347,$O$2:$O$545)))))</f>
        <v/>
      </c>
      <c r="BJ347" s="3">
        <f>IF(N(AU347)&gt;=MIN_N,"mercado "&amp;AV347,IF(BH347&gt;=MIN_N,"modelo+año+km",IF(BG347&gt;=MIN_N,"modelo+año","modelo")))</f>
        <v/>
      </c>
      <c r="BK347" s="4">
        <f>(BI347-O347)/BI347</f>
        <v/>
      </c>
      <c r="BL347" s="3">
        <f>IF(COUNTIFS(FR_FUEL,K347,FR_YEAR,AP347)&gt;0,1,0)</f>
        <v/>
      </c>
      <c r="BM347" s="3">
        <f>IF(COUNTIFS(FR_FUEL,K347,FR_YEAR,AP347-1)&gt;0,1,0)</f>
        <v/>
      </c>
      <c r="BN347" s="4">
        <f>IF(N(AQ347)&gt;0,AP347*100+AQ347,IF(AND(BL347=1,BM347=1),(AP347-1)*100+1,AP347*100+1))</f>
        <v/>
      </c>
      <c r="BO347" s="3">
        <f>IF(OR(K347="hibrido",K347="glp",K347="gnc",K347="phev"),"ECO",IF(K347="electrico","CERO",IF(K347="gasolina",IF(BN347&gt;=GAS_C_YM,"C",IF(BN347&gt;=GAS_B_YM,"B","A")),IF(K347="diesel",IF(BN347&gt;=DIE_C_YM,"C",IF(BN347&gt;=DIE_B_YM,"B","A")),""))))</f>
        <v/>
      </c>
      <c r="BP347" s="2" t="inlineStr">
        <is>
          <t>B</t>
        </is>
      </c>
      <c r="BQ347" s="4">
        <f>IF(AS347="regla",IF(AND(N(AQ347)=0,BL347=1),"sí","no"),"no")</f>
        <v/>
      </c>
      <c r="BR347" s="3">
        <f>IFERROR(VLOOKUP(F347,MOD_TBL,11,0),IFERROR(VLOOKUP(E347,OCU_TBL,2,0),NEUTRO))</f>
        <v/>
      </c>
      <c r="BS347" s="3">
        <f>SUMIFS(MOT_AJUSTE,MOT_MOTOR,G347,MOT_MARCA,E347,MOT_DESDE,"&lt;="&amp;M347,MOT_HASTA,"&gt;="&amp;M347)+SUMIFS(MOT_AJUSTE,MOT_MOTOR,G347,MOT_MARCA,"(todas)",MOT_DESDE,"&lt;="&amp;M347,MOT_HASTA,"&gt;="&amp;M347)</f>
        <v/>
      </c>
      <c r="BT347" s="3">
        <f>SUMIFS(COMB_AJUSTE,COMB_COMB,K347)</f>
        <v/>
      </c>
      <c r="BU347" s="3">
        <f>COUNTIFS(MOT_MOTOR,G347,MOT_MARCA,E347,MOT_DESDE,"&lt;="&amp;M347,MOT_HASTA,"&gt;="&amp;M347)+COUNTIFS(MOT_MOTOR,G347,MOT_MARCA,"(todas)",MOT_DESDE,"&lt;="&amp;M347,MOT_HASTA,"&gt;="&amp;M347)</f>
        <v/>
      </c>
      <c r="BV347" s="3">
        <f>IF(AND(K347="diesel",BU347=0),MIN(BR347,NEUTRO),BR347)</f>
        <v/>
      </c>
      <c r="BW347" s="4">
        <f>MAX(0,MIN(100,BV347+BS347+BT347))</f>
        <v/>
      </c>
      <c r="BX347" s="3">
        <f>MAX(0,MIN(100,50+BK347*PRECIO_PEND))</f>
        <v/>
      </c>
      <c r="BY347" s="3">
        <f>MAX(0,100*(1-N347/KM_MAX))</f>
        <v/>
      </c>
      <c r="BZ347" s="3">
        <f>IF(BB347&lt;KMA_SOSP,IF(AA347="sí",100,KMA_PEN),IF(BB347&lt;=KMA_IDEAL_MAX,100,MAX(0,100*(KMA_CERO-BB347)/(KMA_CERO-KMA_IDEAL_MAX))))</f>
        <v/>
      </c>
      <c r="CA347" s="3">
        <f>MAX(0,MIN(100,100*(M347-ANIO_MIN)/(ANIO_ACTUAL-ANIO_MIN)))</f>
        <v/>
      </c>
      <c r="CB347" s="3">
        <f>W_KMT*BY347+W_KMA*BZ347+W_EDAD*CA347</f>
        <v/>
      </c>
      <c r="CC347" s="3">
        <f>P_ITV*(V347="sí")+P_LIBRO*(W347="sí")+P_CORREA*(X347="sí")+P_PROP*(Y347=1)+P_GAR*(Z347="sí")+P_FOTOS*MIN(1,N(U347)/FOTOS_OBJ)</f>
        <v/>
      </c>
      <c r="CD347" s="3">
        <f>MAX(0,MIN(100,IFERROR(VLOOKUP(BP347,ETQ_TBL,2,0),0)-IF(BQ347="sí",ETQ_PEN_DUD,IF(AS347="regla",ETQ_PEN_REGLA,0))))</f>
        <v/>
      </c>
      <c r="CE347" s="3">
        <f>NEUTRO</f>
        <v/>
      </c>
      <c r="CF347" s="3">
        <f>IFERROR(VLOOKUP(L347,SEGURO_TBL,3,0),"")</f>
        <v/>
      </c>
      <c r="CG347" s="3">
        <f>IF(CF347="",NEUTRO,MAX(0,MIN(100,100*(SEG_REF_MAX-CF347)/(SEG_REF_MAX-SEG_REF_MIN))))</f>
        <v/>
      </c>
      <c r="CH347" s="3">
        <f>W_CONS*CE347+W_SEG*CG347</f>
        <v/>
      </c>
      <c r="CI347" s="3">
        <f>IF(N(AB347)&gt;0,AB347,IF(AND(R347="profesional",SG_LEGAL_ON=1),GAR_LEGAL,0))</f>
        <v/>
      </c>
      <c r="CJ347" s="3">
        <f>SG_GAR*MIN(1,CI347/SG_GAR_FULL)+SG_AMPL*(AC347="sí")+SG_KMC*(AF347="sí")+SG_REV*(N(AE347)&gt;0)+SG_DEV*MIN(1,N(AG347)/SG_DEV_FULL)+SG_HIST*(W347="sí")</f>
        <v/>
      </c>
      <c r="CK347" s="3">
        <f>IFERROR(VLOOKUP(L347,CARR_PEN_TBL,2,0),0)</f>
        <v/>
      </c>
      <c r="CL347" s="3">
        <f>W_FIAB*BW347+W_PRECIO*BX347+W_KMEDAD*CB347+W_ANUNCIO*CC347+W_USO*CH347+W_SEGURIDAD*CJ347+W_ETIQUETA*CD347-CK347</f>
        <v/>
      </c>
      <c r="CM347" s="4">
        <f>IF(N(I347)&gt;0,I347,IFERROR(ROUND(_xlfn.NUMBERVALUE(LEFT(G347,FIND(" ",G347&amp;" ")-1),".")*1000,0),99999))</f>
        <v/>
      </c>
      <c r="CN347" s="3">
        <f>IF(R347="profesional",0,IF(O347&lt;CUOTA_VALOR_MAX,IF(BA347&gt;ITP_TRAMO_ALTO,SUMIFS(CF_CUOTA,CF_MAS,ITP_TRAMO_ALTO,CF_CCMIN,"&lt;="&amp;CM347,CF_CCMAX,"&gt;="&amp;CM347),IF(BA347&gt;ITP_TRAMO_BAJO,SUMIFS(CF_CUOTA,CF_MAS,ITP_TRAMO_BAJO,CF_CCMIN,"&lt;="&amp;CM347,CF_CCMAX,"&gt;="&amp;CM347),O347*ITP_TIPO)),O347*ITP_TIPO))</f>
        <v/>
      </c>
      <c r="CO347" s="4">
        <f>IF(R347="profesional",N(AK347),0)</f>
        <v/>
      </c>
      <c r="CP347" s="3">
        <f>IF(AND(R347="profesional",ISNUMBER(AK347),AL347="sí"),0,TASA_DGT)</f>
        <v/>
      </c>
      <c r="CQ347" s="3">
        <f>INFORME_DGT</f>
        <v/>
      </c>
      <c r="CR347" s="4">
        <f>O347+CO347+CN347+CP347+CQ347</f>
        <v/>
      </c>
      <c r="CS347" s="4">
        <f>CR347+N(CF347)</f>
        <v/>
      </c>
      <c r="CT347" s="3">
        <f>IF(CR347&lt;=TOTAL_MAX,"sí",IF(CR347&lt;=TOTAL_MAX+MARGEN_NEG,"negociar","no"))</f>
        <v/>
      </c>
      <c r="CU347" s="4">
        <f>IF(CT347&lt;&gt;"no",COUNTIFS($CT$2:$CT$545,"&lt;&gt;no",$CL$2:$CL$545,"&gt;"&amp;CL347)+COUNTIFS($CT$2:CT347,"&lt;&gt;no",$CL$2:CL347,CL347),"")</f>
        <v/>
      </c>
    </row>
    <row r="348">
      <c r="A348" s="2" t="inlineStr">
        <is>
          <t>cochesnet:71852185</t>
        </is>
      </c>
      <c r="B348" s="2" t="inlineStr">
        <is>
          <t>cochesnet</t>
        </is>
      </c>
      <c r="C348" s="2" t="inlineStr">
        <is>
          <t>https://www.coches.net/renault-megane-confort-authentique-16-16v-5p-gasolina-2006-en-valencia-71852185-covo.aspx</t>
        </is>
      </c>
      <c r="D348" s="2" t="inlineStr">
        <is>
          <t>RENAULT Megane CONFORT AUTHENTIQUE 1.6 16v</t>
        </is>
      </c>
      <c r="E348" s="2" t="inlineStr">
        <is>
          <t>Renault</t>
        </is>
      </c>
      <c r="F348" s="2" t="inlineStr">
        <is>
          <t>Renault Mégane</t>
        </is>
      </c>
      <c r="G348" s="2" t="inlineStr">
        <is>
          <t>1.6</t>
        </is>
      </c>
      <c r="H348" s="2" t="inlineStr">
        <is>
          <t>CONFORT AUTHENTIQUE 1.6 16v</t>
        </is>
      </c>
      <c r="I348" s="2" t="n"/>
      <c r="J348" s="2" t="n"/>
      <c r="K348" s="2" t="inlineStr">
        <is>
          <t>gasolina</t>
        </is>
      </c>
      <c r="L348" s="2" t="inlineStr">
        <is>
          <t>compacto</t>
        </is>
      </c>
      <c r="M348" s="2" t="n">
        <v>2006</v>
      </c>
      <c r="N348" s="2" t="n">
        <v>195000</v>
      </c>
      <c r="O348" s="2" t="n">
        <v>3000</v>
      </c>
      <c r="P348" s="2" t="inlineStr">
        <is>
          <t>manual</t>
        </is>
      </c>
      <c r="Q348" s="2" t="inlineStr">
        <is>
          <t>no</t>
        </is>
      </c>
      <c r="R348" s="2" t="inlineStr">
        <is>
          <t>particular</t>
        </is>
      </c>
      <c r="S348" s="2" t="n"/>
      <c r="T348" s="2" t="inlineStr">
        <is>
          <t>2026-10-28T09:26:23Z</t>
        </is>
      </c>
      <c r="U348" s="2" t="n">
        <v>3</v>
      </c>
      <c r="V348" s="2" t="n"/>
      <c r="W348" s="2" t="n"/>
      <c r="X348" s="2" t="n"/>
      <c r="Y348" s="2" t="n"/>
      <c r="Z348" s="2" t="inlineStr">
        <is>
          <t>no</t>
        </is>
      </c>
      <c r="AA348" s="2" t="n"/>
      <c r="AB348" s="2" t="n"/>
      <c r="AC348" s="2" t="n"/>
      <c r="AD348" s="2" t="n"/>
      <c r="AE348" s="2" t="n"/>
      <c r="AF348" s="2" t="n"/>
      <c r="AG348" s="2" t="n"/>
      <c r="AH348" s="2" t="n">
        <v>3000</v>
      </c>
      <c r="AI348" s="2" t="n"/>
      <c r="AJ348" s="2" t="n"/>
      <c r="AK348" s="2" t="n"/>
      <c r="AL348" s="2" t="n"/>
      <c r="AM348" s="2" t="n"/>
      <c r="AN348" s="2" t="n"/>
      <c r="AO348" s="2" t="inlineStr">
        <is>
          <t>2006</t>
        </is>
      </c>
      <c r="AP348" s="2" t="n">
        <v>2006</v>
      </c>
      <c r="AQ348" s="2" t="n"/>
      <c r="AR348" s="2" t="n"/>
      <c r="AS348" s="2" t="inlineStr">
        <is>
          <t>regla</t>
        </is>
      </c>
      <c r="AT348" s="2" t="n">
        <v>2375</v>
      </c>
      <c r="AU348" s="2" t="n">
        <v>6</v>
      </c>
      <c r="AV348" s="2" t="inlineStr">
        <is>
          <t>modelo+año+km</t>
        </is>
      </c>
      <c r="AW348" s="2" t="n"/>
      <c r="AX348" s="2" t="inlineStr">
        <is>
          <t>cuota fija ITP: &gt;12 años, 1.501-2.000 cc; distancia no verificable (el anuncio solo indica la provincia): confirmar que está a &lt;= 70 km</t>
        </is>
      </c>
      <c r="AY348" s="2" t="inlineStr">
        <is>
          <t xml:space="preserve">Renault megan en buen estado 
1.6 16vs </t>
        </is>
      </c>
      <c r="AZ348" s="2" t="inlineStr">
        <is>
          <t>https://www.coches.net/renault-megane-confort-authentique-16-16v-5p-gasolina-2006-en-valencia-71852185-covo.aspx (window.__INITIAL_PROPS__.ad) /home/user/Alopecia/buscador-coches/raw/cochesnet/407c510c92646f74.json</t>
        </is>
      </c>
      <c r="BA348" s="3">
        <f>MAX(ANIO_ACTUAL-M348,0)</f>
        <v/>
      </c>
      <c r="BB348" s="4">
        <f>N348/MAX(BA348,0.5)</f>
        <v/>
      </c>
      <c r="BC348" s="4">
        <f>F348</f>
        <v/>
      </c>
      <c r="BD348" s="3">
        <f>BC348&amp;"|"&amp;INT(M348/SEG_ANIO)*SEG_ANIO</f>
        <v/>
      </c>
      <c r="BE348" s="3">
        <f>BD348&amp;"|"&amp;INT(N348/SEG_KM)*SEG_KM</f>
        <v/>
      </c>
      <c r="BF348" s="4">
        <f>COUNTIF($BC$2:$BC$545,BC348)</f>
        <v/>
      </c>
      <c r="BG348" s="4">
        <f>COUNTIF($BD$2:$BD$545,BD348)</f>
        <v/>
      </c>
      <c r="BH348" s="4">
        <f>COUNTIF($BE$2:$BE$545,BE348)</f>
        <v/>
      </c>
      <c r="BI348" s="3">
        <f t="array" ref="BI348">IF(N(AU348)&gt;=MIN_N,AT348,IF(BH348&gt;=MIN_N,MEDIAN(IF($BE$2:$BE$545=BE348,$O$2:$O$545)),IF(BG348&gt;=MIN_N,MEDIAN(IF($BD$2:$BD$545=BD348,$O$2:$O$545)),MEDIAN(IF($BC$2:$BC$545=BC348,$O$2:$O$545)))))</f>
        <v/>
      </c>
      <c r="BJ348" s="3">
        <f>IF(N(AU348)&gt;=MIN_N,"mercado "&amp;AV348,IF(BH348&gt;=MIN_N,"modelo+año+km",IF(BG348&gt;=MIN_N,"modelo+año","modelo")))</f>
        <v/>
      </c>
      <c r="BK348" s="4">
        <f>(BI348-O348)/BI348</f>
        <v/>
      </c>
      <c r="BL348" s="3">
        <f>IF(COUNTIFS(FR_FUEL,K348,FR_YEAR,AP348)&gt;0,1,0)</f>
        <v/>
      </c>
      <c r="BM348" s="3">
        <f>IF(COUNTIFS(FR_FUEL,K348,FR_YEAR,AP348-1)&gt;0,1,0)</f>
        <v/>
      </c>
      <c r="BN348" s="4">
        <f>IF(N(AQ348)&gt;0,AP348*100+AQ348,IF(AND(BL348=1,BM348=1),(AP348-1)*100+1,AP348*100+1))</f>
        <v/>
      </c>
      <c r="BO348" s="3">
        <f>IF(OR(K348="hibrido",K348="glp",K348="gnc",K348="phev"),"ECO",IF(K348="electrico","CERO",IF(K348="gasolina",IF(BN348&gt;=GAS_C_YM,"C",IF(BN348&gt;=GAS_B_YM,"B","A")),IF(K348="diesel",IF(BN348&gt;=DIE_C_YM,"C",IF(BN348&gt;=DIE_B_YM,"B","A")),""))))</f>
        <v/>
      </c>
      <c r="BP348" s="4">
        <f>BO348</f>
        <v/>
      </c>
      <c r="BQ348" s="4">
        <f>IF(AS348="regla",IF(AND(N(AQ348)=0,BL348=1),"sí","no"),"no")</f>
        <v/>
      </c>
      <c r="BR348" s="3">
        <f>IFERROR(VLOOKUP(F348,MOD_TBL,11,0),IFERROR(VLOOKUP(E348,OCU_TBL,2,0),NEUTRO))</f>
        <v/>
      </c>
      <c r="BS348" s="3">
        <f>SUMIFS(MOT_AJUSTE,MOT_MOTOR,G348,MOT_MARCA,E348,MOT_DESDE,"&lt;="&amp;M348,MOT_HASTA,"&gt;="&amp;M348)+SUMIFS(MOT_AJUSTE,MOT_MOTOR,G348,MOT_MARCA,"(todas)",MOT_DESDE,"&lt;="&amp;M348,MOT_HASTA,"&gt;="&amp;M348)</f>
        <v/>
      </c>
      <c r="BT348" s="3">
        <f>SUMIFS(COMB_AJUSTE,COMB_COMB,K348)</f>
        <v/>
      </c>
      <c r="BU348" s="3">
        <f>COUNTIFS(MOT_MOTOR,G348,MOT_MARCA,E348,MOT_DESDE,"&lt;="&amp;M348,MOT_HASTA,"&gt;="&amp;M348)+COUNTIFS(MOT_MOTOR,G348,MOT_MARCA,"(todas)",MOT_DESDE,"&lt;="&amp;M348,MOT_HASTA,"&gt;="&amp;M348)</f>
        <v/>
      </c>
      <c r="BV348" s="3">
        <f>IF(AND(K348="diesel",BU348=0),MIN(BR348,NEUTRO),BR348)</f>
        <v/>
      </c>
      <c r="BW348" s="4">
        <f>MAX(0,MIN(100,BV348+BS348+BT348))</f>
        <v/>
      </c>
      <c r="BX348" s="3">
        <f>MAX(0,MIN(100,50+BK348*PRECIO_PEND))</f>
        <v/>
      </c>
      <c r="BY348" s="3">
        <f>MAX(0,100*(1-N348/KM_MAX))</f>
        <v/>
      </c>
      <c r="BZ348" s="3">
        <f>IF(BB348&lt;KMA_SOSP,IF(AA348="sí",100,KMA_PEN),IF(BB348&lt;=KMA_IDEAL_MAX,100,MAX(0,100*(KMA_CERO-BB348)/(KMA_CERO-KMA_IDEAL_MAX))))</f>
        <v/>
      </c>
      <c r="CA348" s="3">
        <f>MAX(0,MIN(100,100*(M348-ANIO_MIN)/(ANIO_ACTUAL-ANIO_MIN)))</f>
        <v/>
      </c>
      <c r="CB348" s="3">
        <f>W_KMT*BY348+W_KMA*BZ348+W_EDAD*CA348</f>
        <v/>
      </c>
      <c r="CC348" s="3">
        <f>P_ITV*(V348="sí")+P_LIBRO*(W348="sí")+P_CORREA*(X348="sí")+P_PROP*(Y348=1)+P_GAR*(Z348="sí")+P_FOTOS*MIN(1,N(U348)/FOTOS_OBJ)</f>
        <v/>
      </c>
      <c r="CD348" s="3">
        <f>MAX(0,MIN(100,IFERROR(VLOOKUP(BP348,ETQ_TBL,2,0),0)-IF(BQ348="sí",ETQ_PEN_DUD,IF(AS348="regla",ETQ_PEN_REGLA,0))))</f>
        <v/>
      </c>
      <c r="CE348" s="3">
        <f>NEUTRO</f>
        <v/>
      </c>
      <c r="CF348" s="3">
        <f>IFERROR(VLOOKUP(L348,SEGURO_TBL,3,0),"")</f>
        <v/>
      </c>
      <c r="CG348" s="3">
        <f>IF(CF348="",NEUTRO,MAX(0,MIN(100,100*(SEG_REF_MAX-CF348)/(SEG_REF_MAX-SEG_REF_MIN))))</f>
        <v/>
      </c>
      <c r="CH348" s="3">
        <f>W_CONS*CE348+W_SEG*CG348</f>
        <v/>
      </c>
      <c r="CI348" s="3">
        <f>IF(N(AB348)&gt;0,AB348,IF(AND(R348="profesional",SG_LEGAL_ON=1),GAR_LEGAL,0))</f>
        <v/>
      </c>
      <c r="CJ348" s="3">
        <f>SG_GAR*MIN(1,CI348/SG_GAR_FULL)+SG_AMPL*(AC348="sí")+SG_KMC*(AF348="sí")+SG_REV*(N(AE348)&gt;0)+SG_DEV*MIN(1,N(AG348)/SG_DEV_FULL)+SG_HIST*(W348="sí")</f>
        <v/>
      </c>
      <c r="CK348" s="3">
        <f>IFERROR(VLOOKUP(L348,CARR_PEN_TBL,2,0),0)</f>
        <v/>
      </c>
      <c r="CL348" s="3">
        <f>W_FIAB*BW348+W_PRECIO*BX348+W_KMEDAD*CB348+W_ANUNCIO*CC348+W_USO*CH348+W_SEGURIDAD*CJ348+W_ETIQUETA*CD348-CK348</f>
        <v/>
      </c>
      <c r="CM348" s="4">
        <f>IF(N(I348)&gt;0,I348,IFERROR(ROUND(_xlfn.NUMBERVALUE(LEFT(G348,FIND(" ",G348&amp;" ")-1),".")*1000,0),99999))</f>
        <v/>
      </c>
      <c r="CN348" s="3">
        <f>IF(R348="profesional",0,IF(O348&lt;CUOTA_VALOR_MAX,IF(BA348&gt;ITP_TRAMO_ALTO,SUMIFS(CF_CUOTA,CF_MAS,ITP_TRAMO_ALTO,CF_CCMIN,"&lt;="&amp;CM348,CF_CCMAX,"&gt;="&amp;CM348),IF(BA348&gt;ITP_TRAMO_BAJO,SUMIFS(CF_CUOTA,CF_MAS,ITP_TRAMO_BAJO,CF_CCMIN,"&lt;="&amp;CM348,CF_CCMAX,"&gt;="&amp;CM348),O348*ITP_TIPO)),O348*ITP_TIPO))</f>
        <v/>
      </c>
      <c r="CO348" s="4">
        <f>IF(R348="profesional",N(AK348),0)</f>
        <v/>
      </c>
      <c r="CP348" s="3">
        <f>IF(AND(R348="profesional",ISNUMBER(AK348),AL348="sí"),0,TASA_DGT)</f>
        <v/>
      </c>
      <c r="CQ348" s="3">
        <f>INFORME_DGT</f>
        <v/>
      </c>
      <c r="CR348" s="4">
        <f>O348+CO348+CN348+CP348+CQ348</f>
        <v/>
      </c>
      <c r="CS348" s="4">
        <f>CR348+N(CF348)</f>
        <v/>
      </c>
      <c r="CT348" s="3">
        <f>IF(CR348&lt;=TOTAL_MAX,"sí",IF(CR348&lt;=TOTAL_MAX+MARGEN_NEG,"negociar","no"))</f>
        <v/>
      </c>
      <c r="CU348" s="4">
        <f>IF(CT348&lt;&gt;"no",COUNTIFS($CT$2:$CT$545,"&lt;&gt;no",$CL$2:$CL$545,"&gt;"&amp;CL348)+COUNTIFS($CT$2:CT348,"&lt;&gt;no",$CL$2:CL348,CL348),"")</f>
        <v/>
      </c>
    </row>
    <row r="349">
      <c r="A349" s="2" t="inlineStr">
        <is>
          <t>cochesnet:71829418</t>
        </is>
      </c>
      <c r="B349" s="2" t="inlineStr">
        <is>
          <t>cochesnet</t>
        </is>
      </c>
      <c r="C349" s="2" t="inlineStr">
        <is>
          <t>https://www.coches.net/renault-megane-dynamique-15dci105-3p-diesel-2007-en-valencia-71829418-covo.aspx</t>
        </is>
      </c>
      <c r="D349" s="2" t="inlineStr">
        <is>
          <t>RENAULT Megane Dynamique 1.5dCi105</t>
        </is>
      </c>
      <c r="E349" s="2" t="inlineStr">
        <is>
          <t>Renault</t>
        </is>
      </c>
      <c r="F349" s="2" t="inlineStr">
        <is>
          <t>Renault Mégane</t>
        </is>
      </c>
      <c r="G349" s="2" t="inlineStr">
        <is>
          <t>1.5</t>
        </is>
      </c>
      <c r="H349" s="2" t="inlineStr">
        <is>
          <t>Dynamique 1.5dCi105</t>
        </is>
      </c>
      <c r="I349" s="2" t="n"/>
      <c r="J349" s="2" t="n"/>
      <c r="K349" s="2" t="inlineStr">
        <is>
          <t>diesel</t>
        </is>
      </c>
      <c r="L349" s="2" t="inlineStr">
        <is>
          <t>compacto</t>
        </is>
      </c>
      <c r="M349" s="2" t="n">
        <v>2007</v>
      </c>
      <c r="N349" s="2" t="n">
        <v>180000</v>
      </c>
      <c r="O349" s="2" t="n">
        <v>3400</v>
      </c>
      <c r="P349" s="2" t="inlineStr">
        <is>
          <t>manual</t>
        </is>
      </c>
      <c r="Q349" s="2" t="inlineStr">
        <is>
          <t>no</t>
        </is>
      </c>
      <c r="R349" s="2" t="inlineStr">
        <is>
          <t>particular</t>
        </is>
      </c>
      <c r="S349" s="2" t="n"/>
      <c r="T349" s="2" t="inlineStr">
        <is>
          <t>2026-10-25T16:05:11Z</t>
        </is>
      </c>
      <c r="U349" s="2" t="n">
        <v>9</v>
      </c>
      <c r="V349" s="2" t="inlineStr">
        <is>
          <t>sí</t>
        </is>
      </c>
      <c r="W349" s="2" t="n"/>
      <c r="X349" s="2" t="n"/>
      <c r="Y349" s="2" t="n"/>
      <c r="Z349" s="2" t="inlineStr">
        <is>
          <t>no</t>
        </is>
      </c>
      <c r="AA349" s="2" t="n"/>
      <c r="AB349" s="2" t="n"/>
      <c r="AC349" s="2" t="n"/>
      <c r="AD349" s="2" t="n"/>
      <c r="AE349" s="2" t="n"/>
      <c r="AF349" s="2" t="n"/>
      <c r="AG349" s="2" t="n"/>
      <c r="AH349" s="2" t="n">
        <v>3400</v>
      </c>
      <c r="AI349" s="2" t="n"/>
      <c r="AJ349" s="2" t="n"/>
      <c r="AK349" s="2" t="n"/>
      <c r="AL349" s="2" t="n"/>
      <c r="AM349" s="2" t="n"/>
      <c r="AN349" s="2" t="n"/>
      <c r="AO349" s="2" t="inlineStr">
        <is>
          <t>2007</t>
        </is>
      </c>
      <c r="AP349" s="2" t="n">
        <v>2007</v>
      </c>
      <c r="AQ349" s="2" t="n"/>
      <c r="AR349" s="2" t="n"/>
      <c r="AS349" s="2" t="inlineStr">
        <is>
          <t>regla</t>
        </is>
      </c>
      <c r="AT349" s="2" t="n">
        <v>3850</v>
      </c>
      <c r="AU349" s="2" t="n">
        <v>6</v>
      </c>
      <c r="AV349" s="2" t="inlineStr">
        <is>
          <t>modelo+año+km</t>
        </is>
      </c>
      <c r="AW349" s="2" t="n"/>
      <c r="AX349" s="2" t="inlineStr">
        <is>
          <t>cuota fija ITP: &gt;12 años, hasta 1.500 cc; diésel: motor sin fuente de fiabilidad (fiabilidad limitada a neutra); distancia no verificable (el anuncio solo indica la provincia): confirmar que está a &lt;= 70 km</t>
        </is>
      </c>
      <c r="AY349" s="2" t="inlineStr">
        <is>
          <t>Vendo Renault Megane en muy buen estado y funcionando perfectamente. Funciona todo y no tiene ningún fallo. Tiene mucho equipamiento extra. Es el modelo de 6 velocidades. Mantenimiento realizado demostrable con facturas
Mantenimiento realizado:
? Cambio kit embrague + bimasa
? Cambio kit distribución + bomba agua
? Cambio aceite + 4 filtros (aceite, aire, gasoil y habitáculo)
? Cambio correa de accesorios
? Cambio líquido refrigerante
? Cambio aceite caja de cambios
? Cambio pastillas de freno delanteras
? ITV recien pasada hasta 10/27
Equipamiento:
? Limitador y regulador de velocidad
? Luces xenon
? Techo panorámico aperturable
? Sensor de aparcamiento trasero
? Retrovisores eléctricos abatibles
? Sensor de luces y lluvia automático
Defectos:
? Laca saltada en capó y maletero no apreciable desde lejos
Interesados solicitadme video.</t>
        </is>
      </c>
      <c r="AZ349" s="2" t="inlineStr">
        <is>
          <t>https://www.coches.net/renault-megane-dynamique-15dci105-3p-diesel-2007-en-valencia-71829418-covo.aspx (window.__INITIAL_PROPS__.ad) /home/user/Alopecia/buscador-coches/raw/cochesnet/6772ef0ea1e45cea.json</t>
        </is>
      </c>
      <c r="BA349" s="3">
        <f>MAX(ANIO_ACTUAL-M349,0)</f>
        <v/>
      </c>
      <c r="BB349" s="4">
        <f>N349/MAX(BA349,0.5)</f>
        <v/>
      </c>
      <c r="BC349" s="4">
        <f>F349</f>
        <v/>
      </c>
      <c r="BD349" s="3">
        <f>BC349&amp;"|"&amp;INT(M349/SEG_ANIO)*SEG_ANIO</f>
        <v/>
      </c>
      <c r="BE349" s="3">
        <f>BD349&amp;"|"&amp;INT(N349/SEG_KM)*SEG_KM</f>
        <v/>
      </c>
      <c r="BF349" s="4">
        <f>COUNTIF($BC$2:$BC$545,BC349)</f>
        <v/>
      </c>
      <c r="BG349" s="4">
        <f>COUNTIF($BD$2:$BD$545,BD349)</f>
        <v/>
      </c>
      <c r="BH349" s="4">
        <f>COUNTIF($BE$2:$BE$545,BE349)</f>
        <v/>
      </c>
      <c r="BI349" s="3">
        <f t="array" ref="BI349">IF(N(AU349)&gt;=MIN_N,AT349,IF(BH349&gt;=MIN_N,MEDIAN(IF($BE$2:$BE$545=BE349,$O$2:$O$545)),IF(BG349&gt;=MIN_N,MEDIAN(IF($BD$2:$BD$545=BD349,$O$2:$O$545)),MEDIAN(IF($BC$2:$BC$545=BC349,$O$2:$O$545)))))</f>
        <v/>
      </c>
      <c r="BJ349" s="3">
        <f>IF(N(AU349)&gt;=MIN_N,"mercado "&amp;AV349,IF(BH349&gt;=MIN_N,"modelo+año+km",IF(BG349&gt;=MIN_N,"modelo+año","modelo")))</f>
        <v/>
      </c>
      <c r="BK349" s="4">
        <f>(BI349-O349)/BI349</f>
        <v/>
      </c>
      <c r="BL349" s="3">
        <f>IF(COUNTIFS(FR_FUEL,K349,FR_YEAR,AP349)&gt;0,1,0)</f>
        <v/>
      </c>
      <c r="BM349" s="3">
        <f>IF(COUNTIFS(FR_FUEL,K349,FR_YEAR,AP349-1)&gt;0,1,0)</f>
        <v/>
      </c>
      <c r="BN349" s="4">
        <f>IF(N(AQ349)&gt;0,AP349*100+AQ349,IF(AND(BL349=1,BM349=1),(AP349-1)*100+1,AP349*100+1))</f>
        <v/>
      </c>
      <c r="BO349" s="3">
        <f>IF(OR(K349="hibrido",K349="glp",K349="gnc",K349="phev"),"ECO",IF(K349="electrico","CERO",IF(K349="gasolina",IF(BN349&gt;=GAS_C_YM,"C",IF(BN349&gt;=GAS_B_YM,"B","A")),IF(K349="diesel",IF(BN349&gt;=DIE_C_YM,"C",IF(BN349&gt;=DIE_B_YM,"B","A")),""))))</f>
        <v/>
      </c>
      <c r="BP349" s="4">
        <f>BO349</f>
        <v/>
      </c>
      <c r="BQ349" s="4">
        <f>IF(AS349="regla",IF(AND(N(AQ349)=0,BL349=1),"sí","no"),"no")</f>
        <v/>
      </c>
      <c r="BR349" s="3">
        <f>IFERROR(VLOOKUP(F349,MOD_TBL,11,0),IFERROR(VLOOKUP(E349,OCU_TBL,2,0),NEUTRO))</f>
        <v/>
      </c>
      <c r="BS349" s="3">
        <f>SUMIFS(MOT_AJUSTE,MOT_MOTOR,G349,MOT_MARCA,E349,MOT_DESDE,"&lt;="&amp;M349,MOT_HASTA,"&gt;="&amp;M349)+SUMIFS(MOT_AJUSTE,MOT_MOTOR,G349,MOT_MARCA,"(todas)",MOT_DESDE,"&lt;="&amp;M349,MOT_HASTA,"&gt;="&amp;M349)</f>
        <v/>
      </c>
      <c r="BT349" s="3">
        <f>SUMIFS(COMB_AJUSTE,COMB_COMB,K349)</f>
        <v/>
      </c>
      <c r="BU349" s="3">
        <f>COUNTIFS(MOT_MOTOR,G349,MOT_MARCA,E349,MOT_DESDE,"&lt;="&amp;M349,MOT_HASTA,"&gt;="&amp;M349)+COUNTIFS(MOT_MOTOR,G349,MOT_MARCA,"(todas)",MOT_DESDE,"&lt;="&amp;M349,MOT_HASTA,"&gt;="&amp;M349)</f>
        <v/>
      </c>
      <c r="BV349" s="3">
        <f>IF(AND(K349="diesel",BU349=0),MIN(BR349,NEUTRO),BR349)</f>
        <v/>
      </c>
      <c r="BW349" s="4">
        <f>MAX(0,MIN(100,BV349+BS349+BT349))</f>
        <v/>
      </c>
      <c r="BX349" s="3">
        <f>MAX(0,MIN(100,50+BK349*PRECIO_PEND))</f>
        <v/>
      </c>
      <c r="BY349" s="3">
        <f>MAX(0,100*(1-N349/KM_MAX))</f>
        <v/>
      </c>
      <c r="BZ349" s="3">
        <f>IF(BB349&lt;KMA_SOSP,IF(AA349="sí",100,KMA_PEN),IF(BB349&lt;=KMA_IDEAL_MAX,100,MAX(0,100*(KMA_CERO-BB349)/(KMA_CERO-KMA_IDEAL_MAX))))</f>
        <v/>
      </c>
      <c r="CA349" s="3">
        <f>MAX(0,MIN(100,100*(M349-ANIO_MIN)/(ANIO_ACTUAL-ANIO_MIN)))</f>
        <v/>
      </c>
      <c r="CB349" s="3">
        <f>W_KMT*BY349+W_KMA*BZ349+W_EDAD*CA349</f>
        <v/>
      </c>
      <c r="CC349" s="3">
        <f>P_ITV*(V349="sí")+P_LIBRO*(W349="sí")+P_CORREA*(X349="sí")+P_PROP*(Y349=1)+P_GAR*(Z349="sí")+P_FOTOS*MIN(1,N(U349)/FOTOS_OBJ)</f>
        <v/>
      </c>
      <c r="CD349" s="3">
        <f>MAX(0,MIN(100,IFERROR(VLOOKUP(BP349,ETQ_TBL,2,0),0)-IF(BQ349="sí",ETQ_PEN_DUD,IF(AS349="regla",ETQ_PEN_REGLA,0))))</f>
        <v/>
      </c>
      <c r="CE349" s="3">
        <f>NEUTRO</f>
        <v/>
      </c>
      <c r="CF349" s="3">
        <f>IFERROR(VLOOKUP(L349,SEGURO_TBL,3,0),"")</f>
        <v/>
      </c>
      <c r="CG349" s="3">
        <f>IF(CF349="",NEUTRO,MAX(0,MIN(100,100*(SEG_REF_MAX-CF349)/(SEG_REF_MAX-SEG_REF_MIN))))</f>
        <v/>
      </c>
      <c r="CH349" s="3">
        <f>W_CONS*CE349+W_SEG*CG349</f>
        <v/>
      </c>
      <c r="CI349" s="3">
        <f>IF(N(AB349)&gt;0,AB349,IF(AND(R349="profesional",SG_LEGAL_ON=1),GAR_LEGAL,0))</f>
        <v/>
      </c>
      <c r="CJ349" s="3">
        <f>SG_GAR*MIN(1,CI349/SG_GAR_FULL)+SG_AMPL*(AC349="sí")+SG_KMC*(AF349="sí")+SG_REV*(N(AE349)&gt;0)+SG_DEV*MIN(1,N(AG349)/SG_DEV_FULL)+SG_HIST*(W349="sí")</f>
        <v/>
      </c>
      <c r="CK349" s="3">
        <f>IFERROR(VLOOKUP(L349,CARR_PEN_TBL,2,0),0)</f>
        <v/>
      </c>
      <c r="CL349" s="3">
        <f>W_FIAB*BW349+W_PRECIO*BX349+W_KMEDAD*CB349+W_ANUNCIO*CC349+W_USO*CH349+W_SEGURIDAD*CJ349+W_ETIQUETA*CD349-CK349</f>
        <v/>
      </c>
      <c r="CM349" s="4">
        <f>IF(N(I349)&gt;0,I349,IFERROR(ROUND(_xlfn.NUMBERVALUE(LEFT(G349,FIND(" ",G349&amp;" ")-1),".")*1000,0),99999))</f>
        <v/>
      </c>
      <c r="CN349" s="3">
        <f>IF(R349="profesional",0,IF(O349&lt;CUOTA_VALOR_MAX,IF(BA349&gt;ITP_TRAMO_ALTO,SUMIFS(CF_CUOTA,CF_MAS,ITP_TRAMO_ALTO,CF_CCMIN,"&lt;="&amp;CM349,CF_CCMAX,"&gt;="&amp;CM349),IF(BA349&gt;ITP_TRAMO_BAJO,SUMIFS(CF_CUOTA,CF_MAS,ITP_TRAMO_BAJO,CF_CCMIN,"&lt;="&amp;CM349,CF_CCMAX,"&gt;="&amp;CM349),O349*ITP_TIPO)),O349*ITP_TIPO))</f>
        <v/>
      </c>
      <c r="CO349" s="4">
        <f>IF(R349="profesional",N(AK349),0)</f>
        <v/>
      </c>
      <c r="CP349" s="3">
        <f>IF(AND(R349="profesional",ISNUMBER(AK349),AL349="sí"),0,TASA_DGT)</f>
        <v/>
      </c>
      <c r="CQ349" s="3">
        <f>INFORME_DGT</f>
        <v/>
      </c>
      <c r="CR349" s="4">
        <f>O349+CO349+CN349+CP349+CQ349</f>
        <v/>
      </c>
      <c r="CS349" s="4">
        <f>CR349+N(CF349)</f>
        <v/>
      </c>
      <c r="CT349" s="3">
        <f>IF(CR349&lt;=TOTAL_MAX,"sí",IF(CR349&lt;=TOTAL_MAX+MARGEN_NEG,"negociar","no"))</f>
        <v/>
      </c>
      <c r="CU349" s="4">
        <f>IF(CT349&lt;&gt;"no",COUNTIFS($CT$2:$CT$545,"&lt;&gt;no",$CL$2:$CL$545,"&gt;"&amp;CL349)+COUNTIFS($CT$2:CT349,"&lt;&gt;no",$CL$2:CL349,CL349),"")</f>
        <v/>
      </c>
    </row>
    <row r="350">
      <c r="A350" s="2" t="inlineStr">
        <is>
          <t>cochesnet:71821979</t>
        </is>
      </c>
      <c r="B350" s="2" t="inlineStr">
        <is>
          <t>cochesnet</t>
        </is>
      </c>
      <c r="C350" s="2" t="inlineStr">
        <is>
          <t>https://www.coches.net/renault-megane-dynamique-energy-dci-110-ss-5p-diesel-2012-en-valencia-71821979-covo.aspx</t>
        </is>
      </c>
      <c r="D350" s="2" t="inlineStr">
        <is>
          <t>RENAULT Megane Dynamique Energy dCi 110 SS</t>
        </is>
      </c>
      <c r="E350" s="2" t="inlineStr">
        <is>
          <t>Renault</t>
        </is>
      </c>
      <c r="F350" s="2" t="inlineStr">
        <is>
          <t>Renault Mégane</t>
        </is>
      </c>
      <c r="G350" s="2" t="inlineStr">
        <is>
          <t>? dCi</t>
        </is>
      </c>
      <c r="H350" s="2" t="inlineStr">
        <is>
          <t>Dynamique Energy dCi 110 SS</t>
        </is>
      </c>
      <c r="I350" s="2" t="n"/>
      <c r="J350" s="2" t="n"/>
      <c r="K350" s="2" t="inlineStr">
        <is>
          <t>diesel</t>
        </is>
      </c>
      <c r="L350" s="2" t="inlineStr">
        <is>
          <t>compacto</t>
        </is>
      </c>
      <c r="M350" s="2" t="n">
        <v>2012</v>
      </c>
      <c r="N350" s="2" t="n">
        <v>204000</v>
      </c>
      <c r="O350" s="2" t="n">
        <v>4990</v>
      </c>
      <c r="P350" s="2" t="inlineStr">
        <is>
          <t>manual</t>
        </is>
      </c>
      <c r="Q350" s="2" t="inlineStr">
        <is>
          <t>no</t>
        </is>
      </c>
      <c r="R350" s="2" t="inlineStr">
        <is>
          <t>particular</t>
        </is>
      </c>
      <c r="S350" s="2" t="inlineStr">
        <is>
          <t>Massamagrell</t>
        </is>
      </c>
      <c r="T350" s="2" t="inlineStr">
        <is>
          <t>2026-10-26T16:08:19Z</t>
        </is>
      </c>
      <c r="U350" s="2" t="n">
        <v>3</v>
      </c>
      <c r="V350" s="2" t="n"/>
      <c r="W350" s="2" t="n"/>
      <c r="X350" s="2" t="n"/>
      <c r="Y350" s="2" t="n"/>
      <c r="Z350" s="2" t="inlineStr">
        <is>
          <t>no</t>
        </is>
      </c>
      <c r="AA350" s="2" t="n"/>
      <c r="AB350" s="2" t="n"/>
      <c r="AC350" s="2" t="n"/>
      <c r="AD350" s="2" t="n"/>
      <c r="AE350" s="2" t="n"/>
      <c r="AF350" s="2" t="n"/>
      <c r="AG350" s="2" t="n"/>
      <c r="AH350" s="2" t="n">
        <v>4990</v>
      </c>
      <c r="AI350" s="2" t="n"/>
      <c r="AJ350" s="2" t="n"/>
      <c r="AK350" s="2" t="n"/>
      <c r="AL350" s="2" t="n"/>
      <c r="AM350" s="2" t="n">
        <v>12</v>
      </c>
      <c r="AN350" s="2" t="n"/>
      <c r="AO350" s="2" t="inlineStr">
        <is>
          <t>2012</t>
        </is>
      </c>
      <c r="AP350" s="2" t="n">
        <v>2012</v>
      </c>
      <c r="AQ350" s="2" t="n"/>
      <c r="AR350" s="2" t="n"/>
      <c r="AS350" s="2" t="inlineStr">
        <is>
          <t>regla</t>
        </is>
      </c>
      <c r="AT350" s="2" t="n">
        <v>4500</v>
      </c>
      <c r="AU350" s="2" t="n">
        <v>7</v>
      </c>
      <c r="AV350" s="2" t="inlineStr">
        <is>
          <t>modelo+año+km</t>
        </is>
      </c>
      <c r="AW350" s="2" t="n"/>
      <c r="AX350" s="2" t="inlineStr">
        <is>
          <t>por encima del presupuesto (5194 €), negociar; cilindrada desconocida: se aplica el tramo de cuota fija más alto; cuota fija ITP: &gt;12 años, más de 2.000 cc; diésel: motor sin fuente de fiabilidad (fiabilidad limitada a neutra)</t>
        </is>
      </c>
      <c r="AY350" s="2" t="inlineStr">
        <is>
          <t>Si buscas un coche que combine eficiencia, fiabilidad y un motor diesel potente a un precio accesible, este Renault Mégane es una excelente opción para ti.
Se trata de un berlina versátil y práctica, equipada con un motor de 110 CV que ofrece un rendimiento equilibrado tanto en ciudad como en carretera. El sistema diésel garantiza un consumo controlado, ideal si realizas desplazamientos frecuentes o recorres muchos kilómetros. La caja de cambios manual te proporciona una conducción directa y segura.
El vehículo se encuentra en estado de uso habitual, con una mecánica que funciona correctamente y apto para la circulación regular. Aunque presenta el desgaste natural que corresponde a su antigüedad, no tiene daños mayores evidentes. El exterior muestra un aspecto cuidado, y el interior mantiene las condiciones esperadas para un coche de estas características.
Con capacidad para cinco pasajeros y carrocería de tres puertas, es perfecto para quienes necesitan un transporte fiable sin complicaciones. La etiqueta medioambiental que posee refleja su cumplimiento con las normativas actuales.
Este Mégane es una buena alternativa si buscas un vehículo funcional, económico en combustible y con la solidez que caracteriza a Renault. Ideal para uso diario sin pretensiones, pero con la garantía de que funciona.
Si tienes dudas sobre aspectos específicos del vehículo o deseas conocer más detalles, puedo atenderte sin problema. Contacta conmigo por chat o teléfono y resolvemos todas tus p</t>
        </is>
      </c>
      <c r="AZ350" s="2" t="inlineStr">
        <is>
          <t>https://www.coches.net/renault-megane-dynamique-energy-dci-110-ss-5p-diesel-2012-en-valencia-71821979-covo.aspx (window.__INITIAL_PROPS__.ad) /home/user/Alopecia/buscador-coches/raw/cochesnet/78a286ee902643b8.json</t>
        </is>
      </c>
      <c r="BA350" s="3">
        <f>MAX(ANIO_ACTUAL-M350,0)</f>
        <v/>
      </c>
      <c r="BB350" s="4">
        <f>N350/MAX(BA350,0.5)</f>
        <v/>
      </c>
      <c r="BC350" s="4">
        <f>F350</f>
        <v/>
      </c>
      <c r="BD350" s="3">
        <f>BC350&amp;"|"&amp;INT(M350/SEG_ANIO)*SEG_ANIO</f>
        <v/>
      </c>
      <c r="BE350" s="3">
        <f>BD350&amp;"|"&amp;INT(N350/SEG_KM)*SEG_KM</f>
        <v/>
      </c>
      <c r="BF350" s="4">
        <f>COUNTIF($BC$2:$BC$545,BC350)</f>
        <v/>
      </c>
      <c r="BG350" s="4">
        <f>COUNTIF($BD$2:$BD$545,BD350)</f>
        <v/>
      </c>
      <c r="BH350" s="4">
        <f>COUNTIF($BE$2:$BE$545,BE350)</f>
        <v/>
      </c>
      <c r="BI350" s="3">
        <f t="array" ref="BI350">IF(N(AU350)&gt;=MIN_N,AT350,IF(BH350&gt;=MIN_N,MEDIAN(IF($BE$2:$BE$545=BE350,$O$2:$O$545)),IF(BG350&gt;=MIN_N,MEDIAN(IF($BD$2:$BD$545=BD350,$O$2:$O$545)),MEDIAN(IF($BC$2:$BC$545=BC350,$O$2:$O$545)))))</f>
        <v/>
      </c>
      <c r="BJ350" s="3">
        <f>IF(N(AU350)&gt;=MIN_N,"mercado "&amp;AV350,IF(BH350&gt;=MIN_N,"modelo+año+km",IF(BG350&gt;=MIN_N,"modelo+año","modelo")))</f>
        <v/>
      </c>
      <c r="BK350" s="4">
        <f>(BI350-O350)/BI350</f>
        <v/>
      </c>
      <c r="BL350" s="3">
        <f>IF(COUNTIFS(FR_FUEL,K350,FR_YEAR,AP350)&gt;0,1,0)</f>
        <v/>
      </c>
      <c r="BM350" s="3">
        <f>IF(COUNTIFS(FR_FUEL,K350,FR_YEAR,AP350-1)&gt;0,1,0)</f>
        <v/>
      </c>
      <c r="BN350" s="4">
        <f>IF(N(AQ350)&gt;0,AP350*100+AQ350,IF(AND(BL350=1,BM350=1),(AP350-1)*100+1,AP350*100+1))</f>
        <v/>
      </c>
      <c r="BO350" s="3">
        <f>IF(OR(K350="hibrido",K350="glp",K350="gnc",K350="phev"),"ECO",IF(K350="electrico","CERO",IF(K350="gasolina",IF(BN350&gt;=GAS_C_YM,"C",IF(BN350&gt;=GAS_B_YM,"B","A")),IF(K350="diesel",IF(BN350&gt;=DIE_C_YM,"C",IF(BN350&gt;=DIE_B_YM,"B","A")),""))))</f>
        <v/>
      </c>
      <c r="BP350" s="4">
        <f>BO350</f>
        <v/>
      </c>
      <c r="BQ350" s="4">
        <f>IF(AS350="regla",IF(AND(N(AQ350)=0,BL350=1),"sí","no"),"no")</f>
        <v/>
      </c>
      <c r="BR350" s="3">
        <f>IFERROR(VLOOKUP(F350,MOD_TBL,11,0),IFERROR(VLOOKUP(E350,OCU_TBL,2,0),NEUTRO))</f>
        <v/>
      </c>
      <c r="BS350" s="3">
        <f>SUMIFS(MOT_AJUSTE,MOT_MOTOR,G350,MOT_MARCA,E350,MOT_DESDE,"&lt;="&amp;M350,MOT_HASTA,"&gt;="&amp;M350)+SUMIFS(MOT_AJUSTE,MOT_MOTOR,G350,MOT_MARCA,"(todas)",MOT_DESDE,"&lt;="&amp;M350,MOT_HASTA,"&gt;="&amp;M350)</f>
        <v/>
      </c>
      <c r="BT350" s="3">
        <f>SUMIFS(COMB_AJUSTE,COMB_COMB,K350)</f>
        <v/>
      </c>
      <c r="BU350" s="3">
        <f>COUNTIFS(MOT_MOTOR,G350,MOT_MARCA,E350,MOT_DESDE,"&lt;="&amp;M350,MOT_HASTA,"&gt;="&amp;M350)+COUNTIFS(MOT_MOTOR,G350,MOT_MARCA,"(todas)",MOT_DESDE,"&lt;="&amp;M350,MOT_HASTA,"&gt;="&amp;M350)</f>
        <v/>
      </c>
      <c r="BV350" s="3">
        <f>IF(AND(K350="diesel",BU350=0),MIN(BR350,NEUTRO),BR350)</f>
        <v/>
      </c>
      <c r="BW350" s="4">
        <f>MAX(0,MIN(100,BV350+BS350+BT350))</f>
        <v/>
      </c>
      <c r="BX350" s="3">
        <f>MAX(0,MIN(100,50+BK350*PRECIO_PEND))</f>
        <v/>
      </c>
      <c r="BY350" s="3">
        <f>MAX(0,100*(1-N350/KM_MAX))</f>
        <v/>
      </c>
      <c r="BZ350" s="3">
        <f>IF(BB350&lt;KMA_SOSP,IF(AA350="sí",100,KMA_PEN),IF(BB350&lt;=KMA_IDEAL_MAX,100,MAX(0,100*(KMA_CERO-BB350)/(KMA_CERO-KMA_IDEAL_MAX))))</f>
        <v/>
      </c>
      <c r="CA350" s="3">
        <f>MAX(0,MIN(100,100*(M350-ANIO_MIN)/(ANIO_ACTUAL-ANIO_MIN)))</f>
        <v/>
      </c>
      <c r="CB350" s="3">
        <f>W_KMT*BY350+W_KMA*BZ350+W_EDAD*CA350</f>
        <v/>
      </c>
      <c r="CC350" s="3">
        <f>P_ITV*(V350="sí")+P_LIBRO*(W350="sí")+P_CORREA*(X350="sí")+P_PROP*(Y350=1)+P_GAR*(Z350="sí")+P_FOTOS*MIN(1,N(U350)/FOTOS_OBJ)</f>
        <v/>
      </c>
      <c r="CD350" s="3">
        <f>MAX(0,MIN(100,IFERROR(VLOOKUP(BP350,ETQ_TBL,2,0),0)-IF(BQ350="sí",ETQ_PEN_DUD,IF(AS350="regla",ETQ_PEN_REGLA,0))))</f>
        <v/>
      </c>
      <c r="CE350" s="3">
        <f>NEUTRO</f>
        <v/>
      </c>
      <c r="CF350" s="3">
        <f>IFERROR(VLOOKUP(L350,SEGURO_TBL,3,0),"")</f>
        <v/>
      </c>
      <c r="CG350" s="3">
        <f>IF(CF350="",NEUTRO,MAX(0,MIN(100,100*(SEG_REF_MAX-CF350)/(SEG_REF_MAX-SEG_REF_MIN))))</f>
        <v/>
      </c>
      <c r="CH350" s="3">
        <f>W_CONS*CE350+W_SEG*CG350</f>
        <v/>
      </c>
      <c r="CI350" s="3">
        <f>IF(N(AB350)&gt;0,AB350,IF(AND(R350="profesional",SG_LEGAL_ON=1),GAR_LEGAL,0))</f>
        <v/>
      </c>
      <c r="CJ350" s="3">
        <f>SG_GAR*MIN(1,CI350/SG_GAR_FULL)+SG_AMPL*(AC350="sí")+SG_KMC*(AF350="sí")+SG_REV*(N(AE350)&gt;0)+SG_DEV*MIN(1,N(AG350)/SG_DEV_FULL)+SG_HIST*(W350="sí")</f>
        <v/>
      </c>
      <c r="CK350" s="3">
        <f>IFERROR(VLOOKUP(L350,CARR_PEN_TBL,2,0),0)</f>
        <v/>
      </c>
      <c r="CL350" s="3">
        <f>W_FIAB*BW350+W_PRECIO*BX350+W_KMEDAD*CB350+W_ANUNCIO*CC350+W_USO*CH350+W_SEGURIDAD*CJ350+W_ETIQUETA*CD350-CK350</f>
        <v/>
      </c>
      <c r="CM350" s="4">
        <f>IF(N(I350)&gt;0,I350,IFERROR(ROUND(_xlfn.NUMBERVALUE(LEFT(G350,FIND(" ",G350&amp;" ")-1),".")*1000,0),99999))</f>
        <v/>
      </c>
      <c r="CN350" s="3">
        <f>IF(R350="profesional",0,IF(O350&lt;CUOTA_VALOR_MAX,IF(BA350&gt;ITP_TRAMO_ALTO,SUMIFS(CF_CUOTA,CF_MAS,ITP_TRAMO_ALTO,CF_CCMIN,"&lt;="&amp;CM350,CF_CCMAX,"&gt;="&amp;CM350),IF(BA350&gt;ITP_TRAMO_BAJO,SUMIFS(CF_CUOTA,CF_MAS,ITP_TRAMO_BAJO,CF_CCMIN,"&lt;="&amp;CM350,CF_CCMAX,"&gt;="&amp;CM350),O350*ITP_TIPO)),O350*ITP_TIPO))</f>
        <v/>
      </c>
      <c r="CO350" s="4">
        <f>IF(R350="profesional",N(AK350),0)</f>
        <v/>
      </c>
      <c r="CP350" s="3">
        <f>IF(AND(R350="profesional",ISNUMBER(AK350),AL350="sí"),0,TASA_DGT)</f>
        <v/>
      </c>
      <c r="CQ350" s="3">
        <f>INFORME_DGT</f>
        <v/>
      </c>
      <c r="CR350" s="4">
        <f>O350+CO350+CN350+CP350+CQ350</f>
        <v/>
      </c>
      <c r="CS350" s="4">
        <f>CR350+N(CF350)</f>
        <v/>
      </c>
      <c r="CT350" s="3">
        <f>IF(CR350&lt;=TOTAL_MAX,"sí",IF(CR350&lt;=TOTAL_MAX+MARGEN_NEG,"negociar","no"))</f>
        <v/>
      </c>
      <c r="CU350" s="4">
        <f>IF(CT350&lt;&gt;"no",COUNTIFS($CT$2:$CT$545,"&lt;&gt;no",$CL$2:$CL$545,"&gt;"&amp;CL350)+COUNTIFS($CT$2:CT350,"&lt;&gt;no",$CL$2:CL350,CL350),"")</f>
        <v/>
      </c>
    </row>
    <row r="351">
      <c r="A351" s="2" t="inlineStr">
        <is>
          <t>cochesnet:71783816</t>
        </is>
      </c>
      <c r="B351" s="2" t="inlineStr">
        <is>
          <t>cochesnet</t>
        </is>
      </c>
      <c r="C351" s="2" t="inlineStr">
        <is>
          <t>https://www.coches.net/renault-megane-sport-tourer-dynamique-15dci-105cv-eco2-5p-diesel-2009-en-valencia-71783816-covo.aspx</t>
        </is>
      </c>
      <c r="D351" s="2" t="inlineStr">
        <is>
          <t>RENAULT Mégane Sport Tourer Dynamique 1.5dCi eco2</t>
        </is>
      </c>
      <c r="E351" s="2" t="inlineStr">
        <is>
          <t>Renault</t>
        </is>
      </c>
      <c r="F351" s="2" t="inlineStr">
        <is>
          <t>Renault Mégane</t>
        </is>
      </c>
      <c r="G351" s="2" t="inlineStr">
        <is>
          <t>1.5</t>
        </is>
      </c>
      <c r="H351" s="2" t="inlineStr">
        <is>
          <t>Sport Tourer Dynamique 1.5dCi 105cv eco2</t>
        </is>
      </c>
      <c r="I351" s="2" t="n"/>
      <c r="J351" s="2" t="n">
        <v>105</v>
      </c>
      <c r="K351" s="2" t="inlineStr">
        <is>
          <t>diesel</t>
        </is>
      </c>
      <c r="L351" s="2" t="inlineStr">
        <is>
          <t>familiar</t>
        </is>
      </c>
      <c r="M351" s="2" t="n">
        <v>2010</v>
      </c>
      <c r="N351" s="2" t="n">
        <v>186000</v>
      </c>
      <c r="O351" s="2" t="n">
        <v>4990</v>
      </c>
      <c r="P351" s="2" t="inlineStr">
        <is>
          <t>manual</t>
        </is>
      </c>
      <c r="Q351" s="2" t="inlineStr">
        <is>
          <t>no</t>
        </is>
      </c>
      <c r="R351" s="2" t="inlineStr">
        <is>
          <t>profesional</t>
        </is>
      </c>
      <c r="S351" s="2" t="inlineStr">
        <is>
          <t>PRIM CARS Alboraya</t>
        </is>
      </c>
      <c r="T351" s="2" t="inlineStr">
        <is>
          <t>2026-10-19T18:24:38Z</t>
        </is>
      </c>
      <c r="U351" s="2" t="n">
        <v>23</v>
      </c>
      <c r="V351" s="2" t="inlineStr">
        <is>
          <t>sí</t>
        </is>
      </c>
      <c r="W351" s="2" t="n"/>
      <c r="X351" s="2" t="n"/>
      <c r="Y351" s="2" t="n">
        <v>1</v>
      </c>
      <c r="Z351" s="2" t="inlineStr">
        <is>
          <t>sí</t>
        </is>
      </c>
      <c r="AA351" s="2" t="n"/>
      <c r="AB351" s="2" t="n">
        <v>12</v>
      </c>
      <c r="AC351" s="2" t="n"/>
      <c r="AD351" s="2" t="n"/>
      <c r="AE351" s="2" t="n"/>
      <c r="AF351" s="2" t="n"/>
      <c r="AG351" s="2" t="n"/>
      <c r="AH351" s="2" t="n">
        <v>4990</v>
      </c>
      <c r="AI351" s="2" t="n">
        <v>4990</v>
      </c>
      <c r="AJ351" s="2" t="n"/>
      <c r="AK351" s="2" t="n"/>
      <c r="AL351" s="2" t="n"/>
      <c r="AM351" s="2" t="n">
        <v>4</v>
      </c>
      <c r="AN351" s="2" t="n"/>
      <c r="AO351" s="2" t="inlineStr">
        <is>
          <t>2010</t>
        </is>
      </c>
      <c r="AP351" s="2" t="n">
        <v>2010</v>
      </c>
      <c r="AQ351" s="2" t="n"/>
      <c r="AR351" s="2" t="inlineStr">
        <is>
          <t>B</t>
        </is>
      </c>
      <c r="AS351" s="2" t="inlineStr">
        <is>
          <t>anuncio</t>
        </is>
      </c>
      <c r="AT351" s="2" t="n">
        <v>5045</v>
      </c>
      <c r="AU351" s="2" t="n">
        <v>12</v>
      </c>
      <c r="AV351" s="2" t="inlineStr">
        <is>
          <t>modelo+año+km</t>
        </is>
      </c>
      <c r="AW351" s="2" t="n"/>
      <c r="AX351"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familiar: -3 puntos</t>
        </is>
      </c>
      <c r="AY351" s="2" t="inlineStr">
        <is>
          <t>RENAULT MÉGANE III ESTATE 1.5 dCi 106 CV – AÑO 2010
Vehículo nacional, procedente de único propietario, en buen estado de conservación, cuidado y listo para circular.
Se entrega con mantenimiento recién realizado e ITV recién pasada.
Dispone de distintivo ambiental B.
Equipamiento destacado:
* Barras de techo
* Aire acondicionado 
* Control de crucero y limitador de velocidad
* Ordenador de a bordo
* Elevalunas eléctricos
* Retrovisores eléctricos
* Cierre centralizado con mando y dos llaves 
* Dirección asistida
* Volante regulable en altura y profundidad
* Asientos traseros abatibles
* Amplio maletero con gran capacidad de carga
* Sistema de audio con radio y CD
* Airbags frontales y laterales
* Sistema antibloqueo de frenos ABS
* Control electrónico de estabilidad ESP
* 
Para más información o concertar una visita, contactar sin compromiso.
Este anuncio tiene carácter informativo y no contractual, pudiendo contener errores tipográficos. El equipamiento concreto puede variar según la versión y debe verificarse en el vehículo.</t>
        </is>
      </c>
      <c r="AZ351" s="2" t="inlineStr">
        <is>
          <t>https://www.coches.net/renault-megane-sport-tourer-dynamique-15dci-105cv-eco2-5p-diesel-2009-en-valencia-71783816-covo.aspx (window.__INITIAL_PROPS__.ad) /home/user/Alopecia/buscador-coches/raw/cochesnet/41e7d798cdcad364.json</t>
        </is>
      </c>
      <c r="BA351" s="3">
        <f>MAX(ANIO_ACTUAL-M351,0)</f>
        <v/>
      </c>
      <c r="BB351" s="4">
        <f>N351/MAX(BA351,0.5)</f>
        <v/>
      </c>
      <c r="BC351" s="4">
        <f>F351</f>
        <v/>
      </c>
      <c r="BD351" s="3">
        <f>BC351&amp;"|"&amp;INT(M351/SEG_ANIO)*SEG_ANIO</f>
        <v/>
      </c>
      <c r="BE351" s="3">
        <f>BD351&amp;"|"&amp;INT(N351/SEG_KM)*SEG_KM</f>
        <v/>
      </c>
      <c r="BF351" s="4">
        <f>COUNTIF($BC$2:$BC$545,BC351)</f>
        <v/>
      </c>
      <c r="BG351" s="4">
        <f>COUNTIF($BD$2:$BD$545,BD351)</f>
        <v/>
      </c>
      <c r="BH351" s="4">
        <f>COUNTIF($BE$2:$BE$545,BE351)</f>
        <v/>
      </c>
      <c r="BI351" s="3">
        <f t="array" ref="BI351">IF(N(AU351)&gt;=MIN_N,AT351,IF(BH351&gt;=MIN_N,MEDIAN(IF($BE$2:$BE$545=BE351,$O$2:$O$545)),IF(BG351&gt;=MIN_N,MEDIAN(IF($BD$2:$BD$545=BD351,$O$2:$O$545)),MEDIAN(IF($BC$2:$BC$545=BC351,$O$2:$O$545)))))</f>
        <v/>
      </c>
      <c r="BJ351" s="3">
        <f>IF(N(AU351)&gt;=MIN_N,"mercado "&amp;AV351,IF(BH351&gt;=MIN_N,"modelo+año+km",IF(BG351&gt;=MIN_N,"modelo+año","modelo")))</f>
        <v/>
      </c>
      <c r="BK351" s="4">
        <f>(BI351-O351)/BI351</f>
        <v/>
      </c>
      <c r="BL351" s="3">
        <f>IF(COUNTIFS(FR_FUEL,K351,FR_YEAR,AP351)&gt;0,1,0)</f>
        <v/>
      </c>
      <c r="BM351" s="3">
        <f>IF(COUNTIFS(FR_FUEL,K351,FR_YEAR,AP351-1)&gt;0,1,0)</f>
        <v/>
      </c>
      <c r="BN351" s="4">
        <f>IF(N(AQ351)&gt;0,AP351*100+AQ351,IF(AND(BL351=1,BM351=1),(AP351-1)*100+1,AP351*100+1))</f>
        <v/>
      </c>
      <c r="BO351" s="3">
        <f>IF(OR(K351="hibrido",K351="glp",K351="gnc",K351="phev"),"ECO",IF(K351="electrico","CERO",IF(K351="gasolina",IF(BN351&gt;=GAS_C_YM,"C",IF(BN351&gt;=GAS_B_YM,"B","A")),IF(K351="diesel",IF(BN351&gt;=DIE_C_YM,"C",IF(BN351&gt;=DIE_B_YM,"B","A")),""))))</f>
        <v/>
      </c>
      <c r="BP351" s="2" t="inlineStr">
        <is>
          <t>B</t>
        </is>
      </c>
      <c r="BQ351" s="4">
        <f>IF(AS351="regla",IF(AND(N(AQ351)=0,BL351=1),"sí","no"),"no")</f>
        <v/>
      </c>
      <c r="BR351" s="3">
        <f>IFERROR(VLOOKUP(F351,MOD_TBL,11,0),IFERROR(VLOOKUP(E351,OCU_TBL,2,0),NEUTRO))</f>
        <v/>
      </c>
      <c r="BS351" s="3">
        <f>SUMIFS(MOT_AJUSTE,MOT_MOTOR,G351,MOT_MARCA,E351,MOT_DESDE,"&lt;="&amp;M351,MOT_HASTA,"&gt;="&amp;M351)+SUMIFS(MOT_AJUSTE,MOT_MOTOR,G351,MOT_MARCA,"(todas)",MOT_DESDE,"&lt;="&amp;M351,MOT_HASTA,"&gt;="&amp;M351)</f>
        <v/>
      </c>
      <c r="BT351" s="3">
        <f>SUMIFS(COMB_AJUSTE,COMB_COMB,K351)</f>
        <v/>
      </c>
      <c r="BU351" s="3">
        <f>COUNTIFS(MOT_MOTOR,G351,MOT_MARCA,E351,MOT_DESDE,"&lt;="&amp;M351,MOT_HASTA,"&gt;="&amp;M351)+COUNTIFS(MOT_MOTOR,G351,MOT_MARCA,"(todas)",MOT_DESDE,"&lt;="&amp;M351,MOT_HASTA,"&gt;="&amp;M351)</f>
        <v/>
      </c>
      <c r="BV351" s="3">
        <f>IF(AND(K351="diesel",BU351=0),MIN(BR351,NEUTRO),BR351)</f>
        <v/>
      </c>
      <c r="BW351" s="4">
        <f>MAX(0,MIN(100,BV351+BS351+BT351))</f>
        <v/>
      </c>
      <c r="BX351" s="3">
        <f>MAX(0,MIN(100,50+BK351*PRECIO_PEND))</f>
        <v/>
      </c>
      <c r="BY351" s="3">
        <f>MAX(0,100*(1-N351/KM_MAX))</f>
        <v/>
      </c>
      <c r="BZ351" s="3">
        <f>IF(BB351&lt;KMA_SOSP,IF(AA351="sí",100,KMA_PEN),IF(BB351&lt;=KMA_IDEAL_MAX,100,MAX(0,100*(KMA_CERO-BB351)/(KMA_CERO-KMA_IDEAL_MAX))))</f>
        <v/>
      </c>
      <c r="CA351" s="3">
        <f>MAX(0,MIN(100,100*(M351-ANIO_MIN)/(ANIO_ACTUAL-ANIO_MIN)))</f>
        <v/>
      </c>
      <c r="CB351" s="3">
        <f>W_KMT*BY351+W_KMA*BZ351+W_EDAD*CA351</f>
        <v/>
      </c>
      <c r="CC351" s="3">
        <f>P_ITV*(V351="sí")+P_LIBRO*(W351="sí")+P_CORREA*(X351="sí")+P_PROP*(Y351=1)+P_GAR*(Z351="sí")+P_FOTOS*MIN(1,N(U351)/FOTOS_OBJ)</f>
        <v/>
      </c>
      <c r="CD351" s="3">
        <f>MAX(0,MIN(100,IFERROR(VLOOKUP(BP351,ETQ_TBL,2,0),0)-IF(BQ351="sí",ETQ_PEN_DUD,IF(AS351="regla",ETQ_PEN_REGLA,0))))</f>
        <v/>
      </c>
      <c r="CE351" s="3">
        <f>NEUTRO</f>
        <v/>
      </c>
      <c r="CF351" s="3">
        <f>IFERROR(VLOOKUP(L351,SEGURO_TBL,3,0),"")</f>
        <v/>
      </c>
      <c r="CG351" s="3">
        <f>IF(CF351="",NEUTRO,MAX(0,MIN(100,100*(SEG_REF_MAX-CF351)/(SEG_REF_MAX-SEG_REF_MIN))))</f>
        <v/>
      </c>
      <c r="CH351" s="3">
        <f>W_CONS*CE351+W_SEG*CG351</f>
        <v/>
      </c>
      <c r="CI351" s="3">
        <f>IF(N(AB351)&gt;0,AB351,IF(AND(R351="profesional",SG_LEGAL_ON=1),GAR_LEGAL,0))</f>
        <v/>
      </c>
      <c r="CJ351" s="3">
        <f>SG_GAR*MIN(1,CI351/SG_GAR_FULL)+SG_AMPL*(AC351="sí")+SG_KMC*(AF351="sí")+SG_REV*(N(AE351)&gt;0)+SG_DEV*MIN(1,N(AG351)/SG_DEV_FULL)+SG_HIST*(W351="sí")</f>
        <v/>
      </c>
      <c r="CK351" s="3">
        <f>IFERROR(VLOOKUP(L351,CARR_PEN_TBL,2,0),0)</f>
        <v/>
      </c>
      <c r="CL351" s="3">
        <f>W_FIAB*BW351+W_PRECIO*BX351+W_KMEDAD*CB351+W_ANUNCIO*CC351+W_USO*CH351+W_SEGURIDAD*CJ351+W_ETIQUETA*CD351-CK351</f>
        <v/>
      </c>
      <c r="CM351" s="4">
        <f>IF(N(I351)&gt;0,I351,IFERROR(ROUND(_xlfn.NUMBERVALUE(LEFT(G351,FIND(" ",G351&amp;" ")-1),".")*1000,0),99999))</f>
        <v/>
      </c>
      <c r="CN351" s="3">
        <f>IF(R351="profesional",0,IF(O351&lt;CUOTA_VALOR_MAX,IF(BA351&gt;ITP_TRAMO_ALTO,SUMIFS(CF_CUOTA,CF_MAS,ITP_TRAMO_ALTO,CF_CCMIN,"&lt;="&amp;CM351,CF_CCMAX,"&gt;="&amp;CM351),IF(BA351&gt;ITP_TRAMO_BAJO,SUMIFS(CF_CUOTA,CF_MAS,ITP_TRAMO_BAJO,CF_CCMIN,"&lt;="&amp;CM351,CF_CCMAX,"&gt;="&amp;CM351),O351*ITP_TIPO)),O351*ITP_TIPO))</f>
        <v/>
      </c>
      <c r="CO351" s="4">
        <f>IF(R351="profesional",N(AK351),0)</f>
        <v/>
      </c>
      <c r="CP351" s="3">
        <f>IF(AND(R351="profesional",ISNUMBER(AK351),AL351="sí"),0,TASA_DGT)</f>
        <v/>
      </c>
      <c r="CQ351" s="3">
        <f>INFORME_DGT</f>
        <v/>
      </c>
      <c r="CR351" s="4">
        <f>O351+CO351+CN351+CP351+CQ351</f>
        <v/>
      </c>
      <c r="CS351" s="4">
        <f>CR351+N(CF351)</f>
        <v/>
      </c>
      <c r="CT351" s="3">
        <f>IF(CR351&lt;=TOTAL_MAX,"sí",IF(CR351&lt;=TOTAL_MAX+MARGEN_NEG,"negociar","no"))</f>
        <v/>
      </c>
      <c r="CU351" s="4">
        <f>IF(CT351&lt;&gt;"no",COUNTIFS($CT$2:$CT$545,"&lt;&gt;no",$CL$2:$CL$545,"&gt;"&amp;CL351)+COUNTIFS($CT$2:CT351,"&lt;&gt;no",$CL$2:CL351,CL351),"")</f>
        <v/>
      </c>
    </row>
    <row r="352">
      <c r="A352" s="2" t="inlineStr">
        <is>
          <t>cochesnet:71789007</t>
        </is>
      </c>
      <c r="B352" s="2" t="inlineStr">
        <is>
          <t>cochesnet</t>
        </is>
      </c>
      <c r="C352" s="2" t="inlineStr">
        <is>
          <t>https://www.coches.net/renault-megane-sedan-confort-authentique-16-16v-4p-gasolina-2006-en-valencia-71789007-covo.aspx</t>
        </is>
      </c>
      <c r="D352" s="2" t="inlineStr">
        <is>
          <t>RENAULT Megane SEDAN CONFORT AUTHENTIQUE 1.6 16v</t>
        </is>
      </c>
      <c r="E352" s="2" t="inlineStr">
        <is>
          <t>Renault</t>
        </is>
      </c>
      <c r="F352" s="2" t="inlineStr">
        <is>
          <t>Renault Mégane</t>
        </is>
      </c>
      <c r="G352" s="2" t="inlineStr">
        <is>
          <t>1.6</t>
        </is>
      </c>
      <c r="H352" s="2" t="inlineStr">
        <is>
          <t>SEDAN CONFORT AUTHENTIQUE 1.6 16v</t>
        </is>
      </c>
      <c r="I352" s="2" t="n"/>
      <c r="J352" s="2" t="n"/>
      <c r="K352" s="2" t="inlineStr">
        <is>
          <t>gasolina</t>
        </is>
      </c>
      <c r="L352" s="2" t="inlineStr">
        <is>
          <t>berlina</t>
        </is>
      </c>
      <c r="M352" s="2" t="n">
        <v>2006</v>
      </c>
      <c r="N352" s="2" t="n">
        <v>215766</v>
      </c>
      <c r="O352" s="2" t="n">
        <v>1500</v>
      </c>
      <c r="P352" s="2" t="inlineStr">
        <is>
          <t>manual</t>
        </is>
      </c>
      <c r="Q352" s="2" t="inlineStr">
        <is>
          <t>no</t>
        </is>
      </c>
      <c r="R352" s="2" t="inlineStr">
        <is>
          <t>particular</t>
        </is>
      </c>
      <c r="S352" s="2" t="n"/>
      <c r="T352" s="2" t="inlineStr">
        <is>
          <t>2026-10-20T08:41:04Z</t>
        </is>
      </c>
      <c r="U352" s="2" t="n">
        <v>4</v>
      </c>
      <c r="V352" s="2" t="inlineStr">
        <is>
          <t>sí</t>
        </is>
      </c>
      <c r="W352" s="2" t="n"/>
      <c r="X352" s="2" t="n"/>
      <c r="Y352" s="2" t="n"/>
      <c r="Z352" s="2" t="inlineStr">
        <is>
          <t>no</t>
        </is>
      </c>
      <c r="AA352" s="2" t="n"/>
      <c r="AB352" s="2" t="n"/>
      <c r="AC352" s="2" t="n"/>
      <c r="AD352" s="2" t="n"/>
      <c r="AE352" s="2" t="n"/>
      <c r="AF352" s="2" t="n"/>
      <c r="AG352" s="2" t="n"/>
      <c r="AH352" s="2" t="n">
        <v>1500</v>
      </c>
      <c r="AI352" s="2" t="n"/>
      <c r="AJ352" s="2" t="n"/>
      <c r="AK352" s="2" t="n"/>
      <c r="AL352" s="2" t="n"/>
      <c r="AM352" s="2" t="n"/>
      <c r="AN352" s="2" t="n"/>
      <c r="AO352" s="2" t="inlineStr">
        <is>
          <t>2006</t>
        </is>
      </c>
      <c r="AP352" s="2" t="n">
        <v>2006</v>
      </c>
      <c r="AQ352" s="2" t="n"/>
      <c r="AR352" s="2" t="n"/>
      <c r="AS352" s="2" t="inlineStr">
        <is>
          <t>regla</t>
        </is>
      </c>
      <c r="AT352" s="2" t="n">
        <v>2300</v>
      </c>
      <c r="AU352" s="2" t="n">
        <v>12</v>
      </c>
      <c r="AV352" s="2" t="inlineStr">
        <is>
          <t>modelo+año+km</t>
        </is>
      </c>
      <c r="AW352" s="2" t="n"/>
      <c r="AX352" s="2" t="inlineStr">
        <is>
          <t>cuota fija ITP: &gt;12 años, 1.501-2.000 cc; carrocería berlina: -4 puntos; distancia no verificable (el anuncio solo indica la provincia): confirmar que está a &lt;= 70 km</t>
        </is>
      </c>
      <c r="AY352" s="2" t="inlineStr">
        <is>
          <t>ITV pasada ...funciona correctamente alguna tapa y algunos razguñosde nada ...
se vende para pagar un arreglo de otro coche...</t>
        </is>
      </c>
      <c r="AZ352" s="2" t="inlineStr">
        <is>
          <t>https://www.coches.net/renault-megane-sedan-confort-authentique-16-16v-4p-gasolina-2006-en-valencia-71789007-covo.aspx (window.__INITIAL_PROPS__.ad) /home/user/Alopecia/buscador-coches/raw/cochesnet/a78fe4b5457f1d41.json</t>
        </is>
      </c>
      <c r="BA352" s="3">
        <f>MAX(ANIO_ACTUAL-M352,0)</f>
        <v/>
      </c>
      <c r="BB352" s="4">
        <f>N352/MAX(BA352,0.5)</f>
        <v/>
      </c>
      <c r="BC352" s="4">
        <f>F352</f>
        <v/>
      </c>
      <c r="BD352" s="3">
        <f>BC352&amp;"|"&amp;INT(M352/SEG_ANIO)*SEG_ANIO</f>
        <v/>
      </c>
      <c r="BE352" s="3">
        <f>BD352&amp;"|"&amp;INT(N352/SEG_KM)*SEG_KM</f>
        <v/>
      </c>
      <c r="BF352" s="4">
        <f>COUNTIF($BC$2:$BC$545,BC352)</f>
        <v/>
      </c>
      <c r="BG352" s="4">
        <f>COUNTIF($BD$2:$BD$545,BD352)</f>
        <v/>
      </c>
      <c r="BH352" s="4">
        <f>COUNTIF($BE$2:$BE$545,BE352)</f>
        <v/>
      </c>
      <c r="BI352" s="3">
        <f t="array" ref="BI352">IF(N(AU352)&gt;=MIN_N,AT352,IF(BH352&gt;=MIN_N,MEDIAN(IF($BE$2:$BE$545=BE352,$O$2:$O$545)),IF(BG352&gt;=MIN_N,MEDIAN(IF($BD$2:$BD$545=BD352,$O$2:$O$545)),MEDIAN(IF($BC$2:$BC$545=BC352,$O$2:$O$545)))))</f>
        <v/>
      </c>
      <c r="BJ352" s="3">
        <f>IF(N(AU352)&gt;=MIN_N,"mercado "&amp;AV352,IF(BH352&gt;=MIN_N,"modelo+año+km",IF(BG352&gt;=MIN_N,"modelo+año","modelo")))</f>
        <v/>
      </c>
      <c r="BK352" s="4">
        <f>(BI352-O352)/BI352</f>
        <v/>
      </c>
      <c r="BL352" s="3">
        <f>IF(COUNTIFS(FR_FUEL,K352,FR_YEAR,AP352)&gt;0,1,0)</f>
        <v/>
      </c>
      <c r="BM352" s="3">
        <f>IF(COUNTIFS(FR_FUEL,K352,FR_YEAR,AP352-1)&gt;0,1,0)</f>
        <v/>
      </c>
      <c r="BN352" s="4">
        <f>IF(N(AQ352)&gt;0,AP352*100+AQ352,IF(AND(BL352=1,BM352=1),(AP352-1)*100+1,AP352*100+1))</f>
        <v/>
      </c>
      <c r="BO352" s="3">
        <f>IF(OR(K352="hibrido",K352="glp",K352="gnc",K352="phev"),"ECO",IF(K352="electrico","CERO",IF(K352="gasolina",IF(BN352&gt;=GAS_C_YM,"C",IF(BN352&gt;=GAS_B_YM,"B","A")),IF(K352="diesel",IF(BN352&gt;=DIE_C_YM,"C",IF(BN352&gt;=DIE_B_YM,"B","A")),""))))</f>
        <v/>
      </c>
      <c r="BP352" s="4">
        <f>BO352</f>
        <v/>
      </c>
      <c r="BQ352" s="4">
        <f>IF(AS352="regla",IF(AND(N(AQ352)=0,BL352=1),"sí","no"),"no")</f>
        <v/>
      </c>
      <c r="BR352" s="3">
        <f>IFERROR(VLOOKUP(F352,MOD_TBL,11,0),IFERROR(VLOOKUP(E352,OCU_TBL,2,0),NEUTRO))</f>
        <v/>
      </c>
      <c r="BS352" s="3">
        <f>SUMIFS(MOT_AJUSTE,MOT_MOTOR,G352,MOT_MARCA,E352,MOT_DESDE,"&lt;="&amp;M352,MOT_HASTA,"&gt;="&amp;M352)+SUMIFS(MOT_AJUSTE,MOT_MOTOR,G352,MOT_MARCA,"(todas)",MOT_DESDE,"&lt;="&amp;M352,MOT_HASTA,"&gt;="&amp;M352)</f>
        <v/>
      </c>
      <c r="BT352" s="3">
        <f>SUMIFS(COMB_AJUSTE,COMB_COMB,K352)</f>
        <v/>
      </c>
      <c r="BU352" s="3">
        <f>COUNTIFS(MOT_MOTOR,G352,MOT_MARCA,E352,MOT_DESDE,"&lt;="&amp;M352,MOT_HASTA,"&gt;="&amp;M352)+COUNTIFS(MOT_MOTOR,G352,MOT_MARCA,"(todas)",MOT_DESDE,"&lt;="&amp;M352,MOT_HASTA,"&gt;="&amp;M352)</f>
        <v/>
      </c>
      <c r="BV352" s="3">
        <f>IF(AND(K352="diesel",BU352=0),MIN(BR352,NEUTRO),BR352)</f>
        <v/>
      </c>
      <c r="BW352" s="4">
        <f>MAX(0,MIN(100,BV352+BS352+BT352))</f>
        <v/>
      </c>
      <c r="BX352" s="3">
        <f>MAX(0,MIN(100,50+BK352*PRECIO_PEND))</f>
        <v/>
      </c>
      <c r="BY352" s="3">
        <f>MAX(0,100*(1-N352/KM_MAX))</f>
        <v/>
      </c>
      <c r="BZ352" s="3">
        <f>IF(BB352&lt;KMA_SOSP,IF(AA352="sí",100,KMA_PEN),IF(BB352&lt;=KMA_IDEAL_MAX,100,MAX(0,100*(KMA_CERO-BB352)/(KMA_CERO-KMA_IDEAL_MAX))))</f>
        <v/>
      </c>
      <c r="CA352" s="3">
        <f>MAX(0,MIN(100,100*(M352-ANIO_MIN)/(ANIO_ACTUAL-ANIO_MIN)))</f>
        <v/>
      </c>
      <c r="CB352" s="3">
        <f>W_KMT*BY352+W_KMA*BZ352+W_EDAD*CA352</f>
        <v/>
      </c>
      <c r="CC352" s="3">
        <f>P_ITV*(V352="sí")+P_LIBRO*(W352="sí")+P_CORREA*(X352="sí")+P_PROP*(Y352=1)+P_GAR*(Z352="sí")+P_FOTOS*MIN(1,N(U352)/FOTOS_OBJ)</f>
        <v/>
      </c>
      <c r="CD352" s="3">
        <f>MAX(0,MIN(100,IFERROR(VLOOKUP(BP352,ETQ_TBL,2,0),0)-IF(BQ352="sí",ETQ_PEN_DUD,IF(AS352="regla",ETQ_PEN_REGLA,0))))</f>
        <v/>
      </c>
      <c r="CE352" s="3">
        <f>NEUTRO</f>
        <v/>
      </c>
      <c r="CF352" s="3">
        <f>IFERROR(VLOOKUP(L352,SEGURO_TBL,3,0),"")</f>
        <v/>
      </c>
      <c r="CG352" s="3">
        <f>IF(CF352="",NEUTRO,MAX(0,MIN(100,100*(SEG_REF_MAX-CF352)/(SEG_REF_MAX-SEG_REF_MIN))))</f>
        <v/>
      </c>
      <c r="CH352" s="3">
        <f>W_CONS*CE352+W_SEG*CG352</f>
        <v/>
      </c>
      <c r="CI352" s="3">
        <f>IF(N(AB352)&gt;0,AB352,IF(AND(R352="profesional",SG_LEGAL_ON=1),GAR_LEGAL,0))</f>
        <v/>
      </c>
      <c r="CJ352" s="3">
        <f>SG_GAR*MIN(1,CI352/SG_GAR_FULL)+SG_AMPL*(AC352="sí")+SG_KMC*(AF352="sí")+SG_REV*(N(AE352)&gt;0)+SG_DEV*MIN(1,N(AG352)/SG_DEV_FULL)+SG_HIST*(W352="sí")</f>
        <v/>
      </c>
      <c r="CK352" s="3">
        <f>IFERROR(VLOOKUP(L352,CARR_PEN_TBL,2,0),0)</f>
        <v/>
      </c>
      <c r="CL352" s="3">
        <f>W_FIAB*BW352+W_PRECIO*BX352+W_KMEDAD*CB352+W_ANUNCIO*CC352+W_USO*CH352+W_SEGURIDAD*CJ352+W_ETIQUETA*CD352-CK352</f>
        <v/>
      </c>
      <c r="CM352" s="4">
        <f>IF(N(I352)&gt;0,I352,IFERROR(ROUND(_xlfn.NUMBERVALUE(LEFT(G352,FIND(" ",G352&amp;" ")-1),".")*1000,0),99999))</f>
        <v/>
      </c>
      <c r="CN352" s="3">
        <f>IF(R352="profesional",0,IF(O352&lt;CUOTA_VALOR_MAX,IF(BA352&gt;ITP_TRAMO_ALTO,SUMIFS(CF_CUOTA,CF_MAS,ITP_TRAMO_ALTO,CF_CCMIN,"&lt;="&amp;CM352,CF_CCMAX,"&gt;="&amp;CM352),IF(BA352&gt;ITP_TRAMO_BAJO,SUMIFS(CF_CUOTA,CF_MAS,ITP_TRAMO_BAJO,CF_CCMIN,"&lt;="&amp;CM352,CF_CCMAX,"&gt;="&amp;CM352),O352*ITP_TIPO)),O352*ITP_TIPO))</f>
        <v/>
      </c>
      <c r="CO352" s="4">
        <f>IF(R352="profesional",N(AK352),0)</f>
        <v/>
      </c>
      <c r="CP352" s="3">
        <f>IF(AND(R352="profesional",ISNUMBER(AK352),AL352="sí"),0,TASA_DGT)</f>
        <v/>
      </c>
      <c r="CQ352" s="3">
        <f>INFORME_DGT</f>
        <v/>
      </c>
      <c r="CR352" s="4">
        <f>O352+CO352+CN352+CP352+CQ352</f>
        <v/>
      </c>
      <c r="CS352" s="4">
        <f>CR352+N(CF352)</f>
        <v/>
      </c>
      <c r="CT352" s="3">
        <f>IF(CR352&lt;=TOTAL_MAX,"sí",IF(CR352&lt;=TOTAL_MAX+MARGEN_NEG,"negociar","no"))</f>
        <v/>
      </c>
      <c r="CU352" s="4">
        <f>IF(CT352&lt;&gt;"no",COUNTIFS($CT$2:$CT$545,"&lt;&gt;no",$CL$2:$CL$545,"&gt;"&amp;CL352)+COUNTIFS($CT$2:CT352,"&lt;&gt;no",$CL$2:CL352,CL352),"")</f>
        <v/>
      </c>
    </row>
    <row r="353">
      <c r="A353" s="2" t="inlineStr">
        <is>
          <t>cochesnet:71755437</t>
        </is>
      </c>
      <c r="B353" s="2" t="inlineStr">
        <is>
          <t>cochesnet</t>
        </is>
      </c>
      <c r="C353" s="2" t="inlineStr">
        <is>
          <t>https://www.coches.net/renault-megane-business-dci-110-eco2-5p-diesel-2012-en-valencia-71755437-covo.aspx</t>
        </is>
      </c>
      <c r="D353" s="2" t="inlineStr">
        <is>
          <t>RENAULT Mégane Business dCi 110 eco2</t>
        </is>
      </c>
      <c r="E353" s="2" t="inlineStr">
        <is>
          <t>Renault</t>
        </is>
      </c>
      <c r="F353" s="2" t="inlineStr">
        <is>
          <t>Renault Mégane</t>
        </is>
      </c>
      <c r="G353" s="2" t="inlineStr">
        <is>
          <t>? dCi</t>
        </is>
      </c>
      <c r="H353" s="2" t="inlineStr">
        <is>
          <t>Business dCi 110 eco2</t>
        </is>
      </c>
      <c r="I353" s="2" t="n"/>
      <c r="J353" s="2" t="n"/>
      <c r="K353" s="2" t="inlineStr">
        <is>
          <t>diesel</t>
        </is>
      </c>
      <c r="L353" s="2" t="inlineStr">
        <is>
          <t>compacto</t>
        </is>
      </c>
      <c r="M353" s="2" t="n">
        <v>2013</v>
      </c>
      <c r="N353" s="2" t="n">
        <v>200000</v>
      </c>
      <c r="O353" s="2" t="n">
        <v>4800</v>
      </c>
      <c r="P353" s="2" t="inlineStr">
        <is>
          <t>manual</t>
        </is>
      </c>
      <c r="Q353" s="2" t="inlineStr">
        <is>
          <t>no</t>
        </is>
      </c>
      <c r="R353" s="2" t="inlineStr">
        <is>
          <t>profesional</t>
        </is>
      </c>
      <c r="S353" s="2" t="inlineStr">
        <is>
          <t>Coches Valencia Alaquàs</t>
        </is>
      </c>
      <c r="T353" s="2" t="inlineStr">
        <is>
          <t>2026-10-15T18:27:46Z</t>
        </is>
      </c>
      <c r="U353" s="2" t="n">
        <v>10</v>
      </c>
      <c r="V353" s="2" t="n"/>
      <c r="W353" s="2" t="n"/>
      <c r="X353" s="2" t="n"/>
      <c r="Y353" s="2" t="n"/>
      <c r="Z353" s="2" t="inlineStr">
        <is>
          <t>sí</t>
        </is>
      </c>
      <c r="AA353" s="2" t="n"/>
      <c r="AB353" s="2" t="n">
        <v>12</v>
      </c>
      <c r="AC353" s="2" t="n"/>
      <c r="AD353" s="2" t="n"/>
      <c r="AE353" s="2" t="n"/>
      <c r="AF353" s="2" t="n"/>
      <c r="AG353" s="2" t="n"/>
      <c r="AH353" s="2" t="n">
        <v>4800</v>
      </c>
      <c r="AI353" s="2" t="n"/>
      <c r="AJ353" s="2" t="n"/>
      <c r="AK353" s="2" t="n"/>
      <c r="AL353" s="2" t="n"/>
      <c r="AM353" s="2" t="n">
        <v>7.4</v>
      </c>
      <c r="AN353" s="2" t="n"/>
      <c r="AO353" s="2" t="inlineStr">
        <is>
          <t>2013</t>
        </is>
      </c>
      <c r="AP353" s="2" t="n">
        <v>2013</v>
      </c>
      <c r="AQ353" s="2" t="n"/>
      <c r="AR353" s="2" t="inlineStr">
        <is>
          <t>C</t>
        </is>
      </c>
      <c r="AS353" s="2" t="inlineStr">
        <is>
          <t>anuncio</t>
        </is>
      </c>
      <c r="AT353" s="2" t="n">
        <v>4930</v>
      </c>
      <c r="AU353" s="2" t="n">
        <v>4</v>
      </c>
      <c r="AV353" s="2" t="inlineStr">
        <is>
          <t>modelo+año+km</t>
        </is>
      </c>
      <c r="AW353" s="2" t="n"/>
      <c r="AX353" s="2" t="inlineStr">
        <is>
          <t>vendedor profesional: sin ITP (operación con IVA/REBU, confirmar en factura); gastos de gestión del vendedor no indicados: se suma la tasa DGT; preguntar el precio final; diésel: motor sin fuente de fiabilidad (fiabilidad limitada a neutra)</t>
        </is>
      </c>
      <c r="AY353" s="2" t="inlineStr">
        <is>
          <t>Vehículo en buenas condiciones ITV, rudas ok, mantenimiento reciente realizado, enganche de remolque, vehículo se entrega con un año de garantía</t>
        </is>
      </c>
      <c r="AZ353" s="2" t="inlineStr">
        <is>
          <t>https://www.coches.net/renault-megane-business-dci-110-eco2-5p-diesel-2012-en-valencia-71755437-covo.aspx (window.__INITIAL_PROPS__.ad) /home/user/Alopecia/buscador-coches/raw/cochesnet/32f6851316c575f0.json</t>
        </is>
      </c>
      <c r="BA353" s="3">
        <f>MAX(ANIO_ACTUAL-M353,0)</f>
        <v/>
      </c>
      <c r="BB353" s="4">
        <f>N353/MAX(BA353,0.5)</f>
        <v/>
      </c>
      <c r="BC353" s="4">
        <f>F353</f>
        <v/>
      </c>
      <c r="BD353" s="3">
        <f>BC353&amp;"|"&amp;INT(M353/SEG_ANIO)*SEG_ANIO</f>
        <v/>
      </c>
      <c r="BE353" s="3">
        <f>BD353&amp;"|"&amp;INT(N353/SEG_KM)*SEG_KM</f>
        <v/>
      </c>
      <c r="BF353" s="4">
        <f>COUNTIF($BC$2:$BC$545,BC353)</f>
        <v/>
      </c>
      <c r="BG353" s="4">
        <f>COUNTIF($BD$2:$BD$545,BD353)</f>
        <v/>
      </c>
      <c r="BH353" s="4">
        <f>COUNTIF($BE$2:$BE$545,BE353)</f>
        <v/>
      </c>
      <c r="BI353" s="3">
        <f t="array" ref="BI353">IF(N(AU353)&gt;=MIN_N,AT353,IF(BH353&gt;=MIN_N,MEDIAN(IF($BE$2:$BE$545=BE353,$O$2:$O$545)),IF(BG353&gt;=MIN_N,MEDIAN(IF($BD$2:$BD$545=BD353,$O$2:$O$545)),MEDIAN(IF($BC$2:$BC$545=BC353,$O$2:$O$545)))))</f>
        <v/>
      </c>
      <c r="BJ353" s="3">
        <f>IF(N(AU353)&gt;=MIN_N,"mercado "&amp;AV353,IF(BH353&gt;=MIN_N,"modelo+año+km",IF(BG353&gt;=MIN_N,"modelo+año","modelo")))</f>
        <v/>
      </c>
      <c r="BK353" s="4">
        <f>(BI353-O353)/BI353</f>
        <v/>
      </c>
      <c r="BL353" s="3">
        <f>IF(COUNTIFS(FR_FUEL,K353,FR_YEAR,AP353)&gt;0,1,0)</f>
        <v/>
      </c>
      <c r="BM353" s="3">
        <f>IF(COUNTIFS(FR_FUEL,K353,FR_YEAR,AP353-1)&gt;0,1,0)</f>
        <v/>
      </c>
      <c r="BN353" s="4">
        <f>IF(N(AQ353)&gt;0,AP353*100+AQ353,IF(AND(BL353=1,BM353=1),(AP353-1)*100+1,AP353*100+1))</f>
        <v/>
      </c>
      <c r="BO353" s="3">
        <f>IF(OR(K353="hibrido",K353="glp",K353="gnc",K353="phev"),"ECO",IF(K353="electrico","CERO",IF(K353="gasolina",IF(BN353&gt;=GAS_C_YM,"C",IF(BN353&gt;=GAS_B_YM,"B","A")),IF(K353="diesel",IF(BN353&gt;=DIE_C_YM,"C",IF(BN353&gt;=DIE_B_YM,"B","A")),""))))</f>
        <v/>
      </c>
      <c r="BP353" s="2" t="inlineStr">
        <is>
          <t>C</t>
        </is>
      </c>
      <c r="BQ353" s="4">
        <f>IF(AS353="regla",IF(AND(N(AQ353)=0,BL353=1),"sí","no"),"no")</f>
        <v/>
      </c>
      <c r="BR353" s="3">
        <f>IFERROR(VLOOKUP(F353,MOD_TBL,11,0),IFERROR(VLOOKUP(E353,OCU_TBL,2,0),NEUTRO))</f>
        <v/>
      </c>
      <c r="BS353" s="3">
        <f>SUMIFS(MOT_AJUSTE,MOT_MOTOR,G353,MOT_MARCA,E353,MOT_DESDE,"&lt;="&amp;M353,MOT_HASTA,"&gt;="&amp;M353)+SUMIFS(MOT_AJUSTE,MOT_MOTOR,G353,MOT_MARCA,"(todas)",MOT_DESDE,"&lt;="&amp;M353,MOT_HASTA,"&gt;="&amp;M353)</f>
        <v/>
      </c>
      <c r="BT353" s="3">
        <f>SUMIFS(COMB_AJUSTE,COMB_COMB,K353)</f>
        <v/>
      </c>
      <c r="BU353" s="3">
        <f>COUNTIFS(MOT_MOTOR,G353,MOT_MARCA,E353,MOT_DESDE,"&lt;="&amp;M353,MOT_HASTA,"&gt;="&amp;M353)+COUNTIFS(MOT_MOTOR,G353,MOT_MARCA,"(todas)",MOT_DESDE,"&lt;="&amp;M353,MOT_HASTA,"&gt;="&amp;M353)</f>
        <v/>
      </c>
      <c r="BV353" s="3">
        <f>IF(AND(K353="diesel",BU353=0),MIN(BR353,NEUTRO),BR353)</f>
        <v/>
      </c>
      <c r="BW353" s="4">
        <f>MAX(0,MIN(100,BV353+BS353+BT353))</f>
        <v/>
      </c>
      <c r="BX353" s="3">
        <f>MAX(0,MIN(100,50+BK353*PRECIO_PEND))</f>
        <v/>
      </c>
      <c r="BY353" s="3">
        <f>MAX(0,100*(1-N353/KM_MAX))</f>
        <v/>
      </c>
      <c r="BZ353" s="3">
        <f>IF(BB353&lt;KMA_SOSP,IF(AA353="sí",100,KMA_PEN),IF(BB353&lt;=KMA_IDEAL_MAX,100,MAX(0,100*(KMA_CERO-BB353)/(KMA_CERO-KMA_IDEAL_MAX))))</f>
        <v/>
      </c>
      <c r="CA353" s="3">
        <f>MAX(0,MIN(100,100*(M353-ANIO_MIN)/(ANIO_ACTUAL-ANIO_MIN)))</f>
        <v/>
      </c>
      <c r="CB353" s="3">
        <f>W_KMT*BY353+W_KMA*BZ353+W_EDAD*CA353</f>
        <v/>
      </c>
      <c r="CC353" s="3">
        <f>P_ITV*(V353="sí")+P_LIBRO*(W353="sí")+P_CORREA*(X353="sí")+P_PROP*(Y353=1)+P_GAR*(Z353="sí")+P_FOTOS*MIN(1,N(U353)/FOTOS_OBJ)</f>
        <v/>
      </c>
      <c r="CD353" s="3">
        <f>MAX(0,MIN(100,IFERROR(VLOOKUP(BP353,ETQ_TBL,2,0),0)-IF(BQ353="sí",ETQ_PEN_DUD,IF(AS353="regla",ETQ_PEN_REGLA,0))))</f>
        <v/>
      </c>
      <c r="CE353" s="3">
        <f>NEUTRO</f>
        <v/>
      </c>
      <c r="CF353" s="3">
        <f>IFERROR(VLOOKUP(L353,SEGURO_TBL,3,0),"")</f>
        <v/>
      </c>
      <c r="CG353" s="3">
        <f>IF(CF353="",NEUTRO,MAX(0,MIN(100,100*(SEG_REF_MAX-CF353)/(SEG_REF_MAX-SEG_REF_MIN))))</f>
        <v/>
      </c>
      <c r="CH353" s="3">
        <f>W_CONS*CE353+W_SEG*CG353</f>
        <v/>
      </c>
      <c r="CI353" s="3">
        <f>IF(N(AB353)&gt;0,AB353,IF(AND(R353="profesional",SG_LEGAL_ON=1),GAR_LEGAL,0))</f>
        <v/>
      </c>
      <c r="CJ353" s="3">
        <f>SG_GAR*MIN(1,CI353/SG_GAR_FULL)+SG_AMPL*(AC353="sí")+SG_KMC*(AF353="sí")+SG_REV*(N(AE353)&gt;0)+SG_DEV*MIN(1,N(AG353)/SG_DEV_FULL)+SG_HIST*(W353="sí")</f>
        <v/>
      </c>
      <c r="CK353" s="3">
        <f>IFERROR(VLOOKUP(L353,CARR_PEN_TBL,2,0),0)</f>
        <v/>
      </c>
      <c r="CL353" s="3">
        <f>W_FIAB*BW353+W_PRECIO*BX353+W_KMEDAD*CB353+W_ANUNCIO*CC353+W_USO*CH353+W_SEGURIDAD*CJ353+W_ETIQUETA*CD353-CK353</f>
        <v/>
      </c>
      <c r="CM353" s="4">
        <f>IF(N(I353)&gt;0,I353,IFERROR(ROUND(_xlfn.NUMBERVALUE(LEFT(G353,FIND(" ",G353&amp;" ")-1),".")*1000,0),99999))</f>
        <v/>
      </c>
      <c r="CN353" s="3">
        <f>IF(R353="profesional",0,IF(O353&lt;CUOTA_VALOR_MAX,IF(BA353&gt;ITP_TRAMO_ALTO,SUMIFS(CF_CUOTA,CF_MAS,ITP_TRAMO_ALTO,CF_CCMIN,"&lt;="&amp;CM353,CF_CCMAX,"&gt;="&amp;CM353),IF(BA353&gt;ITP_TRAMO_BAJO,SUMIFS(CF_CUOTA,CF_MAS,ITP_TRAMO_BAJO,CF_CCMIN,"&lt;="&amp;CM353,CF_CCMAX,"&gt;="&amp;CM353),O353*ITP_TIPO)),O353*ITP_TIPO))</f>
        <v/>
      </c>
      <c r="CO353" s="4">
        <f>IF(R353="profesional",N(AK353),0)</f>
        <v/>
      </c>
      <c r="CP353" s="3">
        <f>IF(AND(R353="profesional",ISNUMBER(AK353),AL353="sí"),0,TASA_DGT)</f>
        <v/>
      </c>
      <c r="CQ353" s="3">
        <f>INFORME_DGT</f>
        <v/>
      </c>
      <c r="CR353" s="4">
        <f>O353+CO353+CN353+CP353+CQ353</f>
        <v/>
      </c>
      <c r="CS353" s="4">
        <f>CR353+N(CF353)</f>
        <v/>
      </c>
      <c r="CT353" s="3">
        <f>IF(CR353&lt;=TOTAL_MAX,"sí",IF(CR353&lt;=TOTAL_MAX+MARGEN_NEG,"negociar","no"))</f>
        <v/>
      </c>
      <c r="CU353" s="4">
        <f>IF(CT353&lt;&gt;"no",COUNTIFS($CT$2:$CT$545,"&lt;&gt;no",$CL$2:$CL$545,"&gt;"&amp;CL353)+COUNTIFS($CT$2:CT353,"&lt;&gt;no",$CL$2:CL353,CL353),"")</f>
        <v/>
      </c>
    </row>
    <row r="354">
      <c r="A354" s="2" t="inlineStr">
        <is>
          <t>cochesnet:71440250</t>
        </is>
      </c>
      <c r="B354" s="2" t="inlineStr">
        <is>
          <t>cochesnet</t>
        </is>
      </c>
      <c r="C354" s="2" t="inlineStr">
        <is>
          <t>https://www.coches.net/renault-megane-gasolina-2006-en-valencia-71440250-covo.aspx</t>
        </is>
      </c>
      <c r="D354" s="2" t="inlineStr">
        <is>
          <t>RENAULT Megane</t>
        </is>
      </c>
      <c r="E354" s="2" t="inlineStr">
        <is>
          <t>Renault</t>
        </is>
      </c>
      <c r="F354" s="2" t="inlineStr">
        <is>
          <t>Renault Mégane</t>
        </is>
      </c>
      <c r="G354" s="2" t="n"/>
      <c r="H354" s="2" t="n"/>
      <c r="I354" s="2" t="n"/>
      <c r="J354" s="2" t="n"/>
      <c r="K354" s="2" t="inlineStr">
        <is>
          <t>gasolina</t>
        </is>
      </c>
      <c r="L354" s="2" t="inlineStr">
        <is>
          <t>compacto</t>
        </is>
      </c>
      <c r="M354" s="2" t="n">
        <v>2006</v>
      </c>
      <c r="N354" s="2" t="n">
        <v>98000</v>
      </c>
      <c r="O354" s="2" t="n">
        <v>3950</v>
      </c>
      <c r="P354" s="2" t="inlineStr">
        <is>
          <t>manual</t>
        </is>
      </c>
      <c r="Q354" s="2" t="inlineStr">
        <is>
          <t>no</t>
        </is>
      </c>
      <c r="R354" s="2" t="inlineStr">
        <is>
          <t>particular</t>
        </is>
      </c>
      <c r="S354" s="2" t="n"/>
      <c r="T354" s="2" t="inlineStr">
        <is>
          <t>2026-09-04T07:56:26Z</t>
        </is>
      </c>
      <c r="U354" s="2" t="n">
        <v>9</v>
      </c>
      <c r="V354" s="2" t="inlineStr">
        <is>
          <t>sí</t>
        </is>
      </c>
      <c r="W354" s="2" t="n"/>
      <c r="X354" s="2" t="n"/>
      <c r="Y354" s="2" t="n"/>
      <c r="Z354" s="2" t="inlineStr">
        <is>
          <t>no</t>
        </is>
      </c>
      <c r="AA354" s="2" t="n"/>
      <c r="AB354" s="2" t="n"/>
      <c r="AC354" s="2" t="n"/>
      <c r="AD354" s="2" t="n"/>
      <c r="AE354" s="2" t="n"/>
      <c r="AF354" s="2" t="n"/>
      <c r="AG354" s="2" t="n"/>
      <c r="AH354" s="2" t="n">
        <v>3950</v>
      </c>
      <c r="AI354" s="2" t="n"/>
      <c r="AJ354" s="2" t="n"/>
      <c r="AK354" s="2" t="n"/>
      <c r="AL354" s="2" t="n"/>
      <c r="AM354" s="2" t="n"/>
      <c r="AN354" s="2" t="n"/>
      <c r="AO354" s="2" t="inlineStr">
        <is>
          <t>2006</t>
        </is>
      </c>
      <c r="AP354" s="2" t="n">
        <v>2006</v>
      </c>
      <c r="AQ354" s="2" t="n"/>
      <c r="AR354" s="2" t="n"/>
      <c r="AS354" s="2" t="inlineStr">
        <is>
          <t>regla</t>
        </is>
      </c>
      <c r="AT354" s="2" t="n">
        <v>4400</v>
      </c>
      <c r="AU354" s="2" t="n">
        <v>4</v>
      </c>
      <c r="AV354" s="2" t="inlineStr">
        <is>
          <t>modelo+año+km</t>
        </is>
      </c>
      <c r="AW354" s="2" t="n"/>
      <c r="AX354" s="2" t="inlineStr">
        <is>
          <t>cilindrada desconocida: se aplica el tramo de cuota fija más alto; cuota fija ITP: &gt;12 años, más de 2.000 cc; distancia no verificable (el anuncio solo indica la provincia): confirmar que está a &lt;= 70 km</t>
        </is>
      </c>
      <c r="AY354" s="2" t="inlineStr">
        <is>
          <t xml:space="preserve">Megane cabrio en muy buen estado duerme siempre en garage,itv recien pasada,lo vendo porque quiero comprarme una moto porque ya tengo otro coche </t>
        </is>
      </c>
      <c r="AZ354" s="2" t="inlineStr">
        <is>
          <t>https://www.coches.net/renault-megane-gasolina-2006-en-valencia-71440250-covo.aspx (window.__INITIAL_PROPS__.ad) /home/user/Alopecia/buscador-coches/raw/cochesnet/c3b11070ece7013e.json</t>
        </is>
      </c>
      <c r="BA354" s="3">
        <f>MAX(ANIO_ACTUAL-M354,0)</f>
        <v/>
      </c>
      <c r="BB354" s="4">
        <f>N354/MAX(BA354,0.5)</f>
        <v/>
      </c>
      <c r="BC354" s="4">
        <f>F354</f>
        <v/>
      </c>
      <c r="BD354" s="3">
        <f>BC354&amp;"|"&amp;INT(M354/SEG_ANIO)*SEG_ANIO</f>
        <v/>
      </c>
      <c r="BE354" s="3">
        <f>BD354&amp;"|"&amp;INT(N354/SEG_KM)*SEG_KM</f>
        <v/>
      </c>
      <c r="BF354" s="4">
        <f>COUNTIF($BC$2:$BC$545,BC354)</f>
        <v/>
      </c>
      <c r="BG354" s="4">
        <f>COUNTIF($BD$2:$BD$545,BD354)</f>
        <v/>
      </c>
      <c r="BH354" s="4">
        <f>COUNTIF($BE$2:$BE$545,BE354)</f>
        <v/>
      </c>
      <c r="BI354" s="3">
        <f t="array" ref="BI354">IF(N(AU354)&gt;=MIN_N,AT354,IF(BH354&gt;=MIN_N,MEDIAN(IF($BE$2:$BE$545=BE354,$O$2:$O$545)),IF(BG354&gt;=MIN_N,MEDIAN(IF($BD$2:$BD$545=BD354,$O$2:$O$545)),MEDIAN(IF($BC$2:$BC$545=BC354,$O$2:$O$545)))))</f>
        <v/>
      </c>
      <c r="BJ354" s="3">
        <f>IF(N(AU354)&gt;=MIN_N,"mercado "&amp;AV354,IF(BH354&gt;=MIN_N,"modelo+año+km",IF(BG354&gt;=MIN_N,"modelo+año","modelo")))</f>
        <v/>
      </c>
      <c r="BK354" s="4">
        <f>(BI354-O354)/BI354</f>
        <v/>
      </c>
      <c r="BL354" s="3">
        <f>IF(COUNTIFS(FR_FUEL,K354,FR_YEAR,AP354)&gt;0,1,0)</f>
        <v/>
      </c>
      <c r="BM354" s="3">
        <f>IF(COUNTIFS(FR_FUEL,K354,FR_YEAR,AP354-1)&gt;0,1,0)</f>
        <v/>
      </c>
      <c r="BN354" s="4">
        <f>IF(N(AQ354)&gt;0,AP354*100+AQ354,IF(AND(BL354=1,BM354=1),(AP354-1)*100+1,AP354*100+1))</f>
        <v/>
      </c>
      <c r="BO354" s="3">
        <f>IF(OR(K354="hibrido",K354="glp",K354="gnc",K354="phev"),"ECO",IF(K354="electrico","CERO",IF(K354="gasolina",IF(BN354&gt;=GAS_C_YM,"C",IF(BN354&gt;=GAS_B_YM,"B","A")),IF(K354="diesel",IF(BN354&gt;=DIE_C_YM,"C",IF(BN354&gt;=DIE_B_YM,"B","A")),""))))</f>
        <v/>
      </c>
      <c r="BP354" s="4">
        <f>BO354</f>
        <v/>
      </c>
      <c r="BQ354" s="4">
        <f>IF(AS354="regla",IF(AND(N(AQ354)=0,BL354=1),"sí","no"),"no")</f>
        <v/>
      </c>
      <c r="BR354" s="3">
        <f>IFERROR(VLOOKUP(F354,MOD_TBL,11,0),IFERROR(VLOOKUP(E354,OCU_TBL,2,0),NEUTRO))</f>
        <v/>
      </c>
      <c r="BS354" s="3">
        <f>SUMIFS(MOT_AJUSTE,MOT_MOTOR,G354,MOT_MARCA,E354,MOT_DESDE,"&lt;="&amp;M354,MOT_HASTA,"&gt;="&amp;M354)+SUMIFS(MOT_AJUSTE,MOT_MOTOR,G354,MOT_MARCA,"(todas)",MOT_DESDE,"&lt;="&amp;M354,MOT_HASTA,"&gt;="&amp;M354)</f>
        <v/>
      </c>
      <c r="BT354" s="3">
        <f>SUMIFS(COMB_AJUSTE,COMB_COMB,K354)</f>
        <v/>
      </c>
      <c r="BU354" s="3">
        <f>COUNTIFS(MOT_MOTOR,G354,MOT_MARCA,E354,MOT_DESDE,"&lt;="&amp;M354,MOT_HASTA,"&gt;="&amp;M354)+COUNTIFS(MOT_MOTOR,G354,MOT_MARCA,"(todas)",MOT_DESDE,"&lt;="&amp;M354,MOT_HASTA,"&gt;="&amp;M354)</f>
        <v/>
      </c>
      <c r="BV354" s="3">
        <f>IF(AND(K354="diesel",BU354=0),MIN(BR354,NEUTRO),BR354)</f>
        <v/>
      </c>
      <c r="BW354" s="4">
        <f>MAX(0,MIN(100,BV354+BS354+BT354))</f>
        <v/>
      </c>
      <c r="BX354" s="3">
        <f>MAX(0,MIN(100,50+BK354*PRECIO_PEND))</f>
        <v/>
      </c>
      <c r="BY354" s="3">
        <f>MAX(0,100*(1-N354/KM_MAX))</f>
        <v/>
      </c>
      <c r="BZ354" s="3">
        <f>IF(BB354&lt;KMA_SOSP,IF(AA354="sí",100,KMA_PEN),IF(BB354&lt;=KMA_IDEAL_MAX,100,MAX(0,100*(KMA_CERO-BB354)/(KMA_CERO-KMA_IDEAL_MAX))))</f>
        <v/>
      </c>
      <c r="CA354" s="3">
        <f>MAX(0,MIN(100,100*(M354-ANIO_MIN)/(ANIO_ACTUAL-ANIO_MIN)))</f>
        <v/>
      </c>
      <c r="CB354" s="3">
        <f>W_KMT*BY354+W_KMA*BZ354+W_EDAD*CA354</f>
        <v/>
      </c>
      <c r="CC354" s="3">
        <f>P_ITV*(V354="sí")+P_LIBRO*(W354="sí")+P_CORREA*(X354="sí")+P_PROP*(Y354=1)+P_GAR*(Z354="sí")+P_FOTOS*MIN(1,N(U354)/FOTOS_OBJ)</f>
        <v/>
      </c>
      <c r="CD354" s="3">
        <f>MAX(0,MIN(100,IFERROR(VLOOKUP(BP354,ETQ_TBL,2,0),0)-IF(BQ354="sí",ETQ_PEN_DUD,IF(AS354="regla",ETQ_PEN_REGLA,0))))</f>
        <v/>
      </c>
      <c r="CE354" s="3">
        <f>NEUTRO</f>
        <v/>
      </c>
      <c r="CF354" s="3">
        <f>IFERROR(VLOOKUP(L354,SEGURO_TBL,3,0),"")</f>
        <v/>
      </c>
      <c r="CG354" s="3">
        <f>IF(CF354="",NEUTRO,MAX(0,MIN(100,100*(SEG_REF_MAX-CF354)/(SEG_REF_MAX-SEG_REF_MIN))))</f>
        <v/>
      </c>
      <c r="CH354" s="3">
        <f>W_CONS*CE354+W_SEG*CG354</f>
        <v/>
      </c>
      <c r="CI354" s="3">
        <f>IF(N(AB354)&gt;0,AB354,IF(AND(R354="profesional",SG_LEGAL_ON=1),GAR_LEGAL,0))</f>
        <v/>
      </c>
      <c r="CJ354" s="3">
        <f>SG_GAR*MIN(1,CI354/SG_GAR_FULL)+SG_AMPL*(AC354="sí")+SG_KMC*(AF354="sí")+SG_REV*(N(AE354)&gt;0)+SG_DEV*MIN(1,N(AG354)/SG_DEV_FULL)+SG_HIST*(W354="sí")</f>
        <v/>
      </c>
      <c r="CK354" s="3">
        <f>IFERROR(VLOOKUP(L354,CARR_PEN_TBL,2,0),0)</f>
        <v/>
      </c>
      <c r="CL354" s="3">
        <f>W_FIAB*BW354+W_PRECIO*BX354+W_KMEDAD*CB354+W_ANUNCIO*CC354+W_USO*CH354+W_SEGURIDAD*CJ354+W_ETIQUETA*CD354-CK354</f>
        <v/>
      </c>
      <c r="CM354" s="4">
        <f>IF(N(I354)&gt;0,I354,IFERROR(ROUND(_xlfn.NUMBERVALUE(LEFT(G354,FIND(" ",G354&amp;" ")-1),".")*1000,0),99999))</f>
        <v/>
      </c>
      <c r="CN354" s="3">
        <f>IF(R354="profesional",0,IF(O354&lt;CUOTA_VALOR_MAX,IF(BA354&gt;ITP_TRAMO_ALTO,SUMIFS(CF_CUOTA,CF_MAS,ITP_TRAMO_ALTO,CF_CCMIN,"&lt;="&amp;CM354,CF_CCMAX,"&gt;="&amp;CM354),IF(BA354&gt;ITP_TRAMO_BAJO,SUMIFS(CF_CUOTA,CF_MAS,ITP_TRAMO_BAJO,CF_CCMIN,"&lt;="&amp;CM354,CF_CCMAX,"&gt;="&amp;CM354),O354*ITP_TIPO)),O354*ITP_TIPO))</f>
        <v/>
      </c>
      <c r="CO354" s="4">
        <f>IF(R354="profesional",N(AK354),0)</f>
        <v/>
      </c>
      <c r="CP354" s="3">
        <f>IF(AND(R354="profesional",ISNUMBER(AK354),AL354="sí"),0,TASA_DGT)</f>
        <v/>
      </c>
      <c r="CQ354" s="3">
        <f>INFORME_DGT</f>
        <v/>
      </c>
      <c r="CR354" s="4">
        <f>O354+CO354+CN354+CP354+CQ354</f>
        <v/>
      </c>
      <c r="CS354" s="4">
        <f>CR354+N(CF354)</f>
        <v/>
      </c>
      <c r="CT354" s="3">
        <f>IF(CR354&lt;=TOTAL_MAX,"sí",IF(CR354&lt;=TOTAL_MAX+MARGEN_NEG,"negociar","no"))</f>
        <v/>
      </c>
      <c r="CU354" s="4">
        <f>IF(CT354&lt;&gt;"no",COUNTIFS($CT$2:$CT$545,"&lt;&gt;no",$CL$2:$CL$545,"&gt;"&amp;CL354)+COUNTIFS($CT$2:CT354,"&lt;&gt;no",$CL$2:CL354,CL354),"")</f>
        <v/>
      </c>
    </row>
    <row r="355">
      <c r="A355" s="2" t="inlineStr">
        <is>
          <t>cochesnet:70788485</t>
        </is>
      </c>
      <c r="B355" s="2" t="inlineStr">
        <is>
          <t>cochesnet</t>
        </is>
      </c>
      <c r="C355" s="2" t="inlineStr">
        <is>
          <t>https://www.coches.net/renault-megane-confort-dynamique-19dci-5p-diesel-2006-en-valencia-70788485-covo.aspx</t>
        </is>
      </c>
      <c r="D355" s="2" t="inlineStr">
        <is>
          <t>RENAULT Mégane Confort Dynamique 1.9dCi</t>
        </is>
      </c>
      <c r="E355" s="2" t="inlineStr">
        <is>
          <t>Renault</t>
        </is>
      </c>
      <c r="F355" s="2" t="inlineStr">
        <is>
          <t>Renault Mégane</t>
        </is>
      </c>
      <c r="G355" s="2" t="inlineStr">
        <is>
          <t>1.9</t>
        </is>
      </c>
      <c r="H355" s="2" t="inlineStr">
        <is>
          <t>Confort Dynamique 1.9dCi</t>
        </is>
      </c>
      <c r="I355" s="2" t="n"/>
      <c r="J355" s="2" t="n"/>
      <c r="K355" s="2" t="inlineStr">
        <is>
          <t>diesel</t>
        </is>
      </c>
      <c r="L355" s="2" t="inlineStr">
        <is>
          <t>compacto</t>
        </is>
      </c>
      <c r="M355" s="2" t="n">
        <v>2006</v>
      </c>
      <c r="N355" s="2" t="n">
        <v>140000</v>
      </c>
      <c r="O355" s="2" t="n">
        <v>3990</v>
      </c>
      <c r="P355" s="2" t="inlineStr">
        <is>
          <t>manual</t>
        </is>
      </c>
      <c r="Q355" s="2" t="inlineStr">
        <is>
          <t>no</t>
        </is>
      </c>
      <c r="R355" s="2" t="inlineStr">
        <is>
          <t>profesional</t>
        </is>
      </c>
      <c r="S355" s="2" t="inlineStr">
        <is>
          <t>UNIVERSAL CARS. Valencia</t>
        </is>
      </c>
      <c r="T355" s="2" t="inlineStr">
        <is>
          <t>2026-09-01T11:38:53Z</t>
        </is>
      </c>
      <c r="U355" s="2" t="n">
        <v>26</v>
      </c>
      <c r="V355" s="2" t="inlineStr">
        <is>
          <t>sí</t>
        </is>
      </c>
      <c r="W355" s="2" t="n"/>
      <c r="X355" s="2" t="n"/>
      <c r="Y355" s="2" t="n">
        <v>1</v>
      </c>
      <c r="Z355" s="2" t="inlineStr">
        <is>
          <t>sí</t>
        </is>
      </c>
      <c r="AA355" s="2" t="n"/>
      <c r="AB355" s="2" t="n">
        <v>12</v>
      </c>
      <c r="AC355" s="2" t="n"/>
      <c r="AD355" s="2" t="n"/>
      <c r="AE355" s="2" t="n"/>
      <c r="AF355" s="2" t="n"/>
      <c r="AG355" s="2" t="n"/>
      <c r="AH355" s="2" t="n">
        <v>3990</v>
      </c>
      <c r="AI355" s="2" t="n"/>
      <c r="AJ355" s="2" t="n"/>
      <c r="AK355" s="2" t="n"/>
      <c r="AL355" s="2" t="n"/>
      <c r="AM355" s="2" t="n">
        <v>0.1</v>
      </c>
      <c r="AN355" s="2" t="n"/>
      <c r="AO355" s="2" t="inlineStr">
        <is>
          <t>2006</t>
        </is>
      </c>
      <c r="AP355" s="2" t="n">
        <v>2006</v>
      </c>
      <c r="AQ355" s="2" t="n"/>
      <c r="AR355" s="2" t="n"/>
      <c r="AS355" s="2" t="inlineStr">
        <is>
          <t>regla</t>
        </is>
      </c>
      <c r="AT355" s="2" t="n">
        <v>3700</v>
      </c>
      <c r="AU355" s="2" t="n">
        <v>10</v>
      </c>
      <c r="AV355" s="2" t="inlineStr">
        <is>
          <t>modelo+año+km</t>
        </is>
      </c>
      <c r="AW355" s="2" t="n"/>
      <c r="AX355" s="2" t="inlineStr">
        <is>
          <t>etiqueta A dudosa: confirmar etiqueta con la DGT antes de comprar; vendedor profesional: sin ITP (operación con IVA/REBU, confirmar en factura); gastos de gestión del vendedor no indicados: se suma la tasa DGT; preguntar el precio final; diésel: motor sin fuente de fiabilidad (fiabilidad limitada a neutra)</t>
        </is>
      </c>
      <c r="AY355" s="2" t="inlineStr">
        <is>
          <t>RENAULT MODELO MEGANE MOTOR 1.9 DCI CON 120 CV DE POTENCIA Y CONSUMO REDUCIDO.
VEHICULO NACIONAL PROCEDENTE DE UNICO PROPIETARIO CON KILOMETRAJE REAL Y CERTIFICADO.
SE ENTREGA CON MANTENIMIENTO RECIÉN HECHO E ITV EN VIGOR.
DESTACADOS:
- VELOCIDAD DE CRUCERO CON LIMITADOR 
- CLIMATIZADOR A/C
- RADIO ORIGINAL RENAULT
- LUCES AUTOMATICAS
- ELEVALUNAS ELECTRICOS
- RETROVISORES ELECTRICOS
- TAPICERIA DE TELA MIXTA MUY CONSERVADA
- ISOFIX
- LLANTAS DE ALUMINIO 
- DOBLE TECHO PANORAMICO
- POSA-VASOS
- VEHICULO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AZ355" s="2" t="inlineStr">
        <is>
          <t>https://www.coches.net/renault-megane-confort-dynamique-19dci-5p-diesel-2006-en-valencia-70788485-covo.aspx (window.__INITIAL_PROPS__.ad) /home/user/Alopecia/buscador-coches/raw/cochesnet/981aabb1aa7c0d99.json</t>
        </is>
      </c>
      <c r="BA355" s="3">
        <f>MAX(ANIO_ACTUAL-M355,0)</f>
        <v/>
      </c>
      <c r="BB355" s="4">
        <f>N355/MAX(BA355,0.5)</f>
        <v/>
      </c>
      <c r="BC355" s="4">
        <f>F355</f>
        <v/>
      </c>
      <c r="BD355" s="3">
        <f>BC355&amp;"|"&amp;INT(M355/SEG_ANIO)*SEG_ANIO</f>
        <v/>
      </c>
      <c r="BE355" s="3">
        <f>BD355&amp;"|"&amp;INT(N355/SEG_KM)*SEG_KM</f>
        <v/>
      </c>
      <c r="BF355" s="4">
        <f>COUNTIF($BC$2:$BC$545,BC355)</f>
        <v/>
      </c>
      <c r="BG355" s="4">
        <f>COUNTIF($BD$2:$BD$545,BD355)</f>
        <v/>
      </c>
      <c r="BH355" s="4">
        <f>COUNTIF($BE$2:$BE$545,BE355)</f>
        <v/>
      </c>
      <c r="BI355" s="3">
        <f t="array" ref="BI355">IF(N(AU355)&gt;=MIN_N,AT355,IF(BH355&gt;=MIN_N,MEDIAN(IF($BE$2:$BE$545=BE355,$O$2:$O$545)),IF(BG355&gt;=MIN_N,MEDIAN(IF($BD$2:$BD$545=BD355,$O$2:$O$545)),MEDIAN(IF($BC$2:$BC$545=BC355,$O$2:$O$545)))))</f>
        <v/>
      </c>
      <c r="BJ355" s="3">
        <f>IF(N(AU355)&gt;=MIN_N,"mercado "&amp;AV355,IF(BH355&gt;=MIN_N,"modelo+año+km",IF(BG355&gt;=MIN_N,"modelo+año","modelo")))</f>
        <v/>
      </c>
      <c r="BK355" s="4">
        <f>(BI355-O355)/BI355</f>
        <v/>
      </c>
      <c r="BL355" s="3">
        <f>IF(COUNTIFS(FR_FUEL,K355,FR_YEAR,AP355)&gt;0,1,0)</f>
        <v/>
      </c>
      <c r="BM355" s="3">
        <f>IF(COUNTIFS(FR_FUEL,K355,FR_YEAR,AP355-1)&gt;0,1,0)</f>
        <v/>
      </c>
      <c r="BN355" s="4">
        <f>IF(N(AQ355)&gt;0,AP355*100+AQ355,IF(AND(BL355=1,BM355=1),(AP355-1)*100+1,AP355*100+1))</f>
        <v/>
      </c>
      <c r="BO355" s="3">
        <f>IF(OR(K355="hibrido",K355="glp",K355="gnc",K355="phev"),"ECO",IF(K355="electrico","CERO",IF(K355="gasolina",IF(BN355&gt;=GAS_C_YM,"C",IF(BN355&gt;=GAS_B_YM,"B","A")),IF(K355="diesel",IF(BN355&gt;=DIE_C_YM,"C",IF(BN355&gt;=DIE_B_YM,"B","A")),""))))</f>
        <v/>
      </c>
      <c r="BP355" s="4">
        <f>BO355</f>
        <v/>
      </c>
      <c r="BQ355" s="4">
        <f>IF(AS355="regla",IF(AND(N(AQ355)=0,BL355=1),"sí","no"),"no")</f>
        <v/>
      </c>
      <c r="BR355" s="3">
        <f>IFERROR(VLOOKUP(F355,MOD_TBL,11,0),IFERROR(VLOOKUP(E355,OCU_TBL,2,0),NEUTRO))</f>
        <v/>
      </c>
      <c r="BS355" s="3">
        <f>SUMIFS(MOT_AJUSTE,MOT_MOTOR,G355,MOT_MARCA,E355,MOT_DESDE,"&lt;="&amp;M355,MOT_HASTA,"&gt;="&amp;M355)+SUMIFS(MOT_AJUSTE,MOT_MOTOR,G355,MOT_MARCA,"(todas)",MOT_DESDE,"&lt;="&amp;M355,MOT_HASTA,"&gt;="&amp;M355)</f>
        <v/>
      </c>
      <c r="BT355" s="3">
        <f>SUMIFS(COMB_AJUSTE,COMB_COMB,K355)</f>
        <v/>
      </c>
      <c r="BU355" s="3">
        <f>COUNTIFS(MOT_MOTOR,G355,MOT_MARCA,E355,MOT_DESDE,"&lt;="&amp;M355,MOT_HASTA,"&gt;="&amp;M355)+COUNTIFS(MOT_MOTOR,G355,MOT_MARCA,"(todas)",MOT_DESDE,"&lt;="&amp;M355,MOT_HASTA,"&gt;="&amp;M355)</f>
        <v/>
      </c>
      <c r="BV355" s="3">
        <f>IF(AND(K355="diesel",BU355=0),MIN(BR355,NEUTRO),BR355)</f>
        <v/>
      </c>
      <c r="BW355" s="4">
        <f>MAX(0,MIN(100,BV355+BS355+BT355))</f>
        <v/>
      </c>
      <c r="BX355" s="3">
        <f>MAX(0,MIN(100,50+BK355*PRECIO_PEND))</f>
        <v/>
      </c>
      <c r="BY355" s="3">
        <f>MAX(0,100*(1-N355/KM_MAX))</f>
        <v/>
      </c>
      <c r="BZ355" s="3">
        <f>IF(BB355&lt;KMA_SOSP,IF(AA355="sí",100,KMA_PEN),IF(BB355&lt;=KMA_IDEAL_MAX,100,MAX(0,100*(KMA_CERO-BB355)/(KMA_CERO-KMA_IDEAL_MAX))))</f>
        <v/>
      </c>
      <c r="CA355" s="3">
        <f>MAX(0,MIN(100,100*(M355-ANIO_MIN)/(ANIO_ACTUAL-ANIO_MIN)))</f>
        <v/>
      </c>
      <c r="CB355" s="3">
        <f>W_KMT*BY355+W_KMA*BZ355+W_EDAD*CA355</f>
        <v/>
      </c>
      <c r="CC355" s="3">
        <f>P_ITV*(V355="sí")+P_LIBRO*(W355="sí")+P_CORREA*(X355="sí")+P_PROP*(Y355=1)+P_GAR*(Z355="sí")+P_FOTOS*MIN(1,N(U355)/FOTOS_OBJ)</f>
        <v/>
      </c>
      <c r="CD355" s="3">
        <f>MAX(0,MIN(100,IFERROR(VLOOKUP(BP355,ETQ_TBL,2,0),0)-IF(BQ355="sí",ETQ_PEN_DUD,IF(AS355="regla",ETQ_PEN_REGLA,0))))</f>
        <v/>
      </c>
      <c r="CE355" s="3">
        <f>NEUTRO</f>
        <v/>
      </c>
      <c r="CF355" s="3">
        <f>IFERROR(VLOOKUP(L355,SEGURO_TBL,3,0),"")</f>
        <v/>
      </c>
      <c r="CG355" s="3">
        <f>IF(CF355="",NEUTRO,MAX(0,MIN(100,100*(SEG_REF_MAX-CF355)/(SEG_REF_MAX-SEG_REF_MIN))))</f>
        <v/>
      </c>
      <c r="CH355" s="3">
        <f>W_CONS*CE355+W_SEG*CG355</f>
        <v/>
      </c>
      <c r="CI355" s="3">
        <f>IF(N(AB355)&gt;0,AB355,IF(AND(R355="profesional",SG_LEGAL_ON=1),GAR_LEGAL,0))</f>
        <v/>
      </c>
      <c r="CJ355" s="3">
        <f>SG_GAR*MIN(1,CI355/SG_GAR_FULL)+SG_AMPL*(AC355="sí")+SG_KMC*(AF355="sí")+SG_REV*(N(AE355)&gt;0)+SG_DEV*MIN(1,N(AG355)/SG_DEV_FULL)+SG_HIST*(W355="sí")</f>
        <v/>
      </c>
      <c r="CK355" s="3">
        <f>IFERROR(VLOOKUP(L355,CARR_PEN_TBL,2,0),0)</f>
        <v/>
      </c>
      <c r="CL355" s="3">
        <f>W_FIAB*BW355+W_PRECIO*BX355+W_KMEDAD*CB355+W_ANUNCIO*CC355+W_USO*CH355+W_SEGURIDAD*CJ355+W_ETIQUETA*CD355-CK355</f>
        <v/>
      </c>
      <c r="CM355" s="4">
        <f>IF(N(I355)&gt;0,I355,IFERROR(ROUND(_xlfn.NUMBERVALUE(LEFT(G355,FIND(" ",G355&amp;" ")-1),".")*1000,0),99999))</f>
        <v/>
      </c>
      <c r="CN355" s="3">
        <f>IF(R355="profesional",0,IF(O355&lt;CUOTA_VALOR_MAX,IF(BA355&gt;ITP_TRAMO_ALTO,SUMIFS(CF_CUOTA,CF_MAS,ITP_TRAMO_ALTO,CF_CCMIN,"&lt;="&amp;CM355,CF_CCMAX,"&gt;="&amp;CM355),IF(BA355&gt;ITP_TRAMO_BAJO,SUMIFS(CF_CUOTA,CF_MAS,ITP_TRAMO_BAJO,CF_CCMIN,"&lt;="&amp;CM355,CF_CCMAX,"&gt;="&amp;CM355),O355*ITP_TIPO)),O355*ITP_TIPO))</f>
        <v/>
      </c>
      <c r="CO355" s="4">
        <f>IF(R355="profesional",N(AK355),0)</f>
        <v/>
      </c>
      <c r="CP355" s="3">
        <f>IF(AND(R355="profesional",ISNUMBER(AK355),AL355="sí"),0,TASA_DGT)</f>
        <v/>
      </c>
      <c r="CQ355" s="3">
        <f>INFORME_DGT</f>
        <v/>
      </c>
      <c r="CR355" s="4">
        <f>O355+CO355+CN355+CP355+CQ355</f>
        <v/>
      </c>
      <c r="CS355" s="4">
        <f>CR355+N(CF355)</f>
        <v/>
      </c>
      <c r="CT355" s="3">
        <f>IF(CR355&lt;=TOTAL_MAX,"sí",IF(CR355&lt;=TOTAL_MAX+MARGEN_NEG,"negociar","no"))</f>
        <v/>
      </c>
      <c r="CU355" s="4">
        <f>IF(CT355&lt;&gt;"no",COUNTIFS($CT$2:$CT$545,"&lt;&gt;no",$CL$2:$CL$545,"&gt;"&amp;CL355)+COUNTIFS($CT$2:CT355,"&lt;&gt;no",$CL$2:CL355,CL355),"")</f>
        <v/>
      </c>
    </row>
    <row r="356">
      <c r="A356" s="2" t="inlineStr">
        <is>
          <t>cochesnet:70660202</t>
        </is>
      </c>
      <c r="B356" s="2" t="inlineStr">
        <is>
          <t>cochesnet</t>
        </is>
      </c>
      <c r="C356" s="2" t="inlineStr">
        <is>
          <t>https://www.coches.net/renault-megane-intens-dci-95-eco2-5p-diesel-2015-en-valencia-70660202-covo.aspx</t>
        </is>
      </c>
      <c r="D356" s="2" t="inlineStr">
        <is>
          <t>RENAULT Megane Intens dCi 95 eco2</t>
        </is>
      </c>
      <c r="E356" s="2" t="inlineStr">
        <is>
          <t>Renault</t>
        </is>
      </c>
      <c r="F356" s="2" t="inlineStr">
        <is>
          <t>Renault Mégane</t>
        </is>
      </c>
      <c r="G356" s="2" t="inlineStr">
        <is>
          <t>? dCi</t>
        </is>
      </c>
      <c r="H356" s="2" t="inlineStr">
        <is>
          <t>Intens dCi 95 eco2</t>
        </is>
      </c>
      <c r="I356" s="2" t="n"/>
      <c r="J356" s="2" t="n"/>
      <c r="K356" s="2" t="inlineStr">
        <is>
          <t>diesel</t>
        </is>
      </c>
      <c r="L356" s="2" t="inlineStr">
        <is>
          <t>compacto</t>
        </is>
      </c>
      <c r="M356" s="2" t="n">
        <v>2015</v>
      </c>
      <c r="N356" s="2" t="n">
        <v>198000</v>
      </c>
      <c r="O356" s="2" t="n">
        <v>4950</v>
      </c>
      <c r="P356" s="2" t="inlineStr">
        <is>
          <t>manual</t>
        </is>
      </c>
      <c r="Q356" s="2" t="inlineStr">
        <is>
          <t>no</t>
        </is>
      </c>
      <c r="R356" s="2" t="inlineStr">
        <is>
          <t>particular</t>
        </is>
      </c>
      <c r="S356" s="2" t="inlineStr">
        <is>
          <t>Alboraya</t>
        </is>
      </c>
      <c r="T356" s="2" t="inlineStr">
        <is>
          <t>2026-08-20T13:04:13Z</t>
        </is>
      </c>
      <c r="U356" s="2" t="n">
        <v>8</v>
      </c>
      <c r="V356" s="2" t="n"/>
      <c r="W356" s="2" t="n"/>
      <c r="X356" s="2" t="n"/>
      <c r="Y356" s="2" t="n"/>
      <c r="Z356" s="2" t="inlineStr">
        <is>
          <t>no</t>
        </is>
      </c>
      <c r="AA356" s="2" t="n"/>
      <c r="AB356" s="2" t="n"/>
      <c r="AC356" s="2" t="n"/>
      <c r="AD356" s="2" t="n"/>
      <c r="AE356" s="2" t="n"/>
      <c r="AF356" s="2" t="n"/>
      <c r="AG356" s="2" t="n"/>
      <c r="AH356" s="2" t="n">
        <v>4950</v>
      </c>
      <c r="AI356" s="2" t="n"/>
      <c r="AJ356" s="2" t="n"/>
      <c r="AK356" s="2" t="n"/>
      <c r="AL356" s="2" t="n"/>
      <c r="AM356" s="2" t="n">
        <v>4</v>
      </c>
      <c r="AN356" s="2" t="n"/>
      <c r="AO356" s="2" t="inlineStr">
        <is>
          <t>09/2015</t>
        </is>
      </c>
      <c r="AP356" s="2" t="n">
        <v>2015</v>
      </c>
      <c r="AQ356" s="2" t="n">
        <v>9</v>
      </c>
      <c r="AR356" s="2" t="n"/>
      <c r="AS356" s="2" t="inlineStr">
        <is>
          <t>regla</t>
        </is>
      </c>
      <c r="AT356" s="2" t="n">
        <v>7000</v>
      </c>
      <c r="AU356" s="2" t="n">
        <v>10</v>
      </c>
      <c r="AV356" s="2" t="inlineStr">
        <is>
          <t>modelo+año+km</t>
        </is>
      </c>
      <c r="AW356" s="2" t="n"/>
      <c r="AX356" s="2" t="inlineStr">
        <is>
          <t>por encima del presupuesto (5294 €), negociar; cilindrada desconocida: se aplica el tramo de cuota fija más alto; cuota fija ITP: &gt;5 y &lt;=12 años, más de 2.000 cc; diésel: motor sin fuente de fiabilidad (fiabilidad limitada a neutra)</t>
        </is>
      </c>
      <c r="AY356" s="2" t="inlineStr">
        <is>
          <t>Renault Menage 2015 1.5 DCi 95cv
198.000km
Motor diesel 1.5 95cv con 6 marchas, Motor Irrompible, lo mejor de Renault
Servicio hecho y al dia
ITV 2026
Faros Xenon led
Control multimedia al volante
Limitador y control crucero
De respetar el precio se incluye transferencia.
Se Muestra en Valencia</t>
        </is>
      </c>
      <c r="AZ356" s="2" t="inlineStr">
        <is>
          <t>https://www.coches.net/renault-megane-intens-dci-95-eco2-5p-diesel-2015-en-valencia-70660202-covo.aspx (window.__INITIAL_PROPS__.ad) /home/user/Alopecia/buscador-coches/raw/cochesnet/941c6084598fa028.json</t>
        </is>
      </c>
      <c r="BA356" s="3">
        <f>MAX(ANIO_ACTUAL-M356,0)</f>
        <v/>
      </c>
      <c r="BB356" s="4">
        <f>N356/MAX(BA356,0.5)</f>
        <v/>
      </c>
      <c r="BC356" s="4">
        <f>F356</f>
        <v/>
      </c>
      <c r="BD356" s="3">
        <f>BC356&amp;"|"&amp;INT(M356/SEG_ANIO)*SEG_ANIO</f>
        <v/>
      </c>
      <c r="BE356" s="3">
        <f>BD356&amp;"|"&amp;INT(N356/SEG_KM)*SEG_KM</f>
        <v/>
      </c>
      <c r="BF356" s="4">
        <f>COUNTIF($BC$2:$BC$545,BC356)</f>
        <v/>
      </c>
      <c r="BG356" s="4">
        <f>COUNTIF($BD$2:$BD$545,BD356)</f>
        <v/>
      </c>
      <c r="BH356" s="4">
        <f>COUNTIF($BE$2:$BE$545,BE356)</f>
        <v/>
      </c>
      <c r="BI356" s="3">
        <f t="array" ref="BI356">IF(N(AU356)&gt;=MIN_N,AT356,IF(BH356&gt;=MIN_N,MEDIAN(IF($BE$2:$BE$545=BE356,$O$2:$O$545)),IF(BG356&gt;=MIN_N,MEDIAN(IF($BD$2:$BD$545=BD356,$O$2:$O$545)),MEDIAN(IF($BC$2:$BC$545=BC356,$O$2:$O$545)))))</f>
        <v/>
      </c>
      <c r="BJ356" s="3">
        <f>IF(N(AU356)&gt;=MIN_N,"mercado "&amp;AV356,IF(BH356&gt;=MIN_N,"modelo+año+km",IF(BG356&gt;=MIN_N,"modelo+año","modelo")))</f>
        <v/>
      </c>
      <c r="BK356" s="4">
        <f>(BI356-O356)/BI356</f>
        <v/>
      </c>
      <c r="BL356" s="3">
        <f>IF(COUNTIFS(FR_FUEL,K356,FR_YEAR,AP356)&gt;0,1,0)</f>
        <v/>
      </c>
      <c r="BM356" s="3">
        <f>IF(COUNTIFS(FR_FUEL,K356,FR_YEAR,AP356-1)&gt;0,1,0)</f>
        <v/>
      </c>
      <c r="BN356" s="4">
        <f>IF(N(AQ356)&gt;0,AP356*100+AQ356,IF(AND(BL356=1,BM356=1),(AP356-1)*100+1,AP356*100+1))</f>
        <v/>
      </c>
      <c r="BO356" s="3">
        <f>IF(OR(K356="hibrido",K356="glp",K356="gnc",K356="phev"),"ECO",IF(K356="electrico","CERO",IF(K356="gasolina",IF(BN356&gt;=GAS_C_YM,"C",IF(BN356&gt;=GAS_B_YM,"B","A")),IF(K356="diesel",IF(BN356&gt;=DIE_C_YM,"C",IF(BN356&gt;=DIE_B_YM,"B","A")),""))))</f>
        <v/>
      </c>
      <c r="BP356" s="4">
        <f>BO356</f>
        <v/>
      </c>
      <c r="BQ356" s="4">
        <f>IF(AS356="regla",IF(AND(N(AQ356)=0,BL356=1),"sí","no"),"no")</f>
        <v/>
      </c>
      <c r="BR356" s="3">
        <f>IFERROR(VLOOKUP(F356,MOD_TBL,11,0),IFERROR(VLOOKUP(E356,OCU_TBL,2,0),NEUTRO))</f>
        <v/>
      </c>
      <c r="BS356" s="3">
        <f>SUMIFS(MOT_AJUSTE,MOT_MOTOR,G356,MOT_MARCA,E356,MOT_DESDE,"&lt;="&amp;M356,MOT_HASTA,"&gt;="&amp;M356)+SUMIFS(MOT_AJUSTE,MOT_MOTOR,G356,MOT_MARCA,"(todas)",MOT_DESDE,"&lt;="&amp;M356,MOT_HASTA,"&gt;="&amp;M356)</f>
        <v/>
      </c>
      <c r="BT356" s="3">
        <f>SUMIFS(COMB_AJUSTE,COMB_COMB,K356)</f>
        <v/>
      </c>
      <c r="BU356" s="3">
        <f>COUNTIFS(MOT_MOTOR,G356,MOT_MARCA,E356,MOT_DESDE,"&lt;="&amp;M356,MOT_HASTA,"&gt;="&amp;M356)+COUNTIFS(MOT_MOTOR,G356,MOT_MARCA,"(todas)",MOT_DESDE,"&lt;="&amp;M356,MOT_HASTA,"&gt;="&amp;M356)</f>
        <v/>
      </c>
      <c r="BV356" s="3">
        <f>IF(AND(K356="diesel",BU356=0),MIN(BR356,NEUTRO),BR356)</f>
        <v/>
      </c>
      <c r="BW356" s="4">
        <f>MAX(0,MIN(100,BV356+BS356+BT356))</f>
        <v/>
      </c>
      <c r="BX356" s="3">
        <f>MAX(0,MIN(100,50+BK356*PRECIO_PEND))</f>
        <v/>
      </c>
      <c r="BY356" s="3">
        <f>MAX(0,100*(1-N356/KM_MAX))</f>
        <v/>
      </c>
      <c r="BZ356" s="3">
        <f>IF(BB356&lt;KMA_SOSP,IF(AA356="sí",100,KMA_PEN),IF(BB356&lt;=KMA_IDEAL_MAX,100,MAX(0,100*(KMA_CERO-BB356)/(KMA_CERO-KMA_IDEAL_MAX))))</f>
        <v/>
      </c>
      <c r="CA356" s="3">
        <f>MAX(0,MIN(100,100*(M356-ANIO_MIN)/(ANIO_ACTUAL-ANIO_MIN)))</f>
        <v/>
      </c>
      <c r="CB356" s="3">
        <f>W_KMT*BY356+W_KMA*BZ356+W_EDAD*CA356</f>
        <v/>
      </c>
      <c r="CC356" s="3">
        <f>P_ITV*(V356="sí")+P_LIBRO*(W356="sí")+P_CORREA*(X356="sí")+P_PROP*(Y356=1)+P_GAR*(Z356="sí")+P_FOTOS*MIN(1,N(U356)/FOTOS_OBJ)</f>
        <v/>
      </c>
      <c r="CD356" s="3">
        <f>MAX(0,MIN(100,IFERROR(VLOOKUP(BP356,ETQ_TBL,2,0),0)-IF(BQ356="sí",ETQ_PEN_DUD,IF(AS356="regla",ETQ_PEN_REGLA,0))))</f>
        <v/>
      </c>
      <c r="CE356" s="3">
        <f>NEUTRO</f>
        <v/>
      </c>
      <c r="CF356" s="3">
        <f>IFERROR(VLOOKUP(L356,SEGURO_TBL,3,0),"")</f>
        <v/>
      </c>
      <c r="CG356" s="3">
        <f>IF(CF356="",NEUTRO,MAX(0,MIN(100,100*(SEG_REF_MAX-CF356)/(SEG_REF_MAX-SEG_REF_MIN))))</f>
        <v/>
      </c>
      <c r="CH356" s="3">
        <f>W_CONS*CE356+W_SEG*CG356</f>
        <v/>
      </c>
      <c r="CI356" s="3">
        <f>IF(N(AB356)&gt;0,AB356,IF(AND(R356="profesional",SG_LEGAL_ON=1),GAR_LEGAL,0))</f>
        <v/>
      </c>
      <c r="CJ356" s="3">
        <f>SG_GAR*MIN(1,CI356/SG_GAR_FULL)+SG_AMPL*(AC356="sí")+SG_KMC*(AF356="sí")+SG_REV*(N(AE356)&gt;0)+SG_DEV*MIN(1,N(AG356)/SG_DEV_FULL)+SG_HIST*(W356="sí")</f>
        <v/>
      </c>
      <c r="CK356" s="3">
        <f>IFERROR(VLOOKUP(L356,CARR_PEN_TBL,2,0),0)</f>
        <v/>
      </c>
      <c r="CL356" s="3">
        <f>W_FIAB*BW356+W_PRECIO*BX356+W_KMEDAD*CB356+W_ANUNCIO*CC356+W_USO*CH356+W_SEGURIDAD*CJ356+W_ETIQUETA*CD356-CK356</f>
        <v/>
      </c>
      <c r="CM356" s="4">
        <f>IF(N(I356)&gt;0,I356,IFERROR(ROUND(_xlfn.NUMBERVALUE(LEFT(G356,FIND(" ",G356&amp;" ")-1),".")*1000,0),99999))</f>
        <v/>
      </c>
      <c r="CN356" s="3">
        <f>IF(R356="profesional",0,IF(O356&lt;CUOTA_VALOR_MAX,IF(BA356&gt;ITP_TRAMO_ALTO,SUMIFS(CF_CUOTA,CF_MAS,ITP_TRAMO_ALTO,CF_CCMIN,"&lt;="&amp;CM356,CF_CCMAX,"&gt;="&amp;CM356),IF(BA356&gt;ITP_TRAMO_BAJO,SUMIFS(CF_CUOTA,CF_MAS,ITP_TRAMO_BAJO,CF_CCMIN,"&lt;="&amp;CM356,CF_CCMAX,"&gt;="&amp;CM356),O356*ITP_TIPO)),O356*ITP_TIPO))</f>
        <v/>
      </c>
      <c r="CO356" s="4">
        <f>IF(R356="profesional",N(AK356),0)</f>
        <v/>
      </c>
      <c r="CP356" s="3">
        <f>IF(AND(R356="profesional",ISNUMBER(AK356),AL356="sí"),0,TASA_DGT)</f>
        <v/>
      </c>
      <c r="CQ356" s="3">
        <f>INFORME_DGT</f>
        <v/>
      </c>
      <c r="CR356" s="4">
        <f>O356+CO356+CN356+CP356+CQ356</f>
        <v/>
      </c>
      <c r="CS356" s="4">
        <f>CR356+N(CF356)</f>
        <v/>
      </c>
      <c r="CT356" s="3">
        <f>IF(CR356&lt;=TOTAL_MAX,"sí",IF(CR356&lt;=TOTAL_MAX+MARGEN_NEG,"negociar","no"))</f>
        <v/>
      </c>
      <c r="CU356" s="4">
        <f>IF(CT356&lt;&gt;"no",COUNTIFS($CT$2:$CT$545,"&lt;&gt;no",$CL$2:$CL$545,"&gt;"&amp;CL356)+COUNTIFS($CT$2:CT356,"&lt;&gt;no",$CL$2:CL356,CL356),"")</f>
        <v/>
      </c>
    </row>
    <row r="357">
      <c r="A357" s="2" t="inlineStr">
        <is>
          <t>cochesnet:70833355</t>
        </is>
      </c>
      <c r="B357" s="2" t="inlineStr">
        <is>
          <t>cochesnet</t>
        </is>
      </c>
      <c r="C357" s="2" t="inlineStr">
        <is>
          <t>https://www.coches.net/renault-modus-confort-dynamique-14-16v-5p-gasolina-2006-en-valencia-70833355-covo.aspx</t>
        </is>
      </c>
      <c r="D357" s="2" t="inlineStr">
        <is>
          <t>RENAULT Modus Confort Dynamique 1.4 16v</t>
        </is>
      </c>
      <c r="E357" s="2" t="inlineStr">
        <is>
          <t>Renault</t>
        </is>
      </c>
      <c r="F357" s="2" t="inlineStr">
        <is>
          <t>Renault Modus</t>
        </is>
      </c>
      <c r="G357" s="2" t="inlineStr">
        <is>
          <t>1.4</t>
        </is>
      </c>
      <c r="H357" s="2" t="inlineStr">
        <is>
          <t>Confort Dynamique 1.4 16v</t>
        </is>
      </c>
      <c r="I357" s="2" t="n"/>
      <c r="J357" s="2" t="n"/>
      <c r="K357" s="2" t="inlineStr">
        <is>
          <t>gasolina</t>
        </is>
      </c>
      <c r="L357" s="2" t="inlineStr">
        <is>
          <t>monovolumen_pequeno</t>
        </is>
      </c>
      <c r="M357" s="2" t="n">
        <v>2006</v>
      </c>
      <c r="N357" s="2" t="n">
        <v>190000</v>
      </c>
      <c r="O357" s="2" t="n">
        <v>2490</v>
      </c>
      <c r="P357" s="2" t="inlineStr">
        <is>
          <t>manual</t>
        </is>
      </c>
      <c r="Q357" s="2" t="inlineStr">
        <is>
          <t>no</t>
        </is>
      </c>
      <c r="R357" s="2" t="inlineStr">
        <is>
          <t>profesional</t>
        </is>
      </c>
      <c r="S357" s="2" t="inlineStr">
        <is>
          <t>Foios</t>
        </is>
      </c>
      <c r="T357" s="2" t="inlineStr">
        <is>
          <t>2026-09-07T18:54:24Z</t>
        </is>
      </c>
      <c r="U357" s="2" t="n">
        <v>13</v>
      </c>
      <c r="V357" s="2" t="n"/>
      <c r="W357" s="2" t="n"/>
      <c r="X357" s="2" t="n"/>
      <c r="Y357" s="2" t="n"/>
      <c r="Z357" s="2" t="inlineStr">
        <is>
          <t>sí</t>
        </is>
      </c>
      <c r="AA357" s="2" t="n"/>
      <c r="AB357" s="2" t="n">
        <v>12</v>
      </c>
      <c r="AC357" s="2" t="n"/>
      <c r="AD357" s="2" t="n"/>
      <c r="AE357" s="2" t="n"/>
      <c r="AF357" s="2" t="n"/>
      <c r="AG357" s="2" t="n"/>
      <c r="AH357" s="2" t="n">
        <v>2490</v>
      </c>
      <c r="AI357" s="2" t="n">
        <v>2490</v>
      </c>
      <c r="AJ357" s="2" t="n"/>
      <c r="AK357" s="2" t="n"/>
      <c r="AL357" s="2" t="n"/>
      <c r="AM357" s="2" t="n">
        <v>7.7</v>
      </c>
      <c r="AN357" s="2" t="n"/>
      <c r="AO357" s="2" t="inlineStr">
        <is>
          <t>2006</t>
        </is>
      </c>
      <c r="AP357" s="2" t="n">
        <v>2006</v>
      </c>
      <c r="AQ357" s="2" t="n"/>
      <c r="AR357" s="2" t="inlineStr">
        <is>
          <t>C</t>
        </is>
      </c>
      <c r="AS357" s="2" t="inlineStr">
        <is>
          <t>anuncio</t>
        </is>
      </c>
      <c r="AT357" s="2" t="n"/>
      <c r="AU357" s="2" t="n"/>
      <c r="AV357" s="2" t="n"/>
      <c r="AW357" s="2" t="n"/>
      <c r="AX357" s="2" t="inlineStr">
        <is>
          <t>vendedor profesional: sin ITP (operación con IVA/REBU, confirmar en factura); gastos de gestión del vendedor no indicados: se suma la tasa DGT; preguntar el precio final; carrocería monovolumen_pequeno: -6 puntos; fiabilidad del modelo PENDIENTE de fuente (puntuación neutra); mediana con solo 1 anuncio(s)</t>
        </is>
      </c>
      <c r="AY357" s="2" t="inlineStr">
        <is>
          <t>Este Renault Modus combina practicidad y versatilidad en un formato compacto pensado para la vida urbana y los desplazamientos diarios. Su estructura de monovolumen de cinco puertas ofrece una accesibilidad notable, con un maletero de 274 litros que se expande hasta 1.283 litros al plegar los asientos traseros, proporcionando flexibilidad para adaptar el espacio según las necesidades del momento.
El motor de 1.4 litros de gasolina, con 100 CV, entrega un comportamiento equilibrado en ciudad gracias a su par disponible desde las bajas revoluciones. La transmisión manual de cinco velocidades facilita un manejo directo y eficiente, especialmente apropiado para conductores que valoran el control activo del vehículo. El consumo mixto de 6,7 l/100 km lo posiciona como una opción razonable en términos de eficiencia.
En cuanto a seguridad, este vehículo incorpora airbags frontales y laterales, sistemas de pretensión de cinturones en todas las plazas, ABS en las cuatro ruedas y control de estabilidad, elementos que reflejan los estándares de protección de su época. La dirección asistida con endurecimiento progresivo y la suspensión independiente delantera garantizan una conducción cómoda tanto en carreteras como en entornos urbanos.
El equipamiento de confort incluye climatización, volante regulable en altura revestido de cuero, control de crucero con limitador de velocidad, elevalunas eléctricos delanteros y cierre centralizado con mando a distancia. El sistema de audio cuenta con</t>
        </is>
      </c>
      <c r="AZ357" s="2" t="inlineStr">
        <is>
          <t>https://www.coches.net/renault-modus-confort-dynamique-14-16v-5p-gasolina-2006-en-valencia-70833355-covo.aspx (window.__INITIAL_PROPS__.ad) /home/user/Alopecia/buscador-coches/raw/cochesnet/291453f12eb96d2d.json</t>
        </is>
      </c>
      <c r="BA357" s="3">
        <f>MAX(ANIO_ACTUAL-M357,0)</f>
        <v/>
      </c>
      <c r="BB357" s="4">
        <f>N357/MAX(BA357,0.5)</f>
        <v/>
      </c>
      <c r="BC357" s="4">
        <f>F357</f>
        <v/>
      </c>
      <c r="BD357" s="3">
        <f>BC357&amp;"|"&amp;INT(M357/SEG_ANIO)*SEG_ANIO</f>
        <v/>
      </c>
      <c r="BE357" s="3">
        <f>BD357&amp;"|"&amp;INT(N357/SEG_KM)*SEG_KM</f>
        <v/>
      </c>
      <c r="BF357" s="4">
        <f>COUNTIF($BC$2:$BC$545,BC357)</f>
        <v/>
      </c>
      <c r="BG357" s="4">
        <f>COUNTIF($BD$2:$BD$545,BD357)</f>
        <v/>
      </c>
      <c r="BH357" s="4">
        <f>COUNTIF($BE$2:$BE$545,BE357)</f>
        <v/>
      </c>
      <c r="BI357" s="3">
        <f t="array" ref="BI357">IF(N(AU357)&gt;=MIN_N,AT357,IF(BH357&gt;=MIN_N,MEDIAN(IF($BE$2:$BE$545=BE357,$O$2:$O$545)),IF(BG357&gt;=MIN_N,MEDIAN(IF($BD$2:$BD$545=BD357,$O$2:$O$545)),MEDIAN(IF($BC$2:$BC$545=BC357,$O$2:$O$545)))))</f>
        <v/>
      </c>
      <c r="BJ357" s="3">
        <f>IF(N(AU357)&gt;=MIN_N,"mercado "&amp;AV357,IF(BH357&gt;=MIN_N,"modelo+año+km",IF(BG357&gt;=MIN_N,"modelo+año","modelo")))</f>
        <v/>
      </c>
      <c r="BK357" s="4">
        <f>(BI357-O357)/BI357</f>
        <v/>
      </c>
      <c r="BL357" s="3">
        <f>IF(COUNTIFS(FR_FUEL,K357,FR_YEAR,AP357)&gt;0,1,0)</f>
        <v/>
      </c>
      <c r="BM357" s="3">
        <f>IF(COUNTIFS(FR_FUEL,K357,FR_YEAR,AP357-1)&gt;0,1,0)</f>
        <v/>
      </c>
      <c r="BN357" s="4">
        <f>IF(N(AQ357)&gt;0,AP357*100+AQ357,IF(AND(BL357=1,BM357=1),(AP357-1)*100+1,AP357*100+1))</f>
        <v/>
      </c>
      <c r="BO357" s="3">
        <f>IF(OR(K357="hibrido",K357="glp",K357="gnc",K357="phev"),"ECO",IF(K357="electrico","CERO",IF(K357="gasolina",IF(BN357&gt;=GAS_C_YM,"C",IF(BN357&gt;=GAS_B_YM,"B","A")),IF(K357="diesel",IF(BN357&gt;=DIE_C_YM,"C",IF(BN357&gt;=DIE_B_YM,"B","A")),""))))</f>
        <v/>
      </c>
      <c r="BP357" s="2" t="inlineStr">
        <is>
          <t>C</t>
        </is>
      </c>
      <c r="BQ357" s="4">
        <f>IF(AS357="regla",IF(AND(N(AQ357)=0,BL357=1),"sí","no"),"no")</f>
        <v/>
      </c>
      <c r="BR357" s="3">
        <f>IFERROR(VLOOKUP(F357,MOD_TBL,11,0),IFERROR(VLOOKUP(E357,OCU_TBL,2,0),NEUTRO))</f>
        <v/>
      </c>
      <c r="BS357" s="3">
        <f>SUMIFS(MOT_AJUSTE,MOT_MOTOR,G357,MOT_MARCA,E357,MOT_DESDE,"&lt;="&amp;M357,MOT_HASTA,"&gt;="&amp;M357)+SUMIFS(MOT_AJUSTE,MOT_MOTOR,G357,MOT_MARCA,"(todas)",MOT_DESDE,"&lt;="&amp;M357,MOT_HASTA,"&gt;="&amp;M357)</f>
        <v/>
      </c>
      <c r="BT357" s="3">
        <f>SUMIFS(COMB_AJUSTE,COMB_COMB,K357)</f>
        <v/>
      </c>
      <c r="BU357" s="3">
        <f>COUNTIFS(MOT_MOTOR,G357,MOT_MARCA,E357,MOT_DESDE,"&lt;="&amp;M357,MOT_HASTA,"&gt;="&amp;M357)+COUNTIFS(MOT_MOTOR,G357,MOT_MARCA,"(todas)",MOT_DESDE,"&lt;="&amp;M357,MOT_HASTA,"&gt;="&amp;M357)</f>
        <v/>
      </c>
      <c r="BV357" s="3">
        <f>IF(AND(K357="diesel",BU357=0),MIN(BR357,NEUTRO),BR357)</f>
        <v/>
      </c>
      <c r="BW357" s="4">
        <f>MAX(0,MIN(100,BV357+BS357+BT357))</f>
        <v/>
      </c>
      <c r="BX357" s="3">
        <f>MAX(0,MIN(100,50+BK357*PRECIO_PEND))</f>
        <v/>
      </c>
      <c r="BY357" s="3">
        <f>MAX(0,100*(1-N357/KM_MAX))</f>
        <v/>
      </c>
      <c r="BZ357" s="3">
        <f>IF(BB357&lt;KMA_SOSP,IF(AA357="sí",100,KMA_PEN),IF(BB357&lt;=KMA_IDEAL_MAX,100,MAX(0,100*(KMA_CERO-BB357)/(KMA_CERO-KMA_IDEAL_MAX))))</f>
        <v/>
      </c>
      <c r="CA357" s="3">
        <f>MAX(0,MIN(100,100*(M357-ANIO_MIN)/(ANIO_ACTUAL-ANIO_MIN)))</f>
        <v/>
      </c>
      <c r="CB357" s="3">
        <f>W_KMT*BY357+W_KMA*BZ357+W_EDAD*CA357</f>
        <v/>
      </c>
      <c r="CC357" s="3">
        <f>P_ITV*(V357="sí")+P_LIBRO*(W357="sí")+P_CORREA*(X357="sí")+P_PROP*(Y357=1)+P_GAR*(Z357="sí")+P_FOTOS*MIN(1,N(U357)/FOTOS_OBJ)</f>
        <v/>
      </c>
      <c r="CD357" s="3">
        <f>MAX(0,MIN(100,IFERROR(VLOOKUP(BP357,ETQ_TBL,2,0),0)-IF(BQ357="sí",ETQ_PEN_DUD,IF(AS357="regla",ETQ_PEN_REGLA,0))))</f>
        <v/>
      </c>
      <c r="CE357" s="3">
        <f>NEUTRO</f>
        <v/>
      </c>
      <c r="CF357" s="3">
        <f>IFERROR(VLOOKUP(L357,SEGURO_TBL,3,0),"")</f>
        <v/>
      </c>
      <c r="CG357" s="3">
        <f>IF(CF357="",NEUTRO,MAX(0,MIN(100,100*(SEG_REF_MAX-CF357)/(SEG_REF_MAX-SEG_REF_MIN))))</f>
        <v/>
      </c>
      <c r="CH357" s="3">
        <f>W_CONS*CE357+W_SEG*CG357</f>
        <v/>
      </c>
      <c r="CI357" s="3">
        <f>IF(N(AB357)&gt;0,AB357,IF(AND(R357="profesional",SG_LEGAL_ON=1),GAR_LEGAL,0))</f>
        <v/>
      </c>
      <c r="CJ357" s="3">
        <f>SG_GAR*MIN(1,CI357/SG_GAR_FULL)+SG_AMPL*(AC357="sí")+SG_KMC*(AF357="sí")+SG_REV*(N(AE357)&gt;0)+SG_DEV*MIN(1,N(AG357)/SG_DEV_FULL)+SG_HIST*(W357="sí")</f>
        <v/>
      </c>
      <c r="CK357" s="3">
        <f>IFERROR(VLOOKUP(L357,CARR_PEN_TBL,2,0),0)</f>
        <v/>
      </c>
      <c r="CL357" s="3">
        <f>W_FIAB*BW357+W_PRECIO*BX357+W_KMEDAD*CB357+W_ANUNCIO*CC357+W_USO*CH357+W_SEGURIDAD*CJ357+W_ETIQUETA*CD357-CK357</f>
        <v/>
      </c>
      <c r="CM357" s="4">
        <f>IF(N(I357)&gt;0,I357,IFERROR(ROUND(_xlfn.NUMBERVALUE(LEFT(G357,FIND(" ",G357&amp;" ")-1),".")*1000,0),99999))</f>
        <v/>
      </c>
      <c r="CN357" s="3">
        <f>IF(R357="profesional",0,IF(O357&lt;CUOTA_VALOR_MAX,IF(BA357&gt;ITP_TRAMO_ALTO,SUMIFS(CF_CUOTA,CF_MAS,ITP_TRAMO_ALTO,CF_CCMIN,"&lt;="&amp;CM357,CF_CCMAX,"&gt;="&amp;CM357),IF(BA357&gt;ITP_TRAMO_BAJO,SUMIFS(CF_CUOTA,CF_MAS,ITP_TRAMO_BAJO,CF_CCMIN,"&lt;="&amp;CM357,CF_CCMAX,"&gt;="&amp;CM357),O357*ITP_TIPO)),O357*ITP_TIPO))</f>
        <v/>
      </c>
      <c r="CO357" s="4">
        <f>IF(R357="profesional",N(AK357),0)</f>
        <v/>
      </c>
      <c r="CP357" s="3">
        <f>IF(AND(R357="profesional",ISNUMBER(AK357),AL357="sí"),0,TASA_DGT)</f>
        <v/>
      </c>
      <c r="CQ357" s="3">
        <f>INFORME_DGT</f>
        <v/>
      </c>
      <c r="CR357" s="4">
        <f>O357+CO357+CN357+CP357+CQ357</f>
        <v/>
      </c>
      <c r="CS357" s="4">
        <f>CR357+N(CF357)</f>
        <v/>
      </c>
      <c r="CT357" s="3">
        <f>IF(CR357&lt;=TOTAL_MAX,"sí",IF(CR357&lt;=TOTAL_MAX+MARGEN_NEG,"negociar","no"))</f>
        <v/>
      </c>
      <c r="CU357" s="4">
        <f>IF(CT357&lt;&gt;"no",COUNTIFS($CT$2:$CT$545,"&lt;&gt;no",$CL$2:$CL$545,"&gt;"&amp;CL357)+COUNTIFS($CT$2:CT357,"&lt;&gt;no",$CL$2:CL357,CL357),"")</f>
        <v/>
      </c>
    </row>
    <row r="358">
      <c r="A358" s="2" t="inlineStr">
        <is>
          <t>cochesnet:71604371</t>
        </is>
      </c>
      <c r="B358" s="2" t="inlineStr">
        <is>
          <t>cochesnet</t>
        </is>
      </c>
      <c r="C358" s="2" t="inlineStr">
        <is>
          <t>https://www.coches.net/renault-fluence-dynamique-dci-110cv-4p-diesel-2010-en-valencia-71604371-covo.aspx</t>
        </is>
      </c>
      <c r="D358" s="2" t="inlineStr">
        <is>
          <t>RENAULT Fluence Dynamique dCi</t>
        </is>
      </c>
      <c r="E358" s="2" t="inlineStr">
        <is>
          <t>Renault</t>
        </is>
      </c>
      <c r="F358" s="2" t="inlineStr">
        <is>
          <t>Renault Fluence</t>
        </is>
      </c>
      <c r="G358" s="2" t="inlineStr">
        <is>
          <t>? dCi</t>
        </is>
      </c>
      <c r="H358" s="2" t="inlineStr">
        <is>
          <t>Dynamique dCi 110cv</t>
        </is>
      </c>
      <c r="I358" s="2" t="n"/>
      <c r="J358" s="2" t="n">
        <v>110</v>
      </c>
      <c r="K358" s="2" t="inlineStr">
        <is>
          <t>diesel</t>
        </is>
      </c>
      <c r="L358" s="2" t="inlineStr">
        <is>
          <t>berlina</t>
        </is>
      </c>
      <c r="M358" s="2" t="n">
        <v>2011</v>
      </c>
      <c r="N358" s="2" t="n">
        <v>212000</v>
      </c>
      <c r="O358" s="2" t="n">
        <v>4490</v>
      </c>
      <c r="P358" s="2" t="inlineStr">
        <is>
          <t>manual</t>
        </is>
      </c>
      <c r="Q358" s="2" t="inlineStr">
        <is>
          <t>no</t>
        </is>
      </c>
      <c r="R358" s="2" t="inlineStr">
        <is>
          <t>profesional</t>
        </is>
      </c>
      <c r="S358" s="2" t="inlineStr">
        <is>
          <t>Bonrepòs i Mirambell</t>
        </is>
      </c>
      <c r="T358" s="2" t="inlineStr">
        <is>
          <t>2026-09-26T14:10:43Z</t>
        </is>
      </c>
      <c r="U358" s="2" t="n">
        <v>23</v>
      </c>
      <c r="V358" s="2" t="n"/>
      <c r="W358" s="2" t="n"/>
      <c r="X358" s="2" t="n"/>
      <c r="Y358" s="2" t="n"/>
      <c r="Z358" s="2" t="inlineStr">
        <is>
          <t>sí</t>
        </is>
      </c>
      <c r="AA358" s="2" t="n"/>
      <c r="AB358" s="2" t="n">
        <v>12</v>
      </c>
      <c r="AC358" s="2" t="n"/>
      <c r="AD358" s="2" t="n"/>
      <c r="AE358" s="2" t="n"/>
      <c r="AF358" s="2" t="inlineStr">
        <is>
          <t>sí</t>
        </is>
      </c>
      <c r="AG358" s="2" t="n"/>
      <c r="AH358" s="2" t="n">
        <v>4490</v>
      </c>
      <c r="AI358" s="2" t="n"/>
      <c r="AJ358" s="2" t="n"/>
      <c r="AK358" s="2" t="n"/>
      <c r="AL358" s="2" t="n"/>
      <c r="AM358" s="2" t="n">
        <v>5.3</v>
      </c>
      <c r="AN358" s="2" t="n"/>
      <c r="AO358" s="2" t="inlineStr">
        <is>
          <t>2011</t>
        </is>
      </c>
      <c r="AP358" s="2" t="n">
        <v>2011</v>
      </c>
      <c r="AQ358" s="2" t="n"/>
      <c r="AR358" s="2" t="n"/>
      <c r="AS358" s="2" t="inlineStr">
        <is>
          <t>regla</t>
        </is>
      </c>
      <c r="AT358" s="2" t="n">
        <v>4895</v>
      </c>
      <c r="AU358" s="2" t="n">
        <v>4</v>
      </c>
      <c r="AV358" s="2" t="inlineStr">
        <is>
          <t>modelo+año</t>
        </is>
      </c>
      <c r="AW358" s="2" t="n"/>
      <c r="AX358"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Y358" s="2" t="inlineStr">
        <is>
          <t>ELEGANZA AUTOMÓVILES
Vehículo nacional, en excelente estado, con ITV favorable, kilómetros certificados. Se encuentra en perfecto estado de conservación.
Equipamiento:
- Climatizador digital bizona
- Volante de cuero multifuncional
- Control de crucero y limitador de velocidad
- Conexión a teléfono móvil
- Radio CD con AUX, USB y Bluetooth
- Ordenador de a bordo con pantalla integrada
- Retrovisores con ajuste eléctrico
- Sistema de audio profesional
- Tapicería mixta cuero/textil en perfecto estado
- Posavasos
- Sistema antirrobo
- Anclajes ISOFIX
- Sensores de aparcamiento
Incluye 1 año de garantía.
Solicita más información sin compromiso.
Abrimos los 365 días del año.</t>
        </is>
      </c>
      <c r="AZ358" s="2" t="inlineStr">
        <is>
          <t>https://www.coches.net/renault-fluence-dynamique-dci-110cv-4p-diesel-2010-en-valencia-71604371-covo.aspx (window.__INITIAL_PROPS__.ad) /home/user/Alopecia/buscador-coches/raw/cochesnet/0d94285184c4a61e.json</t>
        </is>
      </c>
      <c r="BA358" s="3">
        <f>MAX(ANIO_ACTUAL-M358,0)</f>
        <v/>
      </c>
      <c r="BB358" s="4">
        <f>N358/MAX(BA358,0.5)</f>
        <v/>
      </c>
      <c r="BC358" s="4">
        <f>F358</f>
        <v/>
      </c>
      <c r="BD358" s="3">
        <f>BC358&amp;"|"&amp;INT(M358/SEG_ANIO)*SEG_ANIO</f>
        <v/>
      </c>
      <c r="BE358" s="3">
        <f>BD358&amp;"|"&amp;INT(N358/SEG_KM)*SEG_KM</f>
        <v/>
      </c>
      <c r="BF358" s="4">
        <f>COUNTIF($BC$2:$BC$545,BC358)</f>
        <v/>
      </c>
      <c r="BG358" s="4">
        <f>COUNTIF($BD$2:$BD$545,BD358)</f>
        <v/>
      </c>
      <c r="BH358" s="4">
        <f>COUNTIF($BE$2:$BE$545,BE358)</f>
        <v/>
      </c>
      <c r="BI358" s="3">
        <f t="array" ref="BI358">IF(N(AU358)&gt;=MIN_N,AT358,IF(BH358&gt;=MIN_N,MEDIAN(IF($BE$2:$BE$545=BE358,$O$2:$O$545)),IF(BG358&gt;=MIN_N,MEDIAN(IF($BD$2:$BD$545=BD358,$O$2:$O$545)),MEDIAN(IF($BC$2:$BC$545=BC358,$O$2:$O$545)))))</f>
        <v/>
      </c>
      <c r="BJ358" s="3">
        <f>IF(N(AU358)&gt;=MIN_N,"mercado "&amp;AV358,IF(BH358&gt;=MIN_N,"modelo+año+km",IF(BG358&gt;=MIN_N,"modelo+año","modelo")))</f>
        <v/>
      </c>
      <c r="BK358" s="4">
        <f>(BI358-O358)/BI358</f>
        <v/>
      </c>
      <c r="BL358" s="3">
        <f>IF(COUNTIFS(FR_FUEL,K358,FR_YEAR,AP358)&gt;0,1,0)</f>
        <v/>
      </c>
      <c r="BM358" s="3">
        <f>IF(COUNTIFS(FR_FUEL,K358,FR_YEAR,AP358-1)&gt;0,1,0)</f>
        <v/>
      </c>
      <c r="BN358" s="4">
        <f>IF(N(AQ358)&gt;0,AP358*100+AQ358,IF(AND(BL358=1,BM358=1),(AP358-1)*100+1,AP358*100+1))</f>
        <v/>
      </c>
      <c r="BO358" s="3">
        <f>IF(OR(K358="hibrido",K358="glp",K358="gnc",K358="phev"),"ECO",IF(K358="electrico","CERO",IF(K358="gasolina",IF(BN358&gt;=GAS_C_YM,"C",IF(BN358&gt;=GAS_B_YM,"B","A")),IF(K358="diesel",IF(BN358&gt;=DIE_C_YM,"C",IF(BN358&gt;=DIE_B_YM,"B","A")),""))))</f>
        <v/>
      </c>
      <c r="BP358" s="4">
        <f>BO358</f>
        <v/>
      </c>
      <c r="BQ358" s="4">
        <f>IF(AS358="regla",IF(AND(N(AQ358)=0,BL358=1),"sí","no"),"no")</f>
        <v/>
      </c>
      <c r="BR358" s="3">
        <f>IFERROR(VLOOKUP(F358,MOD_TBL,11,0),IFERROR(VLOOKUP(E358,OCU_TBL,2,0),NEUTRO))</f>
        <v/>
      </c>
      <c r="BS358" s="3">
        <f>SUMIFS(MOT_AJUSTE,MOT_MOTOR,G358,MOT_MARCA,E358,MOT_DESDE,"&lt;="&amp;M358,MOT_HASTA,"&gt;="&amp;M358)+SUMIFS(MOT_AJUSTE,MOT_MOTOR,G358,MOT_MARCA,"(todas)",MOT_DESDE,"&lt;="&amp;M358,MOT_HASTA,"&gt;="&amp;M358)</f>
        <v/>
      </c>
      <c r="BT358" s="3">
        <f>SUMIFS(COMB_AJUSTE,COMB_COMB,K358)</f>
        <v/>
      </c>
      <c r="BU358" s="3">
        <f>COUNTIFS(MOT_MOTOR,G358,MOT_MARCA,E358,MOT_DESDE,"&lt;="&amp;M358,MOT_HASTA,"&gt;="&amp;M358)+COUNTIFS(MOT_MOTOR,G358,MOT_MARCA,"(todas)",MOT_DESDE,"&lt;="&amp;M358,MOT_HASTA,"&gt;="&amp;M358)</f>
        <v/>
      </c>
      <c r="BV358" s="3">
        <f>IF(AND(K358="diesel",BU358=0),MIN(BR358,NEUTRO),BR358)</f>
        <v/>
      </c>
      <c r="BW358" s="4">
        <f>MAX(0,MIN(100,BV358+BS358+BT358))</f>
        <v/>
      </c>
      <c r="BX358" s="3">
        <f>MAX(0,MIN(100,50+BK358*PRECIO_PEND))</f>
        <v/>
      </c>
      <c r="BY358" s="3">
        <f>MAX(0,100*(1-N358/KM_MAX))</f>
        <v/>
      </c>
      <c r="BZ358" s="3">
        <f>IF(BB358&lt;KMA_SOSP,IF(AA358="sí",100,KMA_PEN),IF(BB358&lt;=KMA_IDEAL_MAX,100,MAX(0,100*(KMA_CERO-BB358)/(KMA_CERO-KMA_IDEAL_MAX))))</f>
        <v/>
      </c>
      <c r="CA358" s="3">
        <f>MAX(0,MIN(100,100*(M358-ANIO_MIN)/(ANIO_ACTUAL-ANIO_MIN)))</f>
        <v/>
      </c>
      <c r="CB358" s="3">
        <f>W_KMT*BY358+W_KMA*BZ358+W_EDAD*CA358</f>
        <v/>
      </c>
      <c r="CC358" s="3">
        <f>P_ITV*(V358="sí")+P_LIBRO*(W358="sí")+P_CORREA*(X358="sí")+P_PROP*(Y358=1)+P_GAR*(Z358="sí")+P_FOTOS*MIN(1,N(U358)/FOTOS_OBJ)</f>
        <v/>
      </c>
      <c r="CD358" s="3">
        <f>MAX(0,MIN(100,IFERROR(VLOOKUP(BP358,ETQ_TBL,2,0),0)-IF(BQ358="sí",ETQ_PEN_DUD,IF(AS358="regla",ETQ_PEN_REGLA,0))))</f>
        <v/>
      </c>
      <c r="CE358" s="3">
        <f>NEUTRO</f>
        <v/>
      </c>
      <c r="CF358" s="3">
        <f>IFERROR(VLOOKUP(L358,SEGURO_TBL,3,0),"")</f>
        <v/>
      </c>
      <c r="CG358" s="3">
        <f>IF(CF358="",NEUTRO,MAX(0,MIN(100,100*(SEG_REF_MAX-CF358)/(SEG_REF_MAX-SEG_REF_MIN))))</f>
        <v/>
      </c>
      <c r="CH358" s="3">
        <f>W_CONS*CE358+W_SEG*CG358</f>
        <v/>
      </c>
      <c r="CI358" s="3">
        <f>IF(N(AB358)&gt;0,AB358,IF(AND(R358="profesional",SG_LEGAL_ON=1),GAR_LEGAL,0))</f>
        <v/>
      </c>
      <c r="CJ358" s="3">
        <f>SG_GAR*MIN(1,CI358/SG_GAR_FULL)+SG_AMPL*(AC358="sí")+SG_KMC*(AF358="sí")+SG_REV*(N(AE358)&gt;0)+SG_DEV*MIN(1,N(AG358)/SG_DEV_FULL)+SG_HIST*(W358="sí")</f>
        <v/>
      </c>
      <c r="CK358" s="3">
        <f>IFERROR(VLOOKUP(L358,CARR_PEN_TBL,2,0),0)</f>
        <v/>
      </c>
      <c r="CL358" s="3">
        <f>W_FIAB*BW358+W_PRECIO*BX358+W_KMEDAD*CB358+W_ANUNCIO*CC358+W_USO*CH358+W_SEGURIDAD*CJ358+W_ETIQUETA*CD358-CK358</f>
        <v/>
      </c>
      <c r="CM358" s="4">
        <f>IF(N(I358)&gt;0,I358,IFERROR(ROUND(_xlfn.NUMBERVALUE(LEFT(G358,FIND(" ",G358&amp;" ")-1),".")*1000,0),99999))</f>
        <v/>
      </c>
      <c r="CN358" s="3">
        <f>IF(R358="profesional",0,IF(O358&lt;CUOTA_VALOR_MAX,IF(BA358&gt;ITP_TRAMO_ALTO,SUMIFS(CF_CUOTA,CF_MAS,ITP_TRAMO_ALTO,CF_CCMIN,"&lt;="&amp;CM358,CF_CCMAX,"&gt;="&amp;CM358),IF(BA358&gt;ITP_TRAMO_BAJO,SUMIFS(CF_CUOTA,CF_MAS,ITP_TRAMO_BAJO,CF_CCMIN,"&lt;="&amp;CM358,CF_CCMAX,"&gt;="&amp;CM358),O358*ITP_TIPO)),O358*ITP_TIPO))</f>
        <v/>
      </c>
      <c r="CO358" s="4">
        <f>IF(R358="profesional",N(AK358),0)</f>
        <v/>
      </c>
      <c r="CP358" s="3">
        <f>IF(AND(R358="profesional",ISNUMBER(AK358),AL358="sí"),0,TASA_DGT)</f>
        <v/>
      </c>
      <c r="CQ358" s="3">
        <f>INFORME_DGT</f>
        <v/>
      </c>
      <c r="CR358" s="4">
        <f>O358+CO358+CN358+CP358+CQ358</f>
        <v/>
      </c>
      <c r="CS358" s="4">
        <f>CR358+N(CF358)</f>
        <v/>
      </c>
      <c r="CT358" s="3">
        <f>IF(CR358&lt;=TOTAL_MAX,"sí",IF(CR358&lt;=TOTAL_MAX+MARGEN_NEG,"negociar","no"))</f>
        <v/>
      </c>
      <c r="CU358" s="4">
        <f>IF(CT358&lt;&gt;"no",COUNTIFS($CT$2:$CT$545,"&lt;&gt;no",$CL$2:$CL$545,"&gt;"&amp;CL358)+COUNTIFS($CT$2:CT358,"&lt;&gt;no",$CL$2:CL358,CL358),"")</f>
        <v/>
      </c>
    </row>
    <row r="359">
      <c r="A359" s="2" t="inlineStr">
        <is>
          <t>cochesnet:71334952</t>
        </is>
      </c>
      <c r="B359" s="2" t="inlineStr">
        <is>
          <t>cochesnet</t>
        </is>
      </c>
      <c r="C359" s="2" t="inlineStr">
        <is>
          <t>https://www.coches.net/renault-fluence-dynamique-16-16v-110-4p-gasolina-2012-en-valencia-71334952-covo.aspx</t>
        </is>
      </c>
      <c r="D359" s="2" t="inlineStr">
        <is>
          <t>RENAULT Fluence Dynamique 1.6 16v 110</t>
        </is>
      </c>
      <c r="E359" s="2" t="inlineStr">
        <is>
          <t>Renault</t>
        </is>
      </c>
      <c r="F359" s="2" t="inlineStr">
        <is>
          <t>Renault Fluence</t>
        </is>
      </c>
      <c r="G359" s="2" t="inlineStr">
        <is>
          <t>1.6</t>
        </is>
      </c>
      <c r="H359" s="2" t="inlineStr">
        <is>
          <t>Dynamique 1.6 16v 110</t>
        </is>
      </c>
      <c r="I359" s="2" t="n"/>
      <c r="J359" s="2" t="n"/>
      <c r="K359" s="2" t="inlineStr">
        <is>
          <t>gasolina</t>
        </is>
      </c>
      <c r="L359" s="2" t="inlineStr">
        <is>
          <t>berlina</t>
        </is>
      </c>
      <c r="M359" s="2" t="n">
        <v>2012</v>
      </c>
      <c r="N359" s="2" t="n">
        <v>219000</v>
      </c>
      <c r="O359" s="2" t="n">
        <v>4200</v>
      </c>
      <c r="P359" s="2" t="inlineStr">
        <is>
          <t>manual</t>
        </is>
      </c>
      <c r="Q359" s="2" t="inlineStr">
        <is>
          <t>no</t>
        </is>
      </c>
      <c r="R359" s="2" t="inlineStr">
        <is>
          <t>particular</t>
        </is>
      </c>
      <c r="S359" s="2" t="inlineStr">
        <is>
          <t>Torrent</t>
        </is>
      </c>
      <c r="T359" s="2" t="inlineStr">
        <is>
          <t>2026-08-21T22:13:06Z</t>
        </is>
      </c>
      <c r="U359" s="2" t="n">
        <v>8</v>
      </c>
      <c r="V359" s="2" t="inlineStr">
        <is>
          <t>sí</t>
        </is>
      </c>
      <c r="W359" s="2" t="inlineStr">
        <is>
          <t>sí</t>
        </is>
      </c>
      <c r="X359" s="2" t="n"/>
      <c r="Y359" s="2" t="n"/>
      <c r="Z359" s="2" t="inlineStr">
        <is>
          <t>no</t>
        </is>
      </c>
      <c r="AA359" s="2" t="n"/>
      <c r="AB359" s="2" t="n"/>
      <c r="AC359" s="2" t="n"/>
      <c r="AD359" s="2" t="n"/>
      <c r="AE359" s="2" t="n"/>
      <c r="AF359" s="2" t="n"/>
      <c r="AG359" s="2" t="n"/>
      <c r="AH359" s="2" t="n">
        <v>4200</v>
      </c>
      <c r="AI359" s="2" t="n"/>
      <c r="AJ359" s="2" t="n"/>
      <c r="AK359" s="2" t="n"/>
      <c r="AL359" s="2" t="n"/>
      <c r="AM359" s="2" t="n">
        <v>8.800000000000001</v>
      </c>
      <c r="AN359" s="2" t="n"/>
      <c r="AO359" s="2" t="inlineStr">
        <is>
          <t>2012</t>
        </is>
      </c>
      <c r="AP359" s="2" t="n">
        <v>2012</v>
      </c>
      <c r="AQ359" s="2" t="n"/>
      <c r="AR359" s="2" t="n"/>
      <c r="AS359" s="2" t="inlineStr">
        <is>
          <t>regla</t>
        </is>
      </c>
      <c r="AT359" s="2" t="n">
        <v>4895</v>
      </c>
      <c r="AU359" s="2" t="n">
        <v>4</v>
      </c>
      <c r="AV359" s="2" t="inlineStr">
        <is>
          <t>modelo+año</t>
        </is>
      </c>
      <c r="AW359" s="2" t="n"/>
      <c r="AX359" s="2" t="inlineStr">
        <is>
          <t>cuota fija ITP: &gt;12 años, 1.501-2.000 cc; carrocería berlina: -4 puntos; fiabilidad del modelo PENDIENTE de fuente (puntuación neutra)</t>
        </is>
      </c>
      <c r="AY359" s="2" t="inlineStr">
        <is>
          <t>Excelente berlina para la ciudad y la familia:
-Motor 1.6 económico y fiable.
-219 kilometraje - poco kilometraje
-Aire acondicionado funcional
-Bluetooth funcional
-Maletero más amplio en su sección 536 Litros
-Documentación en regla.
-Mantenimiento al día, motor en excelente estado
-Interiores de silla en cuero con tela.
-Manual 5 marchas
-ITV Recién pasada
Escribeme hoy y coordinamos la prueba.</t>
        </is>
      </c>
      <c r="AZ359" s="2" t="inlineStr">
        <is>
          <t>https://www.coches.net/renault-fluence-dynamique-16-16v-110-4p-gasolina-2012-en-valencia-71334952-covo.aspx (window.__INITIAL_PROPS__.ad) /home/user/Alopecia/buscador-coches/raw/cochesnet/60153e3760411c4c.json</t>
        </is>
      </c>
      <c r="BA359" s="3">
        <f>MAX(ANIO_ACTUAL-M359,0)</f>
        <v/>
      </c>
      <c r="BB359" s="4">
        <f>N359/MAX(BA359,0.5)</f>
        <v/>
      </c>
      <c r="BC359" s="4">
        <f>F359</f>
        <v/>
      </c>
      <c r="BD359" s="3">
        <f>BC359&amp;"|"&amp;INT(M359/SEG_ANIO)*SEG_ANIO</f>
        <v/>
      </c>
      <c r="BE359" s="3">
        <f>BD359&amp;"|"&amp;INT(N359/SEG_KM)*SEG_KM</f>
        <v/>
      </c>
      <c r="BF359" s="4">
        <f>COUNTIF($BC$2:$BC$545,BC359)</f>
        <v/>
      </c>
      <c r="BG359" s="4">
        <f>COUNTIF($BD$2:$BD$545,BD359)</f>
        <v/>
      </c>
      <c r="BH359" s="4">
        <f>COUNTIF($BE$2:$BE$545,BE359)</f>
        <v/>
      </c>
      <c r="BI359" s="3">
        <f t="array" ref="BI359">IF(N(AU359)&gt;=MIN_N,AT359,IF(BH359&gt;=MIN_N,MEDIAN(IF($BE$2:$BE$545=BE359,$O$2:$O$545)),IF(BG359&gt;=MIN_N,MEDIAN(IF($BD$2:$BD$545=BD359,$O$2:$O$545)),MEDIAN(IF($BC$2:$BC$545=BC359,$O$2:$O$545)))))</f>
        <v/>
      </c>
      <c r="BJ359" s="3">
        <f>IF(N(AU359)&gt;=MIN_N,"mercado "&amp;AV359,IF(BH359&gt;=MIN_N,"modelo+año+km",IF(BG359&gt;=MIN_N,"modelo+año","modelo")))</f>
        <v/>
      </c>
      <c r="BK359" s="4">
        <f>(BI359-O359)/BI359</f>
        <v/>
      </c>
      <c r="BL359" s="3">
        <f>IF(COUNTIFS(FR_FUEL,K359,FR_YEAR,AP359)&gt;0,1,0)</f>
        <v/>
      </c>
      <c r="BM359" s="3">
        <f>IF(COUNTIFS(FR_FUEL,K359,FR_YEAR,AP359-1)&gt;0,1,0)</f>
        <v/>
      </c>
      <c r="BN359" s="4">
        <f>IF(N(AQ359)&gt;0,AP359*100+AQ359,IF(AND(BL359=1,BM359=1),(AP359-1)*100+1,AP359*100+1))</f>
        <v/>
      </c>
      <c r="BO359" s="3">
        <f>IF(OR(K359="hibrido",K359="glp",K359="gnc",K359="phev"),"ECO",IF(K359="electrico","CERO",IF(K359="gasolina",IF(BN359&gt;=GAS_C_YM,"C",IF(BN359&gt;=GAS_B_YM,"B","A")),IF(K359="diesel",IF(BN359&gt;=DIE_C_YM,"C",IF(BN359&gt;=DIE_B_YM,"B","A")),""))))</f>
        <v/>
      </c>
      <c r="BP359" s="4">
        <f>BO359</f>
        <v/>
      </c>
      <c r="BQ359" s="4">
        <f>IF(AS359="regla",IF(AND(N(AQ359)=0,BL359=1),"sí","no"),"no")</f>
        <v/>
      </c>
      <c r="BR359" s="3">
        <f>IFERROR(VLOOKUP(F359,MOD_TBL,11,0),IFERROR(VLOOKUP(E359,OCU_TBL,2,0),NEUTRO))</f>
        <v/>
      </c>
      <c r="BS359" s="3">
        <f>SUMIFS(MOT_AJUSTE,MOT_MOTOR,G359,MOT_MARCA,E359,MOT_DESDE,"&lt;="&amp;M359,MOT_HASTA,"&gt;="&amp;M359)+SUMIFS(MOT_AJUSTE,MOT_MOTOR,G359,MOT_MARCA,"(todas)",MOT_DESDE,"&lt;="&amp;M359,MOT_HASTA,"&gt;="&amp;M359)</f>
        <v/>
      </c>
      <c r="BT359" s="3">
        <f>SUMIFS(COMB_AJUSTE,COMB_COMB,K359)</f>
        <v/>
      </c>
      <c r="BU359" s="3">
        <f>COUNTIFS(MOT_MOTOR,G359,MOT_MARCA,E359,MOT_DESDE,"&lt;="&amp;M359,MOT_HASTA,"&gt;="&amp;M359)+COUNTIFS(MOT_MOTOR,G359,MOT_MARCA,"(todas)",MOT_DESDE,"&lt;="&amp;M359,MOT_HASTA,"&gt;="&amp;M359)</f>
        <v/>
      </c>
      <c r="BV359" s="3">
        <f>IF(AND(K359="diesel",BU359=0),MIN(BR359,NEUTRO),BR359)</f>
        <v/>
      </c>
      <c r="BW359" s="4">
        <f>MAX(0,MIN(100,BV359+BS359+BT359))</f>
        <v/>
      </c>
      <c r="BX359" s="3">
        <f>MAX(0,MIN(100,50+BK359*PRECIO_PEND))</f>
        <v/>
      </c>
      <c r="BY359" s="3">
        <f>MAX(0,100*(1-N359/KM_MAX))</f>
        <v/>
      </c>
      <c r="BZ359" s="3">
        <f>IF(BB359&lt;KMA_SOSP,IF(AA359="sí",100,KMA_PEN),IF(BB359&lt;=KMA_IDEAL_MAX,100,MAX(0,100*(KMA_CERO-BB359)/(KMA_CERO-KMA_IDEAL_MAX))))</f>
        <v/>
      </c>
      <c r="CA359" s="3">
        <f>MAX(0,MIN(100,100*(M359-ANIO_MIN)/(ANIO_ACTUAL-ANIO_MIN)))</f>
        <v/>
      </c>
      <c r="CB359" s="3">
        <f>W_KMT*BY359+W_KMA*BZ359+W_EDAD*CA359</f>
        <v/>
      </c>
      <c r="CC359" s="3">
        <f>P_ITV*(V359="sí")+P_LIBRO*(W359="sí")+P_CORREA*(X359="sí")+P_PROP*(Y359=1)+P_GAR*(Z359="sí")+P_FOTOS*MIN(1,N(U359)/FOTOS_OBJ)</f>
        <v/>
      </c>
      <c r="CD359" s="3">
        <f>MAX(0,MIN(100,IFERROR(VLOOKUP(BP359,ETQ_TBL,2,0),0)-IF(BQ359="sí",ETQ_PEN_DUD,IF(AS359="regla",ETQ_PEN_REGLA,0))))</f>
        <v/>
      </c>
      <c r="CE359" s="3">
        <f>NEUTRO</f>
        <v/>
      </c>
      <c r="CF359" s="3">
        <f>IFERROR(VLOOKUP(L359,SEGURO_TBL,3,0),"")</f>
        <v/>
      </c>
      <c r="CG359" s="3">
        <f>IF(CF359="",NEUTRO,MAX(0,MIN(100,100*(SEG_REF_MAX-CF359)/(SEG_REF_MAX-SEG_REF_MIN))))</f>
        <v/>
      </c>
      <c r="CH359" s="3">
        <f>W_CONS*CE359+W_SEG*CG359</f>
        <v/>
      </c>
      <c r="CI359" s="3">
        <f>IF(N(AB359)&gt;0,AB359,IF(AND(R359="profesional",SG_LEGAL_ON=1),GAR_LEGAL,0))</f>
        <v/>
      </c>
      <c r="CJ359" s="3">
        <f>SG_GAR*MIN(1,CI359/SG_GAR_FULL)+SG_AMPL*(AC359="sí")+SG_KMC*(AF359="sí")+SG_REV*(N(AE359)&gt;0)+SG_DEV*MIN(1,N(AG359)/SG_DEV_FULL)+SG_HIST*(W359="sí")</f>
        <v/>
      </c>
      <c r="CK359" s="3">
        <f>IFERROR(VLOOKUP(L359,CARR_PEN_TBL,2,0),0)</f>
        <v/>
      </c>
      <c r="CL359" s="3">
        <f>W_FIAB*BW359+W_PRECIO*BX359+W_KMEDAD*CB359+W_ANUNCIO*CC359+W_USO*CH359+W_SEGURIDAD*CJ359+W_ETIQUETA*CD359-CK359</f>
        <v/>
      </c>
      <c r="CM359" s="4">
        <f>IF(N(I359)&gt;0,I359,IFERROR(ROUND(_xlfn.NUMBERVALUE(LEFT(G359,FIND(" ",G359&amp;" ")-1),".")*1000,0),99999))</f>
        <v/>
      </c>
      <c r="CN359" s="3">
        <f>IF(R359="profesional",0,IF(O359&lt;CUOTA_VALOR_MAX,IF(BA359&gt;ITP_TRAMO_ALTO,SUMIFS(CF_CUOTA,CF_MAS,ITP_TRAMO_ALTO,CF_CCMIN,"&lt;="&amp;CM359,CF_CCMAX,"&gt;="&amp;CM359),IF(BA359&gt;ITP_TRAMO_BAJO,SUMIFS(CF_CUOTA,CF_MAS,ITP_TRAMO_BAJO,CF_CCMIN,"&lt;="&amp;CM359,CF_CCMAX,"&gt;="&amp;CM359),O359*ITP_TIPO)),O359*ITP_TIPO))</f>
        <v/>
      </c>
      <c r="CO359" s="4">
        <f>IF(R359="profesional",N(AK359),0)</f>
        <v/>
      </c>
      <c r="CP359" s="3">
        <f>IF(AND(R359="profesional",ISNUMBER(AK359),AL359="sí"),0,TASA_DGT)</f>
        <v/>
      </c>
      <c r="CQ359" s="3">
        <f>INFORME_DGT</f>
        <v/>
      </c>
      <c r="CR359" s="4">
        <f>O359+CO359+CN359+CP359+CQ359</f>
        <v/>
      </c>
      <c r="CS359" s="4">
        <f>CR359+N(CF359)</f>
        <v/>
      </c>
      <c r="CT359" s="3">
        <f>IF(CR359&lt;=TOTAL_MAX,"sí",IF(CR359&lt;=TOTAL_MAX+MARGEN_NEG,"negociar","no"))</f>
        <v/>
      </c>
      <c r="CU359" s="4">
        <f>IF(CT359&lt;&gt;"no",COUNTIFS($CT$2:$CT$545,"&lt;&gt;no",$CL$2:$CL$545,"&gt;"&amp;CL359)+COUNTIFS($CT$2:CT359,"&lt;&gt;no",$CL$2:CL359,CL359),"")</f>
        <v/>
      </c>
    </row>
    <row r="360">
      <c r="A360" s="2" t="inlineStr">
        <is>
          <t>cochesnet:71749298</t>
        </is>
      </c>
      <c r="B360" s="2" t="inlineStr">
        <is>
          <t>cochesnet</t>
        </is>
      </c>
      <c r="C360" s="2" t="inlineStr">
        <is>
          <t>https://www.coches.net/dacia-sandero-laureate-12-16v-75cv-5p-gasolina-2009-en-valencia-71749298-covo.aspx</t>
        </is>
      </c>
      <c r="D360" s="2" t="inlineStr">
        <is>
          <t>DACIA Sandero Laureate 1.2 16v</t>
        </is>
      </c>
      <c r="E360" s="2" t="inlineStr">
        <is>
          <t>Dacia</t>
        </is>
      </c>
      <c r="F360" s="2" t="inlineStr">
        <is>
          <t>Dacia Sandero</t>
        </is>
      </c>
      <c r="G360" s="2" t="inlineStr">
        <is>
          <t>1.2</t>
        </is>
      </c>
      <c r="H360" s="2" t="inlineStr">
        <is>
          <t>Laureate 1.2 16v 75cv</t>
        </is>
      </c>
      <c r="I360" s="2" t="n"/>
      <c r="J360" s="2" t="n">
        <v>75</v>
      </c>
      <c r="K360" s="2" t="inlineStr">
        <is>
          <t>gasolina</t>
        </is>
      </c>
      <c r="L360" s="2" t="inlineStr">
        <is>
          <t>utilitario</t>
        </is>
      </c>
      <c r="M360" s="2" t="n">
        <v>2010</v>
      </c>
      <c r="N360" s="2" t="n">
        <v>115000</v>
      </c>
      <c r="O360" s="2" t="n">
        <v>4690</v>
      </c>
      <c r="P360" s="2" t="inlineStr">
        <is>
          <t>manual</t>
        </is>
      </c>
      <c r="Q360" s="2" t="inlineStr">
        <is>
          <t>no</t>
        </is>
      </c>
      <c r="R360" s="2" t="inlineStr">
        <is>
          <t>profesional</t>
        </is>
      </c>
      <c r="S360" s="2" t="inlineStr">
        <is>
          <t>MM Autos Marín Moreno Godella</t>
        </is>
      </c>
      <c r="T360" s="2" t="inlineStr">
        <is>
          <t>2026-10-15T08:59:44Z</t>
        </is>
      </c>
      <c r="U360" s="2" t="n">
        <v>14</v>
      </c>
      <c r="V360" s="2" t="n"/>
      <c r="W360" s="2" t="n"/>
      <c r="X360" s="2" t="n"/>
      <c r="Y360" s="2" t="n"/>
      <c r="Z360" s="2" t="inlineStr">
        <is>
          <t>sí</t>
        </is>
      </c>
      <c r="AA360" s="2" t="n"/>
      <c r="AB360" s="2" t="n">
        <v>12</v>
      </c>
      <c r="AC360" s="2" t="inlineStr">
        <is>
          <t>sí</t>
        </is>
      </c>
      <c r="AD360" s="2" t="n"/>
      <c r="AE360" s="2" t="n"/>
      <c r="AF360" s="2" t="n"/>
      <c r="AG360" s="2" t="n"/>
      <c r="AH360" s="2" t="n">
        <v>4690</v>
      </c>
      <c r="AI360" s="2" t="n"/>
      <c r="AJ360" s="2" t="n"/>
      <c r="AK360" s="2" t="n"/>
      <c r="AL360" s="2" t="n"/>
      <c r="AM360" s="2" t="n">
        <v>6.7</v>
      </c>
      <c r="AN360" s="2" t="n"/>
      <c r="AO360" s="2" t="inlineStr">
        <is>
          <t>2010</t>
        </is>
      </c>
      <c r="AP360" s="2" t="n">
        <v>2010</v>
      </c>
      <c r="AQ360" s="2" t="n"/>
      <c r="AR360" s="2" t="inlineStr">
        <is>
          <t>C</t>
        </is>
      </c>
      <c r="AS360" s="2" t="inlineStr">
        <is>
          <t>anuncio</t>
        </is>
      </c>
      <c r="AT360" s="2" t="n">
        <v>3800</v>
      </c>
      <c r="AU360" s="2" t="n">
        <v>8</v>
      </c>
      <c r="AV360" s="2" t="inlineStr">
        <is>
          <t>modelo+año</t>
        </is>
      </c>
      <c r="AW360" s="2" t="n"/>
      <c r="AX360" s="2" t="inlineStr">
        <is>
          <t>vendedor profesional: sin ITP (operación con IVA/REBU, confirmar en factura); gastos de gestión del vendedor no indicados: se suma la tasa DGT; preguntar el precio final</t>
        </is>
      </c>
      <c r="AY360" s="2" t="inlineStr">
        <is>
          <t>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t>
        </is>
      </c>
      <c r="AZ360" s="2" t="inlineStr">
        <is>
          <t>https://www.coches.net/dacia-sandero-laureate-12-16v-75cv-5p-gasolina-2009-en-valencia-71749298-covo.aspx (window.__INITIAL_PROPS__.ad) /home/user/Alopecia/buscador-coches/raw/cochesnet/f0bc83d303744e62.json</t>
        </is>
      </c>
      <c r="BA360" s="3">
        <f>MAX(ANIO_ACTUAL-M360,0)</f>
        <v/>
      </c>
      <c r="BB360" s="4">
        <f>N360/MAX(BA360,0.5)</f>
        <v/>
      </c>
      <c r="BC360" s="4">
        <f>F360</f>
        <v/>
      </c>
      <c r="BD360" s="3">
        <f>BC360&amp;"|"&amp;INT(M360/SEG_ANIO)*SEG_ANIO</f>
        <v/>
      </c>
      <c r="BE360" s="3">
        <f>BD360&amp;"|"&amp;INT(N360/SEG_KM)*SEG_KM</f>
        <v/>
      </c>
      <c r="BF360" s="4">
        <f>COUNTIF($BC$2:$BC$545,BC360)</f>
        <v/>
      </c>
      <c r="BG360" s="4">
        <f>COUNTIF($BD$2:$BD$545,BD360)</f>
        <v/>
      </c>
      <c r="BH360" s="4">
        <f>COUNTIF($BE$2:$BE$545,BE360)</f>
        <v/>
      </c>
      <c r="BI360" s="3">
        <f t="array" ref="BI360">IF(N(AU360)&gt;=MIN_N,AT360,IF(BH360&gt;=MIN_N,MEDIAN(IF($BE$2:$BE$545=BE360,$O$2:$O$545)),IF(BG360&gt;=MIN_N,MEDIAN(IF($BD$2:$BD$545=BD360,$O$2:$O$545)),MEDIAN(IF($BC$2:$BC$545=BC360,$O$2:$O$545)))))</f>
        <v/>
      </c>
      <c r="BJ360" s="3">
        <f>IF(N(AU360)&gt;=MIN_N,"mercado "&amp;AV360,IF(BH360&gt;=MIN_N,"modelo+año+km",IF(BG360&gt;=MIN_N,"modelo+año","modelo")))</f>
        <v/>
      </c>
      <c r="BK360" s="4">
        <f>(BI360-O360)/BI360</f>
        <v/>
      </c>
      <c r="BL360" s="3">
        <f>IF(COUNTIFS(FR_FUEL,K360,FR_YEAR,AP360)&gt;0,1,0)</f>
        <v/>
      </c>
      <c r="BM360" s="3">
        <f>IF(COUNTIFS(FR_FUEL,K360,FR_YEAR,AP360-1)&gt;0,1,0)</f>
        <v/>
      </c>
      <c r="BN360" s="4">
        <f>IF(N(AQ360)&gt;0,AP360*100+AQ360,IF(AND(BL360=1,BM360=1),(AP360-1)*100+1,AP360*100+1))</f>
        <v/>
      </c>
      <c r="BO360" s="3">
        <f>IF(OR(K360="hibrido",K360="glp",K360="gnc",K360="phev"),"ECO",IF(K360="electrico","CERO",IF(K360="gasolina",IF(BN360&gt;=GAS_C_YM,"C",IF(BN360&gt;=GAS_B_YM,"B","A")),IF(K360="diesel",IF(BN360&gt;=DIE_C_YM,"C",IF(BN360&gt;=DIE_B_YM,"B","A")),""))))</f>
        <v/>
      </c>
      <c r="BP360" s="2" t="inlineStr">
        <is>
          <t>C</t>
        </is>
      </c>
      <c r="BQ360" s="4">
        <f>IF(AS360="regla",IF(AND(N(AQ360)=0,BL360=1),"sí","no"),"no")</f>
        <v/>
      </c>
      <c r="BR360" s="3">
        <f>IFERROR(VLOOKUP(F360,MOD_TBL,11,0),IFERROR(VLOOKUP(E360,OCU_TBL,2,0),NEUTRO))</f>
        <v/>
      </c>
      <c r="BS360" s="3">
        <f>SUMIFS(MOT_AJUSTE,MOT_MOTOR,G360,MOT_MARCA,E360,MOT_DESDE,"&lt;="&amp;M360,MOT_HASTA,"&gt;="&amp;M360)+SUMIFS(MOT_AJUSTE,MOT_MOTOR,G360,MOT_MARCA,"(todas)",MOT_DESDE,"&lt;="&amp;M360,MOT_HASTA,"&gt;="&amp;M360)</f>
        <v/>
      </c>
      <c r="BT360" s="3">
        <f>SUMIFS(COMB_AJUSTE,COMB_COMB,K360)</f>
        <v/>
      </c>
      <c r="BU360" s="3">
        <f>COUNTIFS(MOT_MOTOR,G360,MOT_MARCA,E360,MOT_DESDE,"&lt;="&amp;M360,MOT_HASTA,"&gt;="&amp;M360)+COUNTIFS(MOT_MOTOR,G360,MOT_MARCA,"(todas)",MOT_DESDE,"&lt;="&amp;M360,MOT_HASTA,"&gt;="&amp;M360)</f>
        <v/>
      </c>
      <c r="BV360" s="3">
        <f>IF(AND(K360="diesel",BU360=0),MIN(BR360,NEUTRO),BR360)</f>
        <v/>
      </c>
      <c r="BW360" s="4">
        <f>MAX(0,MIN(100,BV360+BS360+BT360))</f>
        <v/>
      </c>
      <c r="BX360" s="3">
        <f>MAX(0,MIN(100,50+BK360*PRECIO_PEND))</f>
        <v/>
      </c>
      <c r="BY360" s="3">
        <f>MAX(0,100*(1-N360/KM_MAX))</f>
        <v/>
      </c>
      <c r="BZ360" s="3">
        <f>IF(BB360&lt;KMA_SOSP,IF(AA360="sí",100,KMA_PEN),IF(BB360&lt;=KMA_IDEAL_MAX,100,MAX(0,100*(KMA_CERO-BB360)/(KMA_CERO-KMA_IDEAL_MAX))))</f>
        <v/>
      </c>
      <c r="CA360" s="3">
        <f>MAX(0,MIN(100,100*(M360-ANIO_MIN)/(ANIO_ACTUAL-ANIO_MIN)))</f>
        <v/>
      </c>
      <c r="CB360" s="3">
        <f>W_KMT*BY360+W_KMA*BZ360+W_EDAD*CA360</f>
        <v/>
      </c>
      <c r="CC360" s="3">
        <f>P_ITV*(V360="sí")+P_LIBRO*(W360="sí")+P_CORREA*(X360="sí")+P_PROP*(Y360=1)+P_GAR*(Z360="sí")+P_FOTOS*MIN(1,N(U360)/FOTOS_OBJ)</f>
        <v/>
      </c>
      <c r="CD360" s="3">
        <f>MAX(0,MIN(100,IFERROR(VLOOKUP(BP360,ETQ_TBL,2,0),0)-IF(BQ360="sí",ETQ_PEN_DUD,IF(AS360="regla",ETQ_PEN_REGLA,0))))</f>
        <v/>
      </c>
      <c r="CE360" s="3">
        <f>NEUTRO</f>
        <v/>
      </c>
      <c r="CF360" s="3">
        <f>IFERROR(VLOOKUP(L360,SEGURO_TBL,3,0),"")</f>
        <v/>
      </c>
      <c r="CG360" s="3">
        <f>IF(CF360="",NEUTRO,MAX(0,MIN(100,100*(SEG_REF_MAX-CF360)/(SEG_REF_MAX-SEG_REF_MIN))))</f>
        <v/>
      </c>
      <c r="CH360" s="3">
        <f>W_CONS*CE360+W_SEG*CG360</f>
        <v/>
      </c>
      <c r="CI360" s="3">
        <f>IF(N(AB360)&gt;0,AB360,IF(AND(R360="profesional",SG_LEGAL_ON=1),GAR_LEGAL,0))</f>
        <v/>
      </c>
      <c r="CJ360" s="3">
        <f>SG_GAR*MIN(1,CI360/SG_GAR_FULL)+SG_AMPL*(AC360="sí")+SG_KMC*(AF360="sí")+SG_REV*(N(AE360)&gt;0)+SG_DEV*MIN(1,N(AG360)/SG_DEV_FULL)+SG_HIST*(W360="sí")</f>
        <v/>
      </c>
      <c r="CK360" s="3">
        <f>IFERROR(VLOOKUP(L360,CARR_PEN_TBL,2,0),0)</f>
        <v/>
      </c>
      <c r="CL360" s="3">
        <f>W_FIAB*BW360+W_PRECIO*BX360+W_KMEDAD*CB360+W_ANUNCIO*CC360+W_USO*CH360+W_SEGURIDAD*CJ360+W_ETIQUETA*CD360-CK360</f>
        <v/>
      </c>
      <c r="CM360" s="4">
        <f>IF(N(I360)&gt;0,I360,IFERROR(ROUND(_xlfn.NUMBERVALUE(LEFT(G360,FIND(" ",G360&amp;" ")-1),".")*1000,0),99999))</f>
        <v/>
      </c>
      <c r="CN360" s="3">
        <f>IF(R360="profesional",0,IF(O360&lt;CUOTA_VALOR_MAX,IF(BA360&gt;ITP_TRAMO_ALTO,SUMIFS(CF_CUOTA,CF_MAS,ITP_TRAMO_ALTO,CF_CCMIN,"&lt;="&amp;CM360,CF_CCMAX,"&gt;="&amp;CM360),IF(BA360&gt;ITP_TRAMO_BAJO,SUMIFS(CF_CUOTA,CF_MAS,ITP_TRAMO_BAJO,CF_CCMIN,"&lt;="&amp;CM360,CF_CCMAX,"&gt;="&amp;CM360),O360*ITP_TIPO)),O360*ITP_TIPO))</f>
        <v/>
      </c>
      <c r="CO360" s="4">
        <f>IF(R360="profesional",N(AK360),0)</f>
        <v/>
      </c>
      <c r="CP360" s="3">
        <f>IF(AND(R360="profesional",ISNUMBER(AK360),AL360="sí"),0,TASA_DGT)</f>
        <v/>
      </c>
      <c r="CQ360" s="3">
        <f>INFORME_DGT</f>
        <v/>
      </c>
      <c r="CR360" s="4">
        <f>O360+CO360+CN360+CP360+CQ360</f>
        <v/>
      </c>
      <c r="CS360" s="4">
        <f>CR360+N(CF360)</f>
        <v/>
      </c>
      <c r="CT360" s="3">
        <f>IF(CR360&lt;=TOTAL_MAX,"sí",IF(CR360&lt;=TOTAL_MAX+MARGEN_NEG,"negociar","no"))</f>
        <v/>
      </c>
      <c r="CU360" s="4">
        <f>IF(CT360&lt;&gt;"no",COUNTIFS($CT$2:$CT$545,"&lt;&gt;no",$CL$2:$CL$545,"&gt;"&amp;CL360)+COUNTIFS($CT$2:CT360,"&lt;&gt;no",$CL$2:CL360,CL360),"")</f>
        <v/>
      </c>
    </row>
    <row r="361">
      <c r="A361" s="2" t="inlineStr">
        <is>
          <t>cochesnet:71618631</t>
        </is>
      </c>
      <c r="B361" s="2" t="inlineStr">
        <is>
          <t>cochesnet</t>
        </is>
      </c>
      <c r="C361" s="2" t="inlineStr">
        <is>
          <t>https://www.coches.net/dacia-sandero-base-12-75cv-acc-12d-5ra-5p-gasolina-2014-en-valencia-71618631-covo.aspx</t>
        </is>
      </c>
      <c r="D361" s="2" t="inlineStr">
        <is>
          <t>DACIA Sandero Base 1.2 ACC 12D 5RA</t>
        </is>
      </c>
      <c r="E361" s="2" t="inlineStr">
        <is>
          <t>Dacia</t>
        </is>
      </c>
      <c r="F361" s="2" t="inlineStr">
        <is>
          <t>Dacia Sandero</t>
        </is>
      </c>
      <c r="G361" s="2" t="inlineStr">
        <is>
          <t>1.2</t>
        </is>
      </c>
      <c r="H361" s="2" t="inlineStr">
        <is>
          <t>Base 1.2 75cv ACC 12D 5RA</t>
        </is>
      </c>
      <c r="I361" s="2" t="n"/>
      <c r="J361" s="2" t="n">
        <v>75</v>
      </c>
      <c r="K361" s="2" t="inlineStr">
        <is>
          <t>gasolina</t>
        </is>
      </c>
      <c r="L361" s="2" t="inlineStr">
        <is>
          <t>utilitario</t>
        </is>
      </c>
      <c r="M361" s="2" t="n">
        <v>2014</v>
      </c>
      <c r="N361" s="2" t="n">
        <v>148000</v>
      </c>
      <c r="O361" s="2" t="n">
        <v>4900</v>
      </c>
      <c r="P361" s="2" t="inlineStr">
        <is>
          <t>manual</t>
        </is>
      </c>
      <c r="Q361" s="2" t="inlineStr">
        <is>
          <t>no</t>
        </is>
      </c>
      <c r="R361" s="2" t="inlineStr">
        <is>
          <t>particular</t>
        </is>
      </c>
      <c r="S361" s="2" t="inlineStr">
        <is>
          <t>Manuel</t>
        </is>
      </c>
      <c r="T361" s="2" t="inlineStr">
        <is>
          <t>2026-09-28T20:20:56Z</t>
        </is>
      </c>
      <c r="U361" s="2" t="n"/>
      <c r="V361" s="2" t="inlineStr">
        <is>
          <t>sí</t>
        </is>
      </c>
      <c r="W361" s="2" t="n"/>
      <c r="X361" s="2" t="n"/>
      <c r="Y361" s="2" t="n"/>
      <c r="Z361" s="2" t="inlineStr">
        <is>
          <t>no</t>
        </is>
      </c>
      <c r="AA361" s="2" t="n"/>
      <c r="AB361" s="2" t="n"/>
      <c r="AC361" s="2" t="n"/>
      <c r="AD361" s="2" t="n"/>
      <c r="AE361" s="2" t="n"/>
      <c r="AF361" s="2" t="n"/>
      <c r="AG361" s="2" t="n"/>
      <c r="AH361" s="2" t="n">
        <v>4900</v>
      </c>
      <c r="AI361" s="2" t="n"/>
      <c r="AJ361" s="2" t="n"/>
      <c r="AK361" s="2" t="n"/>
      <c r="AL361" s="2" t="n"/>
      <c r="AM361" s="2" t="n">
        <v>47.6</v>
      </c>
      <c r="AN361" s="2" t="n"/>
      <c r="AO361" s="2" t="inlineStr">
        <is>
          <t>2014</t>
        </is>
      </c>
      <c r="AP361" s="2" t="n">
        <v>2014</v>
      </c>
      <c r="AQ361" s="2" t="n"/>
      <c r="AR361" s="2" t="inlineStr">
        <is>
          <t>C</t>
        </is>
      </c>
      <c r="AS361" s="2" t="inlineStr">
        <is>
          <t>anuncio</t>
        </is>
      </c>
      <c r="AT361" s="2" t="n">
        <v>7200</v>
      </c>
      <c r="AU361" s="2" t="n">
        <v>13</v>
      </c>
      <c r="AV361" s="2" t="inlineStr">
        <is>
          <t>modelo+año+km</t>
        </is>
      </c>
      <c r="AW361" s="2" t="n"/>
      <c r="AX361" s="2" t="inlineStr">
        <is>
          <t>por encima del presupuesto (5084 €), negociar; cuota fija ITP: &gt;5 y &lt;=12 años, hasta 1.500 cc</t>
        </is>
      </c>
      <c r="AY361" s="2" t="inlineStr">
        <is>
          <t xml:space="preserve">Vendo dacia sandero en perfecto estado
interior exterior, con ITV en vigor para más detalles por telefono.
Llamar agente sería
</t>
        </is>
      </c>
      <c r="AZ361" s="2" t="inlineStr">
        <is>
          <t>https://www.coches.net/dacia-sandero-base-12-75cv-acc-12d-5ra-5p-gasolina-2014-en-valencia-71618631-covo.aspx (window.__INITIAL_PROPS__.ad) /home/user/Alopecia/buscador-coches/raw/cochesnet/503d211bb3ebc416.json</t>
        </is>
      </c>
      <c r="BA361" s="3">
        <f>MAX(ANIO_ACTUAL-M361,0)</f>
        <v/>
      </c>
      <c r="BB361" s="4">
        <f>N361/MAX(BA361,0.5)</f>
        <v/>
      </c>
      <c r="BC361" s="4">
        <f>F361</f>
        <v/>
      </c>
      <c r="BD361" s="3">
        <f>BC361&amp;"|"&amp;INT(M361/SEG_ANIO)*SEG_ANIO</f>
        <v/>
      </c>
      <c r="BE361" s="3">
        <f>BD361&amp;"|"&amp;INT(N361/SEG_KM)*SEG_KM</f>
        <v/>
      </c>
      <c r="BF361" s="4">
        <f>COUNTIF($BC$2:$BC$545,BC361)</f>
        <v/>
      </c>
      <c r="BG361" s="4">
        <f>COUNTIF($BD$2:$BD$545,BD361)</f>
        <v/>
      </c>
      <c r="BH361" s="4">
        <f>COUNTIF($BE$2:$BE$545,BE361)</f>
        <v/>
      </c>
      <c r="BI361" s="3">
        <f t="array" ref="BI361">IF(N(AU361)&gt;=MIN_N,AT361,IF(BH361&gt;=MIN_N,MEDIAN(IF($BE$2:$BE$545=BE361,$O$2:$O$545)),IF(BG361&gt;=MIN_N,MEDIAN(IF($BD$2:$BD$545=BD361,$O$2:$O$545)),MEDIAN(IF($BC$2:$BC$545=BC361,$O$2:$O$545)))))</f>
        <v/>
      </c>
      <c r="BJ361" s="3">
        <f>IF(N(AU361)&gt;=MIN_N,"mercado "&amp;AV361,IF(BH361&gt;=MIN_N,"modelo+año+km",IF(BG361&gt;=MIN_N,"modelo+año","modelo")))</f>
        <v/>
      </c>
      <c r="BK361" s="4">
        <f>(BI361-O361)/BI361</f>
        <v/>
      </c>
      <c r="BL361" s="3">
        <f>IF(COUNTIFS(FR_FUEL,K361,FR_YEAR,AP361)&gt;0,1,0)</f>
        <v/>
      </c>
      <c r="BM361" s="3">
        <f>IF(COUNTIFS(FR_FUEL,K361,FR_YEAR,AP361-1)&gt;0,1,0)</f>
        <v/>
      </c>
      <c r="BN361" s="4">
        <f>IF(N(AQ361)&gt;0,AP361*100+AQ361,IF(AND(BL361=1,BM361=1),(AP361-1)*100+1,AP361*100+1))</f>
        <v/>
      </c>
      <c r="BO361" s="3">
        <f>IF(OR(K361="hibrido",K361="glp",K361="gnc",K361="phev"),"ECO",IF(K361="electrico","CERO",IF(K361="gasolina",IF(BN361&gt;=GAS_C_YM,"C",IF(BN361&gt;=GAS_B_YM,"B","A")),IF(K361="diesel",IF(BN361&gt;=DIE_C_YM,"C",IF(BN361&gt;=DIE_B_YM,"B","A")),""))))</f>
        <v/>
      </c>
      <c r="BP361" s="2" t="inlineStr">
        <is>
          <t>C</t>
        </is>
      </c>
      <c r="BQ361" s="4">
        <f>IF(AS361="regla",IF(AND(N(AQ361)=0,BL361=1),"sí","no"),"no")</f>
        <v/>
      </c>
      <c r="BR361" s="3">
        <f>IFERROR(VLOOKUP(F361,MOD_TBL,11,0),IFERROR(VLOOKUP(E361,OCU_TBL,2,0),NEUTRO))</f>
        <v/>
      </c>
      <c r="BS361" s="3">
        <f>SUMIFS(MOT_AJUSTE,MOT_MOTOR,G361,MOT_MARCA,E361,MOT_DESDE,"&lt;="&amp;M361,MOT_HASTA,"&gt;="&amp;M361)+SUMIFS(MOT_AJUSTE,MOT_MOTOR,G361,MOT_MARCA,"(todas)",MOT_DESDE,"&lt;="&amp;M361,MOT_HASTA,"&gt;="&amp;M361)</f>
        <v/>
      </c>
      <c r="BT361" s="3">
        <f>SUMIFS(COMB_AJUSTE,COMB_COMB,K361)</f>
        <v/>
      </c>
      <c r="BU361" s="3">
        <f>COUNTIFS(MOT_MOTOR,G361,MOT_MARCA,E361,MOT_DESDE,"&lt;="&amp;M361,MOT_HASTA,"&gt;="&amp;M361)+COUNTIFS(MOT_MOTOR,G361,MOT_MARCA,"(todas)",MOT_DESDE,"&lt;="&amp;M361,MOT_HASTA,"&gt;="&amp;M361)</f>
        <v/>
      </c>
      <c r="BV361" s="3">
        <f>IF(AND(K361="diesel",BU361=0),MIN(BR361,NEUTRO),BR361)</f>
        <v/>
      </c>
      <c r="BW361" s="4">
        <f>MAX(0,MIN(100,BV361+BS361+BT361))</f>
        <v/>
      </c>
      <c r="BX361" s="3">
        <f>MAX(0,MIN(100,50+BK361*PRECIO_PEND))</f>
        <v/>
      </c>
      <c r="BY361" s="3">
        <f>MAX(0,100*(1-N361/KM_MAX))</f>
        <v/>
      </c>
      <c r="BZ361" s="3">
        <f>IF(BB361&lt;KMA_SOSP,IF(AA361="sí",100,KMA_PEN),IF(BB361&lt;=KMA_IDEAL_MAX,100,MAX(0,100*(KMA_CERO-BB361)/(KMA_CERO-KMA_IDEAL_MAX))))</f>
        <v/>
      </c>
      <c r="CA361" s="3">
        <f>MAX(0,MIN(100,100*(M361-ANIO_MIN)/(ANIO_ACTUAL-ANIO_MIN)))</f>
        <v/>
      </c>
      <c r="CB361" s="3">
        <f>W_KMT*BY361+W_KMA*BZ361+W_EDAD*CA361</f>
        <v/>
      </c>
      <c r="CC361" s="3">
        <f>P_ITV*(V361="sí")+P_LIBRO*(W361="sí")+P_CORREA*(X361="sí")+P_PROP*(Y361=1)+P_GAR*(Z361="sí")+P_FOTOS*MIN(1,N(U361)/FOTOS_OBJ)</f>
        <v/>
      </c>
      <c r="CD361" s="3">
        <f>MAX(0,MIN(100,IFERROR(VLOOKUP(BP361,ETQ_TBL,2,0),0)-IF(BQ361="sí",ETQ_PEN_DUD,IF(AS361="regla",ETQ_PEN_REGLA,0))))</f>
        <v/>
      </c>
      <c r="CE361" s="3">
        <f>NEUTRO</f>
        <v/>
      </c>
      <c r="CF361" s="3">
        <f>IFERROR(VLOOKUP(L361,SEGURO_TBL,3,0),"")</f>
        <v/>
      </c>
      <c r="CG361" s="3">
        <f>IF(CF361="",NEUTRO,MAX(0,MIN(100,100*(SEG_REF_MAX-CF361)/(SEG_REF_MAX-SEG_REF_MIN))))</f>
        <v/>
      </c>
      <c r="CH361" s="3">
        <f>W_CONS*CE361+W_SEG*CG361</f>
        <v/>
      </c>
      <c r="CI361" s="3">
        <f>IF(N(AB361)&gt;0,AB361,IF(AND(R361="profesional",SG_LEGAL_ON=1),GAR_LEGAL,0))</f>
        <v/>
      </c>
      <c r="CJ361" s="3">
        <f>SG_GAR*MIN(1,CI361/SG_GAR_FULL)+SG_AMPL*(AC361="sí")+SG_KMC*(AF361="sí")+SG_REV*(N(AE361)&gt;0)+SG_DEV*MIN(1,N(AG361)/SG_DEV_FULL)+SG_HIST*(W361="sí")</f>
        <v/>
      </c>
      <c r="CK361" s="3">
        <f>IFERROR(VLOOKUP(L361,CARR_PEN_TBL,2,0),0)</f>
        <v/>
      </c>
      <c r="CL361" s="3">
        <f>W_FIAB*BW361+W_PRECIO*BX361+W_KMEDAD*CB361+W_ANUNCIO*CC361+W_USO*CH361+W_SEGURIDAD*CJ361+W_ETIQUETA*CD361-CK361</f>
        <v/>
      </c>
      <c r="CM361" s="4">
        <f>IF(N(I361)&gt;0,I361,IFERROR(ROUND(_xlfn.NUMBERVALUE(LEFT(G361,FIND(" ",G361&amp;" ")-1),".")*1000,0),99999))</f>
        <v/>
      </c>
      <c r="CN361" s="3">
        <f>IF(R361="profesional",0,IF(O361&lt;CUOTA_VALOR_MAX,IF(BA361&gt;ITP_TRAMO_ALTO,SUMIFS(CF_CUOTA,CF_MAS,ITP_TRAMO_ALTO,CF_CCMIN,"&lt;="&amp;CM361,CF_CCMAX,"&gt;="&amp;CM361),IF(BA361&gt;ITP_TRAMO_BAJO,SUMIFS(CF_CUOTA,CF_MAS,ITP_TRAMO_BAJO,CF_CCMIN,"&lt;="&amp;CM361,CF_CCMAX,"&gt;="&amp;CM361),O361*ITP_TIPO)),O361*ITP_TIPO))</f>
        <v/>
      </c>
      <c r="CO361" s="4">
        <f>IF(R361="profesional",N(AK361),0)</f>
        <v/>
      </c>
      <c r="CP361" s="3">
        <f>IF(AND(R361="profesional",ISNUMBER(AK361),AL361="sí"),0,TASA_DGT)</f>
        <v/>
      </c>
      <c r="CQ361" s="3">
        <f>INFORME_DGT</f>
        <v/>
      </c>
      <c r="CR361" s="4">
        <f>O361+CO361+CN361+CP361+CQ361</f>
        <v/>
      </c>
      <c r="CS361" s="4">
        <f>CR361+N(CF361)</f>
        <v/>
      </c>
      <c r="CT361" s="3">
        <f>IF(CR361&lt;=TOTAL_MAX,"sí",IF(CR361&lt;=TOTAL_MAX+MARGEN_NEG,"negociar","no"))</f>
        <v/>
      </c>
      <c r="CU361" s="4">
        <f>IF(CT361&lt;&gt;"no",COUNTIFS($CT$2:$CT$545,"&lt;&gt;no",$CL$2:$CL$545,"&gt;"&amp;CL361)+COUNTIFS($CT$2:CT361,"&lt;&gt;no",$CL$2:CL361,CL361),"")</f>
        <v/>
      </c>
    </row>
    <row r="362">
      <c r="A362" s="2" t="inlineStr">
        <is>
          <t>cochesnet:71041099</t>
        </is>
      </c>
      <c r="B362" s="2" t="inlineStr">
        <is>
          <t>cochesnet</t>
        </is>
      </c>
      <c r="C362" s="2" t="inlineStr">
        <is>
          <t>https://www.coches.net/dacia-logan-diesel-2015-en-valencia-71041099-covo.aspx</t>
        </is>
      </c>
      <c r="D362" s="2" t="inlineStr">
        <is>
          <t>DACIA Logan</t>
        </is>
      </c>
      <c r="E362" s="2" t="inlineStr">
        <is>
          <t>Dacia</t>
        </is>
      </c>
      <c r="F362" s="2" t="inlineStr">
        <is>
          <t>Dacia Logan</t>
        </is>
      </c>
      <c r="G362" s="2" t="n"/>
      <c r="H362" s="2" t="n"/>
      <c r="I362" s="2" t="n"/>
      <c r="J362" s="2" t="n"/>
      <c r="K362" s="2" t="inlineStr">
        <is>
          <t>diesel</t>
        </is>
      </c>
      <c r="L362" s="2" t="inlineStr">
        <is>
          <t>berlina</t>
        </is>
      </c>
      <c r="M362" s="2" t="n">
        <v>2015</v>
      </c>
      <c r="N362" s="2" t="n">
        <v>143000</v>
      </c>
      <c r="O362" s="2" t="n">
        <v>5100</v>
      </c>
      <c r="P362" s="2" t="inlineStr">
        <is>
          <t>manual</t>
        </is>
      </c>
      <c r="Q362" s="2" t="inlineStr">
        <is>
          <t>no</t>
        </is>
      </c>
      <c r="R362" s="2" t="inlineStr">
        <is>
          <t>particular</t>
        </is>
      </c>
      <c r="S362" s="2" t="n"/>
      <c r="T362" s="2" t="inlineStr">
        <is>
          <t>2026-07-10T10:02:33Z</t>
        </is>
      </c>
      <c r="U362" s="2" t="n">
        <v>9</v>
      </c>
      <c r="V362" s="2" t="n"/>
      <c r="W362" s="2" t="n"/>
      <c r="X362" s="2" t="n"/>
      <c r="Y362" s="2" t="n"/>
      <c r="Z362" s="2" t="inlineStr">
        <is>
          <t>no</t>
        </is>
      </c>
      <c r="AA362" s="2" t="n"/>
      <c r="AB362" s="2" t="n"/>
      <c r="AC362" s="2" t="n"/>
      <c r="AD362" s="2" t="n"/>
      <c r="AE362" s="2" t="n"/>
      <c r="AF362" s="2" t="n"/>
      <c r="AG362" s="2" t="n"/>
      <c r="AH362" s="2" t="n">
        <v>5100</v>
      </c>
      <c r="AI362" s="2" t="n"/>
      <c r="AJ362" s="2" t="n"/>
      <c r="AK362" s="2" t="n"/>
      <c r="AL362" s="2" t="n"/>
      <c r="AM362" s="2" t="n"/>
      <c r="AN362" s="2" t="n"/>
      <c r="AO362" s="2" t="inlineStr">
        <is>
          <t>2015</t>
        </is>
      </c>
      <c r="AP362" s="2" t="n">
        <v>2015</v>
      </c>
      <c r="AQ362" s="2" t="n"/>
      <c r="AR362" s="2" t="n"/>
      <c r="AS362" s="2" t="inlineStr">
        <is>
          <t>regla</t>
        </is>
      </c>
      <c r="AT362" s="2" t="n"/>
      <c r="AU362" s="2" t="n"/>
      <c r="AV362" s="2" t="n"/>
      <c r="AW362" s="2" t="n"/>
      <c r="AX362" s="2" t="inlineStr">
        <is>
          <t>etiqueta B dudosa: confirmar etiqueta con la DGT antes de comprar; cilindrada desconocida: se aplica el tramo de cuota fija más alto; cuota fija ITP: &gt;5 y &lt;=12 años, más de 2.000 cc; diésel: motor sin fuente de fiabilidad (fiabilidad limitada a neutra); carrocería berlina: -4 puntos; distancia no verificable (el anuncio solo indica la provincia): confirmar que está a &lt;= 70 km</t>
        </is>
      </c>
      <c r="AY362" s="2" t="inlineStr">
        <is>
          <t>Dacia Logan Laureate diésel de octubre del 2015.
A FAVOR:
? 143.000 km. 
? Bola de remolque homologada fija A ESTRENAR! Nunca antes usada, con lo que no ha habido desgaste del coche.
? Ruedas delanteras seminuevas (6 meses).
? Batería de 1 año y medio.
? Freno de mano renovado hace 6 meses.
? ITV para enero de 2027.
? Ha estado aparcado siempre en cochera, no a la intemperie. 
? Amplio maletero. 
EN CONTRA (ya se tiene en cuenta para el precio, que es fijo):
? Faro izquierdo agrietado, pero con luces reglamentarias en perfecto estado (ha pasado la ITV con eso ya 3 veces). 
? Es necesario cambiar el amortiguador delantero y los topes, y el claxon, que solo funciona sin luces puestas. El carenado de los bajos no es imprescindible pero también se puede cambiar porque no está entero.
? Una rejilla de aire está dada de sí.
REGATEOS NO, GRACIAS. Haciendo un cortapega de la información e introduciéndola en cualquier IA se puede comprobar que el precio es razonable y adecuado. CUALQUIER INTENTO DE REGATEO CONLLEVA BLOQUEO. SOLO GENTE SERIA.</t>
        </is>
      </c>
      <c r="AZ362" s="2" t="inlineStr">
        <is>
          <t>https://www.coches.net/dacia-logan-diesel-2015-en-valencia-71041099-covo.aspx (window.__INITIAL_PROPS__.ad) /home/user/Alopecia/buscador-coches/raw/cochesnet/8e4bfadf9133ff19.json</t>
        </is>
      </c>
      <c r="BA362" s="3">
        <f>MAX(ANIO_ACTUAL-M362,0)</f>
        <v/>
      </c>
      <c r="BB362" s="4">
        <f>N362/MAX(BA362,0.5)</f>
        <v/>
      </c>
      <c r="BC362" s="4">
        <f>F362</f>
        <v/>
      </c>
      <c r="BD362" s="3">
        <f>BC362&amp;"|"&amp;INT(M362/SEG_ANIO)*SEG_ANIO</f>
        <v/>
      </c>
      <c r="BE362" s="3">
        <f>BD362&amp;"|"&amp;INT(N362/SEG_KM)*SEG_KM</f>
        <v/>
      </c>
      <c r="BF362" s="4">
        <f>COUNTIF($BC$2:$BC$545,BC362)</f>
        <v/>
      </c>
      <c r="BG362" s="4">
        <f>COUNTIF($BD$2:$BD$545,BD362)</f>
        <v/>
      </c>
      <c r="BH362" s="4">
        <f>COUNTIF($BE$2:$BE$545,BE362)</f>
        <v/>
      </c>
      <c r="BI362" s="3">
        <f t="array" ref="BI362">IF(N(AU362)&gt;=MIN_N,AT362,IF(BH362&gt;=MIN_N,MEDIAN(IF($BE$2:$BE$545=BE362,$O$2:$O$545)),IF(BG362&gt;=MIN_N,MEDIAN(IF($BD$2:$BD$545=BD362,$O$2:$O$545)),MEDIAN(IF($BC$2:$BC$545=BC362,$O$2:$O$545)))))</f>
        <v/>
      </c>
      <c r="BJ362" s="3">
        <f>IF(N(AU362)&gt;=MIN_N,"mercado "&amp;AV362,IF(BH362&gt;=MIN_N,"modelo+año+km",IF(BG362&gt;=MIN_N,"modelo+año","modelo")))</f>
        <v/>
      </c>
      <c r="BK362" s="4">
        <f>(BI362-O362)/BI362</f>
        <v/>
      </c>
      <c r="BL362" s="3">
        <f>IF(COUNTIFS(FR_FUEL,K362,FR_YEAR,AP362)&gt;0,1,0)</f>
        <v/>
      </c>
      <c r="BM362" s="3">
        <f>IF(COUNTIFS(FR_FUEL,K362,FR_YEAR,AP362-1)&gt;0,1,0)</f>
        <v/>
      </c>
      <c r="BN362" s="4">
        <f>IF(N(AQ362)&gt;0,AP362*100+AQ362,IF(AND(BL362=1,BM362=1),(AP362-1)*100+1,AP362*100+1))</f>
        <v/>
      </c>
      <c r="BO362" s="3">
        <f>IF(OR(K362="hibrido",K362="glp",K362="gnc",K362="phev"),"ECO",IF(K362="electrico","CERO",IF(K362="gasolina",IF(BN362&gt;=GAS_C_YM,"C",IF(BN362&gt;=GAS_B_YM,"B","A")),IF(K362="diesel",IF(BN362&gt;=DIE_C_YM,"C",IF(BN362&gt;=DIE_B_YM,"B","A")),""))))</f>
        <v/>
      </c>
      <c r="BP362" s="4">
        <f>BO362</f>
        <v/>
      </c>
      <c r="BQ362" s="4">
        <f>IF(AS362="regla",IF(AND(N(AQ362)=0,BL362=1),"sí","no"),"no")</f>
        <v/>
      </c>
      <c r="BR362" s="3">
        <f>IFERROR(VLOOKUP(F362,MOD_TBL,11,0),IFERROR(VLOOKUP(E362,OCU_TBL,2,0),NEUTRO))</f>
        <v/>
      </c>
      <c r="BS362" s="3">
        <f>SUMIFS(MOT_AJUSTE,MOT_MOTOR,G362,MOT_MARCA,E362,MOT_DESDE,"&lt;="&amp;M362,MOT_HASTA,"&gt;="&amp;M362)+SUMIFS(MOT_AJUSTE,MOT_MOTOR,G362,MOT_MARCA,"(todas)",MOT_DESDE,"&lt;="&amp;M362,MOT_HASTA,"&gt;="&amp;M362)</f>
        <v/>
      </c>
      <c r="BT362" s="3">
        <f>SUMIFS(COMB_AJUSTE,COMB_COMB,K362)</f>
        <v/>
      </c>
      <c r="BU362" s="3">
        <f>COUNTIFS(MOT_MOTOR,G362,MOT_MARCA,E362,MOT_DESDE,"&lt;="&amp;M362,MOT_HASTA,"&gt;="&amp;M362)+COUNTIFS(MOT_MOTOR,G362,MOT_MARCA,"(todas)",MOT_DESDE,"&lt;="&amp;M362,MOT_HASTA,"&gt;="&amp;M362)</f>
        <v/>
      </c>
      <c r="BV362" s="3">
        <f>IF(AND(K362="diesel",BU362=0),MIN(BR362,NEUTRO),BR362)</f>
        <v/>
      </c>
      <c r="BW362" s="4">
        <f>MAX(0,MIN(100,BV362+BS362+BT362))</f>
        <v/>
      </c>
      <c r="BX362" s="3">
        <f>MAX(0,MIN(100,50+BK362*PRECIO_PEND))</f>
        <v/>
      </c>
      <c r="BY362" s="3">
        <f>MAX(0,100*(1-N362/KM_MAX))</f>
        <v/>
      </c>
      <c r="BZ362" s="3">
        <f>IF(BB362&lt;KMA_SOSP,IF(AA362="sí",100,KMA_PEN),IF(BB362&lt;=KMA_IDEAL_MAX,100,MAX(0,100*(KMA_CERO-BB362)/(KMA_CERO-KMA_IDEAL_MAX))))</f>
        <v/>
      </c>
      <c r="CA362" s="3">
        <f>MAX(0,MIN(100,100*(M362-ANIO_MIN)/(ANIO_ACTUAL-ANIO_MIN)))</f>
        <v/>
      </c>
      <c r="CB362" s="3">
        <f>W_KMT*BY362+W_KMA*BZ362+W_EDAD*CA362</f>
        <v/>
      </c>
      <c r="CC362" s="3">
        <f>P_ITV*(V362="sí")+P_LIBRO*(W362="sí")+P_CORREA*(X362="sí")+P_PROP*(Y362=1)+P_GAR*(Z362="sí")+P_FOTOS*MIN(1,N(U362)/FOTOS_OBJ)</f>
        <v/>
      </c>
      <c r="CD362" s="3">
        <f>MAX(0,MIN(100,IFERROR(VLOOKUP(BP362,ETQ_TBL,2,0),0)-IF(BQ362="sí",ETQ_PEN_DUD,IF(AS362="regla",ETQ_PEN_REGLA,0))))</f>
        <v/>
      </c>
      <c r="CE362" s="3">
        <f>NEUTRO</f>
        <v/>
      </c>
      <c r="CF362" s="3">
        <f>IFERROR(VLOOKUP(L362,SEGURO_TBL,3,0),"")</f>
        <v/>
      </c>
      <c r="CG362" s="3">
        <f>IF(CF362="",NEUTRO,MAX(0,MIN(100,100*(SEG_REF_MAX-CF362)/(SEG_REF_MAX-SEG_REF_MIN))))</f>
        <v/>
      </c>
      <c r="CH362" s="3">
        <f>W_CONS*CE362+W_SEG*CG362</f>
        <v/>
      </c>
      <c r="CI362" s="3">
        <f>IF(N(AB362)&gt;0,AB362,IF(AND(R362="profesional",SG_LEGAL_ON=1),GAR_LEGAL,0))</f>
        <v/>
      </c>
      <c r="CJ362" s="3">
        <f>SG_GAR*MIN(1,CI362/SG_GAR_FULL)+SG_AMPL*(AC362="sí")+SG_KMC*(AF362="sí")+SG_REV*(N(AE362)&gt;0)+SG_DEV*MIN(1,N(AG362)/SG_DEV_FULL)+SG_HIST*(W362="sí")</f>
        <v/>
      </c>
      <c r="CK362" s="3">
        <f>IFERROR(VLOOKUP(L362,CARR_PEN_TBL,2,0),0)</f>
        <v/>
      </c>
      <c r="CL362" s="3">
        <f>W_FIAB*BW362+W_PRECIO*BX362+W_KMEDAD*CB362+W_ANUNCIO*CC362+W_USO*CH362+W_SEGURIDAD*CJ362+W_ETIQUETA*CD362-CK362</f>
        <v/>
      </c>
      <c r="CM362" s="4">
        <f>IF(N(I362)&gt;0,I362,IFERROR(ROUND(_xlfn.NUMBERVALUE(LEFT(G362,FIND(" ",G362&amp;" ")-1),".")*1000,0),99999))</f>
        <v/>
      </c>
      <c r="CN362" s="3">
        <f>IF(R362="profesional",0,IF(O362&lt;CUOTA_VALOR_MAX,IF(BA362&gt;ITP_TRAMO_ALTO,SUMIFS(CF_CUOTA,CF_MAS,ITP_TRAMO_ALTO,CF_CCMIN,"&lt;="&amp;CM362,CF_CCMAX,"&gt;="&amp;CM362),IF(BA362&gt;ITP_TRAMO_BAJO,SUMIFS(CF_CUOTA,CF_MAS,ITP_TRAMO_BAJO,CF_CCMIN,"&lt;="&amp;CM362,CF_CCMAX,"&gt;="&amp;CM362),O362*ITP_TIPO)),O362*ITP_TIPO))</f>
        <v/>
      </c>
      <c r="CO362" s="4">
        <f>IF(R362="profesional",N(AK362),0)</f>
        <v/>
      </c>
      <c r="CP362" s="3">
        <f>IF(AND(R362="profesional",ISNUMBER(AK362),AL362="sí"),0,TASA_DGT)</f>
        <v/>
      </c>
      <c r="CQ362" s="3">
        <f>INFORME_DGT</f>
        <v/>
      </c>
      <c r="CR362" s="4">
        <f>O362+CO362+CN362+CP362+CQ362</f>
        <v/>
      </c>
      <c r="CS362" s="4">
        <f>CR362+N(CF362)</f>
        <v/>
      </c>
      <c r="CT362" s="3">
        <f>IF(CR362&lt;=TOTAL_MAX,"sí",IF(CR362&lt;=TOTAL_MAX+MARGEN_NEG,"negociar","no"))</f>
        <v/>
      </c>
      <c r="CU362" s="4">
        <f>IF(CT362&lt;&gt;"no",COUNTIFS($CT$2:$CT$545,"&lt;&gt;no",$CL$2:$CL$545,"&gt;"&amp;CL362)+COUNTIFS($CT$2:CT362,"&lt;&gt;no",$CL$2:CL362,CL362),"")</f>
        <v/>
      </c>
    </row>
    <row r="363">
      <c r="A363" s="2" t="inlineStr">
        <is>
          <t>cochesnet:71267831</t>
        </is>
      </c>
      <c r="B363" s="2" t="inlineStr">
        <is>
          <t>cochesnet</t>
        </is>
      </c>
      <c r="C363" s="2" t="inlineStr">
        <is>
          <t>https://www.coches.net/peugeot-107-10i-urban-3p-gasolina-2006-en-valencia-71267831-covo.aspx</t>
        </is>
      </c>
      <c r="D363" s="2" t="inlineStr">
        <is>
          <t>PEUGEOT 107 1.0i Urban</t>
        </is>
      </c>
      <c r="E363" s="2" t="inlineStr">
        <is>
          <t>Peugeot</t>
        </is>
      </c>
      <c r="F363" s="2" t="inlineStr">
        <is>
          <t>Peugeot 107</t>
        </is>
      </c>
      <c r="G363" s="2" t="inlineStr">
        <is>
          <t>1.0</t>
        </is>
      </c>
      <c r="H363" s="2" t="n"/>
      <c r="I363" s="2" t="n"/>
      <c r="J363" s="2" t="n"/>
      <c r="K363" s="2" t="inlineStr">
        <is>
          <t>gasolina</t>
        </is>
      </c>
      <c r="L363" s="2" t="inlineStr">
        <is>
          <t>utilitario</t>
        </is>
      </c>
      <c r="M363" s="2" t="n">
        <v>2006</v>
      </c>
      <c r="N363" s="2" t="n">
        <v>187000</v>
      </c>
      <c r="O363" s="2" t="n">
        <v>2800</v>
      </c>
      <c r="P363" s="2" t="n"/>
      <c r="Q363" s="2" t="n"/>
      <c r="R363" s="2" t="inlineStr">
        <is>
          <t>particular</t>
        </is>
      </c>
      <c r="S363" s="2" t="inlineStr">
        <is>
          <t>Paterna</t>
        </is>
      </c>
      <c r="T363" s="2" t="inlineStr">
        <is>
          <t>2026-08-10T22:38:44Z</t>
        </is>
      </c>
      <c r="U363" s="2" t="n">
        <v>5</v>
      </c>
      <c r="V363" s="2" t="n"/>
      <c r="W363" s="2" t="n"/>
      <c r="X363" s="2" t="n"/>
      <c r="Y363" s="2" t="n"/>
      <c r="Z363" s="2" t="inlineStr">
        <is>
          <t>no</t>
        </is>
      </c>
      <c r="AA363" s="2" t="n"/>
      <c r="AB363" s="2" t="n"/>
      <c r="AC363" s="2" t="n"/>
      <c r="AD363" s="2" t="n"/>
      <c r="AE363" s="2" t="n"/>
      <c r="AF363" s="2" t="n"/>
      <c r="AG363" s="2" t="n"/>
      <c r="AH363" s="2" t="n">
        <v>2800</v>
      </c>
      <c r="AI363" s="2" t="n"/>
      <c r="AJ363" s="2" t="n"/>
      <c r="AK363" s="2" t="n"/>
      <c r="AL363" s="2" t="n"/>
      <c r="AM363" s="2" t="n"/>
      <c r="AN363" s="2" t="n"/>
      <c r="AO363" s="2" t="inlineStr">
        <is>
          <t>2006</t>
        </is>
      </c>
      <c r="AP363" s="2" t="n">
        <v>2006</v>
      </c>
      <c r="AQ363" s="2" t="n"/>
      <c r="AR363" s="2" t="n"/>
      <c r="AS363" s="2" t="inlineStr">
        <is>
          <t>regla</t>
        </is>
      </c>
      <c r="AT363" s="2" t="n">
        <v>2700</v>
      </c>
      <c r="AU363" s="2" t="n">
        <v>4</v>
      </c>
      <c r="AV363" s="2" t="inlineStr">
        <is>
          <t>modelo+año</t>
        </is>
      </c>
      <c r="AW363" s="2" t="n"/>
      <c r="AX363" s="2" t="inlineStr">
        <is>
          <t>cuota fija ITP: &gt;12 años, hasta 1.500 cc; distancia no verificable (el anuncio solo indica la provincia): confirmar que está a &lt;= 70 km; fiabilidad del modelo PENDIENTE de fuente (puntuación neutra)</t>
        </is>
      </c>
      <c r="AY363" s="2" t="inlineStr"/>
      <c r="AZ363" s="2" t="inlineStr">
        <is>
          <t>https://www.coches.net/peugeot/107/segunda-mano/valencia/ /home/user/Alopecia/buscador-coches/raw/cochesnet/a2167df5e73e487e.json</t>
        </is>
      </c>
      <c r="BA363" s="3">
        <f>MAX(ANIO_ACTUAL-M363,0)</f>
        <v/>
      </c>
      <c r="BB363" s="4">
        <f>N363/MAX(BA363,0.5)</f>
        <v/>
      </c>
      <c r="BC363" s="4">
        <f>F363</f>
        <v/>
      </c>
      <c r="BD363" s="3">
        <f>BC363&amp;"|"&amp;INT(M363/SEG_ANIO)*SEG_ANIO</f>
        <v/>
      </c>
      <c r="BE363" s="3">
        <f>BD363&amp;"|"&amp;INT(N363/SEG_KM)*SEG_KM</f>
        <v/>
      </c>
      <c r="BF363" s="4">
        <f>COUNTIF($BC$2:$BC$545,BC363)</f>
        <v/>
      </c>
      <c r="BG363" s="4">
        <f>COUNTIF($BD$2:$BD$545,BD363)</f>
        <v/>
      </c>
      <c r="BH363" s="4">
        <f>COUNTIF($BE$2:$BE$545,BE363)</f>
        <v/>
      </c>
      <c r="BI363" s="3">
        <f t="array" ref="BI363">IF(N(AU363)&gt;=MIN_N,AT363,IF(BH363&gt;=MIN_N,MEDIAN(IF($BE$2:$BE$545=BE363,$O$2:$O$545)),IF(BG363&gt;=MIN_N,MEDIAN(IF($BD$2:$BD$545=BD363,$O$2:$O$545)),MEDIAN(IF($BC$2:$BC$545=BC363,$O$2:$O$545)))))</f>
        <v/>
      </c>
      <c r="BJ363" s="3">
        <f>IF(N(AU363)&gt;=MIN_N,"mercado "&amp;AV363,IF(BH363&gt;=MIN_N,"modelo+año+km",IF(BG363&gt;=MIN_N,"modelo+año","modelo")))</f>
        <v/>
      </c>
      <c r="BK363" s="4">
        <f>(BI363-O363)/BI363</f>
        <v/>
      </c>
      <c r="BL363" s="3">
        <f>IF(COUNTIFS(FR_FUEL,K363,FR_YEAR,AP363)&gt;0,1,0)</f>
        <v/>
      </c>
      <c r="BM363" s="3">
        <f>IF(COUNTIFS(FR_FUEL,K363,FR_YEAR,AP363-1)&gt;0,1,0)</f>
        <v/>
      </c>
      <c r="BN363" s="4">
        <f>IF(N(AQ363)&gt;0,AP363*100+AQ363,IF(AND(BL363=1,BM363=1),(AP363-1)*100+1,AP363*100+1))</f>
        <v/>
      </c>
      <c r="BO363" s="3">
        <f>IF(OR(K363="hibrido",K363="glp",K363="gnc",K363="phev"),"ECO",IF(K363="electrico","CERO",IF(K363="gasolina",IF(BN363&gt;=GAS_C_YM,"C",IF(BN363&gt;=GAS_B_YM,"B","A")),IF(K363="diesel",IF(BN363&gt;=DIE_C_YM,"C",IF(BN363&gt;=DIE_B_YM,"B","A")),""))))</f>
        <v/>
      </c>
      <c r="BP363" s="4">
        <f>BO363</f>
        <v/>
      </c>
      <c r="BQ363" s="4">
        <f>IF(AS363="regla",IF(AND(N(AQ363)=0,BL363=1),"sí","no"),"no")</f>
        <v/>
      </c>
      <c r="BR363" s="3">
        <f>IFERROR(VLOOKUP(F363,MOD_TBL,11,0),IFERROR(VLOOKUP(E363,OCU_TBL,2,0),NEUTRO))</f>
        <v/>
      </c>
      <c r="BS363" s="3">
        <f>SUMIFS(MOT_AJUSTE,MOT_MOTOR,G363,MOT_MARCA,E363,MOT_DESDE,"&lt;="&amp;M363,MOT_HASTA,"&gt;="&amp;M363)+SUMIFS(MOT_AJUSTE,MOT_MOTOR,G363,MOT_MARCA,"(todas)",MOT_DESDE,"&lt;="&amp;M363,MOT_HASTA,"&gt;="&amp;M363)</f>
        <v/>
      </c>
      <c r="BT363" s="3">
        <f>SUMIFS(COMB_AJUSTE,COMB_COMB,K363)</f>
        <v/>
      </c>
      <c r="BU363" s="3">
        <f>COUNTIFS(MOT_MOTOR,G363,MOT_MARCA,E363,MOT_DESDE,"&lt;="&amp;M363,MOT_HASTA,"&gt;="&amp;M363)+COUNTIFS(MOT_MOTOR,G363,MOT_MARCA,"(todas)",MOT_DESDE,"&lt;="&amp;M363,MOT_HASTA,"&gt;="&amp;M363)</f>
        <v/>
      </c>
      <c r="BV363" s="3">
        <f>IF(AND(K363="diesel",BU363=0),MIN(BR363,NEUTRO),BR363)</f>
        <v/>
      </c>
      <c r="BW363" s="4">
        <f>MAX(0,MIN(100,BV363+BS363+BT363))</f>
        <v/>
      </c>
      <c r="BX363" s="3">
        <f>MAX(0,MIN(100,50+BK363*PRECIO_PEND))</f>
        <v/>
      </c>
      <c r="BY363" s="3">
        <f>MAX(0,100*(1-N363/KM_MAX))</f>
        <v/>
      </c>
      <c r="BZ363" s="3">
        <f>IF(BB363&lt;KMA_SOSP,IF(AA363="sí",100,KMA_PEN),IF(BB363&lt;=KMA_IDEAL_MAX,100,MAX(0,100*(KMA_CERO-BB363)/(KMA_CERO-KMA_IDEAL_MAX))))</f>
        <v/>
      </c>
      <c r="CA363" s="3">
        <f>MAX(0,MIN(100,100*(M363-ANIO_MIN)/(ANIO_ACTUAL-ANIO_MIN)))</f>
        <v/>
      </c>
      <c r="CB363" s="3">
        <f>W_KMT*BY363+W_KMA*BZ363+W_EDAD*CA363</f>
        <v/>
      </c>
      <c r="CC363" s="3">
        <f>P_ITV*(V363="sí")+P_LIBRO*(W363="sí")+P_CORREA*(X363="sí")+P_PROP*(Y363=1)+P_GAR*(Z363="sí")+P_FOTOS*MIN(1,N(U363)/FOTOS_OBJ)</f>
        <v/>
      </c>
      <c r="CD363" s="3">
        <f>MAX(0,MIN(100,IFERROR(VLOOKUP(BP363,ETQ_TBL,2,0),0)-IF(BQ363="sí",ETQ_PEN_DUD,IF(AS363="regla",ETQ_PEN_REGLA,0))))</f>
        <v/>
      </c>
      <c r="CE363" s="3">
        <f>NEUTRO</f>
        <v/>
      </c>
      <c r="CF363" s="3">
        <f>IFERROR(VLOOKUP(L363,SEGURO_TBL,3,0),"")</f>
        <v/>
      </c>
      <c r="CG363" s="3">
        <f>IF(CF363="",NEUTRO,MAX(0,MIN(100,100*(SEG_REF_MAX-CF363)/(SEG_REF_MAX-SEG_REF_MIN))))</f>
        <v/>
      </c>
      <c r="CH363" s="3">
        <f>W_CONS*CE363+W_SEG*CG363</f>
        <v/>
      </c>
      <c r="CI363" s="3">
        <f>IF(N(AB363)&gt;0,AB363,IF(AND(R363="profesional",SG_LEGAL_ON=1),GAR_LEGAL,0))</f>
        <v/>
      </c>
      <c r="CJ363" s="3">
        <f>SG_GAR*MIN(1,CI363/SG_GAR_FULL)+SG_AMPL*(AC363="sí")+SG_KMC*(AF363="sí")+SG_REV*(N(AE363)&gt;0)+SG_DEV*MIN(1,N(AG363)/SG_DEV_FULL)+SG_HIST*(W363="sí")</f>
        <v/>
      </c>
      <c r="CK363" s="3">
        <f>IFERROR(VLOOKUP(L363,CARR_PEN_TBL,2,0),0)</f>
        <v/>
      </c>
      <c r="CL363" s="3">
        <f>W_FIAB*BW363+W_PRECIO*BX363+W_KMEDAD*CB363+W_ANUNCIO*CC363+W_USO*CH363+W_SEGURIDAD*CJ363+W_ETIQUETA*CD363-CK363</f>
        <v/>
      </c>
      <c r="CM363" s="4">
        <f>IF(N(I363)&gt;0,I363,IFERROR(ROUND(_xlfn.NUMBERVALUE(LEFT(G363,FIND(" ",G363&amp;" ")-1),".")*1000,0),99999))</f>
        <v/>
      </c>
      <c r="CN363" s="3">
        <f>IF(R363="profesional",0,IF(O363&lt;CUOTA_VALOR_MAX,IF(BA363&gt;ITP_TRAMO_ALTO,SUMIFS(CF_CUOTA,CF_MAS,ITP_TRAMO_ALTO,CF_CCMIN,"&lt;="&amp;CM363,CF_CCMAX,"&gt;="&amp;CM363),IF(BA363&gt;ITP_TRAMO_BAJO,SUMIFS(CF_CUOTA,CF_MAS,ITP_TRAMO_BAJO,CF_CCMIN,"&lt;="&amp;CM363,CF_CCMAX,"&gt;="&amp;CM363),O363*ITP_TIPO)),O363*ITP_TIPO))</f>
        <v/>
      </c>
      <c r="CO363" s="4">
        <f>IF(R363="profesional",N(AK363),0)</f>
        <v/>
      </c>
      <c r="CP363" s="3">
        <f>IF(AND(R363="profesional",ISNUMBER(AK363),AL363="sí"),0,TASA_DGT)</f>
        <v/>
      </c>
      <c r="CQ363" s="3">
        <f>INFORME_DGT</f>
        <v/>
      </c>
      <c r="CR363" s="4">
        <f>O363+CO363+CN363+CP363+CQ363</f>
        <v/>
      </c>
      <c r="CS363" s="4">
        <f>CR363+N(CF363)</f>
        <v/>
      </c>
      <c r="CT363" s="3">
        <f>IF(CR363&lt;=TOTAL_MAX,"sí",IF(CR363&lt;=TOTAL_MAX+MARGEN_NEG,"negociar","no"))</f>
        <v/>
      </c>
      <c r="CU363" s="4">
        <f>IF(CT363&lt;&gt;"no",COUNTIFS($CT$2:$CT$545,"&lt;&gt;no",$CL$2:$CL$545,"&gt;"&amp;CL363)+COUNTIFS($CT$2:CT363,"&lt;&gt;no",$CL$2:CL363,CL363),"")</f>
        <v/>
      </c>
    </row>
    <row r="364">
      <c r="A364" s="2" t="inlineStr">
        <is>
          <t>cochesnet:71267111</t>
        </is>
      </c>
      <c r="B364" s="2" t="inlineStr">
        <is>
          <t>cochesnet</t>
        </is>
      </c>
      <c r="C364" s="2" t="inlineStr">
        <is>
          <t>https://www.coches.net/peugeot-107-gasolina-2006-en-valencia-71267111-covo.aspx</t>
        </is>
      </c>
      <c r="D364" s="2" t="inlineStr">
        <is>
          <t>PEUGEOT 107</t>
        </is>
      </c>
      <c r="E364" s="2" t="inlineStr">
        <is>
          <t>Peugeot</t>
        </is>
      </c>
      <c r="F364" s="2" t="inlineStr">
        <is>
          <t>Peugeot 107</t>
        </is>
      </c>
      <c r="G364" s="2" t="n"/>
      <c r="H364" s="2" t="n"/>
      <c r="I364" s="2" t="n"/>
      <c r="J364" s="2" t="n"/>
      <c r="K364" s="2" t="inlineStr">
        <is>
          <t>gasolina</t>
        </is>
      </c>
      <c r="L364" s="2" t="inlineStr">
        <is>
          <t>utilitario</t>
        </is>
      </c>
      <c r="M364" s="2" t="n">
        <v>2006</v>
      </c>
      <c r="N364" s="2" t="n">
        <v>187000</v>
      </c>
      <c r="O364" s="2" t="n">
        <v>2600</v>
      </c>
      <c r="P364" s="2" t="inlineStr">
        <is>
          <t>manual</t>
        </is>
      </c>
      <c r="Q364" s="2" t="inlineStr">
        <is>
          <t>no</t>
        </is>
      </c>
      <c r="R364" s="2" t="inlineStr">
        <is>
          <t>particular</t>
        </is>
      </c>
      <c r="S364" s="2" t="n"/>
      <c r="T364" s="2" t="inlineStr">
        <is>
          <t>2026-08-10T16:32:59Z</t>
        </is>
      </c>
      <c r="U364" s="2" t="n">
        <v>5</v>
      </c>
      <c r="V364" s="2" t="inlineStr">
        <is>
          <t>sí</t>
        </is>
      </c>
      <c r="W364" s="2" t="n"/>
      <c r="X364" s="2" t="n"/>
      <c r="Y364" s="2" t="n"/>
      <c r="Z364" s="2" t="inlineStr">
        <is>
          <t>no</t>
        </is>
      </c>
      <c r="AA364" s="2" t="n"/>
      <c r="AB364" s="2" t="n"/>
      <c r="AC364" s="2" t="n"/>
      <c r="AD364" s="2" t="n"/>
      <c r="AE364" s="2" t="n"/>
      <c r="AF364" s="2" t="n"/>
      <c r="AG364" s="2" t="n"/>
      <c r="AH364" s="2" t="n">
        <v>2600</v>
      </c>
      <c r="AI364" s="2" t="n"/>
      <c r="AJ364" s="2" t="n"/>
      <c r="AK364" s="2" t="n"/>
      <c r="AL364" s="2" t="n"/>
      <c r="AM364" s="2" t="n"/>
      <c r="AN364" s="2" t="n"/>
      <c r="AO364" s="2" t="inlineStr">
        <is>
          <t>2006</t>
        </is>
      </c>
      <c r="AP364" s="2" t="n">
        <v>2006</v>
      </c>
      <c r="AQ364" s="2" t="n"/>
      <c r="AR364" s="2" t="n"/>
      <c r="AS364" s="2" t="inlineStr">
        <is>
          <t>regla</t>
        </is>
      </c>
      <c r="AT364" s="2" t="n">
        <v>2700</v>
      </c>
      <c r="AU364" s="2" t="n">
        <v>4</v>
      </c>
      <c r="AV364" s="2" t="inlineStr">
        <is>
          <t>modelo+año</t>
        </is>
      </c>
      <c r="AW364" s="2" t="n"/>
      <c r="AX364"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364" s="2" t="inlineStr">
        <is>
          <t>?? Peugeot 107 1.0 gasolina – 2006
- los 4 neumaticos puestos nuevos.
- Rodamientos nuevos.
- Embrague nuevo. 
2.600€
ITV pasada en Mayo 2026
Peugeot 107 1.0 gasolina, 187.000 km.
? ITV pasada en mayo de 2026
? Aire acondicionado
? 3 puertas
? Motor gasolina.
? Ideal para ciudad y fácil de aparcar</t>
        </is>
      </c>
      <c r="AZ364" s="2" t="inlineStr">
        <is>
          <t>https://www.coches.net/peugeot-107-gasolina-2006-en-valencia-71267111-covo.aspx (window.__INITIAL_PROPS__.ad) /home/user/Alopecia/buscador-coches/raw/cochesnet/4a7fd0a63d265124.json</t>
        </is>
      </c>
      <c r="BA364" s="3">
        <f>MAX(ANIO_ACTUAL-M364,0)</f>
        <v/>
      </c>
      <c r="BB364" s="4">
        <f>N364/MAX(BA364,0.5)</f>
        <v/>
      </c>
      <c r="BC364" s="4">
        <f>F364</f>
        <v/>
      </c>
      <c r="BD364" s="3">
        <f>BC364&amp;"|"&amp;INT(M364/SEG_ANIO)*SEG_ANIO</f>
        <v/>
      </c>
      <c r="BE364" s="3">
        <f>BD364&amp;"|"&amp;INT(N364/SEG_KM)*SEG_KM</f>
        <v/>
      </c>
      <c r="BF364" s="4">
        <f>COUNTIF($BC$2:$BC$545,BC364)</f>
        <v/>
      </c>
      <c r="BG364" s="4">
        <f>COUNTIF($BD$2:$BD$545,BD364)</f>
        <v/>
      </c>
      <c r="BH364" s="4">
        <f>COUNTIF($BE$2:$BE$545,BE364)</f>
        <v/>
      </c>
      <c r="BI364" s="3">
        <f t="array" ref="BI364">IF(N(AU364)&gt;=MIN_N,AT364,IF(BH364&gt;=MIN_N,MEDIAN(IF($BE$2:$BE$545=BE364,$O$2:$O$545)),IF(BG364&gt;=MIN_N,MEDIAN(IF($BD$2:$BD$545=BD364,$O$2:$O$545)),MEDIAN(IF($BC$2:$BC$545=BC364,$O$2:$O$545)))))</f>
        <v/>
      </c>
      <c r="BJ364" s="3">
        <f>IF(N(AU364)&gt;=MIN_N,"mercado "&amp;AV364,IF(BH364&gt;=MIN_N,"modelo+año+km",IF(BG364&gt;=MIN_N,"modelo+año","modelo")))</f>
        <v/>
      </c>
      <c r="BK364" s="4">
        <f>(BI364-O364)/BI364</f>
        <v/>
      </c>
      <c r="BL364" s="3">
        <f>IF(COUNTIFS(FR_FUEL,K364,FR_YEAR,AP364)&gt;0,1,0)</f>
        <v/>
      </c>
      <c r="BM364" s="3">
        <f>IF(COUNTIFS(FR_FUEL,K364,FR_YEAR,AP364-1)&gt;0,1,0)</f>
        <v/>
      </c>
      <c r="BN364" s="4">
        <f>IF(N(AQ364)&gt;0,AP364*100+AQ364,IF(AND(BL364=1,BM364=1),(AP364-1)*100+1,AP364*100+1))</f>
        <v/>
      </c>
      <c r="BO364" s="3">
        <f>IF(OR(K364="hibrido",K364="glp",K364="gnc",K364="phev"),"ECO",IF(K364="electrico","CERO",IF(K364="gasolina",IF(BN364&gt;=GAS_C_YM,"C",IF(BN364&gt;=GAS_B_YM,"B","A")),IF(K364="diesel",IF(BN364&gt;=DIE_C_YM,"C",IF(BN364&gt;=DIE_B_YM,"B","A")),""))))</f>
        <v/>
      </c>
      <c r="BP364" s="4">
        <f>BO364</f>
        <v/>
      </c>
      <c r="BQ364" s="4">
        <f>IF(AS364="regla",IF(AND(N(AQ364)=0,BL364=1),"sí","no"),"no")</f>
        <v/>
      </c>
      <c r="BR364" s="3">
        <f>IFERROR(VLOOKUP(F364,MOD_TBL,11,0),IFERROR(VLOOKUP(E364,OCU_TBL,2,0),NEUTRO))</f>
        <v/>
      </c>
      <c r="BS364" s="3">
        <f>SUMIFS(MOT_AJUSTE,MOT_MOTOR,G364,MOT_MARCA,E364,MOT_DESDE,"&lt;="&amp;M364,MOT_HASTA,"&gt;="&amp;M364)+SUMIFS(MOT_AJUSTE,MOT_MOTOR,G364,MOT_MARCA,"(todas)",MOT_DESDE,"&lt;="&amp;M364,MOT_HASTA,"&gt;="&amp;M364)</f>
        <v/>
      </c>
      <c r="BT364" s="3">
        <f>SUMIFS(COMB_AJUSTE,COMB_COMB,K364)</f>
        <v/>
      </c>
      <c r="BU364" s="3">
        <f>COUNTIFS(MOT_MOTOR,G364,MOT_MARCA,E364,MOT_DESDE,"&lt;="&amp;M364,MOT_HASTA,"&gt;="&amp;M364)+COUNTIFS(MOT_MOTOR,G364,MOT_MARCA,"(todas)",MOT_DESDE,"&lt;="&amp;M364,MOT_HASTA,"&gt;="&amp;M364)</f>
        <v/>
      </c>
      <c r="BV364" s="3">
        <f>IF(AND(K364="diesel",BU364=0),MIN(BR364,NEUTRO),BR364)</f>
        <v/>
      </c>
      <c r="BW364" s="4">
        <f>MAX(0,MIN(100,BV364+BS364+BT364))</f>
        <v/>
      </c>
      <c r="BX364" s="3">
        <f>MAX(0,MIN(100,50+BK364*PRECIO_PEND))</f>
        <v/>
      </c>
      <c r="BY364" s="3">
        <f>MAX(0,100*(1-N364/KM_MAX))</f>
        <v/>
      </c>
      <c r="BZ364" s="3">
        <f>IF(BB364&lt;KMA_SOSP,IF(AA364="sí",100,KMA_PEN),IF(BB364&lt;=KMA_IDEAL_MAX,100,MAX(0,100*(KMA_CERO-BB364)/(KMA_CERO-KMA_IDEAL_MAX))))</f>
        <v/>
      </c>
      <c r="CA364" s="3">
        <f>MAX(0,MIN(100,100*(M364-ANIO_MIN)/(ANIO_ACTUAL-ANIO_MIN)))</f>
        <v/>
      </c>
      <c r="CB364" s="3">
        <f>W_KMT*BY364+W_KMA*BZ364+W_EDAD*CA364</f>
        <v/>
      </c>
      <c r="CC364" s="3">
        <f>P_ITV*(V364="sí")+P_LIBRO*(W364="sí")+P_CORREA*(X364="sí")+P_PROP*(Y364=1)+P_GAR*(Z364="sí")+P_FOTOS*MIN(1,N(U364)/FOTOS_OBJ)</f>
        <v/>
      </c>
      <c r="CD364" s="3">
        <f>MAX(0,MIN(100,IFERROR(VLOOKUP(BP364,ETQ_TBL,2,0),0)-IF(BQ364="sí",ETQ_PEN_DUD,IF(AS364="regla",ETQ_PEN_REGLA,0))))</f>
        <v/>
      </c>
      <c r="CE364" s="3">
        <f>NEUTRO</f>
        <v/>
      </c>
      <c r="CF364" s="3">
        <f>IFERROR(VLOOKUP(L364,SEGURO_TBL,3,0),"")</f>
        <v/>
      </c>
      <c r="CG364" s="3">
        <f>IF(CF364="",NEUTRO,MAX(0,MIN(100,100*(SEG_REF_MAX-CF364)/(SEG_REF_MAX-SEG_REF_MIN))))</f>
        <v/>
      </c>
      <c r="CH364" s="3">
        <f>W_CONS*CE364+W_SEG*CG364</f>
        <v/>
      </c>
      <c r="CI364" s="3">
        <f>IF(N(AB364)&gt;0,AB364,IF(AND(R364="profesional",SG_LEGAL_ON=1),GAR_LEGAL,0))</f>
        <v/>
      </c>
      <c r="CJ364" s="3">
        <f>SG_GAR*MIN(1,CI364/SG_GAR_FULL)+SG_AMPL*(AC364="sí")+SG_KMC*(AF364="sí")+SG_REV*(N(AE364)&gt;0)+SG_DEV*MIN(1,N(AG364)/SG_DEV_FULL)+SG_HIST*(W364="sí")</f>
        <v/>
      </c>
      <c r="CK364" s="3">
        <f>IFERROR(VLOOKUP(L364,CARR_PEN_TBL,2,0),0)</f>
        <v/>
      </c>
      <c r="CL364" s="3">
        <f>W_FIAB*BW364+W_PRECIO*BX364+W_KMEDAD*CB364+W_ANUNCIO*CC364+W_USO*CH364+W_SEGURIDAD*CJ364+W_ETIQUETA*CD364-CK364</f>
        <v/>
      </c>
      <c r="CM364" s="4">
        <f>IF(N(I364)&gt;0,I364,IFERROR(ROUND(_xlfn.NUMBERVALUE(LEFT(G364,FIND(" ",G364&amp;" ")-1),".")*1000,0),99999))</f>
        <v/>
      </c>
      <c r="CN364" s="3">
        <f>IF(R364="profesional",0,IF(O364&lt;CUOTA_VALOR_MAX,IF(BA364&gt;ITP_TRAMO_ALTO,SUMIFS(CF_CUOTA,CF_MAS,ITP_TRAMO_ALTO,CF_CCMIN,"&lt;="&amp;CM364,CF_CCMAX,"&gt;="&amp;CM364),IF(BA364&gt;ITP_TRAMO_BAJO,SUMIFS(CF_CUOTA,CF_MAS,ITP_TRAMO_BAJO,CF_CCMIN,"&lt;="&amp;CM364,CF_CCMAX,"&gt;="&amp;CM364),O364*ITP_TIPO)),O364*ITP_TIPO))</f>
        <v/>
      </c>
      <c r="CO364" s="4">
        <f>IF(R364="profesional",N(AK364),0)</f>
        <v/>
      </c>
      <c r="CP364" s="3">
        <f>IF(AND(R364="profesional",ISNUMBER(AK364),AL364="sí"),0,TASA_DGT)</f>
        <v/>
      </c>
      <c r="CQ364" s="3">
        <f>INFORME_DGT</f>
        <v/>
      </c>
      <c r="CR364" s="4">
        <f>O364+CO364+CN364+CP364+CQ364</f>
        <v/>
      </c>
      <c r="CS364" s="4">
        <f>CR364+N(CF364)</f>
        <v/>
      </c>
      <c r="CT364" s="3">
        <f>IF(CR364&lt;=TOTAL_MAX,"sí",IF(CR364&lt;=TOTAL_MAX+MARGEN_NEG,"negociar","no"))</f>
        <v/>
      </c>
      <c r="CU364" s="4">
        <f>IF(CT364&lt;&gt;"no",COUNTIFS($CT$2:$CT$545,"&lt;&gt;no",$CL$2:$CL$545,"&gt;"&amp;CL364)+COUNTIFS($CT$2:CT364,"&lt;&gt;no",$CL$2:CL364,CL364),"")</f>
        <v/>
      </c>
    </row>
    <row r="365">
      <c r="A365" s="2" t="inlineStr">
        <is>
          <t>cochesnet:71858806</t>
        </is>
      </c>
      <c r="B365" s="2" t="inlineStr">
        <is>
          <t>cochesnet</t>
        </is>
      </c>
      <c r="C365" s="2" t="inlineStr">
        <is>
          <t>https://www.coches.net/peugeot-207-confort-14-vti-16v-95-5p-gasolina-2008-en-valencia-71858806-covo.aspx</t>
        </is>
      </c>
      <c r="D365" s="2" t="inlineStr">
        <is>
          <t>PEUGEOT 207 Confort 1.4 VTi 16v 95</t>
        </is>
      </c>
      <c r="E365" s="2" t="inlineStr">
        <is>
          <t>Peugeot</t>
        </is>
      </c>
      <c r="F365" s="2" t="inlineStr">
        <is>
          <t>Peugeot 207</t>
        </is>
      </c>
      <c r="G365" s="2" t="inlineStr">
        <is>
          <t>1.4 VTi</t>
        </is>
      </c>
      <c r="H365" s="2" t="inlineStr">
        <is>
          <t>Confort 1.4 VTi 16v 95</t>
        </is>
      </c>
      <c r="I365" s="2" t="n"/>
      <c r="J365" s="2" t="n"/>
      <c r="K365" s="2" t="inlineStr">
        <is>
          <t>gasolina</t>
        </is>
      </c>
      <c r="L365" s="2" t="inlineStr">
        <is>
          <t>utilitario</t>
        </is>
      </c>
      <c r="M365" s="2" t="n">
        <v>2007</v>
      </c>
      <c r="N365" s="2" t="n">
        <v>144000</v>
      </c>
      <c r="O365" s="2" t="n">
        <v>3500</v>
      </c>
      <c r="P365" s="2" t="inlineStr">
        <is>
          <t>manual</t>
        </is>
      </c>
      <c r="Q365" s="2" t="inlineStr">
        <is>
          <t>no</t>
        </is>
      </c>
      <c r="R365" s="2" t="inlineStr">
        <is>
          <t>profesional</t>
        </is>
      </c>
      <c r="S365" s="2" t="inlineStr">
        <is>
          <t>AUTOMOVILES CASTILLO PEPE Manises</t>
        </is>
      </c>
      <c r="T365" s="2" t="inlineStr">
        <is>
          <t>2026-10-29T09:24:27Z</t>
        </is>
      </c>
      <c r="U365" s="2" t="n">
        <v>14</v>
      </c>
      <c r="V365" s="2" t="inlineStr">
        <is>
          <t>sí</t>
        </is>
      </c>
      <c r="W365" s="2" t="n"/>
      <c r="X365" s="2" t="inlineStr">
        <is>
          <t>sí</t>
        </is>
      </c>
      <c r="Y365" s="2" t="n"/>
      <c r="Z365" s="2" t="inlineStr">
        <is>
          <t>sí</t>
        </is>
      </c>
      <c r="AA365" s="2" t="n"/>
      <c r="AB365" s="2" t="n">
        <v>12</v>
      </c>
      <c r="AC365" s="2" t="n"/>
      <c r="AD365" s="2" t="n"/>
      <c r="AE365" s="2" t="n"/>
      <c r="AF365" s="2" t="inlineStr">
        <is>
          <t>sí</t>
        </is>
      </c>
      <c r="AG365" s="2" t="n"/>
      <c r="AH365" s="2" t="n">
        <v>3500</v>
      </c>
      <c r="AI365" s="2" t="n">
        <v>3500</v>
      </c>
      <c r="AJ365" s="2" t="n"/>
      <c r="AK365" s="2" t="n"/>
      <c r="AL365" s="2" t="n"/>
      <c r="AM365" s="2" t="n">
        <v>8.1</v>
      </c>
      <c r="AN365" s="2" t="n"/>
      <c r="AO365" s="2" t="inlineStr">
        <is>
          <t>2007</t>
        </is>
      </c>
      <c r="AP365" s="2" t="n">
        <v>2007</v>
      </c>
      <c r="AQ365" s="2" t="n"/>
      <c r="AR365" s="2" t="inlineStr">
        <is>
          <t>C</t>
        </is>
      </c>
      <c r="AS365" s="2" t="inlineStr">
        <is>
          <t>anuncio</t>
        </is>
      </c>
      <c r="AT365" s="2" t="n">
        <v>3550</v>
      </c>
      <c r="AU365" s="2" t="n">
        <v>30</v>
      </c>
      <c r="AV365" s="2" t="inlineStr">
        <is>
          <t>modelo+año+km</t>
        </is>
      </c>
      <c r="AW365" s="2" t="n"/>
      <c r="AX365" s="2" t="inlineStr">
        <is>
          <t>vendedor profesional: sin ITP (operación con IVA/REBU, confirmar en factura); gastos de gestión del vendedor no indicados: se suma la tasa DGT; preguntar el precio final; fiabilidad del modelo PENDIENTE de fuente (puntuación neutra)</t>
        </is>
      </c>
      <c r="AY365"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RADIO NUEVA CON BLUETOOTH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Z365" s="2" t="inlineStr">
        <is>
          <t>https://www.coches.net/peugeot-207-confort-14-vti-16v-95-5p-gasolina-2008-en-valencia-71858806-covo.aspx (window.__INITIAL_PROPS__.ad) /home/user/Alopecia/buscador-coches/raw/cochesnet/af75c6dc563ab5a6.json</t>
        </is>
      </c>
      <c r="BA365" s="3">
        <f>MAX(ANIO_ACTUAL-M365,0)</f>
        <v/>
      </c>
      <c r="BB365" s="4">
        <f>N365/MAX(BA365,0.5)</f>
        <v/>
      </c>
      <c r="BC365" s="4">
        <f>F365</f>
        <v/>
      </c>
      <c r="BD365" s="3">
        <f>BC365&amp;"|"&amp;INT(M365/SEG_ANIO)*SEG_ANIO</f>
        <v/>
      </c>
      <c r="BE365" s="3">
        <f>BD365&amp;"|"&amp;INT(N365/SEG_KM)*SEG_KM</f>
        <v/>
      </c>
      <c r="BF365" s="4">
        <f>COUNTIF($BC$2:$BC$545,BC365)</f>
        <v/>
      </c>
      <c r="BG365" s="4">
        <f>COUNTIF($BD$2:$BD$545,BD365)</f>
        <v/>
      </c>
      <c r="BH365" s="4">
        <f>COUNTIF($BE$2:$BE$545,BE365)</f>
        <v/>
      </c>
      <c r="BI365" s="3">
        <f t="array" ref="BI365">IF(N(AU365)&gt;=MIN_N,AT365,IF(BH365&gt;=MIN_N,MEDIAN(IF($BE$2:$BE$545=BE365,$O$2:$O$545)),IF(BG365&gt;=MIN_N,MEDIAN(IF($BD$2:$BD$545=BD365,$O$2:$O$545)),MEDIAN(IF($BC$2:$BC$545=BC365,$O$2:$O$545)))))</f>
        <v/>
      </c>
      <c r="BJ365" s="3">
        <f>IF(N(AU365)&gt;=MIN_N,"mercado "&amp;AV365,IF(BH365&gt;=MIN_N,"modelo+año+km",IF(BG365&gt;=MIN_N,"modelo+año","modelo")))</f>
        <v/>
      </c>
      <c r="BK365" s="4">
        <f>(BI365-O365)/BI365</f>
        <v/>
      </c>
      <c r="BL365" s="3">
        <f>IF(COUNTIFS(FR_FUEL,K365,FR_YEAR,AP365)&gt;0,1,0)</f>
        <v/>
      </c>
      <c r="BM365" s="3">
        <f>IF(COUNTIFS(FR_FUEL,K365,FR_YEAR,AP365-1)&gt;0,1,0)</f>
        <v/>
      </c>
      <c r="BN365" s="4">
        <f>IF(N(AQ365)&gt;0,AP365*100+AQ365,IF(AND(BL365=1,BM365=1),(AP365-1)*100+1,AP365*100+1))</f>
        <v/>
      </c>
      <c r="BO365" s="3">
        <f>IF(OR(K365="hibrido",K365="glp",K365="gnc",K365="phev"),"ECO",IF(K365="electrico","CERO",IF(K365="gasolina",IF(BN365&gt;=GAS_C_YM,"C",IF(BN365&gt;=GAS_B_YM,"B","A")),IF(K365="diesel",IF(BN365&gt;=DIE_C_YM,"C",IF(BN365&gt;=DIE_B_YM,"B","A")),""))))</f>
        <v/>
      </c>
      <c r="BP365" s="2" t="inlineStr">
        <is>
          <t>C</t>
        </is>
      </c>
      <c r="BQ365" s="4">
        <f>IF(AS365="regla",IF(AND(N(AQ365)=0,BL365=1),"sí","no"),"no")</f>
        <v/>
      </c>
      <c r="BR365" s="3">
        <f>IFERROR(VLOOKUP(F365,MOD_TBL,11,0),IFERROR(VLOOKUP(E365,OCU_TBL,2,0),NEUTRO))</f>
        <v/>
      </c>
      <c r="BS365" s="3">
        <f>SUMIFS(MOT_AJUSTE,MOT_MOTOR,G365,MOT_MARCA,E365,MOT_DESDE,"&lt;="&amp;M365,MOT_HASTA,"&gt;="&amp;M365)+SUMIFS(MOT_AJUSTE,MOT_MOTOR,G365,MOT_MARCA,"(todas)",MOT_DESDE,"&lt;="&amp;M365,MOT_HASTA,"&gt;="&amp;M365)</f>
        <v/>
      </c>
      <c r="BT365" s="3">
        <f>SUMIFS(COMB_AJUSTE,COMB_COMB,K365)</f>
        <v/>
      </c>
      <c r="BU365" s="3">
        <f>COUNTIFS(MOT_MOTOR,G365,MOT_MARCA,E365,MOT_DESDE,"&lt;="&amp;M365,MOT_HASTA,"&gt;="&amp;M365)+COUNTIFS(MOT_MOTOR,G365,MOT_MARCA,"(todas)",MOT_DESDE,"&lt;="&amp;M365,MOT_HASTA,"&gt;="&amp;M365)</f>
        <v/>
      </c>
      <c r="BV365" s="3">
        <f>IF(AND(K365="diesel",BU365=0),MIN(BR365,NEUTRO),BR365)</f>
        <v/>
      </c>
      <c r="BW365" s="4">
        <f>MAX(0,MIN(100,BV365+BS365+BT365))</f>
        <v/>
      </c>
      <c r="BX365" s="3">
        <f>MAX(0,MIN(100,50+BK365*PRECIO_PEND))</f>
        <v/>
      </c>
      <c r="BY365" s="3">
        <f>MAX(0,100*(1-N365/KM_MAX))</f>
        <v/>
      </c>
      <c r="BZ365" s="3">
        <f>IF(BB365&lt;KMA_SOSP,IF(AA365="sí",100,KMA_PEN),IF(BB365&lt;=KMA_IDEAL_MAX,100,MAX(0,100*(KMA_CERO-BB365)/(KMA_CERO-KMA_IDEAL_MAX))))</f>
        <v/>
      </c>
      <c r="CA365" s="3">
        <f>MAX(0,MIN(100,100*(M365-ANIO_MIN)/(ANIO_ACTUAL-ANIO_MIN)))</f>
        <v/>
      </c>
      <c r="CB365" s="3">
        <f>W_KMT*BY365+W_KMA*BZ365+W_EDAD*CA365</f>
        <v/>
      </c>
      <c r="CC365" s="3">
        <f>P_ITV*(V365="sí")+P_LIBRO*(W365="sí")+P_CORREA*(X365="sí")+P_PROP*(Y365=1)+P_GAR*(Z365="sí")+P_FOTOS*MIN(1,N(U365)/FOTOS_OBJ)</f>
        <v/>
      </c>
      <c r="CD365" s="3">
        <f>MAX(0,MIN(100,IFERROR(VLOOKUP(BP365,ETQ_TBL,2,0),0)-IF(BQ365="sí",ETQ_PEN_DUD,IF(AS365="regla",ETQ_PEN_REGLA,0))))</f>
        <v/>
      </c>
      <c r="CE365" s="3">
        <f>NEUTRO</f>
        <v/>
      </c>
      <c r="CF365" s="3">
        <f>IFERROR(VLOOKUP(L365,SEGURO_TBL,3,0),"")</f>
        <v/>
      </c>
      <c r="CG365" s="3">
        <f>IF(CF365="",NEUTRO,MAX(0,MIN(100,100*(SEG_REF_MAX-CF365)/(SEG_REF_MAX-SEG_REF_MIN))))</f>
        <v/>
      </c>
      <c r="CH365" s="3">
        <f>W_CONS*CE365+W_SEG*CG365</f>
        <v/>
      </c>
      <c r="CI365" s="3">
        <f>IF(N(AB365)&gt;0,AB365,IF(AND(R365="profesional",SG_LEGAL_ON=1),GAR_LEGAL,0))</f>
        <v/>
      </c>
      <c r="CJ365" s="3">
        <f>SG_GAR*MIN(1,CI365/SG_GAR_FULL)+SG_AMPL*(AC365="sí")+SG_KMC*(AF365="sí")+SG_REV*(N(AE365)&gt;0)+SG_DEV*MIN(1,N(AG365)/SG_DEV_FULL)+SG_HIST*(W365="sí")</f>
        <v/>
      </c>
      <c r="CK365" s="3">
        <f>IFERROR(VLOOKUP(L365,CARR_PEN_TBL,2,0),0)</f>
        <v/>
      </c>
      <c r="CL365" s="3">
        <f>W_FIAB*BW365+W_PRECIO*BX365+W_KMEDAD*CB365+W_ANUNCIO*CC365+W_USO*CH365+W_SEGURIDAD*CJ365+W_ETIQUETA*CD365-CK365</f>
        <v/>
      </c>
      <c r="CM365" s="4">
        <f>IF(N(I365)&gt;0,I365,IFERROR(ROUND(_xlfn.NUMBERVALUE(LEFT(G365,FIND(" ",G365&amp;" ")-1),".")*1000,0),99999))</f>
        <v/>
      </c>
      <c r="CN365" s="3">
        <f>IF(R365="profesional",0,IF(O365&lt;CUOTA_VALOR_MAX,IF(BA365&gt;ITP_TRAMO_ALTO,SUMIFS(CF_CUOTA,CF_MAS,ITP_TRAMO_ALTO,CF_CCMIN,"&lt;="&amp;CM365,CF_CCMAX,"&gt;="&amp;CM365),IF(BA365&gt;ITP_TRAMO_BAJO,SUMIFS(CF_CUOTA,CF_MAS,ITP_TRAMO_BAJO,CF_CCMIN,"&lt;="&amp;CM365,CF_CCMAX,"&gt;="&amp;CM365),O365*ITP_TIPO)),O365*ITP_TIPO))</f>
        <v/>
      </c>
      <c r="CO365" s="4">
        <f>IF(R365="profesional",N(AK365),0)</f>
        <v/>
      </c>
      <c r="CP365" s="3">
        <f>IF(AND(R365="profesional",ISNUMBER(AK365),AL365="sí"),0,TASA_DGT)</f>
        <v/>
      </c>
      <c r="CQ365" s="3">
        <f>INFORME_DGT</f>
        <v/>
      </c>
      <c r="CR365" s="4">
        <f>O365+CO365+CN365+CP365+CQ365</f>
        <v/>
      </c>
      <c r="CS365" s="4">
        <f>CR365+N(CF365)</f>
        <v/>
      </c>
      <c r="CT365" s="3">
        <f>IF(CR365&lt;=TOTAL_MAX,"sí",IF(CR365&lt;=TOTAL_MAX+MARGEN_NEG,"negociar","no"))</f>
        <v/>
      </c>
      <c r="CU365" s="4">
        <f>IF(CT365&lt;&gt;"no",COUNTIFS($CT$2:$CT$545,"&lt;&gt;no",$CL$2:$CL$545,"&gt;"&amp;CL365)+COUNTIFS($CT$2:CT365,"&lt;&gt;no",$CL$2:CL365,CL365),"")</f>
        <v/>
      </c>
    </row>
    <row r="366">
      <c r="A366" s="2" t="inlineStr">
        <is>
          <t>cochesnet:71866323</t>
        </is>
      </c>
      <c r="B366" s="2" t="inlineStr">
        <is>
          <t>cochesnet</t>
        </is>
      </c>
      <c r="C366" s="2" t="inlineStr">
        <is>
          <t>https://www.coches.net/peugeot-207-14-16v-xt-5p-gasolina-2006-en-valencia-71866323-covo.aspx</t>
        </is>
      </c>
      <c r="D366" s="2" t="inlineStr">
        <is>
          <t>PEUGEOT 207 1.4 16v XT</t>
        </is>
      </c>
      <c r="E366" s="2" t="inlineStr">
        <is>
          <t>Peugeot</t>
        </is>
      </c>
      <c r="F366" s="2" t="inlineStr">
        <is>
          <t>Peugeot 207</t>
        </is>
      </c>
      <c r="G366" s="2" t="inlineStr">
        <is>
          <t>1.4</t>
        </is>
      </c>
      <c r="H366" s="2" t="inlineStr">
        <is>
          <t>1.4 16v XT</t>
        </is>
      </c>
      <c r="I366" s="2" t="n"/>
      <c r="J366" s="2" t="n"/>
      <c r="K366" s="2" t="inlineStr">
        <is>
          <t>gasolina</t>
        </is>
      </c>
      <c r="L366" s="2" t="inlineStr">
        <is>
          <t>utilitario</t>
        </is>
      </c>
      <c r="M366" s="2" t="n">
        <v>2006</v>
      </c>
      <c r="N366" s="2" t="n">
        <v>162000</v>
      </c>
      <c r="O366" s="2" t="n">
        <v>2900</v>
      </c>
      <c r="P366" s="2" t="inlineStr">
        <is>
          <t>manual</t>
        </is>
      </c>
      <c r="Q366" s="2" t="inlineStr">
        <is>
          <t>no</t>
        </is>
      </c>
      <c r="R366" s="2" t="inlineStr">
        <is>
          <t>particular</t>
        </is>
      </c>
      <c r="S366" s="2" t="inlineStr">
        <is>
          <t>Valencia</t>
        </is>
      </c>
      <c r="T366" s="2" t="inlineStr">
        <is>
          <t>2026-10-29T21:51:54Z</t>
        </is>
      </c>
      <c r="U366" s="2" t="n">
        <v>8</v>
      </c>
      <c r="V366" s="2" t="n"/>
      <c r="W366" s="2" t="n"/>
      <c r="X366" s="2" t="n"/>
      <c r="Y366" s="2" t="n"/>
      <c r="Z366" s="2" t="inlineStr">
        <is>
          <t>no</t>
        </is>
      </c>
      <c r="AA366" s="2" t="n"/>
      <c r="AB366" s="2" t="n"/>
      <c r="AC366" s="2" t="n"/>
      <c r="AD366" s="2" t="n"/>
      <c r="AE366" s="2" t="n"/>
      <c r="AF366" s="2" t="n"/>
      <c r="AG366" s="2" t="n"/>
      <c r="AH366" s="2" t="n">
        <v>2900</v>
      </c>
      <c r="AI366" s="2" t="n"/>
      <c r="AJ366" s="2" t="n"/>
      <c r="AK366" s="2" t="n"/>
      <c r="AL366" s="2" t="n"/>
      <c r="AM366" s="2" t="n">
        <v>0.1</v>
      </c>
      <c r="AN366" s="2" t="n"/>
      <c r="AO366" s="2" t="inlineStr">
        <is>
          <t>12/2006</t>
        </is>
      </c>
      <c r="AP366" s="2" t="n">
        <v>2006</v>
      </c>
      <c r="AQ366" s="2" t="n">
        <v>12</v>
      </c>
      <c r="AR366" s="2" t="n"/>
      <c r="AS366" s="2" t="inlineStr">
        <is>
          <t>regla</t>
        </is>
      </c>
      <c r="AT366" s="2" t="n">
        <v>2950</v>
      </c>
      <c r="AU366" s="2" t="n">
        <v>4</v>
      </c>
      <c r="AV366" s="2" t="inlineStr">
        <is>
          <t>modelo+año+km</t>
        </is>
      </c>
      <c r="AW366" s="2" t="n"/>
      <c r="AX366" s="2" t="inlineStr">
        <is>
          <t>cuota fija ITP: &gt;12 años, hasta 1.500 cc; fiabilidad del modelo PENDIENTE de fuente (puntuación neutra)</t>
        </is>
      </c>
      <c r="AY366" s="2" t="inlineStr">
        <is>
          <t>Vendo mi Peugeot 207, es un coche que está muy cuidado y bien conservado, tanto por dentro como por fuera.
Tiene un motor 1.4 gasolina, cambio manual y es bastante cómodo de conducir. Consume poquito y su mantenimiento es económico.
Es ideal para el día a día, para ir a trabajar o como primer coche. Tiene buen espacio interior, es cómodo y muy fácil de manejar.
Un coche práctico y sencillo, perfecto para quien busque algo económico y que le dé buen servicio.
Se puede venir a ver y probar sin ningún compromiso.
Cualquier duda, preguntadme sin problema, estaré encantado de responder.</t>
        </is>
      </c>
      <c r="AZ366" s="2" t="inlineStr">
        <is>
          <t>https://www.coches.net/peugeot-207-14-16v-xt-5p-gasolina-2006-en-valencia-71866323-covo.aspx (window.__INITIAL_PROPS__.ad) /home/user/Alopecia/buscador-coches/raw/cochesnet/bc90e191f5d2634c.json</t>
        </is>
      </c>
      <c r="BA366" s="3">
        <f>MAX(ANIO_ACTUAL-M366,0)</f>
        <v/>
      </c>
      <c r="BB366" s="4">
        <f>N366/MAX(BA366,0.5)</f>
        <v/>
      </c>
      <c r="BC366" s="4">
        <f>F366</f>
        <v/>
      </c>
      <c r="BD366" s="3">
        <f>BC366&amp;"|"&amp;INT(M366/SEG_ANIO)*SEG_ANIO</f>
        <v/>
      </c>
      <c r="BE366" s="3">
        <f>BD366&amp;"|"&amp;INT(N366/SEG_KM)*SEG_KM</f>
        <v/>
      </c>
      <c r="BF366" s="4">
        <f>COUNTIF($BC$2:$BC$545,BC366)</f>
        <v/>
      </c>
      <c r="BG366" s="4">
        <f>COUNTIF($BD$2:$BD$545,BD366)</f>
        <v/>
      </c>
      <c r="BH366" s="4">
        <f>COUNTIF($BE$2:$BE$545,BE366)</f>
        <v/>
      </c>
      <c r="BI366" s="3">
        <f t="array" ref="BI366">IF(N(AU366)&gt;=MIN_N,AT366,IF(BH366&gt;=MIN_N,MEDIAN(IF($BE$2:$BE$545=BE366,$O$2:$O$545)),IF(BG366&gt;=MIN_N,MEDIAN(IF($BD$2:$BD$545=BD366,$O$2:$O$545)),MEDIAN(IF($BC$2:$BC$545=BC366,$O$2:$O$545)))))</f>
        <v/>
      </c>
      <c r="BJ366" s="3">
        <f>IF(N(AU366)&gt;=MIN_N,"mercado "&amp;AV366,IF(BH366&gt;=MIN_N,"modelo+año+km",IF(BG366&gt;=MIN_N,"modelo+año","modelo")))</f>
        <v/>
      </c>
      <c r="BK366" s="4">
        <f>(BI366-O366)/BI366</f>
        <v/>
      </c>
      <c r="BL366" s="3">
        <f>IF(COUNTIFS(FR_FUEL,K366,FR_YEAR,AP366)&gt;0,1,0)</f>
        <v/>
      </c>
      <c r="BM366" s="3">
        <f>IF(COUNTIFS(FR_FUEL,K366,FR_YEAR,AP366-1)&gt;0,1,0)</f>
        <v/>
      </c>
      <c r="BN366" s="4">
        <f>IF(N(AQ366)&gt;0,AP366*100+AQ366,IF(AND(BL366=1,BM366=1),(AP366-1)*100+1,AP366*100+1))</f>
        <v/>
      </c>
      <c r="BO366" s="3">
        <f>IF(OR(K366="hibrido",K366="glp",K366="gnc",K366="phev"),"ECO",IF(K366="electrico","CERO",IF(K366="gasolina",IF(BN366&gt;=GAS_C_YM,"C",IF(BN366&gt;=GAS_B_YM,"B","A")),IF(K366="diesel",IF(BN366&gt;=DIE_C_YM,"C",IF(BN366&gt;=DIE_B_YM,"B","A")),""))))</f>
        <v/>
      </c>
      <c r="BP366" s="4">
        <f>BO366</f>
        <v/>
      </c>
      <c r="BQ366" s="4">
        <f>IF(AS366="regla",IF(AND(N(AQ366)=0,BL366=1),"sí","no"),"no")</f>
        <v/>
      </c>
      <c r="BR366" s="3">
        <f>IFERROR(VLOOKUP(F366,MOD_TBL,11,0),IFERROR(VLOOKUP(E366,OCU_TBL,2,0),NEUTRO))</f>
        <v/>
      </c>
      <c r="BS366" s="3">
        <f>SUMIFS(MOT_AJUSTE,MOT_MOTOR,G366,MOT_MARCA,E366,MOT_DESDE,"&lt;="&amp;M366,MOT_HASTA,"&gt;="&amp;M366)+SUMIFS(MOT_AJUSTE,MOT_MOTOR,G366,MOT_MARCA,"(todas)",MOT_DESDE,"&lt;="&amp;M366,MOT_HASTA,"&gt;="&amp;M366)</f>
        <v/>
      </c>
      <c r="BT366" s="3">
        <f>SUMIFS(COMB_AJUSTE,COMB_COMB,K366)</f>
        <v/>
      </c>
      <c r="BU366" s="3">
        <f>COUNTIFS(MOT_MOTOR,G366,MOT_MARCA,E366,MOT_DESDE,"&lt;="&amp;M366,MOT_HASTA,"&gt;="&amp;M366)+COUNTIFS(MOT_MOTOR,G366,MOT_MARCA,"(todas)",MOT_DESDE,"&lt;="&amp;M366,MOT_HASTA,"&gt;="&amp;M366)</f>
        <v/>
      </c>
      <c r="BV366" s="3">
        <f>IF(AND(K366="diesel",BU366=0),MIN(BR366,NEUTRO),BR366)</f>
        <v/>
      </c>
      <c r="BW366" s="4">
        <f>MAX(0,MIN(100,BV366+BS366+BT366))</f>
        <v/>
      </c>
      <c r="BX366" s="3">
        <f>MAX(0,MIN(100,50+BK366*PRECIO_PEND))</f>
        <v/>
      </c>
      <c r="BY366" s="3">
        <f>MAX(0,100*(1-N366/KM_MAX))</f>
        <v/>
      </c>
      <c r="BZ366" s="3">
        <f>IF(BB366&lt;KMA_SOSP,IF(AA366="sí",100,KMA_PEN),IF(BB366&lt;=KMA_IDEAL_MAX,100,MAX(0,100*(KMA_CERO-BB366)/(KMA_CERO-KMA_IDEAL_MAX))))</f>
        <v/>
      </c>
      <c r="CA366" s="3">
        <f>MAX(0,MIN(100,100*(M366-ANIO_MIN)/(ANIO_ACTUAL-ANIO_MIN)))</f>
        <v/>
      </c>
      <c r="CB366" s="3">
        <f>W_KMT*BY366+W_KMA*BZ366+W_EDAD*CA366</f>
        <v/>
      </c>
      <c r="CC366" s="3">
        <f>P_ITV*(V366="sí")+P_LIBRO*(W366="sí")+P_CORREA*(X366="sí")+P_PROP*(Y366=1)+P_GAR*(Z366="sí")+P_FOTOS*MIN(1,N(U366)/FOTOS_OBJ)</f>
        <v/>
      </c>
      <c r="CD366" s="3">
        <f>MAX(0,MIN(100,IFERROR(VLOOKUP(BP366,ETQ_TBL,2,0),0)-IF(BQ366="sí",ETQ_PEN_DUD,IF(AS366="regla",ETQ_PEN_REGLA,0))))</f>
        <v/>
      </c>
      <c r="CE366" s="3">
        <f>NEUTRO</f>
        <v/>
      </c>
      <c r="CF366" s="3">
        <f>IFERROR(VLOOKUP(L366,SEGURO_TBL,3,0),"")</f>
        <v/>
      </c>
      <c r="CG366" s="3">
        <f>IF(CF366="",NEUTRO,MAX(0,MIN(100,100*(SEG_REF_MAX-CF366)/(SEG_REF_MAX-SEG_REF_MIN))))</f>
        <v/>
      </c>
      <c r="CH366" s="3">
        <f>W_CONS*CE366+W_SEG*CG366</f>
        <v/>
      </c>
      <c r="CI366" s="3">
        <f>IF(N(AB366)&gt;0,AB366,IF(AND(R366="profesional",SG_LEGAL_ON=1),GAR_LEGAL,0))</f>
        <v/>
      </c>
      <c r="CJ366" s="3">
        <f>SG_GAR*MIN(1,CI366/SG_GAR_FULL)+SG_AMPL*(AC366="sí")+SG_KMC*(AF366="sí")+SG_REV*(N(AE366)&gt;0)+SG_DEV*MIN(1,N(AG366)/SG_DEV_FULL)+SG_HIST*(W366="sí")</f>
        <v/>
      </c>
      <c r="CK366" s="3">
        <f>IFERROR(VLOOKUP(L366,CARR_PEN_TBL,2,0),0)</f>
        <v/>
      </c>
      <c r="CL366" s="3">
        <f>W_FIAB*BW366+W_PRECIO*BX366+W_KMEDAD*CB366+W_ANUNCIO*CC366+W_USO*CH366+W_SEGURIDAD*CJ366+W_ETIQUETA*CD366-CK366</f>
        <v/>
      </c>
      <c r="CM366" s="4">
        <f>IF(N(I366)&gt;0,I366,IFERROR(ROUND(_xlfn.NUMBERVALUE(LEFT(G366,FIND(" ",G366&amp;" ")-1),".")*1000,0),99999))</f>
        <v/>
      </c>
      <c r="CN366" s="3">
        <f>IF(R366="profesional",0,IF(O366&lt;CUOTA_VALOR_MAX,IF(BA366&gt;ITP_TRAMO_ALTO,SUMIFS(CF_CUOTA,CF_MAS,ITP_TRAMO_ALTO,CF_CCMIN,"&lt;="&amp;CM366,CF_CCMAX,"&gt;="&amp;CM366),IF(BA366&gt;ITP_TRAMO_BAJO,SUMIFS(CF_CUOTA,CF_MAS,ITP_TRAMO_BAJO,CF_CCMIN,"&lt;="&amp;CM366,CF_CCMAX,"&gt;="&amp;CM366),O366*ITP_TIPO)),O366*ITP_TIPO))</f>
        <v/>
      </c>
      <c r="CO366" s="4">
        <f>IF(R366="profesional",N(AK366),0)</f>
        <v/>
      </c>
      <c r="CP366" s="3">
        <f>IF(AND(R366="profesional",ISNUMBER(AK366),AL366="sí"),0,TASA_DGT)</f>
        <v/>
      </c>
      <c r="CQ366" s="3">
        <f>INFORME_DGT</f>
        <v/>
      </c>
      <c r="CR366" s="4">
        <f>O366+CO366+CN366+CP366+CQ366</f>
        <v/>
      </c>
      <c r="CS366" s="4">
        <f>CR366+N(CF366)</f>
        <v/>
      </c>
      <c r="CT366" s="3">
        <f>IF(CR366&lt;=TOTAL_MAX,"sí",IF(CR366&lt;=TOTAL_MAX+MARGEN_NEG,"negociar","no"))</f>
        <v/>
      </c>
      <c r="CU366" s="4">
        <f>IF(CT366&lt;&gt;"no",COUNTIFS($CT$2:$CT$545,"&lt;&gt;no",$CL$2:$CL$545,"&gt;"&amp;CL366)+COUNTIFS($CT$2:CT366,"&lt;&gt;no",$CL$2:CL366,CL366),"")</f>
        <v/>
      </c>
    </row>
    <row r="367">
      <c r="A367" s="2" t="inlineStr">
        <is>
          <t>cochesnet:71828437</t>
        </is>
      </c>
      <c r="B367" s="2" t="inlineStr">
        <is>
          <t>cochesnet</t>
        </is>
      </c>
      <c r="C367" s="2" t="inlineStr">
        <is>
          <t>https://www.coches.net/peugeot-207-14-16v-xt-5p-gasolina-2006-en-valencia-71828437-covo.aspx</t>
        </is>
      </c>
      <c r="D367" s="2" t="inlineStr">
        <is>
          <t>PEUGEOT 207 1.4 16v XT</t>
        </is>
      </c>
      <c r="E367" s="2" t="inlineStr">
        <is>
          <t>Peugeot</t>
        </is>
      </c>
      <c r="F367" s="2" t="inlineStr">
        <is>
          <t>Peugeot 207</t>
        </is>
      </c>
      <c r="G367" s="2" t="inlineStr">
        <is>
          <t>1.4</t>
        </is>
      </c>
      <c r="H367" s="2" t="inlineStr">
        <is>
          <t>1.4 16v XT</t>
        </is>
      </c>
      <c r="I367" s="2" t="n"/>
      <c r="J367" s="2" t="n"/>
      <c r="K367" s="2" t="inlineStr">
        <is>
          <t>gasolina</t>
        </is>
      </c>
      <c r="L367" s="2" t="inlineStr">
        <is>
          <t>utilitario</t>
        </is>
      </c>
      <c r="M367" s="2" t="n">
        <v>2007</v>
      </c>
      <c r="N367" s="2" t="n">
        <v>76600</v>
      </c>
      <c r="O367" s="2" t="n">
        <v>3700</v>
      </c>
      <c r="P367" s="2" t="inlineStr">
        <is>
          <t>manual</t>
        </is>
      </c>
      <c r="Q367" s="2" t="inlineStr">
        <is>
          <t>no</t>
        </is>
      </c>
      <c r="R367" s="2" t="inlineStr">
        <is>
          <t>profesional</t>
        </is>
      </c>
      <c r="S367" s="2" t="inlineStr">
        <is>
          <t>Pepe Cars Valencia</t>
        </is>
      </c>
      <c r="T367" s="2" t="inlineStr">
        <is>
          <t>2026-10-25T15:39:29Z</t>
        </is>
      </c>
      <c r="U367" s="2" t="n">
        <v>10</v>
      </c>
      <c r="V367" s="2" t="n"/>
      <c r="W367" s="2" t="n"/>
      <c r="X367" s="2" t="n"/>
      <c r="Y367" s="2" t="n"/>
      <c r="Z367" s="2" t="inlineStr">
        <is>
          <t>sí</t>
        </is>
      </c>
      <c r="AA367" s="2" t="n"/>
      <c r="AB367" s="2" t="n">
        <v>12</v>
      </c>
      <c r="AC367" s="2" t="n"/>
      <c r="AD367" s="2" t="n"/>
      <c r="AE367" s="2" t="n"/>
      <c r="AF367" s="2" t="n"/>
      <c r="AG367" s="2" t="n"/>
      <c r="AH367" s="2" t="n">
        <v>3700</v>
      </c>
      <c r="AI367" s="2" t="n"/>
      <c r="AJ367" s="2" t="n"/>
      <c r="AK367" s="2" t="n"/>
      <c r="AL367" s="2" t="n"/>
      <c r="AM367" s="2" t="n">
        <v>0.1</v>
      </c>
      <c r="AN367" s="2" t="n"/>
      <c r="AO367" s="2" t="inlineStr">
        <is>
          <t>2007</t>
        </is>
      </c>
      <c r="AP367" s="2" t="n">
        <v>2007</v>
      </c>
      <c r="AQ367" s="2" t="n"/>
      <c r="AR367" s="2" t="inlineStr">
        <is>
          <t>C</t>
        </is>
      </c>
      <c r="AS367" s="2" t="inlineStr">
        <is>
          <t>anuncio</t>
        </is>
      </c>
      <c r="AT367" s="2" t="n">
        <v>4750</v>
      </c>
      <c r="AU367" s="2" t="n">
        <v>13</v>
      </c>
      <c r="AV367" s="2" t="inlineStr">
        <is>
          <t>modelo+año+km</t>
        </is>
      </c>
      <c r="AW367" s="2" t="n"/>
      <c r="AX367" s="2" t="inlineStr">
        <is>
          <t>vendedor profesional: sin ITP (operación con IVA/REBU, confirmar en factura); gastos de gestión del vendedor no indicados: se suma la tasa DGT; preguntar el precio final; fiabilidad del modelo PENDIENTE de fuente (puntuación neutra)</t>
        </is>
      </c>
      <c r="AY367" s="2" t="inlineStr">
        <is>
          <t>Este Peugeot 207 1.4 16v XT combina funcionalidad y confort con equipamiento multimedia completo: sistema de audio de seis altavoces con radio AM/FM, reproductor de CD y control remoto en volante. Destaca por su climatización bizona automática, dirección asistida eléctrica progresiva y volante de cuero ajustable en altura y profundidad. Dispone de elevalunas eléctricos delanteros, cierre centralizado con mando a distancia, ordenador de viaje con datos de consumo y autonomía, y cristales tintados en toda la cabina. Asientos individuales delanteros con reposacabezas ajustables, apoyabrazos central y banqueta trasera partida abatible. Inmovilizador de serie, luces antiniebla delanteras y faros dobles con regulación de altura. Etiqueta medioambiental C.</t>
        </is>
      </c>
      <c r="AZ367" s="2" t="inlineStr">
        <is>
          <t>https://www.coches.net/peugeot-207-14-16v-xt-5p-gasolina-2006-en-valencia-71828437-covo.aspx (window.__INITIAL_PROPS__.ad) /home/user/Alopecia/buscador-coches/raw/cochesnet/1cd765507ac734a9.json</t>
        </is>
      </c>
      <c r="BA367" s="3">
        <f>MAX(ANIO_ACTUAL-M367,0)</f>
        <v/>
      </c>
      <c r="BB367" s="4">
        <f>N367/MAX(BA367,0.5)</f>
        <v/>
      </c>
      <c r="BC367" s="4">
        <f>F367</f>
        <v/>
      </c>
      <c r="BD367" s="3">
        <f>BC367&amp;"|"&amp;INT(M367/SEG_ANIO)*SEG_ANIO</f>
        <v/>
      </c>
      <c r="BE367" s="3">
        <f>BD367&amp;"|"&amp;INT(N367/SEG_KM)*SEG_KM</f>
        <v/>
      </c>
      <c r="BF367" s="4">
        <f>COUNTIF($BC$2:$BC$545,BC367)</f>
        <v/>
      </c>
      <c r="BG367" s="4">
        <f>COUNTIF($BD$2:$BD$545,BD367)</f>
        <v/>
      </c>
      <c r="BH367" s="4">
        <f>COUNTIF($BE$2:$BE$545,BE367)</f>
        <v/>
      </c>
      <c r="BI367" s="3">
        <f t="array" ref="BI367">IF(N(AU367)&gt;=MIN_N,AT367,IF(BH367&gt;=MIN_N,MEDIAN(IF($BE$2:$BE$545=BE367,$O$2:$O$545)),IF(BG367&gt;=MIN_N,MEDIAN(IF($BD$2:$BD$545=BD367,$O$2:$O$545)),MEDIAN(IF($BC$2:$BC$545=BC367,$O$2:$O$545)))))</f>
        <v/>
      </c>
      <c r="BJ367" s="3">
        <f>IF(N(AU367)&gt;=MIN_N,"mercado "&amp;AV367,IF(BH367&gt;=MIN_N,"modelo+año+km",IF(BG367&gt;=MIN_N,"modelo+año","modelo")))</f>
        <v/>
      </c>
      <c r="BK367" s="4">
        <f>(BI367-O367)/BI367</f>
        <v/>
      </c>
      <c r="BL367" s="3">
        <f>IF(COUNTIFS(FR_FUEL,K367,FR_YEAR,AP367)&gt;0,1,0)</f>
        <v/>
      </c>
      <c r="BM367" s="3">
        <f>IF(COUNTIFS(FR_FUEL,K367,FR_YEAR,AP367-1)&gt;0,1,0)</f>
        <v/>
      </c>
      <c r="BN367" s="4">
        <f>IF(N(AQ367)&gt;0,AP367*100+AQ367,IF(AND(BL367=1,BM367=1),(AP367-1)*100+1,AP367*100+1))</f>
        <v/>
      </c>
      <c r="BO367" s="3">
        <f>IF(OR(K367="hibrido",K367="glp",K367="gnc",K367="phev"),"ECO",IF(K367="electrico","CERO",IF(K367="gasolina",IF(BN367&gt;=GAS_C_YM,"C",IF(BN367&gt;=GAS_B_YM,"B","A")),IF(K367="diesel",IF(BN367&gt;=DIE_C_YM,"C",IF(BN367&gt;=DIE_B_YM,"B","A")),""))))</f>
        <v/>
      </c>
      <c r="BP367" s="2" t="inlineStr">
        <is>
          <t>C</t>
        </is>
      </c>
      <c r="BQ367" s="4">
        <f>IF(AS367="regla",IF(AND(N(AQ367)=0,BL367=1),"sí","no"),"no")</f>
        <v/>
      </c>
      <c r="BR367" s="3">
        <f>IFERROR(VLOOKUP(F367,MOD_TBL,11,0),IFERROR(VLOOKUP(E367,OCU_TBL,2,0),NEUTRO))</f>
        <v/>
      </c>
      <c r="BS367" s="3">
        <f>SUMIFS(MOT_AJUSTE,MOT_MOTOR,G367,MOT_MARCA,E367,MOT_DESDE,"&lt;="&amp;M367,MOT_HASTA,"&gt;="&amp;M367)+SUMIFS(MOT_AJUSTE,MOT_MOTOR,G367,MOT_MARCA,"(todas)",MOT_DESDE,"&lt;="&amp;M367,MOT_HASTA,"&gt;="&amp;M367)</f>
        <v/>
      </c>
      <c r="BT367" s="3">
        <f>SUMIFS(COMB_AJUSTE,COMB_COMB,K367)</f>
        <v/>
      </c>
      <c r="BU367" s="3">
        <f>COUNTIFS(MOT_MOTOR,G367,MOT_MARCA,E367,MOT_DESDE,"&lt;="&amp;M367,MOT_HASTA,"&gt;="&amp;M367)+COUNTIFS(MOT_MOTOR,G367,MOT_MARCA,"(todas)",MOT_DESDE,"&lt;="&amp;M367,MOT_HASTA,"&gt;="&amp;M367)</f>
        <v/>
      </c>
      <c r="BV367" s="3">
        <f>IF(AND(K367="diesel",BU367=0),MIN(BR367,NEUTRO),BR367)</f>
        <v/>
      </c>
      <c r="BW367" s="4">
        <f>MAX(0,MIN(100,BV367+BS367+BT367))</f>
        <v/>
      </c>
      <c r="BX367" s="3">
        <f>MAX(0,MIN(100,50+BK367*PRECIO_PEND))</f>
        <v/>
      </c>
      <c r="BY367" s="3">
        <f>MAX(0,100*(1-N367/KM_MAX))</f>
        <v/>
      </c>
      <c r="BZ367" s="3">
        <f>IF(BB367&lt;KMA_SOSP,IF(AA367="sí",100,KMA_PEN),IF(BB367&lt;=KMA_IDEAL_MAX,100,MAX(0,100*(KMA_CERO-BB367)/(KMA_CERO-KMA_IDEAL_MAX))))</f>
        <v/>
      </c>
      <c r="CA367" s="3">
        <f>MAX(0,MIN(100,100*(M367-ANIO_MIN)/(ANIO_ACTUAL-ANIO_MIN)))</f>
        <v/>
      </c>
      <c r="CB367" s="3">
        <f>W_KMT*BY367+W_KMA*BZ367+W_EDAD*CA367</f>
        <v/>
      </c>
      <c r="CC367" s="3">
        <f>P_ITV*(V367="sí")+P_LIBRO*(W367="sí")+P_CORREA*(X367="sí")+P_PROP*(Y367=1)+P_GAR*(Z367="sí")+P_FOTOS*MIN(1,N(U367)/FOTOS_OBJ)</f>
        <v/>
      </c>
      <c r="CD367" s="3">
        <f>MAX(0,MIN(100,IFERROR(VLOOKUP(BP367,ETQ_TBL,2,0),0)-IF(BQ367="sí",ETQ_PEN_DUD,IF(AS367="regla",ETQ_PEN_REGLA,0))))</f>
        <v/>
      </c>
      <c r="CE367" s="3">
        <f>NEUTRO</f>
        <v/>
      </c>
      <c r="CF367" s="3">
        <f>IFERROR(VLOOKUP(L367,SEGURO_TBL,3,0),"")</f>
        <v/>
      </c>
      <c r="CG367" s="3">
        <f>IF(CF367="",NEUTRO,MAX(0,MIN(100,100*(SEG_REF_MAX-CF367)/(SEG_REF_MAX-SEG_REF_MIN))))</f>
        <v/>
      </c>
      <c r="CH367" s="3">
        <f>W_CONS*CE367+W_SEG*CG367</f>
        <v/>
      </c>
      <c r="CI367" s="3">
        <f>IF(N(AB367)&gt;0,AB367,IF(AND(R367="profesional",SG_LEGAL_ON=1),GAR_LEGAL,0))</f>
        <v/>
      </c>
      <c r="CJ367" s="3">
        <f>SG_GAR*MIN(1,CI367/SG_GAR_FULL)+SG_AMPL*(AC367="sí")+SG_KMC*(AF367="sí")+SG_REV*(N(AE367)&gt;0)+SG_DEV*MIN(1,N(AG367)/SG_DEV_FULL)+SG_HIST*(W367="sí")</f>
        <v/>
      </c>
      <c r="CK367" s="3">
        <f>IFERROR(VLOOKUP(L367,CARR_PEN_TBL,2,0),0)</f>
        <v/>
      </c>
      <c r="CL367" s="3">
        <f>W_FIAB*BW367+W_PRECIO*BX367+W_KMEDAD*CB367+W_ANUNCIO*CC367+W_USO*CH367+W_SEGURIDAD*CJ367+W_ETIQUETA*CD367-CK367</f>
        <v/>
      </c>
      <c r="CM367" s="4">
        <f>IF(N(I367)&gt;0,I367,IFERROR(ROUND(_xlfn.NUMBERVALUE(LEFT(G367,FIND(" ",G367&amp;" ")-1),".")*1000,0),99999))</f>
        <v/>
      </c>
      <c r="CN367" s="3">
        <f>IF(R367="profesional",0,IF(O367&lt;CUOTA_VALOR_MAX,IF(BA367&gt;ITP_TRAMO_ALTO,SUMIFS(CF_CUOTA,CF_MAS,ITP_TRAMO_ALTO,CF_CCMIN,"&lt;="&amp;CM367,CF_CCMAX,"&gt;="&amp;CM367),IF(BA367&gt;ITP_TRAMO_BAJO,SUMIFS(CF_CUOTA,CF_MAS,ITP_TRAMO_BAJO,CF_CCMIN,"&lt;="&amp;CM367,CF_CCMAX,"&gt;="&amp;CM367),O367*ITP_TIPO)),O367*ITP_TIPO))</f>
        <v/>
      </c>
      <c r="CO367" s="4">
        <f>IF(R367="profesional",N(AK367),0)</f>
        <v/>
      </c>
      <c r="CP367" s="3">
        <f>IF(AND(R367="profesional",ISNUMBER(AK367),AL367="sí"),0,TASA_DGT)</f>
        <v/>
      </c>
      <c r="CQ367" s="3">
        <f>INFORME_DGT</f>
        <v/>
      </c>
      <c r="CR367" s="4">
        <f>O367+CO367+CN367+CP367+CQ367</f>
        <v/>
      </c>
      <c r="CS367" s="4">
        <f>CR367+N(CF367)</f>
        <v/>
      </c>
      <c r="CT367" s="3">
        <f>IF(CR367&lt;=TOTAL_MAX,"sí",IF(CR367&lt;=TOTAL_MAX+MARGEN_NEG,"negociar","no"))</f>
        <v/>
      </c>
      <c r="CU367" s="4">
        <f>IF(CT367&lt;&gt;"no",COUNTIFS($CT$2:$CT$545,"&lt;&gt;no",$CL$2:$CL$545,"&gt;"&amp;CL367)+COUNTIFS($CT$2:CT367,"&lt;&gt;no",$CL$2:CL367,CL367),"")</f>
        <v/>
      </c>
    </row>
    <row r="368">
      <c r="A368" s="2" t="inlineStr">
        <is>
          <t>cochesnet:71764589</t>
        </is>
      </c>
      <c r="B368" s="2" t="inlineStr">
        <is>
          <t>cochesnet</t>
        </is>
      </c>
      <c r="C368" s="2" t="inlineStr">
        <is>
          <t>https://www.coches.net/peugeot-207-sw-confort-14-vti-16v-95-5p-gasolina-2009-en-valencia-71764589-covo.aspx</t>
        </is>
      </c>
      <c r="D368" s="2" t="inlineStr">
        <is>
          <t>PEUGEOT 207 SW Confort 1.4 VTi 16v 95</t>
        </is>
      </c>
      <c r="E368" s="2" t="inlineStr">
        <is>
          <t>Peugeot</t>
        </is>
      </c>
      <c r="F368" s="2" t="inlineStr">
        <is>
          <t>Peugeot 207</t>
        </is>
      </c>
      <c r="G368" s="2" t="inlineStr">
        <is>
          <t>1.4 VTi</t>
        </is>
      </c>
      <c r="H368" s="2" t="inlineStr">
        <is>
          <t>SW Confort 1.4 VTi 16v 95</t>
        </is>
      </c>
      <c r="I368" s="2" t="n"/>
      <c r="J368" s="2" t="n"/>
      <c r="K368" s="2" t="inlineStr">
        <is>
          <t>gasolina</t>
        </is>
      </c>
      <c r="L368" s="2" t="inlineStr">
        <is>
          <t>familiar</t>
        </is>
      </c>
      <c r="M368" s="2" t="n">
        <v>2009</v>
      </c>
      <c r="N368" s="2" t="n">
        <v>59000</v>
      </c>
      <c r="O368" s="2" t="n">
        <v>4990</v>
      </c>
      <c r="P368" s="2" t="inlineStr">
        <is>
          <t>manual</t>
        </is>
      </c>
      <c r="Q368" s="2" t="inlineStr">
        <is>
          <t>no</t>
        </is>
      </c>
      <c r="R368" s="2" t="inlineStr">
        <is>
          <t>profesional</t>
        </is>
      </c>
      <c r="S368" s="2" t="inlineStr">
        <is>
          <t>Bonrepòs i Mirambell</t>
        </is>
      </c>
      <c r="T368" s="2" t="inlineStr">
        <is>
          <t>2026-10-16T17:40:18Z</t>
        </is>
      </c>
      <c r="U368" s="2" t="n">
        <v>25</v>
      </c>
      <c r="V368" s="2" t="inlineStr">
        <is>
          <t>sí</t>
        </is>
      </c>
      <c r="W368" s="2" t="n"/>
      <c r="X368" s="2" t="n"/>
      <c r="Y368" s="2" t="n"/>
      <c r="Z368" s="2" t="inlineStr">
        <is>
          <t>sí</t>
        </is>
      </c>
      <c r="AA368" s="2" t="n"/>
      <c r="AB368" s="2" t="n">
        <v>12</v>
      </c>
      <c r="AC368" s="2" t="n"/>
      <c r="AD368" s="2" t="n"/>
      <c r="AE368" s="2" t="n"/>
      <c r="AF368" s="2" t="inlineStr">
        <is>
          <t>sí</t>
        </is>
      </c>
      <c r="AG368" s="2" t="n"/>
      <c r="AH368" s="2" t="n">
        <v>4990</v>
      </c>
      <c r="AI368" s="2" t="n"/>
      <c r="AJ368" s="2" t="n"/>
      <c r="AK368" s="2" t="n"/>
      <c r="AL368" s="2" t="n"/>
      <c r="AM368" s="2" t="n">
        <v>5.3</v>
      </c>
      <c r="AN368" s="2" t="n"/>
      <c r="AO368" s="2" t="inlineStr">
        <is>
          <t>2009</t>
        </is>
      </c>
      <c r="AP368" s="2" t="n">
        <v>2009</v>
      </c>
      <c r="AQ368" s="2" t="n"/>
      <c r="AR368" s="2" t="n"/>
      <c r="AS368" s="2" t="inlineStr">
        <is>
          <t>regla</t>
        </is>
      </c>
      <c r="AT368" s="2" t="n">
        <v>4750</v>
      </c>
      <c r="AU368" s="2" t="n">
        <v>13</v>
      </c>
      <c r="AV368" s="2" t="inlineStr">
        <is>
          <t>modelo+año+km</t>
        </is>
      </c>
      <c r="AW368" s="2" t="n"/>
      <c r="AX368" s="2" t="inlineStr">
        <is>
          <t>por encima del presupuesto (5054 €), negociar; vendedor profesional: sin ITP (operación con IVA/REBU, confirmar en factura); gastos de gestión del vendedor no indicados: se suma la tasa DGT; preguntar el precio final; carrocería familiar: -3 puntos; fiabilidad del modelo PENDIENTE de fuente (puntuación neutra)</t>
        </is>
      </c>
      <c r="AY368" s="2" t="inlineStr">
        <is>
          <t>ELEGANZA AUTOMÓVILES
Peugeot 207 SW 2009. Vehículo nacional, en excelente estado, con ITV en vigor, kilómetros certificados y en perfecto estado de conservación.
Equipamiento:
- Aire acondicionado bizona
- Techo panorámico
- Radio CD 
- Elevalunas eléctricos
- Retrovisores ajustables eléctricamente 
- Cierre centralizado
- Dirección asistida
- Ordenador de a bordo
- Barras de techo
- Llantas de aleación
- Volante multifuncional
- Tapicería en muy buen estado
- Sistema de audio
Vehículo familiar compacto, práctico y con amplio maletero, ideal para el día a día y escapadas.
Incluye 1 año de garantía en motor.
Posibilidad de recoger vehículo como parte de pago.
Solicita más información sin compromiso.
Abrimos los 365 días del año.</t>
        </is>
      </c>
      <c r="AZ368" s="2" t="inlineStr">
        <is>
          <t>https://www.coches.net/peugeot-207-sw-confort-14-vti-16v-95-5p-gasolina-2009-en-valencia-71764589-covo.aspx (window.__INITIAL_PROPS__.ad) /home/user/Alopecia/buscador-coches/raw/cochesnet/edf888509d6254ce.json</t>
        </is>
      </c>
      <c r="BA368" s="3">
        <f>MAX(ANIO_ACTUAL-M368,0)</f>
        <v/>
      </c>
      <c r="BB368" s="4">
        <f>N368/MAX(BA368,0.5)</f>
        <v/>
      </c>
      <c r="BC368" s="4">
        <f>F368</f>
        <v/>
      </c>
      <c r="BD368" s="3">
        <f>BC368&amp;"|"&amp;INT(M368/SEG_ANIO)*SEG_ANIO</f>
        <v/>
      </c>
      <c r="BE368" s="3">
        <f>BD368&amp;"|"&amp;INT(N368/SEG_KM)*SEG_KM</f>
        <v/>
      </c>
      <c r="BF368" s="4">
        <f>COUNTIF($BC$2:$BC$545,BC368)</f>
        <v/>
      </c>
      <c r="BG368" s="4">
        <f>COUNTIF($BD$2:$BD$545,BD368)</f>
        <v/>
      </c>
      <c r="BH368" s="4">
        <f>COUNTIF($BE$2:$BE$545,BE368)</f>
        <v/>
      </c>
      <c r="BI368" s="3">
        <f t="array" ref="BI368">IF(N(AU368)&gt;=MIN_N,AT368,IF(BH368&gt;=MIN_N,MEDIAN(IF($BE$2:$BE$545=BE368,$O$2:$O$545)),IF(BG368&gt;=MIN_N,MEDIAN(IF($BD$2:$BD$545=BD368,$O$2:$O$545)),MEDIAN(IF($BC$2:$BC$545=BC368,$O$2:$O$545)))))</f>
        <v/>
      </c>
      <c r="BJ368" s="3">
        <f>IF(N(AU368)&gt;=MIN_N,"mercado "&amp;AV368,IF(BH368&gt;=MIN_N,"modelo+año+km",IF(BG368&gt;=MIN_N,"modelo+año","modelo")))</f>
        <v/>
      </c>
      <c r="BK368" s="4">
        <f>(BI368-O368)/BI368</f>
        <v/>
      </c>
      <c r="BL368" s="3">
        <f>IF(COUNTIFS(FR_FUEL,K368,FR_YEAR,AP368)&gt;0,1,0)</f>
        <v/>
      </c>
      <c r="BM368" s="3">
        <f>IF(COUNTIFS(FR_FUEL,K368,FR_YEAR,AP368-1)&gt;0,1,0)</f>
        <v/>
      </c>
      <c r="BN368" s="4">
        <f>IF(N(AQ368)&gt;0,AP368*100+AQ368,IF(AND(BL368=1,BM368=1),(AP368-1)*100+1,AP368*100+1))</f>
        <v/>
      </c>
      <c r="BO368" s="3">
        <f>IF(OR(K368="hibrido",K368="glp",K368="gnc",K368="phev"),"ECO",IF(K368="electrico","CERO",IF(K368="gasolina",IF(BN368&gt;=GAS_C_YM,"C",IF(BN368&gt;=GAS_B_YM,"B","A")),IF(K368="diesel",IF(BN368&gt;=DIE_C_YM,"C",IF(BN368&gt;=DIE_B_YM,"B","A")),""))))</f>
        <v/>
      </c>
      <c r="BP368" s="4">
        <f>BO368</f>
        <v/>
      </c>
      <c r="BQ368" s="4">
        <f>IF(AS368="regla",IF(AND(N(AQ368)=0,BL368=1),"sí","no"),"no")</f>
        <v/>
      </c>
      <c r="BR368" s="3">
        <f>IFERROR(VLOOKUP(F368,MOD_TBL,11,0),IFERROR(VLOOKUP(E368,OCU_TBL,2,0),NEUTRO))</f>
        <v/>
      </c>
      <c r="BS368" s="3">
        <f>SUMIFS(MOT_AJUSTE,MOT_MOTOR,G368,MOT_MARCA,E368,MOT_DESDE,"&lt;="&amp;M368,MOT_HASTA,"&gt;="&amp;M368)+SUMIFS(MOT_AJUSTE,MOT_MOTOR,G368,MOT_MARCA,"(todas)",MOT_DESDE,"&lt;="&amp;M368,MOT_HASTA,"&gt;="&amp;M368)</f>
        <v/>
      </c>
      <c r="BT368" s="3">
        <f>SUMIFS(COMB_AJUSTE,COMB_COMB,K368)</f>
        <v/>
      </c>
      <c r="BU368" s="3">
        <f>COUNTIFS(MOT_MOTOR,G368,MOT_MARCA,E368,MOT_DESDE,"&lt;="&amp;M368,MOT_HASTA,"&gt;="&amp;M368)+COUNTIFS(MOT_MOTOR,G368,MOT_MARCA,"(todas)",MOT_DESDE,"&lt;="&amp;M368,MOT_HASTA,"&gt;="&amp;M368)</f>
        <v/>
      </c>
      <c r="BV368" s="3">
        <f>IF(AND(K368="diesel",BU368=0),MIN(BR368,NEUTRO),BR368)</f>
        <v/>
      </c>
      <c r="BW368" s="4">
        <f>MAX(0,MIN(100,BV368+BS368+BT368))</f>
        <v/>
      </c>
      <c r="BX368" s="3">
        <f>MAX(0,MIN(100,50+BK368*PRECIO_PEND))</f>
        <v/>
      </c>
      <c r="BY368" s="3">
        <f>MAX(0,100*(1-N368/KM_MAX))</f>
        <v/>
      </c>
      <c r="BZ368" s="3">
        <f>IF(BB368&lt;KMA_SOSP,IF(AA368="sí",100,KMA_PEN),IF(BB368&lt;=KMA_IDEAL_MAX,100,MAX(0,100*(KMA_CERO-BB368)/(KMA_CERO-KMA_IDEAL_MAX))))</f>
        <v/>
      </c>
      <c r="CA368" s="3">
        <f>MAX(0,MIN(100,100*(M368-ANIO_MIN)/(ANIO_ACTUAL-ANIO_MIN)))</f>
        <v/>
      </c>
      <c r="CB368" s="3">
        <f>W_KMT*BY368+W_KMA*BZ368+W_EDAD*CA368</f>
        <v/>
      </c>
      <c r="CC368" s="3">
        <f>P_ITV*(V368="sí")+P_LIBRO*(W368="sí")+P_CORREA*(X368="sí")+P_PROP*(Y368=1)+P_GAR*(Z368="sí")+P_FOTOS*MIN(1,N(U368)/FOTOS_OBJ)</f>
        <v/>
      </c>
      <c r="CD368" s="3">
        <f>MAX(0,MIN(100,IFERROR(VLOOKUP(BP368,ETQ_TBL,2,0),0)-IF(BQ368="sí",ETQ_PEN_DUD,IF(AS368="regla",ETQ_PEN_REGLA,0))))</f>
        <v/>
      </c>
      <c r="CE368" s="3">
        <f>NEUTRO</f>
        <v/>
      </c>
      <c r="CF368" s="3">
        <f>IFERROR(VLOOKUP(L368,SEGURO_TBL,3,0),"")</f>
        <v/>
      </c>
      <c r="CG368" s="3">
        <f>IF(CF368="",NEUTRO,MAX(0,MIN(100,100*(SEG_REF_MAX-CF368)/(SEG_REF_MAX-SEG_REF_MIN))))</f>
        <v/>
      </c>
      <c r="CH368" s="3">
        <f>W_CONS*CE368+W_SEG*CG368</f>
        <v/>
      </c>
      <c r="CI368" s="3">
        <f>IF(N(AB368)&gt;0,AB368,IF(AND(R368="profesional",SG_LEGAL_ON=1),GAR_LEGAL,0))</f>
        <v/>
      </c>
      <c r="CJ368" s="3">
        <f>SG_GAR*MIN(1,CI368/SG_GAR_FULL)+SG_AMPL*(AC368="sí")+SG_KMC*(AF368="sí")+SG_REV*(N(AE368)&gt;0)+SG_DEV*MIN(1,N(AG368)/SG_DEV_FULL)+SG_HIST*(W368="sí")</f>
        <v/>
      </c>
      <c r="CK368" s="3">
        <f>IFERROR(VLOOKUP(L368,CARR_PEN_TBL,2,0),0)</f>
        <v/>
      </c>
      <c r="CL368" s="3">
        <f>W_FIAB*BW368+W_PRECIO*BX368+W_KMEDAD*CB368+W_ANUNCIO*CC368+W_USO*CH368+W_SEGURIDAD*CJ368+W_ETIQUETA*CD368-CK368</f>
        <v/>
      </c>
      <c r="CM368" s="4">
        <f>IF(N(I368)&gt;0,I368,IFERROR(ROUND(_xlfn.NUMBERVALUE(LEFT(G368,FIND(" ",G368&amp;" ")-1),".")*1000,0),99999))</f>
        <v/>
      </c>
      <c r="CN368" s="3">
        <f>IF(R368="profesional",0,IF(O368&lt;CUOTA_VALOR_MAX,IF(BA368&gt;ITP_TRAMO_ALTO,SUMIFS(CF_CUOTA,CF_MAS,ITP_TRAMO_ALTO,CF_CCMIN,"&lt;="&amp;CM368,CF_CCMAX,"&gt;="&amp;CM368),IF(BA368&gt;ITP_TRAMO_BAJO,SUMIFS(CF_CUOTA,CF_MAS,ITP_TRAMO_BAJO,CF_CCMIN,"&lt;="&amp;CM368,CF_CCMAX,"&gt;="&amp;CM368),O368*ITP_TIPO)),O368*ITP_TIPO))</f>
        <v/>
      </c>
      <c r="CO368" s="4">
        <f>IF(R368="profesional",N(AK368),0)</f>
        <v/>
      </c>
      <c r="CP368" s="3">
        <f>IF(AND(R368="profesional",ISNUMBER(AK368),AL368="sí"),0,TASA_DGT)</f>
        <v/>
      </c>
      <c r="CQ368" s="3">
        <f>INFORME_DGT</f>
        <v/>
      </c>
      <c r="CR368" s="4">
        <f>O368+CO368+CN368+CP368+CQ368</f>
        <v/>
      </c>
      <c r="CS368" s="4">
        <f>CR368+N(CF368)</f>
        <v/>
      </c>
      <c r="CT368" s="3">
        <f>IF(CR368&lt;=TOTAL_MAX,"sí",IF(CR368&lt;=TOTAL_MAX+MARGEN_NEG,"negociar","no"))</f>
        <v/>
      </c>
      <c r="CU368" s="4">
        <f>IF(CT368&lt;&gt;"no",COUNTIFS($CT$2:$CT$545,"&lt;&gt;no",$CL$2:$CL$545,"&gt;"&amp;CL368)+COUNTIFS($CT$2:CT368,"&lt;&gt;no",$CL$2:CL368,CL368),"")</f>
        <v/>
      </c>
    </row>
    <row r="369">
      <c r="A369" s="2" t="inlineStr">
        <is>
          <t>cochesnet:71618681</t>
        </is>
      </c>
      <c r="B369" s="2" t="inlineStr">
        <is>
          <t>cochesnet</t>
        </is>
      </c>
      <c r="C369" s="2" t="inlineStr">
        <is>
          <t>https://www.coches.net/peugeot-207-confort-14-vti-16v-95-5p-gasolina-2008-en-valencia-71618681-covo.aspx</t>
        </is>
      </c>
      <c r="D369" s="2" t="inlineStr">
        <is>
          <t>PEUGEOT 207 Confort 1.4 VTi 16v 95</t>
        </is>
      </c>
      <c r="E369" s="2" t="inlineStr">
        <is>
          <t>Peugeot</t>
        </is>
      </c>
      <c r="F369" s="2" t="inlineStr">
        <is>
          <t>Peugeot 207</t>
        </is>
      </c>
      <c r="G369" s="2" t="inlineStr">
        <is>
          <t>1.4 VTi</t>
        </is>
      </c>
      <c r="H369" s="2" t="inlineStr">
        <is>
          <t>Confort 1.4 VTi 16v 95</t>
        </is>
      </c>
      <c r="I369" s="2" t="n"/>
      <c r="J369" s="2" t="n"/>
      <c r="K369" s="2" t="inlineStr">
        <is>
          <t>gasolina</t>
        </is>
      </c>
      <c r="L369" s="2" t="inlineStr">
        <is>
          <t>utilitario</t>
        </is>
      </c>
      <c r="M369" s="2" t="n">
        <v>2008</v>
      </c>
      <c r="N369" s="2" t="n">
        <v>80000</v>
      </c>
      <c r="O369" s="2" t="n">
        <v>4990</v>
      </c>
      <c r="P369" s="2" t="inlineStr">
        <is>
          <t>manual</t>
        </is>
      </c>
      <c r="Q369" s="2" t="inlineStr">
        <is>
          <t>no</t>
        </is>
      </c>
      <c r="R369" s="2" t="inlineStr">
        <is>
          <t>profesional</t>
        </is>
      </c>
      <c r="S369" s="2" t="inlineStr">
        <is>
          <t>Cullera</t>
        </is>
      </c>
      <c r="T369" s="2" t="inlineStr">
        <is>
          <t>2026-09-28T19:59:29Z</t>
        </is>
      </c>
      <c r="U369" s="2" t="n">
        <v>9</v>
      </c>
      <c r="V369" s="2" t="n"/>
      <c r="W369" s="2" t="n"/>
      <c r="X369" s="2" t="n"/>
      <c r="Y369" s="2" t="n"/>
      <c r="Z369" s="2" t="inlineStr">
        <is>
          <t>sí</t>
        </is>
      </c>
      <c r="AA369" s="2" t="n"/>
      <c r="AB369" s="2" t="n">
        <v>12</v>
      </c>
      <c r="AC369" s="2" t="n"/>
      <c r="AD369" s="2" t="n"/>
      <c r="AE369" s="2" t="n"/>
      <c r="AF369" s="2" t="n"/>
      <c r="AG369" s="2" t="n"/>
      <c r="AH369" s="2" t="n">
        <v>4990</v>
      </c>
      <c r="AI369" s="2" t="n"/>
      <c r="AJ369" s="2" t="n"/>
      <c r="AK369" s="2" t="n"/>
      <c r="AL369" s="2" t="n"/>
      <c r="AM369" s="2" t="n">
        <v>35.4</v>
      </c>
      <c r="AN369" s="2" t="n"/>
      <c r="AO369" s="2" t="inlineStr">
        <is>
          <t>2008</t>
        </is>
      </c>
      <c r="AP369" s="2" t="n">
        <v>2008</v>
      </c>
      <c r="AQ369" s="2" t="n"/>
      <c r="AR369" s="2" t="inlineStr">
        <is>
          <t>C</t>
        </is>
      </c>
      <c r="AS369" s="2" t="inlineStr">
        <is>
          <t>anuncio</t>
        </is>
      </c>
      <c r="AT369" s="2" t="n">
        <v>4750</v>
      </c>
      <c r="AU369" s="2" t="n">
        <v>13</v>
      </c>
      <c r="AV369" s="2" t="inlineStr">
        <is>
          <t>modelo+año+km</t>
        </is>
      </c>
      <c r="AW369" s="2" t="n"/>
      <c r="AX369"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369" s="2" t="inlineStr">
        <is>
          <t>?MOTOR 1.4VTI CON CADENA DE DISTRIBUCIÓN, NO ES PURETECH ?VEHÍCULO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AZ369" s="2" t="inlineStr">
        <is>
          <t>https://www.coches.net/peugeot-207-confort-14-vti-16v-95-5p-gasolina-2008-en-valencia-71618681-covo.aspx (window.__INITIAL_PROPS__.ad) /home/user/Alopecia/buscador-coches/raw/cochesnet/543fe930cfd5068a.json</t>
        </is>
      </c>
      <c r="BA369" s="3">
        <f>MAX(ANIO_ACTUAL-M369,0)</f>
        <v/>
      </c>
      <c r="BB369" s="4">
        <f>N369/MAX(BA369,0.5)</f>
        <v/>
      </c>
      <c r="BC369" s="4">
        <f>F369</f>
        <v/>
      </c>
      <c r="BD369" s="3">
        <f>BC369&amp;"|"&amp;INT(M369/SEG_ANIO)*SEG_ANIO</f>
        <v/>
      </c>
      <c r="BE369" s="3">
        <f>BD369&amp;"|"&amp;INT(N369/SEG_KM)*SEG_KM</f>
        <v/>
      </c>
      <c r="BF369" s="4">
        <f>COUNTIF($BC$2:$BC$545,BC369)</f>
        <v/>
      </c>
      <c r="BG369" s="4">
        <f>COUNTIF($BD$2:$BD$545,BD369)</f>
        <v/>
      </c>
      <c r="BH369" s="4">
        <f>COUNTIF($BE$2:$BE$545,BE369)</f>
        <v/>
      </c>
      <c r="BI369" s="3">
        <f t="array" ref="BI369">IF(N(AU369)&gt;=MIN_N,AT369,IF(BH369&gt;=MIN_N,MEDIAN(IF($BE$2:$BE$545=BE369,$O$2:$O$545)),IF(BG369&gt;=MIN_N,MEDIAN(IF($BD$2:$BD$545=BD369,$O$2:$O$545)),MEDIAN(IF($BC$2:$BC$545=BC369,$O$2:$O$545)))))</f>
        <v/>
      </c>
      <c r="BJ369" s="3">
        <f>IF(N(AU369)&gt;=MIN_N,"mercado "&amp;AV369,IF(BH369&gt;=MIN_N,"modelo+año+km",IF(BG369&gt;=MIN_N,"modelo+año","modelo")))</f>
        <v/>
      </c>
      <c r="BK369" s="4">
        <f>(BI369-O369)/BI369</f>
        <v/>
      </c>
      <c r="BL369" s="3">
        <f>IF(COUNTIFS(FR_FUEL,K369,FR_YEAR,AP369)&gt;0,1,0)</f>
        <v/>
      </c>
      <c r="BM369" s="3">
        <f>IF(COUNTIFS(FR_FUEL,K369,FR_YEAR,AP369-1)&gt;0,1,0)</f>
        <v/>
      </c>
      <c r="BN369" s="4">
        <f>IF(N(AQ369)&gt;0,AP369*100+AQ369,IF(AND(BL369=1,BM369=1),(AP369-1)*100+1,AP369*100+1))</f>
        <v/>
      </c>
      <c r="BO369" s="3">
        <f>IF(OR(K369="hibrido",K369="glp",K369="gnc",K369="phev"),"ECO",IF(K369="electrico","CERO",IF(K369="gasolina",IF(BN369&gt;=GAS_C_YM,"C",IF(BN369&gt;=GAS_B_YM,"B","A")),IF(K369="diesel",IF(BN369&gt;=DIE_C_YM,"C",IF(BN369&gt;=DIE_B_YM,"B","A")),""))))</f>
        <v/>
      </c>
      <c r="BP369" s="2" t="inlineStr">
        <is>
          <t>C</t>
        </is>
      </c>
      <c r="BQ369" s="4">
        <f>IF(AS369="regla",IF(AND(N(AQ369)=0,BL369=1),"sí","no"),"no")</f>
        <v/>
      </c>
      <c r="BR369" s="3">
        <f>IFERROR(VLOOKUP(F369,MOD_TBL,11,0),IFERROR(VLOOKUP(E369,OCU_TBL,2,0),NEUTRO))</f>
        <v/>
      </c>
      <c r="BS369" s="3">
        <f>SUMIFS(MOT_AJUSTE,MOT_MOTOR,G369,MOT_MARCA,E369,MOT_DESDE,"&lt;="&amp;M369,MOT_HASTA,"&gt;="&amp;M369)+SUMIFS(MOT_AJUSTE,MOT_MOTOR,G369,MOT_MARCA,"(todas)",MOT_DESDE,"&lt;="&amp;M369,MOT_HASTA,"&gt;="&amp;M369)</f>
        <v/>
      </c>
      <c r="BT369" s="3">
        <f>SUMIFS(COMB_AJUSTE,COMB_COMB,K369)</f>
        <v/>
      </c>
      <c r="BU369" s="3">
        <f>COUNTIFS(MOT_MOTOR,G369,MOT_MARCA,E369,MOT_DESDE,"&lt;="&amp;M369,MOT_HASTA,"&gt;="&amp;M369)+COUNTIFS(MOT_MOTOR,G369,MOT_MARCA,"(todas)",MOT_DESDE,"&lt;="&amp;M369,MOT_HASTA,"&gt;="&amp;M369)</f>
        <v/>
      </c>
      <c r="BV369" s="3">
        <f>IF(AND(K369="diesel",BU369=0),MIN(BR369,NEUTRO),BR369)</f>
        <v/>
      </c>
      <c r="BW369" s="4">
        <f>MAX(0,MIN(100,BV369+BS369+BT369))</f>
        <v/>
      </c>
      <c r="BX369" s="3">
        <f>MAX(0,MIN(100,50+BK369*PRECIO_PEND))</f>
        <v/>
      </c>
      <c r="BY369" s="3">
        <f>MAX(0,100*(1-N369/KM_MAX))</f>
        <v/>
      </c>
      <c r="BZ369" s="3">
        <f>IF(BB369&lt;KMA_SOSP,IF(AA369="sí",100,KMA_PEN),IF(BB369&lt;=KMA_IDEAL_MAX,100,MAX(0,100*(KMA_CERO-BB369)/(KMA_CERO-KMA_IDEAL_MAX))))</f>
        <v/>
      </c>
      <c r="CA369" s="3">
        <f>MAX(0,MIN(100,100*(M369-ANIO_MIN)/(ANIO_ACTUAL-ANIO_MIN)))</f>
        <v/>
      </c>
      <c r="CB369" s="3">
        <f>W_KMT*BY369+W_KMA*BZ369+W_EDAD*CA369</f>
        <v/>
      </c>
      <c r="CC369" s="3">
        <f>P_ITV*(V369="sí")+P_LIBRO*(W369="sí")+P_CORREA*(X369="sí")+P_PROP*(Y369=1)+P_GAR*(Z369="sí")+P_FOTOS*MIN(1,N(U369)/FOTOS_OBJ)</f>
        <v/>
      </c>
      <c r="CD369" s="3">
        <f>MAX(0,MIN(100,IFERROR(VLOOKUP(BP369,ETQ_TBL,2,0),0)-IF(BQ369="sí",ETQ_PEN_DUD,IF(AS369="regla",ETQ_PEN_REGLA,0))))</f>
        <v/>
      </c>
      <c r="CE369" s="3">
        <f>NEUTRO</f>
        <v/>
      </c>
      <c r="CF369" s="3">
        <f>IFERROR(VLOOKUP(L369,SEGURO_TBL,3,0),"")</f>
        <v/>
      </c>
      <c r="CG369" s="3">
        <f>IF(CF369="",NEUTRO,MAX(0,MIN(100,100*(SEG_REF_MAX-CF369)/(SEG_REF_MAX-SEG_REF_MIN))))</f>
        <v/>
      </c>
      <c r="CH369" s="3">
        <f>W_CONS*CE369+W_SEG*CG369</f>
        <v/>
      </c>
      <c r="CI369" s="3">
        <f>IF(N(AB369)&gt;0,AB369,IF(AND(R369="profesional",SG_LEGAL_ON=1),GAR_LEGAL,0))</f>
        <v/>
      </c>
      <c r="CJ369" s="3">
        <f>SG_GAR*MIN(1,CI369/SG_GAR_FULL)+SG_AMPL*(AC369="sí")+SG_KMC*(AF369="sí")+SG_REV*(N(AE369)&gt;0)+SG_DEV*MIN(1,N(AG369)/SG_DEV_FULL)+SG_HIST*(W369="sí")</f>
        <v/>
      </c>
      <c r="CK369" s="3">
        <f>IFERROR(VLOOKUP(L369,CARR_PEN_TBL,2,0),0)</f>
        <v/>
      </c>
      <c r="CL369" s="3">
        <f>W_FIAB*BW369+W_PRECIO*BX369+W_KMEDAD*CB369+W_ANUNCIO*CC369+W_USO*CH369+W_SEGURIDAD*CJ369+W_ETIQUETA*CD369-CK369</f>
        <v/>
      </c>
      <c r="CM369" s="4">
        <f>IF(N(I369)&gt;0,I369,IFERROR(ROUND(_xlfn.NUMBERVALUE(LEFT(G369,FIND(" ",G369&amp;" ")-1),".")*1000,0),99999))</f>
        <v/>
      </c>
      <c r="CN369" s="3">
        <f>IF(R369="profesional",0,IF(O369&lt;CUOTA_VALOR_MAX,IF(BA369&gt;ITP_TRAMO_ALTO,SUMIFS(CF_CUOTA,CF_MAS,ITP_TRAMO_ALTO,CF_CCMIN,"&lt;="&amp;CM369,CF_CCMAX,"&gt;="&amp;CM369),IF(BA369&gt;ITP_TRAMO_BAJO,SUMIFS(CF_CUOTA,CF_MAS,ITP_TRAMO_BAJO,CF_CCMIN,"&lt;="&amp;CM369,CF_CCMAX,"&gt;="&amp;CM369),O369*ITP_TIPO)),O369*ITP_TIPO))</f>
        <v/>
      </c>
      <c r="CO369" s="4">
        <f>IF(R369="profesional",N(AK369),0)</f>
        <v/>
      </c>
      <c r="CP369" s="3">
        <f>IF(AND(R369="profesional",ISNUMBER(AK369),AL369="sí"),0,TASA_DGT)</f>
        <v/>
      </c>
      <c r="CQ369" s="3">
        <f>INFORME_DGT</f>
        <v/>
      </c>
      <c r="CR369" s="4">
        <f>O369+CO369+CN369+CP369+CQ369</f>
        <v/>
      </c>
      <c r="CS369" s="4">
        <f>CR369+N(CF369)</f>
        <v/>
      </c>
      <c r="CT369" s="3">
        <f>IF(CR369&lt;=TOTAL_MAX,"sí",IF(CR369&lt;=TOTAL_MAX+MARGEN_NEG,"negociar","no"))</f>
        <v/>
      </c>
      <c r="CU369" s="4">
        <f>IF(CT369&lt;&gt;"no",COUNTIFS($CT$2:$CT$545,"&lt;&gt;no",$CL$2:$CL$545,"&gt;"&amp;CL369)+COUNTIFS($CT$2:CT369,"&lt;&gt;no",$CL$2:CL369,CL369),"")</f>
        <v/>
      </c>
    </row>
    <row r="370">
      <c r="A370" s="2" t="inlineStr">
        <is>
          <t>cochesnet:71678457</t>
        </is>
      </c>
      <c r="B370" s="2" t="inlineStr">
        <is>
          <t>cochesnet</t>
        </is>
      </c>
      <c r="C370" s="2" t="inlineStr">
        <is>
          <t>https://www.coches.net/peugeot-207-14-16v-xline-5p-gasolina-2006-en-valencia-71678457-covo.aspx</t>
        </is>
      </c>
      <c r="D370" s="2" t="inlineStr">
        <is>
          <t>PEUGEOT 207 1.4 16v XLine</t>
        </is>
      </c>
      <c r="E370" s="2" t="inlineStr">
        <is>
          <t>Peugeot</t>
        </is>
      </c>
      <c r="F370" s="2" t="inlineStr">
        <is>
          <t>Peugeot 207</t>
        </is>
      </c>
      <c r="G370" s="2" t="inlineStr">
        <is>
          <t>1.4</t>
        </is>
      </c>
      <c r="H370" s="2" t="inlineStr">
        <is>
          <t>1.4 16v XLine</t>
        </is>
      </c>
      <c r="I370" s="2" t="n"/>
      <c r="J370" s="2" t="n"/>
      <c r="K370" s="2" t="inlineStr">
        <is>
          <t>gasolina</t>
        </is>
      </c>
      <c r="L370" s="2" t="inlineStr">
        <is>
          <t>utilitario</t>
        </is>
      </c>
      <c r="M370" s="2" t="n">
        <v>2006</v>
      </c>
      <c r="N370" s="2" t="n">
        <v>208000</v>
      </c>
      <c r="O370" s="2" t="n">
        <v>3250</v>
      </c>
      <c r="P370" s="2" t="inlineStr">
        <is>
          <t>manual</t>
        </is>
      </c>
      <c r="Q370" s="2" t="inlineStr">
        <is>
          <t>no</t>
        </is>
      </c>
      <c r="R370" s="2" t="inlineStr">
        <is>
          <t>particular</t>
        </is>
      </c>
      <c r="S370" s="2" t="inlineStr">
        <is>
          <t>Paterna</t>
        </is>
      </c>
      <c r="T370" s="2" t="inlineStr">
        <is>
          <t>2026-10-05T18:02:29Z</t>
        </is>
      </c>
      <c r="U370" s="2" t="n">
        <v>5</v>
      </c>
      <c r="V370" s="2" t="n"/>
      <c r="W370" s="2" t="n"/>
      <c r="X370" s="2" t="n"/>
      <c r="Y370" s="2" t="n"/>
      <c r="Z370" s="2" t="inlineStr">
        <is>
          <t>no</t>
        </is>
      </c>
      <c r="AA370" s="2" t="n"/>
      <c r="AB370" s="2" t="n"/>
      <c r="AC370" s="2" t="n"/>
      <c r="AD370" s="2" t="n"/>
      <c r="AE370" s="2" t="n"/>
      <c r="AF370" s="2" t="n"/>
      <c r="AG370" s="2" t="n"/>
      <c r="AH370" s="2" t="n">
        <v>3250</v>
      </c>
      <c r="AI370" s="2" t="n"/>
      <c r="AJ370" s="2" t="n"/>
      <c r="AK370" s="2" t="n"/>
      <c r="AL370" s="2" t="n"/>
      <c r="AM370" s="2" t="n">
        <v>6.8</v>
      </c>
      <c r="AN370" s="2" t="n"/>
      <c r="AO370" s="2" t="inlineStr">
        <is>
          <t>08/2006</t>
        </is>
      </c>
      <c r="AP370" s="2" t="n">
        <v>2006</v>
      </c>
      <c r="AQ370" s="2" t="n">
        <v>8</v>
      </c>
      <c r="AR370" s="2" t="n"/>
      <c r="AS370" s="2" t="inlineStr">
        <is>
          <t>regla</t>
        </is>
      </c>
      <c r="AT370" s="2" t="n">
        <v>2849.5</v>
      </c>
      <c r="AU370" s="2" t="n">
        <v>12</v>
      </c>
      <c r="AV370" s="2" t="inlineStr">
        <is>
          <t>modelo+año</t>
        </is>
      </c>
      <c r="AW370" s="2" t="n"/>
      <c r="AX370" s="2" t="inlineStr">
        <is>
          <t>cuota fija ITP: &gt;12 años, hasta 1.500 cc; fiabilidad del modelo PENDIENTE de fuente (puntuación neutra)</t>
        </is>
      </c>
      <c r="AY370" s="2" t="inlineStr"/>
      <c r="AZ370" s="2" t="inlineStr">
        <is>
          <t>https://www.coches.net/peugeot-207-14-16v-xline-5p-gasolina-2006-en-valencia-71678457-covo.aspx (window.__INITIAL_PROPS__.ad) /home/user/Alopecia/buscador-coches/raw/cochesnet/195ad0b931fcdf32.json</t>
        </is>
      </c>
      <c r="BA370" s="3">
        <f>MAX(ANIO_ACTUAL-M370,0)</f>
        <v/>
      </c>
      <c r="BB370" s="4">
        <f>N370/MAX(BA370,0.5)</f>
        <v/>
      </c>
      <c r="BC370" s="4">
        <f>F370</f>
        <v/>
      </c>
      <c r="BD370" s="3">
        <f>BC370&amp;"|"&amp;INT(M370/SEG_ANIO)*SEG_ANIO</f>
        <v/>
      </c>
      <c r="BE370" s="3">
        <f>BD370&amp;"|"&amp;INT(N370/SEG_KM)*SEG_KM</f>
        <v/>
      </c>
      <c r="BF370" s="4">
        <f>COUNTIF($BC$2:$BC$545,BC370)</f>
        <v/>
      </c>
      <c r="BG370" s="4">
        <f>COUNTIF($BD$2:$BD$545,BD370)</f>
        <v/>
      </c>
      <c r="BH370" s="4">
        <f>COUNTIF($BE$2:$BE$545,BE370)</f>
        <v/>
      </c>
      <c r="BI370" s="3">
        <f t="array" ref="BI370">IF(N(AU370)&gt;=MIN_N,AT370,IF(BH370&gt;=MIN_N,MEDIAN(IF($BE$2:$BE$545=BE370,$O$2:$O$545)),IF(BG370&gt;=MIN_N,MEDIAN(IF($BD$2:$BD$545=BD370,$O$2:$O$545)),MEDIAN(IF($BC$2:$BC$545=BC370,$O$2:$O$545)))))</f>
        <v/>
      </c>
      <c r="BJ370" s="3">
        <f>IF(N(AU370)&gt;=MIN_N,"mercado "&amp;AV370,IF(BH370&gt;=MIN_N,"modelo+año+km",IF(BG370&gt;=MIN_N,"modelo+año","modelo")))</f>
        <v/>
      </c>
      <c r="BK370" s="4">
        <f>(BI370-O370)/BI370</f>
        <v/>
      </c>
      <c r="BL370" s="3">
        <f>IF(COUNTIFS(FR_FUEL,K370,FR_YEAR,AP370)&gt;0,1,0)</f>
        <v/>
      </c>
      <c r="BM370" s="3">
        <f>IF(COUNTIFS(FR_FUEL,K370,FR_YEAR,AP370-1)&gt;0,1,0)</f>
        <v/>
      </c>
      <c r="BN370" s="4">
        <f>IF(N(AQ370)&gt;0,AP370*100+AQ370,IF(AND(BL370=1,BM370=1),(AP370-1)*100+1,AP370*100+1))</f>
        <v/>
      </c>
      <c r="BO370" s="3">
        <f>IF(OR(K370="hibrido",K370="glp",K370="gnc",K370="phev"),"ECO",IF(K370="electrico","CERO",IF(K370="gasolina",IF(BN370&gt;=GAS_C_YM,"C",IF(BN370&gt;=GAS_B_YM,"B","A")),IF(K370="diesel",IF(BN370&gt;=DIE_C_YM,"C",IF(BN370&gt;=DIE_B_YM,"B","A")),""))))</f>
        <v/>
      </c>
      <c r="BP370" s="4">
        <f>BO370</f>
        <v/>
      </c>
      <c r="BQ370" s="4">
        <f>IF(AS370="regla",IF(AND(N(AQ370)=0,BL370=1),"sí","no"),"no")</f>
        <v/>
      </c>
      <c r="BR370" s="3">
        <f>IFERROR(VLOOKUP(F370,MOD_TBL,11,0),IFERROR(VLOOKUP(E370,OCU_TBL,2,0),NEUTRO))</f>
        <v/>
      </c>
      <c r="BS370" s="3">
        <f>SUMIFS(MOT_AJUSTE,MOT_MOTOR,G370,MOT_MARCA,E370,MOT_DESDE,"&lt;="&amp;M370,MOT_HASTA,"&gt;="&amp;M370)+SUMIFS(MOT_AJUSTE,MOT_MOTOR,G370,MOT_MARCA,"(todas)",MOT_DESDE,"&lt;="&amp;M370,MOT_HASTA,"&gt;="&amp;M370)</f>
        <v/>
      </c>
      <c r="BT370" s="3">
        <f>SUMIFS(COMB_AJUSTE,COMB_COMB,K370)</f>
        <v/>
      </c>
      <c r="BU370" s="3">
        <f>COUNTIFS(MOT_MOTOR,G370,MOT_MARCA,E370,MOT_DESDE,"&lt;="&amp;M370,MOT_HASTA,"&gt;="&amp;M370)+COUNTIFS(MOT_MOTOR,G370,MOT_MARCA,"(todas)",MOT_DESDE,"&lt;="&amp;M370,MOT_HASTA,"&gt;="&amp;M370)</f>
        <v/>
      </c>
      <c r="BV370" s="3">
        <f>IF(AND(K370="diesel",BU370=0),MIN(BR370,NEUTRO),BR370)</f>
        <v/>
      </c>
      <c r="BW370" s="4">
        <f>MAX(0,MIN(100,BV370+BS370+BT370))</f>
        <v/>
      </c>
      <c r="BX370" s="3">
        <f>MAX(0,MIN(100,50+BK370*PRECIO_PEND))</f>
        <v/>
      </c>
      <c r="BY370" s="3">
        <f>MAX(0,100*(1-N370/KM_MAX))</f>
        <v/>
      </c>
      <c r="BZ370" s="3">
        <f>IF(BB370&lt;KMA_SOSP,IF(AA370="sí",100,KMA_PEN),IF(BB370&lt;=KMA_IDEAL_MAX,100,MAX(0,100*(KMA_CERO-BB370)/(KMA_CERO-KMA_IDEAL_MAX))))</f>
        <v/>
      </c>
      <c r="CA370" s="3">
        <f>MAX(0,MIN(100,100*(M370-ANIO_MIN)/(ANIO_ACTUAL-ANIO_MIN)))</f>
        <v/>
      </c>
      <c r="CB370" s="3">
        <f>W_KMT*BY370+W_KMA*BZ370+W_EDAD*CA370</f>
        <v/>
      </c>
      <c r="CC370" s="3">
        <f>P_ITV*(V370="sí")+P_LIBRO*(W370="sí")+P_CORREA*(X370="sí")+P_PROP*(Y370=1)+P_GAR*(Z370="sí")+P_FOTOS*MIN(1,N(U370)/FOTOS_OBJ)</f>
        <v/>
      </c>
      <c r="CD370" s="3">
        <f>MAX(0,MIN(100,IFERROR(VLOOKUP(BP370,ETQ_TBL,2,0),0)-IF(BQ370="sí",ETQ_PEN_DUD,IF(AS370="regla",ETQ_PEN_REGLA,0))))</f>
        <v/>
      </c>
      <c r="CE370" s="3">
        <f>NEUTRO</f>
        <v/>
      </c>
      <c r="CF370" s="3">
        <f>IFERROR(VLOOKUP(L370,SEGURO_TBL,3,0),"")</f>
        <v/>
      </c>
      <c r="CG370" s="3">
        <f>IF(CF370="",NEUTRO,MAX(0,MIN(100,100*(SEG_REF_MAX-CF370)/(SEG_REF_MAX-SEG_REF_MIN))))</f>
        <v/>
      </c>
      <c r="CH370" s="3">
        <f>W_CONS*CE370+W_SEG*CG370</f>
        <v/>
      </c>
      <c r="CI370" s="3">
        <f>IF(N(AB370)&gt;0,AB370,IF(AND(R370="profesional",SG_LEGAL_ON=1),GAR_LEGAL,0))</f>
        <v/>
      </c>
      <c r="CJ370" s="3">
        <f>SG_GAR*MIN(1,CI370/SG_GAR_FULL)+SG_AMPL*(AC370="sí")+SG_KMC*(AF370="sí")+SG_REV*(N(AE370)&gt;0)+SG_DEV*MIN(1,N(AG370)/SG_DEV_FULL)+SG_HIST*(W370="sí")</f>
        <v/>
      </c>
      <c r="CK370" s="3">
        <f>IFERROR(VLOOKUP(L370,CARR_PEN_TBL,2,0),0)</f>
        <v/>
      </c>
      <c r="CL370" s="3">
        <f>W_FIAB*BW370+W_PRECIO*BX370+W_KMEDAD*CB370+W_ANUNCIO*CC370+W_USO*CH370+W_SEGURIDAD*CJ370+W_ETIQUETA*CD370-CK370</f>
        <v/>
      </c>
      <c r="CM370" s="4">
        <f>IF(N(I370)&gt;0,I370,IFERROR(ROUND(_xlfn.NUMBERVALUE(LEFT(G370,FIND(" ",G370&amp;" ")-1),".")*1000,0),99999))</f>
        <v/>
      </c>
      <c r="CN370" s="3">
        <f>IF(R370="profesional",0,IF(O370&lt;CUOTA_VALOR_MAX,IF(BA370&gt;ITP_TRAMO_ALTO,SUMIFS(CF_CUOTA,CF_MAS,ITP_TRAMO_ALTO,CF_CCMIN,"&lt;="&amp;CM370,CF_CCMAX,"&gt;="&amp;CM370),IF(BA370&gt;ITP_TRAMO_BAJO,SUMIFS(CF_CUOTA,CF_MAS,ITP_TRAMO_BAJO,CF_CCMIN,"&lt;="&amp;CM370,CF_CCMAX,"&gt;="&amp;CM370),O370*ITP_TIPO)),O370*ITP_TIPO))</f>
        <v/>
      </c>
      <c r="CO370" s="4">
        <f>IF(R370="profesional",N(AK370),0)</f>
        <v/>
      </c>
      <c r="CP370" s="3">
        <f>IF(AND(R370="profesional",ISNUMBER(AK370),AL370="sí"),0,TASA_DGT)</f>
        <v/>
      </c>
      <c r="CQ370" s="3">
        <f>INFORME_DGT</f>
        <v/>
      </c>
      <c r="CR370" s="4">
        <f>O370+CO370+CN370+CP370+CQ370</f>
        <v/>
      </c>
      <c r="CS370" s="4">
        <f>CR370+N(CF370)</f>
        <v/>
      </c>
      <c r="CT370" s="3">
        <f>IF(CR370&lt;=TOTAL_MAX,"sí",IF(CR370&lt;=TOTAL_MAX+MARGEN_NEG,"negociar","no"))</f>
        <v/>
      </c>
      <c r="CU370" s="4">
        <f>IF(CT370&lt;&gt;"no",COUNTIFS($CT$2:$CT$545,"&lt;&gt;no",$CL$2:$CL$545,"&gt;"&amp;CL370)+COUNTIFS($CT$2:CT370,"&lt;&gt;no",$CL$2:CL370,CL370),"")</f>
        <v/>
      </c>
    </row>
    <row r="371">
      <c r="A371" s="2" t="inlineStr">
        <is>
          <t>cochesnet:71786783</t>
        </is>
      </c>
      <c r="B371" s="2" t="inlineStr">
        <is>
          <t>cochesnet</t>
        </is>
      </c>
      <c r="C371" s="2" t="inlineStr">
        <is>
          <t>https://www.coches.net/peugeot-207-14-75-urban-3p-gasolina-2007-en-valencia-71786783-covo.aspx</t>
        </is>
      </c>
      <c r="D371" s="2" t="inlineStr">
        <is>
          <t>PEUGEOT 207 1.4 75 Urban</t>
        </is>
      </c>
      <c r="E371" s="2" t="inlineStr">
        <is>
          <t>Peugeot</t>
        </is>
      </c>
      <c r="F371" s="2" t="inlineStr">
        <is>
          <t>Peugeot 207</t>
        </is>
      </c>
      <c r="G371" s="2" t="inlineStr">
        <is>
          <t>1.4</t>
        </is>
      </c>
      <c r="H371" s="2" t="inlineStr">
        <is>
          <t>1.4 75 Urban</t>
        </is>
      </c>
      <c r="I371" s="2" t="n"/>
      <c r="J371" s="2" t="n"/>
      <c r="K371" s="2" t="inlineStr">
        <is>
          <t>gasolina</t>
        </is>
      </c>
      <c r="L371" s="2" t="inlineStr">
        <is>
          <t>utilitario</t>
        </is>
      </c>
      <c r="M371" s="2" t="n">
        <v>2007</v>
      </c>
      <c r="N371" s="2" t="n">
        <v>131000</v>
      </c>
      <c r="O371" s="2" t="n">
        <v>3500</v>
      </c>
      <c r="P371" s="2" t="inlineStr">
        <is>
          <t>manual</t>
        </is>
      </c>
      <c r="Q371" s="2" t="inlineStr">
        <is>
          <t>no</t>
        </is>
      </c>
      <c r="R371" s="2" t="inlineStr">
        <is>
          <t>particular</t>
        </is>
      </c>
      <c r="S371" s="2" t="inlineStr">
        <is>
          <t>Alboraya</t>
        </is>
      </c>
      <c r="T371" s="2" t="inlineStr">
        <is>
          <t>2026-10-20T05:26:03Z</t>
        </is>
      </c>
      <c r="U371" s="2" t="n"/>
      <c r="V371" s="2" t="n"/>
      <c r="W371" s="2" t="inlineStr">
        <is>
          <t>sí</t>
        </is>
      </c>
      <c r="X371" s="2" t="n"/>
      <c r="Y371" s="2" t="n"/>
      <c r="Z371" s="2" t="inlineStr">
        <is>
          <t>no</t>
        </is>
      </c>
      <c r="AA371" s="2" t="n"/>
      <c r="AB371" s="2" t="n"/>
      <c r="AC371" s="2" t="n"/>
      <c r="AD371" s="2" t="n"/>
      <c r="AE371" s="2" t="n"/>
      <c r="AF371" s="2" t="n"/>
      <c r="AG371" s="2" t="n"/>
      <c r="AH371" s="2" t="n">
        <v>3500</v>
      </c>
      <c r="AI371" s="2" t="n"/>
      <c r="AJ371" s="2" t="n"/>
      <c r="AK371" s="2" t="n"/>
      <c r="AL371" s="2" t="n"/>
      <c r="AM371" s="2" t="n">
        <v>4</v>
      </c>
      <c r="AN371" s="2" t="n"/>
      <c r="AO371" s="2" t="inlineStr">
        <is>
          <t>2007</t>
        </is>
      </c>
      <c r="AP371" s="2" t="n">
        <v>2007</v>
      </c>
      <c r="AQ371" s="2" t="n"/>
      <c r="AR371" s="2" t="inlineStr">
        <is>
          <t>C</t>
        </is>
      </c>
      <c r="AS371" s="2" t="inlineStr">
        <is>
          <t>anuncio</t>
        </is>
      </c>
      <c r="AT371" s="2" t="n">
        <v>3550</v>
      </c>
      <c r="AU371" s="2" t="n">
        <v>30</v>
      </c>
      <c r="AV371" s="2" t="inlineStr">
        <is>
          <t>modelo+año+km</t>
        </is>
      </c>
      <c r="AW371" s="2" t="n"/>
      <c r="AX371" s="2" t="inlineStr">
        <is>
          <t>cuota fija ITP: &gt;12 años, hasta 1.500 cc; fiabilidad del modelo PENDIENTE de fuente (puntuación neutra)</t>
        </is>
      </c>
      <c r="AY371" s="2" t="inlineStr">
        <is>
          <t>Si buscas un coche funcional y asequible para moverte por la ciudad o para trayectos diarios, aquí tienes una opción práctica. Este Peugeot 207 es un berlina compacta de tres puertas y cinco plazas, perfecta para quienes necesitan versatilidad sin complicaciones.
El motor de 1.4 litros ofrece una potencia de 75 CV, suficiente para un uso urbano eficiente. Su cambio manual te permite un control directo de la conducción, mientras que su consumo moderado ayuda a mantener los gastos de combustible bajo control. Es un vehículo pensado para ser práctico y económico en el día a día.
Aunque el coche presenta signos de uso en su exterior e interior, sigue siendo completamente funcional para quien busque un transporte fiable sin pretensiones. Su carrocería roja mantiene carácter, y a pesar de los años recorridos, puede seguir siendo una buena solución para desplazamientos cotidianos.
Por el precio que se ofrece, representa una opción accesible para quienes necesitan un vehículo de segunda mano sin grandes inversiones. Es ideal para conductores que valoren la practicidad sobre todo lo demás, o para quienes buscan un primer coche a un coste muy contenido.
Si tienes dudas específicas sobre el estado mecánico, el historial de mantenimiento o cualquier otro aspecto que no aparezca en la ficha del portal, no dudes en contactarme a través del chat. Estaré encantado de resolver tus preguntas.
Contacta hoy mismo y comprueba por ti mismo si este Peugeot se ajusta a lo que buscas.</t>
        </is>
      </c>
      <c r="AZ371" s="2" t="inlineStr">
        <is>
          <t>https://www.coches.net/peugeot-207-14-75-urban-3p-gasolina-2007-en-valencia-71786783-covo.aspx (window.__INITIAL_PROPS__.ad) /home/user/Alopecia/buscador-coches/raw/cochesnet/a5ff4a328a63eb2b.json</t>
        </is>
      </c>
      <c r="BA371" s="3">
        <f>MAX(ANIO_ACTUAL-M371,0)</f>
        <v/>
      </c>
      <c r="BB371" s="4">
        <f>N371/MAX(BA371,0.5)</f>
        <v/>
      </c>
      <c r="BC371" s="4">
        <f>F371</f>
        <v/>
      </c>
      <c r="BD371" s="3">
        <f>BC371&amp;"|"&amp;INT(M371/SEG_ANIO)*SEG_ANIO</f>
        <v/>
      </c>
      <c r="BE371" s="3">
        <f>BD371&amp;"|"&amp;INT(N371/SEG_KM)*SEG_KM</f>
        <v/>
      </c>
      <c r="BF371" s="4">
        <f>COUNTIF($BC$2:$BC$545,BC371)</f>
        <v/>
      </c>
      <c r="BG371" s="4">
        <f>COUNTIF($BD$2:$BD$545,BD371)</f>
        <v/>
      </c>
      <c r="BH371" s="4">
        <f>COUNTIF($BE$2:$BE$545,BE371)</f>
        <v/>
      </c>
      <c r="BI371" s="3">
        <f t="array" ref="BI371">IF(N(AU371)&gt;=MIN_N,AT371,IF(BH371&gt;=MIN_N,MEDIAN(IF($BE$2:$BE$545=BE371,$O$2:$O$545)),IF(BG371&gt;=MIN_N,MEDIAN(IF($BD$2:$BD$545=BD371,$O$2:$O$545)),MEDIAN(IF($BC$2:$BC$545=BC371,$O$2:$O$545)))))</f>
        <v/>
      </c>
      <c r="BJ371" s="3">
        <f>IF(N(AU371)&gt;=MIN_N,"mercado "&amp;AV371,IF(BH371&gt;=MIN_N,"modelo+año+km",IF(BG371&gt;=MIN_N,"modelo+año","modelo")))</f>
        <v/>
      </c>
      <c r="BK371" s="4">
        <f>(BI371-O371)/BI371</f>
        <v/>
      </c>
      <c r="BL371" s="3">
        <f>IF(COUNTIFS(FR_FUEL,K371,FR_YEAR,AP371)&gt;0,1,0)</f>
        <v/>
      </c>
      <c r="BM371" s="3">
        <f>IF(COUNTIFS(FR_FUEL,K371,FR_YEAR,AP371-1)&gt;0,1,0)</f>
        <v/>
      </c>
      <c r="BN371" s="4">
        <f>IF(N(AQ371)&gt;0,AP371*100+AQ371,IF(AND(BL371=1,BM371=1),(AP371-1)*100+1,AP371*100+1))</f>
        <v/>
      </c>
      <c r="BO371" s="3">
        <f>IF(OR(K371="hibrido",K371="glp",K371="gnc",K371="phev"),"ECO",IF(K371="electrico","CERO",IF(K371="gasolina",IF(BN371&gt;=GAS_C_YM,"C",IF(BN371&gt;=GAS_B_YM,"B","A")),IF(K371="diesel",IF(BN371&gt;=DIE_C_YM,"C",IF(BN371&gt;=DIE_B_YM,"B","A")),""))))</f>
        <v/>
      </c>
      <c r="BP371" s="2" t="inlineStr">
        <is>
          <t>C</t>
        </is>
      </c>
      <c r="BQ371" s="4">
        <f>IF(AS371="regla",IF(AND(N(AQ371)=0,BL371=1),"sí","no"),"no")</f>
        <v/>
      </c>
      <c r="BR371" s="3">
        <f>IFERROR(VLOOKUP(F371,MOD_TBL,11,0),IFERROR(VLOOKUP(E371,OCU_TBL,2,0),NEUTRO))</f>
        <v/>
      </c>
      <c r="BS371" s="3">
        <f>SUMIFS(MOT_AJUSTE,MOT_MOTOR,G371,MOT_MARCA,E371,MOT_DESDE,"&lt;="&amp;M371,MOT_HASTA,"&gt;="&amp;M371)+SUMIFS(MOT_AJUSTE,MOT_MOTOR,G371,MOT_MARCA,"(todas)",MOT_DESDE,"&lt;="&amp;M371,MOT_HASTA,"&gt;="&amp;M371)</f>
        <v/>
      </c>
      <c r="BT371" s="3">
        <f>SUMIFS(COMB_AJUSTE,COMB_COMB,K371)</f>
        <v/>
      </c>
      <c r="BU371" s="3">
        <f>COUNTIFS(MOT_MOTOR,G371,MOT_MARCA,E371,MOT_DESDE,"&lt;="&amp;M371,MOT_HASTA,"&gt;="&amp;M371)+COUNTIFS(MOT_MOTOR,G371,MOT_MARCA,"(todas)",MOT_DESDE,"&lt;="&amp;M371,MOT_HASTA,"&gt;="&amp;M371)</f>
        <v/>
      </c>
      <c r="BV371" s="3">
        <f>IF(AND(K371="diesel",BU371=0),MIN(BR371,NEUTRO),BR371)</f>
        <v/>
      </c>
      <c r="BW371" s="4">
        <f>MAX(0,MIN(100,BV371+BS371+BT371))</f>
        <v/>
      </c>
      <c r="BX371" s="3">
        <f>MAX(0,MIN(100,50+BK371*PRECIO_PEND))</f>
        <v/>
      </c>
      <c r="BY371" s="3">
        <f>MAX(0,100*(1-N371/KM_MAX))</f>
        <v/>
      </c>
      <c r="BZ371" s="3">
        <f>IF(BB371&lt;KMA_SOSP,IF(AA371="sí",100,KMA_PEN),IF(BB371&lt;=KMA_IDEAL_MAX,100,MAX(0,100*(KMA_CERO-BB371)/(KMA_CERO-KMA_IDEAL_MAX))))</f>
        <v/>
      </c>
      <c r="CA371" s="3">
        <f>MAX(0,MIN(100,100*(M371-ANIO_MIN)/(ANIO_ACTUAL-ANIO_MIN)))</f>
        <v/>
      </c>
      <c r="CB371" s="3">
        <f>W_KMT*BY371+W_KMA*BZ371+W_EDAD*CA371</f>
        <v/>
      </c>
      <c r="CC371" s="3">
        <f>P_ITV*(V371="sí")+P_LIBRO*(W371="sí")+P_CORREA*(X371="sí")+P_PROP*(Y371=1)+P_GAR*(Z371="sí")+P_FOTOS*MIN(1,N(U371)/FOTOS_OBJ)</f>
        <v/>
      </c>
      <c r="CD371" s="3">
        <f>MAX(0,MIN(100,IFERROR(VLOOKUP(BP371,ETQ_TBL,2,0),0)-IF(BQ371="sí",ETQ_PEN_DUD,IF(AS371="regla",ETQ_PEN_REGLA,0))))</f>
        <v/>
      </c>
      <c r="CE371" s="3">
        <f>NEUTRO</f>
        <v/>
      </c>
      <c r="CF371" s="3">
        <f>IFERROR(VLOOKUP(L371,SEGURO_TBL,3,0),"")</f>
        <v/>
      </c>
      <c r="CG371" s="3">
        <f>IF(CF371="",NEUTRO,MAX(0,MIN(100,100*(SEG_REF_MAX-CF371)/(SEG_REF_MAX-SEG_REF_MIN))))</f>
        <v/>
      </c>
      <c r="CH371" s="3">
        <f>W_CONS*CE371+W_SEG*CG371</f>
        <v/>
      </c>
      <c r="CI371" s="3">
        <f>IF(N(AB371)&gt;0,AB371,IF(AND(R371="profesional",SG_LEGAL_ON=1),GAR_LEGAL,0))</f>
        <v/>
      </c>
      <c r="CJ371" s="3">
        <f>SG_GAR*MIN(1,CI371/SG_GAR_FULL)+SG_AMPL*(AC371="sí")+SG_KMC*(AF371="sí")+SG_REV*(N(AE371)&gt;0)+SG_DEV*MIN(1,N(AG371)/SG_DEV_FULL)+SG_HIST*(W371="sí")</f>
        <v/>
      </c>
      <c r="CK371" s="3">
        <f>IFERROR(VLOOKUP(L371,CARR_PEN_TBL,2,0),0)</f>
        <v/>
      </c>
      <c r="CL371" s="3">
        <f>W_FIAB*BW371+W_PRECIO*BX371+W_KMEDAD*CB371+W_ANUNCIO*CC371+W_USO*CH371+W_SEGURIDAD*CJ371+W_ETIQUETA*CD371-CK371</f>
        <v/>
      </c>
      <c r="CM371" s="4">
        <f>IF(N(I371)&gt;0,I371,IFERROR(ROUND(_xlfn.NUMBERVALUE(LEFT(G371,FIND(" ",G371&amp;" ")-1),".")*1000,0),99999))</f>
        <v/>
      </c>
      <c r="CN371" s="3">
        <f>IF(R371="profesional",0,IF(O371&lt;CUOTA_VALOR_MAX,IF(BA371&gt;ITP_TRAMO_ALTO,SUMIFS(CF_CUOTA,CF_MAS,ITP_TRAMO_ALTO,CF_CCMIN,"&lt;="&amp;CM371,CF_CCMAX,"&gt;="&amp;CM371),IF(BA371&gt;ITP_TRAMO_BAJO,SUMIFS(CF_CUOTA,CF_MAS,ITP_TRAMO_BAJO,CF_CCMIN,"&lt;="&amp;CM371,CF_CCMAX,"&gt;="&amp;CM371),O371*ITP_TIPO)),O371*ITP_TIPO))</f>
        <v/>
      </c>
      <c r="CO371" s="4">
        <f>IF(R371="profesional",N(AK371),0)</f>
        <v/>
      </c>
      <c r="CP371" s="3">
        <f>IF(AND(R371="profesional",ISNUMBER(AK371),AL371="sí"),0,TASA_DGT)</f>
        <v/>
      </c>
      <c r="CQ371" s="3">
        <f>INFORME_DGT</f>
        <v/>
      </c>
      <c r="CR371" s="4">
        <f>O371+CO371+CN371+CP371+CQ371</f>
        <v/>
      </c>
      <c r="CS371" s="4">
        <f>CR371+N(CF371)</f>
        <v/>
      </c>
      <c r="CT371" s="3">
        <f>IF(CR371&lt;=TOTAL_MAX,"sí",IF(CR371&lt;=TOTAL_MAX+MARGEN_NEG,"negociar","no"))</f>
        <v/>
      </c>
      <c r="CU371" s="4">
        <f>IF(CT371&lt;&gt;"no",COUNTIFS($CT$2:$CT$545,"&lt;&gt;no",$CL$2:$CL$545,"&gt;"&amp;CL371)+COUNTIFS($CT$2:CT371,"&lt;&gt;no",$CL$2:CL371,CL371),"")</f>
        <v/>
      </c>
    </row>
    <row r="372">
      <c r="A372" s="2" t="inlineStr">
        <is>
          <t>cochesnet:71515167</t>
        </is>
      </c>
      <c r="B372" s="2" t="inlineStr">
        <is>
          <t>cochesnet</t>
        </is>
      </c>
      <c r="C372" s="2" t="inlineStr">
        <is>
          <t>https://www.coches.net/peugeot-207-gasolina-2006-en-valencia-71515167-covo.aspx</t>
        </is>
      </c>
      <c r="D372" s="2" t="inlineStr">
        <is>
          <t>PEUGEOT 207</t>
        </is>
      </c>
      <c r="E372" s="2" t="inlineStr">
        <is>
          <t>Peugeot</t>
        </is>
      </c>
      <c r="F372" s="2" t="inlineStr">
        <is>
          <t>Peugeot 207</t>
        </is>
      </c>
      <c r="G372" s="2" t="n"/>
      <c r="H372" s="2" t="n"/>
      <c r="I372" s="2" t="n"/>
      <c r="J372" s="2" t="n"/>
      <c r="K372" s="2" t="inlineStr">
        <is>
          <t>gasolina</t>
        </is>
      </c>
      <c r="L372" s="2" t="inlineStr">
        <is>
          <t>utilitario</t>
        </is>
      </c>
      <c r="M372" s="2" t="n">
        <v>2006</v>
      </c>
      <c r="N372" s="2" t="n">
        <v>199378</v>
      </c>
      <c r="O372" s="2" t="n">
        <v>2500</v>
      </c>
      <c r="P372" s="2" t="inlineStr">
        <is>
          <t>manual</t>
        </is>
      </c>
      <c r="Q372" s="2" t="inlineStr">
        <is>
          <t>no</t>
        </is>
      </c>
      <c r="R372" s="2" t="inlineStr">
        <is>
          <t>particular</t>
        </is>
      </c>
      <c r="S372" s="2" t="inlineStr">
        <is>
          <t>Alboraya</t>
        </is>
      </c>
      <c r="T372" s="2" t="inlineStr">
        <is>
          <t>2026-09-15T06:38:01Z</t>
        </is>
      </c>
      <c r="U372" s="2" t="n">
        <v>8</v>
      </c>
      <c r="V372" s="2" t="inlineStr">
        <is>
          <t>sí</t>
        </is>
      </c>
      <c r="W372" s="2" t="n"/>
      <c r="X372" s="2" t="n"/>
      <c r="Y372" s="2" t="n"/>
      <c r="Z372" s="2" t="inlineStr">
        <is>
          <t>no</t>
        </is>
      </c>
      <c r="AA372" s="2" t="n"/>
      <c r="AB372" s="2" t="n"/>
      <c r="AC372" s="2" t="n"/>
      <c r="AD372" s="2" t="n"/>
      <c r="AE372" s="2" t="n"/>
      <c r="AF372" s="2" t="n"/>
      <c r="AG372" s="2" t="n"/>
      <c r="AH372" s="2" t="n">
        <v>2500</v>
      </c>
      <c r="AI372" s="2" t="n"/>
      <c r="AJ372" s="2" t="n"/>
      <c r="AK372" s="2" t="n"/>
      <c r="AL372" s="2" t="n"/>
      <c r="AM372" s="2" t="n">
        <v>4</v>
      </c>
      <c r="AN372" s="2" t="n"/>
      <c r="AO372" s="2" t="inlineStr">
        <is>
          <t>2006</t>
        </is>
      </c>
      <c r="AP372" s="2" t="n">
        <v>2006</v>
      </c>
      <c r="AQ372" s="2" t="n"/>
      <c r="AR372" s="2" t="n"/>
      <c r="AS372" s="2" t="inlineStr">
        <is>
          <t>regla</t>
        </is>
      </c>
      <c r="AT372" s="2" t="n">
        <v>2950</v>
      </c>
      <c r="AU372" s="2" t="n">
        <v>4</v>
      </c>
      <c r="AV372" s="2" t="inlineStr">
        <is>
          <t>modelo+año+km</t>
        </is>
      </c>
      <c r="AW372" s="2" t="n"/>
      <c r="AX372" s="2" t="inlineStr">
        <is>
          <t>cilindrada desconocida: se aplica el tramo de cuota fija más alto; cuota fija ITP: &gt;12 años, más de 2.000 cc; fiabilidad del modelo PENDIENTE de fuente (puntuación neutra)</t>
        </is>
      </c>
      <c r="AY372" s="2" t="inlineStr">
        <is>
          <t xml:space="preserve">Se vende urgente por viaje 
 Peugeot 207 XS pACK 1.4 199.000 KM. Revisiones al día, ITV al día hasta mayo 2027, funciona todo. 
Escribir por whatsapp o por este medio. </t>
        </is>
      </c>
      <c r="AZ372" s="2" t="inlineStr">
        <is>
          <t>https://www.coches.net/peugeot-207-gasolina-2006-en-valencia-71515167-covo.aspx (window.__INITIAL_PROPS__.ad) /home/user/Alopecia/buscador-coches/raw/cochesnet/9ac1f30d9765c183.json</t>
        </is>
      </c>
      <c r="BA372" s="3">
        <f>MAX(ANIO_ACTUAL-M372,0)</f>
        <v/>
      </c>
      <c r="BB372" s="4">
        <f>N372/MAX(BA372,0.5)</f>
        <v/>
      </c>
      <c r="BC372" s="4">
        <f>F372</f>
        <v/>
      </c>
      <c r="BD372" s="3">
        <f>BC372&amp;"|"&amp;INT(M372/SEG_ANIO)*SEG_ANIO</f>
        <v/>
      </c>
      <c r="BE372" s="3">
        <f>BD372&amp;"|"&amp;INT(N372/SEG_KM)*SEG_KM</f>
        <v/>
      </c>
      <c r="BF372" s="4">
        <f>COUNTIF($BC$2:$BC$545,BC372)</f>
        <v/>
      </c>
      <c r="BG372" s="4">
        <f>COUNTIF($BD$2:$BD$545,BD372)</f>
        <v/>
      </c>
      <c r="BH372" s="4">
        <f>COUNTIF($BE$2:$BE$545,BE372)</f>
        <v/>
      </c>
      <c r="BI372" s="3">
        <f t="array" ref="BI372">IF(N(AU372)&gt;=MIN_N,AT372,IF(BH372&gt;=MIN_N,MEDIAN(IF($BE$2:$BE$545=BE372,$O$2:$O$545)),IF(BG372&gt;=MIN_N,MEDIAN(IF($BD$2:$BD$545=BD372,$O$2:$O$545)),MEDIAN(IF($BC$2:$BC$545=BC372,$O$2:$O$545)))))</f>
        <v/>
      </c>
      <c r="BJ372" s="3">
        <f>IF(N(AU372)&gt;=MIN_N,"mercado "&amp;AV372,IF(BH372&gt;=MIN_N,"modelo+año+km",IF(BG372&gt;=MIN_N,"modelo+año","modelo")))</f>
        <v/>
      </c>
      <c r="BK372" s="4">
        <f>(BI372-O372)/BI372</f>
        <v/>
      </c>
      <c r="BL372" s="3">
        <f>IF(COUNTIFS(FR_FUEL,K372,FR_YEAR,AP372)&gt;0,1,0)</f>
        <v/>
      </c>
      <c r="BM372" s="3">
        <f>IF(COUNTIFS(FR_FUEL,K372,FR_YEAR,AP372-1)&gt;0,1,0)</f>
        <v/>
      </c>
      <c r="BN372" s="4">
        <f>IF(N(AQ372)&gt;0,AP372*100+AQ372,IF(AND(BL372=1,BM372=1),(AP372-1)*100+1,AP372*100+1))</f>
        <v/>
      </c>
      <c r="BO372" s="3">
        <f>IF(OR(K372="hibrido",K372="glp",K372="gnc",K372="phev"),"ECO",IF(K372="electrico","CERO",IF(K372="gasolina",IF(BN372&gt;=GAS_C_YM,"C",IF(BN372&gt;=GAS_B_YM,"B","A")),IF(K372="diesel",IF(BN372&gt;=DIE_C_YM,"C",IF(BN372&gt;=DIE_B_YM,"B","A")),""))))</f>
        <v/>
      </c>
      <c r="BP372" s="4">
        <f>BO372</f>
        <v/>
      </c>
      <c r="BQ372" s="4">
        <f>IF(AS372="regla",IF(AND(N(AQ372)=0,BL372=1),"sí","no"),"no")</f>
        <v/>
      </c>
      <c r="BR372" s="3">
        <f>IFERROR(VLOOKUP(F372,MOD_TBL,11,0),IFERROR(VLOOKUP(E372,OCU_TBL,2,0),NEUTRO))</f>
        <v/>
      </c>
      <c r="BS372" s="3">
        <f>SUMIFS(MOT_AJUSTE,MOT_MOTOR,G372,MOT_MARCA,E372,MOT_DESDE,"&lt;="&amp;M372,MOT_HASTA,"&gt;="&amp;M372)+SUMIFS(MOT_AJUSTE,MOT_MOTOR,G372,MOT_MARCA,"(todas)",MOT_DESDE,"&lt;="&amp;M372,MOT_HASTA,"&gt;="&amp;M372)</f>
        <v/>
      </c>
      <c r="BT372" s="3">
        <f>SUMIFS(COMB_AJUSTE,COMB_COMB,K372)</f>
        <v/>
      </c>
      <c r="BU372" s="3">
        <f>COUNTIFS(MOT_MOTOR,G372,MOT_MARCA,E372,MOT_DESDE,"&lt;="&amp;M372,MOT_HASTA,"&gt;="&amp;M372)+COUNTIFS(MOT_MOTOR,G372,MOT_MARCA,"(todas)",MOT_DESDE,"&lt;="&amp;M372,MOT_HASTA,"&gt;="&amp;M372)</f>
        <v/>
      </c>
      <c r="BV372" s="3">
        <f>IF(AND(K372="diesel",BU372=0),MIN(BR372,NEUTRO),BR372)</f>
        <v/>
      </c>
      <c r="BW372" s="4">
        <f>MAX(0,MIN(100,BV372+BS372+BT372))</f>
        <v/>
      </c>
      <c r="BX372" s="3">
        <f>MAX(0,MIN(100,50+BK372*PRECIO_PEND))</f>
        <v/>
      </c>
      <c r="BY372" s="3">
        <f>MAX(0,100*(1-N372/KM_MAX))</f>
        <v/>
      </c>
      <c r="BZ372" s="3">
        <f>IF(BB372&lt;KMA_SOSP,IF(AA372="sí",100,KMA_PEN),IF(BB372&lt;=KMA_IDEAL_MAX,100,MAX(0,100*(KMA_CERO-BB372)/(KMA_CERO-KMA_IDEAL_MAX))))</f>
        <v/>
      </c>
      <c r="CA372" s="3">
        <f>MAX(0,MIN(100,100*(M372-ANIO_MIN)/(ANIO_ACTUAL-ANIO_MIN)))</f>
        <v/>
      </c>
      <c r="CB372" s="3">
        <f>W_KMT*BY372+W_KMA*BZ372+W_EDAD*CA372</f>
        <v/>
      </c>
      <c r="CC372" s="3">
        <f>P_ITV*(V372="sí")+P_LIBRO*(W372="sí")+P_CORREA*(X372="sí")+P_PROP*(Y372=1)+P_GAR*(Z372="sí")+P_FOTOS*MIN(1,N(U372)/FOTOS_OBJ)</f>
        <v/>
      </c>
      <c r="CD372" s="3">
        <f>MAX(0,MIN(100,IFERROR(VLOOKUP(BP372,ETQ_TBL,2,0),0)-IF(BQ372="sí",ETQ_PEN_DUD,IF(AS372="regla",ETQ_PEN_REGLA,0))))</f>
        <v/>
      </c>
      <c r="CE372" s="3">
        <f>NEUTRO</f>
        <v/>
      </c>
      <c r="CF372" s="3">
        <f>IFERROR(VLOOKUP(L372,SEGURO_TBL,3,0),"")</f>
        <v/>
      </c>
      <c r="CG372" s="3">
        <f>IF(CF372="",NEUTRO,MAX(0,MIN(100,100*(SEG_REF_MAX-CF372)/(SEG_REF_MAX-SEG_REF_MIN))))</f>
        <v/>
      </c>
      <c r="CH372" s="3">
        <f>W_CONS*CE372+W_SEG*CG372</f>
        <v/>
      </c>
      <c r="CI372" s="3">
        <f>IF(N(AB372)&gt;0,AB372,IF(AND(R372="profesional",SG_LEGAL_ON=1),GAR_LEGAL,0))</f>
        <v/>
      </c>
      <c r="CJ372" s="3">
        <f>SG_GAR*MIN(1,CI372/SG_GAR_FULL)+SG_AMPL*(AC372="sí")+SG_KMC*(AF372="sí")+SG_REV*(N(AE372)&gt;0)+SG_DEV*MIN(1,N(AG372)/SG_DEV_FULL)+SG_HIST*(W372="sí")</f>
        <v/>
      </c>
      <c r="CK372" s="3">
        <f>IFERROR(VLOOKUP(L372,CARR_PEN_TBL,2,0),0)</f>
        <v/>
      </c>
      <c r="CL372" s="3">
        <f>W_FIAB*BW372+W_PRECIO*BX372+W_KMEDAD*CB372+W_ANUNCIO*CC372+W_USO*CH372+W_SEGURIDAD*CJ372+W_ETIQUETA*CD372-CK372</f>
        <v/>
      </c>
      <c r="CM372" s="4">
        <f>IF(N(I372)&gt;0,I372,IFERROR(ROUND(_xlfn.NUMBERVALUE(LEFT(G372,FIND(" ",G372&amp;" ")-1),".")*1000,0),99999))</f>
        <v/>
      </c>
      <c r="CN372" s="3">
        <f>IF(R372="profesional",0,IF(O372&lt;CUOTA_VALOR_MAX,IF(BA372&gt;ITP_TRAMO_ALTO,SUMIFS(CF_CUOTA,CF_MAS,ITP_TRAMO_ALTO,CF_CCMIN,"&lt;="&amp;CM372,CF_CCMAX,"&gt;="&amp;CM372),IF(BA372&gt;ITP_TRAMO_BAJO,SUMIFS(CF_CUOTA,CF_MAS,ITP_TRAMO_BAJO,CF_CCMIN,"&lt;="&amp;CM372,CF_CCMAX,"&gt;="&amp;CM372),O372*ITP_TIPO)),O372*ITP_TIPO))</f>
        <v/>
      </c>
      <c r="CO372" s="4">
        <f>IF(R372="profesional",N(AK372),0)</f>
        <v/>
      </c>
      <c r="CP372" s="3">
        <f>IF(AND(R372="profesional",ISNUMBER(AK372),AL372="sí"),0,TASA_DGT)</f>
        <v/>
      </c>
      <c r="CQ372" s="3">
        <f>INFORME_DGT</f>
        <v/>
      </c>
      <c r="CR372" s="4">
        <f>O372+CO372+CN372+CP372+CQ372</f>
        <v/>
      </c>
      <c r="CS372" s="4">
        <f>CR372+N(CF372)</f>
        <v/>
      </c>
      <c r="CT372" s="3">
        <f>IF(CR372&lt;=TOTAL_MAX,"sí",IF(CR372&lt;=TOTAL_MAX+MARGEN_NEG,"negociar","no"))</f>
        <v/>
      </c>
      <c r="CU372" s="4">
        <f>IF(CT372&lt;&gt;"no",COUNTIFS($CT$2:$CT$545,"&lt;&gt;no",$CL$2:$CL$545,"&gt;"&amp;CL372)+COUNTIFS($CT$2:CT372,"&lt;&gt;no",$CL$2:CL372,CL372),"")</f>
        <v/>
      </c>
    </row>
    <row r="373">
      <c r="A373" s="2" t="inlineStr">
        <is>
          <t>cochesnet:71330739</t>
        </is>
      </c>
      <c r="B373" s="2" t="inlineStr">
        <is>
          <t>cochesnet</t>
        </is>
      </c>
      <c r="C373" s="2" t="inlineStr">
        <is>
          <t>https://www.coches.net/peugeot-207-diesel-2009-en-valencia-71330739-covo.aspx</t>
        </is>
      </c>
      <c r="D373" s="2" t="inlineStr">
        <is>
          <t>PEUGEOT 207</t>
        </is>
      </c>
      <c r="E373" s="2" t="inlineStr">
        <is>
          <t>Peugeot</t>
        </is>
      </c>
      <c r="F373" s="2" t="inlineStr">
        <is>
          <t>Peugeot 207</t>
        </is>
      </c>
      <c r="G373" s="2" t="n"/>
      <c r="H373" s="2" t="n"/>
      <c r="I373" s="2" t="n"/>
      <c r="J373" s="2" t="n"/>
      <c r="K373" s="2" t="inlineStr">
        <is>
          <t>diesel</t>
        </is>
      </c>
      <c r="L373" s="2" t="inlineStr">
        <is>
          <t>utilitario</t>
        </is>
      </c>
      <c r="M373" s="2" t="n">
        <v>2009</v>
      </c>
      <c r="N373" s="2" t="n">
        <v>169000</v>
      </c>
      <c r="O373" s="2" t="n">
        <v>5000</v>
      </c>
      <c r="P373" s="2" t="inlineStr">
        <is>
          <t>manual</t>
        </is>
      </c>
      <c r="Q373" s="2" t="inlineStr">
        <is>
          <t>no</t>
        </is>
      </c>
      <c r="R373" s="2" t="inlineStr">
        <is>
          <t>particular</t>
        </is>
      </c>
      <c r="S373" s="2" t="n"/>
      <c r="T373" s="2" t="inlineStr">
        <is>
          <t>2026-08-20T09:11:37Z</t>
        </is>
      </c>
      <c r="U373" s="2" t="n">
        <v>9</v>
      </c>
      <c r="V373" s="2" t="inlineStr">
        <is>
          <t>sí</t>
        </is>
      </c>
      <c r="W373" s="2" t="n"/>
      <c r="X373" s="2" t="n"/>
      <c r="Y373" s="2" t="n"/>
      <c r="Z373" s="2" t="inlineStr">
        <is>
          <t>no</t>
        </is>
      </c>
      <c r="AA373" s="2" t="n"/>
      <c r="AB373" s="2" t="n"/>
      <c r="AC373" s="2" t="n"/>
      <c r="AD373" s="2" t="n"/>
      <c r="AE373" s="2" t="n"/>
      <c r="AF373" s="2" t="n"/>
      <c r="AG373" s="2" t="n"/>
      <c r="AH373" s="2" t="n">
        <v>5000</v>
      </c>
      <c r="AI373" s="2" t="n"/>
      <c r="AJ373" s="2" t="n"/>
      <c r="AK373" s="2" t="n"/>
      <c r="AL373" s="2" t="n"/>
      <c r="AM373" s="2" t="n"/>
      <c r="AN373" s="2" t="n"/>
      <c r="AO373" s="2" t="inlineStr">
        <is>
          <t>2009</t>
        </is>
      </c>
      <c r="AP373" s="2" t="n">
        <v>2009</v>
      </c>
      <c r="AQ373" s="2" t="n"/>
      <c r="AR373" s="2" t="n"/>
      <c r="AS373" s="2" t="inlineStr">
        <is>
          <t>regla</t>
        </is>
      </c>
      <c r="AT373" s="2" t="n">
        <v>3600</v>
      </c>
      <c r="AU373" s="2" t="n">
        <v>21</v>
      </c>
      <c r="AV373" s="2" t="inlineStr">
        <is>
          <t>modelo+año+km</t>
        </is>
      </c>
      <c r="AW373" s="2" t="n"/>
      <c r="AX373" s="2" t="inlineStr">
        <is>
          <t>por encima del presupuesto (5204 €),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373" s="2" t="inlineStr">
        <is>
          <t>se vende por aumento de familia, coche siempre en garaje, revisiones al dia y itv pasada en agosto.</t>
        </is>
      </c>
      <c r="AZ373" s="2" t="inlineStr">
        <is>
          <t>https://www.coches.net/peugeot-207-diesel-2009-en-valencia-71330739-covo.aspx (window.__INITIAL_PROPS__.ad) /home/user/Alopecia/buscador-coches/raw/cochesnet/1fc0dcbc5338e965.json</t>
        </is>
      </c>
      <c r="BA373" s="3">
        <f>MAX(ANIO_ACTUAL-M373,0)</f>
        <v/>
      </c>
      <c r="BB373" s="4">
        <f>N373/MAX(BA373,0.5)</f>
        <v/>
      </c>
      <c r="BC373" s="4">
        <f>F373</f>
        <v/>
      </c>
      <c r="BD373" s="3">
        <f>BC373&amp;"|"&amp;INT(M373/SEG_ANIO)*SEG_ANIO</f>
        <v/>
      </c>
      <c r="BE373" s="3">
        <f>BD373&amp;"|"&amp;INT(N373/SEG_KM)*SEG_KM</f>
        <v/>
      </c>
      <c r="BF373" s="4">
        <f>COUNTIF($BC$2:$BC$545,BC373)</f>
        <v/>
      </c>
      <c r="BG373" s="4">
        <f>COUNTIF($BD$2:$BD$545,BD373)</f>
        <v/>
      </c>
      <c r="BH373" s="4">
        <f>COUNTIF($BE$2:$BE$545,BE373)</f>
        <v/>
      </c>
      <c r="BI373" s="3">
        <f t="array" ref="BI373">IF(N(AU373)&gt;=MIN_N,AT373,IF(BH373&gt;=MIN_N,MEDIAN(IF($BE$2:$BE$545=BE373,$O$2:$O$545)),IF(BG373&gt;=MIN_N,MEDIAN(IF($BD$2:$BD$545=BD373,$O$2:$O$545)),MEDIAN(IF($BC$2:$BC$545=BC373,$O$2:$O$545)))))</f>
        <v/>
      </c>
      <c r="BJ373" s="3">
        <f>IF(N(AU373)&gt;=MIN_N,"mercado "&amp;AV373,IF(BH373&gt;=MIN_N,"modelo+año+km",IF(BG373&gt;=MIN_N,"modelo+año","modelo")))</f>
        <v/>
      </c>
      <c r="BK373" s="4">
        <f>(BI373-O373)/BI373</f>
        <v/>
      </c>
      <c r="BL373" s="3">
        <f>IF(COUNTIFS(FR_FUEL,K373,FR_YEAR,AP373)&gt;0,1,0)</f>
        <v/>
      </c>
      <c r="BM373" s="3">
        <f>IF(COUNTIFS(FR_FUEL,K373,FR_YEAR,AP373-1)&gt;0,1,0)</f>
        <v/>
      </c>
      <c r="BN373" s="4">
        <f>IF(N(AQ373)&gt;0,AP373*100+AQ373,IF(AND(BL373=1,BM373=1),(AP373-1)*100+1,AP373*100+1))</f>
        <v/>
      </c>
      <c r="BO373" s="3">
        <f>IF(OR(K373="hibrido",K373="glp",K373="gnc",K373="phev"),"ECO",IF(K373="electrico","CERO",IF(K373="gasolina",IF(BN373&gt;=GAS_C_YM,"C",IF(BN373&gt;=GAS_B_YM,"B","A")),IF(K373="diesel",IF(BN373&gt;=DIE_C_YM,"C",IF(BN373&gt;=DIE_B_YM,"B","A")),""))))</f>
        <v/>
      </c>
      <c r="BP373" s="4">
        <f>BO373</f>
        <v/>
      </c>
      <c r="BQ373" s="4">
        <f>IF(AS373="regla",IF(AND(N(AQ373)=0,BL373=1),"sí","no"),"no")</f>
        <v/>
      </c>
      <c r="BR373" s="3">
        <f>IFERROR(VLOOKUP(F373,MOD_TBL,11,0),IFERROR(VLOOKUP(E373,OCU_TBL,2,0),NEUTRO))</f>
        <v/>
      </c>
      <c r="BS373" s="3">
        <f>SUMIFS(MOT_AJUSTE,MOT_MOTOR,G373,MOT_MARCA,E373,MOT_DESDE,"&lt;="&amp;M373,MOT_HASTA,"&gt;="&amp;M373)+SUMIFS(MOT_AJUSTE,MOT_MOTOR,G373,MOT_MARCA,"(todas)",MOT_DESDE,"&lt;="&amp;M373,MOT_HASTA,"&gt;="&amp;M373)</f>
        <v/>
      </c>
      <c r="BT373" s="3">
        <f>SUMIFS(COMB_AJUSTE,COMB_COMB,K373)</f>
        <v/>
      </c>
      <c r="BU373" s="3">
        <f>COUNTIFS(MOT_MOTOR,G373,MOT_MARCA,E373,MOT_DESDE,"&lt;="&amp;M373,MOT_HASTA,"&gt;="&amp;M373)+COUNTIFS(MOT_MOTOR,G373,MOT_MARCA,"(todas)",MOT_DESDE,"&lt;="&amp;M373,MOT_HASTA,"&gt;="&amp;M373)</f>
        <v/>
      </c>
      <c r="BV373" s="3">
        <f>IF(AND(K373="diesel",BU373=0),MIN(BR373,NEUTRO),BR373)</f>
        <v/>
      </c>
      <c r="BW373" s="4">
        <f>MAX(0,MIN(100,BV373+BS373+BT373))</f>
        <v/>
      </c>
      <c r="BX373" s="3">
        <f>MAX(0,MIN(100,50+BK373*PRECIO_PEND))</f>
        <v/>
      </c>
      <c r="BY373" s="3">
        <f>MAX(0,100*(1-N373/KM_MAX))</f>
        <v/>
      </c>
      <c r="BZ373" s="3">
        <f>IF(BB373&lt;KMA_SOSP,IF(AA373="sí",100,KMA_PEN),IF(BB373&lt;=KMA_IDEAL_MAX,100,MAX(0,100*(KMA_CERO-BB373)/(KMA_CERO-KMA_IDEAL_MAX))))</f>
        <v/>
      </c>
      <c r="CA373" s="3">
        <f>MAX(0,MIN(100,100*(M373-ANIO_MIN)/(ANIO_ACTUAL-ANIO_MIN)))</f>
        <v/>
      </c>
      <c r="CB373" s="3">
        <f>W_KMT*BY373+W_KMA*BZ373+W_EDAD*CA373</f>
        <v/>
      </c>
      <c r="CC373" s="3">
        <f>P_ITV*(V373="sí")+P_LIBRO*(W373="sí")+P_CORREA*(X373="sí")+P_PROP*(Y373=1)+P_GAR*(Z373="sí")+P_FOTOS*MIN(1,N(U373)/FOTOS_OBJ)</f>
        <v/>
      </c>
      <c r="CD373" s="3">
        <f>MAX(0,MIN(100,IFERROR(VLOOKUP(BP373,ETQ_TBL,2,0),0)-IF(BQ373="sí",ETQ_PEN_DUD,IF(AS373="regla",ETQ_PEN_REGLA,0))))</f>
        <v/>
      </c>
      <c r="CE373" s="3">
        <f>NEUTRO</f>
        <v/>
      </c>
      <c r="CF373" s="3">
        <f>IFERROR(VLOOKUP(L373,SEGURO_TBL,3,0),"")</f>
        <v/>
      </c>
      <c r="CG373" s="3">
        <f>IF(CF373="",NEUTRO,MAX(0,MIN(100,100*(SEG_REF_MAX-CF373)/(SEG_REF_MAX-SEG_REF_MIN))))</f>
        <v/>
      </c>
      <c r="CH373" s="3">
        <f>W_CONS*CE373+W_SEG*CG373</f>
        <v/>
      </c>
      <c r="CI373" s="3">
        <f>IF(N(AB373)&gt;0,AB373,IF(AND(R373="profesional",SG_LEGAL_ON=1),GAR_LEGAL,0))</f>
        <v/>
      </c>
      <c r="CJ373" s="3">
        <f>SG_GAR*MIN(1,CI373/SG_GAR_FULL)+SG_AMPL*(AC373="sí")+SG_KMC*(AF373="sí")+SG_REV*(N(AE373)&gt;0)+SG_DEV*MIN(1,N(AG373)/SG_DEV_FULL)+SG_HIST*(W373="sí")</f>
        <v/>
      </c>
      <c r="CK373" s="3">
        <f>IFERROR(VLOOKUP(L373,CARR_PEN_TBL,2,0),0)</f>
        <v/>
      </c>
      <c r="CL373" s="3">
        <f>W_FIAB*BW373+W_PRECIO*BX373+W_KMEDAD*CB373+W_ANUNCIO*CC373+W_USO*CH373+W_SEGURIDAD*CJ373+W_ETIQUETA*CD373-CK373</f>
        <v/>
      </c>
      <c r="CM373" s="4">
        <f>IF(N(I373)&gt;0,I373,IFERROR(ROUND(_xlfn.NUMBERVALUE(LEFT(G373,FIND(" ",G373&amp;" ")-1),".")*1000,0),99999))</f>
        <v/>
      </c>
      <c r="CN373" s="3">
        <f>IF(R373="profesional",0,IF(O373&lt;CUOTA_VALOR_MAX,IF(BA373&gt;ITP_TRAMO_ALTO,SUMIFS(CF_CUOTA,CF_MAS,ITP_TRAMO_ALTO,CF_CCMIN,"&lt;="&amp;CM373,CF_CCMAX,"&gt;="&amp;CM373),IF(BA373&gt;ITP_TRAMO_BAJO,SUMIFS(CF_CUOTA,CF_MAS,ITP_TRAMO_BAJO,CF_CCMIN,"&lt;="&amp;CM373,CF_CCMAX,"&gt;="&amp;CM373),O373*ITP_TIPO)),O373*ITP_TIPO))</f>
        <v/>
      </c>
      <c r="CO373" s="4">
        <f>IF(R373="profesional",N(AK373),0)</f>
        <v/>
      </c>
      <c r="CP373" s="3">
        <f>IF(AND(R373="profesional",ISNUMBER(AK373),AL373="sí"),0,TASA_DGT)</f>
        <v/>
      </c>
      <c r="CQ373" s="3">
        <f>INFORME_DGT</f>
        <v/>
      </c>
      <c r="CR373" s="4">
        <f>O373+CO373+CN373+CP373+CQ373</f>
        <v/>
      </c>
      <c r="CS373" s="4">
        <f>CR373+N(CF373)</f>
        <v/>
      </c>
      <c r="CT373" s="3">
        <f>IF(CR373&lt;=TOTAL_MAX,"sí",IF(CR373&lt;=TOTAL_MAX+MARGEN_NEG,"negociar","no"))</f>
        <v/>
      </c>
      <c r="CU373" s="4">
        <f>IF(CT373&lt;&gt;"no",COUNTIFS($CT$2:$CT$545,"&lt;&gt;no",$CL$2:$CL$545,"&gt;"&amp;CL373)+COUNTIFS($CT$2:CT373,"&lt;&gt;no",$CL$2:CL373,CL373),"")</f>
        <v/>
      </c>
    </row>
    <row r="374">
      <c r="A374" s="2" t="inlineStr">
        <is>
          <t>cochesnet:71262537</t>
        </is>
      </c>
      <c r="B374" s="2" t="inlineStr">
        <is>
          <t>cochesnet</t>
        </is>
      </c>
      <c r="C374" s="2" t="inlineStr">
        <is>
          <t>https://www.coches.net/peugeot-207-gasolina-2007-en-valencia-71262537-covo.aspx</t>
        </is>
      </c>
      <c r="D374" s="2" t="inlineStr">
        <is>
          <t>PEUGEOT 207</t>
        </is>
      </c>
      <c r="E374" s="2" t="inlineStr">
        <is>
          <t>Peugeot</t>
        </is>
      </c>
      <c r="F374" s="2" t="inlineStr">
        <is>
          <t>Peugeot 207</t>
        </is>
      </c>
      <c r="G374" s="2" t="n"/>
      <c r="H374" s="2" t="n"/>
      <c r="I374" s="2" t="n"/>
      <c r="J374" s="2" t="n"/>
      <c r="K374" s="2" t="inlineStr">
        <is>
          <t>gasolina</t>
        </is>
      </c>
      <c r="L374" s="2" t="inlineStr">
        <is>
          <t>utilitario</t>
        </is>
      </c>
      <c r="M374" s="2" t="n">
        <v>2007</v>
      </c>
      <c r="N374" s="2" t="n">
        <v>208500</v>
      </c>
      <c r="O374" s="2" t="n">
        <v>3600</v>
      </c>
      <c r="P374" s="2" t="inlineStr">
        <is>
          <t>manual</t>
        </is>
      </c>
      <c r="Q374" s="2" t="inlineStr">
        <is>
          <t>no</t>
        </is>
      </c>
      <c r="R374" s="2" t="inlineStr">
        <is>
          <t>particular</t>
        </is>
      </c>
      <c r="S374" s="2" t="n"/>
      <c r="T374" s="2" t="inlineStr">
        <is>
          <t>2026-08-10T07:20:55Z</t>
        </is>
      </c>
      <c r="U374" s="2" t="n">
        <v>5</v>
      </c>
      <c r="V374" s="2" t="inlineStr">
        <is>
          <t>sí</t>
        </is>
      </c>
      <c r="W374" s="2" t="n"/>
      <c r="X374" s="2" t="n"/>
      <c r="Y374" s="2" t="n"/>
      <c r="Z374" s="2" t="inlineStr">
        <is>
          <t>no</t>
        </is>
      </c>
      <c r="AA374" s="2" t="n"/>
      <c r="AB374" s="2" t="n"/>
      <c r="AC374" s="2" t="n"/>
      <c r="AD374" s="2" t="n"/>
      <c r="AE374" s="2" t="n"/>
      <c r="AF374" s="2" t="n"/>
      <c r="AG374" s="2" t="n"/>
      <c r="AH374" s="2" t="n">
        <v>3600</v>
      </c>
      <c r="AI374" s="2" t="n"/>
      <c r="AJ374" s="2" t="n"/>
      <c r="AK374" s="2" t="n"/>
      <c r="AL374" s="2" t="n"/>
      <c r="AM374" s="2" t="n"/>
      <c r="AN374" s="2" t="n"/>
      <c r="AO374" s="2" t="inlineStr">
        <is>
          <t>2007</t>
        </is>
      </c>
      <c r="AP374" s="2" t="n">
        <v>2007</v>
      </c>
      <c r="AQ374" s="2" t="n"/>
      <c r="AR374" s="2" t="n"/>
      <c r="AS374" s="2" t="inlineStr">
        <is>
          <t>regla</t>
        </is>
      </c>
      <c r="AT374" s="2" t="n">
        <v>2950</v>
      </c>
      <c r="AU374" s="2" t="n">
        <v>13</v>
      </c>
      <c r="AV374" s="2" t="inlineStr">
        <is>
          <t>modelo+año+km</t>
        </is>
      </c>
      <c r="AW374" s="2" t="n"/>
      <c r="AX374"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374" s="2" t="inlineStr">
        <is>
          <t>Peugeot 207 en buen estado general. Coche cómodo y práctico, ideal tanto para ciudad como para el día a día. Se ha cuidado dentro de lo normal para sus años y funciona correctamente.
ITV pasada, listo para seguir circulando. Además, el seguro está vigente hasta diciembre.
Tiene algunos signos de uso propios de la edad, pero en general está bien conservado.
Se puede ver y probar sin compromiso. Se acepta prueba mecánica.
Para cualquier duda o más información, contactar por mensaje.</t>
        </is>
      </c>
      <c r="AZ374" s="2" t="inlineStr">
        <is>
          <t>https://www.coches.net/peugeot-207-gasolina-2007-en-valencia-71262537-covo.aspx (window.__INITIAL_PROPS__.ad) /home/user/Alopecia/buscador-coches/raw/cochesnet/47bfccbb4169b226.json</t>
        </is>
      </c>
      <c r="BA374" s="3">
        <f>MAX(ANIO_ACTUAL-M374,0)</f>
        <v/>
      </c>
      <c r="BB374" s="4">
        <f>N374/MAX(BA374,0.5)</f>
        <v/>
      </c>
      <c r="BC374" s="4">
        <f>F374</f>
        <v/>
      </c>
      <c r="BD374" s="3">
        <f>BC374&amp;"|"&amp;INT(M374/SEG_ANIO)*SEG_ANIO</f>
        <v/>
      </c>
      <c r="BE374" s="3">
        <f>BD374&amp;"|"&amp;INT(N374/SEG_KM)*SEG_KM</f>
        <v/>
      </c>
      <c r="BF374" s="4">
        <f>COUNTIF($BC$2:$BC$545,BC374)</f>
        <v/>
      </c>
      <c r="BG374" s="4">
        <f>COUNTIF($BD$2:$BD$545,BD374)</f>
        <v/>
      </c>
      <c r="BH374" s="4">
        <f>COUNTIF($BE$2:$BE$545,BE374)</f>
        <v/>
      </c>
      <c r="BI374" s="3">
        <f t="array" ref="BI374">IF(N(AU374)&gt;=MIN_N,AT374,IF(BH374&gt;=MIN_N,MEDIAN(IF($BE$2:$BE$545=BE374,$O$2:$O$545)),IF(BG374&gt;=MIN_N,MEDIAN(IF($BD$2:$BD$545=BD374,$O$2:$O$545)),MEDIAN(IF($BC$2:$BC$545=BC374,$O$2:$O$545)))))</f>
        <v/>
      </c>
      <c r="BJ374" s="3">
        <f>IF(N(AU374)&gt;=MIN_N,"mercado "&amp;AV374,IF(BH374&gt;=MIN_N,"modelo+año+km",IF(BG374&gt;=MIN_N,"modelo+año","modelo")))</f>
        <v/>
      </c>
      <c r="BK374" s="4">
        <f>(BI374-O374)/BI374</f>
        <v/>
      </c>
      <c r="BL374" s="3">
        <f>IF(COUNTIFS(FR_FUEL,K374,FR_YEAR,AP374)&gt;0,1,0)</f>
        <v/>
      </c>
      <c r="BM374" s="3">
        <f>IF(COUNTIFS(FR_FUEL,K374,FR_YEAR,AP374-1)&gt;0,1,0)</f>
        <v/>
      </c>
      <c r="BN374" s="4">
        <f>IF(N(AQ374)&gt;0,AP374*100+AQ374,IF(AND(BL374=1,BM374=1),(AP374-1)*100+1,AP374*100+1))</f>
        <v/>
      </c>
      <c r="BO374" s="3">
        <f>IF(OR(K374="hibrido",K374="glp",K374="gnc",K374="phev"),"ECO",IF(K374="electrico","CERO",IF(K374="gasolina",IF(BN374&gt;=GAS_C_YM,"C",IF(BN374&gt;=GAS_B_YM,"B","A")),IF(K374="diesel",IF(BN374&gt;=DIE_C_YM,"C",IF(BN374&gt;=DIE_B_YM,"B","A")),""))))</f>
        <v/>
      </c>
      <c r="BP374" s="4">
        <f>BO374</f>
        <v/>
      </c>
      <c r="BQ374" s="4">
        <f>IF(AS374="regla",IF(AND(N(AQ374)=0,BL374=1),"sí","no"),"no")</f>
        <v/>
      </c>
      <c r="BR374" s="3">
        <f>IFERROR(VLOOKUP(F374,MOD_TBL,11,0),IFERROR(VLOOKUP(E374,OCU_TBL,2,0),NEUTRO))</f>
        <v/>
      </c>
      <c r="BS374" s="3">
        <f>SUMIFS(MOT_AJUSTE,MOT_MOTOR,G374,MOT_MARCA,E374,MOT_DESDE,"&lt;="&amp;M374,MOT_HASTA,"&gt;="&amp;M374)+SUMIFS(MOT_AJUSTE,MOT_MOTOR,G374,MOT_MARCA,"(todas)",MOT_DESDE,"&lt;="&amp;M374,MOT_HASTA,"&gt;="&amp;M374)</f>
        <v/>
      </c>
      <c r="BT374" s="3">
        <f>SUMIFS(COMB_AJUSTE,COMB_COMB,K374)</f>
        <v/>
      </c>
      <c r="BU374" s="3">
        <f>COUNTIFS(MOT_MOTOR,G374,MOT_MARCA,E374,MOT_DESDE,"&lt;="&amp;M374,MOT_HASTA,"&gt;="&amp;M374)+COUNTIFS(MOT_MOTOR,G374,MOT_MARCA,"(todas)",MOT_DESDE,"&lt;="&amp;M374,MOT_HASTA,"&gt;="&amp;M374)</f>
        <v/>
      </c>
      <c r="BV374" s="3">
        <f>IF(AND(K374="diesel",BU374=0),MIN(BR374,NEUTRO),BR374)</f>
        <v/>
      </c>
      <c r="BW374" s="4">
        <f>MAX(0,MIN(100,BV374+BS374+BT374))</f>
        <v/>
      </c>
      <c r="BX374" s="3">
        <f>MAX(0,MIN(100,50+BK374*PRECIO_PEND))</f>
        <v/>
      </c>
      <c r="BY374" s="3">
        <f>MAX(0,100*(1-N374/KM_MAX))</f>
        <v/>
      </c>
      <c r="BZ374" s="3">
        <f>IF(BB374&lt;KMA_SOSP,IF(AA374="sí",100,KMA_PEN),IF(BB374&lt;=KMA_IDEAL_MAX,100,MAX(0,100*(KMA_CERO-BB374)/(KMA_CERO-KMA_IDEAL_MAX))))</f>
        <v/>
      </c>
      <c r="CA374" s="3">
        <f>MAX(0,MIN(100,100*(M374-ANIO_MIN)/(ANIO_ACTUAL-ANIO_MIN)))</f>
        <v/>
      </c>
      <c r="CB374" s="3">
        <f>W_KMT*BY374+W_KMA*BZ374+W_EDAD*CA374</f>
        <v/>
      </c>
      <c r="CC374" s="3">
        <f>P_ITV*(V374="sí")+P_LIBRO*(W374="sí")+P_CORREA*(X374="sí")+P_PROP*(Y374=1)+P_GAR*(Z374="sí")+P_FOTOS*MIN(1,N(U374)/FOTOS_OBJ)</f>
        <v/>
      </c>
      <c r="CD374" s="3">
        <f>MAX(0,MIN(100,IFERROR(VLOOKUP(BP374,ETQ_TBL,2,0),0)-IF(BQ374="sí",ETQ_PEN_DUD,IF(AS374="regla",ETQ_PEN_REGLA,0))))</f>
        <v/>
      </c>
      <c r="CE374" s="3">
        <f>NEUTRO</f>
        <v/>
      </c>
      <c r="CF374" s="3">
        <f>IFERROR(VLOOKUP(L374,SEGURO_TBL,3,0),"")</f>
        <v/>
      </c>
      <c r="CG374" s="3">
        <f>IF(CF374="",NEUTRO,MAX(0,MIN(100,100*(SEG_REF_MAX-CF374)/(SEG_REF_MAX-SEG_REF_MIN))))</f>
        <v/>
      </c>
      <c r="CH374" s="3">
        <f>W_CONS*CE374+W_SEG*CG374</f>
        <v/>
      </c>
      <c r="CI374" s="3">
        <f>IF(N(AB374)&gt;0,AB374,IF(AND(R374="profesional",SG_LEGAL_ON=1),GAR_LEGAL,0))</f>
        <v/>
      </c>
      <c r="CJ374" s="3">
        <f>SG_GAR*MIN(1,CI374/SG_GAR_FULL)+SG_AMPL*(AC374="sí")+SG_KMC*(AF374="sí")+SG_REV*(N(AE374)&gt;0)+SG_DEV*MIN(1,N(AG374)/SG_DEV_FULL)+SG_HIST*(W374="sí")</f>
        <v/>
      </c>
      <c r="CK374" s="3">
        <f>IFERROR(VLOOKUP(L374,CARR_PEN_TBL,2,0),0)</f>
        <v/>
      </c>
      <c r="CL374" s="3">
        <f>W_FIAB*BW374+W_PRECIO*BX374+W_KMEDAD*CB374+W_ANUNCIO*CC374+W_USO*CH374+W_SEGURIDAD*CJ374+W_ETIQUETA*CD374-CK374</f>
        <v/>
      </c>
      <c r="CM374" s="4">
        <f>IF(N(I374)&gt;0,I374,IFERROR(ROUND(_xlfn.NUMBERVALUE(LEFT(G374,FIND(" ",G374&amp;" ")-1),".")*1000,0),99999))</f>
        <v/>
      </c>
      <c r="CN374" s="3">
        <f>IF(R374="profesional",0,IF(O374&lt;CUOTA_VALOR_MAX,IF(BA374&gt;ITP_TRAMO_ALTO,SUMIFS(CF_CUOTA,CF_MAS,ITP_TRAMO_ALTO,CF_CCMIN,"&lt;="&amp;CM374,CF_CCMAX,"&gt;="&amp;CM374),IF(BA374&gt;ITP_TRAMO_BAJO,SUMIFS(CF_CUOTA,CF_MAS,ITP_TRAMO_BAJO,CF_CCMIN,"&lt;="&amp;CM374,CF_CCMAX,"&gt;="&amp;CM374),O374*ITP_TIPO)),O374*ITP_TIPO))</f>
        <v/>
      </c>
      <c r="CO374" s="4">
        <f>IF(R374="profesional",N(AK374),0)</f>
        <v/>
      </c>
      <c r="CP374" s="3">
        <f>IF(AND(R374="profesional",ISNUMBER(AK374),AL374="sí"),0,TASA_DGT)</f>
        <v/>
      </c>
      <c r="CQ374" s="3">
        <f>INFORME_DGT</f>
        <v/>
      </c>
      <c r="CR374" s="4">
        <f>O374+CO374+CN374+CP374+CQ374</f>
        <v/>
      </c>
      <c r="CS374" s="4">
        <f>CR374+N(CF374)</f>
        <v/>
      </c>
      <c r="CT374" s="3">
        <f>IF(CR374&lt;=TOTAL_MAX,"sí",IF(CR374&lt;=TOTAL_MAX+MARGEN_NEG,"negociar","no"))</f>
        <v/>
      </c>
      <c r="CU374" s="4">
        <f>IF(CT374&lt;&gt;"no",COUNTIFS($CT$2:$CT$545,"&lt;&gt;no",$CL$2:$CL$545,"&gt;"&amp;CL374)+COUNTIFS($CT$2:CT374,"&lt;&gt;no",$CL$2:CL374,CL374),"")</f>
        <v/>
      </c>
    </row>
    <row r="375">
      <c r="A375" s="2" t="inlineStr">
        <is>
          <t>cochesnet:71854218</t>
        </is>
      </c>
      <c r="B375" s="2" t="inlineStr">
        <is>
          <t>cochesnet</t>
        </is>
      </c>
      <c r="C375" s="2" t="inlineStr">
        <is>
          <t>https://www.coches.net/peugeot-208-5p-access-10l-puretech-68-5p-gasolina-2013-en-valencia-71854218-covo.aspx</t>
        </is>
      </c>
      <c r="D375" s="2" t="inlineStr">
        <is>
          <t>PEUGEOT 208 ACCESS 1.0L PureTech 68</t>
        </is>
      </c>
      <c r="E375" s="2" t="inlineStr">
        <is>
          <t>Peugeot</t>
        </is>
      </c>
      <c r="F375" s="2" t="inlineStr">
        <is>
          <t>Peugeot 208</t>
        </is>
      </c>
      <c r="G375" s="2" t="inlineStr">
        <is>
          <t>1.0 PureTech</t>
        </is>
      </c>
      <c r="H375" s="2" t="inlineStr">
        <is>
          <t>5P ACCESS 1.0L PureTech 68</t>
        </is>
      </c>
      <c r="I375" s="2" t="n"/>
      <c r="J375" s="2" t="n"/>
      <c r="K375" s="2" t="inlineStr">
        <is>
          <t>gasolina</t>
        </is>
      </c>
      <c r="L375" s="2" t="inlineStr">
        <is>
          <t>utilitario</t>
        </is>
      </c>
      <c r="M375" s="2" t="n">
        <v>2018</v>
      </c>
      <c r="N375" s="2" t="n">
        <v>98811</v>
      </c>
      <c r="O375" s="2" t="n">
        <v>5000</v>
      </c>
      <c r="P375" s="2" t="inlineStr">
        <is>
          <t>manual</t>
        </is>
      </c>
      <c r="Q375" s="2" t="inlineStr">
        <is>
          <t>no</t>
        </is>
      </c>
      <c r="R375" s="2" t="inlineStr">
        <is>
          <t>particular</t>
        </is>
      </c>
      <c r="S375" s="2" t="inlineStr">
        <is>
          <t>Valencia</t>
        </is>
      </c>
      <c r="T375" s="2" t="inlineStr">
        <is>
          <t>2026-10-28T16:38:02Z</t>
        </is>
      </c>
      <c r="U375" s="2" t="n"/>
      <c r="V375" s="2" t="n"/>
      <c r="W375" s="2" t="n"/>
      <c r="X375" s="2" t="n"/>
      <c r="Y375" s="2" t="n"/>
      <c r="Z375" s="2" t="inlineStr">
        <is>
          <t>no</t>
        </is>
      </c>
      <c r="AA375" s="2" t="n"/>
      <c r="AB375" s="2" t="n"/>
      <c r="AC375" s="2" t="n"/>
      <c r="AD375" s="2" t="n"/>
      <c r="AE375" s="2" t="n"/>
      <c r="AF375" s="2" t="n"/>
      <c r="AG375" s="2" t="n"/>
      <c r="AH375" s="2" t="n">
        <v>5000</v>
      </c>
      <c r="AI375" s="2" t="n"/>
      <c r="AJ375" s="2" t="n"/>
      <c r="AK375" s="2" t="n"/>
      <c r="AL375" s="2" t="n"/>
      <c r="AM375" s="2" t="n">
        <v>0.1</v>
      </c>
      <c r="AN375" s="2" t="n"/>
      <c r="AO375" s="2" t="inlineStr">
        <is>
          <t>03/2018</t>
        </is>
      </c>
      <c r="AP375" s="2" t="n">
        <v>2018</v>
      </c>
      <c r="AQ375" s="2" t="n">
        <v>3</v>
      </c>
      <c r="AR375" s="2" t="n"/>
      <c r="AS375" s="2" t="inlineStr">
        <is>
          <t>regla</t>
        </is>
      </c>
      <c r="AT375" s="2" t="n">
        <v>7500</v>
      </c>
      <c r="AU375" s="2" t="n">
        <v>25</v>
      </c>
      <c r="AV375" s="2" t="inlineStr">
        <is>
          <t>modelo+año+km</t>
        </is>
      </c>
      <c r="AW375" s="2" t="inlineStr">
        <is>
          <t>cochesnet:71623638 (https://www.coches.net/peugeot-208-5p-style-12l-puretech-60kw-82cv-5p-gasolina-2018-en-valencia-71623638-covo.aspx)</t>
        </is>
      </c>
      <c r="AX375" s="2" t="inlineStr">
        <is>
          <t>por encima del presupuesto (5184 €), negociar; cuota fija ITP: &gt;5 y &lt;=12 años, hasta 1.500 cc</t>
        </is>
      </c>
      <c r="AY375" s="2" t="inlineStr">
        <is>
          <t>Vendo mi Peugeot 208 5 puertas, un vehículo ágil y eficiente perfecto para la conducción diaria en ciudad y carretera. Se trata de un modelo Signature con motor PureTech de 1.2 litros y 82 CV, que ofrece una excelente relación entre rendimiento y consumo de combustible.
Este 208 es un coche versátil y práctico, con cinco plazas y cambio manual que garantiza una conducción directa y controlada. Su tamaño compacto lo hace ideal para moverse con facilidad por las calles más estrechas, mientras que su motorización proporciona la potencia necesaria para disfrutar en carretera sin excesivo gasto de combustible.
La versión Signature incluye un equipamiento interesante que mejora la experiencia de conducción y el confort a bordo. Además, cuenta con la etiqueta medioambiental que refleja su compromiso con la eficiencia y el respeto al medio ambiente.
Se trata de un vehículo de 2018 que sigue siendo completamente funcional y fiable. Si buscas un coche económico, manejable y con buen equipamiento a un precio justo, este Peugeot 208 es una opción a considerar.
Estoy disponible para resolver cualquier duda sobre aspectos técnicos o del estado del vehículo que no aparezcan en la ficha. Puedes contactarme por teléfono o chat para ampliar información o concertar una cita para verlo en persona.
Contacta hoy mismo y aprovecha esta oportunidad.</t>
        </is>
      </c>
      <c r="AZ375" s="2" t="inlineStr">
        <is>
          <t>https://www.coches.net/peugeot-208-5p-access-10l-puretech-68-5p-gasolina-2013-en-valencia-71854218-covo.aspx (window.__INITIAL_PROPS__.ad) /home/user/Alopecia/buscador-coches/raw/cochesnet/6bb08821e44f2e7d.json</t>
        </is>
      </c>
      <c r="BA375" s="3">
        <f>MAX(ANIO_ACTUAL-M375,0)</f>
        <v/>
      </c>
      <c r="BB375" s="4">
        <f>N375/MAX(BA375,0.5)</f>
        <v/>
      </c>
      <c r="BC375" s="4">
        <f>F375</f>
        <v/>
      </c>
      <c r="BD375" s="3">
        <f>BC375&amp;"|"&amp;INT(M375/SEG_ANIO)*SEG_ANIO</f>
        <v/>
      </c>
      <c r="BE375" s="3">
        <f>BD375&amp;"|"&amp;INT(N375/SEG_KM)*SEG_KM</f>
        <v/>
      </c>
      <c r="BF375" s="4">
        <f>COUNTIF($BC$2:$BC$545,BC375)</f>
        <v/>
      </c>
      <c r="BG375" s="4">
        <f>COUNTIF($BD$2:$BD$545,BD375)</f>
        <v/>
      </c>
      <c r="BH375" s="4">
        <f>COUNTIF($BE$2:$BE$545,BE375)</f>
        <v/>
      </c>
      <c r="BI375" s="3">
        <f t="array" ref="BI375">IF(N(AU375)&gt;=MIN_N,AT375,IF(BH375&gt;=MIN_N,MEDIAN(IF($BE$2:$BE$545=BE375,$O$2:$O$545)),IF(BG375&gt;=MIN_N,MEDIAN(IF($BD$2:$BD$545=BD375,$O$2:$O$545)),MEDIAN(IF($BC$2:$BC$545=BC375,$O$2:$O$545)))))</f>
        <v/>
      </c>
      <c r="BJ375" s="3">
        <f>IF(N(AU375)&gt;=MIN_N,"mercado "&amp;AV375,IF(BH375&gt;=MIN_N,"modelo+año+km",IF(BG375&gt;=MIN_N,"modelo+año","modelo")))</f>
        <v/>
      </c>
      <c r="BK375" s="4">
        <f>(BI375-O375)/BI375</f>
        <v/>
      </c>
      <c r="BL375" s="3">
        <f>IF(COUNTIFS(FR_FUEL,K375,FR_YEAR,AP375)&gt;0,1,0)</f>
        <v/>
      </c>
      <c r="BM375" s="3">
        <f>IF(COUNTIFS(FR_FUEL,K375,FR_YEAR,AP375-1)&gt;0,1,0)</f>
        <v/>
      </c>
      <c r="BN375" s="4">
        <f>IF(N(AQ375)&gt;0,AP375*100+AQ375,IF(AND(BL375=1,BM375=1),(AP375-1)*100+1,AP375*100+1))</f>
        <v/>
      </c>
      <c r="BO375" s="3">
        <f>IF(OR(K375="hibrido",K375="glp",K375="gnc",K375="phev"),"ECO",IF(K375="electrico","CERO",IF(K375="gasolina",IF(BN375&gt;=GAS_C_YM,"C",IF(BN375&gt;=GAS_B_YM,"B","A")),IF(K375="diesel",IF(BN375&gt;=DIE_C_YM,"C",IF(BN375&gt;=DIE_B_YM,"B","A")),""))))</f>
        <v/>
      </c>
      <c r="BP375" s="4">
        <f>BO375</f>
        <v/>
      </c>
      <c r="BQ375" s="4">
        <f>IF(AS375="regla",IF(AND(N(AQ375)=0,BL375=1),"sí","no"),"no")</f>
        <v/>
      </c>
      <c r="BR375" s="3">
        <f>IFERROR(VLOOKUP(F375,MOD_TBL,11,0),IFERROR(VLOOKUP(E375,OCU_TBL,2,0),NEUTRO))</f>
        <v/>
      </c>
      <c r="BS375" s="3">
        <f>SUMIFS(MOT_AJUSTE,MOT_MOTOR,G375,MOT_MARCA,E375,MOT_DESDE,"&lt;="&amp;M375,MOT_HASTA,"&gt;="&amp;M375)+SUMIFS(MOT_AJUSTE,MOT_MOTOR,G375,MOT_MARCA,"(todas)",MOT_DESDE,"&lt;="&amp;M375,MOT_HASTA,"&gt;="&amp;M375)</f>
        <v/>
      </c>
      <c r="BT375" s="3">
        <f>SUMIFS(COMB_AJUSTE,COMB_COMB,K375)</f>
        <v/>
      </c>
      <c r="BU375" s="3">
        <f>COUNTIFS(MOT_MOTOR,G375,MOT_MARCA,E375,MOT_DESDE,"&lt;="&amp;M375,MOT_HASTA,"&gt;="&amp;M375)+COUNTIFS(MOT_MOTOR,G375,MOT_MARCA,"(todas)",MOT_DESDE,"&lt;="&amp;M375,MOT_HASTA,"&gt;="&amp;M375)</f>
        <v/>
      </c>
      <c r="BV375" s="3">
        <f>IF(AND(K375="diesel",BU375=0),MIN(BR375,NEUTRO),BR375)</f>
        <v/>
      </c>
      <c r="BW375" s="4">
        <f>MAX(0,MIN(100,BV375+BS375+BT375))</f>
        <v/>
      </c>
      <c r="BX375" s="3">
        <f>MAX(0,MIN(100,50+BK375*PRECIO_PEND))</f>
        <v/>
      </c>
      <c r="BY375" s="3">
        <f>MAX(0,100*(1-N375/KM_MAX))</f>
        <v/>
      </c>
      <c r="BZ375" s="3">
        <f>IF(BB375&lt;KMA_SOSP,IF(AA375="sí",100,KMA_PEN),IF(BB375&lt;=KMA_IDEAL_MAX,100,MAX(0,100*(KMA_CERO-BB375)/(KMA_CERO-KMA_IDEAL_MAX))))</f>
        <v/>
      </c>
      <c r="CA375" s="3">
        <f>MAX(0,MIN(100,100*(M375-ANIO_MIN)/(ANIO_ACTUAL-ANIO_MIN)))</f>
        <v/>
      </c>
      <c r="CB375" s="3">
        <f>W_KMT*BY375+W_KMA*BZ375+W_EDAD*CA375</f>
        <v/>
      </c>
      <c r="CC375" s="3">
        <f>P_ITV*(V375="sí")+P_LIBRO*(W375="sí")+P_CORREA*(X375="sí")+P_PROP*(Y375=1)+P_GAR*(Z375="sí")+P_FOTOS*MIN(1,N(U375)/FOTOS_OBJ)</f>
        <v/>
      </c>
      <c r="CD375" s="3">
        <f>MAX(0,MIN(100,IFERROR(VLOOKUP(BP375,ETQ_TBL,2,0),0)-IF(BQ375="sí",ETQ_PEN_DUD,IF(AS375="regla",ETQ_PEN_REGLA,0))))</f>
        <v/>
      </c>
      <c r="CE375" s="3">
        <f>NEUTRO</f>
        <v/>
      </c>
      <c r="CF375" s="3">
        <f>IFERROR(VLOOKUP(L375,SEGURO_TBL,3,0),"")</f>
        <v/>
      </c>
      <c r="CG375" s="3">
        <f>IF(CF375="",NEUTRO,MAX(0,MIN(100,100*(SEG_REF_MAX-CF375)/(SEG_REF_MAX-SEG_REF_MIN))))</f>
        <v/>
      </c>
      <c r="CH375" s="3">
        <f>W_CONS*CE375+W_SEG*CG375</f>
        <v/>
      </c>
      <c r="CI375" s="3">
        <f>IF(N(AB375)&gt;0,AB375,IF(AND(R375="profesional",SG_LEGAL_ON=1),GAR_LEGAL,0))</f>
        <v/>
      </c>
      <c r="CJ375" s="3">
        <f>SG_GAR*MIN(1,CI375/SG_GAR_FULL)+SG_AMPL*(AC375="sí")+SG_KMC*(AF375="sí")+SG_REV*(N(AE375)&gt;0)+SG_DEV*MIN(1,N(AG375)/SG_DEV_FULL)+SG_HIST*(W375="sí")</f>
        <v/>
      </c>
      <c r="CK375" s="3">
        <f>IFERROR(VLOOKUP(L375,CARR_PEN_TBL,2,0),0)</f>
        <v/>
      </c>
      <c r="CL375" s="3">
        <f>W_FIAB*BW375+W_PRECIO*BX375+W_KMEDAD*CB375+W_ANUNCIO*CC375+W_USO*CH375+W_SEGURIDAD*CJ375+W_ETIQUETA*CD375-CK375</f>
        <v/>
      </c>
      <c r="CM375" s="4">
        <f>IF(N(I375)&gt;0,I375,IFERROR(ROUND(_xlfn.NUMBERVALUE(LEFT(G375,FIND(" ",G375&amp;" ")-1),".")*1000,0),99999))</f>
        <v/>
      </c>
      <c r="CN375" s="3">
        <f>IF(R375="profesional",0,IF(O375&lt;CUOTA_VALOR_MAX,IF(BA375&gt;ITP_TRAMO_ALTO,SUMIFS(CF_CUOTA,CF_MAS,ITP_TRAMO_ALTO,CF_CCMIN,"&lt;="&amp;CM375,CF_CCMAX,"&gt;="&amp;CM375),IF(BA375&gt;ITP_TRAMO_BAJO,SUMIFS(CF_CUOTA,CF_MAS,ITP_TRAMO_BAJO,CF_CCMIN,"&lt;="&amp;CM375,CF_CCMAX,"&gt;="&amp;CM375),O375*ITP_TIPO)),O375*ITP_TIPO))</f>
        <v/>
      </c>
      <c r="CO375" s="4">
        <f>IF(R375="profesional",N(AK375),0)</f>
        <v/>
      </c>
      <c r="CP375" s="3">
        <f>IF(AND(R375="profesional",ISNUMBER(AK375),AL375="sí"),0,TASA_DGT)</f>
        <v/>
      </c>
      <c r="CQ375" s="3">
        <f>INFORME_DGT</f>
        <v/>
      </c>
      <c r="CR375" s="4">
        <f>O375+CO375+CN375+CP375+CQ375</f>
        <v/>
      </c>
      <c r="CS375" s="4">
        <f>CR375+N(CF375)</f>
        <v/>
      </c>
      <c r="CT375" s="3">
        <f>IF(CR375&lt;=TOTAL_MAX,"sí",IF(CR375&lt;=TOTAL_MAX+MARGEN_NEG,"negociar","no"))</f>
        <v/>
      </c>
      <c r="CU375" s="4">
        <f>IF(CT375&lt;&gt;"no",COUNTIFS($CT$2:$CT$545,"&lt;&gt;no",$CL$2:$CL$545,"&gt;"&amp;CL375)+COUNTIFS($CT$2:CT375,"&lt;&gt;no",$CL$2:CL375,CL375),"")</f>
        <v/>
      </c>
    </row>
    <row r="376">
      <c r="A376" s="2" t="inlineStr">
        <is>
          <t>cochesnet:71469134</t>
        </is>
      </c>
      <c r="B376" s="2" t="inlineStr">
        <is>
          <t>cochesnet</t>
        </is>
      </c>
      <c r="C376" s="2" t="inlineStr">
        <is>
          <t>https://www.coches.net/peugeot-208-5p-allure-12l-puretech-82-5p-gasolina-2016-en-valencia-71469134-covo.aspx</t>
        </is>
      </c>
      <c r="D376" s="2" t="inlineStr">
        <is>
          <t>PEUGEOT 208 ALLURE 1.2L PureTech 82</t>
        </is>
      </c>
      <c r="E376" s="2" t="inlineStr">
        <is>
          <t>Peugeot</t>
        </is>
      </c>
      <c r="F376" s="2" t="inlineStr">
        <is>
          <t>Peugeot 208</t>
        </is>
      </c>
      <c r="G376" s="2" t="inlineStr">
        <is>
          <t>1.2 PureTech</t>
        </is>
      </c>
      <c r="H376" s="2" t="inlineStr">
        <is>
          <t>5P ALLURE 1.2L PureTech 82</t>
        </is>
      </c>
      <c r="I376" s="2" t="n"/>
      <c r="J376" s="2" t="n"/>
      <c r="K376" s="2" t="inlineStr">
        <is>
          <t>gasolina</t>
        </is>
      </c>
      <c r="L376" s="2" t="inlineStr">
        <is>
          <t>utilitario</t>
        </is>
      </c>
      <c r="M376" s="2" t="n">
        <v>2016</v>
      </c>
      <c r="N376" s="2" t="n">
        <v>118000</v>
      </c>
      <c r="O376" s="2" t="n">
        <v>5100</v>
      </c>
      <c r="P376" s="2" t="inlineStr">
        <is>
          <t>manual</t>
        </is>
      </c>
      <c r="Q376" s="2" t="inlineStr">
        <is>
          <t>no</t>
        </is>
      </c>
      <c r="R376" s="2" t="inlineStr">
        <is>
          <t>particular</t>
        </is>
      </c>
      <c r="S376" s="2" t="inlineStr">
        <is>
          <t>Paiporta</t>
        </is>
      </c>
      <c r="T376" s="2" t="inlineStr">
        <is>
          <t>2026-09-08T17:14:17Z</t>
        </is>
      </c>
      <c r="U376" s="2" t="n">
        <v>9</v>
      </c>
      <c r="V376" s="2" t="inlineStr">
        <is>
          <t>sí</t>
        </is>
      </c>
      <c r="W376" s="2" t="inlineStr">
        <is>
          <t>sí</t>
        </is>
      </c>
      <c r="X376" s="2" t="n"/>
      <c r="Y376" s="2" t="n"/>
      <c r="Z376" s="2" t="inlineStr">
        <is>
          <t>no</t>
        </is>
      </c>
      <c r="AA376" s="2" t="n"/>
      <c r="AB376" s="2" t="n"/>
      <c r="AC376" s="2" t="n"/>
      <c r="AD376" s="2" t="n"/>
      <c r="AE376" s="2" t="n"/>
      <c r="AF376" s="2" t="n"/>
      <c r="AG376" s="2" t="n"/>
      <c r="AH376" s="2" t="n">
        <v>5100</v>
      </c>
      <c r="AI376" s="2" t="n"/>
      <c r="AJ376" s="2" t="n"/>
      <c r="AK376" s="2" t="n"/>
      <c r="AL376" s="2" t="n"/>
      <c r="AM376" s="2" t="n">
        <v>5.9</v>
      </c>
      <c r="AN376" s="2" t="n"/>
      <c r="AO376" s="2" t="inlineStr">
        <is>
          <t>06/2016</t>
        </is>
      </c>
      <c r="AP376" s="2" t="n">
        <v>2016</v>
      </c>
      <c r="AQ376" s="2" t="n">
        <v>6</v>
      </c>
      <c r="AR376" s="2" t="n"/>
      <c r="AS376" s="2" t="inlineStr">
        <is>
          <t>regla</t>
        </is>
      </c>
      <c r="AT376" s="2" t="n">
        <v>6990</v>
      </c>
      <c r="AU376" s="2" t="n">
        <v>19</v>
      </c>
      <c r="AV376" s="2" t="inlineStr">
        <is>
          <t>modelo+año+km</t>
        </is>
      </c>
      <c r="AW376" s="2" t="n"/>
      <c r="AX376" s="2" t="inlineStr">
        <is>
          <t>por encima del presupuesto (5284 €), negociar; cuota fija ITP: &gt;5 y &lt;=12 años, hasta 1.500 cc</t>
        </is>
      </c>
      <c r="AY376" s="2" t="inlineStr">
        <is>
          <t>Muy ineresante. Ven a verlo y NEGOCIAMOS!!! 
Se vende Peugeot 208 con acabado Allure (gama alta) en color gris ceniza. Motor gasolina muy eficiente, 117.000 km reales y en perfecto estado de funcionamiento.
• Equipamiento destacado: Navegador GPS integrado, pantalla táctil, climatizador bizona, control de crucero y llantas de aleación.
• Mantenimiento al día: Neumáticos en buen estado e ITV recién pasada (válida hasta agosto de 2027).
• Historial demostrable: Dispongo de todo el historial de revisiones sellado/facturas. El motor nunca ha dado ningún aviso ni fallo de presión de aceite.
Nota de transparencia: Le toca la revisión por kilometraje a los 118.000 km, donde corresponde realizar el cambio preventivo de la correa de distribución. El precio ya está rebajado para que el comprador realice este mantenimiento en su taller de confianza y estrene el coche con total tranquilidad.
Precio algo negociable ante ofertas serias. No acepto cambios.</t>
        </is>
      </c>
      <c r="AZ376" s="2" t="inlineStr">
        <is>
          <t>https://www.coches.net/peugeot-208-5p-allure-12l-puretech-82-5p-gasolina-2016-en-valencia-71469134-covo.aspx (window.__INITIAL_PROPS__.ad) /home/user/Alopecia/buscador-coches/raw/cochesnet/c9c3ddf19b45b296.json</t>
        </is>
      </c>
      <c r="BA376" s="3">
        <f>MAX(ANIO_ACTUAL-M376,0)</f>
        <v/>
      </c>
      <c r="BB376" s="4">
        <f>N376/MAX(BA376,0.5)</f>
        <v/>
      </c>
      <c r="BC376" s="4">
        <f>F376</f>
        <v/>
      </c>
      <c r="BD376" s="3">
        <f>BC376&amp;"|"&amp;INT(M376/SEG_ANIO)*SEG_ANIO</f>
        <v/>
      </c>
      <c r="BE376" s="3">
        <f>BD376&amp;"|"&amp;INT(N376/SEG_KM)*SEG_KM</f>
        <v/>
      </c>
      <c r="BF376" s="4">
        <f>COUNTIF($BC$2:$BC$545,BC376)</f>
        <v/>
      </c>
      <c r="BG376" s="4">
        <f>COUNTIF($BD$2:$BD$545,BD376)</f>
        <v/>
      </c>
      <c r="BH376" s="4">
        <f>COUNTIF($BE$2:$BE$545,BE376)</f>
        <v/>
      </c>
      <c r="BI376" s="3">
        <f t="array" ref="BI376">IF(N(AU376)&gt;=MIN_N,AT376,IF(BH376&gt;=MIN_N,MEDIAN(IF($BE$2:$BE$545=BE376,$O$2:$O$545)),IF(BG376&gt;=MIN_N,MEDIAN(IF($BD$2:$BD$545=BD376,$O$2:$O$545)),MEDIAN(IF($BC$2:$BC$545=BC376,$O$2:$O$545)))))</f>
        <v/>
      </c>
      <c r="BJ376" s="3">
        <f>IF(N(AU376)&gt;=MIN_N,"mercado "&amp;AV376,IF(BH376&gt;=MIN_N,"modelo+año+km",IF(BG376&gt;=MIN_N,"modelo+año","modelo")))</f>
        <v/>
      </c>
      <c r="BK376" s="4">
        <f>(BI376-O376)/BI376</f>
        <v/>
      </c>
      <c r="BL376" s="3">
        <f>IF(COUNTIFS(FR_FUEL,K376,FR_YEAR,AP376)&gt;0,1,0)</f>
        <v/>
      </c>
      <c r="BM376" s="3">
        <f>IF(COUNTIFS(FR_FUEL,K376,FR_YEAR,AP376-1)&gt;0,1,0)</f>
        <v/>
      </c>
      <c r="BN376" s="4">
        <f>IF(N(AQ376)&gt;0,AP376*100+AQ376,IF(AND(BL376=1,BM376=1),(AP376-1)*100+1,AP376*100+1))</f>
        <v/>
      </c>
      <c r="BO376" s="3">
        <f>IF(OR(K376="hibrido",K376="glp",K376="gnc",K376="phev"),"ECO",IF(K376="electrico","CERO",IF(K376="gasolina",IF(BN376&gt;=GAS_C_YM,"C",IF(BN376&gt;=GAS_B_YM,"B","A")),IF(K376="diesel",IF(BN376&gt;=DIE_C_YM,"C",IF(BN376&gt;=DIE_B_YM,"B","A")),""))))</f>
        <v/>
      </c>
      <c r="BP376" s="4">
        <f>BO376</f>
        <v/>
      </c>
      <c r="BQ376" s="4">
        <f>IF(AS376="regla",IF(AND(N(AQ376)=0,BL376=1),"sí","no"),"no")</f>
        <v/>
      </c>
      <c r="BR376" s="3">
        <f>IFERROR(VLOOKUP(F376,MOD_TBL,11,0),IFERROR(VLOOKUP(E376,OCU_TBL,2,0),NEUTRO))</f>
        <v/>
      </c>
      <c r="BS376" s="3">
        <f>SUMIFS(MOT_AJUSTE,MOT_MOTOR,G376,MOT_MARCA,E376,MOT_DESDE,"&lt;="&amp;M376,MOT_HASTA,"&gt;="&amp;M376)+SUMIFS(MOT_AJUSTE,MOT_MOTOR,G376,MOT_MARCA,"(todas)",MOT_DESDE,"&lt;="&amp;M376,MOT_HASTA,"&gt;="&amp;M376)</f>
        <v/>
      </c>
      <c r="BT376" s="3">
        <f>SUMIFS(COMB_AJUSTE,COMB_COMB,K376)</f>
        <v/>
      </c>
      <c r="BU376" s="3">
        <f>COUNTIFS(MOT_MOTOR,G376,MOT_MARCA,E376,MOT_DESDE,"&lt;="&amp;M376,MOT_HASTA,"&gt;="&amp;M376)+COUNTIFS(MOT_MOTOR,G376,MOT_MARCA,"(todas)",MOT_DESDE,"&lt;="&amp;M376,MOT_HASTA,"&gt;="&amp;M376)</f>
        <v/>
      </c>
      <c r="BV376" s="3">
        <f>IF(AND(K376="diesel",BU376=0),MIN(BR376,NEUTRO),BR376)</f>
        <v/>
      </c>
      <c r="BW376" s="4">
        <f>MAX(0,MIN(100,BV376+BS376+BT376))</f>
        <v/>
      </c>
      <c r="BX376" s="3">
        <f>MAX(0,MIN(100,50+BK376*PRECIO_PEND))</f>
        <v/>
      </c>
      <c r="BY376" s="3">
        <f>MAX(0,100*(1-N376/KM_MAX))</f>
        <v/>
      </c>
      <c r="BZ376" s="3">
        <f>IF(BB376&lt;KMA_SOSP,IF(AA376="sí",100,KMA_PEN),IF(BB376&lt;=KMA_IDEAL_MAX,100,MAX(0,100*(KMA_CERO-BB376)/(KMA_CERO-KMA_IDEAL_MAX))))</f>
        <v/>
      </c>
      <c r="CA376" s="3">
        <f>MAX(0,MIN(100,100*(M376-ANIO_MIN)/(ANIO_ACTUAL-ANIO_MIN)))</f>
        <v/>
      </c>
      <c r="CB376" s="3">
        <f>W_KMT*BY376+W_KMA*BZ376+W_EDAD*CA376</f>
        <v/>
      </c>
      <c r="CC376" s="3">
        <f>P_ITV*(V376="sí")+P_LIBRO*(W376="sí")+P_CORREA*(X376="sí")+P_PROP*(Y376=1)+P_GAR*(Z376="sí")+P_FOTOS*MIN(1,N(U376)/FOTOS_OBJ)</f>
        <v/>
      </c>
      <c r="CD376" s="3">
        <f>MAX(0,MIN(100,IFERROR(VLOOKUP(BP376,ETQ_TBL,2,0),0)-IF(BQ376="sí",ETQ_PEN_DUD,IF(AS376="regla",ETQ_PEN_REGLA,0))))</f>
        <v/>
      </c>
      <c r="CE376" s="3">
        <f>NEUTRO</f>
        <v/>
      </c>
      <c r="CF376" s="3">
        <f>IFERROR(VLOOKUP(L376,SEGURO_TBL,3,0),"")</f>
        <v/>
      </c>
      <c r="CG376" s="3">
        <f>IF(CF376="",NEUTRO,MAX(0,MIN(100,100*(SEG_REF_MAX-CF376)/(SEG_REF_MAX-SEG_REF_MIN))))</f>
        <v/>
      </c>
      <c r="CH376" s="3">
        <f>W_CONS*CE376+W_SEG*CG376</f>
        <v/>
      </c>
      <c r="CI376" s="3">
        <f>IF(N(AB376)&gt;0,AB376,IF(AND(R376="profesional",SG_LEGAL_ON=1),GAR_LEGAL,0))</f>
        <v/>
      </c>
      <c r="CJ376" s="3">
        <f>SG_GAR*MIN(1,CI376/SG_GAR_FULL)+SG_AMPL*(AC376="sí")+SG_KMC*(AF376="sí")+SG_REV*(N(AE376)&gt;0)+SG_DEV*MIN(1,N(AG376)/SG_DEV_FULL)+SG_HIST*(W376="sí")</f>
        <v/>
      </c>
      <c r="CK376" s="3">
        <f>IFERROR(VLOOKUP(L376,CARR_PEN_TBL,2,0),0)</f>
        <v/>
      </c>
      <c r="CL376" s="3">
        <f>W_FIAB*BW376+W_PRECIO*BX376+W_KMEDAD*CB376+W_ANUNCIO*CC376+W_USO*CH376+W_SEGURIDAD*CJ376+W_ETIQUETA*CD376-CK376</f>
        <v/>
      </c>
      <c r="CM376" s="4">
        <f>IF(N(I376)&gt;0,I376,IFERROR(ROUND(_xlfn.NUMBERVALUE(LEFT(G376,FIND(" ",G376&amp;" ")-1),".")*1000,0),99999))</f>
        <v/>
      </c>
      <c r="CN376" s="3">
        <f>IF(R376="profesional",0,IF(O376&lt;CUOTA_VALOR_MAX,IF(BA376&gt;ITP_TRAMO_ALTO,SUMIFS(CF_CUOTA,CF_MAS,ITP_TRAMO_ALTO,CF_CCMIN,"&lt;="&amp;CM376,CF_CCMAX,"&gt;="&amp;CM376),IF(BA376&gt;ITP_TRAMO_BAJO,SUMIFS(CF_CUOTA,CF_MAS,ITP_TRAMO_BAJO,CF_CCMIN,"&lt;="&amp;CM376,CF_CCMAX,"&gt;="&amp;CM376),O376*ITP_TIPO)),O376*ITP_TIPO))</f>
        <v/>
      </c>
      <c r="CO376" s="4">
        <f>IF(R376="profesional",N(AK376),0)</f>
        <v/>
      </c>
      <c r="CP376" s="3">
        <f>IF(AND(R376="profesional",ISNUMBER(AK376),AL376="sí"),0,TASA_DGT)</f>
        <v/>
      </c>
      <c r="CQ376" s="3">
        <f>INFORME_DGT</f>
        <v/>
      </c>
      <c r="CR376" s="4">
        <f>O376+CO376+CN376+CP376+CQ376</f>
        <v/>
      </c>
      <c r="CS376" s="4">
        <f>CR376+N(CF376)</f>
        <v/>
      </c>
      <c r="CT376" s="3">
        <f>IF(CR376&lt;=TOTAL_MAX,"sí",IF(CR376&lt;=TOTAL_MAX+MARGEN_NEG,"negociar","no"))</f>
        <v/>
      </c>
      <c r="CU376" s="4">
        <f>IF(CT376&lt;&gt;"no",COUNTIFS($CT$2:$CT$545,"&lt;&gt;no",$CL$2:$CL$545,"&gt;"&amp;CL376)+COUNTIFS($CT$2:CT376,"&lt;&gt;no",$CL$2:CL376,CL376),"")</f>
        <v/>
      </c>
    </row>
    <row r="377">
      <c r="A377" s="2" t="inlineStr">
        <is>
          <t>cochesnet:71376986</t>
        </is>
      </c>
      <c r="B377" s="2" t="inlineStr">
        <is>
          <t>cochesnet</t>
        </is>
      </c>
      <c r="C377" s="2" t="inlineStr">
        <is>
          <t>https://www.coches.net/peugeot-208-gasolina-2016-en-valencia-71376986-covo.aspx</t>
        </is>
      </c>
      <c r="D377" s="2" t="inlineStr">
        <is>
          <t>PEUGEOT 208</t>
        </is>
      </c>
      <c r="E377" s="2" t="inlineStr">
        <is>
          <t>Peugeot</t>
        </is>
      </c>
      <c r="F377" s="2" t="inlineStr">
        <is>
          <t>Peugeot 208</t>
        </is>
      </c>
      <c r="G377" s="2" t="n"/>
      <c r="H377" s="2" t="n"/>
      <c r="I377" s="2" t="n"/>
      <c r="J377" s="2" t="n"/>
      <c r="K377" s="2" t="inlineStr">
        <is>
          <t>gasolina</t>
        </is>
      </c>
      <c r="L377" s="2" t="inlineStr">
        <is>
          <t>utilitario</t>
        </is>
      </c>
      <c r="M377" s="2" t="n">
        <v>2016</v>
      </c>
      <c r="N377" s="2" t="n">
        <v>140000</v>
      </c>
      <c r="O377" s="2" t="n">
        <v>4990</v>
      </c>
      <c r="P377" s="2" t="inlineStr">
        <is>
          <t>manual</t>
        </is>
      </c>
      <c r="Q377" s="2" t="inlineStr">
        <is>
          <t>no</t>
        </is>
      </c>
      <c r="R377" s="2" t="inlineStr">
        <is>
          <t>particular</t>
        </is>
      </c>
      <c r="S377" s="2" t="n"/>
      <c r="T377" s="2" t="inlineStr">
        <is>
          <t>2026-08-27T10:51:19Z</t>
        </is>
      </c>
      <c r="U377" s="2" t="n">
        <v>6</v>
      </c>
      <c r="V377" s="2" t="inlineStr">
        <is>
          <t>sí</t>
        </is>
      </c>
      <c r="W377" s="2" t="n"/>
      <c r="X377" s="2" t="n"/>
      <c r="Y377" s="2" t="n"/>
      <c r="Z377" s="2" t="inlineStr">
        <is>
          <t>no</t>
        </is>
      </c>
      <c r="AA377" s="2" t="n"/>
      <c r="AB377" s="2" t="n"/>
      <c r="AC377" s="2" t="n"/>
      <c r="AD377" s="2" t="n"/>
      <c r="AE377" s="2" t="n"/>
      <c r="AF377" s="2" t="n"/>
      <c r="AG377" s="2" t="n"/>
      <c r="AH377" s="2" t="n">
        <v>4990</v>
      </c>
      <c r="AI377" s="2" t="n"/>
      <c r="AJ377" s="2" t="n"/>
      <c r="AK377" s="2" t="n"/>
      <c r="AL377" s="2" t="n"/>
      <c r="AM377" s="2" t="n"/>
      <c r="AN377" s="2" t="n"/>
      <c r="AO377" s="2" t="inlineStr">
        <is>
          <t>2016</t>
        </is>
      </c>
      <c r="AP377" s="2" t="n">
        <v>2016</v>
      </c>
      <c r="AQ377" s="2" t="n"/>
      <c r="AR377" s="2" t="n"/>
      <c r="AS377" s="2" t="inlineStr">
        <is>
          <t>regla</t>
        </is>
      </c>
      <c r="AT377" s="2" t="n">
        <v>6990</v>
      </c>
      <c r="AU377" s="2" t="n">
        <v>19</v>
      </c>
      <c r="AV377" s="2" t="inlineStr">
        <is>
          <t>modelo+año+km</t>
        </is>
      </c>
      <c r="AW377" s="2" t="n"/>
      <c r="AX377" s="2" t="inlineStr">
        <is>
          <t>cilindrada desconocida: se aplica el tramo de cuota fija más alto; cuota fija ITP: &gt;5 y &lt;=12 años, más de 2.000 cc; distancia no verificable (el anuncio solo indica la provincia): confirmar que está a &lt;= 70 km</t>
        </is>
      </c>
      <c r="AY377" s="2" t="inlineStr">
        <is>
          <t>Vendo peugeot 208 1.2 i puretech active 5p. A/A, D/D, C/C. Revisiones al dia, incluso correa de distribucion. Itv hasta 2027. (No contesto a correos electronicos. Solo llamadas y wassap). Si ves el anuncio, es porque sigue a la venta.</t>
        </is>
      </c>
      <c r="AZ377" s="2" t="inlineStr">
        <is>
          <t>https://www.coches.net/peugeot-208-gasolina-2016-en-valencia-71376986-covo.aspx (window.__INITIAL_PROPS__.ad) /home/user/Alopecia/buscador-coches/raw/cochesnet/6e4b25ad505405b6.json</t>
        </is>
      </c>
      <c r="BA377" s="3">
        <f>MAX(ANIO_ACTUAL-M377,0)</f>
        <v/>
      </c>
      <c r="BB377" s="4">
        <f>N377/MAX(BA377,0.5)</f>
        <v/>
      </c>
      <c r="BC377" s="4">
        <f>F377</f>
        <v/>
      </c>
      <c r="BD377" s="3">
        <f>BC377&amp;"|"&amp;INT(M377/SEG_ANIO)*SEG_ANIO</f>
        <v/>
      </c>
      <c r="BE377" s="3">
        <f>BD377&amp;"|"&amp;INT(N377/SEG_KM)*SEG_KM</f>
        <v/>
      </c>
      <c r="BF377" s="4">
        <f>COUNTIF($BC$2:$BC$545,BC377)</f>
        <v/>
      </c>
      <c r="BG377" s="4">
        <f>COUNTIF($BD$2:$BD$545,BD377)</f>
        <v/>
      </c>
      <c r="BH377" s="4">
        <f>COUNTIF($BE$2:$BE$545,BE377)</f>
        <v/>
      </c>
      <c r="BI377" s="3">
        <f t="array" ref="BI377">IF(N(AU377)&gt;=MIN_N,AT377,IF(BH377&gt;=MIN_N,MEDIAN(IF($BE$2:$BE$545=BE377,$O$2:$O$545)),IF(BG377&gt;=MIN_N,MEDIAN(IF($BD$2:$BD$545=BD377,$O$2:$O$545)),MEDIAN(IF($BC$2:$BC$545=BC377,$O$2:$O$545)))))</f>
        <v/>
      </c>
      <c r="BJ377" s="3">
        <f>IF(N(AU377)&gt;=MIN_N,"mercado "&amp;AV377,IF(BH377&gt;=MIN_N,"modelo+año+km",IF(BG377&gt;=MIN_N,"modelo+año","modelo")))</f>
        <v/>
      </c>
      <c r="BK377" s="4">
        <f>(BI377-O377)/BI377</f>
        <v/>
      </c>
      <c r="BL377" s="3">
        <f>IF(COUNTIFS(FR_FUEL,K377,FR_YEAR,AP377)&gt;0,1,0)</f>
        <v/>
      </c>
      <c r="BM377" s="3">
        <f>IF(COUNTIFS(FR_FUEL,K377,FR_YEAR,AP377-1)&gt;0,1,0)</f>
        <v/>
      </c>
      <c r="BN377" s="4">
        <f>IF(N(AQ377)&gt;0,AP377*100+AQ377,IF(AND(BL377=1,BM377=1),(AP377-1)*100+1,AP377*100+1))</f>
        <v/>
      </c>
      <c r="BO377" s="3">
        <f>IF(OR(K377="hibrido",K377="glp",K377="gnc",K377="phev"),"ECO",IF(K377="electrico","CERO",IF(K377="gasolina",IF(BN377&gt;=GAS_C_YM,"C",IF(BN377&gt;=GAS_B_YM,"B","A")),IF(K377="diesel",IF(BN377&gt;=DIE_C_YM,"C",IF(BN377&gt;=DIE_B_YM,"B","A")),""))))</f>
        <v/>
      </c>
      <c r="BP377" s="4">
        <f>BO377</f>
        <v/>
      </c>
      <c r="BQ377" s="4">
        <f>IF(AS377="regla",IF(AND(N(AQ377)=0,BL377=1),"sí","no"),"no")</f>
        <v/>
      </c>
      <c r="BR377" s="3">
        <f>IFERROR(VLOOKUP(F377,MOD_TBL,11,0),IFERROR(VLOOKUP(E377,OCU_TBL,2,0),NEUTRO))</f>
        <v/>
      </c>
      <c r="BS377" s="3">
        <f>SUMIFS(MOT_AJUSTE,MOT_MOTOR,G377,MOT_MARCA,E377,MOT_DESDE,"&lt;="&amp;M377,MOT_HASTA,"&gt;="&amp;M377)+SUMIFS(MOT_AJUSTE,MOT_MOTOR,G377,MOT_MARCA,"(todas)",MOT_DESDE,"&lt;="&amp;M377,MOT_HASTA,"&gt;="&amp;M377)</f>
        <v/>
      </c>
      <c r="BT377" s="3">
        <f>SUMIFS(COMB_AJUSTE,COMB_COMB,K377)</f>
        <v/>
      </c>
      <c r="BU377" s="3">
        <f>COUNTIFS(MOT_MOTOR,G377,MOT_MARCA,E377,MOT_DESDE,"&lt;="&amp;M377,MOT_HASTA,"&gt;="&amp;M377)+COUNTIFS(MOT_MOTOR,G377,MOT_MARCA,"(todas)",MOT_DESDE,"&lt;="&amp;M377,MOT_HASTA,"&gt;="&amp;M377)</f>
        <v/>
      </c>
      <c r="BV377" s="3">
        <f>IF(AND(K377="diesel",BU377=0),MIN(BR377,NEUTRO),BR377)</f>
        <v/>
      </c>
      <c r="BW377" s="4">
        <f>MAX(0,MIN(100,BV377+BS377+BT377))</f>
        <v/>
      </c>
      <c r="BX377" s="3">
        <f>MAX(0,MIN(100,50+BK377*PRECIO_PEND))</f>
        <v/>
      </c>
      <c r="BY377" s="3">
        <f>MAX(0,100*(1-N377/KM_MAX))</f>
        <v/>
      </c>
      <c r="BZ377" s="3">
        <f>IF(BB377&lt;KMA_SOSP,IF(AA377="sí",100,KMA_PEN),IF(BB377&lt;=KMA_IDEAL_MAX,100,MAX(0,100*(KMA_CERO-BB377)/(KMA_CERO-KMA_IDEAL_MAX))))</f>
        <v/>
      </c>
      <c r="CA377" s="3">
        <f>MAX(0,MIN(100,100*(M377-ANIO_MIN)/(ANIO_ACTUAL-ANIO_MIN)))</f>
        <v/>
      </c>
      <c r="CB377" s="3">
        <f>W_KMT*BY377+W_KMA*BZ377+W_EDAD*CA377</f>
        <v/>
      </c>
      <c r="CC377" s="3">
        <f>P_ITV*(V377="sí")+P_LIBRO*(W377="sí")+P_CORREA*(X377="sí")+P_PROP*(Y377=1)+P_GAR*(Z377="sí")+P_FOTOS*MIN(1,N(U377)/FOTOS_OBJ)</f>
        <v/>
      </c>
      <c r="CD377" s="3">
        <f>MAX(0,MIN(100,IFERROR(VLOOKUP(BP377,ETQ_TBL,2,0),0)-IF(BQ377="sí",ETQ_PEN_DUD,IF(AS377="regla",ETQ_PEN_REGLA,0))))</f>
        <v/>
      </c>
      <c r="CE377" s="3">
        <f>NEUTRO</f>
        <v/>
      </c>
      <c r="CF377" s="3">
        <f>IFERROR(VLOOKUP(L377,SEGURO_TBL,3,0),"")</f>
        <v/>
      </c>
      <c r="CG377" s="3">
        <f>IF(CF377="",NEUTRO,MAX(0,MIN(100,100*(SEG_REF_MAX-CF377)/(SEG_REF_MAX-SEG_REF_MIN))))</f>
        <v/>
      </c>
      <c r="CH377" s="3">
        <f>W_CONS*CE377+W_SEG*CG377</f>
        <v/>
      </c>
      <c r="CI377" s="3">
        <f>IF(N(AB377)&gt;0,AB377,IF(AND(R377="profesional",SG_LEGAL_ON=1),GAR_LEGAL,0))</f>
        <v/>
      </c>
      <c r="CJ377" s="3">
        <f>SG_GAR*MIN(1,CI377/SG_GAR_FULL)+SG_AMPL*(AC377="sí")+SG_KMC*(AF377="sí")+SG_REV*(N(AE377)&gt;0)+SG_DEV*MIN(1,N(AG377)/SG_DEV_FULL)+SG_HIST*(W377="sí")</f>
        <v/>
      </c>
      <c r="CK377" s="3">
        <f>IFERROR(VLOOKUP(L377,CARR_PEN_TBL,2,0),0)</f>
        <v/>
      </c>
      <c r="CL377" s="3">
        <f>W_FIAB*BW377+W_PRECIO*BX377+W_KMEDAD*CB377+W_ANUNCIO*CC377+W_USO*CH377+W_SEGURIDAD*CJ377+W_ETIQUETA*CD377-CK377</f>
        <v/>
      </c>
      <c r="CM377" s="4">
        <f>IF(N(I377)&gt;0,I377,IFERROR(ROUND(_xlfn.NUMBERVALUE(LEFT(G377,FIND(" ",G377&amp;" ")-1),".")*1000,0),99999))</f>
        <v/>
      </c>
      <c r="CN377" s="3">
        <f>IF(R377="profesional",0,IF(O377&lt;CUOTA_VALOR_MAX,IF(BA377&gt;ITP_TRAMO_ALTO,SUMIFS(CF_CUOTA,CF_MAS,ITP_TRAMO_ALTO,CF_CCMIN,"&lt;="&amp;CM377,CF_CCMAX,"&gt;="&amp;CM377),IF(BA377&gt;ITP_TRAMO_BAJO,SUMIFS(CF_CUOTA,CF_MAS,ITP_TRAMO_BAJO,CF_CCMIN,"&lt;="&amp;CM377,CF_CCMAX,"&gt;="&amp;CM377),O377*ITP_TIPO)),O377*ITP_TIPO))</f>
        <v/>
      </c>
      <c r="CO377" s="4">
        <f>IF(R377="profesional",N(AK377),0)</f>
        <v/>
      </c>
      <c r="CP377" s="3">
        <f>IF(AND(R377="profesional",ISNUMBER(AK377),AL377="sí"),0,TASA_DGT)</f>
        <v/>
      </c>
      <c r="CQ377" s="3">
        <f>INFORME_DGT</f>
        <v/>
      </c>
      <c r="CR377" s="4">
        <f>O377+CO377+CN377+CP377+CQ377</f>
        <v/>
      </c>
      <c r="CS377" s="4">
        <f>CR377+N(CF377)</f>
        <v/>
      </c>
      <c r="CT377" s="3">
        <f>IF(CR377&lt;=TOTAL_MAX,"sí",IF(CR377&lt;=TOTAL_MAX+MARGEN_NEG,"negociar","no"))</f>
        <v/>
      </c>
      <c r="CU377" s="4">
        <f>IF(CT377&lt;&gt;"no",COUNTIFS($CT$2:$CT$545,"&lt;&gt;no",$CL$2:$CL$545,"&gt;"&amp;CL377)+COUNTIFS($CT$2:CT377,"&lt;&gt;no",$CL$2:CL377,CL377),"")</f>
        <v/>
      </c>
    </row>
    <row r="378">
      <c r="A378" s="2" t="inlineStr">
        <is>
          <t>cochesnet:71221918</t>
        </is>
      </c>
      <c r="B378" s="2" t="inlineStr">
        <is>
          <t>cochesnet</t>
        </is>
      </c>
      <c r="C378" s="2" t="inlineStr">
        <is>
          <t>https://www.coches.net/peugeot-208-gasolina-2013-en-valencia-71221918-covo.aspx</t>
        </is>
      </c>
      <c r="D378" s="2" t="inlineStr">
        <is>
          <t>PEUGEOT 208 ACCESS 1.0L PureTech 68</t>
        </is>
      </c>
      <c r="E378" s="2" t="inlineStr">
        <is>
          <t>Peugeot</t>
        </is>
      </c>
      <c r="F378" s="2" t="inlineStr">
        <is>
          <t>Peugeot 208</t>
        </is>
      </c>
      <c r="G378" s="2" t="inlineStr">
        <is>
          <t>1.0 PureTech</t>
        </is>
      </c>
      <c r="H378" s="2" t="inlineStr">
        <is>
          <t>5P ACCESS 1.0L PureTech 68</t>
        </is>
      </c>
      <c r="I378" s="2" t="n"/>
      <c r="J378" s="2" t="n"/>
      <c r="K378" s="2" t="inlineStr">
        <is>
          <t>gasolina</t>
        </is>
      </c>
      <c r="L378" s="2" t="inlineStr">
        <is>
          <t>utilitario</t>
        </is>
      </c>
      <c r="M378" s="2" t="n">
        <v>2013</v>
      </c>
      <c r="N378" s="2" t="n">
        <v>50000</v>
      </c>
      <c r="O378" s="2" t="n">
        <v>4850</v>
      </c>
      <c r="P378" s="2" t="inlineStr">
        <is>
          <t>manual</t>
        </is>
      </c>
      <c r="Q378" s="2" t="inlineStr">
        <is>
          <t>no</t>
        </is>
      </c>
      <c r="R378" s="2" t="inlineStr">
        <is>
          <t>particular</t>
        </is>
      </c>
      <c r="S378" s="2" t="n"/>
      <c r="T378" s="2" t="inlineStr">
        <is>
          <t>2026-08-03T17:51:35Z</t>
        </is>
      </c>
      <c r="U378" s="2" t="n">
        <v>9</v>
      </c>
      <c r="V378" s="2" t="n"/>
      <c r="W378" s="2" t="n"/>
      <c r="X378" s="2" t="n"/>
      <c r="Y378" s="2" t="n"/>
      <c r="Z378" s="2" t="inlineStr">
        <is>
          <t>no</t>
        </is>
      </c>
      <c r="AA378" s="2" t="n"/>
      <c r="AB378" s="2" t="n"/>
      <c r="AC378" s="2" t="n"/>
      <c r="AD378" s="2" t="n"/>
      <c r="AE378" s="2" t="n"/>
      <c r="AF378" s="2" t="n"/>
      <c r="AG378" s="2" t="n"/>
      <c r="AH378" s="2" t="n">
        <v>4850</v>
      </c>
      <c r="AI378" s="2" t="n"/>
      <c r="AJ378" s="2" t="n"/>
      <c r="AK378" s="2" t="n"/>
      <c r="AL378" s="2" t="n"/>
      <c r="AM378" s="2" t="n"/>
      <c r="AN378" s="2" t="n"/>
      <c r="AO378" s="2" t="inlineStr">
        <is>
          <t>2013</t>
        </is>
      </c>
      <c r="AP378" s="2" t="n">
        <v>2013</v>
      </c>
      <c r="AQ378" s="2" t="n"/>
      <c r="AR378" s="2" t="n"/>
      <c r="AS378" s="2" t="inlineStr">
        <is>
          <t>regla</t>
        </is>
      </c>
      <c r="AT378" s="2" t="n">
        <v>7349</v>
      </c>
      <c r="AU378" s="2" t="n">
        <v>12</v>
      </c>
      <c r="AV378" s="2" t="inlineStr">
        <is>
          <t>modelo+año+km</t>
        </is>
      </c>
      <c r="AW378" s="2" t="n"/>
      <c r="AX378" s="2" t="inlineStr">
        <is>
          <t>antigüedad en el límite del tramo: depende de la fecha exacta de matriculación; cuota fija ITP: &gt;12 años, hasta 1.500 cc; distancia no verificable (el anuncio solo indica la provincia): confirmar que está a &lt;= 70 km</t>
        </is>
      </c>
      <c r="AY378" s="2" t="inlineStr">
        <is>
          <t>Vendo Peugeot 208 5 puertas de 2013, motor gasolina de 68 CV (50 kW), con solo 50.000 km. Coche muy cuidado, ideal para ciudad o para quien busca un vehículo económico, fiable y con un consumo muy bajo.
Precio negociable.
 Mantenimientos al día.
Batería recién cambiada.
Distribución y bomba de aceite recién sustituidas en concesionario oficial Peugeot.
Equipamiento:radio multimedia, Bluetooth para llamadas y música.Aire acondicionado.Control de crucero.Limitador de velocidad.Cambio manual de 5 velocidades.
Se entrega con 2 llaves originales.
El coche tiene algunos desperfectos estéticos en la pintura, visibles por el paso del tiempo, pero mecánicamente está en muy buen estado y listo para usar sin necesidad de hacerle nada.
Muy bajo consumo de gasolina, perfecto como primer coche o para el día a día.
Para cualquier duda o si quieres verlo, escríbeme sin compromiso.</t>
        </is>
      </c>
      <c r="AZ378" s="2" t="inlineStr">
        <is>
          <t>https://www.coches.net/peugeot-208-gasolina-2013-en-valencia-71221918-covo.aspx (window.__INITIAL_PROPS__.ad) /home/user/Alopecia/buscador-coches/raw/cochesnet/c5c3f33ab89edfd7.json</t>
        </is>
      </c>
      <c r="BA378" s="3">
        <f>MAX(ANIO_ACTUAL-M378,0)</f>
        <v/>
      </c>
      <c r="BB378" s="4">
        <f>N378/MAX(BA378,0.5)</f>
        <v/>
      </c>
      <c r="BC378" s="4">
        <f>F378</f>
        <v/>
      </c>
      <c r="BD378" s="3">
        <f>BC378&amp;"|"&amp;INT(M378/SEG_ANIO)*SEG_ANIO</f>
        <v/>
      </c>
      <c r="BE378" s="3">
        <f>BD378&amp;"|"&amp;INT(N378/SEG_KM)*SEG_KM</f>
        <v/>
      </c>
      <c r="BF378" s="4">
        <f>COUNTIF($BC$2:$BC$545,BC378)</f>
        <v/>
      </c>
      <c r="BG378" s="4">
        <f>COUNTIF($BD$2:$BD$545,BD378)</f>
        <v/>
      </c>
      <c r="BH378" s="4">
        <f>COUNTIF($BE$2:$BE$545,BE378)</f>
        <v/>
      </c>
      <c r="BI378" s="3">
        <f t="array" ref="BI378">IF(N(AU378)&gt;=MIN_N,AT378,IF(BH378&gt;=MIN_N,MEDIAN(IF($BE$2:$BE$545=BE378,$O$2:$O$545)),IF(BG378&gt;=MIN_N,MEDIAN(IF($BD$2:$BD$545=BD378,$O$2:$O$545)),MEDIAN(IF($BC$2:$BC$545=BC378,$O$2:$O$545)))))</f>
        <v/>
      </c>
      <c r="BJ378" s="3">
        <f>IF(N(AU378)&gt;=MIN_N,"mercado "&amp;AV378,IF(BH378&gt;=MIN_N,"modelo+año+km",IF(BG378&gt;=MIN_N,"modelo+año","modelo")))</f>
        <v/>
      </c>
      <c r="BK378" s="4">
        <f>(BI378-O378)/BI378</f>
        <v/>
      </c>
      <c r="BL378" s="3">
        <f>IF(COUNTIFS(FR_FUEL,K378,FR_YEAR,AP378)&gt;0,1,0)</f>
        <v/>
      </c>
      <c r="BM378" s="3">
        <f>IF(COUNTIFS(FR_FUEL,K378,FR_YEAR,AP378-1)&gt;0,1,0)</f>
        <v/>
      </c>
      <c r="BN378" s="4">
        <f>IF(N(AQ378)&gt;0,AP378*100+AQ378,IF(AND(BL378=1,BM378=1),(AP378-1)*100+1,AP378*100+1))</f>
        <v/>
      </c>
      <c r="BO378" s="3">
        <f>IF(OR(K378="hibrido",K378="glp",K378="gnc",K378="phev"),"ECO",IF(K378="electrico","CERO",IF(K378="gasolina",IF(BN378&gt;=GAS_C_YM,"C",IF(BN378&gt;=GAS_B_YM,"B","A")),IF(K378="diesel",IF(BN378&gt;=DIE_C_YM,"C",IF(BN378&gt;=DIE_B_YM,"B","A")),""))))</f>
        <v/>
      </c>
      <c r="BP378" s="4">
        <f>BO378</f>
        <v/>
      </c>
      <c r="BQ378" s="4">
        <f>IF(AS378="regla",IF(AND(N(AQ378)=0,BL378=1),"sí","no"),"no")</f>
        <v/>
      </c>
      <c r="BR378" s="3">
        <f>IFERROR(VLOOKUP(F378,MOD_TBL,11,0),IFERROR(VLOOKUP(E378,OCU_TBL,2,0),NEUTRO))</f>
        <v/>
      </c>
      <c r="BS378" s="3">
        <f>SUMIFS(MOT_AJUSTE,MOT_MOTOR,G378,MOT_MARCA,E378,MOT_DESDE,"&lt;="&amp;M378,MOT_HASTA,"&gt;="&amp;M378)+SUMIFS(MOT_AJUSTE,MOT_MOTOR,G378,MOT_MARCA,"(todas)",MOT_DESDE,"&lt;="&amp;M378,MOT_HASTA,"&gt;="&amp;M378)</f>
        <v/>
      </c>
      <c r="BT378" s="3">
        <f>SUMIFS(COMB_AJUSTE,COMB_COMB,K378)</f>
        <v/>
      </c>
      <c r="BU378" s="3">
        <f>COUNTIFS(MOT_MOTOR,G378,MOT_MARCA,E378,MOT_DESDE,"&lt;="&amp;M378,MOT_HASTA,"&gt;="&amp;M378)+COUNTIFS(MOT_MOTOR,G378,MOT_MARCA,"(todas)",MOT_DESDE,"&lt;="&amp;M378,MOT_HASTA,"&gt;="&amp;M378)</f>
        <v/>
      </c>
      <c r="BV378" s="3">
        <f>IF(AND(K378="diesel",BU378=0),MIN(BR378,NEUTRO),BR378)</f>
        <v/>
      </c>
      <c r="BW378" s="4">
        <f>MAX(0,MIN(100,BV378+BS378+BT378))</f>
        <v/>
      </c>
      <c r="BX378" s="3">
        <f>MAX(0,MIN(100,50+BK378*PRECIO_PEND))</f>
        <v/>
      </c>
      <c r="BY378" s="3">
        <f>MAX(0,100*(1-N378/KM_MAX))</f>
        <v/>
      </c>
      <c r="BZ378" s="3">
        <f>IF(BB378&lt;KMA_SOSP,IF(AA378="sí",100,KMA_PEN),IF(BB378&lt;=KMA_IDEAL_MAX,100,MAX(0,100*(KMA_CERO-BB378)/(KMA_CERO-KMA_IDEAL_MAX))))</f>
        <v/>
      </c>
      <c r="CA378" s="3">
        <f>MAX(0,MIN(100,100*(M378-ANIO_MIN)/(ANIO_ACTUAL-ANIO_MIN)))</f>
        <v/>
      </c>
      <c r="CB378" s="3">
        <f>W_KMT*BY378+W_KMA*BZ378+W_EDAD*CA378</f>
        <v/>
      </c>
      <c r="CC378" s="3">
        <f>P_ITV*(V378="sí")+P_LIBRO*(W378="sí")+P_CORREA*(X378="sí")+P_PROP*(Y378=1)+P_GAR*(Z378="sí")+P_FOTOS*MIN(1,N(U378)/FOTOS_OBJ)</f>
        <v/>
      </c>
      <c r="CD378" s="3">
        <f>MAX(0,MIN(100,IFERROR(VLOOKUP(BP378,ETQ_TBL,2,0),0)-IF(BQ378="sí",ETQ_PEN_DUD,IF(AS378="regla",ETQ_PEN_REGLA,0))))</f>
        <v/>
      </c>
      <c r="CE378" s="3">
        <f>NEUTRO</f>
        <v/>
      </c>
      <c r="CF378" s="3">
        <f>IFERROR(VLOOKUP(L378,SEGURO_TBL,3,0),"")</f>
        <v/>
      </c>
      <c r="CG378" s="3">
        <f>IF(CF378="",NEUTRO,MAX(0,MIN(100,100*(SEG_REF_MAX-CF378)/(SEG_REF_MAX-SEG_REF_MIN))))</f>
        <v/>
      </c>
      <c r="CH378" s="3">
        <f>W_CONS*CE378+W_SEG*CG378</f>
        <v/>
      </c>
      <c r="CI378" s="3">
        <f>IF(N(AB378)&gt;0,AB378,IF(AND(R378="profesional",SG_LEGAL_ON=1),GAR_LEGAL,0))</f>
        <v/>
      </c>
      <c r="CJ378" s="3">
        <f>SG_GAR*MIN(1,CI378/SG_GAR_FULL)+SG_AMPL*(AC378="sí")+SG_KMC*(AF378="sí")+SG_REV*(N(AE378)&gt;0)+SG_DEV*MIN(1,N(AG378)/SG_DEV_FULL)+SG_HIST*(W378="sí")</f>
        <v/>
      </c>
      <c r="CK378" s="3">
        <f>IFERROR(VLOOKUP(L378,CARR_PEN_TBL,2,0),0)</f>
        <v/>
      </c>
      <c r="CL378" s="3">
        <f>W_FIAB*BW378+W_PRECIO*BX378+W_KMEDAD*CB378+W_ANUNCIO*CC378+W_USO*CH378+W_SEGURIDAD*CJ378+W_ETIQUETA*CD378-CK378</f>
        <v/>
      </c>
      <c r="CM378" s="4">
        <f>IF(N(I378)&gt;0,I378,IFERROR(ROUND(_xlfn.NUMBERVALUE(LEFT(G378,FIND(" ",G378&amp;" ")-1),".")*1000,0),99999))</f>
        <v/>
      </c>
      <c r="CN378" s="3">
        <f>IF(R378="profesional",0,IF(O378&lt;CUOTA_VALOR_MAX,IF(BA378&gt;ITP_TRAMO_ALTO,SUMIFS(CF_CUOTA,CF_MAS,ITP_TRAMO_ALTO,CF_CCMIN,"&lt;="&amp;CM378,CF_CCMAX,"&gt;="&amp;CM378),IF(BA378&gt;ITP_TRAMO_BAJO,SUMIFS(CF_CUOTA,CF_MAS,ITP_TRAMO_BAJO,CF_CCMIN,"&lt;="&amp;CM378,CF_CCMAX,"&gt;="&amp;CM378),O378*ITP_TIPO)),O378*ITP_TIPO))</f>
        <v/>
      </c>
      <c r="CO378" s="4">
        <f>IF(R378="profesional",N(AK378),0)</f>
        <v/>
      </c>
      <c r="CP378" s="3">
        <f>IF(AND(R378="profesional",ISNUMBER(AK378),AL378="sí"),0,TASA_DGT)</f>
        <v/>
      </c>
      <c r="CQ378" s="3">
        <f>INFORME_DGT</f>
        <v/>
      </c>
      <c r="CR378" s="4">
        <f>O378+CO378+CN378+CP378+CQ378</f>
        <v/>
      </c>
      <c r="CS378" s="4">
        <f>CR378+N(CF378)</f>
        <v/>
      </c>
      <c r="CT378" s="3">
        <f>IF(CR378&lt;=TOTAL_MAX,"sí",IF(CR378&lt;=TOTAL_MAX+MARGEN_NEG,"negociar","no"))</f>
        <v/>
      </c>
      <c r="CU378" s="4">
        <f>IF(CT378&lt;&gt;"no",COUNTIFS($CT$2:$CT$545,"&lt;&gt;no",$CL$2:$CL$545,"&gt;"&amp;CL378)+COUNTIFS($CT$2:CT378,"&lt;&gt;no",$CL$2:CL378,CL378),"")</f>
        <v/>
      </c>
    </row>
    <row r="379">
      <c r="A379" s="2" t="inlineStr">
        <is>
          <t>cochesnet:71569605</t>
        </is>
      </c>
      <c r="B379" s="2" t="inlineStr">
        <is>
          <t>cochesnet</t>
        </is>
      </c>
      <c r="C379" s="2" t="inlineStr">
        <is>
          <t>https://www.coches.net/peugeot-308-premium-20-hdi-136-fap-5p-diesel-2007-en-valencia-71569605-covo.aspx</t>
        </is>
      </c>
      <c r="D379" s="2" t="inlineStr">
        <is>
          <t>PEUGEOT 308 Premium 2.0 HDI 136 FAP</t>
        </is>
      </c>
      <c r="E379" s="2" t="inlineStr">
        <is>
          <t>Peugeot</t>
        </is>
      </c>
      <c r="F379" s="2" t="inlineStr">
        <is>
          <t>Peugeot 308</t>
        </is>
      </c>
      <c r="G379" s="2" t="inlineStr">
        <is>
          <t>2.0 HDi</t>
        </is>
      </c>
      <c r="H379" s="2" t="inlineStr">
        <is>
          <t>Premium 2.0 HDI 136 FAP</t>
        </is>
      </c>
      <c r="I379" s="2" t="n"/>
      <c r="J379" s="2" t="n"/>
      <c r="K379" s="2" t="inlineStr">
        <is>
          <t>diesel</t>
        </is>
      </c>
      <c r="L379" s="2" t="inlineStr">
        <is>
          <t>compacto</t>
        </is>
      </c>
      <c r="M379" s="2" t="n">
        <v>2007</v>
      </c>
      <c r="N379" s="2" t="n">
        <v>210000</v>
      </c>
      <c r="O379" s="2" t="n">
        <v>4300</v>
      </c>
      <c r="P379" s="2" t="inlineStr">
        <is>
          <t>manual</t>
        </is>
      </c>
      <c r="Q379" s="2" t="inlineStr">
        <is>
          <t>no</t>
        </is>
      </c>
      <c r="R379" s="2" t="inlineStr">
        <is>
          <t>particular</t>
        </is>
      </c>
      <c r="S379" s="2" t="inlineStr">
        <is>
          <t>Valencia</t>
        </is>
      </c>
      <c r="T379" s="2" t="inlineStr">
        <is>
          <t>2026-09-22T12:16:58Z</t>
        </is>
      </c>
      <c r="U379" s="2" t="n">
        <v>10</v>
      </c>
      <c r="V379" s="2" t="n"/>
      <c r="W379" s="2" t="n"/>
      <c r="X379" s="2" t="n"/>
      <c r="Y379" s="2" t="n"/>
      <c r="Z379" s="2" t="inlineStr">
        <is>
          <t>no</t>
        </is>
      </c>
      <c r="AA379" s="2" t="n"/>
      <c r="AB379" s="2" t="n"/>
      <c r="AC379" s="2" t="n"/>
      <c r="AD379" s="2" t="n"/>
      <c r="AE379" s="2" t="n"/>
      <c r="AF379" s="2" t="n"/>
      <c r="AG379" s="2" t="n"/>
      <c r="AH379" s="2" t="n">
        <v>4300</v>
      </c>
      <c r="AI379" s="2" t="n"/>
      <c r="AJ379" s="2" t="n"/>
      <c r="AK379" s="2" t="n"/>
      <c r="AL379" s="2" t="n"/>
      <c r="AM379" s="2" t="n">
        <v>0.1</v>
      </c>
      <c r="AN379" s="2" t="n"/>
      <c r="AO379" s="2" t="inlineStr">
        <is>
          <t>10/2007</t>
        </is>
      </c>
      <c r="AP379" s="2" t="n">
        <v>2007</v>
      </c>
      <c r="AQ379" s="2" t="n">
        <v>10</v>
      </c>
      <c r="AR379" s="2" t="n"/>
      <c r="AS379" s="2" t="inlineStr">
        <is>
          <t>regla</t>
        </is>
      </c>
      <c r="AT379" s="2" t="n">
        <v>3100</v>
      </c>
      <c r="AU379" s="2" t="n">
        <v>9</v>
      </c>
      <c r="AV379" s="2" t="inlineStr">
        <is>
          <t>modelo+año+km</t>
        </is>
      </c>
      <c r="AW379" s="2" t="n"/>
      <c r="AX379" s="2" t="inlineStr">
        <is>
          <t>cuota fija ITP: &gt;12 años, 1.501-2.000 cc; diésel: motor sin fuente de fiabilidad (fiabilidad limitada a neutra)</t>
        </is>
      </c>
      <c r="AY379" s="2" t="inlineStr">
        <is>
          <t>Vehículo en estado de uso habitual, con un motor diésel de 136 CV que ofrece una excelente relación entre potencia y consumo. Este Peugeot 308 Premium es una berlina versátil y práctica, perfecta tanto para desplazamientos diarios como para viajes más largos.
El motor de 2.0 HDI proporciona un rendimiento fiable y eficiente, característica que ha hecho popular este tipo de motorización entre conductores que buscan economía sin renunciar a prestaciones. La caja de cambios manual te permite un control total de la conducción y contribuye a optimizar el consumo de combustible.
Con cinco puertas y cinco plazas, se adapta perfectamente a las necesidades de una familia o a quien necesite espacio y comodidad en cada trayecto. El color rojo le aporta un toque distintivo que destaca en la carretera.
Se trata de un vehículo que ha demostrado su durabilidad y fiabilidad a lo largo de los años. Está listo para continuar prestando servicio a su nuevo propietario sin complicaciones.
El precio que ves es muy competitivo para las características que ofrece este modelo, especialmente considerando la robustez del motor diésel y su capacidad de tracción en diferentes condiciones.
Si tienes dudas sobre aspectos específicos del vehículo o necesitas más información, no dudes en contactarme a través del chat. Estoy disponible para resolver cualquier pregunta que tengas.
Contacta hoy mismo y descubre por qué este Peugeot 308 es una opción inteligente.</t>
        </is>
      </c>
      <c r="AZ379" s="2" t="inlineStr">
        <is>
          <t>https://www.coches.net/peugeot-308-premium-20-hdi-136-fap-5p-diesel-2007-en-valencia-71569605-covo.aspx (window.__INITIAL_PROPS__.ad) /home/user/Alopecia/buscador-coches/raw/cochesnet/8ad80d577b2ecbbd.json</t>
        </is>
      </c>
      <c r="BA379" s="3">
        <f>MAX(ANIO_ACTUAL-M379,0)</f>
        <v/>
      </c>
      <c r="BB379" s="4">
        <f>N379/MAX(BA379,0.5)</f>
        <v/>
      </c>
      <c r="BC379" s="4">
        <f>F379</f>
        <v/>
      </c>
      <c r="BD379" s="3">
        <f>BC379&amp;"|"&amp;INT(M379/SEG_ANIO)*SEG_ANIO</f>
        <v/>
      </c>
      <c r="BE379" s="3">
        <f>BD379&amp;"|"&amp;INT(N379/SEG_KM)*SEG_KM</f>
        <v/>
      </c>
      <c r="BF379" s="4">
        <f>COUNTIF($BC$2:$BC$545,BC379)</f>
        <v/>
      </c>
      <c r="BG379" s="4">
        <f>COUNTIF($BD$2:$BD$545,BD379)</f>
        <v/>
      </c>
      <c r="BH379" s="4">
        <f>COUNTIF($BE$2:$BE$545,BE379)</f>
        <v/>
      </c>
      <c r="BI379" s="3">
        <f t="array" ref="BI379">IF(N(AU379)&gt;=MIN_N,AT379,IF(BH379&gt;=MIN_N,MEDIAN(IF($BE$2:$BE$545=BE379,$O$2:$O$545)),IF(BG379&gt;=MIN_N,MEDIAN(IF($BD$2:$BD$545=BD379,$O$2:$O$545)),MEDIAN(IF($BC$2:$BC$545=BC379,$O$2:$O$545)))))</f>
        <v/>
      </c>
      <c r="BJ379" s="3">
        <f>IF(N(AU379)&gt;=MIN_N,"mercado "&amp;AV379,IF(BH379&gt;=MIN_N,"modelo+año+km",IF(BG379&gt;=MIN_N,"modelo+año","modelo")))</f>
        <v/>
      </c>
      <c r="BK379" s="4">
        <f>(BI379-O379)/BI379</f>
        <v/>
      </c>
      <c r="BL379" s="3">
        <f>IF(COUNTIFS(FR_FUEL,K379,FR_YEAR,AP379)&gt;0,1,0)</f>
        <v/>
      </c>
      <c r="BM379" s="3">
        <f>IF(COUNTIFS(FR_FUEL,K379,FR_YEAR,AP379-1)&gt;0,1,0)</f>
        <v/>
      </c>
      <c r="BN379" s="4">
        <f>IF(N(AQ379)&gt;0,AP379*100+AQ379,IF(AND(BL379=1,BM379=1),(AP379-1)*100+1,AP379*100+1))</f>
        <v/>
      </c>
      <c r="BO379" s="3">
        <f>IF(OR(K379="hibrido",K379="glp",K379="gnc",K379="phev"),"ECO",IF(K379="electrico","CERO",IF(K379="gasolina",IF(BN379&gt;=GAS_C_YM,"C",IF(BN379&gt;=GAS_B_YM,"B","A")),IF(K379="diesel",IF(BN379&gt;=DIE_C_YM,"C",IF(BN379&gt;=DIE_B_YM,"B","A")),""))))</f>
        <v/>
      </c>
      <c r="BP379" s="4">
        <f>BO379</f>
        <v/>
      </c>
      <c r="BQ379" s="4">
        <f>IF(AS379="regla",IF(AND(N(AQ379)=0,BL379=1),"sí","no"),"no")</f>
        <v/>
      </c>
      <c r="BR379" s="3">
        <f>IFERROR(VLOOKUP(F379,MOD_TBL,11,0),IFERROR(VLOOKUP(E379,OCU_TBL,2,0),NEUTRO))</f>
        <v/>
      </c>
      <c r="BS379" s="3">
        <f>SUMIFS(MOT_AJUSTE,MOT_MOTOR,G379,MOT_MARCA,E379,MOT_DESDE,"&lt;="&amp;M379,MOT_HASTA,"&gt;="&amp;M379)+SUMIFS(MOT_AJUSTE,MOT_MOTOR,G379,MOT_MARCA,"(todas)",MOT_DESDE,"&lt;="&amp;M379,MOT_HASTA,"&gt;="&amp;M379)</f>
        <v/>
      </c>
      <c r="BT379" s="3">
        <f>SUMIFS(COMB_AJUSTE,COMB_COMB,K379)</f>
        <v/>
      </c>
      <c r="BU379" s="3">
        <f>COUNTIFS(MOT_MOTOR,G379,MOT_MARCA,E379,MOT_DESDE,"&lt;="&amp;M379,MOT_HASTA,"&gt;="&amp;M379)+COUNTIFS(MOT_MOTOR,G379,MOT_MARCA,"(todas)",MOT_DESDE,"&lt;="&amp;M379,MOT_HASTA,"&gt;="&amp;M379)</f>
        <v/>
      </c>
      <c r="BV379" s="3">
        <f>IF(AND(K379="diesel",BU379=0),MIN(BR379,NEUTRO),BR379)</f>
        <v/>
      </c>
      <c r="BW379" s="4">
        <f>MAX(0,MIN(100,BV379+BS379+BT379))</f>
        <v/>
      </c>
      <c r="BX379" s="3">
        <f>MAX(0,MIN(100,50+BK379*PRECIO_PEND))</f>
        <v/>
      </c>
      <c r="BY379" s="3">
        <f>MAX(0,100*(1-N379/KM_MAX))</f>
        <v/>
      </c>
      <c r="BZ379" s="3">
        <f>IF(BB379&lt;KMA_SOSP,IF(AA379="sí",100,KMA_PEN),IF(BB379&lt;=KMA_IDEAL_MAX,100,MAX(0,100*(KMA_CERO-BB379)/(KMA_CERO-KMA_IDEAL_MAX))))</f>
        <v/>
      </c>
      <c r="CA379" s="3">
        <f>MAX(0,MIN(100,100*(M379-ANIO_MIN)/(ANIO_ACTUAL-ANIO_MIN)))</f>
        <v/>
      </c>
      <c r="CB379" s="3">
        <f>W_KMT*BY379+W_KMA*BZ379+W_EDAD*CA379</f>
        <v/>
      </c>
      <c r="CC379" s="3">
        <f>P_ITV*(V379="sí")+P_LIBRO*(W379="sí")+P_CORREA*(X379="sí")+P_PROP*(Y379=1)+P_GAR*(Z379="sí")+P_FOTOS*MIN(1,N(U379)/FOTOS_OBJ)</f>
        <v/>
      </c>
      <c r="CD379" s="3">
        <f>MAX(0,MIN(100,IFERROR(VLOOKUP(BP379,ETQ_TBL,2,0),0)-IF(BQ379="sí",ETQ_PEN_DUD,IF(AS379="regla",ETQ_PEN_REGLA,0))))</f>
        <v/>
      </c>
      <c r="CE379" s="3">
        <f>NEUTRO</f>
        <v/>
      </c>
      <c r="CF379" s="3">
        <f>IFERROR(VLOOKUP(L379,SEGURO_TBL,3,0),"")</f>
        <v/>
      </c>
      <c r="CG379" s="3">
        <f>IF(CF379="",NEUTRO,MAX(0,MIN(100,100*(SEG_REF_MAX-CF379)/(SEG_REF_MAX-SEG_REF_MIN))))</f>
        <v/>
      </c>
      <c r="CH379" s="3">
        <f>W_CONS*CE379+W_SEG*CG379</f>
        <v/>
      </c>
      <c r="CI379" s="3">
        <f>IF(N(AB379)&gt;0,AB379,IF(AND(R379="profesional",SG_LEGAL_ON=1),GAR_LEGAL,0))</f>
        <v/>
      </c>
      <c r="CJ379" s="3">
        <f>SG_GAR*MIN(1,CI379/SG_GAR_FULL)+SG_AMPL*(AC379="sí")+SG_KMC*(AF379="sí")+SG_REV*(N(AE379)&gt;0)+SG_DEV*MIN(1,N(AG379)/SG_DEV_FULL)+SG_HIST*(W379="sí")</f>
        <v/>
      </c>
      <c r="CK379" s="3">
        <f>IFERROR(VLOOKUP(L379,CARR_PEN_TBL,2,0),0)</f>
        <v/>
      </c>
      <c r="CL379" s="3">
        <f>W_FIAB*BW379+W_PRECIO*BX379+W_KMEDAD*CB379+W_ANUNCIO*CC379+W_USO*CH379+W_SEGURIDAD*CJ379+W_ETIQUETA*CD379-CK379</f>
        <v/>
      </c>
      <c r="CM379" s="4">
        <f>IF(N(I379)&gt;0,I379,IFERROR(ROUND(_xlfn.NUMBERVALUE(LEFT(G379,FIND(" ",G379&amp;" ")-1),".")*1000,0),99999))</f>
        <v/>
      </c>
      <c r="CN379" s="3">
        <f>IF(R379="profesional",0,IF(O379&lt;CUOTA_VALOR_MAX,IF(BA379&gt;ITP_TRAMO_ALTO,SUMIFS(CF_CUOTA,CF_MAS,ITP_TRAMO_ALTO,CF_CCMIN,"&lt;="&amp;CM379,CF_CCMAX,"&gt;="&amp;CM379),IF(BA379&gt;ITP_TRAMO_BAJO,SUMIFS(CF_CUOTA,CF_MAS,ITP_TRAMO_BAJO,CF_CCMIN,"&lt;="&amp;CM379,CF_CCMAX,"&gt;="&amp;CM379),O379*ITP_TIPO)),O379*ITP_TIPO))</f>
        <v/>
      </c>
      <c r="CO379" s="4">
        <f>IF(R379="profesional",N(AK379),0)</f>
        <v/>
      </c>
      <c r="CP379" s="3">
        <f>IF(AND(R379="profesional",ISNUMBER(AK379),AL379="sí"),0,TASA_DGT)</f>
        <v/>
      </c>
      <c r="CQ379" s="3">
        <f>INFORME_DGT</f>
        <v/>
      </c>
      <c r="CR379" s="4">
        <f>O379+CO379+CN379+CP379+CQ379</f>
        <v/>
      </c>
      <c r="CS379" s="4">
        <f>CR379+N(CF379)</f>
        <v/>
      </c>
      <c r="CT379" s="3">
        <f>IF(CR379&lt;=TOTAL_MAX,"sí",IF(CR379&lt;=TOTAL_MAX+MARGEN_NEG,"negociar","no"))</f>
        <v/>
      </c>
      <c r="CU379" s="4">
        <f>IF(CT379&lt;&gt;"no",COUNTIFS($CT$2:$CT$545,"&lt;&gt;no",$CL$2:$CL$545,"&gt;"&amp;CL379)+COUNTIFS($CT$2:CT379,"&lt;&gt;no",$CL$2:CL379,CL379),"")</f>
        <v/>
      </c>
    </row>
    <row r="380">
      <c r="A380" s="2" t="inlineStr">
        <is>
          <t>cochesnet:71733143</t>
        </is>
      </c>
      <c r="B380" s="2" t="inlineStr">
        <is>
          <t>cochesnet</t>
        </is>
      </c>
      <c r="C380" s="2" t="inlineStr">
        <is>
          <t>https://www.coches.net/citroen-c3-picasso-hdi-110cv-fap-airdream-exclusive-5p-diesel-2009-en-valencia-71733143-covo.aspx</t>
        </is>
      </c>
      <c r="D380" s="2" t="inlineStr">
        <is>
          <t>CITROEN C3 Picasso HDI FAP Airdream Exclusive</t>
        </is>
      </c>
      <c r="E380" s="2" t="inlineStr">
        <is>
          <t>Citroën</t>
        </is>
      </c>
      <c r="F380" s="2" t="inlineStr">
        <is>
          <t>Citroën C3 Picasso</t>
        </is>
      </c>
      <c r="G380" s="2" t="inlineStr">
        <is>
          <t>? HDi</t>
        </is>
      </c>
      <c r="H380" s="2" t="inlineStr">
        <is>
          <t>HDI 110cv FAP Airdream Exclusive</t>
        </is>
      </c>
      <c r="I380" s="2" t="n"/>
      <c r="J380" s="2" t="n">
        <v>110</v>
      </c>
      <c r="K380" s="2" t="inlineStr">
        <is>
          <t>diesel</t>
        </is>
      </c>
      <c r="L380" s="2" t="inlineStr">
        <is>
          <t>monovolumen_pequeno</t>
        </is>
      </c>
      <c r="M380" s="2" t="n">
        <v>2009</v>
      </c>
      <c r="N380" s="2" t="n">
        <v>160000</v>
      </c>
      <c r="O380" s="2" t="n">
        <v>4990</v>
      </c>
      <c r="P380" s="2" t="inlineStr">
        <is>
          <t>manual</t>
        </is>
      </c>
      <c r="Q380" s="2" t="inlineStr">
        <is>
          <t>no</t>
        </is>
      </c>
      <c r="R380" s="2" t="inlineStr">
        <is>
          <t>profesional</t>
        </is>
      </c>
      <c r="S380" s="2" t="inlineStr">
        <is>
          <t>Alboraya</t>
        </is>
      </c>
      <c r="T380" s="2" t="inlineStr">
        <is>
          <t>2026-10-13T13:11:21Z</t>
        </is>
      </c>
      <c r="U380" s="2" t="n">
        <v>14</v>
      </c>
      <c r="V380" s="2" t="inlineStr">
        <is>
          <t>sí</t>
        </is>
      </c>
      <c r="W380" s="2" t="inlineStr">
        <is>
          <t>sí</t>
        </is>
      </c>
      <c r="X380" s="2" t="n"/>
      <c r="Y380" s="2" t="n"/>
      <c r="Z380" s="2" t="inlineStr">
        <is>
          <t>sí</t>
        </is>
      </c>
      <c r="AA380" s="2" t="n"/>
      <c r="AB380" s="2" t="n">
        <v>12</v>
      </c>
      <c r="AC380" s="2" t="n"/>
      <c r="AD380" s="2" t="n"/>
      <c r="AE380" s="2" t="n"/>
      <c r="AF380" s="2" t="n"/>
      <c r="AG380" s="2" t="n"/>
      <c r="AH380" s="2" t="n">
        <v>4990</v>
      </c>
      <c r="AI380" s="2" t="n">
        <v>4990</v>
      </c>
      <c r="AJ380" s="2" t="n"/>
      <c r="AK380" s="2" t="n"/>
      <c r="AL380" s="2" t="n"/>
      <c r="AM380" s="2" t="n">
        <v>4</v>
      </c>
      <c r="AN380" s="2" t="n"/>
      <c r="AO380" s="2" t="inlineStr">
        <is>
          <t>2009</t>
        </is>
      </c>
      <c r="AP380" s="2" t="n">
        <v>2009</v>
      </c>
      <c r="AQ380" s="2" t="n"/>
      <c r="AR380" s="2" t="inlineStr">
        <is>
          <t>B</t>
        </is>
      </c>
      <c r="AS380" s="2" t="inlineStr">
        <is>
          <t>anuncio</t>
        </is>
      </c>
      <c r="AT380" s="2" t="n"/>
      <c r="AU380" s="2" t="n"/>
      <c r="AV380" s="2" t="n"/>
      <c r="AW380" s="2" t="n"/>
      <c r="AX380"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1 anuncio(s)</t>
        </is>
      </c>
      <c r="AY380" s="2" t="inlineStr">
        <is>
          <t>CITROEN C3 PICASSO 1.6 HDi 110 CV DIÉSEL · 2009 · 160.000 KM
¡Espacio, comodidad y versatilidad en un monovolumen compacto! Este Citroen C3 Picasso destaca por su motor diésel 1.6 HDi de 110 CV, su consumo contenido y su amplio habitáculo. Un vehículo práctico y funcional, con techo solar y un completo equipamiento, ideal para familias y para quienes buscan comodidad tanto en ciudad como en carretera.
??? Estado y mantenimiento:
?? Vehículo nacional.
?? 160.000 km.
?? ITV en vigor.
?? Revisiones y mantenimiento al día.
?? Equipamiento destacado:
?? Confort y conducción: Motor 1.6 HDi de 110 CV, dirección asistida Servotronic, control de crucero y volante multifunción revestido en piel.
?? Diseño y comodidad: Techo solar, asientos confort, aire acondicionado, elevalunas eléctricos y retrovisores eléctricos.
?? Tecnología y multimedia: Ordenador de a bordo y equipo de música MP3 con 6 altavoces.
?? Seguridad y aparcamiento: Sensores de aparcamiento Parktronic, anclajes ISOFIX para sillas infantiles y cierre centralizado.
?? Espacio y funcionalidad: Carrocería monovolumen de 5 puertas, posición de conducción elevada y habitáculo espacioso con gran aprovechamiento interior, ideal para el uso familiar y los viajes.
? Ventajas exclusivas Lunusa Cars
?? Financiación de hasta el 100% con tu nómina.
?? Garantía de 1 año en motor incluida.
?? Compra 100% online, fácil y segura.
?? Envíos y entrega a domicilio en toda España.
?? ¿Hablamos? Te enviamos más vídeos, fotog</t>
        </is>
      </c>
      <c r="AZ380" s="2" t="inlineStr">
        <is>
          <t>https://www.coches.net/citroen-c3-picasso-hdi-110cv-fap-airdream-exclusive-5p-diesel-2009-en-valencia-71733143-covo.aspx (window.__INITIAL_PROPS__.ad) /home/user/Alopecia/buscador-coches/raw/cochesnet/d1048337a6adebf4.json</t>
        </is>
      </c>
      <c r="BA380" s="3">
        <f>MAX(ANIO_ACTUAL-M380,0)</f>
        <v/>
      </c>
      <c r="BB380" s="4">
        <f>N380/MAX(BA380,0.5)</f>
        <v/>
      </c>
      <c r="BC380" s="4">
        <f>F380</f>
        <v/>
      </c>
      <c r="BD380" s="3">
        <f>BC380&amp;"|"&amp;INT(M380/SEG_ANIO)*SEG_ANIO</f>
        <v/>
      </c>
      <c r="BE380" s="3">
        <f>BD380&amp;"|"&amp;INT(N380/SEG_KM)*SEG_KM</f>
        <v/>
      </c>
      <c r="BF380" s="4">
        <f>COUNTIF($BC$2:$BC$545,BC380)</f>
        <v/>
      </c>
      <c r="BG380" s="4">
        <f>COUNTIF($BD$2:$BD$545,BD380)</f>
        <v/>
      </c>
      <c r="BH380" s="4">
        <f>COUNTIF($BE$2:$BE$545,BE380)</f>
        <v/>
      </c>
      <c r="BI380" s="3">
        <f t="array" ref="BI380">IF(N(AU380)&gt;=MIN_N,AT380,IF(BH380&gt;=MIN_N,MEDIAN(IF($BE$2:$BE$545=BE380,$O$2:$O$545)),IF(BG380&gt;=MIN_N,MEDIAN(IF($BD$2:$BD$545=BD380,$O$2:$O$545)),MEDIAN(IF($BC$2:$BC$545=BC380,$O$2:$O$545)))))</f>
        <v/>
      </c>
      <c r="BJ380" s="3">
        <f>IF(N(AU380)&gt;=MIN_N,"mercado "&amp;AV380,IF(BH380&gt;=MIN_N,"modelo+año+km",IF(BG380&gt;=MIN_N,"modelo+año","modelo")))</f>
        <v/>
      </c>
      <c r="BK380" s="4">
        <f>(BI380-O380)/BI380</f>
        <v/>
      </c>
      <c r="BL380" s="3">
        <f>IF(COUNTIFS(FR_FUEL,K380,FR_YEAR,AP380)&gt;0,1,0)</f>
        <v/>
      </c>
      <c r="BM380" s="3">
        <f>IF(COUNTIFS(FR_FUEL,K380,FR_YEAR,AP380-1)&gt;0,1,0)</f>
        <v/>
      </c>
      <c r="BN380" s="4">
        <f>IF(N(AQ380)&gt;0,AP380*100+AQ380,IF(AND(BL380=1,BM380=1),(AP380-1)*100+1,AP380*100+1))</f>
        <v/>
      </c>
      <c r="BO380" s="3">
        <f>IF(OR(K380="hibrido",K380="glp",K380="gnc",K380="phev"),"ECO",IF(K380="electrico","CERO",IF(K380="gasolina",IF(BN380&gt;=GAS_C_YM,"C",IF(BN380&gt;=GAS_B_YM,"B","A")),IF(K380="diesel",IF(BN380&gt;=DIE_C_YM,"C",IF(BN380&gt;=DIE_B_YM,"B","A")),""))))</f>
        <v/>
      </c>
      <c r="BP380" s="2" t="inlineStr">
        <is>
          <t>B</t>
        </is>
      </c>
      <c r="BQ380" s="4">
        <f>IF(AS380="regla",IF(AND(N(AQ380)=0,BL380=1),"sí","no"),"no")</f>
        <v/>
      </c>
      <c r="BR380" s="3">
        <f>IFERROR(VLOOKUP(F380,MOD_TBL,11,0),IFERROR(VLOOKUP(E380,OCU_TBL,2,0),NEUTRO))</f>
        <v/>
      </c>
      <c r="BS380" s="3">
        <f>SUMIFS(MOT_AJUSTE,MOT_MOTOR,G380,MOT_MARCA,E380,MOT_DESDE,"&lt;="&amp;M380,MOT_HASTA,"&gt;="&amp;M380)+SUMIFS(MOT_AJUSTE,MOT_MOTOR,G380,MOT_MARCA,"(todas)",MOT_DESDE,"&lt;="&amp;M380,MOT_HASTA,"&gt;="&amp;M380)</f>
        <v/>
      </c>
      <c r="BT380" s="3">
        <f>SUMIFS(COMB_AJUSTE,COMB_COMB,K380)</f>
        <v/>
      </c>
      <c r="BU380" s="3">
        <f>COUNTIFS(MOT_MOTOR,G380,MOT_MARCA,E380,MOT_DESDE,"&lt;="&amp;M380,MOT_HASTA,"&gt;="&amp;M380)+COUNTIFS(MOT_MOTOR,G380,MOT_MARCA,"(todas)",MOT_DESDE,"&lt;="&amp;M380,MOT_HASTA,"&gt;="&amp;M380)</f>
        <v/>
      </c>
      <c r="BV380" s="3">
        <f>IF(AND(K380="diesel",BU380=0),MIN(BR380,NEUTRO),BR380)</f>
        <v/>
      </c>
      <c r="BW380" s="4">
        <f>MAX(0,MIN(100,BV380+BS380+BT380))</f>
        <v/>
      </c>
      <c r="BX380" s="3">
        <f>MAX(0,MIN(100,50+BK380*PRECIO_PEND))</f>
        <v/>
      </c>
      <c r="BY380" s="3">
        <f>MAX(0,100*(1-N380/KM_MAX))</f>
        <v/>
      </c>
      <c r="BZ380" s="3">
        <f>IF(BB380&lt;KMA_SOSP,IF(AA380="sí",100,KMA_PEN),IF(BB380&lt;=KMA_IDEAL_MAX,100,MAX(0,100*(KMA_CERO-BB380)/(KMA_CERO-KMA_IDEAL_MAX))))</f>
        <v/>
      </c>
      <c r="CA380" s="3">
        <f>MAX(0,MIN(100,100*(M380-ANIO_MIN)/(ANIO_ACTUAL-ANIO_MIN)))</f>
        <v/>
      </c>
      <c r="CB380" s="3">
        <f>W_KMT*BY380+W_KMA*BZ380+W_EDAD*CA380</f>
        <v/>
      </c>
      <c r="CC380" s="3">
        <f>P_ITV*(V380="sí")+P_LIBRO*(W380="sí")+P_CORREA*(X380="sí")+P_PROP*(Y380=1)+P_GAR*(Z380="sí")+P_FOTOS*MIN(1,N(U380)/FOTOS_OBJ)</f>
        <v/>
      </c>
      <c r="CD380" s="3">
        <f>MAX(0,MIN(100,IFERROR(VLOOKUP(BP380,ETQ_TBL,2,0),0)-IF(BQ380="sí",ETQ_PEN_DUD,IF(AS380="regla",ETQ_PEN_REGLA,0))))</f>
        <v/>
      </c>
      <c r="CE380" s="3">
        <f>NEUTRO</f>
        <v/>
      </c>
      <c r="CF380" s="3">
        <f>IFERROR(VLOOKUP(L380,SEGURO_TBL,3,0),"")</f>
        <v/>
      </c>
      <c r="CG380" s="3">
        <f>IF(CF380="",NEUTRO,MAX(0,MIN(100,100*(SEG_REF_MAX-CF380)/(SEG_REF_MAX-SEG_REF_MIN))))</f>
        <v/>
      </c>
      <c r="CH380" s="3">
        <f>W_CONS*CE380+W_SEG*CG380</f>
        <v/>
      </c>
      <c r="CI380" s="3">
        <f>IF(N(AB380)&gt;0,AB380,IF(AND(R380="profesional",SG_LEGAL_ON=1),GAR_LEGAL,0))</f>
        <v/>
      </c>
      <c r="CJ380" s="3">
        <f>SG_GAR*MIN(1,CI380/SG_GAR_FULL)+SG_AMPL*(AC380="sí")+SG_KMC*(AF380="sí")+SG_REV*(N(AE380)&gt;0)+SG_DEV*MIN(1,N(AG380)/SG_DEV_FULL)+SG_HIST*(W380="sí")</f>
        <v/>
      </c>
      <c r="CK380" s="3">
        <f>IFERROR(VLOOKUP(L380,CARR_PEN_TBL,2,0),0)</f>
        <v/>
      </c>
      <c r="CL380" s="3">
        <f>W_FIAB*BW380+W_PRECIO*BX380+W_KMEDAD*CB380+W_ANUNCIO*CC380+W_USO*CH380+W_SEGURIDAD*CJ380+W_ETIQUETA*CD380-CK380</f>
        <v/>
      </c>
      <c r="CM380" s="4">
        <f>IF(N(I380)&gt;0,I380,IFERROR(ROUND(_xlfn.NUMBERVALUE(LEFT(G380,FIND(" ",G380&amp;" ")-1),".")*1000,0),99999))</f>
        <v/>
      </c>
      <c r="CN380" s="3">
        <f>IF(R380="profesional",0,IF(O380&lt;CUOTA_VALOR_MAX,IF(BA380&gt;ITP_TRAMO_ALTO,SUMIFS(CF_CUOTA,CF_MAS,ITP_TRAMO_ALTO,CF_CCMIN,"&lt;="&amp;CM380,CF_CCMAX,"&gt;="&amp;CM380),IF(BA380&gt;ITP_TRAMO_BAJO,SUMIFS(CF_CUOTA,CF_MAS,ITP_TRAMO_BAJO,CF_CCMIN,"&lt;="&amp;CM380,CF_CCMAX,"&gt;="&amp;CM380),O380*ITP_TIPO)),O380*ITP_TIPO))</f>
        <v/>
      </c>
      <c r="CO380" s="4">
        <f>IF(R380="profesional",N(AK380),0)</f>
        <v/>
      </c>
      <c r="CP380" s="3">
        <f>IF(AND(R380="profesional",ISNUMBER(AK380),AL380="sí"),0,TASA_DGT)</f>
        <v/>
      </c>
      <c r="CQ380" s="3">
        <f>INFORME_DGT</f>
        <v/>
      </c>
      <c r="CR380" s="4">
        <f>O380+CO380+CN380+CP380+CQ380</f>
        <v/>
      </c>
      <c r="CS380" s="4">
        <f>CR380+N(CF380)</f>
        <v/>
      </c>
      <c r="CT380" s="3">
        <f>IF(CR380&lt;=TOTAL_MAX,"sí",IF(CR380&lt;=TOTAL_MAX+MARGEN_NEG,"negociar","no"))</f>
        <v/>
      </c>
      <c r="CU380" s="4">
        <f>IF(CT380&lt;&gt;"no",COUNTIFS($CT$2:$CT$545,"&lt;&gt;no",$CL$2:$CL$545,"&gt;"&amp;CL380)+COUNTIFS($CT$2:CT380,"&lt;&gt;no",$CL$2:CL380,CL380),"")</f>
        <v/>
      </c>
    </row>
    <row r="381">
      <c r="A381" s="2" t="inlineStr">
        <is>
          <t>cochesnet:71713025</t>
        </is>
      </c>
      <c r="B381" s="2" t="inlineStr">
        <is>
          <t>cochesnet</t>
        </is>
      </c>
      <c r="C381" s="2" t="inlineStr">
        <is>
          <t>https://www.coches.net/citroen-c1-10-x-5p-gasolina-2006-en-valencia-71713025-covo.aspx</t>
        </is>
      </c>
      <c r="D381" s="2" t="inlineStr">
        <is>
          <t>CITROEN C1 1.0 X</t>
        </is>
      </c>
      <c r="E381" s="2" t="inlineStr">
        <is>
          <t>Citroën</t>
        </is>
      </c>
      <c r="F381" s="2" t="inlineStr">
        <is>
          <t>Citroën C1</t>
        </is>
      </c>
      <c r="G381" s="2" t="inlineStr">
        <is>
          <t>1.0</t>
        </is>
      </c>
      <c r="H381" s="2" t="inlineStr">
        <is>
          <t>1.0 X</t>
        </is>
      </c>
      <c r="I381" s="2" t="n"/>
      <c r="J381" s="2" t="n"/>
      <c r="K381" s="2" t="inlineStr">
        <is>
          <t>gasolina</t>
        </is>
      </c>
      <c r="L381" s="2" t="inlineStr">
        <is>
          <t>utilitario</t>
        </is>
      </c>
      <c r="M381" s="2" t="n">
        <v>2006</v>
      </c>
      <c r="N381" s="2" t="n">
        <v>112000</v>
      </c>
      <c r="O381" s="2" t="n">
        <v>3250</v>
      </c>
      <c r="P381" s="2" t="inlineStr">
        <is>
          <t>manual</t>
        </is>
      </c>
      <c r="Q381" s="2" t="inlineStr">
        <is>
          <t>no</t>
        </is>
      </c>
      <c r="R381" s="2" t="inlineStr">
        <is>
          <t>particular</t>
        </is>
      </c>
      <c r="S381" s="2" t="inlineStr">
        <is>
          <t>Alzira</t>
        </is>
      </c>
      <c r="T381" s="2" t="inlineStr">
        <is>
          <t>2026-10-09T15:48:08Z</t>
        </is>
      </c>
      <c r="U381" s="2" t="n">
        <v>11</v>
      </c>
      <c r="V381" s="2" t="inlineStr">
        <is>
          <t>sí</t>
        </is>
      </c>
      <c r="W381" s="2" t="n"/>
      <c r="X381" s="2" t="n"/>
      <c r="Y381" s="2" t="n">
        <v>1</v>
      </c>
      <c r="Z381" s="2" t="inlineStr">
        <is>
          <t>no</t>
        </is>
      </c>
      <c r="AA381" s="2" t="n"/>
      <c r="AB381" s="2" t="n"/>
      <c r="AC381" s="2" t="n"/>
      <c r="AD381" s="2" t="n"/>
      <c r="AE381" s="2" t="n"/>
      <c r="AF381" s="2" t="n"/>
      <c r="AG381" s="2" t="n"/>
      <c r="AH381" s="2" t="n">
        <v>3250</v>
      </c>
      <c r="AI381" s="2" t="n"/>
      <c r="AJ381" s="2" t="n"/>
      <c r="AK381" s="2" t="n"/>
      <c r="AL381" s="2" t="n"/>
      <c r="AM381" s="2" t="n">
        <v>35.7</v>
      </c>
      <c r="AN381" s="2" t="n"/>
      <c r="AO381" s="2" t="inlineStr">
        <is>
          <t>05/2006</t>
        </is>
      </c>
      <c r="AP381" s="2" t="n">
        <v>2006</v>
      </c>
      <c r="AQ381" s="2" t="n">
        <v>5</v>
      </c>
      <c r="AR381" s="2" t="n"/>
      <c r="AS381" s="2" t="inlineStr">
        <is>
          <t>regla</t>
        </is>
      </c>
      <c r="AT381" s="2" t="n"/>
      <c r="AU381" s="2" t="n"/>
      <c r="AV381" s="2" t="n"/>
      <c r="AW381" s="2" t="n"/>
      <c r="AX381" s="2" t="inlineStr">
        <is>
          <t>cuota fija ITP: &gt;12 años, hasta 1.500 cc; fiabilidad del modelo PENDIENTE de fuente (puntuación neutra); mediana con solo 2 anuncio(s)</t>
        </is>
      </c>
      <c r="AY381" s="2" t="inlineStr">
        <is>
          <t xml:space="preserve">Citroen C1 
Año 2006
1.0 70cv
Aire Acondicionado 
Dirección asistida 
Radio CD
Ruedas delanteras nuevas
Faros recién pulidos
Embrague cambiado
Mantenimiento, aceite, filtros hecho 
Tapacubos recién cambiados
ITV 10/27
0 fallos 
2 llaves
Unico propietario 
Coche en perfecto estado, muy bien conservado, poco consumo, bien cuidado interior 
Se puede probar y hacer prueba mecánica 
Se vende por poco uso </t>
        </is>
      </c>
      <c r="AZ381" s="2" t="inlineStr">
        <is>
          <t>https://www.coches.net/citroen-c1-10-x-5p-gasolina-2006-en-valencia-71713025-covo.aspx (window.__INITIAL_PROPS__.ad) /home/user/Alopecia/buscador-coches/raw/cochesnet/b89468fb0a533868.json</t>
        </is>
      </c>
      <c r="BA381" s="3">
        <f>MAX(ANIO_ACTUAL-M381,0)</f>
        <v/>
      </c>
      <c r="BB381" s="4">
        <f>N381/MAX(BA381,0.5)</f>
        <v/>
      </c>
      <c r="BC381" s="4">
        <f>F381</f>
        <v/>
      </c>
      <c r="BD381" s="3">
        <f>BC381&amp;"|"&amp;INT(M381/SEG_ANIO)*SEG_ANIO</f>
        <v/>
      </c>
      <c r="BE381" s="3">
        <f>BD381&amp;"|"&amp;INT(N381/SEG_KM)*SEG_KM</f>
        <v/>
      </c>
      <c r="BF381" s="4">
        <f>COUNTIF($BC$2:$BC$545,BC381)</f>
        <v/>
      </c>
      <c r="BG381" s="4">
        <f>COUNTIF($BD$2:$BD$545,BD381)</f>
        <v/>
      </c>
      <c r="BH381" s="4">
        <f>COUNTIF($BE$2:$BE$545,BE381)</f>
        <v/>
      </c>
      <c r="BI381" s="3">
        <f t="array" ref="BI381">IF(N(AU381)&gt;=MIN_N,AT381,IF(BH381&gt;=MIN_N,MEDIAN(IF($BE$2:$BE$545=BE381,$O$2:$O$545)),IF(BG381&gt;=MIN_N,MEDIAN(IF($BD$2:$BD$545=BD381,$O$2:$O$545)),MEDIAN(IF($BC$2:$BC$545=BC381,$O$2:$O$545)))))</f>
        <v/>
      </c>
      <c r="BJ381" s="3">
        <f>IF(N(AU381)&gt;=MIN_N,"mercado "&amp;AV381,IF(BH381&gt;=MIN_N,"modelo+año+km",IF(BG381&gt;=MIN_N,"modelo+año","modelo")))</f>
        <v/>
      </c>
      <c r="BK381" s="4">
        <f>(BI381-O381)/BI381</f>
        <v/>
      </c>
      <c r="BL381" s="3">
        <f>IF(COUNTIFS(FR_FUEL,K381,FR_YEAR,AP381)&gt;0,1,0)</f>
        <v/>
      </c>
      <c r="BM381" s="3">
        <f>IF(COUNTIFS(FR_FUEL,K381,FR_YEAR,AP381-1)&gt;0,1,0)</f>
        <v/>
      </c>
      <c r="BN381" s="4">
        <f>IF(N(AQ381)&gt;0,AP381*100+AQ381,IF(AND(BL381=1,BM381=1),(AP381-1)*100+1,AP381*100+1))</f>
        <v/>
      </c>
      <c r="BO381" s="3">
        <f>IF(OR(K381="hibrido",K381="glp",K381="gnc",K381="phev"),"ECO",IF(K381="electrico","CERO",IF(K381="gasolina",IF(BN381&gt;=GAS_C_YM,"C",IF(BN381&gt;=GAS_B_YM,"B","A")),IF(K381="diesel",IF(BN381&gt;=DIE_C_YM,"C",IF(BN381&gt;=DIE_B_YM,"B","A")),""))))</f>
        <v/>
      </c>
      <c r="BP381" s="4">
        <f>BO381</f>
        <v/>
      </c>
      <c r="BQ381" s="4">
        <f>IF(AS381="regla",IF(AND(N(AQ381)=0,BL381=1),"sí","no"),"no")</f>
        <v/>
      </c>
      <c r="BR381" s="3">
        <f>IFERROR(VLOOKUP(F381,MOD_TBL,11,0),IFERROR(VLOOKUP(E381,OCU_TBL,2,0),NEUTRO))</f>
        <v/>
      </c>
      <c r="BS381" s="3">
        <f>SUMIFS(MOT_AJUSTE,MOT_MOTOR,G381,MOT_MARCA,E381,MOT_DESDE,"&lt;="&amp;M381,MOT_HASTA,"&gt;="&amp;M381)+SUMIFS(MOT_AJUSTE,MOT_MOTOR,G381,MOT_MARCA,"(todas)",MOT_DESDE,"&lt;="&amp;M381,MOT_HASTA,"&gt;="&amp;M381)</f>
        <v/>
      </c>
      <c r="BT381" s="3">
        <f>SUMIFS(COMB_AJUSTE,COMB_COMB,K381)</f>
        <v/>
      </c>
      <c r="BU381" s="3">
        <f>COUNTIFS(MOT_MOTOR,G381,MOT_MARCA,E381,MOT_DESDE,"&lt;="&amp;M381,MOT_HASTA,"&gt;="&amp;M381)+COUNTIFS(MOT_MOTOR,G381,MOT_MARCA,"(todas)",MOT_DESDE,"&lt;="&amp;M381,MOT_HASTA,"&gt;="&amp;M381)</f>
        <v/>
      </c>
      <c r="BV381" s="3">
        <f>IF(AND(K381="diesel",BU381=0),MIN(BR381,NEUTRO),BR381)</f>
        <v/>
      </c>
      <c r="BW381" s="4">
        <f>MAX(0,MIN(100,BV381+BS381+BT381))</f>
        <v/>
      </c>
      <c r="BX381" s="3">
        <f>MAX(0,MIN(100,50+BK381*PRECIO_PEND))</f>
        <v/>
      </c>
      <c r="BY381" s="3">
        <f>MAX(0,100*(1-N381/KM_MAX))</f>
        <v/>
      </c>
      <c r="BZ381" s="3">
        <f>IF(BB381&lt;KMA_SOSP,IF(AA381="sí",100,KMA_PEN),IF(BB381&lt;=KMA_IDEAL_MAX,100,MAX(0,100*(KMA_CERO-BB381)/(KMA_CERO-KMA_IDEAL_MAX))))</f>
        <v/>
      </c>
      <c r="CA381" s="3">
        <f>MAX(0,MIN(100,100*(M381-ANIO_MIN)/(ANIO_ACTUAL-ANIO_MIN)))</f>
        <v/>
      </c>
      <c r="CB381" s="3">
        <f>W_KMT*BY381+W_KMA*BZ381+W_EDAD*CA381</f>
        <v/>
      </c>
      <c r="CC381" s="3">
        <f>P_ITV*(V381="sí")+P_LIBRO*(W381="sí")+P_CORREA*(X381="sí")+P_PROP*(Y381=1)+P_GAR*(Z381="sí")+P_FOTOS*MIN(1,N(U381)/FOTOS_OBJ)</f>
        <v/>
      </c>
      <c r="CD381" s="3">
        <f>MAX(0,MIN(100,IFERROR(VLOOKUP(BP381,ETQ_TBL,2,0),0)-IF(BQ381="sí",ETQ_PEN_DUD,IF(AS381="regla",ETQ_PEN_REGLA,0))))</f>
        <v/>
      </c>
      <c r="CE381" s="3">
        <f>NEUTRO</f>
        <v/>
      </c>
      <c r="CF381" s="3">
        <f>IFERROR(VLOOKUP(L381,SEGURO_TBL,3,0),"")</f>
        <v/>
      </c>
      <c r="CG381" s="3">
        <f>IF(CF381="",NEUTRO,MAX(0,MIN(100,100*(SEG_REF_MAX-CF381)/(SEG_REF_MAX-SEG_REF_MIN))))</f>
        <v/>
      </c>
      <c r="CH381" s="3">
        <f>W_CONS*CE381+W_SEG*CG381</f>
        <v/>
      </c>
      <c r="CI381" s="3">
        <f>IF(N(AB381)&gt;0,AB381,IF(AND(R381="profesional",SG_LEGAL_ON=1),GAR_LEGAL,0))</f>
        <v/>
      </c>
      <c r="CJ381" s="3">
        <f>SG_GAR*MIN(1,CI381/SG_GAR_FULL)+SG_AMPL*(AC381="sí")+SG_KMC*(AF381="sí")+SG_REV*(N(AE381)&gt;0)+SG_DEV*MIN(1,N(AG381)/SG_DEV_FULL)+SG_HIST*(W381="sí")</f>
        <v/>
      </c>
      <c r="CK381" s="3">
        <f>IFERROR(VLOOKUP(L381,CARR_PEN_TBL,2,0),0)</f>
        <v/>
      </c>
      <c r="CL381" s="3">
        <f>W_FIAB*BW381+W_PRECIO*BX381+W_KMEDAD*CB381+W_ANUNCIO*CC381+W_USO*CH381+W_SEGURIDAD*CJ381+W_ETIQUETA*CD381-CK381</f>
        <v/>
      </c>
      <c r="CM381" s="4">
        <f>IF(N(I381)&gt;0,I381,IFERROR(ROUND(_xlfn.NUMBERVALUE(LEFT(G381,FIND(" ",G381&amp;" ")-1),".")*1000,0),99999))</f>
        <v/>
      </c>
      <c r="CN381" s="3">
        <f>IF(R381="profesional",0,IF(O381&lt;CUOTA_VALOR_MAX,IF(BA381&gt;ITP_TRAMO_ALTO,SUMIFS(CF_CUOTA,CF_MAS,ITP_TRAMO_ALTO,CF_CCMIN,"&lt;="&amp;CM381,CF_CCMAX,"&gt;="&amp;CM381),IF(BA381&gt;ITP_TRAMO_BAJO,SUMIFS(CF_CUOTA,CF_MAS,ITP_TRAMO_BAJO,CF_CCMIN,"&lt;="&amp;CM381,CF_CCMAX,"&gt;="&amp;CM381),O381*ITP_TIPO)),O381*ITP_TIPO))</f>
        <v/>
      </c>
      <c r="CO381" s="4">
        <f>IF(R381="profesional",N(AK381),0)</f>
        <v/>
      </c>
      <c r="CP381" s="3">
        <f>IF(AND(R381="profesional",ISNUMBER(AK381),AL381="sí"),0,TASA_DGT)</f>
        <v/>
      </c>
      <c r="CQ381" s="3">
        <f>INFORME_DGT</f>
        <v/>
      </c>
      <c r="CR381" s="4">
        <f>O381+CO381+CN381+CP381+CQ381</f>
        <v/>
      </c>
      <c r="CS381" s="4">
        <f>CR381+N(CF381)</f>
        <v/>
      </c>
      <c r="CT381" s="3">
        <f>IF(CR381&lt;=TOTAL_MAX,"sí",IF(CR381&lt;=TOTAL_MAX+MARGEN_NEG,"negociar","no"))</f>
        <v/>
      </c>
      <c r="CU381" s="4">
        <f>IF(CT381&lt;&gt;"no",COUNTIFS($CT$2:$CT$545,"&lt;&gt;no",$CL$2:$CL$545,"&gt;"&amp;CL381)+COUNTIFS($CT$2:CT381,"&lt;&gt;no",$CL$2:CL381,CL381),"")</f>
        <v/>
      </c>
    </row>
    <row r="382">
      <c r="A382" s="2" t="inlineStr">
        <is>
          <t>cochesnet:71492958</t>
        </is>
      </c>
      <c r="B382" s="2" t="inlineStr">
        <is>
          <t>cochesnet</t>
        </is>
      </c>
      <c r="C382" s="2" t="inlineStr">
        <is>
          <t>https://www.coches.net/citroen-c3-11i-furio-5p-gasolina-2005-en-valencia-71492958-covo.aspx</t>
        </is>
      </c>
      <c r="D382" s="2" t="inlineStr">
        <is>
          <t>CITROEN C3 1.1i Furio</t>
        </is>
      </c>
      <c r="E382" s="2" t="inlineStr">
        <is>
          <t>Citroën</t>
        </is>
      </c>
      <c r="F382" s="2" t="inlineStr">
        <is>
          <t>Citroën C3</t>
        </is>
      </c>
      <c r="G382" s="2" t="inlineStr">
        <is>
          <t>1.1</t>
        </is>
      </c>
      <c r="H382" s="2" t="inlineStr">
        <is>
          <t>1.1i Furio</t>
        </is>
      </c>
      <c r="I382" s="2" t="n"/>
      <c r="J382" s="2" t="n"/>
      <c r="K382" s="2" t="inlineStr">
        <is>
          <t>gasolina</t>
        </is>
      </c>
      <c r="L382" s="2" t="inlineStr">
        <is>
          <t>utilitario</t>
        </is>
      </c>
      <c r="M382" s="2" t="n">
        <v>2006</v>
      </c>
      <c r="N382" s="2" t="n">
        <v>120000</v>
      </c>
      <c r="O382" s="2" t="n">
        <v>3490</v>
      </c>
      <c r="P382" s="2" t="inlineStr">
        <is>
          <t>manual</t>
        </is>
      </c>
      <c r="Q382" s="2" t="inlineStr">
        <is>
          <t>no</t>
        </is>
      </c>
      <c r="R382" s="2" t="inlineStr">
        <is>
          <t>profesional</t>
        </is>
      </c>
      <c r="S382" s="2" t="inlineStr">
        <is>
          <t>Cullera</t>
        </is>
      </c>
      <c r="T382" s="2" t="inlineStr">
        <is>
          <t>2026-09-11T13:35:18Z</t>
        </is>
      </c>
      <c r="U382" s="2" t="n">
        <v>10</v>
      </c>
      <c r="V382" s="2" t="n"/>
      <c r="W382" s="2" t="n"/>
      <c r="X382" s="2" t="n"/>
      <c r="Y382" s="2" t="n"/>
      <c r="Z382" s="2" t="inlineStr">
        <is>
          <t>sí</t>
        </is>
      </c>
      <c r="AA382" s="2" t="n"/>
      <c r="AB382" s="2" t="n">
        <v>12</v>
      </c>
      <c r="AC382" s="2" t="n"/>
      <c r="AD382" s="2" t="n"/>
      <c r="AE382" s="2" t="n"/>
      <c r="AF382" s="2" t="n"/>
      <c r="AG382" s="2" t="n"/>
      <c r="AH382" s="2" t="n">
        <v>3490</v>
      </c>
      <c r="AI382" s="2" t="n"/>
      <c r="AJ382" s="2" t="n"/>
      <c r="AK382" s="2" t="n"/>
      <c r="AL382" s="2" t="n"/>
      <c r="AM382" s="2" t="n">
        <v>35.4</v>
      </c>
      <c r="AN382" s="2" t="n"/>
      <c r="AO382" s="2" t="inlineStr">
        <is>
          <t>2006</t>
        </is>
      </c>
      <c r="AP382" s="2" t="n">
        <v>2006</v>
      </c>
      <c r="AQ382" s="2" t="n"/>
      <c r="AR382" s="2" t="inlineStr">
        <is>
          <t>C</t>
        </is>
      </c>
      <c r="AS382" s="2" t="inlineStr">
        <is>
          <t>anuncio</t>
        </is>
      </c>
      <c r="AT382" s="2" t="n">
        <v>3500</v>
      </c>
      <c r="AU382" s="2" t="n">
        <v>5</v>
      </c>
      <c r="AV382" s="2" t="inlineStr">
        <is>
          <t>modelo+año+km</t>
        </is>
      </c>
      <c r="AW382" s="2" t="n"/>
      <c r="AX382" s="2" t="inlineStr">
        <is>
          <t>vendedor profesional: sin ITP (operación con IVA/REBU, confirmar en factura); gastos de gestión del vendedor no indicados: se suma la tasa DGT; preguntar el precio final</t>
        </is>
      </c>
      <c r="AY382" s="2" t="inlineStr">
        <is>
          <t>?VEHÍCULO NACIONAL, 121.000KMS CERTIFICADOS, LIBRE DE ACCIDENTES ESTRUCTURALES  -1 AÑO DE GARANTÍA INCLUIDO EN EL PRECIO, POSIBILIDAD DE AMPLIAR A 2 AÑOS -MOTOR MUY FIABLE Y CON UN CONSUMO MUY BAJO -ENVÍO A TODA ESPAÑA DESDE 150€, POSIBILIDAD DE COMPRA ONLINE O EN NUESTRA TIENDA FISICA -AIRE ACONDICIONADO, DIRECCIÓN ASISTIDA, ELEVALUNAS ELECTRICOS, ETC.. ETIQUETA MEDIOAMBIENTAL C VERDE</t>
        </is>
      </c>
      <c r="AZ382" s="2" t="inlineStr">
        <is>
          <t>https://www.coches.net/citroen-c3-11i-furio-5p-gasolina-2005-en-valencia-71492958-covo.aspx (window.__INITIAL_PROPS__.ad) /home/user/Alopecia/buscador-coches/raw/cochesnet/6c34c6d9676e1860.json</t>
        </is>
      </c>
      <c r="BA382" s="3">
        <f>MAX(ANIO_ACTUAL-M382,0)</f>
        <v/>
      </c>
      <c r="BB382" s="4">
        <f>N382/MAX(BA382,0.5)</f>
        <v/>
      </c>
      <c r="BC382" s="4">
        <f>F382</f>
        <v/>
      </c>
      <c r="BD382" s="3">
        <f>BC382&amp;"|"&amp;INT(M382/SEG_ANIO)*SEG_ANIO</f>
        <v/>
      </c>
      <c r="BE382" s="3">
        <f>BD382&amp;"|"&amp;INT(N382/SEG_KM)*SEG_KM</f>
        <v/>
      </c>
      <c r="BF382" s="4">
        <f>COUNTIF($BC$2:$BC$545,BC382)</f>
        <v/>
      </c>
      <c r="BG382" s="4">
        <f>COUNTIF($BD$2:$BD$545,BD382)</f>
        <v/>
      </c>
      <c r="BH382" s="4">
        <f>COUNTIF($BE$2:$BE$545,BE382)</f>
        <v/>
      </c>
      <c r="BI382" s="3">
        <f t="array" ref="BI382">IF(N(AU382)&gt;=MIN_N,AT382,IF(BH382&gt;=MIN_N,MEDIAN(IF($BE$2:$BE$545=BE382,$O$2:$O$545)),IF(BG382&gt;=MIN_N,MEDIAN(IF($BD$2:$BD$545=BD382,$O$2:$O$545)),MEDIAN(IF($BC$2:$BC$545=BC382,$O$2:$O$545)))))</f>
        <v/>
      </c>
      <c r="BJ382" s="3">
        <f>IF(N(AU382)&gt;=MIN_N,"mercado "&amp;AV382,IF(BH382&gt;=MIN_N,"modelo+año+km",IF(BG382&gt;=MIN_N,"modelo+año","modelo")))</f>
        <v/>
      </c>
      <c r="BK382" s="4">
        <f>(BI382-O382)/BI382</f>
        <v/>
      </c>
      <c r="BL382" s="3">
        <f>IF(COUNTIFS(FR_FUEL,K382,FR_YEAR,AP382)&gt;0,1,0)</f>
        <v/>
      </c>
      <c r="BM382" s="3">
        <f>IF(COUNTIFS(FR_FUEL,K382,FR_YEAR,AP382-1)&gt;0,1,0)</f>
        <v/>
      </c>
      <c r="BN382" s="4">
        <f>IF(N(AQ382)&gt;0,AP382*100+AQ382,IF(AND(BL382=1,BM382=1),(AP382-1)*100+1,AP382*100+1))</f>
        <v/>
      </c>
      <c r="BO382" s="3">
        <f>IF(OR(K382="hibrido",K382="glp",K382="gnc",K382="phev"),"ECO",IF(K382="electrico","CERO",IF(K382="gasolina",IF(BN382&gt;=GAS_C_YM,"C",IF(BN382&gt;=GAS_B_YM,"B","A")),IF(K382="diesel",IF(BN382&gt;=DIE_C_YM,"C",IF(BN382&gt;=DIE_B_YM,"B","A")),""))))</f>
        <v/>
      </c>
      <c r="BP382" s="2" t="inlineStr">
        <is>
          <t>C</t>
        </is>
      </c>
      <c r="BQ382" s="4">
        <f>IF(AS382="regla",IF(AND(N(AQ382)=0,BL382=1),"sí","no"),"no")</f>
        <v/>
      </c>
      <c r="BR382" s="3">
        <f>IFERROR(VLOOKUP(F382,MOD_TBL,11,0),IFERROR(VLOOKUP(E382,OCU_TBL,2,0),NEUTRO))</f>
        <v/>
      </c>
      <c r="BS382" s="3">
        <f>SUMIFS(MOT_AJUSTE,MOT_MOTOR,G382,MOT_MARCA,E382,MOT_DESDE,"&lt;="&amp;M382,MOT_HASTA,"&gt;="&amp;M382)+SUMIFS(MOT_AJUSTE,MOT_MOTOR,G382,MOT_MARCA,"(todas)",MOT_DESDE,"&lt;="&amp;M382,MOT_HASTA,"&gt;="&amp;M382)</f>
        <v/>
      </c>
      <c r="BT382" s="3">
        <f>SUMIFS(COMB_AJUSTE,COMB_COMB,K382)</f>
        <v/>
      </c>
      <c r="BU382" s="3">
        <f>COUNTIFS(MOT_MOTOR,G382,MOT_MARCA,E382,MOT_DESDE,"&lt;="&amp;M382,MOT_HASTA,"&gt;="&amp;M382)+COUNTIFS(MOT_MOTOR,G382,MOT_MARCA,"(todas)",MOT_DESDE,"&lt;="&amp;M382,MOT_HASTA,"&gt;="&amp;M382)</f>
        <v/>
      </c>
      <c r="BV382" s="3">
        <f>IF(AND(K382="diesel",BU382=0),MIN(BR382,NEUTRO),BR382)</f>
        <v/>
      </c>
      <c r="BW382" s="4">
        <f>MAX(0,MIN(100,BV382+BS382+BT382))</f>
        <v/>
      </c>
      <c r="BX382" s="3">
        <f>MAX(0,MIN(100,50+BK382*PRECIO_PEND))</f>
        <v/>
      </c>
      <c r="BY382" s="3">
        <f>MAX(0,100*(1-N382/KM_MAX))</f>
        <v/>
      </c>
      <c r="BZ382" s="3">
        <f>IF(BB382&lt;KMA_SOSP,IF(AA382="sí",100,KMA_PEN),IF(BB382&lt;=KMA_IDEAL_MAX,100,MAX(0,100*(KMA_CERO-BB382)/(KMA_CERO-KMA_IDEAL_MAX))))</f>
        <v/>
      </c>
      <c r="CA382" s="3">
        <f>MAX(0,MIN(100,100*(M382-ANIO_MIN)/(ANIO_ACTUAL-ANIO_MIN)))</f>
        <v/>
      </c>
      <c r="CB382" s="3">
        <f>W_KMT*BY382+W_KMA*BZ382+W_EDAD*CA382</f>
        <v/>
      </c>
      <c r="CC382" s="3">
        <f>P_ITV*(V382="sí")+P_LIBRO*(W382="sí")+P_CORREA*(X382="sí")+P_PROP*(Y382=1)+P_GAR*(Z382="sí")+P_FOTOS*MIN(1,N(U382)/FOTOS_OBJ)</f>
        <v/>
      </c>
      <c r="CD382" s="3">
        <f>MAX(0,MIN(100,IFERROR(VLOOKUP(BP382,ETQ_TBL,2,0),0)-IF(BQ382="sí",ETQ_PEN_DUD,IF(AS382="regla",ETQ_PEN_REGLA,0))))</f>
        <v/>
      </c>
      <c r="CE382" s="3">
        <f>NEUTRO</f>
        <v/>
      </c>
      <c r="CF382" s="3">
        <f>IFERROR(VLOOKUP(L382,SEGURO_TBL,3,0),"")</f>
        <v/>
      </c>
      <c r="CG382" s="3">
        <f>IF(CF382="",NEUTRO,MAX(0,MIN(100,100*(SEG_REF_MAX-CF382)/(SEG_REF_MAX-SEG_REF_MIN))))</f>
        <v/>
      </c>
      <c r="CH382" s="3">
        <f>W_CONS*CE382+W_SEG*CG382</f>
        <v/>
      </c>
      <c r="CI382" s="3">
        <f>IF(N(AB382)&gt;0,AB382,IF(AND(R382="profesional",SG_LEGAL_ON=1),GAR_LEGAL,0))</f>
        <v/>
      </c>
      <c r="CJ382" s="3">
        <f>SG_GAR*MIN(1,CI382/SG_GAR_FULL)+SG_AMPL*(AC382="sí")+SG_KMC*(AF382="sí")+SG_REV*(N(AE382)&gt;0)+SG_DEV*MIN(1,N(AG382)/SG_DEV_FULL)+SG_HIST*(W382="sí")</f>
        <v/>
      </c>
      <c r="CK382" s="3">
        <f>IFERROR(VLOOKUP(L382,CARR_PEN_TBL,2,0),0)</f>
        <v/>
      </c>
      <c r="CL382" s="3">
        <f>W_FIAB*BW382+W_PRECIO*BX382+W_KMEDAD*CB382+W_ANUNCIO*CC382+W_USO*CH382+W_SEGURIDAD*CJ382+W_ETIQUETA*CD382-CK382</f>
        <v/>
      </c>
      <c r="CM382" s="4">
        <f>IF(N(I382)&gt;0,I382,IFERROR(ROUND(_xlfn.NUMBERVALUE(LEFT(G382,FIND(" ",G382&amp;" ")-1),".")*1000,0),99999))</f>
        <v/>
      </c>
      <c r="CN382" s="3">
        <f>IF(R382="profesional",0,IF(O382&lt;CUOTA_VALOR_MAX,IF(BA382&gt;ITP_TRAMO_ALTO,SUMIFS(CF_CUOTA,CF_MAS,ITP_TRAMO_ALTO,CF_CCMIN,"&lt;="&amp;CM382,CF_CCMAX,"&gt;="&amp;CM382),IF(BA382&gt;ITP_TRAMO_BAJO,SUMIFS(CF_CUOTA,CF_MAS,ITP_TRAMO_BAJO,CF_CCMIN,"&lt;="&amp;CM382,CF_CCMAX,"&gt;="&amp;CM382),O382*ITP_TIPO)),O382*ITP_TIPO))</f>
        <v/>
      </c>
      <c r="CO382" s="4">
        <f>IF(R382="profesional",N(AK382),0)</f>
        <v/>
      </c>
      <c r="CP382" s="3">
        <f>IF(AND(R382="profesional",ISNUMBER(AK382),AL382="sí"),0,TASA_DGT)</f>
        <v/>
      </c>
      <c r="CQ382" s="3">
        <f>INFORME_DGT</f>
        <v/>
      </c>
      <c r="CR382" s="4">
        <f>O382+CO382+CN382+CP382+CQ382</f>
        <v/>
      </c>
      <c r="CS382" s="4">
        <f>CR382+N(CF382)</f>
        <v/>
      </c>
      <c r="CT382" s="3">
        <f>IF(CR382&lt;=TOTAL_MAX,"sí",IF(CR382&lt;=TOTAL_MAX+MARGEN_NEG,"negociar","no"))</f>
        <v/>
      </c>
      <c r="CU382" s="4">
        <f>IF(CT382&lt;&gt;"no",COUNTIFS($CT$2:$CT$545,"&lt;&gt;no",$CL$2:$CL$545,"&gt;"&amp;CL382)+COUNTIFS($CT$2:CT382,"&lt;&gt;no",$CL$2:CL382,CL382),"")</f>
        <v/>
      </c>
    </row>
    <row r="383">
      <c r="A383" s="2" t="inlineStr">
        <is>
          <t>cochesnet:71792868</t>
        </is>
      </c>
      <c r="B383" s="2" t="inlineStr">
        <is>
          <t>cochesnet</t>
        </is>
      </c>
      <c r="C383" s="2" t="inlineStr">
        <is>
          <t>https://www.coches.net/citroen-c3-14i-16v-collection-5p-gasolina-2007-en-valencia-71792868-covo.aspx</t>
        </is>
      </c>
      <c r="D383" s="2" t="inlineStr">
        <is>
          <t>CITROEN C3 1.4i 16v Collection</t>
        </is>
      </c>
      <c r="E383" s="2" t="inlineStr">
        <is>
          <t>Citroën</t>
        </is>
      </c>
      <c r="F383" s="2" t="inlineStr">
        <is>
          <t>Citroën C3</t>
        </is>
      </c>
      <c r="G383" s="2" t="inlineStr">
        <is>
          <t>1.4</t>
        </is>
      </c>
      <c r="H383" s="2" t="inlineStr">
        <is>
          <t>1.4i 16v Collection</t>
        </is>
      </c>
      <c r="I383" s="2" t="n"/>
      <c r="J383" s="2" t="n"/>
      <c r="K383" s="2" t="inlineStr">
        <is>
          <t>gasolina</t>
        </is>
      </c>
      <c r="L383" s="2" t="inlineStr">
        <is>
          <t>utilitario</t>
        </is>
      </c>
      <c r="M383" s="2" t="n">
        <v>2007</v>
      </c>
      <c r="N383" s="2" t="n">
        <v>108000</v>
      </c>
      <c r="O383" s="2" t="n">
        <v>3100</v>
      </c>
      <c r="P383" s="2" t="inlineStr">
        <is>
          <t>manual</t>
        </is>
      </c>
      <c r="Q383" s="2" t="inlineStr">
        <is>
          <t>no</t>
        </is>
      </c>
      <c r="R383" s="2" t="inlineStr">
        <is>
          <t>particular</t>
        </is>
      </c>
      <c r="S383" s="2" t="n"/>
      <c r="T383" s="2" t="inlineStr">
        <is>
          <t>2026-10-20T14:53:21Z</t>
        </is>
      </c>
      <c r="U383" s="2" t="n">
        <v>4</v>
      </c>
      <c r="V383" s="2" t="n"/>
      <c r="W383" s="2" t="n"/>
      <c r="X383" s="2" t="n"/>
      <c r="Y383" s="2" t="n"/>
      <c r="Z383" s="2" t="inlineStr">
        <is>
          <t>no</t>
        </is>
      </c>
      <c r="AA383" s="2" t="n"/>
      <c r="AB383" s="2" t="n"/>
      <c r="AC383" s="2" t="n"/>
      <c r="AD383" s="2" t="n"/>
      <c r="AE383" s="2" t="n"/>
      <c r="AF383" s="2" t="n"/>
      <c r="AG383" s="2" t="n"/>
      <c r="AH383" s="2" t="n">
        <v>3100</v>
      </c>
      <c r="AI383" s="2" t="n"/>
      <c r="AJ383" s="2" t="n"/>
      <c r="AK383" s="2" t="n"/>
      <c r="AL383" s="2" t="n"/>
      <c r="AM383" s="2" t="n"/>
      <c r="AN383" s="2" t="n"/>
      <c r="AO383" s="2" t="inlineStr">
        <is>
          <t>2007</t>
        </is>
      </c>
      <c r="AP383" s="2" t="n">
        <v>2007</v>
      </c>
      <c r="AQ383" s="2" t="n"/>
      <c r="AR383" s="2" t="n"/>
      <c r="AS383" s="2" t="inlineStr">
        <is>
          <t>regla</t>
        </is>
      </c>
      <c r="AT383" s="2" t="n">
        <v>3000</v>
      </c>
      <c r="AU383" s="2" t="n">
        <v>17</v>
      </c>
      <c r="AV383" s="2" t="inlineStr">
        <is>
          <t>modelo+año</t>
        </is>
      </c>
      <c r="AW383" s="2" t="n"/>
      <c r="AX383" s="2" t="inlineStr">
        <is>
          <t>cuota fija ITP: &gt;12 años, hasta 1.500 cc; distancia no verificable (el anuncio solo indica la provincia): confirmar que está a &lt;= 70 km</t>
        </is>
      </c>
      <c r="AY383" s="2" t="inlineStr">
        <is>
          <t>Lo vendo para cambiar a un coche diesel, el coche está en muy buen estado. Tiene desasgastada la pintura del capó y el paragolpes está algo pelado por el sol, pero el interior está en perfecto estado.</t>
        </is>
      </c>
      <c r="AZ383" s="2" t="inlineStr">
        <is>
          <t>https://www.coches.net/citroen-c3-14i-16v-collection-5p-gasolina-2007-en-valencia-71792868-covo.aspx (window.__INITIAL_PROPS__.ad) /home/user/Alopecia/buscador-coches/raw/cochesnet/03a840e1941f993e.json</t>
        </is>
      </c>
      <c r="BA383" s="3">
        <f>MAX(ANIO_ACTUAL-M383,0)</f>
        <v/>
      </c>
      <c r="BB383" s="4">
        <f>N383/MAX(BA383,0.5)</f>
        <v/>
      </c>
      <c r="BC383" s="4">
        <f>F383</f>
        <v/>
      </c>
      <c r="BD383" s="3">
        <f>BC383&amp;"|"&amp;INT(M383/SEG_ANIO)*SEG_ANIO</f>
        <v/>
      </c>
      <c r="BE383" s="3">
        <f>BD383&amp;"|"&amp;INT(N383/SEG_KM)*SEG_KM</f>
        <v/>
      </c>
      <c r="BF383" s="4">
        <f>COUNTIF($BC$2:$BC$545,BC383)</f>
        <v/>
      </c>
      <c r="BG383" s="4">
        <f>COUNTIF($BD$2:$BD$545,BD383)</f>
        <v/>
      </c>
      <c r="BH383" s="4">
        <f>COUNTIF($BE$2:$BE$545,BE383)</f>
        <v/>
      </c>
      <c r="BI383" s="3">
        <f t="array" ref="BI383">IF(N(AU383)&gt;=MIN_N,AT383,IF(BH383&gt;=MIN_N,MEDIAN(IF($BE$2:$BE$545=BE383,$O$2:$O$545)),IF(BG383&gt;=MIN_N,MEDIAN(IF($BD$2:$BD$545=BD383,$O$2:$O$545)),MEDIAN(IF($BC$2:$BC$545=BC383,$O$2:$O$545)))))</f>
        <v/>
      </c>
      <c r="BJ383" s="3">
        <f>IF(N(AU383)&gt;=MIN_N,"mercado "&amp;AV383,IF(BH383&gt;=MIN_N,"modelo+año+km",IF(BG383&gt;=MIN_N,"modelo+año","modelo")))</f>
        <v/>
      </c>
      <c r="BK383" s="4">
        <f>(BI383-O383)/BI383</f>
        <v/>
      </c>
      <c r="BL383" s="3">
        <f>IF(COUNTIFS(FR_FUEL,K383,FR_YEAR,AP383)&gt;0,1,0)</f>
        <v/>
      </c>
      <c r="BM383" s="3">
        <f>IF(COUNTIFS(FR_FUEL,K383,FR_YEAR,AP383-1)&gt;0,1,0)</f>
        <v/>
      </c>
      <c r="BN383" s="4">
        <f>IF(N(AQ383)&gt;0,AP383*100+AQ383,IF(AND(BL383=1,BM383=1),(AP383-1)*100+1,AP383*100+1))</f>
        <v/>
      </c>
      <c r="BO383" s="3">
        <f>IF(OR(K383="hibrido",K383="glp",K383="gnc",K383="phev"),"ECO",IF(K383="electrico","CERO",IF(K383="gasolina",IF(BN383&gt;=GAS_C_YM,"C",IF(BN383&gt;=GAS_B_YM,"B","A")),IF(K383="diesel",IF(BN383&gt;=DIE_C_YM,"C",IF(BN383&gt;=DIE_B_YM,"B","A")),""))))</f>
        <v/>
      </c>
      <c r="BP383" s="4">
        <f>BO383</f>
        <v/>
      </c>
      <c r="BQ383" s="4">
        <f>IF(AS383="regla",IF(AND(N(AQ383)=0,BL383=1),"sí","no"),"no")</f>
        <v/>
      </c>
      <c r="BR383" s="3">
        <f>IFERROR(VLOOKUP(F383,MOD_TBL,11,0),IFERROR(VLOOKUP(E383,OCU_TBL,2,0),NEUTRO))</f>
        <v/>
      </c>
      <c r="BS383" s="3">
        <f>SUMIFS(MOT_AJUSTE,MOT_MOTOR,G383,MOT_MARCA,E383,MOT_DESDE,"&lt;="&amp;M383,MOT_HASTA,"&gt;="&amp;M383)+SUMIFS(MOT_AJUSTE,MOT_MOTOR,G383,MOT_MARCA,"(todas)",MOT_DESDE,"&lt;="&amp;M383,MOT_HASTA,"&gt;="&amp;M383)</f>
        <v/>
      </c>
      <c r="BT383" s="3">
        <f>SUMIFS(COMB_AJUSTE,COMB_COMB,K383)</f>
        <v/>
      </c>
      <c r="BU383" s="3">
        <f>COUNTIFS(MOT_MOTOR,G383,MOT_MARCA,E383,MOT_DESDE,"&lt;="&amp;M383,MOT_HASTA,"&gt;="&amp;M383)+COUNTIFS(MOT_MOTOR,G383,MOT_MARCA,"(todas)",MOT_DESDE,"&lt;="&amp;M383,MOT_HASTA,"&gt;="&amp;M383)</f>
        <v/>
      </c>
      <c r="BV383" s="3">
        <f>IF(AND(K383="diesel",BU383=0),MIN(BR383,NEUTRO),BR383)</f>
        <v/>
      </c>
      <c r="BW383" s="4">
        <f>MAX(0,MIN(100,BV383+BS383+BT383))</f>
        <v/>
      </c>
      <c r="BX383" s="3">
        <f>MAX(0,MIN(100,50+BK383*PRECIO_PEND))</f>
        <v/>
      </c>
      <c r="BY383" s="3">
        <f>MAX(0,100*(1-N383/KM_MAX))</f>
        <v/>
      </c>
      <c r="BZ383" s="3">
        <f>IF(BB383&lt;KMA_SOSP,IF(AA383="sí",100,KMA_PEN),IF(BB383&lt;=KMA_IDEAL_MAX,100,MAX(0,100*(KMA_CERO-BB383)/(KMA_CERO-KMA_IDEAL_MAX))))</f>
        <v/>
      </c>
      <c r="CA383" s="3">
        <f>MAX(0,MIN(100,100*(M383-ANIO_MIN)/(ANIO_ACTUAL-ANIO_MIN)))</f>
        <v/>
      </c>
      <c r="CB383" s="3">
        <f>W_KMT*BY383+W_KMA*BZ383+W_EDAD*CA383</f>
        <v/>
      </c>
      <c r="CC383" s="3">
        <f>P_ITV*(V383="sí")+P_LIBRO*(W383="sí")+P_CORREA*(X383="sí")+P_PROP*(Y383=1)+P_GAR*(Z383="sí")+P_FOTOS*MIN(1,N(U383)/FOTOS_OBJ)</f>
        <v/>
      </c>
      <c r="CD383" s="3">
        <f>MAX(0,MIN(100,IFERROR(VLOOKUP(BP383,ETQ_TBL,2,0),0)-IF(BQ383="sí",ETQ_PEN_DUD,IF(AS383="regla",ETQ_PEN_REGLA,0))))</f>
        <v/>
      </c>
      <c r="CE383" s="3">
        <f>NEUTRO</f>
        <v/>
      </c>
      <c r="CF383" s="3">
        <f>IFERROR(VLOOKUP(L383,SEGURO_TBL,3,0),"")</f>
        <v/>
      </c>
      <c r="CG383" s="3">
        <f>IF(CF383="",NEUTRO,MAX(0,MIN(100,100*(SEG_REF_MAX-CF383)/(SEG_REF_MAX-SEG_REF_MIN))))</f>
        <v/>
      </c>
      <c r="CH383" s="3">
        <f>W_CONS*CE383+W_SEG*CG383</f>
        <v/>
      </c>
      <c r="CI383" s="3">
        <f>IF(N(AB383)&gt;0,AB383,IF(AND(R383="profesional",SG_LEGAL_ON=1),GAR_LEGAL,0))</f>
        <v/>
      </c>
      <c r="CJ383" s="3">
        <f>SG_GAR*MIN(1,CI383/SG_GAR_FULL)+SG_AMPL*(AC383="sí")+SG_KMC*(AF383="sí")+SG_REV*(N(AE383)&gt;0)+SG_DEV*MIN(1,N(AG383)/SG_DEV_FULL)+SG_HIST*(W383="sí")</f>
        <v/>
      </c>
      <c r="CK383" s="3">
        <f>IFERROR(VLOOKUP(L383,CARR_PEN_TBL,2,0),0)</f>
        <v/>
      </c>
      <c r="CL383" s="3">
        <f>W_FIAB*BW383+W_PRECIO*BX383+W_KMEDAD*CB383+W_ANUNCIO*CC383+W_USO*CH383+W_SEGURIDAD*CJ383+W_ETIQUETA*CD383-CK383</f>
        <v/>
      </c>
      <c r="CM383" s="4">
        <f>IF(N(I383)&gt;0,I383,IFERROR(ROUND(_xlfn.NUMBERVALUE(LEFT(G383,FIND(" ",G383&amp;" ")-1),".")*1000,0),99999))</f>
        <v/>
      </c>
      <c r="CN383" s="3">
        <f>IF(R383="profesional",0,IF(O383&lt;CUOTA_VALOR_MAX,IF(BA383&gt;ITP_TRAMO_ALTO,SUMIFS(CF_CUOTA,CF_MAS,ITP_TRAMO_ALTO,CF_CCMIN,"&lt;="&amp;CM383,CF_CCMAX,"&gt;="&amp;CM383),IF(BA383&gt;ITP_TRAMO_BAJO,SUMIFS(CF_CUOTA,CF_MAS,ITP_TRAMO_BAJO,CF_CCMIN,"&lt;="&amp;CM383,CF_CCMAX,"&gt;="&amp;CM383),O383*ITP_TIPO)),O383*ITP_TIPO))</f>
        <v/>
      </c>
      <c r="CO383" s="4">
        <f>IF(R383="profesional",N(AK383),0)</f>
        <v/>
      </c>
      <c r="CP383" s="3">
        <f>IF(AND(R383="profesional",ISNUMBER(AK383),AL383="sí"),0,TASA_DGT)</f>
        <v/>
      </c>
      <c r="CQ383" s="3">
        <f>INFORME_DGT</f>
        <v/>
      </c>
      <c r="CR383" s="4">
        <f>O383+CO383+CN383+CP383+CQ383</f>
        <v/>
      </c>
      <c r="CS383" s="4">
        <f>CR383+N(CF383)</f>
        <v/>
      </c>
      <c r="CT383" s="3">
        <f>IF(CR383&lt;=TOTAL_MAX,"sí",IF(CR383&lt;=TOTAL_MAX+MARGEN_NEG,"negociar","no"))</f>
        <v/>
      </c>
      <c r="CU383" s="4">
        <f>IF(CT383&lt;&gt;"no",COUNTIFS($CT$2:$CT$545,"&lt;&gt;no",$CL$2:$CL$545,"&gt;"&amp;CL383)+COUNTIFS($CT$2:CT383,"&lt;&gt;no",$CL$2:CL383,CL383),"")</f>
        <v/>
      </c>
    </row>
    <row r="384">
      <c r="A384" s="2" t="inlineStr">
        <is>
          <t>cochesnet:71702836</t>
        </is>
      </c>
      <c r="B384" s="2" t="inlineStr">
        <is>
          <t>cochesnet</t>
        </is>
      </c>
      <c r="C384" s="2" t="inlineStr">
        <is>
          <t>https://www.coches.net/citroen-c3-gasolina-2007-en-valencia-71702836-covo.aspx</t>
        </is>
      </c>
      <c r="D384" s="2" t="inlineStr">
        <is>
          <t>CITROEN C3 1.4i Furio</t>
        </is>
      </c>
      <c r="E384" s="2" t="inlineStr">
        <is>
          <t>Citroën</t>
        </is>
      </c>
      <c r="F384" s="2" t="inlineStr">
        <is>
          <t>Citroën C3</t>
        </is>
      </c>
      <c r="G384" s="2" t="inlineStr">
        <is>
          <t>1.4</t>
        </is>
      </c>
      <c r="H384" s="2" t="inlineStr">
        <is>
          <t>1.4i Furio</t>
        </is>
      </c>
      <c r="I384" s="2" t="n"/>
      <c r="J384" s="2" t="n"/>
      <c r="K384" s="2" t="inlineStr">
        <is>
          <t>gasolina</t>
        </is>
      </c>
      <c r="L384" s="2" t="inlineStr">
        <is>
          <t>utilitario</t>
        </is>
      </c>
      <c r="M384" s="2" t="n">
        <v>2007</v>
      </c>
      <c r="N384" s="2" t="n">
        <v>100000</v>
      </c>
      <c r="O384" s="2" t="n">
        <v>3650</v>
      </c>
      <c r="P384" s="2" t="inlineStr">
        <is>
          <t>manual</t>
        </is>
      </c>
      <c r="Q384" s="2" t="inlineStr">
        <is>
          <t>no</t>
        </is>
      </c>
      <c r="R384" s="2" t="inlineStr">
        <is>
          <t>particular</t>
        </is>
      </c>
      <c r="S384" s="2" t="inlineStr">
        <is>
          <t>Valencia</t>
        </is>
      </c>
      <c r="T384" s="2" t="inlineStr">
        <is>
          <t>2026-10-08T10:36:20Z</t>
        </is>
      </c>
      <c r="U384" s="2" t="n">
        <v>9</v>
      </c>
      <c r="V384" s="2" t="n"/>
      <c r="W384" s="2" t="n"/>
      <c r="X384" s="2" t="n"/>
      <c r="Y384" s="2" t="n"/>
      <c r="Z384" s="2" t="inlineStr">
        <is>
          <t>no</t>
        </is>
      </c>
      <c r="AA384" s="2" t="n"/>
      <c r="AB384" s="2" t="n"/>
      <c r="AC384" s="2" t="n"/>
      <c r="AD384" s="2" t="n"/>
      <c r="AE384" s="2" t="n"/>
      <c r="AF384" s="2" t="n"/>
      <c r="AG384" s="2" t="n"/>
      <c r="AH384" s="2" t="n">
        <v>3650</v>
      </c>
      <c r="AI384" s="2" t="n"/>
      <c r="AJ384" s="2" t="n"/>
      <c r="AK384" s="2" t="n"/>
      <c r="AL384" s="2" t="n"/>
      <c r="AM384" s="2" t="n">
        <v>0.1</v>
      </c>
      <c r="AN384" s="2" t="n"/>
      <c r="AO384" s="2" t="inlineStr">
        <is>
          <t>2007</t>
        </is>
      </c>
      <c r="AP384" s="2" t="n">
        <v>2007</v>
      </c>
      <c r="AQ384" s="2" t="n"/>
      <c r="AR384" s="2" t="n"/>
      <c r="AS384" s="2" t="inlineStr">
        <is>
          <t>regla</t>
        </is>
      </c>
      <c r="AT384" s="2" t="n">
        <v>3000</v>
      </c>
      <c r="AU384" s="2" t="n">
        <v>17</v>
      </c>
      <c r="AV384" s="2" t="inlineStr">
        <is>
          <t>modelo+año</t>
        </is>
      </c>
      <c r="AW384" s="2" t="n"/>
      <c r="AX384" s="2" t="inlineStr">
        <is>
          <t>cuota fija ITP: &gt;12 años, hasta 1.500 cc</t>
        </is>
      </c>
      <c r="AY384" s="2" t="inlineStr">
        <is>
          <t>CITROEN C3 1.4 75 CV FURIÓ 2007
Año: 2007
Kilómetros: 100.000
Motorización: 1.4 75 CV
Combustible: Gasolina 
Cambio: Manual 5 V
Versión FURIÓ
Aire acondicionado
Mandos en el volante.
Control cruceros
Clima bi zona
Isofix traseros
Vehículo muy cuidado para sus años, salpicadero, interior en buen estado, exterior algunos detalles acordes al uso diario.
 -Se entrega totalmente revisado, aceite y filtros al día.
Kit completo de distribución sustituido (Bomba de agua y correa)
Neumaticos delanteros y traseros 80%
ITV OCTUBRE 2027
 2 Llaves 
Pegatina C
Valencia capital.
GESTIÓN DOCUMENTAL Y CAMBIO DE TITULAR 250€
ABSTENERSE GENTE CON GANAS DE HACER PERDER EL TIEMPO, NI OFERTAS ABSURDAS</t>
        </is>
      </c>
      <c r="AZ384" s="2" t="inlineStr">
        <is>
          <t>https://www.coches.net/citroen-c3-gasolina-2007-en-valencia-71702836-covo.aspx (window.__INITIAL_PROPS__.ad) /home/user/Alopecia/buscador-coches/raw/cochesnet/a9d73771036e0dc8.json</t>
        </is>
      </c>
      <c r="BA384" s="3">
        <f>MAX(ANIO_ACTUAL-M384,0)</f>
        <v/>
      </c>
      <c r="BB384" s="4">
        <f>N384/MAX(BA384,0.5)</f>
        <v/>
      </c>
      <c r="BC384" s="4">
        <f>F384</f>
        <v/>
      </c>
      <c r="BD384" s="3">
        <f>BC384&amp;"|"&amp;INT(M384/SEG_ANIO)*SEG_ANIO</f>
        <v/>
      </c>
      <c r="BE384" s="3">
        <f>BD384&amp;"|"&amp;INT(N384/SEG_KM)*SEG_KM</f>
        <v/>
      </c>
      <c r="BF384" s="4">
        <f>COUNTIF($BC$2:$BC$545,BC384)</f>
        <v/>
      </c>
      <c r="BG384" s="4">
        <f>COUNTIF($BD$2:$BD$545,BD384)</f>
        <v/>
      </c>
      <c r="BH384" s="4">
        <f>COUNTIF($BE$2:$BE$545,BE384)</f>
        <v/>
      </c>
      <c r="BI384" s="3">
        <f t="array" ref="BI384">IF(N(AU384)&gt;=MIN_N,AT384,IF(BH384&gt;=MIN_N,MEDIAN(IF($BE$2:$BE$545=BE384,$O$2:$O$545)),IF(BG384&gt;=MIN_N,MEDIAN(IF($BD$2:$BD$545=BD384,$O$2:$O$545)),MEDIAN(IF($BC$2:$BC$545=BC384,$O$2:$O$545)))))</f>
        <v/>
      </c>
      <c r="BJ384" s="3">
        <f>IF(N(AU384)&gt;=MIN_N,"mercado "&amp;AV384,IF(BH384&gt;=MIN_N,"modelo+año+km",IF(BG384&gt;=MIN_N,"modelo+año","modelo")))</f>
        <v/>
      </c>
      <c r="BK384" s="4">
        <f>(BI384-O384)/BI384</f>
        <v/>
      </c>
      <c r="BL384" s="3">
        <f>IF(COUNTIFS(FR_FUEL,K384,FR_YEAR,AP384)&gt;0,1,0)</f>
        <v/>
      </c>
      <c r="BM384" s="3">
        <f>IF(COUNTIFS(FR_FUEL,K384,FR_YEAR,AP384-1)&gt;0,1,0)</f>
        <v/>
      </c>
      <c r="BN384" s="4">
        <f>IF(N(AQ384)&gt;0,AP384*100+AQ384,IF(AND(BL384=1,BM384=1),(AP384-1)*100+1,AP384*100+1))</f>
        <v/>
      </c>
      <c r="BO384" s="3">
        <f>IF(OR(K384="hibrido",K384="glp",K384="gnc",K384="phev"),"ECO",IF(K384="electrico","CERO",IF(K384="gasolina",IF(BN384&gt;=GAS_C_YM,"C",IF(BN384&gt;=GAS_B_YM,"B","A")),IF(K384="diesel",IF(BN384&gt;=DIE_C_YM,"C",IF(BN384&gt;=DIE_B_YM,"B","A")),""))))</f>
        <v/>
      </c>
      <c r="BP384" s="4">
        <f>BO384</f>
        <v/>
      </c>
      <c r="BQ384" s="4">
        <f>IF(AS384="regla",IF(AND(N(AQ384)=0,BL384=1),"sí","no"),"no")</f>
        <v/>
      </c>
      <c r="BR384" s="3">
        <f>IFERROR(VLOOKUP(F384,MOD_TBL,11,0),IFERROR(VLOOKUP(E384,OCU_TBL,2,0),NEUTRO))</f>
        <v/>
      </c>
      <c r="BS384" s="3">
        <f>SUMIFS(MOT_AJUSTE,MOT_MOTOR,G384,MOT_MARCA,E384,MOT_DESDE,"&lt;="&amp;M384,MOT_HASTA,"&gt;="&amp;M384)+SUMIFS(MOT_AJUSTE,MOT_MOTOR,G384,MOT_MARCA,"(todas)",MOT_DESDE,"&lt;="&amp;M384,MOT_HASTA,"&gt;="&amp;M384)</f>
        <v/>
      </c>
      <c r="BT384" s="3">
        <f>SUMIFS(COMB_AJUSTE,COMB_COMB,K384)</f>
        <v/>
      </c>
      <c r="BU384" s="3">
        <f>COUNTIFS(MOT_MOTOR,G384,MOT_MARCA,E384,MOT_DESDE,"&lt;="&amp;M384,MOT_HASTA,"&gt;="&amp;M384)+COUNTIFS(MOT_MOTOR,G384,MOT_MARCA,"(todas)",MOT_DESDE,"&lt;="&amp;M384,MOT_HASTA,"&gt;="&amp;M384)</f>
        <v/>
      </c>
      <c r="BV384" s="3">
        <f>IF(AND(K384="diesel",BU384=0),MIN(BR384,NEUTRO),BR384)</f>
        <v/>
      </c>
      <c r="BW384" s="4">
        <f>MAX(0,MIN(100,BV384+BS384+BT384))</f>
        <v/>
      </c>
      <c r="BX384" s="3">
        <f>MAX(0,MIN(100,50+BK384*PRECIO_PEND))</f>
        <v/>
      </c>
      <c r="BY384" s="3">
        <f>MAX(0,100*(1-N384/KM_MAX))</f>
        <v/>
      </c>
      <c r="BZ384" s="3">
        <f>IF(BB384&lt;KMA_SOSP,IF(AA384="sí",100,KMA_PEN),IF(BB384&lt;=KMA_IDEAL_MAX,100,MAX(0,100*(KMA_CERO-BB384)/(KMA_CERO-KMA_IDEAL_MAX))))</f>
        <v/>
      </c>
      <c r="CA384" s="3">
        <f>MAX(0,MIN(100,100*(M384-ANIO_MIN)/(ANIO_ACTUAL-ANIO_MIN)))</f>
        <v/>
      </c>
      <c r="CB384" s="3">
        <f>W_KMT*BY384+W_KMA*BZ384+W_EDAD*CA384</f>
        <v/>
      </c>
      <c r="CC384" s="3">
        <f>P_ITV*(V384="sí")+P_LIBRO*(W384="sí")+P_CORREA*(X384="sí")+P_PROP*(Y384=1)+P_GAR*(Z384="sí")+P_FOTOS*MIN(1,N(U384)/FOTOS_OBJ)</f>
        <v/>
      </c>
      <c r="CD384" s="3">
        <f>MAX(0,MIN(100,IFERROR(VLOOKUP(BP384,ETQ_TBL,2,0),0)-IF(BQ384="sí",ETQ_PEN_DUD,IF(AS384="regla",ETQ_PEN_REGLA,0))))</f>
        <v/>
      </c>
      <c r="CE384" s="3">
        <f>NEUTRO</f>
        <v/>
      </c>
      <c r="CF384" s="3">
        <f>IFERROR(VLOOKUP(L384,SEGURO_TBL,3,0),"")</f>
        <v/>
      </c>
      <c r="CG384" s="3">
        <f>IF(CF384="",NEUTRO,MAX(0,MIN(100,100*(SEG_REF_MAX-CF384)/(SEG_REF_MAX-SEG_REF_MIN))))</f>
        <v/>
      </c>
      <c r="CH384" s="3">
        <f>W_CONS*CE384+W_SEG*CG384</f>
        <v/>
      </c>
      <c r="CI384" s="3">
        <f>IF(N(AB384)&gt;0,AB384,IF(AND(R384="profesional",SG_LEGAL_ON=1),GAR_LEGAL,0))</f>
        <v/>
      </c>
      <c r="CJ384" s="3">
        <f>SG_GAR*MIN(1,CI384/SG_GAR_FULL)+SG_AMPL*(AC384="sí")+SG_KMC*(AF384="sí")+SG_REV*(N(AE384)&gt;0)+SG_DEV*MIN(1,N(AG384)/SG_DEV_FULL)+SG_HIST*(W384="sí")</f>
        <v/>
      </c>
      <c r="CK384" s="3">
        <f>IFERROR(VLOOKUP(L384,CARR_PEN_TBL,2,0),0)</f>
        <v/>
      </c>
      <c r="CL384" s="3">
        <f>W_FIAB*BW384+W_PRECIO*BX384+W_KMEDAD*CB384+W_ANUNCIO*CC384+W_USO*CH384+W_SEGURIDAD*CJ384+W_ETIQUETA*CD384-CK384</f>
        <v/>
      </c>
      <c r="CM384" s="4">
        <f>IF(N(I384)&gt;0,I384,IFERROR(ROUND(_xlfn.NUMBERVALUE(LEFT(G384,FIND(" ",G384&amp;" ")-1),".")*1000,0),99999))</f>
        <v/>
      </c>
      <c r="CN384" s="3">
        <f>IF(R384="profesional",0,IF(O384&lt;CUOTA_VALOR_MAX,IF(BA384&gt;ITP_TRAMO_ALTO,SUMIFS(CF_CUOTA,CF_MAS,ITP_TRAMO_ALTO,CF_CCMIN,"&lt;="&amp;CM384,CF_CCMAX,"&gt;="&amp;CM384),IF(BA384&gt;ITP_TRAMO_BAJO,SUMIFS(CF_CUOTA,CF_MAS,ITP_TRAMO_BAJO,CF_CCMIN,"&lt;="&amp;CM384,CF_CCMAX,"&gt;="&amp;CM384),O384*ITP_TIPO)),O384*ITP_TIPO))</f>
        <v/>
      </c>
      <c r="CO384" s="4">
        <f>IF(R384="profesional",N(AK384),0)</f>
        <v/>
      </c>
      <c r="CP384" s="3">
        <f>IF(AND(R384="profesional",ISNUMBER(AK384),AL384="sí"),0,TASA_DGT)</f>
        <v/>
      </c>
      <c r="CQ384" s="3">
        <f>INFORME_DGT</f>
        <v/>
      </c>
      <c r="CR384" s="4">
        <f>O384+CO384+CN384+CP384+CQ384</f>
        <v/>
      </c>
      <c r="CS384" s="4">
        <f>CR384+N(CF384)</f>
        <v/>
      </c>
      <c r="CT384" s="3">
        <f>IF(CR384&lt;=TOTAL_MAX,"sí",IF(CR384&lt;=TOTAL_MAX+MARGEN_NEG,"negociar","no"))</f>
        <v/>
      </c>
      <c r="CU384" s="4">
        <f>IF(CT384&lt;&gt;"no",COUNTIFS($CT$2:$CT$545,"&lt;&gt;no",$CL$2:$CL$545,"&gt;"&amp;CL384)+COUNTIFS($CT$2:CT384,"&lt;&gt;no",$CL$2:CL384,CL384),"")</f>
        <v/>
      </c>
    </row>
    <row r="385">
      <c r="A385" s="2" t="inlineStr">
        <is>
          <t>cochesnet:71844510</t>
        </is>
      </c>
      <c r="B385" s="2" t="inlineStr">
        <is>
          <t>cochesnet</t>
        </is>
      </c>
      <c r="C385" s="2" t="inlineStr">
        <is>
          <t>https://www.coches.net/citroen-c3-ehdi-70-cmp-collection-5p-diesel-2015-en-valencia-71844510-covo.aspx</t>
        </is>
      </c>
      <c r="D385" s="2" t="inlineStr">
        <is>
          <t>CITROEN C3 EHDI 70 CMP Collection</t>
        </is>
      </c>
      <c r="E385" s="2" t="inlineStr">
        <is>
          <t>Citroën</t>
        </is>
      </c>
      <c r="F385" s="2" t="inlineStr">
        <is>
          <t>Citroën C3</t>
        </is>
      </c>
      <c r="G385" s="2" t="inlineStr">
        <is>
          <t>? HDi</t>
        </is>
      </c>
      <c r="H385" s="2" t="inlineStr">
        <is>
          <t>EHDI 70 CMP Collection</t>
        </is>
      </c>
      <c r="I385" s="2" t="n"/>
      <c r="J385" s="2" t="n"/>
      <c r="K385" s="2" t="inlineStr">
        <is>
          <t>diesel</t>
        </is>
      </c>
      <c r="L385" s="2" t="inlineStr">
        <is>
          <t>utilitario</t>
        </is>
      </c>
      <c r="M385" s="2" t="n">
        <v>2015</v>
      </c>
      <c r="N385" s="2" t="n">
        <v>27000</v>
      </c>
      <c r="O385" s="2" t="n">
        <v>4700</v>
      </c>
      <c r="P385" s="2" t="inlineStr">
        <is>
          <t>manual</t>
        </is>
      </c>
      <c r="Q385" s="2" t="inlineStr">
        <is>
          <t>no</t>
        </is>
      </c>
      <c r="R385" s="2" t="inlineStr">
        <is>
          <t>particular</t>
        </is>
      </c>
      <c r="S385" s="2" t="n"/>
      <c r="T385" s="2" t="inlineStr">
        <is>
          <t>2026-10-27T11:26:33Z</t>
        </is>
      </c>
      <c r="U385" s="2" t="n"/>
      <c r="V385" s="2" t="n"/>
      <c r="W385" s="2" t="n"/>
      <c r="X385" s="2" t="n"/>
      <c r="Y385" s="2" t="n"/>
      <c r="Z385" s="2" t="inlineStr">
        <is>
          <t>no</t>
        </is>
      </c>
      <c r="AA385" s="2" t="n"/>
      <c r="AB385" s="2" t="n"/>
      <c r="AC385" s="2" t="n"/>
      <c r="AD385" s="2" t="n"/>
      <c r="AE385" s="2" t="n"/>
      <c r="AF385" s="2" t="n"/>
      <c r="AG385" s="2" t="n"/>
      <c r="AH385" s="2" t="n">
        <v>4700</v>
      </c>
      <c r="AI385" s="2" t="n"/>
      <c r="AJ385" s="2" t="n"/>
      <c r="AK385" s="2" t="n"/>
      <c r="AL385" s="2" t="n"/>
      <c r="AM385" s="2" t="n"/>
      <c r="AN385" s="2" t="n"/>
      <c r="AO385" s="2" t="inlineStr">
        <is>
          <t>2015</t>
        </is>
      </c>
      <c r="AP385" s="2" t="n">
        <v>2015</v>
      </c>
      <c r="AQ385" s="2" t="n"/>
      <c r="AR385" s="2" t="n"/>
      <c r="AS385" s="2" t="inlineStr">
        <is>
          <t>regla</t>
        </is>
      </c>
      <c r="AT385" s="2" t="n">
        <v>5500</v>
      </c>
      <c r="AU385" s="2" t="n">
        <v>17</v>
      </c>
      <c r="AV385" s="2" t="inlineStr">
        <is>
          <t>modelo+año</t>
        </is>
      </c>
      <c r="AW385" s="2" t="n"/>
      <c r="AX385" s="2" t="inlineStr">
        <is>
          <t>etiqueta B dudosa: confirmar etiqueta con la DGT antes de comprar; por encima del presupuesto (5044 €), negociar; cilindrada desconocida: se aplica el tramo de cuota fija más alto; cuota fija ITP: &gt;5 y &lt;=12 años, más de 2.000 cc; diésel: motor sin fuente de fiabilidad (fiabilidad limitada a neutra); distancia no verificable (el anuncio solo indica la provincia): confirmar que está a &lt;= 70 km</t>
        </is>
      </c>
      <c r="AY385" s="2" t="inlineStr">
        <is>
          <t>se vende coche Citroen C3 diesel todo perfecto</t>
        </is>
      </c>
      <c r="AZ385" s="2" t="inlineStr">
        <is>
          <t>https://www.coches.net/citroen-c3-ehdi-70-cmp-collection-5p-diesel-2015-en-valencia-71844510-covo.aspx (window.__INITIAL_PROPS__.ad) /home/user/Alopecia/buscador-coches/raw/cochesnet/3a57fb821f145c8a.json</t>
        </is>
      </c>
      <c r="BA385" s="3">
        <f>MAX(ANIO_ACTUAL-M385,0)</f>
        <v/>
      </c>
      <c r="BB385" s="4">
        <f>N385/MAX(BA385,0.5)</f>
        <v/>
      </c>
      <c r="BC385" s="4">
        <f>F385</f>
        <v/>
      </c>
      <c r="BD385" s="3">
        <f>BC385&amp;"|"&amp;INT(M385/SEG_ANIO)*SEG_ANIO</f>
        <v/>
      </c>
      <c r="BE385" s="3">
        <f>BD385&amp;"|"&amp;INT(N385/SEG_KM)*SEG_KM</f>
        <v/>
      </c>
      <c r="BF385" s="4">
        <f>COUNTIF($BC$2:$BC$545,BC385)</f>
        <v/>
      </c>
      <c r="BG385" s="4">
        <f>COUNTIF($BD$2:$BD$545,BD385)</f>
        <v/>
      </c>
      <c r="BH385" s="4">
        <f>COUNTIF($BE$2:$BE$545,BE385)</f>
        <v/>
      </c>
      <c r="BI385" s="3">
        <f t="array" ref="BI385">IF(N(AU385)&gt;=MIN_N,AT385,IF(BH385&gt;=MIN_N,MEDIAN(IF($BE$2:$BE$545=BE385,$O$2:$O$545)),IF(BG385&gt;=MIN_N,MEDIAN(IF($BD$2:$BD$545=BD385,$O$2:$O$545)),MEDIAN(IF($BC$2:$BC$545=BC385,$O$2:$O$545)))))</f>
        <v/>
      </c>
      <c r="BJ385" s="3">
        <f>IF(N(AU385)&gt;=MIN_N,"mercado "&amp;AV385,IF(BH385&gt;=MIN_N,"modelo+año+km",IF(BG385&gt;=MIN_N,"modelo+año","modelo")))</f>
        <v/>
      </c>
      <c r="BK385" s="4">
        <f>(BI385-O385)/BI385</f>
        <v/>
      </c>
      <c r="BL385" s="3">
        <f>IF(COUNTIFS(FR_FUEL,K385,FR_YEAR,AP385)&gt;0,1,0)</f>
        <v/>
      </c>
      <c r="BM385" s="3">
        <f>IF(COUNTIFS(FR_FUEL,K385,FR_YEAR,AP385-1)&gt;0,1,0)</f>
        <v/>
      </c>
      <c r="BN385" s="4">
        <f>IF(N(AQ385)&gt;0,AP385*100+AQ385,IF(AND(BL385=1,BM385=1),(AP385-1)*100+1,AP385*100+1))</f>
        <v/>
      </c>
      <c r="BO385" s="3">
        <f>IF(OR(K385="hibrido",K385="glp",K385="gnc",K385="phev"),"ECO",IF(K385="electrico","CERO",IF(K385="gasolina",IF(BN385&gt;=GAS_C_YM,"C",IF(BN385&gt;=GAS_B_YM,"B","A")),IF(K385="diesel",IF(BN385&gt;=DIE_C_YM,"C",IF(BN385&gt;=DIE_B_YM,"B","A")),""))))</f>
        <v/>
      </c>
      <c r="BP385" s="4">
        <f>BO385</f>
        <v/>
      </c>
      <c r="BQ385" s="4">
        <f>IF(AS385="regla",IF(AND(N(AQ385)=0,BL385=1),"sí","no"),"no")</f>
        <v/>
      </c>
      <c r="BR385" s="3">
        <f>IFERROR(VLOOKUP(F385,MOD_TBL,11,0),IFERROR(VLOOKUP(E385,OCU_TBL,2,0),NEUTRO))</f>
        <v/>
      </c>
      <c r="BS385" s="3">
        <f>SUMIFS(MOT_AJUSTE,MOT_MOTOR,G385,MOT_MARCA,E385,MOT_DESDE,"&lt;="&amp;M385,MOT_HASTA,"&gt;="&amp;M385)+SUMIFS(MOT_AJUSTE,MOT_MOTOR,G385,MOT_MARCA,"(todas)",MOT_DESDE,"&lt;="&amp;M385,MOT_HASTA,"&gt;="&amp;M385)</f>
        <v/>
      </c>
      <c r="BT385" s="3">
        <f>SUMIFS(COMB_AJUSTE,COMB_COMB,K385)</f>
        <v/>
      </c>
      <c r="BU385" s="3">
        <f>COUNTIFS(MOT_MOTOR,G385,MOT_MARCA,E385,MOT_DESDE,"&lt;="&amp;M385,MOT_HASTA,"&gt;="&amp;M385)+COUNTIFS(MOT_MOTOR,G385,MOT_MARCA,"(todas)",MOT_DESDE,"&lt;="&amp;M385,MOT_HASTA,"&gt;="&amp;M385)</f>
        <v/>
      </c>
      <c r="BV385" s="3">
        <f>IF(AND(K385="diesel",BU385=0),MIN(BR385,NEUTRO),BR385)</f>
        <v/>
      </c>
      <c r="BW385" s="4">
        <f>MAX(0,MIN(100,BV385+BS385+BT385))</f>
        <v/>
      </c>
      <c r="BX385" s="3">
        <f>MAX(0,MIN(100,50+BK385*PRECIO_PEND))</f>
        <v/>
      </c>
      <c r="BY385" s="3">
        <f>MAX(0,100*(1-N385/KM_MAX))</f>
        <v/>
      </c>
      <c r="BZ385" s="3">
        <f>IF(BB385&lt;KMA_SOSP,IF(AA385="sí",100,KMA_PEN),IF(BB385&lt;=KMA_IDEAL_MAX,100,MAX(0,100*(KMA_CERO-BB385)/(KMA_CERO-KMA_IDEAL_MAX))))</f>
        <v/>
      </c>
      <c r="CA385" s="3">
        <f>MAX(0,MIN(100,100*(M385-ANIO_MIN)/(ANIO_ACTUAL-ANIO_MIN)))</f>
        <v/>
      </c>
      <c r="CB385" s="3">
        <f>W_KMT*BY385+W_KMA*BZ385+W_EDAD*CA385</f>
        <v/>
      </c>
      <c r="CC385" s="3">
        <f>P_ITV*(V385="sí")+P_LIBRO*(W385="sí")+P_CORREA*(X385="sí")+P_PROP*(Y385=1)+P_GAR*(Z385="sí")+P_FOTOS*MIN(1,N(U385)/FOTOS_OBJ)</f>
        <v/>
      </c>
      <c r="CD385" s="3">
        <f>MAX(0,MIN(100,IFERROR(VLOOKUP(BP385,ETQ_TBL,2,0),0)-IF(BQ385="sí",ETQ_PEN_DUD,IF(AS385="regla",ETQ_PEN_REGLA,0))))</f>
        <v/>
      </c>
      <c r="CE385" s="3">
        <f>NEUTRO</f>
        <v/>
      </c>
      <c r="CF385" s="3">
        <f>IFERROR(VLOOKUP(L385,SEGURO_TBL,3,0),"")</f>
        <v/>
      </c>
      <c r="CG385" s="3">
        <f>IF(CF385="",NEUTRO,MAX(0,MIN(100,100*(SEG_REF_MAX-CF385)/(SEG_REF_MAX-SEG_REF_MIN))))</f>
        <v/>
      </c>
      <c r="CH385" s="3">
        <f>W_CONS*CE385+W_SEG*CG385</f>
        <v/>
      </c>
      <c r="CI385" s="3">
        <f>IF(N(AB385)&gt;0,AB385,IF(AND(R385="profesional",SG_LEGAL_ON=1),GAR_LEGAL,0))</f>
        <v/>
      </c>
      <c r="CJ385" s="3">
        <f>SG_GAR*MIN(1,CI385/SG_GAR_FULL)+SG_AMPL*(AC385="sí")+SG_KMC*(AF385="sí")+SG_REV*(N(AE385)&gt;0)+SG_DEV*MIN(1,N(AG385)/SG_DEV_FULL)+SG_HIST*(W385="sí")</f>
        <v/>
      </c>
      <c r="CK385" s="3">
        <f>IFERROR(VLOOKUP(L385,CARR_PEN_TBL,2,0),0)</f>
        <v/>
      </c>
      <c r="CL385" s="3">
        <f>W_FIAB*BW385+W_PRECIO*BX385+W_KMEDAD*CB385+W_ANUNCIO*CC385+W_USO*CH385+W_SEGURIDAD*CJ385+W_ETIQUETA*CD385-CK385</f>
        <v/>
      </c>
      <c r="CM385" s="4">
        <f>IF(N(I385)&gt;0,I385,IFERROR(ROUND(_xlfn.NUMBERVALUE(LEFT(G385,FIND(" ",G385&amp;" ")-1),".")*1000,0),99999))</f>
        <v/>
      </c>
      <c r="CN385" s="3">
        <f>IF(R385="profesional",0,IF(O385&lt;CUOTA_VALOR_MAX,IF(BA385&gt;ITP_TRAMO_ALTO,SUMIFS(CF_CUOTA,CF_MAS,ITP_TRAMO_ALTO,CF_CCMIN,"&lt;="&amp;CM385,CF_CCMAX,"&gt;="&amp;CM385),IF(BA385&gt;ITP_TRAMO_BAJO,SUMIFS(CF_CUOTA,CF_MAS,ITP_TRAMO_BAJO,CF_CCMIN,"&lt;="&amp;CM385,CF_CCMAX,"&gt;="&amp;CM385),O385*ITP_TIPO)),O385*ITP_TIPO))</f>
        <v/>
      </c>
      <c r="CO385" s="4">
        <f>IF(R385="profesional",N(AK385),0)</f>
        <v/>
      </c>
      <c r="CP385" s="3">
        <f>IF(AND(R385="profesional",ISNUMBER(AK385),AL385="sí"),0,TASA_DGT)</f>
        <v/>
      </c>
      <c r="CQ385" s="3">
        <f>INFORME_DGT</f>
        <v/>
      </c>
      <c r="CR385" s="4">
        <f>O385+CO385+CN385+CP385+CQ385</f>
        <v/>
      </c>
      <c r="CS385" s="4">
        <f>CR385+N(CF385)</f>
        <v/>
      </c>
      <c r="CT385" s="3">
        <f>IF(CR385&lt;=TOTAL_MAX,"sí",IF(CR385&lt;=TOTAL_MAX+MARGEN_NEG,"negociar","no"))</f>
        <v/>
      </c>
      <c r="CU385" s="4">
        <f>IF(CT385&lt;&gt;"no",COUNTIFS($CT$2:$CT$545,"&lt;&gt;no",$CL$2:$CL$545,"&gt;"&amp;CL385)+COUNTIFS($CT$2:CT385,"&lt;&gt;no",$CL$2:CL385,CL385),"")</f>
        <v/>
      </c>
    </row>
    <row r="386">
      <c r="A386" s="2" t="inlineStr">
        <is>
          <t>cochesnet:71646911</t>
        </is>
      </c>
      <c r="B386" s="2" t="inlineStr">
        <is>
          <t>cochesnet</t>
        </is>
      </c>
      <c r="C386" s="2" t="inlineStr">
        <is>
          <t>https://www.coches.net/citroen-c3-diesel-2006-en-valencia-71646911-covo.aspx</t>
        </is>
      </c>
      <c r="D386" s="2" t="inlineStr">
        <is>
          <t>CITROEN C3</t>
        </is>
      </c>
      <c r="E386" s="2" t="inlineStr">
        <is>
          <t>Citroën</t>
        </is>
      </c>
      <c r="F386" s="2" t="inlineStr">
        <is>
          <t>Citroën C3</t>
        </is>
      </c>
      <c r="G386" s="2" t="n"/>
      <c r="H386" s="2" t="n"/>
      <c r="I386" s="2" t="n"/>
      <c r="J386" s="2" t="n"/>
      <c r="K386" s="2" t="inlineStr">
        <is>
          <t>diesel</t>
        </is>
      </c>
      <c r="L386" s="2" t="inlineStr">
        <is>
          <t>utilitario</t>
        </is>
      </c>
      <c r="M386" s="2" t="n">
        <v>2006</v>
      </c>
      <c r="N386" s="2" t="n">
        <v>215225</v>
      </c>
      <c r="O386" s="2" t="n">
        <v>2500</v>
      </c>
      <c r="P386" s="2" t="inlineStr">
        <is>
          <t>manual</t>
        </is>
      </c>
      <c r="Q386" s="2" t="inlineStr">
        <is>
          <t>no</t>
        </is>
      </c>
      <c r="R386" s="2" t="inlineStr">
        <is>
          <t>particular</t>
        </is>
      </c>
      <c r="S386" s="2" t="n"/>
      <c r="T386" s="2" t="inlineStr">
        <is>
          <t>2026-10-01T10:25:05Z</t>
        </is>
      </c>
      <c r="U386" s="2" t="n">
        <v>7</v>
      </c>
      <c r="V386" s="2" t="n"/>
      <c r="W386" s="2" t="n"/>
      <c r="X386" s="2" t="n"/>
      <c r="Y386" s="2" t="n"/>
      <c r="Z386" s="2" t="inlineStr">
        <is>
          <t>no</t>
        </is>
      </c>
      <c r="AA386" s="2" t="n"/>
      <c r="AB386" s="2" t="n"/>
      <c r="AC386" s="2" t="n"/>
      <c r="AD386" s="2" t="n"/>
      <c r="AE386" s="2" t="n"/>
      <c r="AF386" s="2" t="n"/>
      <c r="AG386" s="2" t="n"/>
      <c r="AH386" s="2" t="n">
        <v>2500</v>
      </c>
      <c r="AI386" s="2" t="n"/>
      <c r="AJ386" s="2" t="n"/>
      <c r="AK386" s="2" t="n"/>
      <c r="AL386" s="2" t="n"/>
      <c r="AM386" s="2" t="n"/>
      <c r="AN386" s="2" t="n"/>
      <c r="AO386" s="2" t="inlineStr">
        <is>
          <t>2006</t>
        </is>
      </c>
      <c r="AP386" s="2" t="n">
        <v>2006</v>
      </c>
      <c r="AQ386" s="2" t="n"/>
      <c r="AR386" s="2" t="n"/>
      <c r="AS386" s="2" t="inlineStr">
        <is>
          <t>regla</t>
        </is>
      </c>
      <c r="AT386" s="2" t="n">
        <v>1999</v>
      </c>
      <c r="AU386" s="2" t="n">
        <v>7</v>
      </c>
      <c r="AV386" s="2" t="inlineStr">
        <is>
          <t>modelo+año+km</t>
        </is>
      </c>
      <c r="AW386" s="2" t="n"/>
      <c r="AX386"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86" s="2" t="inlineStr">
        <is>
          <t>el motor esta en buen estado, tiene desperfectos del paso del tiempo, itv 2027 en vigor
el precio es negociable, solo particulares no revendedrores</t>
        </is>
      </c>
      <c r="AZ386" s="2" t="inlineStr">
        <is>
          <t>https://www.coches.net/citroen-c3-diesel-2006-en-valencia-71646911-covo.aspx (window.__INITIAL_PROPS__.ad) /home/user/Alopecia/buscador-coches/raw/cochesnet/a0b63af261b5a4f9.json</t>
        </is>
      </c>
      <c r="BA386" s="3">
        <f>MAX(ANIO_ACTUAL-M386,0)</f>
        <v/>
      </c>
      <c r="BB386" s="4">
        <f>N386/MAX(BA386,0.5)</f>
        <v/>
      </c>
      <c r="BC386" s="4">
        <f>F386</f>
        <v/>
      </c>
      <c r="BD386" s="3">
        <f>BC386&amp;"|"&amp;INT(M386/SEG_ANIO)*SEG_ANIO</f>
        <v/>
      </c>
      <c r="BE386" s="3">
        <f>BD386&amp;"|"&amp;INT(N386/SEG_KM)*SEG_KM</f>
        <v/>
      </c>
      <c r="BF386" s="4">
        <f>COUNTIF($BC$2:$BC$545,BC386)</f>
        <v/>
      </c>
      <c r="BG386" s="4">
        <f>COUNTIF($BD$2:$BD$545,BD386)</f>
        <v/>
      </c>
      <c r="BH386" s="4">
        <f>COUNTIF($BE$2:$BE$545,BE386)</f>
        <v/>
      </c>
      <c r="BI386" s="3">
        <f t="array" ref="BI386">IF(N(AU386)&gt;=MIN_N,AT386,IF(BH386&gt;=MIN_N,MEDIAN(IF($BE$2:$BE$545=BE386,$O$2:$O$545)),IF(BG386&gt;=MIN_N,MEDIAN(IF($BD$2:$BD$545=BD386,$O$2:$O$545)),MEDIAN(IF($BC$2:$BC$545=BC386,$O$2:$O$545)))))</f>
        <v/>
      </c>
      <c r="BJ386" s="3">
        <f>IF(N(AU386)&gt;=MIN_N,"mercado "&amp;AV386,IF(BH386&gt;=MIN_N,"modelo+año+km",IF(BG386&gt;=MIN_N,"modelo+año","modelo")))</f>
        <v/>
      </c>
      <c r="BK386" s="4">
        <f>(BI386-O386)/BI386</f>
        <v/>
      </c>
      <c r="BL386" s="3">
        <f>IF(COUNTIFS(FR_FUEL,K386,FR_YEAR,AP386)&gt;0,1,0)</f>
        <v/>
      </c>
      <c r="BM386" s="3">
        <f>IF(COUNTIFS(FR_FUEL,K386,FR_YEAR,AP386-1)&gt;0,1,0)</f>
        <v/>
      </c>
      <c r="BN386" s="4">
        <f>IF(N(AQ386)&gt;0,AP386*100+AQ386,IF(AND(BL386=1,BM386=1),(AP386-1)*100+1,AP386*100+1))</f>
        <v/>
      </c>
      <c r="BO386" s="3">
        <f>IF(OR(K386="hibrido",K386="glp",K386="gnc",K386="phev"),"ECO",IF(K386="electrico","CERO",IF(K386="gasolina",IF(BN386&gt;=GAS_C_YM,"C",IF(BN386&gt;=GAS_B_YM,"B","A")),IF(K386="diesel",IF(BN386&gt;=DIE_C_YM,"C",IF(BN386&gt;=DIE_B_YM,"B","A")),""))))</f>
        <v/>
      </c>
      <c r="BP386" s="4">
        <f>BO386</f>
        <v/>
      </c>
      <c r="BQ386" s="4">
        <f>IF(AS386="regla",IF(AND(N(AQ386)=0,BL386=1),"sí","no"),"no")</f>
        <v/>
      </c>
      <c r="BR386" s="3">
        <f>IFERROR(VLOOKUP(F386,MOD_TBL,11,0),IFERROR(VLOOKUP(E386,OCU_TBL,2,0),NEUTRO))</f>
        <v/>
      </c>
      <c r="BS386" s="3">
        <f>SUMIFS(MOT_AJUSTE,MOT_MOTOR,G386,MOT_MARCA,E386,MOT_DESDE,"&lt;="&amp;M386,MOT_HASTA,"&gt;="&amp;M386)+SUMIFS(MOT_AJUSTE,MOT_MOTOR,G386,MOT_MARCA,"(todas)",MOT_DESDE,"&lt;="&amp;M386,MOT_HASTA,"&gt;="&amp;M386)</f>
        <v/>
      </c>
      <c r="BT386" s="3">
        <f>SUMIFS(COMB_AJUSTE,COMB_COMB,K386)</f>
        <v/>
      </c>
      <c r="BU386" s="3">
        <f>COUNTIFS(MOT_MOTOR,G386,MOT_MARCA,E386,MOT_DESDE,"&lt;="&amp;M386,MOT_HASTA,"&gt;="&amp;M386)+COUNTIFS(MOT_MOTOR,G386,MOT_MARCA,"(todas)",MOT_DESDE,"&lt;="&amp;M386,MOT_HASTA,"&gt;="&amp;M386)</f>
        <v/>
      </c>
      <c r="BV386" s="3">
        <f>IF(AND(K386="diesel",BU386=0),MIN(BR386,NEUTRO),BR386)</f>
        <v/>
      </c>
      <c r="BW386" s="4">
        <f>MAX(0,MIN(100,BV386+BS386+BT386))</f>
        <v/>
      </c>
      <c r="BX386" s="3">
        <f>MAX(0,MIN(100,50+BK386*PRECIO_PEND))</f>
        <v/>
      </c>
      <c r="BY386" s="3">
        <f>MAX(0,100*(1-N386/KM_MAX))</f>
        <v/>
      </c>
      <c r="BZ386" s="3">
        <f>IF(BB386&lt;KMA_SOSP,IF(AA386="sí",100,KMA_PEN),IF(BB386&lt;=KMA_IDEAL_MAX,100,MAX(0,100*(KMA_CERO-BB386)/(KMA_CERO-KMA_IDEAL_MAX))))</f>
        <v/>
      </c>
      <c r="CA386" s="3">
        <f>MAX(0,MIN(100,100*(M386-ANIO_MIN)/(ANIO_ACTUAL-ANIO_MIN)))</f>
        <v/>
      </c>
      <c r="CB386" s="3">
        <f>W_KMT*BY386+W_KMA*BZ386+W_EDAD*CA386</f>
        <v/>
      </c>
      <c r="CC386" s="3">
        <f>P_ITV*(V386="sí")+P_LIBRO*(W386="sí")+P_CORREA*(X386="sí")+P_PROP*(Y386=1)+P_GAR*(Z386="sí")+P_FOTOS*MIN(1,N(U386)/FOTOS_OBJ)</f>
        <v/>
      </c>
      <c r="CD386" s="3">
        <f>MAX(0,MIN(100,IFERROR(VLOOKUP(BP386,ETQ_TBL,2,0),0)-IF(BQ386="sí",ETQ_PEN_DUD,IF(AS386="regla",ETQ_PEN_REGLA,0))))</f>
        <v/>
      </c>
      <c r="CE386" s="3">
        <f>NEUTRO</f>
        <v/>
      </c>
      <c r="CF386" s="3">
        <f>IFERROR(VLOOKUP(L386,SEGURO_TBL,3,0),"")</f>
        <v/>
      </c>
      <c r="CG386" s="3">
        <f>IF(CF386="",NEUTRO,MAX(0,MIN(100,100*(SEG_REF_MAX-CF386)/(SEG_REF_MAX-SEG_REF_MIN))))</f>
        <v/>
      </c>
      <c r="CH386" s="3">
        <f>W_CONS*CE386+W_SEG*CG386</f>
        <v/>
      </c>
      <c r="CI386" s="3">
        <f>IF(N(AB386)&gt;0,AB386,IF(AND(R386="profesional",SG_LEGAL_ON=1),GAR_LEGAL,0))</f>
        <v/>
      </c>
      <c r="CJ386" s="3">
        <f>SG_GAR*MIN(1,CI386/SG_GAR_FULL)+SG_AMPL*(AC386="sí")+SG_KMC*(AF386="sí")+SG_REV*(N(AE386)&gt;0)+SG_DEV*MIN(1,N(AG386)/SG_DEV_FULL)+SG_HIST*(W386="sí")</f>
        <v/>
      </c>
      <c r="CK386" s="3">
        <f>IFERROR(VLOOKUP(L386,CARR_PEN_TBL,2,0),0)</f>
        <v/>
      </c>
      <c r="CL386" s="3">
        <f>W_FIAB*BW386+W_PRECIO*BX386+W_KMEDAD*CB386+W_ANUNCIO*CC386+W_USO*CH386+W_SEGURIDAD*CJ386+W_ETIQUETA*CD386-CK386</f>
        <v/>
      </c>
      <c r="CM386" s="4">
        <f>IF(N(I386)&gt;0,I386,IFERROR(ROUND(_xlfn.NUMBERVALUE(LEFT(G386,FIND(" ",G386&amp;" ")-1),".")*1000,0),99999))</f>
        <v/>
      </c>
      <c r="CN386" s="3">
        <f>IF(R386="profesional",0,IF(O386&lt;CUOTA_VALOR_MAX,IF(BA386&gt;ITP_TRAMO_ALTO,SUMIFS(CF_CUOTA,CF_MAS,ITP_TRAMO_ALTO,CF_CCMIN,"&lt;="&amp;CM386,CF_CCMAX,"&gt;="&amp;CM386),IF(BA386&gt;ITP_TRAMO_BAJO,SUMIFS(CF_CUOTA,CF_MAS,ITP_TRAMO_BAJO,CF_CCMIN,"&lt;="&amp;CM386,CF_CCMAX,"&gt;="&amp;CM386),O386*ITP_TIPO)),O386*ITP_TIPO))</f>
        <v/>
      </c>
      <c r="CO386" s="4">
        <f>IF(R386="profesional",N(AK386),0)</f>
        <v/>
      </c>
      <c r="CP386" s="3">
        <f>IF(AND(R386="profesional",ISNUMBER(AK386),AL386="sí"),0,TASA_DGT)</f>
        <v/>
      </c>
      <c r="CQ386" s="3">
        <f>INFORME_DGT</f>
        <v/>
      </c>
      <c r="CR386" s="4">
        <f>O386+CO386+CN386+CP386+CQ386</f>
        <v/>
      </c>
      <c r="CS386" s="4">
        <f>CR386+N(CF386)</f>
        <v/>
      </c>
      <c r="CT386" s="3">
        <f>IF(CR386&lt;=TOTAL_MAX,"sí",IF(CR386&lt;=TOTAL_MAX+MARGEN_NEG,"negociar","no"))</f>
        <v/>
      </c>
      <c r="CU386" s="4">
        <f>IF(CT386&lt;&gt;"no",COUNTIFS($CT$2:$CT$545,"&lt;&gt;no",$CL$2:$CL$545,"&gt;"&amp;CL386)+COUNTIFS($CT$2:CT386,"&lt;&gt;no",$CL$2:CL386,CL386),"")</f>
        <v/>
      </c>
    </row>
    <row r="387">
      <c r="A387" s="2" t="inlineStr">
        <is>
          <t>cochesnet:71494516</t>
        </is>
      </c>
      <c r="B387" s="2" t="inlineStr">
        <is>
          <t>cochesnet</t>
        </is>
      </c>
      <c r="C387" s="2" t="inlineStr">
        <is>
          <t>https://www.coches.net/citroen-c3-bluehdi-75-live-5p-diesel-2016-en-valencia-71494516-covo.aspx</t>
        </is>
      </c>
      <c r="D387" s="2" t="inlineStr">
        <is>
          <t>CITROEN C3 BlueHDi 75 Live</t>
        </is>
      </c>
      <c r="E387" s="2" t="inlineStr">
        <is>
          <t>Citroën</t>
        </is>
      </c>
      <c r="F387" s="2" t="inlineStr">
        <is>
          <t>Citroën C3</t>
        </is>
      </c>
      <c r="G387" s="2" t="inlineStr">
        <is>
          <t>? HDi</t>
        </is>
      </c>
      <c r="H387" s="2" t="inlineStr">
        <is>
          <t>BlueHDi 75 Live</t>
        </is>
      </c>
      <c r="I387" s="2" t="n"/>
      <c r="J387" s="2" t="n"/>
      <c r="K387" s="2" t="inlineStr">
        <is>
          <t>diesel</t>
        </is>
      </c>
      <c r="L387" s="2" t="inlineStr">
        <is>
          <t>utilitario</t>
        </is>
      </c>
      <c r="M387" s="2" t="n">
        <v>2016</v>
      </c>
      <c r="N387" s="2" t="n">
        <v>199500</v>
      </c>
      <c r="O387" s="2" t="n">
        <v>5200</v>
      </c>
      <c r="P387" s="2" t="inlineStr">
        <is>
          <t>manual</t>
        </is>
      </c>
      <c r="Q387" s="2" t="inlineStr">
        <is>
          <t>no</t>
        </is>
      </c>
      <c r="R387" s="2" t="inlineStr">
        <is>
          <t>particular</t>
        </is>
      </c>
      <c r="S387" s="2" t="inlineStr">
        <is>
          <t>Valencia</t>
        </is>
      </c>
      <c r="T387" s="2" t="inlineStr">
        <is>
          <t>2026-09-11T17:21:47Z</t>
        </is>
      </c>
      <c r="U387" s="2" t="n">
        <v>13</v>
      </c>
      <c r="V387" s="2" t="inlineStr">
        <is>
          <t>sí</t>
        </is>
      </c>
      <c r="W387" s="2" t="n"/>
      <c r="X387" s="2" t="n"/>
      <c r="Y387" s="2" t="n"/>
      <c r="Z387" s="2" t="inlineStr">
        <is>
          <t>no</t>
        </is>
      </c>
      <c r="AA387" s="2" t="n"/>
      <c r="AB387" s="2" t="n"/>
      <c r="AC387" s="2" t="n"/>
      <c r="AD387" s="2" t="n"/>
      <c r="AE387" s="2" t="n"/>
      <c r="AF387" s="2" t="n"/>
      <c r="AG387" s="2" t="n"/>
      <c r="AH387" s="2" t="n">
        <v>5200</v>
      </c>
      <c r="AI387" s="2" t="n"/>
      <c r="AJ387" s="2" t="n"/>
      <c r="AK387" s="2" t="n"/>
      <c r="AL387" s="2" t="n"/>
      <c r="AM387" s="2" t="n">
        <v>0.1</v>
      </c>
      <c r="AN387" s="2" t="n"/>
      <c r="AO387" s="2" t="inlineStr">
        <is>
          <t>2016</t>
        </is>
      </c>
      <c r="AP387" s="2" t="n">
        <v>2016</v>
      </c>
      <c r="AQ387" s="2" t="n"/>
      <c r="AR387" s="2" t="inlineStr">
        <is>
          <t>C</t>
        </is>
      </c>
      <c r="AS387" s="2" t="inlineStr">
        <is>
          <t>anuncio</t>
        </is>
      </c>
      <c r="AT387" s="2" t="n">
        <v>5550</v>
      </c>
      <c r="AU387" s="2" t="n">
        <v>6</v>
      </c>
      <c r="AV387" s="2" t="inlineStr">
        <is>
          <t>modelo+año+km</t>
        </is>
      </c>
      <c r="AW387" s="2" t="inlineStr">
        <is>
          <t>cochesnet:71494691 (https://www.coches.net/citroen-c3-diesel-2016-en-valencia-71494691-covo.aspx)</t>
        </is>
      </c>
      <c r="AX387" s="2" t="inlineStr">
        <is>
          <t>cilindrada desconocida: se aplica el tramo de cuota fija más alto; cuota fija ITP: &gt;5 y &lt;=12 años, más de 2.000 cc; diésel: motor sin fuente de fiabilidad (fiabilidad limitada a neutra)</t>
        </is>
      </c>
      <c r="AY387" s="2" t="inlineStr">
        <is>
          <t>vendo Citroën c3 bluehdi live edition 1600 75cv del 2016  revisiones al día se le a cambiado embrague kilos de correa de distribución y bomba de agua correa de servicio alternador junta de balancines discos de frenos pastillas de freno filtros aceite....etc el coche tiene itv hasta agosto de 2027 vendo por que he ampliado la familia y necesito un coche más grande, el coche está en perfectas condiciones comprar sacar seguro y a circular. contacto solo por WhatsApp.</t>
        </is>
      </c>
      <c r="AZ387" s="2" t="inlineStr">
        <is>
          <t>https://www.coches.net/citroen-c3-bluehdi-75-live-5p-diesel-2016-en-valencia-71494516-covo.aspx (window.__INITIAL_PROPS__.ad) /home/user/Alopecia/buscador-coches/raw/cochesnet/522409e31f7724d4.json</t>
        </is>
      </c>
      <c r="BA387" s="3">
        <f>MAX(ANIO_ACTUAL-M387,0)</f>
        <v/>
      </c>
      <c r="BB387" s="4">
        <f>N387/MAX(BA387,0.5)</f>
        <v/>
      </c>
      <c r="BC387" s="4">
        <f>F387</f>
        <v/>
      </c>
      <c r="BD387" s="3">
        <f>BC387&amp;"|"&amp;INT(M387/SEG_ANIO)*SEG_ANIO</f>
        <v/>
      </c>
      <c r="BE387" s="3">
        <f>BD387&amp;"|"&amp;INT(N387/SEG_KM)*SEG_KM</f>
        <v/>
      </c>
      <c r="BF387" s="4">
        <f>COUNTIF($BC$2:$BC$545,BC387)</f>
        <v/>
      </c>
      <c r="BG387" s="4">
        <f>COUNTIF($BD$2:$BD$545,BD387)</f>
        <v/>
      </c>
      <c r="BH387" s="4">
        <f>COUNTIF($BE$2:$BE$545,BE387)</f>
        <v/>
      </c>
      <c r="BI387" s="3">
        <f t="array" ref="BI387">IF(N(AU387)&gt;=MIN_N,AT387,IF(BH387&gt;=MIN_N,MEDIAN(IF($BE$2:$BE$545=BE387,$O$2:$O$545)),IF(BG387&gt;=MIN_N,MEDIAN(IF($BD$2:$BD$545=BD387,$O$2:$O$545)),MEDIAN(IF($BC$2:$BC$545=BC387,$O$2:$O$545)))))</f>
        <v/>
      </c>
      <c r="BJ387" s="3">
        <f>IF(N(AU387)&gt;=MIN_N,"mercado "&amp;AV387,IF(BH387&gt;=MIN_N,"modelo+año+km",IF(BG387&gt;=MIN_N,"modelo+año","modelo")))</f>
        <v/>
      </c>
      <c r="BK387" s="4">
        <f>(BI387-O387)/BI387</f>
        <v/>
      </c>
      <c r="BL387" s="3">
        <f>IF(COUNTIFS(FR_FUEL,K387,FR_YEAR,AP387)&gt;0,1,0)</f>
        <v/>
      </c>
      <c r="BM387" s="3">
        <f>IF(COUNTIFS(FR_FUEL,K387,FR_YEAR,AP387-1)&gt;0,1,0)</f>
        <v/>
      </c>
      <c r="BN387" s="4">
        <f>IF(N(AQ387)&gt;0,AP387*100+AQ387,IF(AND(BL387=1,BM387=1),(AP387-1)*100+1,AP387*100+1))</f>
        <v/>
      </c>
      <c r="BO387" s="3">
        <f>IF(OR(K387="hibrido",K387="glp",K387="gnc",K387="phev"),"ECO",IF(K387="electrico","CERO",IF(K387="gasolina",IF(BN387&gt;=GAS_C_YM,"C",IF(BN387&gt;=GAS_B_YM,"B","A")),IF(K387="diesel",IF(BN387&gt;=DIE_C_YM,"C",IF(BN387&gt;=DIE_B_YM,"B","A")),""))))</f>
        <v/>
      </c>
      <c r="BP387" s="2" t="inlineStr">
        <is>
          <t>C</t>
        </is>
      </c>
      <c r="BQ387" s="4">
        <f>IF(AS387="regla",IF(AND(N(AQ387)=0,BL387=1),"sí","no"),"no")</f>
        <v/>
      </c>
      <c r="BR387" s="3">
        <f>IFERROR(VLOOKUP(F387,MOD_TBL,11,0),IFERROR(VLOOKUP(E387,OCU_TBL,2,0),NEUTRO))</f>
        <v/>
      </c>
      <c r="BS387" s="3">
        <f>SUMIFS(MOT_AJUSTE,MOT_MOTOR,G387,MOT_MARCA,E387,MOT_DESDE,"&lt;="&amp;M387,MOT_HASTA,"&gt;="&amp;M387)+SUMIFS(MOT_AJUSTE,MOT_MOTOR,G387,MOT_MARCA,"(todas)",MOT_DESDE,"&lt;="&amp;M387,MOT_HASTA,"&gt;="&amp;M387)</f>
        <v/>
      </c>
      <c r="BT387" s="3">
        <f>SUMIFS(COMB_AJUSTE,COMB_COMB,K387)</f>
        <v/>
      </c>
      <c r="BU387" s="3">
        <f>COUNTIFS(MOT_MOTOR,G387,MOT_MARCA,E387,MOT_DESDE,"&lt;="&amp;M387,MOT_HASTA,"&gt;="&amp;M387)+COUNTIFS(MOT_MOTOR,G387,MOT_MARCA,"(todas)",MOT_DESDE,"&lt;="&amp;M387,MOT_HASTA,"&gt;="&amp;M387)</f>
        <v/>
      </c>
      <c r="BV387" s="3">
        <f>IF(AND(K387="diesel",BU387=0),MIN(BR387,NEUTRO),BR387)</f>
        <v/>
      </c>
      <c r="BW387" s="4">
        <f>MAX(0,MIN(100,BV387+BS387+BT387))</f>
        <v/>
      </c>
      <c r="BX387" s="3">
        <f>MAX(0,MIN(100,50+BK387*PRECIO_PEND))</f>
        <v/>
      </c>
      <c r="BY387" s="3">
        <f>MAX(0,100*(1-N387/KM_MAX))</f>
        <v/>
      </c>
      <c r="BZ387" s="3">
        <f>IF(BB387&lt;KMA_SOSP,IF(AA387="sí",100,KMA_PEN),IF(BB387&lt;=KMA_IDEAL_MAX,100,MAX(0,100*(KMA_CERO-BB387)/(KMA_CERO-KMA_IDEAL_MAX))))</f>
        <v/>
      </c>
      <c r="CA387" s="3">
        <f>MAX(0,MIN(100,100*(M387-ANIO_MIN)/(ANIO_ACTUAL-ANIO_MIN)))</f>
        <v/>
      </c>
      <c r="CB387" s="3">
        <f>W_KMT*BY387+W_KMA*BZ387+W_EDAD*CA387</f>
        <v/>
      </c>
      <c r="CC387" s="3">
        <f>P_ITV*(V387="sí")+P_LIBRO*(W387="sí")+P_CORREA*(X387="sí")+P_PROP*(Y387=1)+P_GAR*(Z387="sí")+P_FOTOS*MIN(1,N(U387)/FOTOS_OBJ)</f>
        <v/>
      </c>
      <c r="CD387" s="3">
        <f>MAX(0,MIN(100,IFERROR(VLOOKUP(BP387,ETQ_TBL,2,0),0)-IF(BQ387="sí",ETQ_PEN_DUD,IF(AS387="regla",ETQ_PEN_REGLA,0))))</f>
        <v/>
      </c>
      <c r="CE387" s="3">
        <f>NEUTRO</f>
        <v/>
      </c>
      <c r="CF387" s="3">
        <f>IFERROR(VLOOKUP(L387,SEGURO_TBL,3,0),"")</f>
        <v/>
      </c>
      <c r="CG387" s="3">
        <f>IF(CF387="",NEUTRO,MAX(0,MIN(100,100*(SEG_REF_MAX-CF387)/(SEG_REF_MAX-SEG_REF_MIN))))</f>
        <v/>
      </c>
      <c r="CH387" s="3">
        <f>W_CONS*CE387+W_SEG*CG387</f>
        <v/>
      </c>
      <c r="CI387" s="3">
        <f>IF(N(AB387)&gt;0,AB387,IF(AND(R387="profesional",SG_LEGAL_ON=1),GAR_LEGAL,0))</f>
        <v/>
      </c>
      <c r="CJ387" s="3">
        <f>SG_GAR*MIN(1,CI387/SG_GAR_FULL)+SG_AMPL*(AC387="sí")+SG_KMC*(AF387="sí")+SG_REV*(N(AE387)&gt;0)+SG_DEV*MIN(1,N(AG387)/SG_DEV_FULL)+SG_HIST*(W387="sí")</f>
        <v/>
      </c>
      <c r="CK387" s="3">
        <f>IFERROR(VLOOKUP(L387,CARR_PEN_TBL,2,0),0)</f>
        <v/>
      </c>
      <c r="CL387" s="3">
        <f>W_FIAB*BW387+W_PRECIO*BX387+W_KMEDAD*CB387+W_ANUNCIO*CC387+W_USO*CH387+W_SEGURIDAD*CJ387+W_ETIQUETA*CD387-CK387</f>
        <v/>
      </c>
      <c r="CM387" s="4">
        <f>IF(N(I387)&gt;0,I387,IFERROR(ROUND(_xlfn.NUMBERVALUE(LEFT(G387,FIND(" ",G387&amp;" ")-1),".")*1000,0),99999))</f>
        <v/>
      </c>
      <c r="CN387" s="3">
        <f>IF(R387="profesional",0,IF(O387&lt;CUOTA_VALOR_MAX,IF(BA387&gt;ITP_TRAMO_ALTO,SUMIFS(CF_CUOTA,CF_MAS,ITP_TRAMO_ALTO,CF_CCMIN,"&lt;="&amp;CM387,CF_CCMAX,"&gt;="&amp;CM387),IF(BA387&gt;ITP_TRAMO_BAJO,SUMIFS(CF_CUOTA,CF_MAS,ITP_TRAMO_BAJO,CF_CCMIN,"&lt;="&amp;CM387,CF_CCMAX,"&gt;="&amp;CM387),O387*ITP_TIPO)),O387*ITP_TIPO))</f>
        <v/>
      </c>
      <c r="CO387" s="4">
        <f>IF(R387="profesional",N(AK387),0)</f>
        <v/>
      </c>
      <c r="CP387" s="3">
        <f>IF(AND(R387="profesional",ISNUMBER(AK387),AL387="sí"),0,TASA_DGT)</f>
        <v/>
      </c>
      <c r="CQ387" s="3">
        <f>INFORME_DGT</f>
        <v/>
      </c>
      <c r="CR387" s="4">
        <f>O387+CO387+CN387+CP387+CQ387</f>
        <v/>
      </c>
      <c r="CS387" s="4">
        <f>CR387+N(CF387)</f>
        <v/>
      </c>
      <c r="CT387" s="3">
        <f>IF(CR387&lt;=TOTAL_MAX,"sí",IF(CR387&lt;=TOTAL_MAX+MARGEN_NEG,"negociar","no"))</f>
        <v/>
      </c>
      <c r="CU387" s="4">
        <f>IF(CT387&lt;&gt;"no",COUNTIFS($CT$2:$CT$545,"&lt;&gt;no",$CL$2:$CL$545,"&gt;"&amp;CL387)+COUNTIFS($CT$2:CT387,"&lt;&gt;no",$CL$2:CL387,CL387),"")</f>
        <v/>
      </c>
    </row>
    <row r="388">
      <c r="A388" s="2" t="inlineStr">
        <is>
          <t>cochesnet:71487014</t>
        </is>
      </c>
      <c r="B388" s="2" t="inlineStr">
        <is>
          <t>cochesnet</t>
        </is>
      </c>
      <c r="C388" s="2" t="inlineStr">
        <is>
          <t>https://www.coches.net/citroen-c3-gasolina-2014-en-valencia-71487014-covo.aspx</t>
        </is>
      </c>
      <c r="D388" s="2" t="inlineStr">
        <is>
          <t>CITROEN C3</t>
        </is>
      </c>
      <c r="E388" s="2" t="inlineStr">
        <is>
          <t>Citroën</t>
        </is>
      </c>
      <c r="F388" s="2" t="inlineStr">
        <is>
          <t>Citroën C3</t>
        </is>
      </c>
      <c r="G388" s="2" t="n"/>
      <c r="H388" s="2" t="n"/>
      <c r="I388" s="2" t="n"/>
      <c r="J388" s="2" t="n"/>
      <c r="K388" s="2" t="inlineStr">
        <is>
          <t>gasolina</t>
        </is>
      </c>
      <c r="L388" s="2" t="inlineStr">
        <is>
          <t>utilitario</t>
        </is>
      </c>
      <c r="M388" s="2" t="n">
        <v>2014</v>
      </c>
      <c r="N388" s="2" t="n">
        <v>165000</v>
      </c>
      <c r="O388" s="2" t="n">
        <v>4700</v>
      </c>
      <c r="P388" s="2" t="inlineStr">
        <is>
          <t>manual</t>
        </is>
      </c>
      <c r="Q388" s="2" t="inlineStr">
        <is>
          <t>no</t>
        </is>
      </c>
      <c r="R388" s="2" t="inlineStr">
        <is>
          <t>particular</t>
        </is>
      </c>
      <c r="S388" s="2" t="n"/>
      <c r="T388" s="2" t="inlineStr">
        <is>
          <t>2026-09-10T14:27:54Z</t>
        </is>
      </c>
      <c r="U388" s="2" t="n">
        <v>6</v>
      </c>
      <c r="V388" s="2" t="n"/>
      <c r="W388" s="2" t="n"/>
      <c r="X388" s="2" t="n"/>
      <c r="Y388" s="2" t="n"/>
      <c r="Z388" s="2" t="inlineStr">
        <is>
          <t>no</t>
        </is>
      </c>
      <c r="AA388" s="2" t="n"/>
      <c r="AB388" s="2" t="n"/>
      <c r="AC388" s="2" t="n"/>
      <c r="AD388" s="2" t="n"/>
      <c r="AE388" s="2" t="n"/>
      <c r="AF388" s="2" t="n"/>
      <c r="AG388" s="2" t="n"/>
      <c r="AH388" s="2" t="n">
        <v>4700</v>
      </c>
      <c r="AI388" s="2" t="n"/>
      <c r="AJ388" s="2" t="n"/>
      <c r="AK388" s="2" t="n"/>
      <c r="AL388" s="2" t="n"/>
      <c r="AM388" s="2" t="n"/>
      <c r="AN388" s="2" t="n"/>
      <c r="AO388" s="2" t="inlineStr">
        <is>
          <t>2014</t>
        </is>
      </c>
      <c r="AP388" s="2" t="n">
        <v>2014</v>
      </c>
      <c r="AQ388" s="2" t="n"/>
      <c r="AR388" s="2" t="n"/>
      <c r="AS388" s="2" t="inlineStr">
        <is>
          <t>regla</t>
        </is>
      </c>
      <c r="AT388" s="2" t="n">
        <v>5500</v>
      </c>
      <c r="AU388" s="2" t="n">
        <v>17</v>
      </c>
      <c r="AV388" s="2" t="inlineStr">
        <is>
          <t>modelo+año</t>
        </is>
      </c>
      <c r="AW388" s="2" t="n"/>
      <c r="AX388" s="2" t="inlineStr">
        <is>
          <t>por encima del presupuesto (5044 €), negociar; cilindrada desconocida: se aplica el tramo de cuota fija más alto; cuota fija ITP: &gt;5 y &lt;=12 años, más de 2.000 cc; distancia no verificable (el anuncio solo indica la provincia): confirmar que está a &lt;= 70 km</t>
        </is>
      </c>
      <c r="AY388" s="2" t="inlineStr">
        <is>
          <t xml:space="preserve">El coche esta muy bien conservado tanto interior como exterior . Muy poco consumo y muy manejable . Por favor gente seria . </t>
        </is>
      </c>
      <c r="AZ388" s="2" t="inlineStr">
        <is>
          <t>https://www.coches.net/citroen-c3-gasolina-2014-en-valencia-71487014-covo.aspx (window.__INITIAL_PROPS__.ad) /home/user/Alopecia/buscador-coches/raw/cochesnet/f62e5d458027b037.json</t>
        </is>
      </c>
      <c r="BA388" s="3">
        <f>MAX(ANIO_ACTUAL-M388,0)</f>
        <v/>
      </c>
      <c r="BB388" s="4">
        <f>N388/MAX(BA388,0.5)</f>
        <v/>
      </c>
      <c r="BC388" s="4">
        <f>F388</f>
        <v/>
      </c>
      <c r="BD388" s="3">
        <f>BC388&amp;"|"&amp;INT(M388/SEG_ANIO)*SEG_ANIO</f>
        <v/>
      </c>
      <c r="BE388" s="3">
        <f>BD388&amp;"|"&amp;INT(N388/SEG_KM)*SEG_KM</f>
        <v/>
      </c>
      <c r="BF388" s="4">
        <f>COUNTIF($BC$2:$BC$545,BC388)</f>
        <v/>
      </c>
      <c r="BG388" s="4">
        <f>COUNTIF($BD$2:$BD$545,BD388)</f>
        <v/>
      </c>
      <c r="BH388" s="4">
        <f>COUNTIF($BE$2:$BE$545,BE388)</f>
        <v/>
      </c>
      <c r="BI388" s="3">
        <f t="array" ref="BI388">IF(N(AU388)&gt;=MIN_N,AT388,IF(BH388&gt;=MIN_N,MEDIAN(IF($BE$2:$BE$545=BE388,$O$2:$O$545)),IF(BG388&gt;=MIN_N,MEDIAN(IF($BD$2:$BD$545=BD388,$O$2:$O$545)),MEDIAN(IF($BC$2:$BC$545=BC388,$O$2:$O$545)))))</f>
        <v/>
      </c>
      <c r="BJ388" s="3">
        <f>IF(N(AU388)&gt;=MIN_N,"mercado "&amp;AV388,IF(BH388&gt;=MIN_N,"modelo+año+km",IF(BG388&gt;=MIN_N,"modelo+año","modelo")))</f>
        <v/>
      </c>
      <c r="BK388" s="4">
        <f>(BI388-O388)/BI388</f>
        <v/>
      </c>
      <c r="BL388" s="3">
        <f>IF(COUNTIFS(FR_FUEL,K388,FR_YEAR,AP388)&gt;0,1,0)</f>
        <v/>
      </c>
      <c r="BM388" s="3">
        <f>IF(COUNTIFS(FR_FUEL,K388,FR_YEAR,AP388-1)&gt;0,1,0)</f>
        <v/>
      </c>
      <c r="BN388" s="4">
        <f>IF(N(AQ388)&gt;0,AP388*100+AQ388,IF(AND(BL388=1,BM388=1),(AP388-1)*100+1,AP388*100+1))</f>
        <v/>
      </c>
      <c r="BO388" s="3">
        <f>IF(OR(K388="hibrido",K388="glp",K388="gnc",K388="phev"),"ECO",IF(K388="electrico","CERO",IF(K388="gasolina",IF(BN388&gt;=GAS_C_YM,"C",IF(BN388&gt;=GAS_B_YM,"B","A")),IF(K388="diesel",IF(BN388&gt;=DIE_C_YM,"C",IF(BN388&gt;=DIE_B_YM,"B","A")),""))))</f>
        <v/>
      </c>
      <c r="BP388" s="4">
        <f>BO388</f>
        <v/>
      </c>
      <c r="BQ388" s="4">
        <f>IF(AS388="regla",IF(AND(N(AQ388)=0,BL388=1),"sí","no"),"no")</f>
        <v/>
      </c>
      <c r="BR388" s="3">
        <f>IFERROR(VLOOKUP(F388,MOD_TBL,11,0),IFERROR(VLOOKUP(E388,OCU_TBL,2,0),NEUTRO))</f>
        <v/>
      </c>
      <c r="BS388" s="3">
        <f>SUMIFS(MOT_AJUSTE,MOT_MOTOR,G388,MOT_MARCA,E388,MOT_DESDE,"&lt;="&amp;M388,MOT_HASTA,"&gt;="&amp;M388)+SUMIFS(MOT_AJUSTE,MOT_MOTOR,G388,MOT_MARCA,"(todas)",MOT_DESDE,"&lt;="&amp;M388,MOT_HASTA,"&gt;="&amp;M388)</f>
        <v/>
      </c>
      <c r="BT388" s="3">
        <f>SUMIFS(COMB_AJUSTE,COMB_COMB,K388)</f>
        <v/>
      </c>
      <c r="BU388" s="3">
        <f>COUNTIFS(MOT_MOTOR,G388,MOT_MARCA,E388,MOT_DESDE,"&lt;="&amp;M388,MOT_HASTA,"&gt;="&amp;M388)+COUNTIFS(MOT_MOTOR,G388,MOT_MARCA,"(todas)",MOT_DESDE,"&lt;="&amp;M388,MOT_HASTA,"&gt;="&amp;M388)</f>
        <v/>
      </c>
      <c r="BV388" s="3">
        <f>IF(AND(K388="diesel",BU388=0),MIN(BR388,NEUTRO),BR388)</f>
        <v/>
      </c>
      <c r="BW388" s="4">
        <f>MAX(0,MIN(100,BV388+BS388+BT388))</f>
        <v/>
      </c>
      <c r="BX388" s="3">
        <f>MAX(0,MIN(100,50+BK388*PRECIO_PEND))</f>
        <v/>
      </c>
      <c r="BY388" s="3">
        <f>MAX(0,100*(1-N388/KM_MAX))</f>
        <v/>
      </c>
      <c r="BZ388" s="3">
        <f>IF(BB388&lt;KMA_SOSP,IF(AA388="sí",100,KMA_PEN),IF(BB388&lt;=KMA_IDEAL_MAX,100,MAX(0,100*(KMA_CERO-BB388)/(KMA_CERO-KMA_IDEAL_MAX))))</f>
        <v/>
      </c>
      <c r="CA388" s="3">
        <f>MAX(0,MIN(100,100*(M388-ANIO_MIN)/(ANIO_ACTUAL-ANIO_MIN)))</f>
        <v/>
      </c>
      <c r="CB388" s="3">
        <f>W_KMT*BY388+W_KMA*BZ388+W_EDAD*CA388</f>
        <v/>
      </c>
      <c r="CC388" s="3">
        <f>P_ITV*(V388="sí")+P_LIBRO*(W388="sí")+P_CORREA*(X388="sí")+P_PROP*(Y388=1)+P_GAR*(Z388="sí")+P_FOTOS*MIN(1,N(U388)/FOTOS_OBJ)</f>
        <v/>
      </c>
      <c r="CD388" s="3">
        <f>MAX(0,MIN(100,IFERROR(VLOOKUP(BP388,ETQ_TBL,2,0),0)-IF(BQ388="sí",ETQ_PEN_DUD,IF(AS388="regla",ETQ_PEN_REGLA,0))))</f>
        <v/>
      </c>
      <c r="CE388" s="3">
        <f>NEUTRO</f>
        <v/>
      </c>
      <c r="CF388" s="3">
        <f>IFERROR(VLOOKUP(L388,SEGURO_TBL,3,0),"")</f>
        <v/>
      </c>
      <c r="CG388" s="3">
        <f>IF(CF388="",NEUTRO,MAX(0,MIN(100,100*(SEG_REF_MAX-CF388)/(SEG_REF_MAX-SEG_REF_MIN))))</f>
        <v/>
      </c>
      <c r="CH388" s="3">
        <f>W_CONS*CE388+W_SEG*CG388</f>
        <v/>
      </c>
      <c r="CI388" s="3">
        <f>IF(N(AB388)&gt;0,AB388,IF(AND(R388="profesional",SG_LEGAL_ON=1),GAR_LEGAL,0))</f>
        <v/>
      </c>
      <c r="CJ388" s="3">
        <f>SG_GAR*MIN(1,CI388/SG_GAR_FULL)+SG_AMPL*(AC388="sí")+SG_KMC*(AF388="sí")+SG_REV*(N(AE388)&gt;0)+SG_DEV*MIN(1,N(AG388)/SG_DEV_FULL)+SG_HIST*(W388="sí")</f>
        <v/>
      </c>
      <c r="CK388" s="3">
        <f>IFERROR(VLOOKUP(L388,CARR_PEN_TBL,2,0),0)</f>
        <v/>
      </c>
      <c r="CL388" s="3">
        <f>W_FIAB*BW388+W_PRECIO*BX388+W_KMEDAD*CB388+W_ANUNCIO*CC388+W_USO*CH388+W_SEGURIDAD*CJ388+W_ETIQUETA*CD388-CK388</f>
        <v/>
      </c>
      <c r="CM388" s="4">
        <f>IF(N(I388)&gt;0,I388,IFERROR(ROUND(_xlfn.NUMBERVALUE(LEFT(G388,FIND(" ",G388&amp;" ")-1),".")*1000,0),99999))</f>
        <v/>
      </c>
      <c r="CN388" s="3">
        <f>IF(R388="profesional",0,IF(O388&lt;CUOTA_VALOR_MAX,IF(BA388&gt;ITP_TRAMO_ALTO,SUMIFS(CF_CUOTA,CF_MAS,ITP_TRAMO_ALTO,CF_CCMIN,"&lt;="&amp;CM388,CF_CCMAX,"&gt;="&amp;CM388),IF(BA388&gt;ITP_TRAMO_BAJO,SUMIFS(CF_CUOTA,CF_MAS,ITP_TRAMO_BAJO,CF_CCMIN,"&lt;="&amp;CM388,CF_CCMAX,"&gt;="&amp;CM388),O388*ITP_TIPO)),O388*ITP_TIPO))</f>
        <v/>
      </c>
      <c r="CO388" s="4">
        <f>IF(R388="profesional",N(AK388),0)</f>
        <v/>
      </c>
      <c r="CP388" s="3">
        <f>IF(AND(R388="profesional",ISNUMBER(AK388),AL388="sí"),0,TASA_DGT)</f>
        <v/>
      </c>
      <c r="CQ388" s="3">
        <f>INFORME_DGT</f>
        <v/>
      </c>
      <c r="CR388" s="4">
        <f>O388+CO388+CN388+CP388+CQ388</f>
        <v/>
      </c>
      <c r="CS388" s="4">
        <f>CR388+N(CF388)</f>
        <v/>
      </c>
      <c r="CT388" s="3">
        <f>IF(CR388&lt;=TOTAL_MAX,"sí",IF(CR388&lt;=TOTAL_MAX+MARGEN_NEG,"negociar","no"))</f>
        <v/>
      </c>
      <c r="CU388" s="4">
        <f>IF(CT388&lt;&gt;"no",COUNTIFS($CT$2:$CT$545,"&lt;&gt;no",$CL$2:$CL$545,"&gt;"&amp;CL388)+COUNTIFS($CT$2:CT388,"&lt;&gt;no",$CL$2:CL388,CL388),"")</f>
        <v/>
      </c>
    </row>
    <row r="389">
      <c r="A389" s="2" t="inlineStr">
        <is>
          <t>cochesnet:71438007</t>
        </is>
      </c>
      <c r="B389" s="2" t="inlineStr">
        <is>
          <t>cochesnet</t>
        </is>
      </c>
      <c r="C389" s="2" t="inlineStr">
        <is>
          <t>https://www.coches.net/citroen-c3-11i-sx-5p-gasolina-2006-en-valencia-71438007-covo.aspx</t>
        </is>
      </c>
      <c r="D389" s="2" t="inlineStr">
        <is>
          <t>CITROEN C3 1.1i SX</t>
        </is>
      </c>
      <c r="E389" s="2" t="inlineStr">
        <is>
          <t>Citroën</t>
        </is>
      </c>
      <c r="F389" s="2" t="inlineStr">
        <is>
          <t>Citroën C3</t>
        </is>
      </c>
      <c r="G389" s="2" t="inlineStr">
        <is>
          <t>1.1</t>
        </is>
      </c>
      <c r="H389" s="2" t="n"/>
      <c r="I389" s="2" t="n"/>
      <c r="J389" s="2" t="n"/>
      <c r="K389" s="2" t="inlineStr">
        <is>
          <t>gasolina</t>
        </is>
      </c>
      <c r="L389" s="2" t="inlineStr">
        <is>
          <t>utilitario</t>
        </is>
      </c>
      <c r="M389" s="2" t="n">
        <v>2006</v>
      </c>
      <c r="N389" s="2" t="n">
        <v>99800</v>
      </c>
      <c r="O389" s="2" t="n">
        <v>3000</v>
      </c>
      <c r="P389" s="2" t="n"/>
      <c r="Q389" s="2" t="n"/>
      <c r="R389" s="2" t="inlineStr">
        <is>
          <t>particular</t>
        </is>
      </c>
      <c r="S389" s="2" t="inlineStr">
        <is>
          <t>Albal</t>
        </is>
      </c>
      <c r="T389" s="2" t="inlineStr">
        <is>
          <t>2026-09-03T22:36:09Z</t>
        </is>
      </c>
      <c r="U389" s="2" t="n">
        <v>12</v>
      </c>
      <c r="V389" s="2" t="n"/>
      <c r="W389" s="2" t="n"/>
      <c r="X389" s="2" t="n"/>
      <c r="Y389" s="2" t="n"/>
      <c r="Z389" s="2" t="inlineStr">
        <is>
          <t>no</t>
        </is>
      </c>
      <c r="AA389" s="2" t="n"/>
      <c r="AB389" s="2" t="n"/>
      <c r="AC389" s="2" t="n"/>
      <c r="AD389" s="2" t="n"/>
      <c r="AE389" s="2" t="n"/>
      <c r="AF389" s="2" t="n"/>
      <c r="AG389" s="2" t="n"/>
      <c r="AH389" s="2" t="n">
        <v>3000</v>
      </c>
      <c r="AI389" s="2" t="n"/>
      <c r="AJ389" s="2" t="n"/>
      <c r="AK389" s="2" t="n"/>
      <c r="AL389" s="2" t="n"/>
      <c r="AM389" s="2" t="n"/>
      <c r="AN389" s="2" t="n"/>
      <c r="AO389" s="2" t="inlineStr">
        <is>
          <t>2006</t>
        </is>
      </c>
      <c r="AP389" s="2" t="n">
        <v>2006</v>
      </c>
      <c r="AQ389" s="2" t="n"/>
      <c r="AR389" s="2" t="inlineStr">
        <is>
          <t>C</t>
        </is>
      </c>
      <c r="AS389" s="2" t="inlineStr">
        <is>
          <t>anuncio</t>
        </is>
      </c>
      <c r="AT389" s="2" t="n">
        <v>4295</v>
      </c>
      <c r="AU389" s="2" t="n">
        <v>7</v>
      </c>
      <c r="AV389" s="2" t="inlineStr">
        <is>
          <t>modelo+año+km</t>
        </is>
      </c>
      <c r="AW389" s="2" t="n"/>
      <c r="AX389" s="2" t="inlineStr">
        <is>
          <t>cuota fija ITP: &gt;12 años, hasta 1.500 cc; distancia no verificable (el anuncio solo indica la provincia): confirmar que está a &lt;= 70 km</t>
        </is>
      </c>
      <c r="AY389" s="2" t="inlineStr"/>
      <c r="AZ389" s="2" t="inlineStr">
        <is>
          <t>https://www.coches.net/citroen/c3/segunda-mano/valencia/?pg=5 /home/user/Alopecia/buscador-coches/raw/cochesnet/9f629b79f08e8c33.json</t>
        </is>
      </c>
      <c r="BA389" s="3">
        <f>MAX(ANIO_ACTUAL-M389,0)</f>
        <v/>
      </c>
      <c r="BB389" s="4">
        <f>N389/MAX(BA389,0.5)</f>
        <v/>
      </c>
      <c r="BC389" s="4">
        <f>F389</f>
        <v/>
      </c>
      <c r="BD389" s="3">
        <f>BC389&amp;"|"&amp;INT(M389/SEG_ANIO)*SEG_ANIO</f>
        <v/>
      </c>
      <c r="BE389" s="3">
        <f>BD389&amp;"|"&amp;INT(N389/SEG_KM)*SEG_KM</f>
        <v/>
      </c>
      <c r="BF389" s="4">
        <f>COUNTIF($BC$2:$BC$545,BC389)</f>
        <v/>
      </c>
      <c r="BG389" s="4">
        <f>COUNTIF($BD$2:$BD$545,BD389)</f>
        <v/>
      </c>
      <c r="BH389" s="4">
        <f>COUNTIF($BE$2:$BE$545,BE389)</f>
        <v/>
      </c>
      <c r="BI389" s="3">
        <f t="array" ref="BI389">IF(N(AU389)&gt;=MIN_N,AT389,IF(BH389&gt;=MIN_N,MEDIAN(IF($BE$2:$BE$545=BE389,$O$2:$O$545)),IF(BG389&gt;=MIN_N,MEDIAN(IF($BD$2:$BD$545=BD389,$O$2:$O$545)),MEDIAN(IF($BC$2:$BC$545=BC389,$O$2:$O$545)))))</f>
        <v/>
      </c>
      <c r="BJ389" s="3">
        <f>IF(N(AU389)&gt;=MIN_N,"mercado "&amp;AV389,IF(BH389&gt;=MIN_N,"modelo+año+km",IF(BG389&gt;=MIN_N,"modelo+año","modelo")))</f>
        <v/>
      </c>
      <c r="BK389" s="4">
        <f>(BI389-O389)/BI389</f>
        <v/>
      </c>
      <c r="BL389" s="3">
        <f>IF(COUNTIFS(FR_FUEL,K389,FR_YEAR,AP389)&gt;0,1,0)</f>
        <v/>
      </c>
      <c r="BM389" s="3">
        <f>IF(COUNTIFS(FR_FUEL,K389,FR_YEAR,AP389-1)&gt;0,1,0)</f>
        <v/>
      </c>
      <c r="BN389" s="4">
        <f>IF(N(AQ389)&gt;0,AP389*100+AQ389,IF(AND(BL389=1,BM389=1),(AP389-1)*100+1,AP389*100+1))</f>
        <v/>
      </c>
      <c r="BO389" s="3">
        <f>IF(OR(K389="hibrido",K389="glp",K389="gnc",K389="phev"),"ECO",IF(K389="electrico","CERO",IF(K389="gasolina",IF(BN389&gt;=GAS_C_YM,"C",IF(BN389&gt;=GAS_B_YM,"B","A")),IF(K389="diesel",IF(BN389&gt;=DIE_C_YM,"C",IF(BN389&gt;=DIE_B_YM,"B","A")),""))))</f>
        <v/>
      </c>
      <c r="BP389" s="2" t="inlineStr">
        <is>
          <t>C</t>
        </is>
      </c>
      <c r="BQ389" s="4">
        <f>IF(AS389="regla",IF(AND(N(AQ389)=0,BL389=1),"sí","no"),"no")</f>
        <v/>
      </c>
      <c r="BR389" s="3">
        <f>IFERROR(VLOOKUP(F389,MOD_TBL,11,0),IFERROR(VLOOKUP(E389,OCU_TBL,2,0),NEUTRO))</f>
        <v/>
      </c>
      <c r="BS389" s="3">
        <f>SUMIFS(MOT_AJUSTE,MOT_MOTOR,G389,MOT_MARCA,E389,MOT_DESDE,"&lt;="&amp;M389,MOT_HASTA,"&gt;="&amp;M389)+SUMIFS(MOT_AJUSTE,MOT_MOTOR,G389,MOT_MARCA,"(todas)",MOT_DESDE,"&lt;="&amp;M389,MOT_HASTA,"&gt;="&amp;M389)</f>
        <v/>
      </c>
      <c r="BT389" s="3">
        <f>SUMIFS(COMB_AJUSTE,COMB_COMB,K389)</f>
        <v/>
      </c>
      <c r="BU389" s="3">
        <f>COUNTIFS(MOT_MOTOR,G389,MOT_MARCA,E389,MOT_DESDE,"&lt;="&amp;M389,MOT_HASTA,"&gt;="&amp;M389)+COUNTIFS(MOT_MOTOR,G389,MOT_MARCA,"(todas)",MOT_DESDE,"&lt;="&amp;M389,MOT_HASTA,"&gt;="&amp;M389)</f>
        <v/>
      </c>
      <c r="BV389" s="3">
        <f>IF(AND(K389="diesel",BU389=0),MIN(BR389,NEUTRO),BR389)</f>
        <v/>
      </c>
      <c r="BW389" s="4">
        <f>MAX(0,MIN(100,BV389+BS389+BT389))</f>
        <v/>
      </c>
      <c r="BX389" s="3">
        <f>MAX(0,MIN(100,50+BK389*PRECIO_PEND))</f>
        <v/>
      </c>
      <c r="BY389" s="3">
        <f>MAX(0,100*(1-N389/KM_MAX))</f>
        <v/>
      </c>
      <c r="BZ389" s="3">
        <f>IF(BB389&lt;KMA_SOSP,IF(AA389="sí",100,KMA_PEN),IF(BB389&lt;=KMA_IDEAL_MAX,100,MAX(0,100*(KMA_CERO-BB389)/(KMA_CERO-KMA_IDEAL_MAX))))</f>
        <v/>
      </c>
      <c r="CA389" s="3">
        <f>MAX(0,MIN(100,100*(M389-ANIO_MIN)/(ANIO_ACTUAL-ANIO_MIN)))</f>
        <v/>
      </c>
      <c r="CB389" s="3">
        <f>W_KMT*BY389+W_KMA*BZ389+W_EDAD*CA389</f>
        <v/>
      </c>
      <c r="CC389" s="3">
        <f>P_ITV*(V389="sí")+P_LIBRO*(W389="sí")+P_CORREA*(X389="sí")+P_PROP*(Y389=1)+P_GAR*(Z389="sí")+P_FOTOS*MIN(1,N(U389)/FOTOS_OBJ)</f>
        <v/>
      </c>
      <c r="CD389" s="3">
        <f>MAX(0,MIN(100,IFERROR(VLOOKUP(BP389,ETQ_TBL,2,0),0)-IF(BQ389="sí",ETQ_PEN_DUD,IF(AS389="regla",ETQ_PEN_REGLA,0))))</f>
        <v/>
      </c>
      <c r="CE389" s="3">
        <f>NEUTRO</f>
        <v/>
      </c>
      <c r="CF389" s="3">
        <f>IFERROR(VLOOKUP(L389,SEGURO_TBL,3,0),"")</f>
        <v/>
      </c>
      <c r="CG389" s="3">
        <f>IF(CF389="",NEUTRO,MAX(0,MIN(100,100*(SEG_REF_MAX-CF389)/(SEG_REF_MAX-SEG_REF_MIN))))</f>
        <v/>
      </c>
      <c r="CH389" s="3">
        <f>W_CONS*CE389+W_SEG*CG389</f>
        <v/>
      </c>
      <c r="CI389" s="3">
        <f>IF(N(AB389)&gt;0,AB389,IF(AND(R389="profesional",SG_LEGAL_ON=1),GAR_LEGAL,0))</f>
        <v/>
      </c>
      <c r="CJ389" s="3">
        <f>SG_GAR*MIN(1,CI389/SG_GAR_FULL)+SG_AMPL*(AC389="sí")+SG_KMC*(AF389="sí")+SG_REV*(N(AE389)&gt;0)+SG_DEV*MIN(1,N(AG389)/SG_DEV_FULL)+SG_HIST*(W389="sí")</f>
        <v/>
      </c>
      <c r="CK389" s="3">
        <f>IFERROR(VLOOKUP(L389,CARR_PEN_TBL,2,0),0)</f>
        <v/>
      </c>
      <c r="CL389" s="3">
        <f>W_FIAB*BW389+W_PRECIO*BX389+W_KMEDAD*CB389+W_ANUNCIO*CC389+W_USO*CH389+W_SEGURIDAD*CJ389+W_ETIQUETA*CD389-CK389</f>
        <v/>
      </c>
      <c r="CM389" s="4">
        <f>IF(N(I389)&gt;0,I389,IFERROR(ROUND(_xlfn.NUMBERVALUE(LEFT(G389,FIND(" ",G389&amp;" ")-1),".")*1000,0),99999))</f>
        <v/>
      </c>
      <c r="CN389" s="3">
        <f>IF(R389="profesional",0,IF(O389&lt;CUOTA_VALOR_MAX,IF(BA389&gt;ITP_TRAMO_ALTO,SUMIFS(CF_CUOTA,CF_MAS,ITP_TRAMO_ALTO,CF_CCMIN,"&lt;="&amp;CM389,CF_CCMAX,"&gt;="&amp;CM389),IF(BA389&gt;ITP_TRAMO_BAJO,SUMIFS(CF_CUOTA,CF_MAS,ITP_TRAMO_BAJO,CF_CCMIN,"&lt;="&amp;CM389,CF_CCMAX,"&gt;="&amp;CM389),O389*ITP_TIPO)),O389*ITP_TIPO))</f>
        <v/>
      </c>
      <c r="CO389" s="4">
        <f>IF(R389="profesional",N(AK389),0)</f>
        <v/>
      </c>
      <c r="CP389" s="3">
        <f>IF(AND(R389="profesional",ISNUMBER(AK389),AL389="sí"),0,TASA_DGT)</f>
        <v/>
      </c>
      <c r="CQ389" s="3">
        <f>INFORME_DGT</f>
        <v/>
      </c>
      <c r="CR389" s="4">
        <f>O389+CO389+CN389+CP389+CQ389</f>
        <v/>
      </c>
      <c r="CS389" s="4">
        <f>CR389+N(CF389)</f>
        <v/>
      </c>
      <c r="CT389" s="3">
        <f>IF(CR389&lt;=TOTAL_MAX,"sí",IF(CR389&lt;=TOTAL_MAX+MARGEN_NEG,"negociar","no"))</f>
        <v/>
      </c>
      <c r="CU389" s="4">
        <f>IF(CT389&lt;&gt;"no",COUNTIFS($CT$2:$CT$545,"&lt;&gt;no",$CL$2:$CL$545,"&gt;"&amp;CL389)+COUNTIFS($CT$2:CT389,"&lt;&gt;no",$CL$2:CL389,CL389),"")</f>
        <v/>
      </c>
    </row>
    <row r="390">
      <c r="A390" s="2" t="inlineStr">
        <is>
          <t>cochesnet:71437728</t>
        </is>
      </c>
      <c r="B390" s="2" t="inlineStr">
        <is>
          <t>cochesnet</t>
        </is>
      </c>
      <c r="C390" s="2" t="inlineStr">
        <is>
          <t>https://www.coches.net/citroen-c3-diesel-2006-en-valencia-71437728-covo.aspx</t>
        </is>
      </c>
      <c r="D390" s="2" t="inlineStr">
        <is>
          <t>CITROEN C3</t>
        </is>
      </c>
      <c r="E390" s="2" t="inlineStr">
        <is>
          <t>Citroën</t>
        </is>
      </c>
      <c r="F390" s="2" t="inlineStr">
        <is>
          <t>Citroën C3</t>
        </is>
      </c>
      <c r="G390" s="2" t="n"/>
      <c r="H390" s="2" t="n"/>
      <c r="I390" s="2" t="n"/>
      <c r="J390" s="2" t="n"/>
      <c r="K390" s="2" t="inlineStr">
        <is>
          <t>diesel</t>
        </is>
      </c>
      <c r="L390" s="2" t="inlineStr">
        <is>
          <t>utilitario</t>
        </is>
      </c>
      <c r="M390" s="2" t="n">
        <v>2006</v>
      </c>
      <c r="N390" s="2" t="n">
        <v>200000</v>
      </c>
      <c r="O390" s="2" t="n">
        <v>1999</v>
      </c>
      <c r="P390" s="2" t="inlineStr">
        <is>
          <t>manual</t>
        </is>
      </c>
      <c r="Q390" s="2" t="inlineStr">
        <is>
          <t>no</t>
        </is>
      </c>
      <c r="R390" s="2" t="inlineStr">
        <is>
          <t>particular</t>
        </is>
      </c>
      <c r="S390" s="2" t="n"/>
      <c r="T390" s="2" t="inlineStr">
        <is>
          <t>2026-09-03T18:21:10Z</t>
        </is>
      </c>
      <c r="U390" s="2" t="n">
        <v>6</v>
      </c>
      <c r="V390" s="2" t="inlineStr">
        <is>
          <t>sí</t>
        </is>
      </c>
      <c r="W390" s="2" t="n"/>
      <c r="X390" s="2" t="n"/>
      <c r="Y390" s="2" t="n"/>
      <c r="Z390" s="2" t="inlineStr">
        <is>
          <t>no</t>
        </is>
      </c>
      <c r="AA390" s="2" t="n"/>
      <c r="AB390" s="2" t="n"/>
      <c r="AC390" s="2" t="n"/>
      <c r="AD390" s="2" t="n"/>
      <c r="AE390" s="2" t="n"/>
      <c r="AF390" s="2" t="n"/>
      <c r="AG390" s="2" t="n"/>
      <c r="AH390" s="2" t="n">
        <v>1999</v>
      </c>
      <c r="AI390" s="2" t="n"/>
      <c r="AJ390" s="2" t="n"/>
      <c r="AK390" s="2" t="n"/>
      <c r="AL390" s="2" t="n"/>
      <c r="AM390" s="2" t="n"/>
      <c r="AN390" s="2" t="n"/>
      <c r="AO390" s="2" t="inlineStr">
        <is>
          <t>2006</t>
        </is>
      </c>
      <c r="AP390" s="2" t="n">
        <v>2006</v>
      </c>
      <c r="AQ390" s="2" t="n"/>
      <c r="AR390" s="2" t="n"/>
      <c r="AS390" s="2" t="inlineStr">
        <is>
          <t>regla</t>
        </is>
      </c>
      <c r="AT390" s="2" t="n">
        <v>1999</v>
      </c>
      <c r="AU390" s="2" t="n">
        <v>7</v>
      </c>
      <c r="AV390" s="2" t="inlineStr">
        <is>
          <t>modelo+año+km</t>
        </is>
      </c>
      <c r="AW390" s="2" t="n"/>
      <c r="AX390"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90" s="2" t="inlineStr">
        <is>
          <t>? ITV recién pasada
? Todo el equipamiento funciona correctamente
? Aire acondicionado funcionando
? Vehículo cómodo y práctico
? Buen comportamiento y funcionamiento general
? Ideal para uso diario
? Listo para circular</t>
        </is>
      </c>
      <c r="AZ390" s="2" t="inlineStr">
        <is>
          <t>https://www.coches.net/citroen-c3-diesel-2006-en-valencia-71437728-covo.aspx (window.__INITIAL_PROPS__.ad) /home/user/Alopecia/buscador-coches/raw/cochesnet/e7a16b31b9fb8fde.json</t>
        </is>
      </c>
      <c r="BA390" s="3">
        <f>MAX(ANIO_ACTUAL-M390,0)</f>
        <v/>
      </c>
      <c r="BB390" s="4">
        <f>N390/MAX(BA390,0.5)</f>
        <v/>
      </c>
      <c r="BC390" s="4">
        <f>F390</f>
        <v/>
      </c>
      <c r="BD390" s="3">
        <f>BC390&amp;"|"&amp;INT(M390/SEG_ANIO)*SEG_ANIO</f>
        <v/>
      </c>
      <c r="BE390" s="3">
        <f>BD390&amp;"|"&amp;INT(N390/SEG_KM)*SEG_KM</f>
        <v/>
      </c>
      <c r="BF390" s="4">
        <f>COUNTIF($BC$2:$BC$545,BC390)</f>
        <v/>
      </c>
      <c r="BG390" s="4">
        <f>COUNTIF($BD$2:$BD$545,BD390)</f>
        <v/>
      </c>
      <c r="BH390" s="4">
        <f>COUNTIF($BE$2:$BE$545,BE390)</f>
        <v/>
      </c>
      <c r="BI390" s="3">
        <f t="array" ref="BI390">IF(N(AU390)&gt;=MIN_N,AT390,IF(BH390&gt;=MIN_N,MEDIAN(IF($BE$2:$BE$545=BE390,$O$2:$O$545)),IF(BG390&gt;=MIN_N,MEDIAN(IF($BD$2:$BD$545=BD390,$O$2:$O$545)),MEDIAN(IF($BC$2:$BC$545=BC390,$O$2:$O$545)))))</f>
        <v/>
      </c>
      <c r="BJ390" s="3">
        <f>IF(N(AU390)&gt;=MIN_N,"mercado "&amp;AV390,IF(BH390&gt;=MIN_N,"modelo+año+km",IF(BG390&gt;=MIN_N,"modelo+año","modelo")))</f>
        <v/>
      </c>
      <c r="BK390" s="4">
        <f>(BI390-O390)/BI390</f>
        <v/>
      </c>
      <c r="BL390" s="3">
        <f>IF(COUNTIFS(FR_FUEL,K390,FR_YEAR,AP390)&gt;0,1,0)</f>
        <v/>
      </c>
      <c r="BM390" s="3">
        <f>IF(COUNTIFS(FR_FUEL,K390,FR_YEAR,AP390-1)&gt;0,1,0)</f>
        <v/>
      </c>
      <c r="BN390" s="4">
        <f>IF(N(AQ390)&gt;0,AP390*100+AQ390,IF(AND(BL390=1,BM390=1),(AP390-1)*100+1,AP390*100+1))</f>
        <v/>
      </c>
      <c r="BO390" s="3">
        <f>IF(OR(K390="hibrido",K390="glp",K390="gnc",K390="phev"),"ECO",IF(K390="electrico","CERO",IF(K390="gasolina",IF(BN390&gt;=GAS_C_YM,"C",IF(BN390&gt;=GAS_B_YM,"B","A")),IF(K390="diesel",IF(BN390&gt;=DIE_C_YM,"C",IF(BN390&gt;=DIE_B_YM,"B","A")),""))))</f>
        <v/>
      </c>
      <c r="BP390" s="4">
        <f>BO390</f>
        <v/>
      </c>
      <c r="BQ390" s="4">
        <f>IF(AS390="regla",IF(AND(N(AQ390)=0,BL390=1),"sí","no"),"no")</f>
        <v/>
      </c>
      <c r="BR390" s="3">
        <f>IFERROR(VLOOKUP(F390,MOD_TBL,11,0),IFERROR(VLOOKUP(E390,OCU_TBL,2,0),NEUTRO))</f>
        <v/>
      </c>
      <c r="BS390" s="3">
        <f>SUMIFS(MOT_AJUSTE,MOT_MOTOR,G390,MOT_MARCA,E390,MOT_DESDE,"&lt;="&amp;M390,MOT_HASTA,"&gt;="&amp;M390)+SUMIFS(MOT_AJUSTE,MOT_MOTOR,G390,MOT_MARCA,"(todas)",MOT_DESDE,"&lt;="&amp;M390,MOT_HASTA,"&gt;="&amp;M390)</f>
        <v/>
      </c>
      <c r="BT390" s="3">
        <f>SUMIFS(COMB_AJUSTE,COMB_COMB,K390)</f>
        <v/>
      </c>
      <c r="BU390" s="3">
        <f>COUNTIFS(MOT_MOTOR,G390,MOT_MARCA,E390,MOT_DESDE,"&lt;="&amp;M390,MOT_HASTA,"&gt;="&amp;M390)+COUNTIFS(MOT_MOTOR,G390,MOT_MARCA,"(todas)",MOT_DESDE,"&lt;="&amp;M390,MOT_HASTA,"&gt;="&amp;M390)</f>
        <v/>
      </c>
      <c r="BV390" s="3">
        <f>IF(AND(K390="diesel",BU390=0),MIN(BR390,NEUTRO),BR390)</f>
        <v/>
      </c>
      <c r="BW390" s="4">
        <f>MAX(0,MIN(100,BV390+BS390+BT390))</f>
        <v/>
      </c>
      <c r="BX390" s="3">
        <f>MAX(0,MIN(100,50+BK390*PRECIO_PEND))</f>
        <v/>
      </c>
      <c r="BY390" s="3">
        <f>MAX(0,100*(1-N390/KM_MAX))</f>
        <v/>
      </c>
      <c r="BZ390" s="3">
        <f>IF(BB390&lt;KMA_SOSP,IF(AA390="sí",100,KMA_PEN),IF(BB390&lt;=KMA_IDEAL_MAX,100,MAX(0,100*(KMA_CERO-BB390)/(KMA_CERO-KMA_IDEAL_MAX))))</f>
        <v/>
      </c>
      <c r="CA390" s="3">
        <f>MAX(0,MIN(100,100*(M390-ANIO_MIN)/(ANIO_ACTUAL-ANIO_MIN)))</f>
        <v/>
      </c>
      <c r="CB390" s="3">
        <f>W_KMT*BY390+W_KMA*BZ390+W_EDAD*CA390</f>
        <v/>
      </c>
      <c r="CC390" s="3">
        <f>P_ITV*(V390="sí")+P_LIBRO*(W390="sí")+P_CORREA*(X390="sí")+P_PROP*(Y390=1)+P_GAR*(Z390="sí")+P_FOTOS*MIN(1,N(U390)/FOTOS_OBJ)</f>
        <v/>
      </c>
      <c r="CD390" s="3">
        <f>MAX(0,MIN(100,IFERROR(VLOOKUP(BP390,ETQ_TBL,2,0),0)-IF(BQ390="sí",ETQ_PEN_DUD,IF(AS390="regla",ETQ_PEN_REGLA,0))))</f>
        <v/>
      </c>
      <c r="CE390" s="3">
        <f>NEUTRO</f>
        <v/>
      </c>
      <c r="CF390" s="3">
        <f>IFERROR(VLOOKUP(L390,SEGURO_TBL,3,0),"")</f>
        <v/>
      </c>
      <c r="CG390" s="3">
        <f>IF(CF390="",NEUTRO,MAX(0,MIN(100,100*(SEG_REF_MAX-CF390)/(SEG_REF_MAX-SEG_REF_MIN))))</f>
        <v/>
      </c>
      <c r="CH390" s="3">
        <f>W_CONS*CE390+W_SEG*CG390</f>
        <v/>
      </c>
      <c r="CI390" s="3">
        <f>IF(N(AB390)&gt;0,AB390,IF(AND(R390="profesional",SG_LEGAL_ON=1),GAR_LEGAL,0))</f>
        <v/>
      </c>
      <c r="CJ390" s="3">
        <f>SG_GAR*MIN(1,CI390/SG_GAR_FULL)+SG_AMPL*(AC390="sí")+SG_KMC*(AF390="sí")+SG_REV*(N(AE390)&gt;0)+SG_DEV*MIN(1,N(AG390)/SG_DEV_FULL)+SG_HIST*(W390="sí")</f>
        <v/>
      </c>
      <c r="CK390" s="3">
        <f>IFERROR(VLOOKUP(L390,CARR_PEN_TBL,2,0),0)</f>
        <v/>
      </c>
      <c r="CL390" s="3">
        <f>W_FIAB*BW390+W_PRECIO*BX390+W_KMEDAD*CB390+W_ANUNCIO*CC390+W_USO*CH390+W_SEGURIDAD*CJ390+W_ETIQUETA*CD390-CK390</f>
        <v/>
      </c>
      <c r="CM390" s="4">
        <f>IF(N(I390)&gt;0,I390,IFERROR(ROUND(_xlfn.NUMBERVALUE(LEFT(G390,FIND(" ",G390&amp;" ")-1),".")*1000,0),99999))</f>
        <v/>
      </c>
      <c r="CN390" s="3">
        <f>IF(R390="profesional",0,IF(O390&lt;CUOTA_VALOR_MAX,IF(BA390&gt;ITP_TRAMO_ALTO,SUMIFS(CF_CUOTA,CF_MAS,ITP_TRAMO_ALTO,CF_CCMIN,"&lt;="&amp;CM390,CF_CCMAX,"&gt;="&amp;CM390),IF(BA390&gt;ITP_TRAMO_BAJO,SUMIFS(CF_CUOTA,CF_MAS,ITP_TRAMO_BAJO,CF_CCMIN,"&lt;="&amp;CM390,CF_CCMAX,"&gt;="&amp;CM390),O390*ITP_TIPO)),O390*ITP_TIPO))</f>
        <v/>
      </c>
      <c r="CO390" s="4">
        <f>IF(R390="profesional",N(AK390),0)</f>
        <v/>
      </c>
      <c r="CP390" s="3">
        <f>IF(AND(R390="profesional",ISNUMBER(AK390),AL390="sí"),0,TASA_DGT)</f>
        <v/>
      </c>
      <c r="CQ390" s="3">
        <f>INFORME_DGT</f>
        <v/>
      </c>
      <c r="CR390" s="4">
        <f>O390+CO390+CN390+CP390+CQ390</f>
        <v/>
      </c>
      <c r="CS390" s="4">
        <f>CR390+N(CF390)</f>
        <v/>
      </c>
      <c r="CT390" s="3">
        <f>IF(CR390&lt;=TOTAL_MAX,"sí",IF(CR390&lt;=TOTAL_MAX+MARGEN_NEG,"negociar","no"))</f>
        <v/>
      </c>
      <c r="CU390" s="4">
        <f>IF(CT390&lt;&gt;"no",COUNTIFS($CT$2:$CT$545,"&lt;&gt;no",$CL$2:$CL$545,"&gt;"&amp;CL390)+COUNTIFS($CT$2:CT390,"&lt;&gt;no",$CL$2:CL390,CL390),"")</f>
        <v/>
      </c>
    </row>
    <row r="391">
      <c r="A391" s="2" t="inlineStr">
        <is>
          <t>cochesnet:71427611</t>
        </is>
      </c>
      <c r="B391" s="2" t="inlineStr">
        <is>
          <t>cochesnet</t>
        </is>
      </c>
      <c r="C391" s="2" t="inlineStr">
        <is>
          <t>https://www.coches.net/citroen-c3-gasolina-2006-en-valencia-71427611-covo.aspx</t>
        </is>
      </c>
      <c r="D391" s="2" t="inlineStr">
        <is>
          <t>CITROEN C3</t>
        </is>
      </c>
      <c r="E391" s="2" t="inlineStr">
        <is>
          <t>Citroën</t>
        </is>
      </c>
      <c r="F391" s="2" t="inlineStr">
        <is>
          <t>Citroën C3</t>
        </is>
      </c>
      <c r="G391" s="2" t="n"/>
      <c r="H391" s="2" t="n"/>
      <c r="I391" s="2" t="n"/>
      <c r="J391" s="2" t="n"/>
      <c r="K391" s="2" t="inlineStr">
        <is>
          <t>gasolina</t>
        </is>
      </c>
      <c r="L391" s="2" t="inlineStr">
        <is>
          <t>utilitario</t>
        </is>
      </c>
      <c r="M391" s="2" t="n">
        <v>2006</v>
      </c>
      <c r="N391" s="2" t="n">
        <v>160000</v>
      </c>
      <c r="O391" s="2" t="n">
        <v>2250</v>
      </c>
      <c r="P391" s="2" t="inlineStr">
        <is>
          <t>manual</t>
        </is>
      </c>
      <c r="Q391" s="2" t="inlineStr">
        <is>
          <t>no</t>
        </is>
      </c>
      <c r="R391" s="2" t="inlineStr">
        <is>
          <t>particular</t>
        </is>
      </c>
      <c r="S391" s="2" t="n"/>
      <c r="T391" s="2" t="inlineStr">
        <is>
          <t>2026-09-02T16:05:34Z</t>
        </is>
      </c>
      <c r="U391" s="2" t="n">
        <v>9</v>
      </c>
      <c r="V391" s="2" t="inlineStr">
        <is>
          <t>sí</t>
        </is>
      </c>
      <c r="W391" s="2" t="n"/>
      <c r="X391" s="2" t="n"/>
      <c r="Y391" s="2" t="n"/>
      <c r="Z391" s="2" t="inlineStr">
        <is>
          <t>no</t>
        </is>
      </c>
      <c r="AA391" s="2" t="n"/>
      <c r="AB391" s="2" t="n"/>
      <c r="AC391" s="2" t="n"/>
      <c r="AD391" s="2" t="n"/>
      <c r="AE391" s="2" t="n"/>
      <c r="AF391" s="2" t="n"/>
      <c r="AG391" s="2" t="n"/>
      <c r="AH391" s="2" t="n">
        <v>2250</v>
      </c>
      <c r="AI391" s="2" t="n"/>
      <c r="AJ391" s="2" t="n"/>
      <c r="AK391" s="2" t="n"/>
      <c r="AL391" s="2" t="n"/>
      <c r="AM391" s="2" t="n"/>
      <c r="AN391" s="2" t="n"/>
      <c r="AO391" s="2" t="inlineStr">
        <is>
          <t>2006</t>
        </is>
      </c>
      <c r="AP391" s="2" t="n">
        <v>2006</v>
      </c>
      <c r="AQ391" s="2" t="n"/>
      <c r="AR391" s="2" t="n"/>
      <c r="AS391" s="2" t="inlineStr">
        <is>
          <t>regla</t>
        </is>
      </c>
      <c r="AT391" s="2" t="n">
        <v>2525</v>
      </c>
      <c r="AU391" s="2" t="n">
        <v>14</v>
      </c>
      <c r="AV391" s="2" t="inlineStr">
        <is>
          <t>modelo+año+km</t>
        </is>
      </c>
      <c r="AW391" s="2" t="n"/>
      <c r="AX391" s="2" t="inlineStr">
        <is>
          <t>cilindrada desconocida: se aplica el tramo de cuota fija más alto; cuota fija ITP: &gt;12 años, más de 2.000 cc; distancia no verificable (el anuncio solo indica la provincia): confirmar que está a &lt;= 70 km</t>
        </is>
      </c>
      <c r="AY391" s="2" t="inlineStr">
        <is>
          <t>se vende Citroen C3 1.1 gasolina del año 2006,un coche práctico, cómodo y económico ideal tanto para ciudad como el día a día con etiqueta medioambiental C y itv en vigor hasta octubre 2026
extras:
elevalunas eléctricos adelanteros
aire acondicionado 
radio 
espejos eléctricos 
para más información llámame en WhatsApp</t>
        </is>
      </c>
      <c r="AZ391" s="2" t="inlineStr">
        <is>
          <t>https://www.coches.net/citroen-c3-gasolina-2006-en-valencia-71427611-covo.aspx (window.__INITIAL_PROPS__.ad) /home/user/Alopecia/buscador-coches/raw/cochesnet/26d2e48197da7441.json</t>
        </is>
      </c>
      <c r="BA391" s="3">
        <f>MAX(ANIO_ACTUAL-M391,0)</f>
        <v/>
      </c>
      <c r="BB391" s="4">
        <f>N391/MAX(BA391,0.5)</f>
        <v/>
      </c>
      <c r="BC391" s="4">
        <f>F391</f>
        <v/>
      </c>
      <c r="BD391" s="3">
        <f>BC391&amp;"|"&amp;INT(M391/SEG_ANIO)*SEG_ANIO</f>
        <v/>
      </c>
      <c r="BE391" s="3">
        <f>BD391&amp;"|"&amp;INT(N391/SEG_KM)*SEG_KM</f>
        <v/>
      </c>
      <c r="BF391" s="4">
        <f>COUNTIF($BC$2:$BC$545,BC391)</f>
        <v/>
      </c>
      <c r="BG391" s="4">
        <f>COUNTIF($BD$2:$BD$545,BD391)</f>
        <v/>
      </c>
      <c r="BH391" s="4">
        <f>COUNTIF($BE$2:$BE$545,BE391)</f>
        <v/>
      </c>
      <c r="BI391" s="3">
        <f t="array" ref="BI391">IF(N(AU391)&gt;=MIN_N,AT391,IF(BH391&gt;=MIN_N,MEDIAN(IF($BE$2:$BE$545=BE391,$O$2:$O$545)),IF(BG391&gt;=MIN_N,MEDIAN(IF($BD$2:$BD$545=BD391,$O$2:$O$545)),MEDIAN(IF($BC$2:$BC$545=BC391,$O$2:$O$545)))))</f>
        <v/>
      </c>
      <c r="BJ391" s="3">
        <f>IF(N(AU391)&gt;=MIN_N,"mercado "&amp;AV391,IF(BH391&gt;=MIN_N,"modelo+año+km",IF(BG391&gt;=MIN_N,"modelo+año","modelo")))</f>
        <v/>
      </c>
      <c r="BK391" s="4">
        <f>(BI391-O391)/BI391</f>
        <v/>
      </c>
      <c r="BL391" s="3">
        <f>IF(COUNTIFS(FR_FUEL,K391,FR_YEAR,AP391)&gt;0,1,0)</f>
        <v/>
      </c>
      <c r="BM391" s="3">
        <f>IF(COUNTIFS(FR_FUEL,K391,FR_YEAR,AP391-1)&gt;0,1,0)</f>
        <v/>
      </c>
      <c r="BN391" s="4">
        <f>IF(N(AQ391)&gt;0,AP391*100+AQ391,IF(AND(BL391=1,BM391=1),(AP391-1)*100+1,AP391*100+1))</f>
        <v/>
      </c>
      <c r="BO391" s="3">
        <f>IF(OR(K391="hibrido",K391="glp",K391="gnc",K391="phev"),"ECO",IF(K391="electrico","CERO",IF(K391="gasolina",IF(BN391&gt;=GAS_C_YM,"C",IF(BN391&gt;=GAS_B_YM,"B","A")),IF(K391="diesel",IF(BN391&gt;=DIE_C_YM,"C",IF(BN391&gt;=DIE_B_YM,"B","A")),""))))</f>
        <v/>
      </c>
      <c r="BP391" s="4">
        <f>BO391</f>
        <v/>
      </c>
      <c r="BQ391" s="4">
        <f>IF(AS391="regla",IF(AND(N(AQ391)=0,BL391=1),"sí","no"),"no")</f>
        <v/>
      </c>
      <c r="BR391" s="3">
        <f>IFERROR(VLOOKUP(F391,MOD_TBL,11,0),IFERROR(VLOOKUP(E391,OCU_TBL,2,0),NEUTRO))</f>
        <v/>
      </c>
      <c r="BS391" s="3">
        <f>SUMIFS(MOT_AJUSTE,MOT_MOTOR,G391,MOT_MARCA,E391,MOT_DESDE,"&lt;="&amp;M391,MOT_HASTA,"&gt;="&amp;M391)+SUMIFS(MOT_AJUSTE,MOT_MOTOR,G391,MOT_MARCA,"(todas)",MOT_DESDE,"&lt;="&amp;M391,MOT_HASTA,"&gt;="&amp;M391)</f>
        <v/>
      </c>
      <c r="BT391" s="3">
        <f>SUMIFS(COMB_AJUSTE,COMB_COMB,K391)</f>
        <v/>
      </c>
      <c r="BU391" s="3">
        <f>COUNTIFS(MOT_MOTOR,G391,MOT_MARCA,E391,MOT_DESDE,"&lt;="&amp;M391,MOT_HASTA,"&gt;="&amp;M391)+COUNTIFS(MOT_MOTOR,G391,MOT_MARCA,"(todas)",MOT_DESDE,"&lt;="&amp;M391,MOT_HASTA,"&gt;="&amp;M391)</f>
        <v/>
      </c>
      <c r="BV391" s="3">
        <f>IF(AND(K391="diesel",BU391=0),MIN(BR391,NEUTRO),BR391)</f>
        <v/>
      </c>
      <c r="BW391" s="4">
        <f>MAX(0,MIN(100,BV391+BS391+BT391))</f>
        <v/>
      </c>
      <c r="BX391" s="3">
        <f>MAX(0,MIN(100,50+BK391*PRECIO_PEND))</f>
        <v/>
      </c>
      <c r="BY391" s="3">
        <f>MAX(0,100*(1-N391/KM_MAX))</f>
        <v/>
      </c>
      <c r="BZ391" s="3">
        <f>IF(BB391&lt;KMA_SOSP,IF(AA391="sí",100,KMA_PEN),IF(BB391&lt;=KMA_IDEAL_MAX,100,MAX(0,100*(KMA_CERO-BB391)/(KMA_CERO-KMA_IDEAL_MAX))))</f>
        <v/>
      </c>
      <c r="CA391" s="3">
        <f>MAX(0,MIN(100,100*(M391-ANIO_MIN)/(ANIO_ACTUAL-ANIO_MIN)))</f>
        <v/>
      </c>
      <c r="CB391" s="3">
        <f>W_KMT*BY391+W_KMA*BZ391+W_EDAD*CA391</f>
        <v/>
      </c>
      <c r="CC391" s="3">
        <f>P_ITV*(V391="sí")+P_LIBRO*(W391="sí")+P_CORREA*(X391="sí")+P_PROP*(Y391=1)+P_GAR*(Z391="sí")+P_FOTOS*MIN(1,N(U391)/FOTOS_OBJ)</f>
        <v/>
      </c>
      <c r="CD391" s="3">
        <f>MAX(0,MIN(100,IFERROR(VLOOKUP(BP391,ETQ_TBL,2,0),0)-IF(BQ391="sí",ETQ_PEN_DUD,IF(AS391="regla",ETQ_PEN_REGLA,0))))</f>
        <v/>
      </c>
      <c r="CE391" s="3">
        <f>NEUTRO</f>
        <v/>
      </c>
      <c r="CF391" s="3">
        <f>IFERROR(VLOOKUP(L391,SEGURO_TBL,3,0),"")</f>
        <v/>
      </c>
      <c r="CG391" s="3">
        <f>IF(CF391="",NEUTRO,MAX(0,MIN(100,100*(SEG_REF_MAX-CF391)/(SEG_REF_MAX-SEG_REF_MIN))))</f>
        <v/>
      </c>
      <c r="CH391" s="3">
        <f>W_CONS*CE391+W_SEG*CG391</f>
        <v/>
      </c>
      <c r="CI391" s="3">
        <f>IF(N(AB391)&gt;0,AB391,IF(AND(R391="profesional",SG_LEGAL_ON=1),GAR_LEGAL,0))</f>
        <v/>
      </c>
      <c r="CJ391" s="3">
        <f>SG_GAR*MIN(1,CI391/SG_GAR_FULL)+SG_AMPL*(AC391="sí")+SG_KMC*(AF391="sí")+SG_REV*(N(AE391)&gt;0)+SG_DEV*MIN(1,N(AG391)/SG_DEV_FULL)+SG_HIST*(W391="sí")</f>
        <v/>
      </c>
      <c r="CK391" s="3">
        <f>IFERROR(VLOOKUP(L391,CARR_PEN_TBL,2,0),0)</f>
        <v/>
      </c>
      <c r="CL391" s="3">
        <f>W_FIAB*BW391+W_PRECIO*BX391+W_KMEDAD*CB391+W_ANUNCIO*CC391+W_USO*CH391+W_SEGURIDAD*CJ391+W_ETIQUETA*CD391-CK391</f>
        <v/>
      </c>
      <c r="CM391" s="4">
        <f>IF(N(I391)&gt;0,I391,IFERROR(ROUND(_xlfn.NUMBERVALUE(LEFT(G391,FIND(" ",G391&amp;" ")-1),".")*1000,0),99999))</f>
        <v/>
      </c>
      <c r="CN391" s="3">
        <f>IF(R391="profesional",0,IF(O391&lt;CUOTA_VALOR_MAX,IF(BA391&gt;ITP_TRAMO_ALTO,SUMIFS(CF_CUOTA,CF_MAS,ITP_TRAMO_ALTO,CF_CCMIN,"&lt;="&amp;CM391,CF_CCMAX,"&gt;="&amp;CM391),IF(BA391&gt;ITP_TRAMO_BAJO,SUMIFS(CF_CUOTA,CF_MAS,ITP_TRAMO_BAJO,CF_CCMIN,"&lt;="&amp;CM391,CF_CCMAX,"&gt;="&amp;CM391),O391*ITP_TIPO)),O391*ITP_TIPO))</f>
        <v/>
      </c>
      <c r="CO391" s="4">
        <f>IF(R391="profesional",N(AK391),0)</f>
        <v/>
      </c>
      <c r="CP391" s="3">
        <f>IF(AND(R391="profesional",ISNUMBER(AK391),AL391="sí"),0,TASA_DGT)</f>
        <v/>
      </c>
      <c r="CQ391" s="3">
        <f>INFORME_DGT</f>
        <v/>
      </c>
      <c r="CR391" s="4">
        <f>O391+CO391+CN391+CP391+CQ391</f>
        <v/>
      </c>
      <c r="CS391" s="4">
        <f>CR391+N(CF391)</f>
        <v/>
      </c>
      <c r="CT391" s="3">
        <f>IF(CR391&lt;=TOTAL_MAX,"sí",IF(CR391&lt;=TOTAL_MAX+MARGEN_NEG,"negociar","no"))</f>
        <v/>
      </c>
      <c r="CU391" s="4">
        <f>IF(CT391&lt;&gt;"no",COUNTIFS($CT$2:$CT$545,"&lt;&gt;no",$CL$2:$CL$545,"&gt;"&amp;CL391)+COUNTIFS($CT$2:CT391,"&lt;&gt;no",$CL$2:CL391,CL391),"")</f>
        <v/>
      </c>
    </row>
    <row r="392">
      <c r="A392" s="2" t="inlineStr">
        <is>
          <t>cochesnet:71399382</t>
        </is>
      </c>
      <c r="B392" s="2" t="inlineStr">
        <is>
          <t>cochesnet</t>
        </is>
      </c>
      <c r="C392" s="2" t="inlineStr">
        <is>
          <t>https://www.coches.net/citroen-c3-14i-sx-5p-gasolina-2012-en-valencia-71399382-covo.aspx</t>
        </is>
      </c>
      <c r="D392" s="2" t="inlineStr">
        <is>
          <t>CITROEN C3 1.4i SX</t>
        </is>
      </c>
      <c r="E392" s="2" t="inlineStr">
        <is>
          <t>Citroën</t>
        </is>
      </c>
      <c r="F392" s="2" t="inlineStr">
        <is>
          <t>Citroën C3</t>
        </is>
      </c>
      <c r="G392" s="2" t="inlineStr">
        <is>
          <t>1.4</t>
        </is>
      </c>
      <c r="H392" s="2" t="inlineStr">
        <is>
          <t>1.4i SX</t>
        </is>
      </c>
      <c r="I392" s="2" t="n"/>
      <c r="J392" s="2" t="n"/>
      <c r="K392" s="2" t="inlineStr">
        <is>
          <t>gasolina</t>
        </is>
      </c>
      <c r="L392" s="2" t="inlineStr">
        <is>
          <t>utilitario</t>
        </is>
      </c>
      <c r="M392" s="2" t="n">
        <v>2012</v>
      </c>
      <c r="N392" s="2" t="n">
        <v>99087</v>
      </c>
      <c r="O392" s="2" t="n">
        <v>5000</v>
      </c>
      <c r="P392" s="2" t="inlineStr">
        <is>
          <t>manual</t>
        </is>
      </c>
      <c r="Q392" s="2" t="inlineStr">
        <is>
          <t>no</t>
        </is>
      </c>
      <c r="R392" s="2" t="inlineStr">
        <is>
          <t>particular</t>
        </is>
      </c>
      <c r="S392" s="2" t="inlineStr">
        <is>
          <t>Paterna</t>
        </is>
      </c>
      <c r="T392" s="2" t="inlineStr">
        <is>
          <t>2026-08-31T17:22:11Z</t>
        </is>
      </c>
      <c r="U392" s="2" t="n">
        <v>7</v>
      </c>
      <c r="V392" s="2" t="n"/>
      <c r="W392" s="2" t="n"/>
      <c r="X392" s="2" t="n"/>
      <c r="Y392" s="2" t="n"/>
      <c r="Z392" s="2" t="inlineStr">
        <is>
          <t>no</t>
        </is>
      </c>
      <c r="AA392" s="2" t="n"/>
      <c r="AB392" s="2" t="n"/>
      <c r="AC392" s="2" t="n"/>
      <c r="AD392" s="2" t="n"/>
      <c r="AE392" s="2" t="n"/>
      <c r="AF392" s="2" t="n"/>
      <c r="AG392" s="2" t="n"/>
      <c r="AH392" s="2" t="n">
        <v>5000</v>
      </c>
      <c r="AI392" s="2" t="n"/>
      <c r="AJ392" s="2" t="n"/>
      <c r="AK392" s="2" t="n"/>
      <c r="AL392" s="2" t="n"/>
      <c r="AM392" s="2" t="n">
        <v>6.8</v>
      </c>
      <c r="AN392" s="2" t="inlineStr">
        <is>
          <t>DE1360CC</t>
        </is>
      </c>
      <c r="AO392" s="2" t="inlineStr">
        <is>
          <t>06/2012</t>
        </is>
      </c>
      <c r="AP392" s="2" t="n">
        <v>2012</v>
      </c>
      <c r="AQ392" s="2" t="n">
        <v>6</v>
      </c>
      <c r="AR392" s="2" t="n"/>
      <c r="AS392" s="2" t="inlineStr">
        <is>
          <t>regla</t>
        </is>
      </c>
      <c r="AT392" s="2" t="n">
        <v>5295</v>
      </c>
      <c r="AU392" s="2" t="n">
        <v>6</v>
      </c>
      <c r="AV392" s="2" t="inlineStr">
        <is>
          <t>modelo+año</t>
        </is>
      </c>
      <c r="AW392" s="2" t="n"/>
      <c r="AX392" s="2" t="inlineStr">
        <is>
          <t>por encima del presupuesto (5104 €), negociar; cuota fija ITP: &gt;12 años, hasta 1.500 cc</t>
        </is>
      </c>
      <c r="AY392" s="2" t="inlineStr">
        <is>
          <t>Vendo mi Citroën C3 1.4i SX de 2012, un berlina versátil y fiable que sigue dando excelentes prestaciones. Se trata de un vehículo en buen estado general, tanto en interior como en exterior, perfecto para quien busca un coche práctico y económico sin complicaciones.
Este C3 es ideal para la conducción diaria en ciudad y carretera. Su motor de 1360 cc ofrece una relación potencia-consumo muy equilibrada, permitiéndote ahorrar en combustible sin renunciar a una conducción ágil y cómoda. Con cinco plazas y una carrocería funcional, tienes todo lo que necesitas para desplazamientos del día a día o viajes familiares.
El cambio manual te proporciona un control directo del vehículo, mientras que el sistema de dirección asistida facilita las maniobras. Su color blanco mantiene una excelente presencia y es práctico a la hora de mantenerlo limpio.
Se trata de un coche accesible que no requiere inversiones importantes y que sigue siendo completamente operativo. Su tamaño compacto lo hace especialmente manejable en entornos urbanos, y su consumo moderado es una ventaja clara para tu bolsillo.
Si tienes dudas sobre aspectos específicos del vehículo no incluidos en esta descripción, no dudes en contactarme a través del chat. Estoy disponible para resolver cualquier pregunta y coordinar una prueba o inspección en persona.
Contacta hoy mismo y aprovecha esta oportunidad.</t>
        </is>
      </c>
      <c r="AZ392" s="2" t="inlineStr">
        <is>
          <t>https://www.coches.net/citroen-c3-14i-sx-5p-gasolina-2012-en-valencia-71399382-covo.aspx (window.__INITIAL_PROPS__.ad) /home/user/Alopecia/buscador-coches/raw/cochesnet/c0200638e5b0fa50.json</t>
        </is>
      </c>
      <c r="BA392" s="3">
        <f>MAX(ANIO_ACTUAL-M392,0)</f>
        <v/>
      </c>
      <c r="BB392" s="4">
        <f>N392/MAX(BA392,0.5)</f>
        <v/>
      </c>
      <c r="BC392" s="4">
        <f>F392</f>
        <v/>
      </c>
      <c r="BD392" s="3">
        <f>BC392&amp;"|"&amp;INT(M392/SEG_ANIO)*SEG_ANIO</f>
        <v/>
      </c>
      <c r="BE392" s="3">
        <f>BD392&amp;"|"&amp;INT(N392/SEG_KM)*SEG_KM</f>
        <v/>
      </c>
      <c r="BF392" s="4">
        <f>COUNTIF($BC$2:$BC$545,BC392)</f>
        <v/>
      </c>
      <c r="BG392" s="4">
        <f>COUNTIF($BD$2:$BD$545,BD392)</f>
        <v/>
      </c>
      <c r="BH392" s="4">
        <f>COUNTIF($BE$2:$BE$545,BE392)</f>
        <v/>
      </c>
      <c r="BI392" s="3">
        <f t="array" ref="BI392">IF(N(AU392)&gt;=MIN_N,AT392,IF(BH392&gt;=MIN_N,MEDIAN(IF($BE$2:$BE$545=BE392,$O$2:$O$545)),IF(BG392&gt;=MIN_N,MEDIAN(IF($BD$2:$BD$545=BD392,$O$2:$O$545)),MEDIAN(IF($BC$2:$BC$545=BC392,$O$2:$O$545)))))</f>
        <v/>
      </c>
      <c r="BJ392" s="3">
        <f>IF(N(AU392)&gt;=MIN_N,"mercado "&amp;AV392,IF(BH392&gt;=MIN_N,"modelo+año+km",IF(BG392&gt;=MIN_N,"modelo+año","modelo")))</f>
        <v/>
      </c>
      <c r="BK392" s="4">
        <f>(BI392-O392)/BI392</f>
        <v/>
      </c>
      <c r="BL392" s="3">
        <f>IF(COUNTIFS(FR_FUEL,K392,FR_YEAR,AP392)&gt;0,1,0)</f>
        <v/>
      </c>
      <c r="BM392" s="3">
        <f>IF(COUNTIFS(FR_FUEL,K392,FR_YEAR,AP392-1)&gt;0,1,0)</f>
        <v/>
      </c>
      <c r="BN392" s="4">
        <f>IF(N(AQ392)&gt;0,AP392*100+AQ392,IF(AND(BL392=1,BM392=1),(AP392-1)*100+1,AP392*100+1))</f>
        <v/>
      </c>
      <c r="BO392" s="3">
        <f>IF(OR(K392="hibrido",K392="glp",K392="gnc",K392="phev"),"ECO",IF(K392="electrico","CERO",IF(K392="gasolina",IF(BN392&gt;=GAS_C_YM,"C",IF(BN392&gt;=GAS_B_YM,"B","A")),IF(K392="diesel",IF(BN392&gt;=DIE_C_YM,"C",IF(BN392&gt;=DIE_B_YM,"B","A")),""))))</f>
        <v/>
      </c>
      <c r="BP392" s="4">
        <f>BO392</f>
        <v/>
      </c>
      <c r="BQ392" s="4">
        <f>IF(AS392="regla",IF(AND(N(AQ392)=0,BL392=1),"sí","no"),"no")</f>
        <v/>
      </c>
      <c r="BR392" s="3">
        <f>IFERROR(VLOOKUP(F392,MOD_TBL,11,0),IFERROR(VLOOKUP(E392,OCU_TBL,2,0),NEUTRO))</f>
        <v/>
      </c>
      <c r="BS392" s="3">
        <f>SUMIFS(MOT_AJUSTE,MOT_MOTOR,G392,MOT_MARCA,E392,MOT_DESDE,"&lt;="&amp;M392,MOT_HASTA,"&gt;="&amp;M392)+SUMIFS(MOT_AJUSTE,MOT_MOTOR,G392,MOT_MARCA,"(todas)",MOT_DESDE,"&lt;="&amp;M392,MOT_HASTA,"&gt;="&amp;M392)</f>
        <v/>
      </c>
      <c r="BT392" s="3">
        <f>SUMIFS(COMB_AJUSTE,COMB_COMB,K392)</f>
        <v/>
      </c>
      <c r="BU392" s="3">
        <f>COUNTIFS(MOT_MOTOR,G392,MOT_MARCA,E392,MOT_DESDE,"&lt;="&amp;M392,MOT_HASTA,"&gt;="&amp;M392)+COUNTIFS(MOT_MOTOR,G392,MOT_MARCA,"(todas)",MOT_DESDE,"&lt;="&amp;M392,MOT_HASTA,"&gt;="&amp;M392)</f>
        <v/>
      </c>
      <c r="BV392" s="3">
        <f>IF(AND(K392="diesel",BU392=0),MIN(BR392,NEUTRO),BR392)</f>
        <v/>
      </c>
      <c r="BW392" s="4">
        <f>MAX(0,MIN(100,BV392+BS392+BT392))</f>
        <v/>
      </c>
      <c r="BX392" s="3">
        <f>MAX(0,MIN(100,50+BK392*PRECIO_PEND))</f>
        <v/>
      </c>
      <c r="BY392" s="3">
        <f>MAX(0,100*(1-N392/KM_MAX))</f>
        <v/>
      </c>
      <c r="BZ392" s="3">
        <f>IF(BB392&lt;KMA_SOSP,IF(AA392="sí",100,KMA_PEN),IF(BB392&lt;=KMA_IDEAL_MAX,100,MAX(0,100*(KMA_CERO-BB392)/(KMA_CERO-KMA_IDEAL_MAX))))</f>
        <v/>
      </c>
      <c r="CA392" s="3">
        <f>MAX(0,MIN(100,100*(M392-ANIO_MIN)/(ANIO_ACTUAL-ANIO_MIN)))</f>
        <v/>
      </c>
      <c r="CB392" s="3">
        <f>W_KMT*BY392+W_KMA*BZ392+W_EDAD*CA392</f>
        <v/>
      </c>
      <c r="CC392" s="3">
        <f>P_ITV*(V392="sí")+P_LIBRO*(W392="sí")+P_CORREA*(X392="sí")+P_PROP*(Y392=1)+P_GAR*(Z392="sí")+P_FOTOS*MIN(1,N(U392)/FOTOS_OBJ)</f>
        <v/>
      </c>
      <c r="CD392" s="3">
        <f>MAX(0,MIN(100,IFERROR(VLOOKUP(BP392,ETQ_TBL,2,0),0)-IF(BQ392="sí",ETQ_PEN_DUD,IF(AS392="regla",ETQ_PEN_REGLA,0))))</f>
        <v/>
      </c>
      <c r="CE392" s="3">
        <f>NEUTRO</f>
        <v/>
      </c>
      <c r="CF392" s="3">
        <f>IFERROR(VLOOKUP(L392,SEGURO_TBL,3,0),"")</f>
        <v/>
      </c>
      <c r="CG392" s="3">
        <f>IF(CF392="",NEUTRO,MAX(0,MIN(100,100*(SEG_REF_MAX-CF392)/(SEG_REF_MAX-SEG_REF_MIN))))</f>
        <v/>
      </c>
      <c r="CH392" s="3">
        <f>W_CONS*CE392+W_SEG*CG392</f>
        <v/>
      </c>
      <c r="CI392" s="3">
        <f>IF(N(AB392)&gt;0,AB392,IF(AND(R392="profesional",SG_LEGAL_ON=1),GAR_LEGAL,0))</f>
        <v/>
      </c>
      <c r="CJ392" s="3">
        <f>SG_GAR*MIN(1,CI392/SG_GAR_FULL)+SG_AMPL*(AC392="sí")+SG_KMC*(AF392="sí")+SG_REV*(N(AE392)&gt;0)+SG_DEV*MIN(1,N(AG392)/SG_DEV_FULL)+SG_HIST*(W392="sí")</f>
        <v/>
      </c>
      <c r="CK392" s="3">
        <f>IFERROR(VLOOKUP(L392,CARR_PEN_TBL,2,0),0)</f>
        <v/>
      </c>
      <c r="CL392" s="3">
        <f>W_FIAB*BW392+W_PRECIO*BX392+W_KMEDAD*CB392+W_ANUNCIO*CC392+W_USO*CH392+W_SEGURIDAD*CJ392+W_ETIQUETA*CD392-CK392</f>
        <v/>
      </c>
      <c r="CM392" s="4">
        <f>IF(N(I392)&gt;0,I392,IFERROR(ROUND(_xlfn.NUMBERVALUE(LEFT(G392,FIND(" ",G392&amp;" ")-1),".")*1000,0),99999))</f>
        <v/>
      </c>
      <c r="CN392" s="3">
        <f>IF(R392="profesional",0,IF(O392&lt;CUOTA_VALOR_MAX,IF(BA392&gt;ITP_TRAMO_ALTO,SUMIFS(CF_CUOTA,CF_MAS,ITP_TRAMO_ALTO,CF_CCMIN,"&lt;="&amp;CM392,CF_CCMAX,"&gt;="&amp;CM392),IF(BA392&gt;ITP_TRAMO_BAJO,SUMIFS(CF_CUOTA,CF_MAS,ITP_TRAMO_BAJO,CF_CCMIN,"&lt;="&amp;CM392,CF_CCMAX,"&gt;="&amp;CM392),O392*ITP_TIPO)),O392*ITP_TIPO))</f>
        <v/>
      </c>
      <c r="CO392" s="4">
        <f>IF(R392="profesional",N(AK392),0)</f>
        <v/>
      </c>
      <c r="CP392" s="3">
        <f>IF(AND(R392="profesional",ISNUMBER(AK392),AL392="sí"),0,TASA_DGT)</f>
        <v/>
      </c>
      <c r="CQ392" s="3">
        <f>INFORME_DGT</f>
        <v/>
      </c>
      <c r="CR392" s="4">
        <f>O392+CO392+CN392+CP392+CQ392</f>
        <v/>
      </c>
      <c r="CS392" s="4">
        <f>CR392+N(CF392)</f>
        <v/>
      </c>
      <c r="CT392" s="3">
        <f>IF(CR392&lt;=TOTAL_MAX,"sí",IF(CR392&lt;=TOTAL_MAX+MARGEN_NEG,"negociar","no"))</f>
        <v/>
      </c>
      <c r="CU392" s="4">
        <f>IF(CT392&lt;&gt;"no",COUNTIFS($CT$2:$CT$545,"&lt;&gt;no",$CL$2:$CL$545,"&gt;"&amp;CL392)+COUNTIFS($CT$2:CT392,"&lt;&gt;no",$CL$2:CL392,CL392),"")</f>
        <v/>
      </c>
    </row>
    <row r="393">
      <c r="A393" s="2" t="inlineStr">
        <is>
          <t>cochesnet:71398931</t>
        </is>
      </c>
      <c r="B393" s="2" t="inlineStr">
        <is>
          <t>cochesnet</t>
        </is>
      </c>
      <c r="C393" s="2" t="inlineStr">
        <is>
          <t>https://www.coches.net/citroen-c3-diesel-2007-en-valencia-71398931-covo.aspx</t>
        </is>
      </c>
      <c r="D393" s="2" t="inlineStr">
        <is>
          <t>CITROEN C3</t>
        </is>
      </c>
      <c r="E393" s="2" t="inlineStr">
        <is>
          <t>Citroën</t>
        </is>
      </c>
      <c r="F393" s="2" t="inlineStr">
        <is>
          <t>Citroën C3</t>
        </is>
      </c>
      <c r="G393" s="2" t="n"/>
      <c r="H393" s="2" t="n"/>
      <c r="I393" s="2" t="n"/>
      <c r="J393" s="2" t="n"/>
      <c r="K393" s="2" t="inlineStr">
        <is>
          <t>diesel</t>
        </is>
      </c>
      <c r="L393" s="2" t="inlineStr">
        <is>
          <t>utilitario</t>
        </is>
      </c>
      <c r="M393" s="2" t="n">
        <v>2007</v>
      </c>
      <c r="N393" s="2" t="n">
        <v>185000</v>
      </c>
      <c r="O393" s="2" t="n">
        <v>3500</v>
      </c>
      <c r="P393" s="2" t="inlineStr">
        <is>
          <t>manual</t>
        </is>
      </c>
      <c r="Q393" s="2" t="inlineStr">
        <is>
          <t>no</t>
        </is>
      </c>
      <c r="R393" s="2" t="inlineStr">
        <is>
          <t>particular</t>
        </is>
      </c>
      <c r="S393" s="2" t="n"/>
      <c r="T393" s="2" t="inlineStr">
        <is>
          <t>2026-08-31T08:50:17Z</t>
        </is>
      </c>
      <c r="U393" s="2" t="n">
        <v>1</v>
      </c>
      <c r="V393" s="2" t="n"/>
      <c r="W393" s="2" t="n"/>
      <c r="X393" s="2" t="n"/>
      <c r="Y393" s="2" t="n"/>
      <c r="Z393" s="2" t="inlineStr">
        <is>
          <t>no</t>
        </is>
      </c>
      <c r="AA393" s="2" t="n"/>
      <c r="AB393" s="2" t="n"/>
      <c r="AC393" s="2" t="n"/>
      <c r="AD393" s="2" t="n"/>
      <c r="AE393" s="2" t="n"/>
      <c r="AF393" s="2" t="n"/>
      <c r="AG393" s="2" t="n"/>
      <c r="AH393" s="2" t="n">
        <v>3500</v>
      </c>
      <c r="AI393" s="2" t="n"/>
      <c r="AJ393" s="2" t="n"/>
      <c r="AK393" s="2" t="n"/>
      <c r="AL393" s="2" t="n"/>
      <c r="AM393" s="2" t="n"/>
      <c r="AN393" s="2" t="n"/>
      <c r="AO393" s="2" t="inlineStr">
        <is>
          <t>2007</t>
        </is>
      </c>
      <c r="AP393" s="2" t="n">
        <v>2007</v>
      </c>
      <c r="AQ393" s="2" t="n"/>
      <c r="AR393" s="2" t="n"/>
      <c r="AS393" s="2" t="inlineStr">
        <is>
          <t>regla</t>
        </is>
      </c>
      <c r="AT393" s="2" t="n">
        <v>3550</v>
      </c>
      <c r="AU393" s="2" t="n">
        <v>6</v>
      </c>
      <c r="AV393" s="2" t="inlineStr">
        <is>
          <t>modelo+año+km</t>
        </is>
      </c>
      <c r="AW393" s="2" t="n"/>
      <c r="AX393"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93" s="2" t="inlineStr">
        <is>
          <t>Claro. Te dejo un texto atractivo y honesto para publicar el coche:
?? Citroën C3 – Diésel – Manual
Se vende Citroën C3, compacto, práctico y económico, ideal tanto para ciudad como para desplazamientos diarios.
? Cambio manual
? 5 puertas
? Interior cuidado y amplio para su tamaño
? 3 plazas traseras con cinturones
? Maletero con enganche de remolque
? Se entrega con rueda/kit y herramientas
? Equipado con cierre centralizado con mando
? Vehículo de uso práctico y bajo consumo
El coche presenta signos normales de uso y desgaste propios de los años, como se aprecia en las fotografías. Interior completo y funcional.
?? Interesados, contactar por privado para más información, precio y kilometraje.
Citroën C3: económico de mantener, manejable y perfecto como coche de diario.</t>
        </is>
      </c>
      <c r="AZ393" s="2" t="inlineStr">
        <is>
          <t>https://www.coches.net/citroen-c3-diesel-2007-en-valencia-71398931-covo.aspx (window.__INITIAL_PROPS__.ad) /home/user/Alopecia/buscador-coches/raw/cochesnet/890651270931f1e9.json</t>
        </is>
      </c>
      <c r="BA393" s="3">
        <f>MAX(ANIO_ACTUAL-M393,0)</f>
        <v/>
      </c>
      <c r="BB393" s="4">
        <f>N393/MAX(BA393,0.5)</f>
        <v/>
      </c>
      <c r="BC393" s="4">
        <f>F393</f>
        <v/>
      </c>
      <c r="BD393" s="3">
        <f>BC393&amp;"|"&amp;INT(M393/SEG_ANIO)*SEG_ANIO</f>
        <v/>
      </c>
      <c r="BE393" s="3">
        <f>BD393&amp;"|"&amp;INT(N393/SEG_KM)*SEG_KM</f>
        <v/>
      </c>
      <c r="BF393" s="4">
        <f>COUNTIF($BC$2:$BC$545,BC393)</f>
        <v/>
      </c>
      <c r="BG393" s="4">
        <f>COUNTIF($BD$2:$BD$545,BD393)</f>
        <v/>
      </c>
      <c r="BH393" s="4">
        <f>COUNTIF($BE$2:$BE$545,BE393)</f>
        <v/>
      </c>
      <c r="BI393" s="3">
        <f t="array" ref="BI393">IF(N(AU393)&gt;=MIN_N,AT393,IF(BH393&gt;=MIN_N,MEDIAN(IF($BE$2:$BE$545=BE393,$O$2:$O$545)),IF(BG393&gt;=MIN_N,MEDIAN(IF($BD$2:$BD$545=BD393,$O$2:$O$545)),MEDIAN(IF($BC$2:$BC$545=BC393,$O$2:$O$545)))))</f>
        <v/>
      </c>
      <c r="BJ393" s="3">
        <f>IF(N(AU393)&gt;=MIN_N,"mercado "&amp;AV393,IF(BH393&gt;=MIN_N,"modelo+año+km",IF(BG393&gt;=MIN_N,"modelo+año","modelo")))</f>
        <v/>
      </c>
      <c r="BK393" s="4">
        <f>(BI393-O393)/BI393</f>
        <v/>
      </c>
      <c r="BL393" s="3">
        <f>IF(COUNTIFS(FR_FUEL,K393,FR_YEAR,AP393)&gt;0,1,0)</f>
        <v/>
      </c>
      <c r="BM393" s="3">
        <f>IF(COUNTIFS(FR_FUEL,K393,FR_YEAR,AP393-1)&gt;0,1,0)</f>
        <v/>
      </c>
      <c r="BN393" s="4">
        <f>IF(N(AQ393)&gt;0,AP393*100+AQ393,IF(AND(BL393=1,BM393=1),(AP393-1)*100+1,AP393*100+1))</f>
        <v/>
      </c>
      <c r="BO393" s="3">
        <f>IF(OR(K393="hibrido",K393="glp",K393="gnc",K393="phev"),"ECO",IF(K393="electrico","CERO",IF(K393="gasolina",IF(BN393&gt;=GAS_C_YM,"C",IF(BN393&gt;=GAS_B_YM,"B","A")),IF(K393="diesel",IF(BN393&gt;=DIE_C_YM,"C",IF(BN393&gt;=DIE_B_YM,"B","A")),""))))</f>
        <v/>
      </c>
      <c r="BP393" s="4">
        <f>BO393</f>
        <v/>
      </c>
      <c r="BQ393" s="4">
        <f>IF(AS393="regla",IF(AND(N(AQ393)=0,BL393=1),"sí","no"),"no")</f>
        <v/>
      </c>
      <c r="BR393" s="3">
        <f>IFERROR(VLOOKUP(F393,MOD_TBL,11,0),IFERROR(VLOOKUP(E393,OCU_TBL,2,0),NEUTRO))</f>
        <v/>
      </c>
      <c r="BS393" s="3">
        <f>SUMIFS(MOT_AJUSTE,MOT_MOTOR,G393,MOT_MARCA,E393,MOT_DESDE,"&lt;="&amp;M393,MOT_HASTA,"&gt;="&amp;M393)+SUMIFS(MOT_AJUSTE,MOT_MOTOR,G393,MOT_MARCA,"(todas)",MOT_DESDE,"&lt;="&amp;M393,MOT_HASTA,"&gt;="&amp;M393)</f>
        <v/>
      </c>
      <c r="BT393" s="3">
        <f>SUMIFS(COMB_AJUSTE,COMB_COMB,K393)</f>
        <v/>
      </c>
      <c r="BU393" s="3">
        <f>COUNTIFS(MOT_MOTOR,G393,MOT_MARCA,E393,MOT_DESDE,"&lt;="&amp;M393,MOT_HASTA,"&gt;="&amp;M393)+COUNTIFS(MOT_MOTOR,G393,MOT_MARCA,"(todas)",MOT_DESDE,"&lt;="&amp;M393,MOT_HASTA,"&gt;="&amp;M393)</f>
        <v/>
      </c>
      <c r="BV393" s="3">
        <f>IF(AND(K393="diesel",BU393=0),MIN(BR393,NEUTRO),BR393)</f>
        <v/>
      </c>
      <c r="BW393" s="4">
        <f>MAX(0,MIN(100,BV393+BS393+BT393))</f>
        <v/>
      </c>
      <c r="BX393" s="3">
        <f>MAX(0,MIN(100,50+BK393*PRECIO_PEND))</f>
        <v/>
      </c>
      <c r="BY393" s="3">
        <f>MAX(0,100*(1-N393/KM_MAX))</f>
        <v/>
      </c>
      <c r="BZ393" s="3">
        <f>IF(BB393&lt;KMA_SOSP,IF(AA393="sí",100,KMA_PEN),IF(BB393&lt;=KMA_IDEAL_MAX,100,MAX(0,100*(KMA_CERO-BB393)/(KMA_CERO-KMA_IDEAL_MAX))))</f>
        <v/>
      </c>
      <c r="CA393" s="3">
        <f>MAX(0,MIN(100,100*(M393-ANIO_MIN)/(ANIO_ACTUAL-ANIO_MIN)))</f>
        <v/>
      </c>
      <c r="CB393" s="3">
        <f>W_KMT*BY393+W_KMA*BZ393+W_EDAD*CA393</f>
        <v/>
      </c>
      <c r="CC393" s="3">
        <f>P_ITV*(V393="sí")+P_LIBRO*(W393="sí")+P_CORREA*(X393="sí")+P_PROP*(Y393=1)+P_GAR*(Z393="sí")+P_FOTOS*MIN(1,N(U393)/FOTOS_OBJ)</f>
        <v/>
      </c>
      <c r="CD393" s="3">
        <f>MAX(0,MIN(100,IFERROR(VLOOKUP(BP393,ETQ_TBL,2,0),0)-IF(BQ393="sí",ETQ_PEN_DUD,IF(AS393="regla",ETQ_PEN_REGLA,0))))</f>
        <v/>
      </c>
      <c r="CE393" s="3">
        <f>NEUTRO</f>
        <v/>
      </c>
      <c r="CF393" s="3">
        <f>IFERROR(VLOOKUP(L393,SEGURO_TBL,3,0),"")</f>
        <v/>
      </c>
      <c r="CG393" s="3">
        <f>IF(CF393="",NEUTRO,MAX(0,MIN(100,100*(SEG_REF_MAX-CF393)/(SEG_REF_MAX-SEG_REF_MIN))))</f>
        <v/>
      </c>
      <c r="CH393" s="3">
        <f>W_CONS*CE393+W_SEG*CG393</f>
        <v/>
      </c>
      <c r="CI393" s="3">
        <f>IF(N(AB393)&gt;0,AB393,IF(AND(R393="profesional",SG_LEGAL_ON=1),GAR_LEGAL,0))</f>
        <v/>
      </c>
      <c r="CJ393" s="3">
        <f>SG_GAR*MIN(1,CI393/SG_GAR_FULL)+SG_AMPL*(AC393="sí")+SG_KMC*(AF393="sí")+SG_REV*(N(AE393)&gt;0)+SG_DEV*MIN(1,N(AG393)/SG_DEV_FULL)+SG_HIST*(W393="sí")</f>
        <v/>
      </c>
      <c r="CK393" s="3">
        <f>IFERROR(VLOOKUP(L393,CARR_PEN_TBL,2,0),0)</f>
        <v/>
      </c>
      <c r="CL393" s="3">
        <f>W_FIAB*BW393+W_PRECIO*BX393+W_KMEDAD*CB393+W_ANUNCIO*CC393+W_USO*CH393+W_SEGURIDAD*CJ393+W_ETIQUETA*CD393-CK393</f>
        <v/>
      </c>
      <c r="CM393" s="4">
        <f>IF(N(I393)&gt;0,I393,IFERROR(ROUND(_xlfn.NUMBERVALUE(LEFT(G393,FIND(" ",G393&amp;" ")-1),".")*1000,0),99999))</f>
        <v/>
      </c>
      <c r="CN393" s="3">
        <f>IF(R393="profesional",0,IF(O393&lt;CUOTA_VALOR_MAX,IF(BA393&gt;ITP_TRAMO_ALTO,SUMIFS(CF_CUOTA,CF_MAS,ITP_TRAMO_ALTO,CF_CCMIN,"&lt;="&amp;CM393,CF_CCMAX,"&gt;="&amp;CM393),IF(BA393&gt;ITP_TRAMO_BAJO,SUMIFS(CF_CUOTA,CF_MAS,ITP_TRAMO_BAJO,CF_CCMIN,"&lt;="&amp;CM393,CF_CCMAX,"&gt;="&amp;CM393),O393*ITP_TIPO)),O393*ITP_TIPO))</f>
        <v/>
      </c>
      <c r="CO393" s="4">
        <f>IF(R393="profesional",N(AK393),0)</f>
        <v/>
      </c>
      <c r="CP393" s="3">
        <f>IF(AND(R393="profesional",ISNUMBER(AK393),AL393="sí"),0,TASA_DGT)</f>
        <v/>
      </c>
      <c r="CQ393" s="3">
        <f>INFORME_DGT</f>
        <v/>
      </c>
      <c r="CR393" s="4">
        <f>O393+CO393+CN393+CP393+CQ393</f>
        <v/>
      </c>
      <c r="CS393" s="4">
        <f>CR393+N(CF393)</f>
        <v/>
      </c>
      <c r="CT393" s="3">
        <f>IF(CR393&lt;=TOTAL_MAX,"sí",IF(CR393&lt;=TOTAL_MAX+MARGEN_NEG,"negociar","no"))</f>
        <v/>
      </c>
      <c r="CU393" s="4">
        <f>IF(CT393&lt;&gt;"no",COUNTIFS($CT$2:$CT$545,"&lt;&gt;no",$CL$2:$CL$545,"&gt;"&amp;CL393)+COUNTIFS($CT$2:CT393,"&lt;&gt;no",$CL$2:CL393,CL393),"")</f>
        <v/>
      </c>
    </row>
    <row r="394">
      <c r="A394" s="2" t="inlineStr">
        <is>
          <t>cochesnet:71250967</t>
        </is>
      </c>
      <c r="B394" s="2" t="inlineStr">
        <is>
          <t>cochesnet</t>
        </is>
      </c>
      <c r="C394" s="2" t="inlineStr">
        <is>
          <t>https://www.coches.net/citroen-c3-diesel-2007-en-valencia-71250967-covo.aspx</t>
        </is>
      </c>
      <c r="D394" s="2" t="inlineStr">
        <is>
          <t>CITROEN C3</t>
        </is>
      </c>
      <c r="E394" s="2" t="inlineStr">
        <is>
          <t>Citroën</t>
        </is>
      </c>
      <c r="F394" s="2" t="inlineStr">
        <is>
          <t>Citroën C3</t>
        </is>
      </c>
      <c r="G394" s="2" t="n"/>
      <c r="H394" s="2" t="n"/>
      <c r="I394" s="2" t="n"/>
      <c r="J394" s="2" t="n"/>
      <c r="K394" s="2" t="inlineStr">
        <is>
          <t>diesel</t>
        </is>
      </c>
      <c r="L394" s="2" t="inlineStr">
        <is>
          <t>utilitario</t>
        </is>
      </c>
      <c r="M394" s="2" t="n">
        <v>2007</v>
      </c>
      <c r="N394" s="2" t="n">
        <v>180000</v>
      </c>
      <c r="O394" s="2" t="n">
        <v>3500</v>
      </c>
      <c r="P394" s="2" t="inlineStr">
        <is>
          <t>manual</t>
        </is>
      </c>
      <c r="Q394" s="2" t="inlineStr">
        <is>
          <t>no</t>
        </is>
      </c>
      <c r="R394" s="2" t="inlineStr">
        <is>
          <t>particular</t>
        </is>
      </c>
      <c r="S394" s="2" t="n"/>
      <c r="T394" s="2" t="inlineStr">
        <is>
          <t>2026-08-07T12:27:16Z</t>
        </is>
      </c>
      <c r="U394" s="2" t="n">
        <v>1</v>
      </c>
      <c r="V394" s="2" t="n"/>
      <c r="W394" s="2" t="n"/>
      <c r="X394" s="2" t="n"/>
      <c r="Y394" s="2" t="n"/>
      <c r="Z394" s="2" t="inlineStr">
        <is>
          <t>no</t>
        </is>
      </c>
      <c r="AA394" s="2" t="n"/>
      <c r="AB394" s="2" t="n"/>
      <c r="AC394" s="2" t="n"/>
      <c r="AD394" s="2" t="n"/>
      <c r="AE394" s="2" t="n"/>
      <c r="AF394" s="2" t="n"/>
      <c r="AG394" s="2" t="n"/>
      <c r="AH394" s="2" t="n">
        <v>3500</v>
      </c>
      <c r="AI394" s="2" t="n"/>
      <c r="AJ394" s="2" t="n"/>
      <c r="AK394" s="2" t="n"/>
      <c r="AL394" s="2" t="n"/>
      <c r="AM394" s="2" t="n"/>
      <c r="AN394" s="2" t="n"/>
      <c r="AO394" s="2" t="inlineStr">
        <is>
          <t>2007</t>
        </is>
      </c>
      <c r="AP394" s="2" t="n">
        <v>2007</v>
      </c>
      <c r="AQ394" s="2" t="n"/>
      <c r="AR394" s="2" t="n"/>
      <c r="AS394" s="2" t="inlineStr">
        <is>
          <t>regla</t>
        </is>
      </c>
      <c r="AT394" s="2" t="n">
        <v>3550</v>
      </c>
      <c r="AU394" s="2" t="n">
        <v>6</v>
      </c>
      <c r="AV394" s="2" t="inlineStr">
        <is>
          <t>modelo+año+km</t>
        </is>
      </c>
      <c r="AW394" s="2" t="n"/>
      <c r="AX39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94" s="2" t="inlineStr">
        <is>
          <t xml:space="preserve">VENDO CITROËN C3 – 3.500 € ??
Se vende Citroën C3 en buen estado general. El coche funciona perfectamente y está listo para seguir rodando.
? Motor y mecánica en buen estado.
? Aire acondicionado.
? Cambio manual.
? Radio CD.
? Dos llaves.
? ITV y documentación al día.
? Se entrega transferido.
Tiene algunos detalles de pintura, de ahí su precio.
</t>
        </is>
      </c>
      <c r="AZ394" s="2" t="inlineStr">
        <is>
          <t>https://www.coches.net/citroen-c3-diesel-2007-en-valencia-71250967-covo.aspx (window.__INITIAL_PROPS__.ad) /home/user/Alopecia/buscador-coches/raw/cochesnet/f2a30122bdc7bf3a.json</t>
        </is>
      </c>
      <c r="BA394" s="3">
        <f>MAX(ANIO_ACTUAL-M394,0)</f>
        <v/>
      </c>
      <c r="BB394" s="4">
        <f>N394/MAX(BA394,0.5)</f>
        <v/>
      </c>
      <c r="BC394" s="4">
        <f>F394</f>
        <v/>
      </c>
      <c r="BD394" s="3">
        <f>BC394&amp;"|"&amp;INT(M394/SEG_ANIO)*SEG_ANIO</f>
        <v/>
      </c>
      <c r="BE394" s="3">
        <f>BD394&amp;"|"&amp;INT(N394/SEG_KM)*SEG_KM</f>
        <v/>
      </c>
      <c r="BF394" s="4">
        <f>COUNTIF($BC$2:$BC$545,BC394)</f>
        <v/>
      </c>
      <c r="BG394" s="4">
        <f>COUNTIF($BD$2:$BD$545,BD394)</f>
        <v/>
      </c>
      <c r="BH394" s="4">
        <f>COUNTIF($BE$2:$BE$545,BE394)</f>
        <v/>
      </c>
      <c r="BI394" s="3">
        <f t="array" ref="BI394">IF(N(AU394)&gt;=MIN_N,AT394,IF(BH394&gt;=MIN_N,MEDIAN(IF($BE$2:$BE$545=BE394,$O$2:$O$545)),IF(BG394&gt;=MIN_N,MEDIAN(IF($BD$2:$BD$545=BD394,$O$2:$O$545)),MEDIAN(IF($BC$2:$BC$545=BC394,$O$2:$O$545)))))</f>
        <v/>
      </c>
      <c r="BJ394" s="3">
        <f>IF(N(AU394)&gt;=MIN_N,"mercado "&amp;AV394,IF(BH394&gt;=MIN_N,"modelo+año+km",IF(BG394&gt;=MIN_N,"modelo+año","modelo")))</f>
        <v/>
      </c>
      <c r="BK394" s="4">
        <f>(BI394-O394)/BI394</f>
        <v/>
      </c>
      <c r="BL394" s="3">
        <f>IF(COUNTIFS(FR_FUEL,K394,FR_YEAR,AP394)&gt;0,1,0)</f>
        <v/>
      </c>
      <c r="BM394" s="3">
        <f>IF(COUNTIFS(FR_FUEL,K394,FR_YEAR,AP394-1)&gt;0,1,0)</f>
        <v/>
      </c>
      <c r="BN394" s="4">
        <f>IF(N(AQ394)&gt;0,AP394*100+AQ394,IF(AND(BL394=1,BM394=1),(AP394-1)*100+1,AP394*100+1))</f>
        <v/>
      </c>
      <c r="BO394" s="3">
        <f>IF(OR(K394="hibrido",K394="glp",K394="gnc",K394="phev"),"ECO",IF(K394="electrico","CERO",IF(K394="gasolina",IF(BN394&gt;=GAS_C_YM,"C",IF(BN394&gt;=GAS_B_YM,"B","A")),IF(K394="diesel",IF(BN394&gt;=DIE_C_YM,"C",IF(BN394&gt;=DIE_B_YM,"B","A")),""))))</f>
        <v/>
      </c>
      <c r="BP394" s="4">
        <f>BO394</f>
        <v/>
      </c>
      <c r="BQ394" s="4">
        <f>IF(AS394="regla",IF(AND(N(AQ394)=0,BL394=1),"sí","no"),"no")</f>
        <v/>
      </c>
      <c r="BR394" s="3">
        <f>IFERROR(VLOOKUP(F394,MOD_TBL,11,0),IFERROR(VLOOKUP(E394,OCU_TBL,2,0),NEUTRO))</f>
        <v/>
      </c>
      <c r="BS394" s="3">
        <f>SUMIFS(MOT_AJUSTE,MOT_MOTOR,G394,MOT_MARCA,E394,MOT_DESDE,"&lt;="&amp;M394,MOT_HASTA,"&gt;="&amp;M394)+SUMIFS(MOT_AJUSTE,MOT_MOTOR,G394,MOT_MARCA,"(todas)",MOT_DESDE,"&lt;="&amp;M394,MOT_HASTA,"&gt;="&amp;M394)</f>
        <v/>
      </c>
      <c r="BT394" s="3">
        <f>SUMIFS(COMB_AJUSTE,COMB_COMB,K394)</f>
        <v/>
      </c>
      <c r="BU394" s="3">
        <f>COUNTIFS(MOT_MOTOR,G394,MOT_MARCA,E394,MOT_DESDE,"&lt;="&amp;M394,MOT_HASTA,"&gt;="&amp;M394)+COUNTIFS(MOT_MOTOR,G394,MOT_MARCA,"(todas)",MOT_DESDE,"&lt;="&amp;M394,MOT_HASTA,"&gt;="&amp;M394)</f>
        <v/>
      </c>
      <c r="BV394" s="3">
        <f>IF(AND(K394="diesel",BU394=0),MIN(BR394,NEUTRO),BR394)</f>
        <v/>
      </c>
      <c r="BW394" s="4">
        <f>MAX(0,MIN(100,BV394+BS394+BT394))</f>
        <v/>
      </c>
      <c r="BX394" s="3">
        <f>MAX(0,MIN(100,50+BK394*PRECIO_PEND))</f>
        <v/>
      </c>
      <c r="BY394" s="3">
        <f>MAX(0,100*(1-N394/KM_MAX))</f>
        <v/>
      </c>
      <c r="BZ394" s="3">
        <f>IF(BB394&lt;KMA_SOSP,IF(AA394="sí",100,KMA_PEN),IF(BB394&lt;=KMA_IDEAL_MAX,100,MAX(0,100*(KMA_CERO-BB394)/(KMA_CERO-KMA_IDEAL_MAX))))</f>
        <v/>
      </c>
      <c r="CA394" s="3">
        <f>MAX(0,MIN(100,100*(M394-ANIO_MIN)/(ANIO_ACTUAL-ANIO_MIN)))</f>
        <v/>
      </c>
      <c r="CB394" s="3">
        <f>W_KMT*BY394+W_KMA*BZ394+W_EDAD*CA394</f>
        <v/>
      </c>
      <c r="CC394" s="3">
        <f>P_ITV*(V394="sí")+P_LIBRO*(W394="sí")+P_CORREA*(X394="sí")+P_PROP*(Y394=1)+P_GAR*(Z394="sí")+P_FOTOS*MIN(1,N(U394)/FOTOS_OBJ)</f>
        <v/>
      </c>
      <c r="CD394" s="3">
        <f>MAX(0,MIN(100,IFERROR(VLOOKUP(BP394,ETQ_TBL,2,0),0)-IF(BQ394="sí",ETQ_PEN_DUD,IF(AS394="regla",ETQ_PEN_REGLA,0))))</f>
        <v/>
      </c>
      <c r="CE394" s="3">
        <f>NEUTRO</f>
        <v/>
      </c>
      <c r="CF394" s="3">
        <f>IFERROR(VLOOKUP(L394,SEGURO_TBL,3,0),"")</f>
        <v/>
      </c>
      <c r="CG394" s="3">
        <f>IF(CF394="",NEUTRO,MAX(0,MIN(100,100*(SEG_REF_MAX-CF394)/(SEG_REF_MAX-SEG_REF_MIN))))</f>
        <v/>
      </c>
      <c r="CH394" s="3">
        <f>W_CONS*CE394+W_SEG*CG394</f>
        <v/>
      </c>
      <c r="CI394" s="3">
        <f>IF(N(AB394)&gt;0,AB394,IF(AND(R394="profesional",SG_LEGAL_ON=1),GAR_LEGAL,0))</f>
        <v/>
      </c>
      <c r="CJ394" s="3">
        <f>SG_GAR*MIN(1,CI394/SG_GAR_FULL)+SG_AMPL*(AC394="sí")+SG_KMC*(AF394="sí")+SG_REV*(N(AE394)&gt;0)+SG_DEV*MIN(1,N(AG394)/SG_DEV_FULL)+SG_HIST*(W394="sí")</f>
        <v/>
      </c>
      <c r="CK394" s="3">
        <f>IFERROR(VLOOKUP(L394,CARR_PEN_TBL,2,0),0)</f>
        <v/>
      </c>
      <c r="CL394" s="3">
        <f>W_FIAB*BW394+W_PRECIO*BX394+W_KMEDAD*CB394+W_ANUNCIO*CC394+W_USO*CH394+W_SEGURIDAD*CJ394+W_ETIQUETA*CD394-CK394</f>
        <v/>
      </c>
      <c r="CM394" s="4">
        <f>IF(N(I394)&gt;0,I394,IFERROR(ROUND(_xlfn.NUMBERVALUE(LEFT(G394,FIND(" ",G394&amp;" ")-1),".")*1000,0),99999))</f>
        <v/>
      </c>
      <c r="CN394" s="3">
        <f>IF(R394="profesional",0,IF(O394&lt;CUOTA_VALOR_MAX,IF(BA394&gt;ITP_TRAMO_ALTO,SUMIFS(CF_CUOTA,CF_MAS,ITP_TRAMO_ALTO,CF_CCMIN,"&lt;="&amp;CM394,CF_CCMAX,"&gt;="&amp;CM394),IF(BA394&gt;ITP_TRAMO_BAJO,SUMIFS(CF_CUOTA,CF_MAS,ITP_TRAMO_BAJO,CF_CCMIN,"&lt;="&amp;CM394,CF_CCMAX,"&gt;="&amp;CM394),O394*ITP_TIPO)),O394*ITP_TIPO))</f>
        <v/>
      </c>
      <c r="CO394" s="4">
        <f>IF(R394="profesional",N(AK394),0)</f>
        <v/>
      </c>
      <c r="CP394" s="3">
        <f>IF(AND(R394="profesional",ISNUMBER(AK394),AL394="sí"),0,TASA_DGT)</f>
        <v/>
      </c>
      <c r="CQ394" s="3">
        <f>INFORME_DGT</f>
        <v/>
      </c>
      <c r="CR394" s="4">
        <f>O394+CO394+CN394+CP394+CQ394</f>
        <v/>
      </c>
      <c r="CS394" s="4">
        <f>CR394+N(CF394)</f>
        <v/>
      </c>
      <c r="CT394" s="3">
        <f>IF(CR394&lt;=TOTAL_MAX,"sí",IF(CR394&lt;=TOTAL_MAX+MARGEN_NEG,"negociar","no"))</f>
        <v/>
      </c>
      <c r="CU394" s="4">
        <f>IF(CT394&lt;&gt;"no",COUNTIFS($CT$2:$CT$545,"&lt;&gt;no",$CL$2:$CL$545,"&gt;"&amp;CL394)+COUNTIFS($CT$2:CT394,"&lt;&gt;no",$CL$2:CL394,CL394),"")</f>
        <v/>
      </c>
    </row>
    <row r="395">
      <c r="A395" s="2" t="inlineStr">
        <is>
          <t>cochesnet:71041894</t>
        </is>
      </c>
      <c r="B395" s="2" t="inlineStr">
        <is>
          <t>cochesnet</t>
        </is>
      </c>
      <c r="C395" s="2" t="inlineStr">
        <is>
          <t>https://www.coches.net/citroen-c3-hdi-70-attraction-5p-diesel-2011-en-valencia-71041894-covo.aspx</t>
        </is>
      </c>
      <c r="D395" s="2" t="inlineStr">
        <is>
          <t>CITROEN C3 HDi 70 Attraction</t>
        </is>
      </c>
      <c r="E395" s="2" t="inlineStr">
        <is>
          <t>Citroën</t>
        </is>
      </c>
      <c r="F395" s="2" t="inlineStr">
        <is>
          <t>Citroën C3</t>
        </is>
      </c>
      <c r="G395" s="2" t="inlineStr">
        <is>
          <t>? HDi</t>
        </is>
      </c>
      <c r="H395" s="2" t="inlineStr">
        <is>
          <t>HDi 70 Attraction</t>
        </is>
      </c>
      <c r="I395" s="2" t="n"/>
      <c r="J395" s="2" t="n"/>
      <c r="K395" s="2" t="inlineStr">
        <is>
          <t>diesel</t>
        </is>
      </c>
      <c r="L395" s="2" t="inlineStr">
        <is>
          <t>utilitario</t>
        </is>
      </c>
      <c r="M395" s="2" t="n">
        <v>2011</v>
      </c>
      <c r="N395" s="2" t="n">
        <v>187000</v>
      </c>
      <c r="O395" s="2" t="n">
        <v>4750</v>
      </c>
      <c r="P395" s="2" t="inlineStr">
        <is>
          <t>manual</t>
        </is>
      </c>
      <c r="Q395" s="2" t="inlineStr">
        <is>
          <t>no</t>
        </is>
      </c>
      <c r="R395" s="2" t="inlineStr">
        <is>
          <t>profesional</t>
        </is>
      </c>
      <c r="S395" s="2" t="inlineStr">
        <is>
          <t>Albal</t>
        </is>
      </c>
      <c r="T395" s="2" t="inlineStr">
        <is>
          <t>2026-10-07T14:11:13Z</t>
        </is>
      </c>
      <c r="U395" s="2" t="n">
        <v>10</v>
      </c>
      <c r="V395" s="2" t="n"/>
      <c r="W395" s="2" t="n"/>
      <c r="X395" s="2" t="n"/>
      <c r="Y395" s="2" t="n"/>
      <c r="Z395" s="2" t="inlineStr">
        <is>
          <t>sí</t>
        </is>
      </c>
      <c r="AA395" s="2" t="n"/>
      <c r="AB395" s="2" t="n">
        <v>12</v>
      </c>
      <c r="AC395" s="2" t="n"/>
      <c r="AD395" s="2" t="n"/>
      <c r="AE395" s="2" t="n"/>
      <c r="AF395" s="2" t="n"/>
      <c r="AG395" s="2" t="n"/>
      <c r="AH395" s="2" t="n">
        <v>4750</v>
      </c>
      <c r="AI395" s="2" t="n">
        <v>4750</v>
      </c>
      <c r="AJ395" s="2" t="n"/>
      <c r="AK395" s="2" t="n"/>
      <c r="AL395" s="2" t="n"/>
      <c r="AM395" s="2" t="n">
        <v>8.699999999999999</v>
      </c>
      <c r="AN395" s="2" t="n"/>
      <c r="AO395" s="2" t="inlineStr">
        <is>
          <t>2011</t>
        </is>
      </c>
      <c r="AP395" s="2" t="n">
        <v>2011</v>
      </c>
      <c r="AQ395" s="2" t="n"/>
      <c r="AR395" s="2" t="inlineStr">
        <is>
          <t>B</t>
        </is>
      </c>
      <c r="AS395" s="2" t="inlineStr">
        <is>
          <t>anuncio</t>
        </is>
      </c>
      <c r="AT395" s="2" t="n">
        <v>5295</v>
      </c>
      <c r="AU395" s="2" t="n">
        <v>6</v>
      </c>
      <c r="AV395" s="2" t="inlineStr">
        <is>
          <t>modelo+año</t>
        </is>
      </c>
      <c r="AW395" s="2" t="n"/>
      <c r="AX395" s="2" t="inlineStr">
        <is>
          <t>vendedor profesional: sin ITP (operación con IVA/REBU, confirmar en factura); gastos de gestión del vendedor no indicados: se suma la tasa DGT; preguntar el precio final; diésel: motor sin fuente de fiabilidad (fiabilidad limitada a neutra)</t>
        </is>
      </c>
      <c r="AY395" s="2" t="inlineStr">
        <is>
          <t>CItroën C3 Attraction 1.4 HDi 2011 Diésel
Equipamiento:
Elevalunas eléctricos
Bluetooth
Motor 1.4 HDi
Muy bajo consumo
Kilometraje: 187.000 km
Mantenimiento reciente:
Cambio de aceite y filtros
Embrague nuevo
ITV vigente hasta 07/2027
4 neumáticos en excelente estado
Utilitario económico, cómodo y de muy bajo consumo, ideal para ciudad y uso diario.
Precio: 5.250 €
Entrega inmediata en Valencia / Catarroja
Garantía 12 meses en mecánica
Financiación disponible
Recibimos vehículo a cambio, incluso de menor valor
Citroën C3 Attraction en Valencia
Citroën C3 en Catarroja
Citroen C3 en Catarroja</t>
        </is>
      </c>
      <c r="AZ395" s="2" t="inlineStr">
        <is>
          <t>https://www.coches.net/citroen-c3-hdi-70-attraction-5p-diesel-2011-en-valencia-71041894-covo.aspx (window.__INITIAL_PROPS__.ad) /home/user/Alopecia/buscador-coches/raw/cochesnet/b94d1dae5572bd11.json</t>
        </is>
      </c>
      <c r="BA395" s="3">
        <f>MAX(ANIO_ACTUAL-M395,0)</f>
        <v/>
      </c>
      <c r="BB395" s="4">
        <f>N395/MAX(BA395,0.5)</f>
        <v/>
      </c>
      <c r="BC395" s="4">
        <f>F395</f>
        <v/>
      </c>
      <c r="BD395" s="3">
        <f>BC395&amp;"|"&amp;INT(M395/SEG_ANIO)*SEG_ANIO</f>
        <v/>
      </c>
      <c r="BE395" s="3">
        <f>BD395&amp;"|"&amp;INT(N395/SEG_KM)*SEG_KM</f>
        <v/>
      </c>
      <c r="BF395" s="4">
        <f>COUNTIF($BC$2:$BC$545,BC395)</f>
        <v/>
      </c>
      <c r="BG395" s="4">
        <f>COUNTIF($BD$2:$BD$545,BD395)</f>
        <v/>
      </c>
      <c r="BH395" s="4">
        <f>COUNTIF($BE$2:$BE$545,BE395)</f>
        <v/>
      </c>
      <c r="BI395" s="3">
        <f t="array" ref="BI395">IF(N(AU395)&gt;=MIN_N,AT395,IF(BH395&gt;=MIN_N,MEDIAN(IF($BE$2:$BE$545=BE395,$O$2:$O$545)),IF(BG395&gt;=MIN_N,MEDIAN(IF($BD$2:$BD$545=BD395,$O$2:$O$545)),MEDIAN(IF($BC$2:$BC$545=BC395,$O$2:$O$545)))))</f>
        <v/>
      </c>
      <c r="BJ395" s="3">
        <f>IF(N(AU395)&gt;=MIN_N,"mercado "&amp;AV395,IF(BH395&gt;=MIN_N,"modelo+año+km",IF(BG395&gt;=MIN_N,"modelo+año","modelo")))</f>
        <v/>
      </c>
      <c r="BK395" s="4">
        <f>(BI395-O395)/BI395</f>
        <v/>
      </c>
      <c r="BL395" s="3">
        <f>IF(COUNTIFS(FR_FUEL,K395,FR_YEAR,AP395)&gt;0,1,0)</f>
        <v/>
      </c>
      <c r="BM395" s="3">
        <f>IF(COUNTIFS(FR_FUEL,K395,FR_YEAR,AP395-1)&gt;0,1,0)</f>
        <v/>
      </c>
      <c r="BN395" s="4">
        <f>IF(N(AQ395)&gt;0,AP395*100+AQ395,IF(AND(BL395=1,BM395=1),(AP395-1)*100+1,AP395*100+1))</f>
        <v/>
      </c>
      <c r="BO395" s="3">
        <f>IF(OR(K395="hibrido",K395="glp",K395="gnc",K395="phev"),"ECO",IF(K395="electrico","CERO",IF(K395="gasolina",IF(BN395&gt;=GAS_C_YM,"C",IF(BN395&gt;=GAS_B_YM,"B","A")),IF(K395="diesel",IF(BN395&gt;=DIE_C_YM,"C",IF(BN395&gt;=DIE_B_YM,"B","A")),""))))</f>
        <v/>
      </c>
      <c r="BP395" s="2" t="inlineStr">
        <is>
          <t>B</t>
        </is>
      </c>
      <c r="BQ395" s="4">
        <f>IF(AS395="regla",IF(AND(N(AQ395)=0,BL395=1),"sí","no"),"no")</f>
        <v/>
      </c>
      <c r="BR395" s="3">
        <f>IFERROR(VLOOKUP(F395,MOD_TBL,11,0),IFERROR(VLOOKUP(E395,OCU_TBL,2,0),NEUTRO))</f>
        <v/>
      </c>
      <c r="BS395" s="3">
        <f>SUMIFS(MOT_AJUSTE,MOT_MOTOR,G395,MOT_MARCA,E395,MOT_DESDE,"&lt;="&amp;M395,MOT_HASTA,"&gt;="&amp;M395)+SUMIFS(MOT_AJUSTE,MOT_MOTOR,G395,MOT_MARCA,"(todas)",MOT_DESDE,"&lt;="&amp;M395,MOT_HASTA,"&gt;="&amp;M395)</f>
        <v/>
      </c>
      <c r="BT395" s="3">
        <f>SUMIFS(COMB_AJUSTE,COMB_COMB,K395)</f>
        <v/>
      </c>
      <c r="BU395" s="3">
        <f>COUNTIFS(MOT_MOTOR,G395,MOT_MARCA,E395,MOT_DESDE,"&lt;="&amp;M395,MOT_HASTA,"&gt;="&amp;M395)+COUNTIFS(MOT_MOTOR,G395,MOT_MARCA,"(todas)",MOT_DESDE,"&lt;="&amp;M395,MOT_HASTA,"&gt;="&amp;M395)</f>
        <v/>
      </c>
      <c r="BV395" s="3">
        <f>IF(AND(K395="diesel",BU395=0),MIN(BR395,NEUTRO),BR395)</f>
        <v/>
      </c>
      <c r="BW395" s="4">
        <f>MAX(0,MIN(100,BV395+BS395+BT395))</f>
        <v/>
      </c>
      <c r="BX395" s="3">
        <f>MAX(0,MIN(100,50+BK395*PRECIO_PEND))</f>
        <v/>
      </c>
      <c r="BY395" s="3">
        <f>MAX(0,100*(1-N395/KM_MAX))</f>
        <v/>
      </c>
      <c r="BZ395" s="3">
        <f>IF(BB395&lt;KMA_SOSP,IF(AA395="sí",100,KMA_PEN),IF(BB395&lt;=KMA_IDEAL_MAX,100,MAX(0,100*(KMA_CERO-BB395)/(KMA_CERO-KMA_IDEAL_MAX))))</f>
        <v/>
      </c>
      <c r="CA395" s="3">
        <f>MAX(0,MIN(100,100*(M395-ANIO_MIN)/(ANIO_ACTUAL-ANIO_MIN)))</f>
        <v/>
      </c>
      <c r="CB395" s="3">
        <f>W_KMT*BY395+W_KMA*BZ395+W_EDAD*CA395</f>
        <v/>
      </c>
      <c r="CC395" s="3">
        <f>P_ITV*(V395="sí")+P_LIBRO*(W395="sí")+P_CORREA*(X395="sí")+P_PROP*(Y395=1)+P_GAR*(Z395="sí")+P_FOTOS*MIN(1,N(U395)/FOTOS_OBJ)</f>
        <v/>
      </c>
      <c r="CD395" s="3">
        <f>MAX(0,MIN(100,IFERROR(VLOOKUP(BP395,ETQ_TBL,2,0),0)-IF(BQ395="sí",ETQ_PEN_DUD,IF(AS395="regla",ETQ_PEN_REGLA,0))))</f>
        <v/>
      </c>
      <c r="CE395" s="3">
        <f>NEUTRO</f>
        <v/>
      </c>
      <c r="CF395" s="3">
        <f>IFERROR(VLOOKUP(L395,SEGURO_TBL,3,0),"")</f>
        <v/>
      </c>
      <c r="CG395" s="3">
        <f>IF(CF395="",NEUTRO,MAX(0,MIN(100,100*(SEG_REF_MAX-CF395)/(SEG_REF_MAX-SEG_REF_MIN))))</f>
        <v/>
      </c>
      <c r="CH395" s="3">
        <f>W_CONS*CE395+W_SEG*CG395</f>
        <v/>
      </c>
      <c r="CI395" s="3">
        <f>IF(N(AB395)&gt;0,AB395,IF(AND(R395="profesional",SG_LEGAL_ON=1),GAR_LEGAL,0))</f>
        <v/>
      </c>
      <c r="CJ395" s="3">
        <f>SG_GAR*MIN(1,CI395/SG_GAR_FULL)+SG_AMPL*(AC395="sí")+SG_KMC*(AF395="sí")+SG_REV*(N(AE395)&gt;0)+SG_DEV*MIN(1,N(AG395)/SG_DEV_FULL)+SG_HIST*(W395="sí")</f>
        <v/>
      </c>
      <c r="CK395" s="3">
        <f>IFERROR(VLOOKUP(L395,CARR_PEN_TBL,2,0),0)</f>
        <v/>
      </c>
      <c r="CL395" s="3">
        <f>W_FIAB*BW395+W_PRECIO*BX395+W_KMEDAD*CB395+W_ANUNCIO*CC395+W_USO*CH395+W_SEGURIDAD*CJ395+W_ETIQUETA*CD395-CK395</f>
        <v/>
      </c>
      <c r="CM395" s="4">
        <f>IF(N(I395)&gt;0,I395,IFERROR(ROUND(_xlfn.NUMBERVALUE(LEFT(G395,FIND(" ",G395&amp;" ")-1),".")*1000,0),99999))</f>
        <v/>
      </c>
      <c r="CN395" s="3">
        <f>IF(R395="profesional",0,IF(O395&lt;CUOTA_VALOR_MAX,IF(BA395&gt;ITP_TRAMO_ALTO,SUMIFS(CF_CUOTA,CF_MAS,ITP_TRAMO_ALTO,CF_CCMIN,"&lt;="&amp;CM395,CF_CCMAX,"&gt;="&amp;CM395),IF(BA395&gt;ITP_TRAMO_BAJO,SUMIFS(CF_CUOTA,CF_MAS,ITP_TRAMO_BAJO,CF_CCMIN,"&lt;="&amp;CM395,CF_CCMAX,"&gt;="&amp;CM395),O395*ITP_TIPO)),O395*ITP_TIPO))</f>
        <v/>
      </c>
      <c r="CO395" s="4">
        <f>IF(R395="profesional",N(AK395),0)</f>
        <v/>
      </c>
      <c r="CP395" s="3">
        <f>IF(AND(R395="profesional",ISNUMBER(AK395),AL395="sí"),0,TASA_DGT)</f>
        <v/>
      </c>
      <c r="CQ395" s="3">
        <f>INFORME_DGT</f>
        <v/>
      </c>
      <c r="CR395" s="4">
        <f>O395+CO395+CN395+CP395+CQ395</f>
        <v/>
      </c>
      <c r="CS395" s="4">
        <f>CR395+N(CF395)</f>
        <v/>
      </c>
      <c r="CT395" s="3">
        <f>IF(CR395&lt;=TOTAL_MAX,"sí",IF(CR395&lt;=TOTAL_MAX+MARGEN_NEG,"negociar","no"))</f>
        <v/>
      </c>
      <c r="CU395" s="4">
        <f>IF(CT395&lt;&gt;"no",COUNTIFS($CT$2:$CT$545,"&lt;&gt;no",$CL$2:$CL$545,"&gt;"&amp;CL395)+COUNTIFS($CT$2:CT395,"&lt;&gt;no",$CL$2:CL395,CL395),"")</f>
        <v/>
      </c>
    </row>
    <row r="396">
      <c r="A396" s="2" t="inlineStr">
        <is>
          <t>cochesnet:71039872</t>
        </is>
      </c>
      <c r="B396" s="2" t="inlineStr">
        <is>
          <t>cochesnet</t>
        </is>
      </c>
      <c r="C396" s="2" t="inlineStr">
        <is>
          <t>https://www.coches.net/citroen-c3-ehdi-115-exclusive-5p-diesel-2013-en-valencia-71039872-covo.aspx</t>
        </is>
      </c>
      <c r="D396" s="2" t="inlineStr">
        <is>
          <t>CITROEN C3 EHDI 115 Exclusive</t>
        </is>
      </c>
      <c r="E396" s="2" t="inlineStr">
        <is>
          <t>Citroën</t>
        </is>
      </c>
      <c r="F396" s="2" t="inlineStr">
        <is>
          <t>Citroën C3</t>
        </is>
      </c>
      <c r="G396" s="2" t="inlineStr">
        <is>
          <t>? HDi</t>
        </is>
      </c>
      <c r="H396" s="2" t="inlineStr">
        <is>
          <t>EHDI 115 Exclusive</t>
        </is>
      </c>
      <c r="I396" s="2" t="n"/>
      <c r="J396" s="2" t="n"/>
      <c r="K396" s="2" t="inlineStr">
        <is>
          <t>diesel</t>
        </is>
      </c>
      <c r="L396" s="2" t="inlineStr">
        <is>
          <t>utilitario</t>
        </is>
      </c>
      <c r="M396" s="2" t="n">
        <v>2013</v>
      </c>
      <c r="N396" s="2" t="n">
        <v>180000</v>
      </c>
      <c r="O396" s="2" t="n">
        <v>4990</v>
      </c>
      <c r="P396" s="2" t="inlineStr">
        <is>
          <t>manual</t>
        </is>
      </c>
      <c r="Q396" s="2" t="inlineStr">
        <is>
          <t>no</t>
        </is>
      </c>
      <c r="R396" s="2" t="inlineStr">
        <is>
          <t>profesional</t>
        </is>
      </c>
      <c r="S396" s="2" t="inlineStr">
        <is>
          <t>Foios</t>
        </is>
      </c>
      <c r="T396" s="2" t="inlineStr">
        <is>
          <t>2026-10-07T11:07:16Z</t>
        </is>
      </c>
      <c r="U396" s="2" t="n">
        <v>13</v>
      </c>
      <c r="V396" s="2" t="n"/>
      <c r="W396" s="2" t="n"/>
      <c r="X396" s="2" t="n"/>
      <c r="Y396" s="2" t="n"/>
      <c r="Z396" s="2" t="inlineStr">
        <is>
          <t>sí</t>
        </is>
      </c>
      <c r="AA396" s="2" t="n"/>
      <c r="AB396" s="2" t="n">
        <v>12</v>
      </c>
      <c r="AC396" s="2" t="n"/>
      <c r="AD396" s="2" t="n"/>
      <c r="AE396" s="2" t="n"/>
      <c r="AF396" s="2" t="n"/>
      <c r="AG396" s="2" t="n"/>
      <c r="AH396" s="2" t="n">
        <v>4990</v>
      </c>
      <c r="AI396" s="2" t="n">
        <v>4990</v>
      </c>
      <c r="AJ396" s="2" t="n"/>
      <c r="AK396" s="2" t="n"/>
      <c r="AL396" s="2" t="n"/>
      <c r="AM396" s="2" t="n">
        <v>7.7</v>
      </c>
      <c r="AN396" s="2" t="n"/>
      <c r="AO396" s="2" t="inlineStr">
        <is>
          <t>2013</t>
        </is>
      </c>
      <c r="AP396" s="2" t="n">
        <v>2013</v>
      </c>
      <c r="AQ396" s="2" t="n"/>
      <c r="AR396" s="2" t="inlineStr">
        <is>
          <t>C</t>
        </is>
      </c>
      <c r="AS396" s="2" t="inlineStr">
        <is>
          <t>anuncio</t>
        </is>
      </c>
      <c r="AT396" s="2" t="n">
        <v>5500</v>
      </c>
      <c r="AU396" s="2" t="n">
        <v>17</v>
      </c>
      <c r="AV396" s="2" t="inlineStr">
        <is>
          <t>modelo+año</t>
        </is>
      </c>
      <c r="AW396" s="2" t="n"/>
      <c r="AX39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396" s="2" t="inlineStr"/>
      <c r="AZ396" s="2" t="inlineStr">
        <is>
          <t>https://www.coches.net/citroen-c3-ehdi-115-exclusive-5p-diesel-2013-en-valencia-71039872-covo.aspx (window.__INITIAL_PROPS__.ad) /home/user/Alopecia/buscador-coches/raw/cochesnet/860d9c5e45d2dc6a.json</t>
        </is>
      </c>
      <c r="BA396" s="3">
        <f>MAX(ANIO_ACTUAL-M396,0)</f>
        <v/>
      </c>
      <c r="BB396" s="4">
        <f>N396/MAX(BA396,0.5)</f>
        <v/>
      </c>
      <c r="BC396" s="4">
        <f>F396</f>
        <v/>
      </c>
      <c r="BD396" s="3">
        <f>BC396&amp;"|"&amp;INT(M396/SEG_ANIO)*SEG_ANIO</f>
        <v/>
      </c>
      <c r="BE396" s="3">
        <f>BD396&amp;"|"&amp;INT(N396/SEG_KM)*SEG_KM</f>
        <v/>
      </c>
      <c r="BF396" s="4">
        <f>COUNTIF($BC$2:$BC$545,BC396)</f>
        <v/>
      </c>
      <c r="BG396" s="4">
        <f>COUNTIF($BD$2:$BD$545,BD396)</f>
        <v/>
      </c>
      <c r="BH396" s="4">
        <f>COUNTIF($BE$2:$BE$545,BE396)</f>
        <v/>
      </c>
      <c r="BI396" s="3">
        <f t="array" ref="BI396">IF(N(AU396)&gt;=MIN_N,AT396,IF(BH396&gt;=MIN_N,MEDIAN(IF($BE$2:$BE$545=BE396,$O$2:$O$545)),IF(BG396&gt;=MIN_N,MEDIAN(IF($BD$2:$BD$545=BD396,$O$2:$O$545)),MEDIAN(IF($BC$2:$BC$545=BC396,$O$2:$O$545)))))</f>
        <v/>
      </c>
      <c r="BJ396" s="3">
        <f>IF(N(AU396)&gt;=MIN_N,"mercado "&amp;AV396,IF(BH396&gt;=MIN_N,"modelo+año+km",IF(BG396&gt;=MIN_N,"modelo+año","modelo")))</f>
        <v/>
      </c>
      <c r="BK396" s="4">
        <f>(BI396-O396)/BI396</f>
        <v/>
      </c>
      <c r="BL396" s="3">
        <f>IF(COUNTIFS(FR_FUEL,K396,FR_YEAR,AP396)&gt;0,1,0)</f>
        <v/>
      </c>
      <c r="BM396" s="3">
        <f>IF(COUNTIFS(FR_FUEL,K396,FR_YEAR,AP396-1)&gt;0,1,0)</f>
        <v/>
      </c>
      <c r="BN396" s="4">
        <f>IF(N(AQ396)&gt;0,AP396*100+AQ396,IF(AND(BL396=1,BM396=1),(AP396-1)*100+1,AP396*100+1))</f>
        <v/>
      </c>
      <c r="BO396" s="3">
        <f>IF(OR(K396="hibrido",K396="glp",K396="gnc",K396="phev"),"ECO",IF(K396="electrico","CERO",IF(K396="gasolina",IF(BN396&gt;=GAS_C_YM,"C",IF(BN396&gt;=GAS_B_YM,"B","A")),IF(K396="diesel",IF(BN396&gt;=DIE_C_YM,"C",IF(BN396&gt;=DIE_B_YM,"B","A")),""))))</f>
        <v/>
      </c>
      <c r="BP396" s="2" t="inlineStr">
        <is>
          <t>C</t>
        </is>
      </c>
      <c r="BQ396" s="4">
        <f>IF(AS396="regla",IF(AND(N(AQ396)=0,BL396=1),"sí","no"),"no")</f>
        <v/>
      </c>
      <c r="BR396" s="3">
        <f>IFERROR(VLOOKUP(F396,MOD_TBL,11,0),IFERROR(VLOOKUP(E396,OCU_TBL,2,0),NEUTRO))</f>
        <v/>
      </c>
      <c r="BS396" s="3">
        <f>SUMIFS(MOT_AJUSTE,MOT_MOTOR,G396,MOT_MARCA,E396,MOT_DESDE,"&lt;="&amp;M396,MOT_HASTA,"&gt;="&amp;M396)+SUMIFS(MOT_AJUSTE,MOT_MOTOR,G396,MOT_MARCA,"(todas)",MOT_DESDE,"&lt;="&amp;M396,MOT_HASTA,"&gt;="&amp;M396)</f>
        <v/>
      </c>
      <c r="BT396" s="3">
        <f>SUMIFS(COMB_AJUSTE,COMB_COMB,K396)</f>
        <v/>
      </c>
      <c r="BU396" s="3">
        <f>COUNTIFS(MOT_MOTOR,G396,MOT_MARCA,E396,MOT_DESDE,"&lt;="&amp;M396,MOT_HASTA,"&gt;="&amp;M396)+COUNTIFS(MOT_MOTOR,G396,MOT_MARCA,"(todas)",MOT_DESDE,"&lt;="&amp;M396,MOT_HASTA,"&gt;="&amp;M396)</f>
        <v/>
      </c>
      <c r="BV396" s="3">
        <f>IF(AND(K396="diesel",BU396=0),MIN(BR396,NEUTRO),BR396)</f>
        <v/>
      </c>
      <c r="BW396" s="4">
        <f>MAX(0,MIN(100,BV396+BS396+BT396))</f>
        <v/>
      </c>
      <c r="BX396" s="3">
        <f>MAX(0,MIN(100,50+BK396*PRECIO_PEND))</f>
        <v/>
      </c>
      <c r="BY396" s="3">
        <f>MAX(0,100*(1-N396/KM_MAX))</f>
        <v/>
      </c>
      <c r="BZ396" s="3">
        <f>IF(BB396&lt;KMA_SOSP,IF(AA396="sí",100,KMA_PEN),IF(BB396&lt;=KMA_IDEAL_MAX,100,MAX(0,100*(KMA_CERO-BB396)/(KMA_CERO-KMA_IDEAL_MAX))))</f>
        <v/>
      </c>
      <c r="CA396" s="3">
        <f>MAX(0,MIN(100,100*(M396-ANIO_MIN)/(ANIO_ACTUAL-ANIO_MIN)))</f>
        <v/>
      </c>
      <c r="CB396" s="3">
        <f>W_KMT*BY396+W_KMA*BZ396+W_EDAD*CA396</f>
        <v/>
      </c>
      <c r="CC396" s="3">
        <f>P_ITV*(V396="sí")+P_LIBRO*(W396="sí")+P_CORREA*(X396="sí")+P_PROP*(Y396=1)+P_GAR*(Z396="sí")+P_FOTOS*MIN(1,N(U396)/FOTOS_OBJ)</f>
        <v/>
      </c>
      <c r="CD396" s="3">
        <f>MAX(0,MIN(100,IFERROR(VLOOKUP(BP396,ETQ_TBL,2,0),0)-IF(BQ396="sí",ETQ_PEN_DUD,IF(AS396="regla",ETQ_PEN_REGLA,0))))</f>
        <v/>
      </c>
      <c r="CE396" s="3">
        <f>NEUTRO</f>
        <v/>
      </c>
      <c r="CF396" s="3">
        <f>IFERROR(VLOOKUP(L396,SEGURO_TBL,3,0),"")</f>
        <v/>
      </c>
      <c r="CG396" s="3">
        <f>IF(CF396="",NEUTRO,MAX(0,MIN(100,100*(SEG_REF_MAX-CF396)/(SEG_REF_MAX-SEG_REF_MIN))))</f>
        <v/>
      </c>
      <c r="CH396" s="3">
        <f>W_CONS*CE396+W_SEG*CG396</f>
        <v/>
      </c>
      <c r="CI396" s="3">
        <f>IF(N(AB396)&gt;0,AB396,IF(AND(R396="profesional",SG_LEGAL_ON=1),GAR_LEGAL,0))</f>
        <v/>
      </c>
      <c r="CJ396" s="3">
        <f>SG_GAR*MIN(1,CI396/SG_GAR_FULL)+SG_AMPL*(AC396="sí")+SG_KMC*(AF396="sí")+SG_REV*(N(AE396)&gt;0)+SG_DEV*MIN(1,N(AG396)/SG_DEV_FULL)+SG_HIST*(W396="sí")</f>
        <v/>
      </c>
      <c r="CK396" s="3">
        <f>IFERROR(VLOOKUP(L396,CARR_PEN_TBL,2,0),0)</f>
        <v/>
      </c>
      <c r="CL396" s="3">
        <f>W_FIAB*BW396+W_PRECIO*BX396+W_KMEDAD*CB396+W_ANUNCIO*CC396+W_USO*CH396+W_SEGURIDAD*CJ396+W_ETIQUETA*CD396-CK396</f>
        <v/>
      </c>
      <c r="CM396" s="4">
        <f>IF(N(I396)&gt;0,I396,IFERROR(ROUND(_xlfn.NUMBERVALUE(LEFT(G396,FIND(" ",G396&amp;" ")-1),".")*1000,0),99999))</f>
        <v/>
      </c>
      <c r="CN396" s="3">
        <f>IF(R396="profesional",0,IF(O396&lt;CUOTA_VALOR_MAX,IF(BA396&gt;ITP_TRAMO_ALTO,SUMIFS(CF_CUOTA,CF_MAS,ITP_TRAMO_ALTO,CF_CCMIN,"&lt;="&amp;CM396,CF_CCMAX,"&gt;="&amp;CM396),IF(BA396&gt;ITP_TRAMO_BAJO,SUMIFS(CF_CUOTA,CF_MAS,ITP_TRAMO_BAJO,CF_CCMIN,"&lt;="&amp;CM396,CF_CCMAX,"&gt;="&amp;CM396),O396*ITP_TIPO)),O396*ITP_TIPO))</f>
        <v/>
      </c>
      <c r="CO396" s="4">
        <f>IF(R396="profesional",N(AK396),0)</f>
        <v/>
      </c>
      <c r="CP396" s="3">
        <f>IF(AND(R396="profesional",ISNUMBER(AK396),AL396="sí"),0,TASA_DGT)</f>
        <v/>
      </c>
      <c r="CQ396" s="3">
        <f>INFORME_DGT</f>
        <v/>
      </c>
      <c r="CR396" s="4">
        <f>O396+CO396+CN396+CP396+CQ396</f>
        <v/>
      </c>
      <c r="CS396" s="4">
        <f>CR396+N(CF396)</f>
        <v/>
      </c>
      <c r="CT396" s="3">
        <f>IF(CR396&lt;=TOTAL_MAX,"sí",IF(CR396&lt;=TOTAL_MAX+MARGEN_NEG,"negociar","no"))</f>
        <v/>
      </c>
      <c r="CU396" s="4">
        <f>IF(CT396&lt;&gt;"no",COUNTIFS($CT$2:$CT$545,"&lt;&gt;no",$CL$2:$CL$545,"&gt;"&amp;CL396)+COUNTIFS($CT$2:CT396,"&lt;&gt;no",$CL$2:CL396,CL396),"")</f>
        <v/>
      </c>
    </row>
    <row r="397">
      <c r="A397" s="2" t="inlineStr">
        <is>
          <t>cochesnet:71055232</t>
        </is>
      </c>
      <c r="B397" s="2" t="inlineStr">
        <is>
          <t>cochesnet</t>
        </is>
      </c>
      <c r="C397" s="2" t="inlineStr">
        <is>
          <t>https://www.coches.net/citroen-c3-vti-68cv-tonic-5p-gasolina-2013-en-valencia-71055232-covo.aspx</t>
        </is>
      </c>
      <c r="D397" s="2" t="inlineStr">
        <is>
          <t>CITROEN C3 VTi Tonic</t>
        </is>
      </c>
      <c r="E397" s="2" t="inlineStr">
        <is>
          <t>Citroën</t>
        </is>
      </c>
      <c r="F397" s="2" t="inlineStr">
        <is>
          <t>Citroën C3</t>
        </is>
      </c>
      <c r="G397" s="2" t="inlineStr">
        <is>
          <t>? VTi</t>
        </is>
      </c>
      <c r="H397" s="2" t="inlineStr">
        <is>
          <t>VTi 68cv Tonic</t>
        </is>
      </c>
      <c r="I397" s="2" t="n"/>
      <c r="J397" s="2" t="n">
        <v>68</v>
      </c>
      <c r="K397" s="2" t="inlineStr">
        <is>
          <t>gasolina</t>
        </is>
      </c>
      <c r="L397" s="2" t="inlineStr">
        <is>
          <t>utilitario</t>
        </is>
      </c>
      <c r="M397" s="2" t="n">
        <v>2013</v>
      </c>
      <c r="N397" s="2" t="n">
        <v>126000</v>
      </c>
      <c r="O397" s="2" t="n">
        <v>5000</v>
      </c>
      <c r="P397" s="2" t="inlineStr">
        <is>
          <t>manual</t>
        </is>
      </c>
      <c r="Q397" s="2" t="inlineStr">
        <is>
          <t>no</t>
        </is>
      </c>
      <c r="R397" s="2" t="inlineStr">
        <is>
          <t>particular</t>
        </is>
      </c>
      <c r="S397" s="2" t="inlineStr">
        <is>
          <t>Alzira</t>
        </is>
      </c>
      <c r="T397" s="2" t="inlineStr">
        <is>
          <t>2026-09-22T07:11:11Z</t>
        </is>
      </c>
      <c r="U397" s="2" t="n">
        <v>10</v>
      </c>
      <c r="V397" s="2" t="n"/>
      <c r="W397" s="2" t="n"/>
      <c r="X397" s="2" t="n"/>
      <c r="Y397" s="2" t="n"/>
      <c r="Z397" s="2" t="inlineStr">
        <is>
          <t>no</t>
        </is>
      </c>
      <c r="AA397" s="2" t="n"/>
      <c r="AB397" s="2" t="n"/>
      <c r="AC397" s="2" t="n"/>
      <c r="AD397" s="2" t="n"/>
      <c r="AE397" s="2" t="n"/>
      <c r="AF397" s="2" t="n"/>
      <c r="AG397" s="2" t="n"/>
      <c r="AH397" s="2" t="n">
        <v>5000</v>
      </c>
      <c r="AI397" s="2" t="n"/>
      <c r="AJ397" s="2" t="n"/>
      <c r="AK397" s="2" t="n"/>
      <c r="AL397" s="2" t="n"/>
      <c r="AM397" s="2" t="n">
        <v>35.7</v>
      </c>
      <c r="AN397" s="2" t="n"/>
      <c r="AO397" s="2" t="inlineStr">
        <is>
          <t>10/2013</t>
        </is>
      </c>
      <c r="AP397" s="2" t="n">
        <v>2013</v>
      </c>
      <c r="AQ397" s="2" t="n">
        <v>10</v>
      </c>
      <c r="AR397" s="2" t="n"/>
      <c r="AS397" s="2" t="inlineStr">
        <is>
          <t>regla</t>
        </is>
      </c>
      <c r="AT397" s="2" t="n">
        <v>5990</v>
      </c>
      <c r="AU397" s="2" t="n">
        <v>9</v>
      </c>
      <c r="AV397" s="2" t="inlineStr">
        <is>
          <t>modelo+año+km</t>
        </is>
      </c>
      <c r="AW397" s="2" t="n"/>
      <c r="AX397" s="2" t="inlineStr">
        <is>
          <t>por encima del presupuesto (5204 €), negociar; cilindrada desconocida: se aplica el tramo de cuota fija más alto; antigüedad en el límite del tramo: depende de la fecha exacta de matriculación; cuota fija ITP: &gt;12 años, más de 2.000 cc</t>
        </is>
      </c>
      <c r="AY397" s="2" t="inlineStr">
        <is>
          <t>Si buscas un coche que combine comodidad, eficiencia y diseño, este es para ti.
Te presento mi Citroën C3 VTi 68cv Tonic, un berlina versátil y fiable que se adapta perfectamente tanto a la conducción urbana como a trayectos más largos. Con un motor de 999 cc y 68 CV, ofrece un excelente equilibrio entre potencia y consumo moderado, ideal para quienes valoran la economía sin renunciar al rendimiento. Tiene la distribución recién cambiada por una de larga duración, el catalizador y todo el mantenimiento de motor recién hecho, para no tener problemas en mucho tiempo.
El vehículo se encuentra en buen estado general, tanto en el interior como en el exterior. Su carrocería blanca mantiene un aspecto cuidado, y la mecánica responde sin problemas. Con cambio manual y cinco plazas, es práctico y funcional para la familia o para viajes en grupo.
A este precio de 4.800 euros, estás adquiriendo un coche con años de servicio por delante, perfecto para quien busca una solución de transporte económica y sin complicaciones. El motor de gasolina sin plomo es eficiente en consumo, lo que te permitirá ahorrar en carburante a largo plazo..</t>
        </is>
      </c>
      <c r="AZ397" s="2" t="inlineStr">
        <is>
          <t>https://www.coches.net/citroen-c3-vti-68cv-tonic-5p-gasolina-2013-en-valencia-71055232-covo.aspx (window.__INITIAL_PROPS__.ad) /home/user/Alopecia/buscador-coches/raw/cochesnet/44e46e96a0af66d2.json</t>
        </is>
      </c>
      <c r="BA397" s="3">
        <f>MAX(ANIO_ACTUAL-M397,0)</f>
        <v/>
      </c>
      <c r="BB397" s="4">
        <f>N397/MAX(BA397,0.5)</f>
        <v/>
      </c>
      <c r="BC397" s="4">
        <f>F397</f>
        <v/>
      </c>
      <c r="BD397" s="3">
        <f>BC397&amp;"|"&amp;INT(M397/SEG_ANIO)*SEG_ANIO</f>
        <v/>
      </c>
      <c r="BE397" s="3">
        <f>BD397&amp;"|"&amp;INT(N397/SEG_KM)*SEG_KM</f>
        <v/>
      </c>
      <c r="BF397" s="4">
        <f>COUNTIF($BC$2:$BC$545,BC397)</f>
        <v/>
      </c>
      <c r="BG397" s="4">
        <f>COUNTIF($BD$2:$BD$545,BD397)</f>
        <v/>
      </c>
      <c r="BH397" s="4">
        <f>COUNTIF($BE$2:$BE$545,BE397)</f>
        <v/>
      </c>
      <c r="BI397" s="3">
        <f t="array" ref="BI397">IF(N(AU397)&gt;=MIN_N,AT397,IF(BH397&gt;=MIN_N,MEDIAN(IF($BE$2:$BE$545=BE397,$O$2:$O$545)),IF(BG397&gt;=MIN_N,MEDIAN(IF($BD$2:$BD$545=BD397,$O$2:$O$545)),MEDIAN(IF($BC$2:$BC$545=BC397,$O$2:$O$545)))))</f>
        <v/>
      </c>
      <c r="BJ397" s="3">
        <f>IF(N(AU397)&gt;=MIN_N,"mercado "&amp;AV397,IF(BH397&gt;=MIN_N,"modelo+año+km",IF(BG397&gt;=MIN_N,"modelo+año","modelo")))</f>
        <v/>
      </c>
      <c r="BK397" s="4">
        <f>(BI397-O397)/BI397</f>
        <v/>
      </c>
      <c r="BL397" s="3">
        <f>IF(COUNTIFS(FR_FUEL,K397,FR_YEAR,AP397)&gt;0,1,0)</f>
        <v/>
      </c>
      <c r="BM397" s="3">
        <f>IF(COUNTIFS(FR_FUEL,K397,FR_YEAR,AP397-1)&gt;0,1,0)</f>
        <v/>
      </c>
      <c r="BN397" s="4">
        <f>IF(N(AQ397)&gt;0,AP397*100+AQ397,IF(AND(BL397=1,BM397=1),(AP397-1)*100+1,AP397*100+1))</f>
        <v/>
      </c>
      <c r="BO397" s="3">
        <f>IF(OR(K397="hibrido",K397="glp",K397="gnc",K397="phev"),"ECO",IF(K397="electrico","CERO",IF(K397="gasolina",IF(BN397&gt;=GAS_C_YM,"C",IF(BN397&gt;=GAS_B_YM,"B","A")),IF(K397="diesel",IF(BN397&gt;=DIE_C_YM,"C",IF(BN397&gt;=DIE_B_YM,"B","A")),""))))</f>
        <v/>
      </c>
      <c r="BP397" s="4">
        <f>BO397</f>
        <v/>
      </c>
      <c r="BQ397" s="4">
        <f>IF(AS397="regla",IF(AND(N(AQ397)=0,BL397=1),"sí","no"),"no")</f>
        <v/>
      </c>
      <c r="BR397" s="3">
        <f>IFERROR(VLOOKUP(F397,MOD_TBL,11,0),IFERROR(VLOOKUP(E397,OCU_TBL,2,0),NEUTRO))</f>
        <v/>
      </c>
      <c r="BS397" s="3">
        <f>SUMIFS(MOT_AJUSTE,MOT_MOTOR,G397,MOT_MARCA,E397,MOT_DESDE,"&lt;="&amp;M397,MOT_HASTA,"&gt;="&amp;M397)+SUMIFS(MOT_AJUSTE,MOT_MOTOR,G397,MOT_MARCA,"(todas)",MOT_DESDE,"&lt;="&amp;M397,MOT_HASTA,"&gt;="&amp;M397)</f>
        <v/>
      </c>
      <c r="BT397" s="3">
        <f>SUMIFS(COMB_AJUSTE,COMB_COMB,K397)</f>
        <v/>
      </c>
      <c r="BU397" s="3">
        <f>COUNTIFS(MOT_MOTOR,G397,MOT_MARCA,E397,MOT_DESDE,"&lt;="&amp;M397,MOT_HASTA,"&gt;="&amp;M397)+COUNTIFS(MOT_MOTOR,G397,MOT_MARCA,"(todas)",MOT_DESDE,"&lt;="&amp;M397,MOT_HASTA,"&gt;="&amp;M397)</f>
        <v/>
      </c>
      <c r="BV397" s="3">
        <f>IF(AND(K397="diesel",BU397=0),MIN(BR397,NEUTRO),BR397)</f>
        <v/>
      </c>
      <c r="BW397" s="4">
        <f>MAX(0,MIN(100,BV397+BS397+BT397))</f>
        <v/>
      </c>
      <c r="BX397" s="3">
        <f>MAX(0,MIN(100,50+BK397*PRECIO_PEND))</f>
        <v/>
      </c>
      <c r="BY397" s="3">
        <f>MAX(0,100*(1-N397/KM_MAX))</f>
        <v/>
      </c>
      <c r="BZ397" s="3">
        <f>IF(BB397&lt;KMA_SOSP,IF(AA397="sí",100,KMA_PEN),IF(BB397&lt;=KMA_IDEAL_MAX,100,MAX(0,100*(KMA_CERO-BB397)/(KMA_CERO-KMA_IDEAL_MAX))))</f>
        <v/>
      </c>
      <c r="CA397" s="3">
        <f>MAX(0,MIN(100,100*(M397-ANIO_MIN)/(ANIO_ACTUAL-ANIO_MIN)))</f>
        <v/>
      </c>
      <c r="CB397" s="3">
        <f>W_KMT*BY397+W_KMA*BZ397+W_EDAD*CA397</f>
        <v/>
      </c>
      <c r="CC397" s="3">
        <f>P_ITV*(V397="sí")+P_LIBRO*(W397="sí")+P_CORREA*(X397="sí")+P_PROP*(Y397=1)+P_GAR*(Z397="sí")+P_FOTOS*MIN(1,N(U397)/FOTOS_OBJ)</f>
        <v/>
      </c>
      <c r="CD397" s="3">
        <f>MAX(0,MIN(100,IFERROR(VLOOKUP(BP397,ETQ_TBL,2,0),0)-IF(BQ397="sí",ETQ_PEN_DUD,IF(AS397="regla",ETQ_PEN_REGLA,0))))</f>
        <v/>
      </c>
      <c r="CE397" s="3">
        <f>NEUTRO</f>
        <v/>
      </c>
      <c r="CF397" s="3">
        <f>IFERROR(VLOOKUP(L397,SEGURO_TBL,3,0),"")</f>
        <v/>
      </c>
      <c r="CG397" s="3">
        <f>IF(CF397="",NEUTRO,MAX(0,MIN(100,100*(SEG_REF_MAX-CF397)/(SEG_REF_MAX-SEG_REF_MIN))))</f>
        <v/>
      </c>
      <c r="CH397" s="3">
        <f>W_CONS*CE397+W_SEG*CG397</f>
        <v/>
      </c>
      <c r="CI397" s="3">
        <f>IF(N(AB397)&gt;0,AB397,IF(AND(R397="profesional",SG_LEGAL_ON=1),GAR_LEGAL,0))</f>
        <v/>
      </c>
      <c r="CJ397" s="3">
        <f>SG_GAR*MIN(1,CI397/SG_GAR_FULL)+SG_AMPL*(AC397="sí")+SG_KMC*(AF397="sí")+SG_REV*(N(AE397)&gt;0)+SG_DEV*MIN(1,N(AG397)/SG_DEV_FULL)+SG_HIST*(W397="sí")</f>
        <v/>
      </c>
      <c r="CK397" s="3">
        <f>IFERROR(VLOOKUP(L397,CARR_PEN_TBL,2,0),0)</f>
        <v/>
      </c>
      <c r="CL397" s="3">
        <f>W_FIAB*BW397+W_PRECIO*BX397+W_KMEDAD*CB397+W_ANUNCIO*CC397+W_USO*CH397+W_SEGURIDAD*CJ397+W_ETIQUETA*CD397-CK397</f>
        <v/>
      </c>
      <c r="CM397" s="4">
        <f>IF(N(I397)&gt;0,I397,IFERROR(ROUND(_xlfn.NUMBERVALUE(LEFT(G397,FIND(" ",G397&amp;" ")-1),".")*1000,0),99999))</f>
        <v/>
      </c>
      <c r="CN397" s="3">
        <f>IF(R397="profesional",0,IF(O397&lt;CUOTA_VALOR_MAX,IF(BA397&gt;ITP_TRAMO_ALTO,SUMIFS(CF_CUOTA,CF_MAS,ITP_TRAMO_ALTO,CF_CCMIN,"&lt;="&amp;CM397,CF_CCMAX,"&gt;="&amp;CM397),IF(BA397&gt;ITP_TRAMO_BAJO,SUMIFS(CF_CUOTA,CF_MAS,ITP_TRAMO_BAJO,CF_CCMIN,"&lt;="&amp;CM397,CF_CCMAX,"&gt;="&amp;CM397),O397*ITP_TIPO)),O397*ITP_TIPO))</f>
        <v/>
      </c>
      <c r="CO397" s="4">
        <f>IF(R397="profesional",N(AK397),0)</f>
        <v/>
      </c>
      <c r="CP397" s="3">
        <f>IF(AND(R397="profesional",ISNUMBER(AK397),AL397="sí"),0,TASA_DGT)</f>
        <v/>
      </c>
      <c r="CQ397" s="3">
        <f>INFORME_DGT</f>
        <v/>
      </c>
      <c r="CR397" s="4">
        <f>O397+CO397+CN397+CP397+CQ397</f>
        <v/>
      </c>
      <c r="CS397" s="4">
        <f>CR397+N(CF397)</f>
        <v/>
      </c>
      <c r="CT397" s="3">
        <f>IF(CR397&lt;=TOTAL_MAX,"sí",IF(CR397&lt;=TOTAL_MAX+MARGEN_NEG,"negociar","no"))</f>
        <v/>
      </c>
      <c r="CU397" s="4">
        <f>IF(CT397&lt;&gt;"no",COUNTIFS($CT$2:$CT$545,"&lt;&gt;no",$CL$2:$CL$545,"&gt;"&amp;CL397)+COUNTIFS($CT$2:CT397,"&lt;&gt;no",$CL$2:CL397,CL397),"")</f>
        <v/>
      </c>
    </row>
    <row r="398">
      <c r="A398" s="2" t="inlineStr">
        <is>
          <t>cochesnet:71679274</t>
        </is>
      </c>
      <c r="B398" s="2" t="inlineStr">
        <is>
          <t>cochesnet</t>
        </is>
      </c>
      <c r="C398" s="2" t="inlineStr">
        <is>
          <t>https://www.coches.net/citroen-c4-14-16v-lx-5p-gasolina-2004-en-valencia-71679274-covo.aspx</t>
        </is>
      </c>
      <c r="D398" s="2" t="inlineStr">
        <is>
          <t>CITROEN C4 1.4 16v LX</t>
        </is>
      </c>
      <c r="E398" s="2" t="inlineStr">
        <is>
          <t>Citroën</t>
        </is>
      </c>
      <c r="F398" s="2" t="inlineStr">
        <is>
          <t>Citroën C4</t>
        </is>
      </c>
      <c r="G398" s="2" t="inlineStr">
        <is>
          <t>1.4</t>
        </is>
      </c>
      <c r="H398" s="2" t="n"/>
      <c r="I398" s="2" t="n"/>
      <c r="J398" s="2" t="n"/>
      <c r="K398" s="2" t="inlineStr">
        <is>
          <t>gasolina</t>
        </is>
      </c>
      <c r="L398" s="2" t="inlineStr">
        <is>
          <t>compacto</t>
        </is>
      </c>
      <c r="M398" s="2" t="n">
        <v>2007</v>
      </c>
      <c r="N398" s="2" t="n">
        <v>144000</v>
      </c>
      <c r="O398" s="2" t="n">
        <v>3790</v>
      </c>
      <c r="P398" s="2" t="n"/>
      <c r="Q398" s="2" t="n"/>
      <c r="R398" s="2" t="inlineStr">
        <is>
          <t>profesional</t>
        </is>
      </c>
      <c r="S398" s="2" t="inlineStr">
        <is>
          <t>Torrent</t>
        </is>
      </c>
      <c r="T398" s="2" t="inlineStr">
        <is>
          <t>2026-10-05T19:17:25Z</t>
        </is>
      </c>
      <c r="U398" s="2" t="n">
        <v>11</v>
      </c>
      <c r="V398" s="2" t="n"/>
      <c r="W398" s="2" t="n"/>
      <c r="X398" s="2" t="n"/>
      <c r="Y398" s="2" t="n"/>
      <c r="Z398" s="2" t="inlineStr">
        <is>
          <t>sí</t>
        </is>
      </c>
      <c r="AA398" s="2" t="n"/>
      <c r="AB398" s="2" t="n">
        <v>12</v>
      </c>
      <c r="AC398" s="2" t="n"/>
      <c r="AD398" s="2" t="n"/>
      <c r="AE398" s="2" t="n"/>
      <c r="AF398" s="2" t="n"/>
      <c r="AG398" s="2" t="n"/>
      <c r="AH398" s="2" t="n">
        <v>3790</v>
      </c>
      <c r="AI398" s="2" t="n"/>
      <c r="AJ398" s="2" t="n"/>
      <c r="AK398" s="2" t="n"/>
      <c r="AL398" s="2" t="n"/>
      <c r="AM398" s="2" t="n"/>
      <c r="AN398" s="2" t="n"/>
      <c r="AO398" s="2" t="inlineStr">
        <is>
          <t>2007</t>
        </is>
      </c>
      <c r="AP398" s="2" t="n">
        <v>2007</v>
      </c>
      <c r="AQ398" s="2" t="n"/>
      <c r="AR398" s="2" t="inlineStr">
        <is>
          <t>C</t>
        </is>
      </c>
      <c r="AS398" s="2" t="inlineStr">
        <is>
          <t>anuncio</t>
        </is>
      </c>
      <c r="AT398" s="2" t="n">
        <v>3797</v>
      </c>
      <c r="AU398" s="2" t="n">
        <v>9</v>
      </c>
      <c r="AV398" s="2" t="inlineStr">
        <is>
          <t>modelo+año+km</t>
        </is>
      </c>
      <c r="AW398" s="2" t="n"/>
      <c r="AX398"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398" s="2" t="inlineStr"/>
      <c r="AZ398" s="2" t="inlineStr">
        <is>
          <t>https://www.coches.net/citroen/c4/segunda-mano/valencia/?pg=2 /home/user/Alopecia/buscador-coches/raw/cochesnet/7735a7ce7f2bdd1e.json</t>
        </is>
      </c>
      <c r="BA398" s="3">
        <f>MAX(ANIO_ACTUAL-M398,0)</f>
        <v/>
      </c>
      <c r="BB398" s="4">
        <f>N398/MAX(BA398,0.5)</f>
        <v/>
      </c>
      <c r="BC398" s="4">
        <f>F398</f>
        <v/>
      </c>
      <c r="BD398" s="3">
        <f>BC398&amp;"|"&amp;INT(M398/SEG_ANIO)*SEG_ANIO</f>
        <v/>
      </c>
      <c r="BE398" s="3">
        <f>BD398&amp;"|"&amp;INT(N398/SEG_KM)*SEG_KM</f>
        <v/>
      </c>
      <c r="BF398" s="4">
        <f>COUNTIF($BC$2:$BC$545,BC398)</f>
        <v/>
      </c>
      <c r="BG398" s="4">
        <f>COUNTIF($BD$2:$BD$545,BD398)</f>
        <v/>
      </c>
      <c r="BH398" s="4">
        <f>COUNTIF($BE$2:$BE$545,BE398)</f>
        <v/>
      </c>
      <c r="BI398" s="3">
        <f t="array" ref="BI398">IF(N(AU398)&gt;=MIN_N,AT398,IF(BH398&gt;=MIN_N,MEDIAN(IF($BE$2:$BE$545=BE398,$O$2:$O$545)),IF(BG398&gt;=MIN_N,MEDIAN(IF($BD$2:$BD$545=BD398,$O$2:$O$545)),MEDIAN(IF($BC$2:$BC$545=BC398,$O$2:$O$545)))))</f>
        <v/>
      </c>
      <c r="BJ398" s="3">
        <f>IF(N(AU398)&gt;=MIN_N,"mercado "&amp;AV398,IF(BH398&gt;=MIN_N,"modelo+año+km",IF(BG398&gt;=MIN_N,"modelo+año","modelo")))</f>
        <v/>
      </c>
      <c r="BK398" s="4">
        <f>(BI398-O398)/BI398</f>
        <v/>
      </c>
      <c r="BL398" s="3">
        <f>IF(COUNTIFS(FR_FUEL,K398,FR_YEAR,AP398)&gt;0,1,0)</f>
        <v/>
      </c>
      <c r="BM398" s="3">
        <f>IF(COUNTIFS(FR_FUEL,K398,FR_YEAR,AP398-1)&gt;0,1,0)</f>
        <v/>
      </c>
      <c r="BN398" s="4">
        <f>IF(N(AQ398)&gt;0,AP398*100+AQ398,IF(AND(BL398=1,BM398=1),(AP398-1)*100+1,AP398*100+1))</f>
        <v/>
      </c>
      <c r="BO398" s="3">
        <f>IF(OR(K398="hibrido",K398="glp",K398="gnc",K398="phev"),"ECO",IF(K398="electrico","CERO",IF(K398="gasolina",IF(BN398&gt;=GAS_C_YM,"C",IF(BN398&gt;=GAS_B_YM,"B","A")),IF(K398="diesel",IF(BN398&gt;=DIE_C_YM,"C",IF(BN398&gt;=DIE_B_YM,"B","A")),""))))</f>
        <v/>
      </c>
      <c r="BP398" s="2" t="inlineStr">
        <is>
          <t>C</t>
        </is>
      </c>
      <c r="BQ398" s="4">
        <f>IF(AS398="regla",IF(AND(N(AQ398)=0,BL398=1),"sí","no"),"no")</f>
        <v/>
      </c>
      <c r="BR398" s="3">
        <f>IFERROR(VLOOKUP(F398,MOD_TBL,11,0),IFERROR(VLOOKUP(E398,OCU_TBL,2,0),NEUTRO))</f>
        <v/>
      </c>
      <c r="BS398" s="3">
        <f>SUMIFS(MOT_AJUSTE,MOT_MOTOR,G398,MOT_MARCA,E398,MOT_DESDE,"&lt;="&amp;M398,MOT_HASTA,"&gt;="&amp;M398)+SUMIFS(MOT_AJUSTE,MOT_MOTOR,G398,MOT_MARCA,"(todas)",MOT_DESDE,"&lt;="&amp;M398,MOT_HASTA,"&gt;="&amp;M398)</f>
        <v/>
      </c>
      <c r="BT398" s="3">
        <f>SUMIFS(COMB_AJUSTE,COMB_COMB,K398)</f>
        <v/>
      </c>
      <c r="BU398" s="3">
        <f>COUNTIFS(MOT_MOTOR,G398,MOT_MARCA,E398,MOT_DESDE,"&lt;="&amp;M398,MOT_HASTA,"&gt;="&amp;M398)+COUNTIFS(MOT_MOTOR,G398,MOT_MARCA,"(todas)",MOT_DESDE,"&lt;="&amp;M398,MOT_HASTA,"&gt;="&amp;M398)</f>
        <v/>
      </c>
      <c r="BV398" s="3">
        <f>IF(AND(K398="diesel",BU398=0),MIN(BR398,NEUTRO),BR398)</f>
        <v/>
      </c>
      <c r="BW398" s="4">
        <f>MAX(0,MIN(100,BV398+BS398+BT398))</f>
        <v/>
      </c>
      <c r="BX398" s="3">
        <f>MAX(0,MIN(100,50+BK398*PRECIO_PEND))</f>
        <v/>
      </c>
      <c r="BY398" s="3">
        <f>MAX(0,100*(1-N398/KM_MAX))</f>
        <v/>
      </c>
      <c r="BZ398" s="3">
        <f>IF(BB398&lt;KMA_SOSP,IF(AA398="sí",100,KMA_PEN),IF(BB398&lt;=KMA_IDEAL_MAX,100,MAX(0,100*(KMA_CERO-BB398)/(KMA_CERO-KMA_IDEAL_MAX))))</f>
        <v/>
      </c>
      <c r="CA398" s="3">
        <f>MAX(0,MIN(100,100*(M398-ANIO_MIN)/(ANIO_ACTUAL-ANIO_MIN)))</f>
        <v/>
      </c>
      <c r="CB398" s="3">
        <f>W_KMT*BY398+W_KMA*BZ398+W_EDAD*CA398</f>
        <v/>
      </c>
      <c r="CC398" s="3">
        <f>P_ITV*(V398="sí")+P_LIBRO*(W398="sí")+P_CORREA*(X398="sí")+P_PROP*(Y398=1)+P_GAR*(Z398="sí")+P_FOTOS*MIN(1,N(U398)/FOTOS_OBJ)</f>
        <v/>
      </c>
      <c r="CD398" s="3">
        <f>MAX(0,MIN(100,IFERROR(VLOOKUP(BP398,ETQ_TBL,2,0),0)-IF(BQ398="sí",ETQ_PEN_DUD,IF(AS398="regla",ETQ_PEN_REGLA,0))))</f>
        <v/>
      </c>
      <c r="CE398" s="3">
        <f>NEUTRO</f>
        <v/>
      </c>
      <c r="CF398" s="3">
        <f>IFERROR(VLOOKUP(L398,SEGURO_TBL,3,0),"")</f>
        <v/>
      </c>
      <c r="CG398" s="3">
        <f>IF(CF398="",NEUTRO,MAX(0,MIN(100,100*(SEG_REF_MAX-CF398)/(SEG_REF_MAX-SEG_REF_MIN))))</f>
        <v/>
      </c>
      <c r="CH398" s="3">
        <f>W_CONS*CE398+W_SEG*CG398</f>
        <v/>
      </c>
      <c r="CI398" s="3">
        <f>IF(N(AB398)&gt;0,AB398,IF(AND(R398="profesional",SG_LEGAL_ON=1),GAR_LEGAL,0))</f>
        <v/>
      </c>
      <c r="CJ398" s="3">
        <f>SG_GAR*MIN(1,CI398/SG_GAR_FULL)+SG_AMPL*(AC398="sí")+SG_KMC*(AF398="sí")+SG_REV*(N(AE398)&gt;0)+SG_DEV*MIN(1,N(AG398)/SG_DEV_FULL)+SG_HIST*(W398="sí")</f>
        <v/>
      </c>
      <c r="CK398" s="3">
        <f>IFERROR(VLOOKUP(L398,CARR_PEN_TBL,2,0),0)</f>
        <v/>
      </c>
      <c r="CL398" s="3">
        <f>W_FIAB*BW398+W_PRECIO*BX398+W_KMEDAD*CB398+W_ANUNCIO*CC398+W_USO*CH398+W_SEGURIDAD*CJ398+W_ETIQUETA*CD398-CK398</f>
        <v/>
      </c>
      <c r="CM398" s="4">
        <f>IF(N(I398)&gt;0,I398,IFERROR(ROUND(_xlfn.NUMBERVALUE(LEFT(G398,FIND(" ",G398&amp;" ")-1),".")*1000,0),99999))</f>
        <v/>
      </c>
      <c r="CN398" s="3">
        <f>IF(R398="profesional",0,IF(O398&lt;CUOTA_VALOR_MAX,IF(BA398&gt;ITP_TRAMO_ALTO,SUMIFS(CF_CUOTA,CF_MAS,ITP_TRAMO_ALTO,CF_CCMIN,"&lt;="&amp;CM398,CF_CCMAX,"&gt;="&amp;CM398),IF(BA398&gt;ITP_TRAMO_BAJO,SUMIFS(CF_CUOTA,CF_MAS,ITP_TRAMO_BAJO,CF_CCMIN,"&lt;="&amp;CM398,CF_CCMAX,"&gt;="&amp;CM398),O398*ITP_TIPO)),O398*ITP_TIPO))</f>
        <v/>
      </c>
      <c r="CO398" s="4">
        <f>IF(R398="profesional",N(AK398),0)</f>
        <v/>
      </c>
      <c r="CP398" s="3">
        <f>IF(AND(R398="profesional",ISNUMBER(AK398),AL398="sí"),0,TASA_DGT)</f>
        <v/>
      </c>
      <c r="CQ398" s="3">
        <f>INFORME_DGT</f>
        <v/>
      </c>
      <c r="CR398" s="4">
        <f>O398+CO398+CN398+CP398+CQ398</f>
        <v/>
      </c>
      <c r="CS398" s="4">
        <f>CR398+N(CF398)</f>
        <v/>
      </c>
      <c r="CT398" s="3">
        <f>IF(CR398&lt;=TOTAL_MAX,"sí",IF(CR398&lt;=TOTAL_MAX+MARGEN_NEG,"negociar","no"))</f>
        <v/>
      </c>
      <c r="CU398" s="4">
        <f>IF(CT398&lt;&gt;"no",COUNTIFS($CT$2:$CT$545,"&lt;&gt;no",$CL$2:$CL$545,"&gt;"&amp;CL398)+COUNTIFS($CT$2:CT398,"&lt;&gt;no",$CL$2:CL398,CL398),"")</f>
        <v/>
      </c>
    </row>
    <row r="399">
      <c r="A399" s="2" t="inlineStr">
        <is>
          <t>cochesnet:71857272</t>
        </is>
      </c>
      <c r="B399" s="2" t="inlineStr">
        <is>
          <t>cochesnet</t>
        </is>
      </c>
      <c r="C399" s="2" t="inlineStr">
        <is>
          <t>https://www.coches.net/citroen-c4-14-16v-collection-5p-gasolina-2007-en-valencia-71857272-covo.aspx</t>
        </is>
      </c>
      <c r="D399" s="2" t="inlineStr">
        <is>
          <t>CITROEN C4 1.4 16v Collection</t>
        </is>
      </c>
      <c r="E399" s="2" t="inlineStr">
        <is>
          <t>Citroën</t>
        </is>
      </c>
      <c r="F399" s="2" t="inlineStr">
        <is>
          <t>Citroën C4</t>
        </is>
      </c>
      <c r="G399" s="2" t="inlineStr">
        <is>
          <t>1.4</t>
        </is>
      </c>
      <c r="H399" s="2" t="inlineStr">
        <is>
          <t>1.4 16v Collection</t>
        </is>
      </c>
      <c r="I399" s="2" t="n"/>
      <c r="J399" s="2" t="n"/>
      <c r="K399" s="2" t="inlineStr">
        <is>
          <t>gasolina</t>
        </is>
      </c>
      <c r="L399" s="2" t="inlineStr">
        <is>
          <t>compacto</t>
        </is>
      </c>
      <c r="M399" s="2" t="n">
        <v>2007</v>
      </c>
      <c r="N399" s="2" t="n">
        <v>143000</v>
      </c>
      <c r="O399" s="2" t="n">
        <v>3500</v>
      </c>
      <c r="P399" s="2" t="inlineStr">
        <is>
          <t>manual</t>
        </is>
      </c>
      <c r="Q399" s="2" t="inlineStr">
        <is>
          <t>no</t>
        </is>
      </c>
      <c r="R399" s="2" t="inlineStr">
        <is>
          <t>particular</t>
        </is>
      </c>
      <c r="S399" s="2" t="n"/>
      <c r="T399" s="2" t="inlineStr">
        <is>
          <t>2026-10-28T17:44:15Z</t>
        </is>
      </c>
      <c r="U399" s="2" t="n">
        <v>5</v>
      </c>
      <c r="V399" s="2" t="inlineStr">
        <is>
          <t>sí</t>
        </is>
      </c>
      <c r="W399" s="2" t="n"/>
      <c r="X399" s="2" t="n"/>
      <c r="Y399" s="2" t="n"/>
      <c r="Z399" s="2" t="inlineStr">
        <is>
          <t>no</t>
        </is>
      </c>
      <c r="AA399" s="2" t="n"/>
      <c r="AB399" s="2" t="n"/>
      <c r="AC399" s="2" t="n"/>
      <c r="AD399" s="2" t="n"/>
      <c r="AE399" s="2" t="n"/>
      <c r="AF399" s="2" t="n"/>
      <c r="AG399" s="2" t="n"/>
      <c r="AH399" s="2" t="n">
        <v>3500</v>
      </c>
      <c r="AI399" s="2" t="n"/>
      <c r="AJ399" s="2" t="n"/>
      <c r="AK399" s="2" t="n"/>
      <c r="AL399" s="2" t="n"/>
      <c r="AM399" s="2" t="n"/>
      <c r="AN399" s="2" t="n"/>
      <c r="AO399" s="2" t="inlineStr">
        <is>
          <t>2007</t>
        </is>
      </c>
      <c r="AP399" s="2" t="n">
        <v>2007</v>
      </c>
      <c r="AQ399" s="2" t="n"/>
      <c r="AR399" s="2" t="n"/>
      <c r="AS399" s="2" t="inlineStr">
        <is>
          <t>regla</t>
        </is>
      </c>
      <c r="AT399" s="2" t="n">
        <v>3797</v>
      </c>
      <c r="AU399" s="2" t="n">
        <v>9</v>
      </c>
      <c r="AV399" s="2" t="inlineStr">
        <is>
          <t>modelo+año+km</t>
        </is>
      </c>
      <c r="AW399" s="2" t="n"/>
      <c r="AX399" s="2" t="inlineStr">
        <is>
          <t>cuota fija ITP: &gt;12 años, hasta 1.500 cc; distancia no verificable (el anuncio solo indica la provincia): confirmar que está a &lt;= 70 km; fiabilidad del modelo PENDIENTE de fuente (puntuación neutra)</t>
        </is>
      </c>
      <c r="AY399" s="2" t="inlineStr">
        <is>
          <t>Se vende un coche bien cuidado y sin ningún fallo
Tanto en interior ,como exterior 
Todo al dia,itv recién pasada</t>
        </is>
      </c>
      <c r="AZ399" s="2" t="inlineStr">
        <is>
          <t>https://www.coches.net/citroen-c4-14-16v-collection-5p-gasolina-2007-en-valencia-71857272-covo.aspx (window.__INITIAL_PROPS__.ad) /home/user/Alopecia/buscador-coches/raw/cochesnet/23d9ce8bc5f680ad.json</t>
        </is>
      </c>
      <c r="BA399" s="3">
        <f>MAX(ANIO_ACTUAL-M399,0)</f>
        <v/>
      </c>
      <c r="BB399" s="4">
        <f>N399/MAX(BA399,0.5)</f>
        <v/>
      </c>
      <c r="BC399" s="4">
        <f>F399</f>
        <v/>
      </c>
      <c r="BD399" s="3">
        <f>BC399&amp;"|"&amp;INT(M399/SEG_ANIO)*SEG_ANIO</f>
        <v/>
      </c>
      <c r="BE399" s="3">
        <f>BD399&amp;"|"&amp;INT(N399/SEG_KM)*SEG_KM</f>
        <v/>
      </c>
      <c r="BF399" s="4">
        <f>COUNTIF($BC$2:$BC$545,BC399)</f>
        <v/>
      </c>
      <c r="BG399" s="4">
        <f>COUNTIF($BD$2:$BD$545,BD399)</f>
        <v/>
      </c>
      <c r="BH399" s="4">
        <f>COUNTIF($BE$2:$BE$545,BE399)</f>
        <v/>
      </c>
      <c r="BI399" s="3">
        <f t="array" ref="BI399">IF(N(AU399)&gt;=MIN_N,AT399,IF(BH399&gt;=MIN_N,MEDIAN(IF($BE$2:$BE$545=BE399,$O$2:$O$545)),IF(BG399&gt;=MIN_N,MEDIAN(IF($BD$2:$BD$545=BD399,$O$2:$O$545)),MEDIAN(IF($BC$2:$BC$545=BC399,$O$2:$O$545)))))</f>
        <v/>
      </c>
      <c r="BJ399" s="3">
        <f>IF(N(AU399)&gt;=MIN_N,"mercado "&amp;AV399,IF(BH399&gt;=MIN_N,"modelo+año+km",IF(BG399&gt;=MIN_N,"modelo+año","modelo")))</f>
        <v/>
      </c>
      <c r="BK399" s="4">
        <f>(BI399-O399)/BI399</f>
        <v/>
      </c>
      <c r="BL399" s="3">
        <f>IF(COUNTIFS(FR_FUEL,K399,FR_YEAR,AP399)&gt;0,1,0)</f>
        <v/>
      </c>
      <c r="BM399" s="3">
        <f>IF(COUNTIFS(FR_FUEL,K399,FR_YEAR,AP399-1)&gt;0,1,0)</f>
        <v/>
      </c>
      <c r="BN399" s="4">
        <f>IF(N(AQ399)&gt;0,AP399*100+AQ399,IF(AND(BL399=1,BM399=1),(AP399-1)*100+1,AP399*100+1))</f>
        <v/>
      </c>
      <c r="BO399" s="3">
        <f>IF(OR(K399="hibrido",K399="glp",K399="gnc",K399="phev"),"ECO",IF(K399="electrico","CERO",IF(K399="gasolina",IF(BN399&gt;=GAS_C_YM,"C",IF(BN399&gt;=GAS_B_YM,"B","A")),IF(K399="diesel",IF(BN399&gt;=DIE_C_YM,"C",IF(BN399&gt;=DIE_B_YM,"B","A")),""))))</f>
        <v/>
      </c>
      <c r="BP399" s="4">
        <f>BO399</f>
        <v/>
      </c>
      <c r="BQ399" s="4">
        <f>IF(AS399="regla",IF(AND(N(AQ399)=0,BL399=1),"sí","no"),"no")</f>
        <v/>
      </c>
      <c r="BR399" s="3">
        <f>IFERROR(VLOOKUP(F399,MOD_TBL,11,0),IFERROR(VLOOKUP(E399,OCU_TBL,2,0),NEUTRO))</f>
        <v/>
      </c>
      <c r="BS399" s="3">
        <f>SUMIFS(MOT_AJUSTE,MOT_MOTOR,G399,MOT_MARCA,E399,MOT_DESDE,"&lt;="&amp;M399,MOT_HASTA,"&gt;="&amp;M399)+SUMIFS(MOT_AJUSTE,MOT_MOTOR,G399,MOT_MARCA,"(todas)",MOT_DESDE,"&lt;="&amp;M399,MOT_HASTA,"&gt;="&amp;M399)</f>
        <v/>
      </c>
      <c r="BT399" s="3">
        <f>SUMIFS(COMB_AJUSTE,COMB_COMB,K399)</f>
        <v/>
      </c>
      <c r="BU399" s="3">
        <f>COUNTIFS(MOT_MOTOR,G399,MOT_MARCA,E399,MOT_DESDE,"&lt;="&amp;M399,MOT_HASTA,"&gt;="&amp;M399)+COUNTIFS(MOT_MOTOR,G399,MOT_MARCA,"(todas)",MOT_DESDE,"&lt;="&amp;M399,MOT_HASTA,"&gt;="&amp;M399)</f>
        <v/>
      </c>
      <c r="BV399" s="3">
        <f>IF(AND(K399="diesel",BU399=0),MIN(BR399,NEUTRO),BR399)</f>
        <v/>
      </c>
      <c r="BW399" s="4">
        <f>MAX(0,MIN(100,BV399+BS399+BT399))</f>
        <v/>
      </c>
      <c r="BX399" s="3">
        <f>MAX(0,MIN(100,50+BK399*PRECIO_PEND))</f>
        <v/>
      </c>
      <c r="BY399" s="3">
        <f>MAX(0,100*(1-N399/KM_MAX))</f>
        <v/>
      </c>
      <c r="BZ399" s="3">
        <f>IF(BB399&lt;KMA_SOSP,IF(AA399="sí",100,KMA_PEN),IF(BB399&lt;=KMA_IDEAL_MAX,100,MAX(0,100*(KMA_CERO-BB399)/(KMA_CERO-KMA_IDEAL_MAX))))</f>
        <v/>
      </c>
      <c r="CA399" s="3">
        <f>MAX(0,MIN(100,100*(M399-ANIO_MIN)/(ANIO_ACTUAL-ANIO_MIN)))</f>
        <v/>
      </c>
      <c r="CB399" s="3">
        <f>W_KMT*BY399+W_KMA*BZ399+W_EDAD*CA399</f>
        <v/>
      </c>
      <c r="CC399" s="3">
        <f>P_ITV*(V399="sí")+P_LIBRO*(W399="sí")+P_CORREA*(X399="sí")+P_PROP*(Y399=1)+P_GAR*(Z399="sí")+P_FOTOS*MIN(1,N(U399)/FOTOS_OBJ)</f>
        <v/>
      </c>
      <c r="CD399" s="3">
        <f>MAX(0,MIN(100,IFERROR(VLOOKUP(BP399,ETQ_TBL,2,0),0)-IF(BQ399="sí",ETQ_PEN_DUD,IF(AS399="regla",ETQ_PEN_REGLA,0))))</f>
        <v/>
      </c>
      <c r="CE399" s="3">
        <f>NEUTRO</f>
        <v/>
      </c>
      <c r="CF399" s="3">
        <f>IFERROR(VLOOKUP(L399,SEGURO_TBL,3,0),"")</f>
        <v/>
      </c>
      <c r="CG399" s="3">
        <f>IF(CF399="",NEUTRO,MAX(0,MIN(100,100*(SEG_REF_MAX-CF399)/(SEG_REF_MAX-SEG_REF_MIN))))</f>
        <v/>
      </c>
      <c r="CH399" s="3">
        <f>W_CONS*CE399+W_SEG*CG399</f>
        <v/>
      </c>
      <c r="CI399" s="3">
        <f>IF(N(AB399)&gt;0,AB399,IF(AND(R399="profesional",SG_LEGAL_ON=1),GAR_LEGAL,0))</f>
        <v/>
      </c>
      <c r="CJ399" s="3">
        <f>SG_GAR*MIN(1,CI399/SG_GAR_FULL)+SG_AMPL*(AC399="sí")+SG_KMC*(AF399="sí")+SG_REV*(N(AE399)&gt;0)+SG_DEV*MIN(1,N(AG399)/SG_DEV_FULL)+SG_HIST*(W399="sí")</f>
        <v/>
      </c>
      <c r="CK399" s="3">
        <f>IFERROR(VLOOKUP(L399,CARR_PEN_TBL,2,0),0)</f>
        <v/>
      </c>
      <c r="CL399" s="3">
        <f>W_FIAB*BW399+W_PRECIO*BX399+W_KMEDAD*CB399+W_ANUNCIO*CC399+W_USO*CH399+W_SEGURIDAD*CJ399+W_ETIQUETA*CD399-CK399</f>
        <v/>
      </c>
      <c r="CM399" s="4">
        <f>IF(N(I399)&gt;0,I399,IFERROR(ROUND(_xlfn.NUMBERVALUE(LEFT(G399,FIND(" ",G399&amp;" ")-1),".")*1000,0),99999))</f>
        <v/>
      </c>
      <c r="CN399" s="3">
        <f>IF(R399="profesional",0,IF(O399&lt;CUOTA_VALOR_MAX,IF(BA399&gt;ITP_TRAMO_ALTO,SUMIFS(CF_CUOTA,CF_MAS,ITP_TRAMO_ALTO,CF_CCMIN,"&lt;="&amp;CM399,CF_CCMAX,"&gt;="&amp;CM399),IF(BA399&gt;ITP_TRAMO_BAJO,SUMIFS(CF_CUOTA,CF_MAS,ITP_TRAMO_BAJO,CF_CCMIN,"&lt;="&amp;CM399,CF_CCMAX,"&gt;="&amp;CM399),O399*ITP_TIPO)),O399*ITP_TIPO))</f>
        <v/>
      </c>
      <c r="CO399" s="4">
        <f>IF(R399="profesional",N(AK399),0)</f>
        <v/>
      </c>
      <c r="CP399" s="3">
        <f>IF(AND(R399="profesional",ISNUMBER(AK399),AL399="sí"),0,TASA_DGT)</f>
        <v/>
      </c>
      <c r="CQ399" s="3">
        <f>INFORME_DGT</f>
        <v/>
      </c>
      <c r="CR399" s="4">
        <f>O399+CO399+CN399+CP399+CQ399</f>
        <v/>
      </c>
      <c r="CS399" s="4">
        <f>CR399+N(CF399)</f>
        <v/>
      </c>
      <c r="CT399" s="3">
        <f>IF(CR399&lt;=TOTAL_MAX,"sí",IF(CR399&lt;=TOTAL_MAX+MARGEN_NEG,"negociar","no"))</f>
        <v/>
      </c>
      <c r="CU399" s="4">
        <f>IF(CT399&lt;&gt;"no",COUNTIFS($CT$2:$CT$545,"&lt;&gt;no",$CL$2:$CL$545,"&gt;"&amp;CL399)+COUNTIFS($CT$2:CT399,"&lt;&gt;no",$CL$2:CL399,CL399),"")</f>
        <v/>
      </c>
    </row>
    <row r="400">
      <c r="A400" s="2" t="inlineStr">
        <is>
          <t>cochesnet:71777076</t>
        </is>
      </c>
      <c r="B400" s="2" t="inlineStr">
        <is>
          <t>cochesnet</t>
        </is>
      </c>
      <c r="C400" s="2" t="inlineStr">
        <is>
          <t>https://www.coches.net/citroen-c4-14-16v-cool-5p-gasolina-2005-en-valencia-71777076-covo.aspx</t>
        </is>
      </c>
      <c r="D400" s="2" t="inlineStr">
        <is>
          <t>CITROEN C4 1.4 16v Cool</t>
        </is>
      </c>
      <c r="E400" s="2" t="inlineStr">
        <is>
          <t>Citroën</t>
        </is>
      </c>
      <c r="F400" s="2" t="inlineStr">
        <is>
          <t>Citroën C4</t>
        </is>
      </c>
      <c r="G400" s="2" t="inlineStr">
        <is>
          <t>1.4</t>
        </is>
      </c>
      <c r="H400" s="2" t="inlineStr">
        <is>
          <t>1.4 16v Cool</t>
        </is>
      </c>
      <c r="I400" s="2" t="n"/>
      <c r="J400" s="2" t="n"/>
      <c r="K400" s="2" t="inlineStr">
        <is>
          <t>gasolina</t>
        </is>
      </c>
      <c r="L400" s="2" t="inlineStr">
        <is>
          <t>compacto</t>
        </is>
      </c>
      <c r="M400" s="2" t="n">
        <v>2009</v>
      </c>
      <c r="N400" s="2" t="n">
        <v>90000</v>
      </c>
      <c r="O400" s="2" t="n">
        <v>4990</v>
      </c>
      <c r="P400" s="2" t="inlineStr">
        <is>
          <t>manual</t>
        </is>
      </c>
      <c r="Q400" s="2" t="inlineStr">
        <is>
          <t>no</t>
        </is>
      </c>
      <c r="R400" s="2" t="inlineStr">
        <is>
          <t>profesional</t>
        </is>
      </c>
      <c r="S400" s="2" t="inlineStr">
        <is>
          <t>Garageng Foios Foios</t>
        </is>
      </c>
      <c r="T400" s="2" t="inlineStr">
        <is>
          <t>2026-10-19T00:49:28Z</t>
        </is>
      </c>
      <c r="U400" s="2" t="n">
        <v>28</v>
      </c>
      <c r="V400" s="2" t="inlineStr">
        <is>
          <t>sí</t>
        </is>
      </c>
      <c r="W400" s="2" t="n"/>
      <c r="X400" s="2" t="n"/>
      <c r="Y400" s="2" t="n">
        <v>1</v>
      </c>
      <c r="Z400" s="2" t="inlineStr">
        <is>
          <t>sí</t>
        </is>
      </c>
      <c r="AA400" s="2" t="n"/>
      <c r="AB400" s="2" t="n">
        <v>12</v>
      </c>
      <c r="AC400" s="2" t="n"/>
      <c r="AD400" s="2" t="n"/>
      <c r="AE400" s="2" t="n"/>
      <c r="AF400" s="2" t="n"/>
      <c r="AG400" s="2" t="n"/>
      <c r="AH400" s="2" t="n">
        <v>4990</v>
      </c>
      <c r="AI400" s="2" t="n"/>
      <c r="AJ400" s="2" t="n"/>
      <c r="AK400" s="2" t="n"/>
      <c r="AL400" s="2" t="n"/>
      <c r="AM400" s="2" t="n">
        <v>7.7</v>
      </c>
      <c r="AN400" s="2" t="n"/>
      <c r="AO400" s="2" t="inlineStr">
        <is>
          <t>2009</t>
        </is>
      </c>
      <c r="AP400" s="2" t="n">
        <v>2009</v>
      </c>
      <c r="AQ400" s="2" t="n"/>
      <c r="AR400" s="2" t="n"/>
      <c r="AS400" s="2" t="inlineStr">
        <is>
          <t>regla</t>
        </is>
      </c>
      <c r="AT400" s="2" t="n">
        <v>3500</v>
      </c>
      <c r="AU400" s="2" t="n">
        <v>53</v>
      </c>
      <c r="AV400" s="2" t="inlineStr">
        <is>
          <t>modelo+año</t>
        </is>
      </c>
      <c r="AW400" s="2" t="n"/>
      <c r="AX400"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400" s="2" t="inlineStr">
        <is>
          <t>CITROEN MODELO C4 MOTOR 1.4I CON 90 CV DE POTENCIA Y CONSUMO REDUCIDO.
VEHÍCULO NACIONAL PROCEDENTE DE UNICO PROPIETARIO CON KILOMETRAJE REAL Y CERTIFICADO.
SE ENTREGA CON MANTENIMIENTO RECIEN HECHO E ITV EN VIGOR.
DESTACADOS:
- CIERRE CENTRALIZADO CON MANDO Y DOS LLAVES 
- VELOCIDAD DE CRUCERO CON LIMITADOR
- CLIMATIZADOR A/C
- RADIO ORIGINAL CITROEN CON PUERTO USB Y AUX
- ELEVALUNAS ELÉCTRICOS
- RETROVISORES ELÉCTRICOS 
- TAPICERÍA DE TELA MIXTA MUY BIEN CONSERVADA
- ISOFIX
- POSA-VASOS 
- VEHÍCULO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AZ400" s="2" t="inlineStr">
        <is>
          <t>https://www.coches.net/citroen-c4-14-16v-cool-5p-gasolina-2005-en-valencia-71777076-covo.aspx (window.__INITIAL_PROPS__.ad) /home/user/Alopecia/buscador-coches/raw/cochesnet/87de5887997e6596.json</t>
        </is>
      </c>
      <c r="BA400" s="3">
        <f>MAX(ANIO_ACTUAL-M400,0)</f>
        <v/>
      </c>
      <c r="BB400" s="4">
        <f>N400/MAX(BA400,0.5)</f>
        <v/>
      </c>
      <c r="BC400" s="4">
        <f>F400</f>
        <v/>
      </c>
      <c r="BD400" s="3">
        <f>BC400&amp;"|"&amp;INT(M400/SEG_ANIO)*SEG_ANIO</f>
        <v/>
      </c>
      <c r="BE400" s="3">
        <f>BD400&amp;"|"&amp;INT(N400/SEG_KM)*SEG_KM</f>
        <v/>
      </c>
      <c r="BF400" s="4">
        <f>COUNTIF($BC$2:$BC$545,BC400)</f>
        <v/>
      </c>
      <c r="BG400" s="4">
        <f>COUNTIF($BD$2:$BD$545,BD400)</f>
        <v/>
      </c>
      <c r="BH400" s="4">
        <f>COUNTIF($BE$2:$BE$545,BE400)</f>
        <v/>
      </c>
      <c r="BI400" s="3">
        <f t="array" ref="BI400">IF(N(AU400)&gt;=MIN_N,AT400,IF(BH400&gt;=MIN_N,MEDIAN(IF($BE$2:$BE$545=BE400,$O$2:$O$545)),IF(BG400&gt;=MIN_N,MEDIAN(IF($BD$2:$BD$545=BD400,$O$2:$O$545)),MEDIAN(IF($BC$2:$BC$545=BC400,$O$2:$O$545)))))</f>
        <v/>
      </c>
      <c r="BJ400" s="3">
        <f>IF(N(AU400)&gt;=MIN_N,"mercado "&amp;AV400,IF(BH400&gt;=MIN_N,"modelo+año+km",IF(BG400&gt;=MIN_N,"modelo+año","modelo")))</f>
        <v/>
      </c>
      <c r="BK400" s="4">
        <f>(BI400-O400)/BI400</f>
        <v/>
      </c>
      <c r="BL400" s="3">
        <f>IF(COUNTIFS(FR_FUEL,K400,FR_YEAR,AP400)&gt;0,1,0)</f>
        <v/>
      </c>
      <c r="BM400" s="3">
        <f>IF(COUNTIFS(FR_FUEL,K400,FR_YEAR,AP400-1)&gt;0,1,0)</f>
        <v/>
      </c>
      <c r="BN400" s="4">
        <f>IF(N(AQ400)&gt;0,AP400*100+AQ400,IF(AND(BL400=1,BM400=1),(AP400-1)*100+1,AP400*100+1))</f>
        <v/>
      </c>
      <c r="BO400" s="3">
        <f>IF(OR(K400="hibrido",K400="glp",K400="gnc",K400="phev"),"ECO",IF(K400="electrico","CERO",IF(K400="gasolina",IF(BN400&gt;=GAS_C_YM,"C",IF(BN400&gt;=GAS_B_YM,"B","A")),IF(K400="diesel",IF(BN400&gt;=DIE_C_YM,"C",IF(BN400&gt;=DIE_B_YM,"B","A")),""))))</f>
        <v/>
      </c>
      <c r="BP400" s="4">
        <f>BO400</f>
        <v/>
      </c>
      <c r="BQ400" s="4">
        <f>IF(AS400="regla",IF(AND(N(AQ400)=0,BL400=1),"sí","no"),"no")</f>
        <v/>
      </c>
      <c r="BR400" s="3">
        <f>IFERROR(VLOOKUP(F400,MOD_TBL,11,0),IFERROR(VLOOKUP(E400,OCU_TBL,2,0),NEUTRO))</f>
        <v/>
      </c>
      <c r="BS400" s="3">
        <f>SUMIFS(MOT_AJUSTE,MOT_MOTOR,G400,MOT_MARCA,E400,MOT_DESDE,"&lt;="&amp;M400,MOT_HASTA,"&gt;="&amp;M400)+SUMIFS(MOT_AJUSTE,MOT_MOTOR,G400,MOT_MARCA,"(todas)",MOT_DESDE,"&lt;="&amp;M400,MOT_HASTA,"&gt;="&amp;M400)</f>
        <v/>
      </c>
      <c r="BT400" s="3">
        <f>SUMIFS(COMB_AJUSTE,COMB_COMB,K400)</f>
        <v/>
      </c>
      <c r="BU400" s="3">
        <f>COUNTIFS(MOT_MOTOR,G400,MOT_MARCA,E400,MOT_DESDE,"&lt;="&amp;M400,MOT_HASTA,"&gt;="&amp;M400)+COUNTIFS(MOT_MOTOR,G400,MOT_MARCA,"(todas)",MOT_DESDE,"&lt;="&amp;M400,MOT_HASTA,"&gt;="&amp;M400)</f>
        <v/>
      </c>
      <c r="BV400" s="3">
        <f>IF(AND(K400="diesel",BU400=0),MIN(BR400,NEUTRO),BR400)</f>
        <v/>
      </c>
      <c r="BW400" s="4">
        <f>MAX(0,MIN(100,BV400+BS400+BT400))</f>
        <v/>
      </c>
      <c r="BX400" s="3">
        <f>MAX(0,MIN(100,50+BK400*PRECIO_PEND))</f>
        <v/>
      </c>
      <c r="BY400" s="3">
        <f>MAX(0,100*(1-N400/KM_MAX))</f>
        <v/>
      </c>
      <c r="BZ400" s="3">
        <f>IF(BB400&lt;KMA_SOSP,IF(AA400="sí",100,KMA_PEN),IF(BB400&lt;=KMA_IDEAL_MAX,100,MAX(0,100*(KMA_CERO-BB400)/(KMA_CERO-KMA_IDEAL_MAX))))</f>
        <v/>
      </c>
      <c r="CA400" s="3">
        <f>MAX(0,MIN(100,100*(M400-ANIO_MIN)/(ANIO_ACTUAL-ANIO_MIN)))</f>
        <v/>
      </c>
      <c r="CB400" s="3">
        <f>W_KMT*BY400+W_KMA*BZ400+W_EDAD*CA400</f>
        <v/>
      </c>
      <c r="CC400" s="3">
        <f>P_ITV*(V400="sí")+P_LIBRO*(W400="sí")+P_CORREA*(X400="sí")+P_PROP*(Y400=1)+P_GAR*(Z400="sí")+P_FOTOS*MIN(1,N(U400)/FOTOS_OBJ)</f>
        <v/>
      </c>
      <c r="CD400" s="3">
        <f>MAX(0,MIN(100,IFERROR(VLOOKUP(BP400,ETQ_TBL,2,0),0)-IF(BQ400="sí",ETQ_PEN_DUD,IF(AS400="regla",ETQ_PEN_REGLA,0))))</f>
        <v/>
      </c>
      <c r="CE400" s="3">
        <f>NEUTRO</f>
        <v/>
      </c>
      <c r="CF400" s="3">
        <f>IFERROR(VLOOKUP(L400,SEGURO_TBL,3,0),"")</f>
        <v/>
      </c>
      <c r="CG400" s="3">
        <f>IF(CF400="",NEUTRO,MAX(0,MIN(100,100*(SEG_REF_MAX-CF400)/(SEG_REF_MAX-SEG_REF_MIN))))</f>
        <v/>
      </c>
      <c r="CH400" s="3">
        <f>W_CONS*CE400+W_SEG*CG400</f>
        <v/>
      </c>
      <c r="CI400" s="3">
        <f>IF(N(AB400)&gt;0,AB400,IF(AND(R400="profesional",SG_LEGAL_ON=1),GAR_LEGAL,0))</f>
        <v/>
      </c>
      <c r="CJ400" s="3">
        <f>SG_GAR*MIN(1,CI400/SG_GAR_FULL)+SG_AMPL*(AC400="sí")+SG_KMC*(AF400="sí")+SG_REV*(N(AE400)&gt;0)+SG_DEV*MIN(1,N(AG400)/SG_DEV_FULL)+SG_HIST*(W400="sí")</f>
        <v/>
      </c>
      <c r="CK400" s="3">
        <f>IFERROR(VLOOKUP(L400,CARR_PEN_TBL,2,0),0)</f>
        <v/>
      </c>
      <c r="CL400" s="3">
        <f>W_FIAB*BW400+W_PRECIO*BX400+W_KMEDAD*CB400+W_ANUNCIO*CC400+W_USO*CH400+W_SEGURIDAD*CJ400+W_ETIQUETA*CD400-CK400</f>
        <v/>
      </c>
      <c r="CM400" s="4">
        <f>IF(N(I400)&gt;0,I400,IFERROR(ROUND(_xlfn.NUMBERVALUE(LEFT(G400,FIND(" ",G400&amp;" ")-1),".")*1000,0),99999))</f>
        <v/>
      </c>
      <c r="CN400" s="3">
        <f>IF(R400="profesional",0,IF(O400&lt;CUOTA_VALOR_MAX,IF(BA400&gt;ITP_TRAMO_ALTO,SUMIFS(CF_CUOTA,CF_MAS,ITP_TRAMO_ALTO,CF_CCMIN,"&lt;="&amp;CM400,CF_CCMAX,"&gt;="&amp;CM400),IF(BA400&gt;ITP_TRAMO_BAJO,SUMIFS(CF_CUOTA,CF_MAS,ITP_TRAMO_BAJO,CF_CCMIN,"&lt;="&amp;CM400,CF_CCMAX,"&gt;="&amp;CM400),O400*ITP_TIPO)),O400*ITP_TIPO))</f>
        <v/>
      </c>
      <c r="CO400" s="4">
        <f>IF(R400="profesional",N(AK400),0)</f>
        <v/>
      </c>
      <c r="CP400" s="3">
        <f>IF(AND(R400="profesional",ISNUMBER(AK400),AL400="sí"),0,TASA_DGT)</f>
        <v/>
      </c>
      <c r="CQ400" s="3">
        <f>INFORME_DGT</f>
        <v/>
      </c>
      <c r="CR400" s="4">
        <f>O400+CO400+CN400+CP400+CQ400</f>
        <v/>
      </c>
      <c r="CS400" s="4">
        <f>CR400+N(CF400)</f>
        <v/>
      </c>
      <c r="CT400" s="3">
        <f>IF(CR400&lt;=TOTAL_MAX,"sí",IF(CR400&lt;=TOTAL_MAX+MARGEN_NEG,"negociar","no"))</f>
        <v/>
      </c>
      <c r="CU400" s="4">
        <f>IF(CT400&lt;&gt;"no",COUNTIFS($CT$2:$CT$545,"&lt;&gt;no",$CL$2:$CL$545,"&gt;"&amp;CL400)+COUNTIFS($CT$2:CT400,"&lt;&gt;no",$CL$2:CL400,CL400),"")</f>
        <v/>
      </c>
    </row>
    <row r="401">
      <c r="A401" s="2" t="inlineStr">
        <is>
          <t>cochesnet:71757769</t>
        </is>
      </c>
      <c r="B401" s="2" t="inlineStr">
        <is>
          <t>cochesnet</t>
        </is>
      </c>
      <c r="C401" s="2" t="inlineStr">
        <is>
          <t>https://www.coches.net/citroen-c4-16-16v-exclusive-5p-gasolina-2006-en-valencia-71757769-covo.aspx</t>
        </is>
      </c>
      <c r="D401" s="2" t="inlineStr">
        <is>
          <t>CITROEN C4 1.6 16v Exclusive</t>
        </is>
      </c>
      <c r="E401" s="2" t="inlineStr">
        <is>
          <t>Citroën</t>
        </is>
      </c>
      <c r="F401" s="2" t="inlineStr">
        <is>
          <t>Citroën C4</t>
        </is>
      </c>
      <c r="G401" s="2" t="inlineStr">
        <is>
          <t>1.6</t>
        </is>
      </c>
      <c r="H401" s="2" t="inlineStr">
        <is>
          <t>1.6 16v Exclusive</t>
        </is>
      </c>
      <c r="I401" s="2" t="n"/>
      <c r="J401" s="2" t="n"/>
      <c r="K401" s="2" t="inlineStr">
        <is>
          <t>gasolina</t>
        </is>
      </c>
      <c r="L401" s="2" t="inlineStr">
        <is>
          <t>compacto</t>
        </is>
      </c>
      <c r="M401" s="2" t="n">
        <v>2006</v>
      </c>
      <c r="N401" s="2" t="n">
        <v>160000</v>
      </c>
      <c r="O401" s="2" t="n">
        <v>4000</v>
      </c>
      <c r="P401" s="2" t="inlineStr">
        <is>
          <t>manual</t>
        </is>
      </c>
      <c r="Q401" s="2" t="inlineStr">
        <is>
          <t>no</t>
        </is>
      </c>
      <c r="R401" s="2" t="inlineStr">
        <is>
          <t>particular</t>
        </is>
      </c>
      <c r="S401" s="2" t="n"/>
      <c r="T401" s="2" t="inlineStr">
        <is>
          <t>2026-10-15T18:23:22Z</t>
        </is>
      </c>
      <c r="U401" s="2" t="n">
        <v>7</v>
      </c>
      <c r="V401" s="2" t="inlineStr">
        <is>
          <t>sí</t>
        </is>
      </c>
      <c r="W401" s="2" t="n"/>
      <c r="X401" s="2" t="n"/>
      <c r="Y401" s="2" t="n"/>
      <c r="Z401" s="2" t="inlineStr">
        <is>
          <t>no</t>
        </is>
      </c>
      <c r="AA401" s="2" t="n"/>
      <c r="AB401" s="2" t="n"/>
      <c r="AC401" s="2" t="n"/>
      <c r="AD401" s="2" t="n"/>
      <c r="AE401" s="2" t="n"/>
      <c r="AF401" s="2" t="n"/>
      <c r="AG401" s="2" t="n"/>
      <c r="AH401" s="2" t="n">
        <v>4000</v>
      </c>
      <c r="AI401" s="2" t="n"/>
      <c r="AJ401" s="2" t="n"/>
      <c r="AK401" s="2" t="n"/>
      <c r="AL401" s="2" t="n"/>
      <c r="AM401" s="2" t="n"/>
      <c r="AN401" s="2" t="n"/>
      <c r="AO401" s="2" t="inlineStr">
        <is>
          <t>2006</t>
        </is>
      </c>
      <c r="AP401" s="2" t="n">
        <v>2006</v>
      </c>
      <c r="AQ401" s="2" t="n"/>
      <c r="AR401" s="2" t="n"/>
      <c r="AS401" s="2" t="inlineStr">
        <is>
          <t>regla</t>
        </is>
      </c>
      <c r="AT401" s="2" t="n">
        <v>2600</v>
      </c>
      <c r="AU401" s="2" t="n">
        <v>9</v>
      </c>
      <c r="AV401" s="2" t="inlineStr">
        <is>
          <t>modelo+año+km</t>
        </is>
      </c>
      <c r="AW401" s="2" t="n"/>
      <c r="AX401" s="2" t="inlineStr">
        <is>
          <t>cuota fija ITP: &gt;12 años, 1.501-2.000 cc; distancia no verificable (el anuncio solo indica la provincia): confirmar que está a &lt;= 70 km; fiabilidad del modelo PENDIENTE de fuente (puntuación neutra)</t>
        </is>
      </c>
      <c r="AY401" s="2" t="inlineStr">
        <is>
          <t>vendo Citroen C4 muy bien cuidado,tapicería perfecta y carrocería también,ITV recién pasada y ruedas nuevas.precio negociable interesados hablar por wasap</t>
        </is>
      </c>
      <c r="AZ401" s="2" t="inlineStr">
        <is>
          <t>https://www.coches.net/citroen-c4-16-16v-exclusive-5p-gasolina-2006-en-valencia-71757769-covo.aspx (window.__INITIAL_PROPS__.ad) /home/user/Alopecia/buscador-coches/raw/cochesnet/7f579e4f9b87b9c0.json</t>
        </is>
      </c>
      <c r="BA401" s="3">
        <f>MAX(ANIO_ACTUAL-M401,0)</f>
        <v/>
      </c>
      <c r="BB401" s="4">
        <f>N401/MAX(BA401,0.5)</f>
        <v/>
      </c>
      <c r="BC401" s="4">
        <f>F401</f>
        <v/>
      </c>
      <c r="BD401" s="3">
        <f>BC401&amp;"|"&amp;INT(M401/SEG_ANIO)*SEG_ANIO</f>
        <v/>
      </c>
      <c r="BE401" s="3">
        <f>BD401&amp;"|"&amp;INT(N401/SEG_KM)*SEG_KM</f>
        <v/>
      </c>
      <c r="BF401" s="4">
        <f>COUNTIF($BC$2:$BC$545,BC401)</f>
        <v/>
      </c>
      <c r="BG401" s="4">
        <f>COUNTIF($BD$2:$BD$545,BD401)</f>
        <v/>
      </c>
      <c r="BH401" s="4">
        <f>COUNTIF($BE$2:$BE$545,BE401)</f>
        <v/>
      </c>
      <c r="BI401" s="3">
        <f t="array" ref="BI401">IF(N(AU401)&gt;=MIN_N,AT401,IF(BH401&gt;=MIN_N,MEDIAN(IF($BE$2:$BE$545=BE401,$O$2:$O$545)),IF(BG401&gt;=MIN_N,MEDIAN(IF($BD$2:$BD$545=BD401,$O$2:$O$545)),MEDIAN(IF($BC$2:$BC$545=BC401,$O$2:$O$545)))))</f>
        <v/>
      </c>
      <c r="BJ401" s="3">
        <f>IF(N(AU401)&gt;=MIN_N,"mercado "&amp;AV401,IF(BH401&gt;=MIN_N,"modelo+año+km",IF(BG401&gt;=MIN_N,"modelo+año","modelo")))</f>
        <v/>
      </c>
      <c r="BK401" s="4">
        <f>(BI401-O401)/BI401</f>
        <v/>
      </c>
      <c r="BL401" s="3">
        <f>IF(COUNTIFS(FR_FUEL,K401,FR_YEAR,AP401)&gt;0,1,0)</f>
        <v/>
      </c>
      <c r="BM401" s="3">
        <f>IF(COUNTIFS(FR_FUEL,K401,FR_YEAR,AP401-1)&gt;0,1,0)</f>
        <v/>
      </c>
      <c r="BN401" s="4">
        <f>IF(N(AQ401)&gt;0,AP401*100+AQ401,IF(AND(BL401=1,BM401=1),(AP401-1)*100+1,AP401*100+1))</f>
        <v/>
      </c>
      <c r="BO401" s="3">
        <f>IF(OR(K401="hibrido",K401="glp",K401="gnc",K401="phev"),"ECO",IF(K401="electrico","CERO",IF(K401="gasolina",IF(BN401&gt;=GAS_C_YM,"C",IF(BN401&gt;=GAS_B_YM,"B","A")),IF(K401="diesel",IF(BN401&gt;=DIE_C_YM,"C",IF(BN401&gt;=DIE_B_YM,"B","A")),""))))</f>
        <v/>
      </c>
      <c r="BP401" s="4">
        <f>BO401</f>
        <v/>
      </c>
      <c r="BQ401" s="4">
        <f>IF(AS401="regla",IF(AND(N(AQ401)=0,BL401=1),"sí","no"),"no")</f>
        <v/>
      </c>
      <c r="BR401" s="3">
        <f>IFERROR(VLOOKUP(F401,MOD_TBL,11,0),IFERROR(VLOOKUP(E401,OCU_TBL,2,0),NEUTRO))</f>
        <v/>
      </c>
      <c r="BS401" s="3">
        <f>SUMIFS(MOT_AJUSTE,MOT_MOTOR,G401,MOT_MARCA,E401,MOT_DESDE,"&lt;="&amp;M401,MOT_HASTA,"&gt;="&amp;M401)+SUMIFS(MOT_AJUSTE,MOT_MOTOR,G401,MOT_MARCA,"(todas)",MOT_DESDE,"&lt;="&amp;M401,MOT_HASTA,"&gt;="&amp;M401)</f>
        <v/>
      </c>
      <c r="BT401" s="3">
        <f>SUMIFS(COMB_AJUSTE,COMB_COMB,K401)</f>
        <v/>
      </c>
      <c r="BU401" s="3">
        <f>COUNTIFS(MOT_MOTOR,G401,MOT_MARCA,E401,MOT_DESDE,"&lt;="&amp;M401,MOT_HASTA,"&gt;="&amp;M401)+COUNTIFS(MOT_MOTOR,G401,MOT_MARCA,"(todas)",MOT_DESDE,"&lt;="&amp;M401,MOT_HASTA,"&gt;="&amp;M401)</f>
        <v/>
      </c>
      <c r="BV401" s="3">
        <f>IF(AND(K401="diesel",BU401=0),MIN(BR401,NEUTRO),BR401)</f>
        <v/>
      </c>
      <c r="BW401" s="4">
        <f>MAX(0,MIN(100,BV401+BS401+BT401))</f>
        <v/>
      </c>
      <c r="BX401" s="3">
        <f>MAX(0,MIN(100,50+BK401*PRECIO_PEND))</f>
        <v/>
      </c>
      <c r="BY401" s="3">
        <f>MAX(0,100*(1-N401/KM_MAX))</f>
        <v/>
      </c>
      <c r="BZ401" s="3">
        <f>IF(BB401&lt;KMA_SOSP,IF(AA401="sí",100,KMA_PEN),IF(BB401&lt;=KMA_IDEAL_MAX,100,MAX(0,100*(KMA_CERO-BB401)/(KMA_CERO-KMA_IDEAL_MAX))))</f>
        <v/>
      </c>
      <c r="CA401" s="3">
        <f>MAX(0,MIN(100,100*(M401-ANIO_MIN)/(ANIO_ACTUAL-ANIO_MIN)))</f>
        <v/>
      </c>
      <c r="CB401" s="3">
        <f>W_KMT*BY401+W_KMA*BZ401+W_EDAD*CA401</f>
        <v/>
      </c>
      <c r="CC401" s="3">
        <f>P_ITV*(V401="sí")+P_LIBRO*(W401="sí")+P_CORREA*(X401="sí")+P_PROP*(Y401=1)+P_GAR*(Z401="sí")+P_FOTOS*MIN(1,N(U401)/FOTOS_OBJ)</f>
        <v/>
      </c>
      <c r="CD401" s="3">
        <f>MAX(0,MIN(100,IFERROR(VLOOKUP(BP401,ETQ_TBL,2,0),0)-IF(BQ401="sí",ETQ_PEN_DUD,IF(AS401="regla",ETQ_PEN_REGLA,0))))</f>
        <v/>
      </c>
      <c r="CE401" s="3">
        <f>NEUTRO</f>
        <v/>
      </c>
      <c r="CF401" s="3">
        <f>IFERROR(VLOOKUP(L401,SEGURO_TBL,3,0),"")</f>
        <v/>
      </c>
      <c r="CG401" s="3">
        <f>IF(CF401="",NEUTRO,MAX(0,MIN(100,100*(SEG_REF_MAX-CF401)/(SEG_REF_MAX-SEG_REF_MIN))))</f>
        <v/>
      </c>
      <c r="CH401" s="3">
        <f>W_CONS*CE401+W_SEG*CG401</f>
        <v/>
      </c>
      <c r="CI401" s="3">
        <f>IF(N(AB401)&gt;0,AB401,IF(AND(R401="profesional",SG_LEGAL_ON=1),GAR_LEGAL,0))</f>
        <v/>
      </c>
      <c r="CJ401" s="3">
        <f>SG_GAR*MIN(1,CI401/SG_GAR_FULL)+SG_AMPL*(AC401="sí")+SG_KMC*(AF401="sí")+SG_REV*(N(AE401)&gt;0)+SG_DEV*MIN(1,N(AG401)/SG_DEV_FULL)+SG_HIST*(W401="sí")</f>
        <v/>
      </c>
      <c r="CK401" s="3">
        <f>IFERROR(VLOOKUP(L401,CARR_PEN_TBL,2,0),0)</f>
        <v/>
      </c>
      <c r="CL401" s="3">
        <f>W_FIAB*BW401+W_PRECIO*BX401+W_KMEDAD*CB401+W_ANUNCIO*CC401+W_USO*CH401+W_SEGURIDAD*CJ401+W_ETIQUETA*CD401-CK401</f>
        <v/>
      </c>
      <c r="CM401" s="4">
        <f>IF(N(I401)&gt;0,I401,IFERROR(ROUND(_xlfn.NUMBERVALUE(LEFT(G401,FIND(" ",G401&amp;" ")-1),".")*1000,0),99999))</f>
        <v/>
      </c>
      <c r="CN401" s="3">
        <f>IF(R401="profesional",0,IF(O401&lt;CUOTA_VALOR_MAX,IF(BA401&gt;ITP_TRAMO_ALTO,SUMIFS(CF_CUOTA,CF_MAS,ITP_TRAMO_ALTO,CF_CCMIN,"&lt;="&amp;CM401,CF_CCMAX,"&gt;="&amp;CM401),IF(BA401&gt;ITP_TRAMO_BAJO,SUMIFS(CF_CUOTA,CF_MAS,ITP_TRAMO_BAJO,CF_CCMIN,"&lt;="&amp;CM401,CF_CCMAX,"&gt;="&amp;CM401),O401*ITP_TIPO)),O401*ITP_TIPO))</f>
        <v/>
      </c>
      <c r="CO401" s="4">
        <f>IF(R401="profesional",N(AK401),0)</f>
        <v/>
      </c>
      <c r="CP401" s="3">
        <f>IF(AND(R401="profesional",ISNUMBER(AK401),AL401="sí"),0,TASA_DGT)</f>
        <v/>
      </c>
      <c r="CQ401" s="3">
        <f>INFORME_DGT</f>
        <v/>
      </c>
      <c r="CR401" s="4">
        <f>O401+CO401+CN401+CP401+CQ401</f>
        <v/>
      </c>
      <c r="CS401" s="4">
        <f>CR401+N(CF401)</f>
        <v/>
      </c>
      <c r="CT401" s="3">
        <f>IF(CR401&lt;=TOTAL_MAX,"sí",IF(CR401&lt;=TOTAL_MAX+MARGEN_NEG,"negociar","no"))</f>
        <v/>
      </c>
      <c r="CU401" s="4">
        <f>IF(CT401&lt;&gt;"no",COUNTIFS($CT$2:$CT$545,"&lt;&gt;no",$CL$2:$CL$545,"&gt;"&amp;CL401)+COUNTIFS($CT$2:CT401,"&lt;&gt;no",$CL$2:CL401,CL401),"")</f>
        <v/>
      </c>
    </row>
    <row r="402">
      <c r="A402" s="2" t="inlineStr">
        <is>
          <t>cochesnet:71716161</t>
        </is>
      </c>
      <c r="B402" s="2" t="inlineStr">
        <is>
          <t>cochesnet</t>
        </is>
      </c>
      <c r="C402" s="2" t="inlineStr">
        <is>
          <t>https://www.coches.net/citroen-c4-gasolina-2006-en-valencia-71716161-covo.aspx</t>
        </is>
      </c>
      <c r="D402" s="2" t="inlineStr">
        <is>
          <t>CITROEN C4</t>
        </is>
      </c>
      <c r="E402" s="2" t="inlineStr">
        <is>
          <t>Citroën</t>
        </is>
      </c>
      <c r="F402" s="2" t="inlineStr">
        <is>
          <t>Citroën C4</t>
        </is>
      </c>
      <c r="G402" s="2" t="n"/>
      <c r="H402" s="2" t="n"/>
      <c r="I402" s="2" t="n"/>
      <c r="J402" s="2" t="n"/>
      <c r="K402" s="2" t="inlineStr">
        <is>
          <t>gasolina</t>
        </is>
      </c>
      <c r="L402" s="2" t="inlineStr">
        <is>
          <t>compacto</t>
        </is>
      </c>
      <c r="M402" s="2" t="n">
        <v>2006</v>
      </c>
      <c r="N402" s="2" t="n">
        <v>165000</v>
      </c>
      <c r="O402" s="2" t="n">
        <v>3100</v>
      </c>
      <c r="P402" s="2" t="inlineStr">
        <is>
          <t>manual</t>
        </is>
      </c>
      <c r="Q402" s="2" t="inlineStr">
        <is>
          <t>no</t>
        </is>
      </c>
      <c r="R402" s="2" t="inlineStr">
        <is>
          <t>particular</t>
        </is>
      </c>
      <c r="S402" s="2" t="n"/>
      <c r="T402" s="2" t="inlineStr">
        <is>
          <t>2026-10-09T18:23:36Z</t>
        </is>
      </c>
      <c r="U402" s="2" t="n">
        <v>8</v>
      </c>
      <c r="V402" s="2" t="n"/>
      <c r="W402" s="2" t="n"/>
      <c r="X402" s="2" t="n"/>
      <c r="Y402" s="2" t="n"/>
      <c r="Z402" s="2" t="inlineStr">
        <is>
          <t>no</t>
        </is>
      </c>
      <c r="AA402" s="2" t="n"/>
      <c r="AB402" s="2" t="n"/>
      <c r="AC402" s="2" t="n"/>
      <c r="AD402" s="2" t="n"/>
      <c r="AE402" s="2" t="n"/>
      <c r="AF402" s="2" t="n"/>
      <c r="AG402" s="2" t="n"/>
      <c r="AH402" s="2" t="n">
        <v>3100</v>
      </c>
      <c r="AI402" s="2" t="n"/>
      <c r="AJ402" s="2" t="n"/>
      <c r="AK402" s="2" t="n"/>
      <c r="AL402" s="2" t="n"/>
      <c r="AM402" s="2" t="n"/>
      <c r="AN402" s="2" t="n"/>
      <c r="AO402" s="2" t="inlineStr">
        <is>
          <t>2006</t>
        </is>
      </c>
      <c r="AP402" s="2" t="n">
        <v>2006</v>
      </c>
      <c r="AQ402" s="2" t="n"/>
      <c r="AR402" s="2" t="n"/>
      <c r="AS402" s="2" t="inlineStr">
        <is>
          <t>regla</t>
        </is>
      </c>
      <c r="AT402" s="2" t="n">
        <v>2600</v>
      </c>
      <c r="AU402" s="2" t="n">
        <v>9</v>
      </c>
      <c r="AV402" s="2" t="inlineStr">
        <is>
          <t>modelo+año+km</t>
        </is>
      </c>
      <c r="AW402" s="2" t="inlineStr">
        <is>
          <t>cochesnet:71714770 (https://www.coches.net/citroen-c4-16-16v-lx-3p-gasolina-2006-en-valencia-71714770-covo.aspx)</t>
        </is>
      </c>
      <c r="AX402"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02" s="2" t="inlineStr">
        <is>
          <t xml:space="preserve">?? ¡SE VENDE CITROËN C4 1.6 16V! ??
?? Motor: 1.6 nafta (gasolina), 110 CV
?? Carrocería: 3 puertas
?? Color: Gris plata metalizado
?? Combustible: Gasolina
?? Etiqueta medioambiental: C
?? Año: 2006
?? Kilómetros: 165.000 km
? Muy buen estado general
? Chapa en excelente estado
? Neumáticos prácticamente nuevos
? ITV vigente
</t>
        </is>
      </c>
      <c r="AZ402" s="2" t="inlineStr">
        <is>
          <t>https://www.coches.net/citroen-c4-gasolina-2006-en-valencia-71716161-covo.aspx (window.__INITIAL_PROPS__.ad) /home/user/Alopecia/buscador-coches/raw/cochesnet/566a09d3f4ace344.json</t>
        </is>
      </c>
      <c r="BA402" s="3">
        <f>MAX(ANIO_ACTUAL-M402,0)</f>
        <v/>
      </c>
      <c r="BB402" s="4">
        <f>N402/MAX(BA402,0.5)</f>
        <v/>
      </c>
      <c r="BC402" s="4">
        <f>F402</f>
        <v/>
      </c>
      <c r="BD402" s="3">
        <f>BC402&amp;"|"&amp;INT(M402/SEG_ANIO)*SEG_ANIO</f>
        <v/>
      </c>
      <c r="BE402" s="3">
        <f>BD402&amp;"|"&amp;INT(N402/SEG_KM)*SEG_KM</f>
        <v/>
      </c>
      <c r="BF402" s="4">
        <f>COUNTIF($BC$2:$BC$545,BC402)</f>
        <v/>
      </c>
      <c r="BG402" s="4">
        <f>COUNTIF($BD$2:$BD$545,BD402)</f>
        <v/>
      </c>
      <c r="BH402" s="4">
        <f>COUNTIF($BE$2:$BE$545,BE402)</f>
        <v/>
      </c>
      <c r="BI402" s="3">
        <f t="array" ref="BI402">IF(N(AU402)&gt;=MIN_N,AT402,IF(BH402&gt;=MIN_N,MEDIAN(IF($BE$2:$BE$545=BE402,$O$2:$O$545)),IF(BG402&gt;=MIN_N,MEDIAN(IF($BD$2:$BD$545=BD402,$O$2:$O$545)),MEDIAN(IF($BC$2:$BC$545=BC402,$O$2:$O$545)))))</f>
        <v/>
      </c>
      <c r="BJ402" s="3">
        <f>IF(N(AU402)&gt;=MIN_N,"mercado "&amp;AV402,IF(BH402&gt;=MIN_N,"modelo+año+km",IF(BG402&gt;=MIN_N,"modelo+año","modelo")))</f>
        <v/>
      </c>
      <c r="BK402" s="4">
        <f>(BI402-O402)/BI402</f>
        <v/>
      </c>
      <c r="BL402" s="3">
        <f>IF(COUNTIFS(FR_FUEL,K402,FR_YEAR,AP402)&gt;0,1,0)</f>
        <v/>
      </c>
      <c r="BM402" s="3">
        <f>IF(COUNTIFS(FR_FUEL,K402,FR_YEAR,AP402-1)&gt;0,1,0)</f>
        <v/>
      </c>
      <c r="BN402" s="4">
        <f>IF(N(AQ402)&gt;0,AP402*100+AQ402,IF(AND(BL402=1,BM402=1),(AP402-1)*100+1,AP402*100+1))</f>
        <v/>
      </c>
      <c r="BO402" s="3">
        <f>IF(OR(K402="hibrido",K402="glp",K402="gnc",K402="phev"),"ECO",IF(K402="electrico","CERO",IF(K402="gasolina",IF(BN402&gt;=GAS_C_YM,"C",IF(BN402&gt;=GAS_B_YM,"B","A")),IF(K402="diesel",IF(BN402&gt;=DIE_C_YM,"C",IF(BN402&gt;=DIE_B_YM,"B","A")),""))))</f>
        <v/>
      </c>
      <c r="BP402" s="4">
        <f>BO402</f>
        <v/>
      </c>
      <c r="BQ402" s="4">
        <f>IF(AS402="regla",IF(AND(N(AQ402)=0,BL402=1),"sí","no"),"no")</f>
        <v/>
      </c>
      <c r="BR402" s="3">
        <f>IFERROR(VLOOKUP(F402,MOD_TBL,11,0),IFERROR(VLOOKUP(E402,OCU_TBL,2,0),NEUTRO))</f>
        <v/>
      </c>
      <c r="BS402" s="3">
        <f>SUMIFS(MOT_AJUSTE,MOT_MOTOR,G402,MOT_MARCA,E402,MOT_DESDE,"&lt;="&amp;M402,MOT_HASTA,"&gt;="&amp;M402)+SUMIFS(MOT_AJUSTE,MOT_MOTOR,G402,MOT_MARCA,"(todas)",MOT_DESDE,"&lt;="&amp;M402,MOT_HASTA,"&gt;="&amp;M402)</f>
        <v/>
      </c>
      <c r="BT402" s="3">
        <f>SUMIFS(COMB_AJUSTE,COMB_COMB,K402)</f>
        <v/>
      </c>
      <c r="BU402" s="3">
        <f>COUNTIFS(MOT_MOTOR,G402,MOT_MARCA,E402,MOT_DESDE,"&lt;="&amp;M402,MOT_HASTA,"&gt;="&amp;M402)+COUNTIFS(MOT_MOTOR,G402,MOT_MARCA,"(todas)",MOT_DESDE,"&lt;="&amp;M402,MOT_HASTA,"&gt;="&amp;M402)</f>
        <v/>
      </c>
      <c r="BV402" s="3">
        <f>IF(AND(K402="diesel",BU402=0),MIN(BR402,NEUTRO),BR402)</f>
        <v/>
      </c>
      <c r="BW402" s="4">
        <f>MAX(0,MIN(100,BV402+BS402+BT402))</f>
        <v/>
      </c>
      <c r="BX402" s="3">
        <f>MAX(0,MIN(100,50+BK402*PRECIO_PEND))</f>
        <v/>
      </c>
      <c r="BY402" s="3">
        <f>MAX(0,100*(1-N402/KM_MAX))</f>
        <v/>
      </c>
      <c r="BZ402" s="3">
        <f>IF(BB402&lt;KMA_SOSP,IF(AA402="sí",100,KMA_PEN),IF(BB402&lt;=KMA_IDEAL_MAX,100,MAX(0,100*(KMA_CERO-BB402)/(KMA_CERO-KMA_IDEAL_MAX))))</f>
        <v/>
      </c>
      <c r="CA402" s="3">
        <f>MAX(0,MIN(100,100*(M402-ANIO_MIN)/(ANIO_ACTUAL-ANIO_MIN)))</f>
        <v/>
      </c>
      <c r="CB402" s="3">
        <f>W_KMT*BY402+W_KMA*BZ402+W_EDAD*CA402</f>
        <v/>
      </c>
      <c r="CC402" s="3">
        <f>P_ITV*(V402="sí")+P_LIBRO*(W402="sí")+P_CORREA*(X402="sí")+P_PROP*(Y402=1)+P_GAR*(Z402="sí")+P_FOTOS*MIN(1,N(U402)/FOTOS_OBJ)</f>
        <v/>
      </c>
      <c r="CD402" s="3">
        <f>MAX(0,MIN(100,IFERROR(VLOOKUP(BP402,ETQ_TBL,2,0),0)-IF(BQ402="sí",ETQ_PEN_DUD,IF(AS402="regla",ETQ_PEN_REGLA,0))))</f>
        <v/>
      </c>
      <c r="CE402" s="3">
        <f>NEUTRO</f>
        <v/>
      </c>
      <c r="CF402" s="3">
        <f>IFERROR(VLOOKUP(L402,SEGURO_TBL,3,0),"")</f>
        <v/>
      </c>
      <c r="CG402" s="3">
        <f>IF(CF402="",NEUTRO,MAX(0,MIN(100,100*(SEG_REF_MAX-CF402)/(SEG_REF_MAX-SEG_REF_MIN))))</f>
        <v/>
      </c>
      <c r="CH402" s="3">
        <f>W_CONS*CE402+W_SEG*CG402</f>
        <v/>
      </c>
      <c r="CI402" s="3">
        <f>IF(N(AB402)&gt;0,AB402,IF(AND(R402="profesional",SG_LEGAL_ON=1),GAR_LEGAL,0))</f>
        <v/>
      </c>
      <c r="CJ402" s="3">
        <f>SG_GAR*MIN(1,CI402/SG_GAR_FULL)+SG_AMPL*(AC402="sí")+SG_KMC*(AF402="sí")+SG_REV*(N(AE402)&gt;0)+SG_DEV*MIN(1,N(AG402)/SG_DEV_FULL)+SG_HIST*(W402="sí")</f>
        <v/>
      </c>
      <c r="CK402" s="3">
        <f>IFERROR(VLOOKUP(L402,CARR_PEN_TBL,2,0),0)</f>
        <v/>
      </c>
      <c r="CL402" s="3">
        <f>W_FIAB*BW402+W_PRECIO*BX402+W_KMEDAD*CB402+W_ANUNCIO*CC402+W_USO*CH402+W_SEGURIDAD*CJ402+W_ETIQUETA*CD402-CK402</f>
        <v/>
      </c>
      <c r="CM402" s="4">
        <f>IF(N(I402)&gt;0,I402,IFERROR(ROUND(_xlfn.NUMBERVALUE(LEFT(G402,FIND(" ",G402&amp;" ")-1),".")*1000,0),99999))</f>
        <v/>
      </c>
      <c r="CN402" s="3">
        <f>IF(R402="profesional",0,IF(O402&lt;CUOTA_VALOR_MAX,IF(BA402&gt;ITP_TRAMO_ALTO,SUMIFS(CF_CUOTA,CF_MAS,ITP_TRAMO_ALTO,CF_CCMIN,"&lt;="&amp;CM402,CF_CCMAX,"&gt;="&amp;CM402),IF(BA402&gt;ITP_TRAMO_BAJO,SUMIFS(CF_CUOTA,CF_MAS,ITP_TRAMO_BAJO,CF_CCMIN,"&lt;="&amp;CM402,CF_CCMAX,"&gt;="&amp;CM402),O402*ITP_TIPO)),O402*ITP_TIPO))</f>
        <v/>
      </c>
      <c r="CO402" s="4">
        <f>IF(R402="profesional",N(AK402),0)</f>
        <v/>
      </c>
      <c r="CP402" s="3">
        <f>IF(AND(R402="profesional",ISNUMBER(AK402),AL402="sí"),0,TASA_DGT)</f>
        <v/>
      </c>
      <c r="CQ402" s="3">
        <f>INFORME_DGT</f>
        <v/>
      </c>
      <c r="CR402" s="4">
        <f>O402+CO402+CN402+CP402+CQ402</f>
        <v/>
      </c>
      <c r="CS402" s="4">
        <f>CR402+N(CF402)</f>
        <v/>
      </c>
      <c r="CT402" s="3">
        <f>IF(CR402&lt;=TOTAL_MAX,"sí",IF(CR402&lt;=TOTAL_MAX+MARGEN_NEG,"negociar","no"))</f>
        <v/>
      </c>
      <c r="CU402" s="4">
        <f>IF(CT402&lt;&gt;"no",COUNTIFS($CT$2:$CT$545,"&lt;&gt;no",$CL$2:$CL$545,"&gt;"&amp;CL402)+COUNTIFS($CT$2:CT402,"&lt;&gt;no",$CL$2:CL402,CL402),"")</f>
        <v/>
      </c>
    </row>
    <row r="403">
      <c r="A403" s="2" t="inlineStr">
        <is>
          <t>cochesnet:71685782</t>
        </is>
      </c>
      <c r="B403" s="2" t="inlineStr">
        <is>
          <t>cochesnet</t>
        </is>
      </c>
      <c r="C403" s="2" t="inlineStr">
        <is>
          <t>https://www.coches.net/citroen-c4-16-thp-155cv-cmp-exclusive-5p-gasolina-2013-en-valencia-71685782-covo.aspx</t>
        </is>
      </c>
      <c r="D403" s="2" t="inlineStr">
        <is>
          <t>CITROEN C4 1.6 THP CMP Exclusive</t>
        </is>
      </c>
      <c r="E403" s="2" t="inlineStr">
        <is>
          <t>Citroën</t>
        </is>
      </c>
      <c r="F403" s="2" t="inlineStr">
        <is>
          <t>Citroën C4</t>
        </is>
      </c>
      <c r="G403" s="2" t="inlineStr">
        <is>
          <t>1.6 THP</t>
        </is>
      </c>
      <c r="H403" s="2" t="inlineStr">
        <is>
          <t>1.6 THP 155cv CMP Exclusive</t>
        </is>
      </c>
      <c r="I403" s="2" t="n"/>
      <c r="J403" s="2" t="n">
        <v>155</v>
      </c>
      <c r="K403" s="2" t="inlineStr">
        <is>
          <t>gasolina</t>
        </is>
      </c>
      <c r="L403" s="2" t="inlineStr">
        <is>
          <t>compacto</t>
        </is>
      </c>
      <c r="M403" s="2" t="n">
        <v>2013</v>
      </c>
      <c r="N403" s="2" t="n">
        <v>131145</v>
      </c>
      <c r="O403" s="2" t="n">
        <v>5100</v>
      </c>
      <c r="P403" s="2" t="inlineStr">
        <is>
          <t>automatico</t>
        </is>
      </c>
      <c r="Q403" s="2" t="inlineStr">
        <is>
          <t>sí</t>
        </is>
      </c>
      <c r="R403" s="2" t="inlineStr">
        <is>
          <t>particular</t>
        </is>
      </c>
      <c r="S403" s="2" t="inlineStr">
        <is>
          <t>Paterna</t>
        </is>
      </c>
      <c r="T403" s="2" t="inlineStr">
        <is>
          <t>2026-10-06T19:17:56Z</t>
        </is>
      </c>
      <c r="U403" s="2" t="n">
        <v>14</v>
      </c>
      <c r="V403" s="2" t="n"/>
      <c r="W403" s="2" t="n"/>
      <c r="X403" s="2" t="n"/>
      <c r="Y403" s="2" t="n"/>
      <c r="Z403" s="2" t="inlineStr">
        <is>
          <t>no</t>
        </is>
      </c>
      <c r="AA403" s="2" t="n"/>
      <c r="AB403" s="2" t="n"/>
      <c r="AC403" s="2" t="n"/>
      <c r="AD403" s="2" t="n"/>
      <c r="AE403" s="2" t="n"/>
      <c r="AF403" s="2" t="n"/>
      <c r="AG403" s="2" t="n"/>
      <c r="AH403" s="2" t="n">
        <v>5100</v>
      </c>
      <c r="AI403" s="2" t="n"/>
      <c r="AJ403" s="2" t="n"/>
      <c r="AK403" s="2" t="n"/>
      <c r="AL403" s="2" t="n"/>
      <c r="AM403" s="2" t="n">
        <v>6.8</v>
      </c>
      <c r="AN403" s="2" t="n"/>
      <c r="AO403" s="2" t="inlineStr">
        <is>
          <t>02/2013</t>
        </is>
      </c>
      <c r="AP403" s="2" t="n">
        <v>2013</v>
      </c>
      <c r="AQ403" s="2" t="n">
        <v>2</v>
      </c>
      <c r="AR403" s="2" t="n"/>
      <c r="AS403" s="2" t="inlineStr">
        <is>
          <t>regla</t>
        </is>
      </c>
      <c r="AT403" s="2" t="n">
        <v>6750</v>
      </c>
      <c r="AU403" s="2" t="n">
        <v>14</v>
      </c>
      <c r="AV403" s="2" t="inlineStr">
        <is>
          <t>modelo+año+km</t>
        </is>
      </c>
      <c r="AW403" s="2" t="n"/>
      <c r="AX403" s="2" t="inlineStr">
        <is>
          <t>por encima del presupuesto (5224 €), negociar; antigüedad en el límite del tramo: depende de la fecha exacta de matriculación; cuota fija ITP: &gt;12 años, 1.501-2.000 cc; fiabilidad del modelo PENDIENTE de fuente (puntuación neutra)</t>
        </is>
      </c>
      <c r="AY403" s="2" t="inlineStr">
        <is>
          <t xml:space="preserve">Se vende urgente! Un coche familiar estupendo, bien cuidado y en perfecto estado. Inspección técnica válida hasta noviembre de 2026. Llantas de aleación de 17 pulgadas, Bluetooth, aire acondicionado, sensores de aparcamiento, 7 plazas y muchas otras prestaciones para mayor comodidad y seguridad. </t>
        </is>
      </c>
      <c r="AZ403" s="2" t="inlineStr">
        <is>
          <t>https://www.coches.net/citroen-c4-16-thp-155cv-cmp-exclusive-5p-gasolina-2013-en-valencia-71685782-covo.aspx (window.__INITIAL_PROPS__.ad) /home/user/Alopecia/buscador-coches/raw/cochesnet/8cc9c8aa090a21f4.json</t>
        </is>
      </c>
      <c r="BA403" s="3">
        <f>MAX(ANIO_ACTUAL-M403,0)</f>
        <v/>
      </c>
      <c r="BB403" s="4">
        <f>N403/MAX(BA403,0.5)</f>
        <v/>
      </c>
      <c r="BC403" s="4">
        <f>F403</f>
        <v/>
      </c>
      <c r="BD403" s="3">
        <f>BC403&amp;"|"&amp;INT(M403/SEG_ANIO)*SEG_ANIO</f>
        <v/>
      </c>
      <c r="BE403" s="3">
        <f>BD403&amp;"|"&amp;INT(N403/SEG_KM)*SEG_KM</f>
        <v/>
      </c>
      <c r="BF403" s="4">
        <f>COUNTIF($BC$2:$BC$545,BC403)</f>
        <v/>
      </c>
      <c r="BG403" s="4">
        <f>COUNTIF($BD$2:$BD$545,BD403)</f>
        <v/>
      </c>
      <c r="BH403" s="4">
        <f>COUNTIF($BE$2:$BE$545,BE403)</f>
        <v/>
      </c>
      <c r="BI403" s="3">
        <f t="array" ref="BI403">IF(N(AU403)&gt;=MIN_N,AT403,IF(BH403&gt;=MIN_N,MEDIAN(IF($BE$2:$BE$545=BE403,$O$2:$O$545)),IF(BG403&gt;=MIN_N,MEDIAN(IF($BD$2:$BD$545=BD403,$O$2:$O$545)),MEDIAN(IF($BC$2:$BC$545=BC403,$O$2:$O$545)))))</f>
        <v/>
      </c>
      <c r="BJ403" s="3">
        <f>IF(N(AU403)&gt;=MIN_N,"mercado "&amp;AV403,IF(BH403&gt;=MIN_N,"modelo+año+km",IF(BG403&gt;=MIN_N,"modelo+año","modelo")))</f>
        <v/>
      </c>
      <c r="BK403" s="4">
        <f>(BI403-O403)/BI403</f>
        <v/>
      </c>
      <c r="BL403" s="3">
        <f>IF(COUNTIFS(FR_FUEL,K403,FR_YEAR,AP403)&gt;0,1,0)</f>
        <v/>
      </c>
      <c r="BM403" s="3">
        <f>IF(COUNTIFS(FR_FUEL,K403,FR_YEAR,AP403-1)&gt;0,1,0)</f>
        <v/>
      </c>
      <c r="BN403" s="4">
        <f>IF(N(AQ403)&gt;0,AP403*100+AQ403,IF(AND(BL403=1,BM403=1),(AP403-1)*100+1,AP403*100+1))</f>
        <v/>
      </c>
      <c r="BO403" s="3">
        <f>IF(OR(K403="hibrido",K403="glp",K403="gnc",K403="phev"),"ECO",IF(K403="electrico","CERO",IF(K403="gasolina",IF(BN403&gt;=GAS_C_YM,"C",IF(BN403&gt;=GAS_B_YM,"B","A")),IF(K403="diesel",IF(BN403&gt;=DIE_C_YM,"C",IF(BN403&gt;=DIE_B_YM,"B","A")),""))))</f>
        <v/>
      </c>
      <c r="BP403" s="4">
        <f>BO403</f>
        <v/>
      </c>
      <c r="BQ403" s="4">
        <f>IF(AS403="regla",IF(AND(N(AQ403)=0,BL403=1),"sí","no"),"no")</f>
        <v/>
      </c>
      <c r="BR403" s="3">
        <f>IFERROR(VLOOKUP(F403,MOD_TBL,11,0),IFERROR(VLOOKUP(E403,OCU_TBL,2,0),NEUTRO))</f>
        <v/>
      </c>
      <c r="BS403" s="3">
        <f>SUMIFS(MOT_AJUSTE,MOT_MOTOR,G403,MOT_MARCA,E403,MOT_DESDE,"&lt;="&amp;M403,MOT_HASTA,"&gt;="&amp;M403)+SUMIFS(MOT_AJUSTE,MOT_MOTOR,G403,MOT_MARCA,"(todas)",MOT_DESDE,"&lt;="&amp;M403,MOT_HASTA,"&gt;="&amp;M403)</f>
        <v/>
      </c>
      <c r="BT403" s="3">
        <f>SUMIFS(COMB_AJUSTE,COMB_COMB,K403)</f>
        <v/>
      </c>
      <c r="BU403" s="3">
        <f>COUNTIFS(MOT_MOTOR,G403,MOT_MARCA,E403,MOT_DESDE,"&lt;="&amp;M403,MOT_HASTA,"&gt;="&amp;M403)+COUNTIFS(MOT_MOTOR,G403,MOT_MARCA,"(todas)",MOT_DESDE,"&lt;="&amp;M403,MOT_HASTA,"&gt;="&amp;M403)</f>
        <v/>
      </c>
      <c r="BV403" s="3">
        <f>IF(AND(K403="diesel",BU403=0),MIN(BR403,NEUTRO),BR403)</f>
        <v/>
      </c>
      <c r="BW403" s="4">
        <f>MAX(0,MIN(100,BV403+BS403+BT403))</f>
        <v/>
      </c>
      <c r="BX403" s="3">
        <f>MAX(0,MIN(100,50+BK403*PRECIO_PEND))</f>
        <v/>
      </c>
      <c r="BY403" s="3">
        <f>MAX(0,100*(1-N403/KM_MAX))</f>
        <v/>
      </c>
      <c r="BZ403" s="3">
        <f>IF(BB403&lt;KMA_SOSP,IF(AA403="sí",100,KMA_PEN),IF(BB403&lt;=KMA_IDEAL_MAX,100,MAX(0,100*(KMA_CERO-BB403)/(KMA_CERO-KMA_IDEAL_MAX))))</f>
        <v/>
      </c>
      <c r="CA403" s="3">
        <f>MAX(0,MIN(100,100*(M403-ANIO_MIN)/(ANIO_ACTUAL-ANIO_MIN)))</f>
        <v/>
      </c>
      <c r="CB403" s="3">
        <f>W_KMT*BY403+W_KMA*BZ403+W_EDAD*CA403</f>
        <v/>
      </c>
      <c r="CC403" s="3">
        <f>P_ITV*(V403="sí")+P_LIBRO*(W403="sí")+P_CORREA*(X403="sí")+P_PROP*(Y403=1)+P_GAR*(Z403="sí")+P_FOTOS*MIN(1,N(U403)/FOTOS_OBJ)</f>
        <v/>
      </c>
      <c r="CD403" s="3">
        <f>MAX(0,MIN(100,IFERROR(VLOOKUP(BP403,ETQ_TBL,2,0),0)-IF(BQ403="sí",ETQ_PEN_DUD,IF(AS403="regla",ETQ_PEN_REGLA,0))))</f>
        <v/>
      </c>
      <c r="CE403" s="3">
        <f>NEUTRO</f>
        <v/>
      </c>
      <c r="CF403" s="3">
        <f>IFERROR(VLOOKUP(L403,SEGURO_TBL,3,0),"")</f>
        <v/>
      </c>
      <c r="CG403" s="3">
        <f>IF(CF403="",NEUTRO,MAX(0,MIN(100,100*(SEG_REF_MAX-CF403)/(SEG_REF_MAX-SEG_REF_MIN))))</f>
        <v/>
      </c>
      <c r="CH403" s="3">
        <f>W_CONS*CE403+W_SEG*CG403</f>
        <v/>
      </c>
      <c r="CI403" s="3">
        <f>IF(N(AB403)&gt;0,AB403,IF(AND(R403="profesional",SG_LEGAL_ON=1),GAR_LEGAL,0))</f>
        <v/>
      </c>
      <c r="CJ403" s="3">
        <f>SG_GAR*MIN(1,CI403/SG_GAR_FULL)+SG_AMPL*(AC403="sí")+SG_KMC*(AF403="sí")+SG_REV*(N(AE403)&gt;0)+SG_DEV*MIN(1,N(AG403)/SG_DEV_FULL)+SG_HIST*(W403="sí")</f>
        <v/>
      </c>
      <c r="CK403" s="3">
        <f>IFERROR(VLOOKUP(L403,CARR_PEN_TBL,2,0),0)</f>
        <v/>
      </c>
      <c r="CL403" s="3">
        <f>W_FIAB*BW403+W_PRECIO*BX403+W_KMEDAD*CB403+W_ANUNCIO*CC403+W_USO*CH403+W_SEGURIDAD*CJ403+W_ETIQUETA*CD403-CK403</f>
        <v/>
      </c>
      <c r="CM403" s="4">
        <f>IF(N(I403)&gt;0,I403,IFERROR(ROUND(_xlfn.NUMBERVALUE(LEFT(G403,FIND(" ",G403&amp;" ")-1),".")*1000,0),99999))</f>
        <v/>
      </c>
      <c r="CN403" s="3">
        <f>IF(R403="profesional",0,IF(O403&lt;CUOTA_VALOR_MAX,IF(BA403&gt;ITP_TRAMO_ALTO,SUMIFS(CF_CUOTA,CF_MAS,ITP_TRAMO_ALTO,CF_CCMIN,"&lt;="&amp;CM403,CF_CCMAX,"&gt;="&amp;CM403),IF(BA403&gt;ITP_TRAMO_BAJO,SUMIFS(CF_CUOTA,CF_MAS,ITP_TRAMO_BAJO,CF_CCMIN,"&lt;="&amp;CM403,CF_CCMAX,"&gt;="&amp;CM403),O403*ITP_TIPO)),O403*ITP_TIPO))</f>
        <v/>
      </c>
      <c r="CO403" s="4">
        <f>IF(R403="profesional",N(AK403),0)</f>
        <v/>
      </c>
      <c r="CP403" s="3">
        <f>IF(AND(R403="profesional",ISNUMBER(AK403),AL403="sí"),0,TASA_DGT)</f>
        <v/>
      </c>
      <c r="CQ403" s="3">
        <f>INFORME_DGT</f>
        <v/>
      </c>
      <c r="CR403" s="4">
        <f>O403+CO403+CN403+CP403+CQ403</f>
        <v/>
      </c>
      <c r="CS403" s="4">
        <f>CR403+N(CF403)</f>
        <v/>
      </c>
      <c r="CT403" s="3">
        <f>IF(CR403&lt;=TOTAL_MAX,"sí",IF(CR403&lt;=TOTAL_MAX+MARGEN_NEG,"negociar","no"))</f>
        <v/>
      </c>
      <c r="CU403" s="4">
        <f>IF(CT403&lt;&gt;"no",COUNTIFS($CT$2:$CT$545,"&lt;&gt;no",$CL$2:$CL$545,"&gt;"&amp;CL403)+COUNTIFS($CT$2:CT403,"&lt;&gt;no",$CL$2:CL403,CL403),"")</f>
        <v/>
      </c>
    </row>
    <row r="404">
      <c r="A404" s="2" t="inlineStr">
        <is>
          <t>cochesnet:71659228</t>
        </is>
      </c>
      <c r="B404" s="2" t="inlineStr">
        <is>
          <t>cochesnet</t>
        </is>
      </c>
      <c r="C404" s="2" t="inlineStr">
        <is>
          <t>https://www.coches.net/citroen-c4-diesel-2006-en-valencia-71659228-covo.aspx</t>
        </is>
      </c>
      <c r="D404" s="2" t="inlineStr">
        <is>
          <t>CITROEN C4</t>
        </is>
      </c>
      <c r="E404" s="2" t="inlineStr">
        <is>
          <t>Citroën</t>
        </is>
      </c>
      <c r="F404" s="2" t="inlineStr">
        <is>
          <t>Citroën C4</t>
        </is>
      </c>
      <c r="G404" s="2" t="n"/>
      <c r="H404" s="2" t="n"/>
      <c r="I404" s="2" t="n"/>
      <c r="J404" s="2" t="n"/>
      <c r="K404" s="2" t="inlineStr">
        <is>
          <t>diesel</t>
        </is>
      </c>
      <c r="L404" s="2" t="inlineStr">
        <is>
          <t>compacto</t>
        </is>
      </c>
      <c r="M404" s="2" t="n">
        <v>2006</v>
      </c>
      <c r="N404" s="2" t="n">
        <v>213000</v>
      </c>
      <c r="O404" s="2" t="n">
        <v>2899</v>
      </c>
      <c r="P404" s="2" t="inlineStr">
        <is>
          <t>manual</t>
        </is>
      </c>
      <c r="Q404" s="2" t="inlineStr">
        <is>
          <t>no</t>
        </is>
      </c>
      <c r="R404" s="2" t="inlineStr">
        <is>
          <t>particular</t>
        </is>
      </c>
      <c r="S404" s="2" t="n"/>
      <c r="T404" s="2" t="inlineStr">
        <is>
          <t>2026-10-02T15:40:40Z</t>
        </is>
      </c>
      <c r="U404" s="2" t="n">
        <v>8</v>
      </c>
      <c r="V404" s="2" t="inlineStr">
        <is>
          <t>sí</t>
        </is>
      </c>
      <c r="W404" s="2" t="n"/>
      <c r="X404" s="2" t="n"/>
      <c r="Y404" s="2" t="n">
        <v>2</v>
      </c>
      <c r="Z404" s="2" t="inlineStr">
        <is>
          <t>no</t>
        </is>
      </c>
      <c r="AA404" s="2" t="n"/>
      <c r="AB404" s="2" t="n"/>
      <c r="AC404" s="2" t="n"/>
      <c r="AD404" s="2" t="n"/>
      <c r="AE404" s="2" t="n"/>
      <c r="AF404" s="2" t="n"/>
      <c r="AG404" s="2" t="n"/>
      <c r="AH404" s="2" t="n">
        <v>2899</v>
      </c>
      <c r="AI404" s="2" t="n"/>
      <c r="AJ404" s="2" t="n"/>
      <c r="AK404" s="2" t="n"/>
      <c r="AL404" s="2" t="n"/>
      <c r="AM404" s="2" t="n"/>
      <c r="AN404" s="2" t="n"/>
      <c r="AO404" s="2" t="inlineStr">
        <is>
          <t>2006</t>
        </is>
      </c>
      <c r="AP404" s="2" t="n">
        <v>2006</v>
      </c>
      <c r="AQ404" s="2" t="n"/>
      <c r="AR404" s="2" t="n"/>
      <c r="AS404" s="2" t="inlineStr">
        <is>
          <t>regla</t>
        </is>
      </c>
      <c r="AT404" s="2" t="n">
        <v>2000</v>
      </c>
      <c r="AU404" s="2" t="n">
        <v>10</v>
      </c>
      <c r="AV404" s="2" t="inlineStr">
        <is>
          <t>modelo+año+km</t>
        </is>
      </c>
      <c r="AW404" s="2" t="n"/>
      <c r="AX404"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404" s="2" t="inlineStr">
        <is>
          <t>Un coche práctico, muy fiable y con un consumo ridículo. Ideal como vehículo de diario o para quien busque un coche amplio, cómodo y económico de mantener con la mecánica 1.6 HDi de 110 CV y cambio manual.
? Puntos clave del vehículo:
• Motor 1.6 Diésel (110 CV): un motor súper contrastado por su bajo consumo y gran durabilidad.
• Carrocería: Berlina (amplia, cómoda y muy versátil).
• 1ª Matriculación: 12/2005
• Kilometraje: 219.660 km
• Propietarios: Solo 2 propietarios (incluyendo profesionales).
• ITV en vigor: Pasada hasta 06/2027.
• Mantenimiento recién realizado, listo para circular desde el primer día.
• Entrega inmediata.</t>
        </is>
      </c>
      <c r="AZ404" s="2" t="inlineStr">
        <is>
          <t>https://www.coches.net/citroen-c4-diesel-2006-en-valencia-71659228-covo.aspx (window.__INITIAL_PROPS__.ad) /home/user/Alopecia/buscador-coches/raw/cochesnet/85e7297e57e24aff.json</t>
        </is>
      </c>
      <c r="BA404" s="3">
        <f>MAX(ANIO_ACTUAL-M404,0)</f>
        <v/>
      </c>
      <c r="BB404" s="4">
        <f>N404/MAX(BA404,0.5)</f>
        <v/>
      </c>
      <c r="BC404" s="4">
        <f>F404</f>
        <v/>
      </c>
      <c r="BD404" s="3">
        <f>BC404&amp;"|"&amp;INT(M404/SEG_ANIO)*SEG_ANIO</f>
        <v/>
      </c>
      <c r="BE404" s="3">
        <f>BD404&amp;"|"&amp;INT(N404/SEG_KM)*SEG_KM</f>
        <v/>
      </c>
      <c r="BF404" s="4">
        <f>COUNTIF($BC$2:$BC$545,BC404)</f>
        <v/>
      </c>
      <c r="BG404" s="4">
        <f>COUNTIF($BD$2:$BD$545,BD404)</f>
        <v/>
      </c>
      <c r="BH404" s="4">
        <f>COUNTIF($BE$2:$BE$545,BE404)</f>
        <v/>
      </c>
      <c r="BI404" s="3">
        <f t="array" ref="BI404">IF(N(AU404)&gt;=MIN_N,AT404,IF(BH404&gt;=MIN_N,MEDIAN(IF($BE$2:$BE$545=BE404,$O$2:$O$545)),IF(BG404&gt;=MIN_N,MEDIAN(IF($BD$2:$BD$545=BD404,$O$2:$O$545)),MEDIAN(IF($BC$2:$BC$545=BC404,$O$2:$O$545)))))</f>
        <v/>
      </c>
      <c r="BJ404" s="3">
        <f>IF(N(AU404)&gt;=MIN_N,"mercado "&amp;AV404,IF(BH404&gt;=MIN_N,"modelo+año+km",IF(BG404&gt;=MIN_N,"modelo+año","modelo")))</f>
        <v/>
      </c>
      <c r="BK404" s="4">
        <f>(BI404-O404)/BI404</f>
        <v/>
      </c>
      <c r="BL404" s="3">
        <f>IF(COUNTIFS(FR_FUEL,K404,FR_YEAR,AP404)&gt;0,1,0)</f>
        <v/>
      </c>
      <c r="BM404" s="3">
        <f>IF(COUNTIFS(FR_FUEL,K404,FR_YEAR,AP404-1)&gt;0,1,0)</f>
        <v/>
      </c>
      <c r="BN404" s="4">
        <f>IF(N(AQ404)&gt;0,AP404*100+AQ404,IF(AND(BL404=1,BM404=1),(AP404-1)*100+1,AP404*100+1))</f>
        <v/>
      </c>
      <c r="BO404" s="3">
        <f>IF(OR(K404="hibrido",K404="glp",K404="gnc",K404="phev"),"ECO",IF(K404="electrico","CERO",IF(K404="gasolina",IF(BN404&gt;=GAS_C_YM,"C",IF(BN404&gt;=GAS_B_YM,"B","A")),IF(K404="diesel",IF(BN404&gt;=DIE_C_YM,"C",IF(BN404&gt;=DIE_B_YM,"B","A")),""))))</f>
        <v/>
      </c>
      <c r="BP404" s="4">
        <f>BO404</f>
        <v/>
      </c>
      <c r="BQ404" s="4">
        <f>IF(AS404="regla",IF(AND(N(AQ404)=0,BL404=1),"sí","no"),"no")</f>
        <v/>
      </c>
      <c r="BR404" s="3">
        <f>IFERROR(VLOOKUP(F404,MOD_TBL,11,0),IFERROR(VLOOKUP(E404,OCU_TBL,2,0),NEUTRO))</f>
        <v/>
      </c>
      <c r="BS404" s="3">
        <f>SUMIFS(MOT_AJUSTE,MOT_MOTOR,G404,MOT_MARCA,E404,MOT_DESDE,"&lt;="&amp;M404,MOT_HASTA,"&gt;="&amp;M404)+SUMIFS(MOT_AJUSTE,MOT_MOTOR,G404,MOT_MARCA,"(todas)",MOT_DESDE,"&lt;="&amp;M404,MOT_HASTA,"&gt;="&amp;M404)</f>
        <v/>
      </c>
      <c r="BT404" s="3">
        <f>SUMIFS(COMB_AJUSTE,COMB_COMB,K404)</f>
        <v/>
      </c>
      <c r="BU404" s="3">
        <f>COUNTIFS(MOT_MOTOR,G404,MOT_MARCA,E404,MOT_DESDE,"&lt;="&amp;M404,MOT_HASTA,"&gt;="&amp;M404)+COUNTIFS(MOT_MOTOR,G404,MOT_MARCA,"(todas)",MOT_DESDE,"&lt;="&amp;M404,MOT_HASTA,"&gt;="&amp;M404)</f>
        <v/>
      </c>
      <c r="BV404" s="3">
        <f>IF(AND(K404="diesel",BU404=0),MIN(BR404,NEUTRO),BR404)</f>
        <v/>
      </c>
      <c r="BW404" s="4">
        <f>MAX(0,MIN(100,BV404+BS404+BT404))</f>
        <v/>
      </c>
      <c r="BX404" s="3">
        <f>MAX(0,MIN(100,50+BK404*PRECIO_PEND))</f>
        <v/>
      </c>
      <c r="BY404" s="3">
        <f>MAX(0,100*(1-N404/KM_MAX))</f>
        <v/>
      </c>
      <c r="BZ404" s="3">
        <f>IF(BB404&lt;KMA_SOSP,IF(AA404="sí",100,KMA_PEN),IF(BB404&lt;=KMA_IDEAL_MAX,100,MAX(0,100*(KMA_CERO-BB404)/(KMA_CERO-KMA_IDEAL_MAX))))</f>
        <v/>
      </c>
      <c r="CA404" s="3">
        <f>MAX(0,MIN(100,100*(M404-ANIO_MIN)/(ANIO_ACTUAL-ANIO_MIN)))</f>
        <v/>
      </c>
      <c r="CB404" s="3">
        <f>W_KMT*BY404+W_KMA*BZ404+W_EDAD*CA404</f>
        <v/>
      </c>
      <c r="CC404" s="3">
        <f>P_ITV*(V404="sí")+P_LIBRO*(W404="sí")+P_CORREA*(X404="sí")+P_PROP*(Y404=1)+P_GAR*(Z404="sí")+P_FOTOS*MIN(1,N(U404)/FOTOS_OBJ)</f>
        <v/>
      </c>
      <c r="CD404" s="3">
        <f>MAX(0,MIN(100,IFERROR(VLOOKUP(BP404,ETQ_TBL,2,0),0)-IF(BQ404="sí",ETQ_PEN_DUD,IF(AS404="regla",ETQ_PEN_REGLA,0))))</f>
        <v/>
      </c>
      <c r="CE404" s="3">
        <f>NEUTRO</f>
        <v/>
      </c>
      <c r="CF404" s="3">
        <f>IFERROR(VLOOKUP(L404,SEGURO_TBL,3,0),"")</f>
        <v/>
      </c>
      <c r="CG404" s="3">
        <f>IF(CF404="",NEUTRO,MAX(0,MIN(100,100*(SEG_REF_MAX-CF404)/(SEG_REF_MAX-SEG_REF_MIN))))</f>
        <v/>
      </c>
      <c r="CH404" s="3">
        <f>W_CONS*CE404+W_SEG*CG404</f>
        <v/>
      </c>
      <c r="CI404" s="3">
        <f>IF(N(AB404)&gt;0,AB404,IF(AND(R404="profesional",SG_LEGAL_ON=1),GAR_LEGAL,0))</f>
        <v/>
      </c>
      <c r="CJ404" s="3">
        <f>SG_GAR*MIN(1,CI404/SG_GAR_FULL)+SG_AMPL*(AC404="sí")+SG_KMC*(AF404="sí")+SG_REV*(N(AE404)&gt;0)+SG_DEV*MIN(1,N(AG404)/SG_DEV_FULL)+SG_HIST*(W404="sí")</f>
        <v/>
      </c>
      <c r="CK404" s="3">
        <f>IFERROR(VLOOKUP(L404,CARR_PEN_TBL,2,0),0)</f>
        <v/>
      </c>
      <c r="CL404" s="3">
        <f>W_FIAB*BW404+W_PRECIO*BX404+W_KMEDAD*CB404+W_ANUNCIO*CC404+W_USO*CH404+W_SEGURIDAD*CJ404+W_ETIQUETA*CD404-CK404</f>
        <v/>
      </c>
      <c r="CM404" s="4">
        <f>IF(N(I404)&gt;0,I404,IFERROR(ROUND(_xlfn.NUMBERVALUE(LEFT(G404,FIND(" ",G404&amp;" ")-1),".")*1000,0),99999))</f>
        <v/>
      </c>
      <c r="CN404" s="3">
        <f>IF(R404="profesional",0,IF(O404&lt;CUOTA_VALOR_MAX,IF(BA404&gt;ITP_TRAMO_ALTO,SUMIFS(CF_CUOTA,CF_MAS,ITP_TRAMO_ALTO,CF_CCMIN,"&lt;="&amp;CM404,CF_CCMAX,"&gt;="&amp;CM404),IF(BA404&gt;ITP_TRAMO_BAJO,SUMIFS(CF_CUOTA,CF_MAS,ITP_TRAMO_BAJO,CF_CCMIN,"&lt;="&amp;CM404,CF_CCMAX,"&gt;="&amp;CM404),O404*ITP_TIPO)),O404*ITP_TIPO))</f>
        <v/>
      </c>
      <c r="CO404" s="4">
        <f>IF(R404="profesional",N(AK404),0)</f>
        <v/>
      </c>
      <c r="CP404" s="3">
        <f>IF(AND(R404="profesional",ISNUMBER(AK404),AL404="sí"),0,TASA_DGT)</f>
        <v/>
      </c>
      <c r="CQ404" s="3">
        <f>INFORME_DGT</f>
        <v/>
      </c>
      <c r="CR404" s="4">
        <f>O404+CO404+CN404+CP404+CQ404</f>
        <v/>
      </c>
      <c r="CS404" s="4">
        <f>CR404+N(CF404)</f>
        <v/>
      </c>
      <c r="CT404" s="3">
        <f>IF(CR404&lt;=TOTAL_MAX,"sí",IF(CR404&lt;=TOTAL_MAX+MARGEN_NEG,"negociar","no"))</f>
        <v/>
      </c>
      <c r="CU404" s="4">
        <f>IF(CT404&lt;&gt;"no",COUNTIFS($CT$2:$CT$545,"&lt;&gt;no",$CL$2:$CL$545,"&gt;"&amp;CL404)+COUNTIFS($CT$2:CT404,"&lt;&gt;no",$CL$2:CL404,CL404),"")</f>
        <v/>
      </c>
    </row>
    <row r="405">
      <c r="A405" s="2" t="inlineStr">
        <is>
          <t>cochesnet:71324072</t>
        </is>
      </c>
      <c r="B405" s="2" t="inlineStr">
        <is>
          <t>cochesnet</t>
        </is>
      </c>
      <c r="C405" s="2" t="inlineStr">
        <is>
          <t>https://www.coches.net/citroen-c4-14-16v-lx-5p-gasolina-2006-en-valencia-71324072-covo.aspx</t>
        </is>
      </c>
      <c r="D405" s="2" t="inlineStr">
        <is>
          <t>CITROEN C4 1.4 16v LX</t>
        </is>
      </c>
      <c r="E405" s="2" t="inlineStr">
        <is>
          <t>Citroën</t>
        </is>
      </c>
      <c r="F405" s="2" t="inlineStr">
        <is>
          <t>Citroën C4</t>
        </is>
      </c>
      <c r="G405" s="2" t="inlineStr">
        <is>
          <t>1.4</t>
        </is>
      </c>
      <c r="H405" s="2" t="inlineStr">
        <is>
          <t>1.4 16v LX</t>
        </is>
      </c>
      <c r="I405" s="2" t="n"/>
      <c r="J405" s="2" t="n"/>
      <c r="K405" s="2" t="inlineStr">
        <is>
          <t>gasolina</t>
        </is>
      </c>
      <c r="L405" s="2" t="inlineStr">
        <is>
          <t>compacto</t>
        </is>
      </c>
      <c r="M405" s="2" t="n">
        <v>2006</v>
      </c>
      <c r="N405" s="2" t="n">
        <v>190000</v>
      </c>
      <c r="O405" s="2" t="n">
        <v>2600</v>
      </c>
      <c r="P405" s="2" t="inlineStr">
        <is>
          <t>manual</t>
        </is>
      </c>
      <c r="Q405" s="2" t="inlineStr">
        <is>
          <t>no</t>
        </is>
      </c>
      <c r="R405" s="2" t="inlineStr">
        <is>
          <t>particular</t>
        </is>
      </c>
      <c r="S405" s="2" t="inlineStr">
        <is>
          <t>Almussafes</t>
        </is>
      </c>
      <c r="T405" s="2" t="inlineStr">
        <is>
          <t>2026-08-26T22:25:12Z</t>
        </is>
      </c>
      <c r="U405" s="2" t="n">
        <v>10</v>
      </c>
      <c r="V405" s="2" t="n"/>
      <c r="W405" s="2" t="n"/>
      <c r="X405" s="2" t="n"/>
      <c r="Y405" s="2" t="n"/>
      <c r="Z405" s="2" t="inlineStr">
        <is>
          <t>no</t>
        </is>
      </c>
      <c r="AA405" s="2" t="n"/>
      <c r="AB405" s="2" t="n"/>
      <c r="AC405" s="2" t="n"/>
      <c r="AD405" s="2" t="n"/>
      <c r="AE405" s="2" t="n"/>
      <c r="AF405" s="2" t="n"/>
      <c r="AG405" s="2" t="n"/>
      <c r="AH405" s="2" t="n">
        <v>2600</v>
      </c>
      <c r="AI405" s="2" t="n"/>
      <c r="AJ405" s="2" t="n"/>
      <c r="AK405" s="2" t="n"/>
      <c r="AL405" s="2" t="n"/>
      <c r="AM405" s="2" t="n">
        <v>20</v>
      </c>
      <c r="AN405" s="2" t="inlineStr">
        <is>
          <t>DE1360CC</t>
        </is>
      </c>
      <c r="AO405" s="2" t="inlineStr">
        <is>
          <t>2006</t>
        </is>
      </c>
      <c r="AP405" s="2" t="n">
        <v>2006</v>
      </c>
      <c r="AQ405" s="2" t="n"/>
      <c r="AR405" s="2" t="inlineStr">
        <is>
          <t>C</t>
        </is>
      </c>
      <c r="AS405" s="2" t="inlineStr">
        <is>
          <t>anuncio</t>
        </is>
      </c>
      <c r="AT405" s="2" t="n">
        <v>2600</v>
      </c>
      <c r="AU405" s="2" t="n">
        <v>9</v>
      </c>
      <c r="AV405" s="2" t="inlineStr">
        <is>
          <t>modelo+año+km</t>
        </is>
      </c>
      <c r="AW405" s="2" t="inlineStr">
        <is>
          <t>cochesnet:71365163 (https://www.coches.net/citroen-c4-gasolina-2006-en-valencia-71365163-covo.aspx)</t>
        </is>
      </c>
      <c r="AX405" s="2" t="inlineStr">
        <is>
          <t>cuota fija ITP: &gt;12 años, hasta 1.500 cc; fiabilidad del modelo PENDIENTE de fuente (puntuación neutra)</t>
        </is>
      </c>
      <c r="AY405" s="2" t="inlineStr">
        <is>
          <t>Vendo mi Citroën C4 1.4 16v LX, un berlina práctico y versátil que ha sido mi compañero de viajes durante estos años. Se trata de un vehículo con motor de 1360 cc y 88 CV que ofrece un buen equilibrio entre potencia y consumo, ideal para quienes buscan un coche funcional sin renunciar a la eficiencia.
Este C4 cuenta con cinco plazas y cinco puertas, perfectas para la vida cotidiana en ciudad y desplazamientos por carretera. La carrocería berlina proporciona ese espacio interior que caracteriza a este modelo, con un maletero generoso y una buena visibilidad para conducir con comodidad.
Es un vehículo honesto que ha cumplido bien su función. Tiene uso habitual, como corresponde a sus años de circulación, pero sigue siendo operativo para quien busque una alternativa económica y práctica. El motor sin plomo es fiable y conocido en el mercado por su durabilidad.
Estoy vendiendo a un precio muy accesible, consciente del estado general del vehículo, lo que lo convierte en una opción interesante para quienes necesitan desplazarse sin hacer una gran inversión inicial. Si tienes dudas sobre aspectos específicos del estado mecánico, equipamiento o cualquier otra característica no detallada, no dudes en contactarme.
Puedo atenderte por teléfono o chat. Aprovecha esta oportunidad si buscas un coche funcional y económico.</t>
        </is>
      </c>
      <c r="AZ405" s="2" t="inlineStr">
        <is>
          <t>https://www.coches.net/citroen-c4-14-16v-lx-5p-gasolina-2006-en-valencia-71324072-covo.aspx (window.__INITIAL_PROPS__.ad) /home/user/Alopecia/buscador-coches/raw/cochesnet/7c86a39938025a34.json</t>
        </is>
      </c>
      <c r="BA405" s="3">
        <f>MAX(ANIO_ACTUAL-M405,0)</f>
        <v/>
      </c>
      <c r="BB405" s="4">
        <f>N405/MAX(BA405,0.5)</f>
        <v/>
      </c>
      <c r="BC405" s="4">
        <f>F405</f>
        <v/>
      </c>
      <c r="BD405" s="3">
        <f>BC405&amp;"|"&amp;INT(M405/SEG_ANIO)*SEG_ANIO</f>
        <v/>
      </c>
      <c r="BE405" s="3">
        <f>BD405&amp;"|"&amp;INT(N405/SEG_KM)*SEG_KM</f>
        <v/>
      </c>
      <c r="BF405" s="4">
        <f>COUNTIF($BC$2:$BC$545,BC405)</f>
        <v/>
      </c>
      <c r="BG405" s="4">
        <f>COUNTIF($BD$2:$BD$545,BD405)</f>
        <v/>
      </c>
      <c r="BH405" s="4">
        <f>COUNTIF($BE$2:$BE$545,BE405)</f>
        <v/>
      </c>
      <c r="BI405" s="3">
        <f t="array" ref="BI405">IF(N(AU405)&gt;=MIN_N,AT405,IF(BH405&gt;=MIN_N,MEDIAN(IF($BE$2:$BE$545=BE405,$O$2:$O$545)),IF(BG405&gt;=MIN_N,MEDIAN(IF($BD$2:$BD$545=BD405,$O$2:$O$545)),MEDIAN(IF($BC$2:$BC$545=BC405,$O$2:$O$545)))))</f>
        <v/>
      </c>
      <c r="BJ405" s="3">
        <f>IF(N(AU405)&gt;=MIN_N,"mercado "&amp;AV405,IF(BH405&gt;=MIN_N,"modelo+año+km",IF(BG405&gt;=MIN_N,"modelo+año","modelo")))</f>
        <v/>
      </c>
      <c r="BK405" s="4">
        <f>(BI405-O405)/BI405</f>
        <v/>
      </c>
      <c r="BL405" s="3">
        <f>IF(COUNTIFS(FR_FUEL,K405,FR_YEAR,AP405)&gt;0,1,0)</f>
        <v/>
      </c>
      <c r="BM405" s="3">
        <f>IF(COUNTIFS(FR_FUEL,K405,FR_YEAR,AP405-1)&gt;0,1,0)</f>
        <v/>
      </c>
      <c r="BN405" s="4">
        <f>IF(N(AQ405)&gt;0,AP405*100+AQ405,IF(AND(BL405=1,BM405=1),(AP405-1)*100+1,AP405*100+1))</f>
        <v/>
      </c>
      <c r="BO405" s="3">
        <f>IF(OR(K405="hibrido",K405="glp",K405="gnc",K405="phev"),"ECO",IF(K405="electrico","CERO",IF(K405="gasolina",IF(BN405&gt;=GAS_C_YM,"C",IF(BN405&gt;=GAS_B_YM,"B","A")),IF(K405="diesel",IF(BN405&gt;=DIE_C_YM,"C",IF(BN405&gt;=DIE_B_YM,"B","A")),""))))</f>
        <v/>
      </c>
      <c r="BP405" s="2" t="inlineStr">
        <is>
          <t>C</t>
        </is>
      </c>
      <c r="BQ405" s="4">
        <f>IF(AS405="regla",IF(AND(N(AQ405)=0,BL405=1),"sí","no"),"no")</f>
        <v/>
      </c>
      <c r="BR405" s="3">
        <f>IFERROR(VLOOKUP(F405,MOD_TBL,11,0),IFERROR(VLOOKUP(E405,OCU_TBL,2,0),NEUTRO))</f>
        <v/>
      </c>
      <c r="BS405" s="3">
        <f>SUMIFS(MOT_AJUSTE,MOT_MOTOR,G405,MOT_MARCA,E405,MOT_DESDE,"&lt;="&amp;M405,MOT_HASTA,"&gt;="&amp;M405)+SUMIFS(MOT_AJUSTE,MOT_MOTOR,G405,MOT_MARCA,"(todas)",MOT_DESDE,"&lt;="&amp;M405,MOT_HASTA,"&gt;="&amp;M405)</f>
        <v/>
      </c>
      <c r="BT405" s="3">
        <f>SUMIFS(COMB_AJUSTE,COMB_COMB,K405)</f>
        <v/>
      </c>
      <c r="BU405" s="3">
        <f>COUNTIFS(MOT_MOTOR,G405,MOT_MARCA,E405,MOT_DESDE,"&lt;="&amp;M405,MOT_HASTA,"&gt;="&amp;M405)+COUNTIFS(MOT_MOTOR,G405,MOT_MARCA,"(todas)",MOT_DESDE,"&lt;="&amp;M405,MOT_HASTA,"&gt;="&amp;M405)</f>
        <v/>
      </c>
      <c r="BV405" s="3">
        <f>IF(AND(K405="diesel",BU405=0),MIN(BR405,NEUTRO),BR405)</f>
        <v/>
      </c>
      <c r="BW405" s="4">
        <f>MAX(0,MIN(100,BV405+BS405+BT405))</f>
        <v/>
      </c>
      <c r="BX405" s="3">
        <f>MAX(0,MIN(100,50+BK405*PRECIO_PEND))</f>
        <v/>
      </c>
      <c r="BY405" s="3">
        <f>MAX(0,100*(1-N405/KM_MAX))</f>
        <v/>
      </c>
      <c r="BZ405" s="3">
        <f>IF(BB405&lt;KMA_SOSP,IF(AA405="sí",100,KMA_PEN),IF(BB405&lt;=KMA_IDEAL_MAX,100,MAX(0,100*(KMA_CERO-BB405)/(KMA_CERO-KMA_IDEAL_MAX))))</f>
        <v/>
      </c>
      <c r="CA405" s="3">
        <f>MAX(0,MIN(100,100*(M405-ANIO_MIN)/(ANIO_ACTUAL-ANIO_MIN)))</f>
        <v/>
      </c>
      <c r="CB405" s="3">
        <f>W_KMT*BY405+W_KMA*BZ405+W_EDAD*CA405</f>
        <v/>
      </c>
      <c r="CC405" s="3">
        <f>P_ITV*(V405="sí")+P_LIBRO*(W405="sí")+P_CORREA*(X405="sí")+P_PROP*(Y405=1)+P_GAR*(Z405="sí")+P_FOTOS*MIN(1,N(U405)/FOTOS_OBJ)</f>
        <v/>
      </c>
      <c r="CD405" s="3">
        <f>MAX(0,MIN(100,IFERROR(VLOOKUP(BP405,ETQ_TBL,2,0),0)-IF(BQ405="sí",ETQ_PEN_DUD,IF(AS405="regla",ETQ_PEN_REGLA,0))))</f>
        <v/>
      </c>
      <c r="CE405" s="3">
        <f>NEUTRO</f>
        <v/>
      </c>
      <c r="CF405" s="3">
        <f>IFERROR(VLOOKUP(L405,SEGURO_TBL,3,0),"")</f>
        <v/>
      </c>
      <c r="CG405" s="3">
        <f>IF(CF405="",NEUTRO,MAX(0,MIN(100,100*(SEG_REF_MAX-CF405)/(SEG_REF_MAX-SEG_REF_MIN))))</f>
        <v/>
      </c>
      <c r="CH405" s="3">
        <f>W_CONS*CE405+W_SEG*CG405</f>
        <v/>
      </c>
      <c r="CI405" s="3">
        <f>IF(N(AB405)&gt;0,AB405,IF(AND(R405="profesional",SG_LEGAL_ON=1),GAR_LEGAL,0))</f>
        <v/>
      </c>
      <c r="CJ405" s="3">
        <f>SG_GAR*MIN(1,CI405/SG_GAR_FULL)+SG_AMPL*(AC405="sí")+SG_KMC*(AF405="sí")+SG_REV*(N(AE405)&gt;0)+SG_DEV*MIN(1,N(AG405)/SG_DEV_FULL)+SG_HIST*(W405="sí")</f>
        <v/>
      </c>
      <c r="CK405" s="3">
        <f>IFERROR(VLOOKUP(L405,CARR_PEN_TBL,2,0),0)</f>
        <v/>
      </c>
      <c r="CL405" s="3">
        <f>W_FIAB*BW405+W_PRECIO*BX405+W_KMEDAD*CB405+W_ANUNCIO*CC405+W_USO*CH405+W_SEGURIDAD*CJ405+W_ETIQUETA*CD405-CK405</f>
        <v/>
      </c>
      <c r="CM405" s="4">
        <f>IF(N(I405)&gt;0,I405,IFERROR(ROUND(_xlfn.NUMBERVALUE(LEFT(G405,FIND(" ",G405&amp;" ")-1),".")*1000,0),99999))</f>
        <v/>
      </c>
      <c r="CN405" s="3">
        <f>IF(R405="profesional",0,IF(O405&lt;CUOTA_VALOR_MAX,IF(BA405&gt;ITP_TRAMO_ALTO,SUMIFS(CF_CUOTA,CF_MAS,ITP_TRAMO_ALTO,CF_CCMIN,"&lt;="&amp;CM405,CF_CCMAX,"&gt;="&amp;CM405),IF(BA405&gt;ITP_TRAMO_BAJO,SUMIFS(CF_CUOTA,CF_MAS,ITP_TRAMO_BAJO,CF_CCMIN,"&lt;="&amp;CM405,CF_CCMAX,"&gt;="&amp;CM405),O405*ITP_TIPO)),O405*ITP_TIPO))</f>
        <v/>
      </c>
      <c r="CO405" s="4">
        <f>IF(R405="profesional",N(AK405),0)</f>
        <v/>
      </c>
      <c r="CP405" s="3">
        <f>IF(AND(R405="profesional",ISNUMBER(AK405),AL405="sí"),0,TASA_DGT)</f>
        <v/>
      </c>
      <c r="CQ405" s="3">
        <f>INFORME_DGT</f>
        <v/>
      </c>
      <c r="CR405" s="4">
        <f>O405+CO405+CN405+CP405+CQ405</f>
        <v/>
      </c>
      <c r="CS405" s="4">
        <f>CR405+N(CF405)</f>
        <v/>
      </c>
      <c r="CT405" s="3">
        <f>IF(CR405&lt;=TOTAL_MAX,"sí",IF(CR405&lt;=TOTAL_MAX+MARGEN_NEG,"negociar","no"))</f>
        <v/>
      </c>
      <c r="CU405" s="4">
        <f>IF(CT405&lt;&gt;"no",COUNTIFS($CT$2:$CT$545,"&lt;&gt;no",$CL$2:$CL$545,"&gt;"&amp;CL405)+COUNTIFS($CT$2:CT405,"&lt;&gt;no",$CL$2:CL405,CL405),"")</f>
        <v/>
      </c>
    </row>
    <row r="406">
      <c r="A406" s="2" t="inlineStr">
        <is>
          <t>cochesnet:71818180</t>
        </is>
      </c>
      <c r="B406" s="2" t="inlineStr">
        <is>
          <t>cochesnet</t>
        </is>
      </c>
      <c r="C406" s="2" t="inlineStr">
        <is>
          <t>https://www.coches.net/citroen-c-elysee-hdi-90cv-millenium-4p-diesel-2014-en-valencia-71818180-covo.aspx</t>
        </is>
      </c>
      <c r="D406" s="2" t="inlineStr">
        <is>
          <t>CITROEN C-Elysée HDi Millenium</t>
        </is>
      </c>
      <c r="E406" s="2" t="inlineStr">
        <is>
          <t>Citroën</t>
        </is>
      </c>
      <c r="F406" s="2" t="inlineStr">
        <is>
          <t>Citroën C-Elysée</t>
        </is>
      </c>
      <c r="G406" s="2" t="inlineStr">
        <is>
          <t>? HDi</t>
        </is>
      </c>
      <c r="H406" s="2" t="inlineStr">
        <is>
          <t>HDi 90cv Millenium</t>
        </is>
      </c>
      <c r="I406" s="2" t="n"/>
      <c r="J406" s="2" t="n">
        <v>90</v>
      </c>
      <c r="K406" s="2" t="inlineStr">
        <is>
          <t>diesel</t>
        </is>
      </c>
      <c r="L406" s="2" t="inlineStr">
        <is>
          <t>berlina</t>
        </is>
      </c>
      <c r="M406" s="2" t="n">
        <v>2015</v>
      </c>
      <c r="N406" s="2" t="n">
        <v>180000</v>
      </c>
      <c r="O406" s="2" t="n">
        <v>4699</v>
      </c>
      <c r="P406" s="2" t="inlineStr">
        <is>
          <t>manual</t>
        </is>
      </c>
      <c r="Q406" s="2" t="inlineStr">
        <is>
          <t>no</t>
        </is>
      </c>
      <c r="R406" s="2" t="inlineStr">
        <is>
          <t>profesional</t>
        </is>
      </c>
      <c r="S406" s="2" t="inlineStr">
        <is>
          <t>Cars Premium Albal Albal</t>
        </is>
      </c>
      <c r="T406" s="2" t="inlineStr">
        <is>
          <t>2026-10-23T16:33:38Z</t>
        </is>
      </c>
      <c r="U406" s="2" t="n">
        <v>12</v>
      </c>
      <c r="V406" s="2" t="inlineStr">
        <is>
          <t>sí</t>
        </is>
      </c>
      <c r="W406" s="2" t="n"/>
      <c r="X406" s="2" t="n"/>
      <c r="Y406" s="2" t="n"/>
      <c r="Z406" s="2" t="inlineStr">
        <is>
          <t>sí</t>
        </is>
      </c>
      <c r="AA406" s="2" t="n"/>
      <c r="AB406" s="2" t="n">
        <v>12</v>
      </c>
      <c r="AC406" s="2" t="n"/>
      <c r="AD406" s="2" t="n"/>
      <c r="AE406" s="2" t="n"/>
      <c r="AF406" s="2" t="n"/>
      <c r="AG406" s="2" t="n"/>
      <c r="AH406" s="2" t="n">
        <v>4699</v>
      </c>
      <c r="AI406" s="2" t="n">
        <v>4699</v>
      </c>
      <c r="AJ406" s="2" t="n"/>
      <c r="AK406" s="2" t="n"/>
      <c r="AL406" s="2" t="n"/>
      <c r="AM406" s="2" t="n">
        <v>8.699999999999999</v>
      </c>
      <c r="AN406" s="2" t="n"/>
      <c r="AO406" s="2" t="inlineStr">
        <is>
          <t>2015</t>
        </is>
      </c>
      <c r="AP406" s="2" t="n">
        <v>2015</v>
      </c>
      <c r="AQ406" s="2" t="n"/>
      <c r="AR406" s="2" t="inlineStr">
        <is>
          <t>B</t>
        </is>
      </c>
      <c r="AS406" s="2" t="inlineStr">
        <is>
          <t>anuncio</t>
        </is>
      </c>
      <c r="AT406" s="2" t="n">
        <v>5149.5</v>
      </c>
      <c r="AU406" s="2" t="n">
        <v>4</v>
      </c>
      <c r="AV406" s="2" t="inlineStr">
        <is>
          <t>modelo+año</t>
        </is>
      </c>
      <c r="AW406" s="2" t="n"/>
      <c r="AX406"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Y406" s="2" t="inlineStr">
        <is>
          <t>PRECIOSO CITROEN C-ELYSEE AÑO 2015 MOTOR 1.6HDI 92CV DE MUY BUENAS PRESTACIONES Y BAJO CONSUMO CON TAN SOLO 180000 KILOMETROS  VEHICULO TOTALMENTE REVISADO CON 12 MESES DE GARANTIA ITV EN VIGOR OFRECEMOS UNA FINANCIACION  A SU MEDIDA HASTA 48 MESES 
VEHICULO CON MUCHOS EXTRAS: VOLANTE MULTIFUNCION, CONTROL Y LIMITADOR DE VELOCIDAD, CLIMATIZADOR, ORDENADOR ABORDO, AIRBAGS, RDC, CIERRE CENTRALIZADO, RETROVISORES ELECTRICO, LLANTAS DE ALEACION,  ELEVALUNAS ELECTRICAS,,,,, PARA MAS INFORMACION LLAMEN AL 646354408 O VISITEN NUESTRAS INSTALACIONES EN ALBAL VALENCIA AV. PADRE CAELOS FERRIS 87</t>
        </is>
      </c>
      <c r="AZ406" s="2" t="inlineStr">
        <is>
          <t>https://www.coches.net/citroen-c-elysee-hdi-90cv-millenium-4p-diesel-2014-en-valencia-71818180-covo.aspx (window.__INITIAL_PROPS__.ad) /home/user/Alopecia/buscador-coches/raw/cochesnet/0b92e55c706342c3.json</t>
        </is>
      </c>
      <c r="BA406" s="3">
        <f>MAX(ANIO_ACTUAL-M406,0)</f>
        <v/>
      </c>
      <c r="BB406" s="4">
        <f>N406/MAX(BA406,0.5)</f>
        <v/>
      </c>
      <c r="BC406" s="4">
        <f>F406</f>
        <v/>
      </c>
      <c r="BD406" s="3">
        <f>BC406&amp;"|"&amp;INT(M406/SEG_ANIO)*SEG_ANIO</f>
        <v/>
      </c>
      <c r="BE406" s="3">
        <f>BD406&amp;"|"&amp;INT(N406/SEG_KM)*SEG_KM</f>
        <v/>
      </c>
      <c r="BF406" s="4">
        <f>COUNTIF($BC$2:$BC$545,BC406)</f>
        <v/>
      </c>
      <c r="BG406" s="4">
        <f>COUNTIF($BD$2:$BD$545,BD406)</f>
        <v/>
      </c>
      <c r="BH406" s="4">
        <f>COUNTIF($BE$2:$BE$545,BE406)</f>
        <v/>
      </c>
      <c r="BI406" s="3">
        <f t="array" ref="BI406">IF(N(AU406)&gt;=MIN_N,AT406,IF(BH406&gt;=MIN_N,MEDIAN(IF($BE$2:$BE$545=BE406,$O$2:$O$545)),IF(BG406&gt;=MIN_N,MEDIAN(IF($BD$2:$BD$545=BD406,$O$2:$O$545)),MEDIAN(IF($BC$2:$BC$545=BC406,$O$2:$O$545)))))</f>
        <v/>
      </c>
      <c r="BJ406" s="3">
        <f>IF(N(AU406)&gt;=MIN_N,"mercado "&amp;AV406,IF(BH406&gt;=MIN_N,"modelo+año+km",IF(BG406&gt;=MIN_N,"modelo+año","modelo")))</f>
        <v/>
      </c>
      <c r="BK406" s="4">
        <f>(BI406-O406)/BI406</f>
        <v/>
      </c>
      <c r="BL406" s="3">
        <f>IF(COUNTIFS(FR_FUEL,K406,FR_YEAR,AP406)&gt;0,1,0)</f>
        <v/>
      </c>
      <c r="BM406" s="3">
        <f>IF(COUNTIFS(FR_FUEL,K406,FR_YEAR,AP406-1)&gt;0,1,0)</f>
        <v/>
      </c>
      <c r="BN406" s="4">
        <f>IF(N(AQ406)&gt;0,AP406*100+AQ406,IF(AND(BL406=1,BM406=1),(AP406-1)*100+1,AP406*100+1))</f>
        <v/>
      </c>
      <c r="BO406" s="3">
        <f>IF(OR(K406="hibrido",K406="glp",K406="gnc",K406="phev"),"ECO",IF(K406="electrico","CERO",IF(K406="gasolina",IF(BN406&gt;=GAS_C_YM,"C",IF(BN406&gt;=GAS_B_YM,"B","A")),IF(K406="diesel",IF(BN406&gt;=DIE_C_YM,"C",IF(BN406&gt;=DIE_B_YM,"B","A")),""))))</f>
        <v/>
      </c>
      <c r="BP406" s="2" t="inlineStr">
        <is>
          <t>B</t>
        </is>
      </c>
      <c r="BQ406" s="4">
        <f>IF(AS406="regla",IF(AND(N(AQ406)=0,BL406=1),"sí","no"),"no")</f>
        <v/>
      </c>
      <c r="BR406" s="3">
        <f>IFERROR(VLOOKUP(F406,MOD_TBL,11,0),IFERROR(VLOOKUP(E406,OCU_TBL,2,0),NEUTRO))</f>
        <v/>
      </c>
      <c r="BS406" s="3">
        <f>SUMIFS(MOT_AJUSTE,MOT_MOTOR,G406,MOT_MARCA,E406,MOT_DESDE,"&lt;="&amp;M406,MOT_HASTA,"&gt;="&amp;M406)+SUMIFS(MOT_AJUSTE,MOT_MOTOR,G406,MOT_MARCA,"(todas)",MOT_DESDE,"&lt;="&amp;M406,MOT_HASTA,"&gt;="&amp;M406)</f>
        <v/>
      </c>
      <c r="BT406" s="3">
        <f>SUMIFS(COMB_AJUSTE,COMB_COMB,K406)</f>
        <v/>
      </c>
      <c r="BU406" s="3">
        <f>COUNTIFS(MOT_MOTOR,G406,MOT_MARCA,E406,MOT_DESDE,"&lt;="&amp;M406,MOT_HASTA,"&gt;="&amp;M406)+COUNTIFS(MOT_MOTOR,G406,MOT_MARCA,"(todas)",MOT_DESDE,"&lt;="&amp;M406,MOT_HASTA,"&gt;="&amp;M406)</f>
        <v/>
      </c>
      <c r="BV406" s="3">
        <f>IF(AND(K406="diesel",BU406=0),MIN(BR406,NEUTRO),BR406)</f>
        <v/>
      </c>
      <c r="BW406" s="4">
        <f>MAX(0,MIN(100,BV406+BS406+BT406))</f>
        <v/>
      </c>
      <c r="BX406" s="3">
        <f>MAX(0,MIN(100,50+BK406*PRECIO_PEND))</f>
        <v/>
      </c>
      <c r="BY406" s="3">
        <f>MAX(0,100*(1-N406/KM_MAX))</f>
        <v/>
      </c>
      <c r="BZ406" s="3">
        <f>IF(BB406&lt;KMA_SOSP,IF(AA406="sí",100,KMA_PEN),IF(BB406&lt;=KMA_IDEAL_MAX,100,MAX(0,100*(KMA_CERO-BB406)/(KMA_CERO-KMA_IDEAL_MAX))))</f>
        <v/>
      </c>
      <c r="CA406" s="3">
        <f>MAX(0,MIN(100,100*(M406-ANIO_MIN)/(ANIO_ACTUAL-ANIO_MIN)))</f>
        <v/>
      </c>
      <c r="CB406" s="3">
        <f>W_KMT*BY406+W_KMA*BZ406+W_EDAD*CA406</f>
        <v/>
      </c>
      <c r="CC406" s="3">
        <f>P_ITV*(V406="sí")+P_LIBRO*(W406="sí")+P_CORREA*(X406="sí")+P_PROP*(Y406=1)+P_GAR*(Z406="sí")+P_FOTOS*MIN(1,N(U406)/FOTOS_OBJ)</f>
        <v/>
      </c>
      <c r="CD406" s="3">
        <f>MAX(0,MIN(100,IFERROR(VLOOKUP(BP406,ETQ_TBL,2,0),0)-IF(BQ406="sí",ETQ_PEN_DUD,IF(AS406="regla",ETQ_PEN_REGLA,0))))</f>
        <v/>
      </c>
      <c r="CE406" s="3">
        <f>NEUTRO</f>
        <v/>
      </c>
      <c r="CF406" s="3">
        <f>IFERROR(VLOOKUP(L406,SEGURO_TBL,3,0),"")</f>
        <v/>
      </c>
      <c r="CG406" s="3">
        <f>IF(CF406="",NEUTRO,MAX(0,MIN(100,100*(SEG_REF_MAX-CF406)/(SEG_REF_MAX-SEG_REF_MIN))))</f>
        <v/>
      </c>
      <c r="CH406" s="3">
        <f>W_CONS*CE406+W_SEG*CG406</f>
        <v/>
      </c>
      <c r="CI406" s="3">
        <f>IF(N(AB406)&gt;0,AB406,IF(AND(R406="profesional",SG_LEGAL_ON=1),GAR_LEGAL,0))</f>
        <v/>
      </c>
      <c r="CJ406" s="3">
        <f>SG_GAR*MIN(1,CI406/SG_GAR_FULL)+SG_AMPL*(AC406="sí")+SG_KMC*(AF406="sí")+SG_REV*(N(AE406)&gt;0)+SG_DEV*MIN(1,N(AG406)/SG_DEV_FULL)+SG_HIST*(W406="sí")</f>
        <v/>
      </c>
      <c r="CK406" s="3">
        <f>IFERROR(VLOOKUP(L406,CARR_PEN_TBL,2,0),0)</f>
        <v/>
      </c>
      <c r="CL406" s="3">
        <f>W_FIAB*BW406+W_PRECIO*BX406+W_KMEDAD*CB406+W_ANUNCIO*CC406+W_USO*CH406+W_SEGURIDAD*CJ406+W_ETIQUETA*CD406-CK406</f>
        <v/>
      </c>
      <c r="CM406" s="4">
        <f>IF(N(I406)&gt;0,I406,IFERROR(ROUND(_xlfn.NUMBERVALUE(LEFT(G406,FIND(" ",G406&amp;" ")-1),".")*1000,0),99999))</f>
        <v/>
      </c>
      <c r="CN406" s="3">
        <f>IF(R406="profesional",0,IF(O406&lt;CUOTA_VALOR_MAX,IF(BA406&gt;ITP_TRAMO_ALTO,SUMIFS(CF_CUOTA,CF_MAS,ITP_TRAMO_ALTO,CF_CCMIN,"&lt;="&amp;CM406,CF_CCMAX,"&gt;="&amp;CM406),IF(BA406&gt;ITP_TRAMO_BAJO,SUMIFS(CF_CUOTA,CF_MAS,ITP_TRAMO_BAJO,CF_CCMIN,"&lt;="&amp;CM406,CF_CCMAX,"&gt;="&amp;CM406),O406*ITP_TIPO)),O406*ITP_TIPO))</f>
        <v/>
      </c>
      <c r="CO406" s="4">
        <f>IF(R406="profesional",N(AK406),0)</f>
        <v/>
      </c>
      <c r="CP406" s="3">
        <f>IF(AND(R406="profesional",ISNUMBER(AK406),AL406="sí"),0,TASA_DGT)</f>
        <v/>
      </c>
      <c r="CQ406" s="3">
        <f>INFORME_DGT</f>
        <v/>
      </c>
      <c r="CR406" s="4">
        <f>O406+CO406+CN406+CP406+CQ406</f>
        <v/>
      </c>
      <c r="CS406" s="4">
        <f>CR406+N(CF406)</f>
        <v/>
      </c>
      <c r="CT406" s="3">
        <f>IF(CR406&lt;=TOTAL_MAX,"sí",IF(CR406&lt;=TOTAL_MAX+MARGEN_NEG,"negociar","no"))</f>
        <v/>
      </c>
      <c r="CU406" s="4">
        <f>IF(CT406&lt;&gt;"no",COUNTIFS($CT$2:$CT$545,"&lt;&gt;no",$CL$2:$CL$545,"&gt;"&amp;CL406)+COUNTIFS($CT$2:CT406,"&lt;&gt;no",$CL$2:CL406,CL406),"")</f>
        <v/>
      </c>
    </row>
    <row r="407">
      <c r="A407" s="2" t="inlineStr">
        <is>
          <t>cochesnet:71618923</t>
        </is>
      </c>
      <c r="B407" s="2" t="inlineStr">
        <is>
          <t>cochesnet</t>
        </is>
      </c>
      <c r="C407" s="2" t="inlineStr">
        <is>
          <t>https://www.coches.net/ford-fiesta-14-tdci-trend-5p-diesel-2010-en-valencia-71618923-covo.aspx</t>
        </is>
      </c>
      <c r="D407" s="2" t="inlineStr">
        <is>
          <t>FORD Fiesta 1.4 TDCi Trend</t>
        </is>
      </c>
      <c r="E407" s="2" t="inlineStr">
        <is>
          <t>Ford</t>
        </is>
      </c>
      <c r="F407" s="2" t="inlineStr">
        <is>
          <t>Ford Fiesta</t>
        </is>
      </c>
      <c r="G407" s="2" t="inlineStr">
        <is>
          <t>1.4 TDCi</t>
        </is>
      </c>
      <c r="H407" s="2" t="inlineStr">
        <is>
          <t>1.4 TDCi Trend</t>
        </is>
      </c>
      <c r="I407" s="2" t="n"/>
      <c r="J407" s="2" t="n"/>
      <c r="K407" s="2" t="inlineStr">
        <is>
          <t>diesel</t>
        </is>
      </c>
      <c r="L407" s="2" t="inlineStr">
        <is>
          <t>utilitario</t>
        </is>
      </c>
      <c r="M407" s="2" t="n">
        <v>2010</v>
      </c>
      <c r="N407" s="2" t="n">
        <v>160000</v>
      </c>
      <c r="O407" s="2" t="n">
        <v>4990</v>
      </c>
      <c r="P407" s="2" t="inlineStr">
        <is>
          <t>manual</t>
        </is>
      </c>
      <c r="Q407" s="2" t="inlineStr">
        <is>
          <t>no</t>
        </is>
      </c>
      <c r="R407" s="2" t="inlineStr">
        <is>
          <t>profesional</t>
        </is>
      </c>
      <c r="S407" s="2" t="inlineStr">
        <is>
          <t>San Antonio de Benagéber</t>
        </is>
      </c>
      <c r="T407" s="2" t="inlineStr">
        <is>
          <t>2026-09-28T20:14:06Z</t>
        </is>
      </c>
      <c r="U407" s="2" t="n">
        <v>18</v>
      </c>
      <c r="V407" s="2" t="n"/>
      <c r="W407" s="2" t="n"/>
      <c r="X407" s="2" t="n"/>
      <c r="Y407" s="2" t="n">
        <v>1</v>
      </c>
      <c r="Z407" s="2" t="inlineStr">
        <is>
          <t>sí</t>
        </is>
      </c>
      <c r="AA407" s="2" t="n"/>
      <c r="AB407" s="2" t="n">
        <v>12</v>
      </c>
      <c r="AC407" s="2" t="n"/>
      <c r="AD407" s="2" t="n"/>
      <c r="AE407" s="2" t="n"/>
      <c r="AF407" s="2" t="inlineStr">
        <is>
          <t>sí</t>
        </is>
      </c>
      <c r="AG407" s="2" t="n"/>
      <c r="AH407" s="2" t="n">
        <v>4990</v>
      </c>
      <c r="AI407" s="2" t="n">
        <v>4990</v>
      </c>
      <c r="AJ407" s="2" t="n"/>
      <c r="AK407" s="2" t="n"/>
      <c r="AL407" s="2" t="n"/>
      <c r="AM407" s="2" t="n">
        <v>19.1</v>
      </c>
      <c r="AN407" s="2" t="n"/>
      <c r="AO407" s="2" t="inlineStr">
        <is>
          <t>2010</t>
        </is>
      </c>
      <c r="AP407" s="2" t="n">
        <v>2010</v>
      </c>
      <c r="AQ407" s="2" t="n"/>
      <c r="AR407" s="2" t="inlineStr">
        <is>
          <t>B</t>
        </is>
      </c>
      <c r="AS407" s="2" t="inlineStr">
        <is>
          <t>anuncio</t>
        </is>
      </c>
      <c r="AT407" s="2" t="n">
        <v>4545</v>
      </c>
      <c r="AU407" s="2" t="n">
        <v>18</v>
      </c>
      <c r="AV407" s="2" t="inlineStr">
        <is>
          <t>modelo+año+km</t>
        </is>
      </c>
      <c r="AW407" s="2" t="n"/>
      <c r="AX407"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407" s="2" t="inlineStr">
        <is>
          <t>CITA PREVIA
(GARANTIA EN TALLER OFICIAL OPCIONAL)
VEHÍCULO NACIONAL
ÚNICO PROPIETARIO
ASIENTOS DEPORTIVOS TELA
SENSORES DE APARCAMIENTO 
CONTROL POR VOZ
ORDENADOR DE ABORDO
SENSOR DE LUZ Y LLUVIA
BLUETOOTH, AUX, USB...
VOLANTE MULTIFUNCIÓN 
CLIMATIZADOR
ASISTENTES A LA CONDUCCIÓN
ACTUALMENTE 163.000KM
..............
POSIBILIDAD DE TRANSPORTAR A CULAQUIER PARTE DE ESPAÑA(CONSULTAR PRECIOS)
KILOMETROS CERTIFICADOS
CAMBIO DE TITULARIDAD 190€
Este anuncio no es vinculante, se muestra a titulo informativo y no contractual.</t>
        </is>
      </c>
      <c r="AZ407" s="2" t="inlineStr">
        <is>
          <t>https://www.coches.net/ford-fiesta-14-tdci-trend-5p-diesel-2010-en-valencia-71618923-covo.aspx (window.__INITIAL_PROPS__.ad) /home/user/Alopecia/buscador-coches/raw/cochesnet/feda380071489907.json</t>
        </is>
      </c>
      <c r="BA407" s="3">
        <f>MAX(ANIO_ACTUAL-M407,0)</f>
        <v/>
      </c>
      <c r="BB407" s="4">
        <f>N407/MAX(BA407,0.5)</f>
        <v/>
      </c>
      <c r="BC407" s="4">
        <f>F407</f>
        <v/>
      </c>
      <c r="BD407" s="3">
        <f>BC407&amp;"|"&amp;INT(M407/SEG_ANIO)*SEG_ANIO</f>
        <v/>
      </c>
      <c r="BE407" s="3">
        <f>BD407&amp;"|"&amp;INT(N407/SEG_KM)*SEG_KM</f>
        <v/>
      </c>
      <c r="BF407" s="4">
        <f>COUNTIF($BC$2:$BC$545,BC407)</f>
        <v/>
      </c>
      <c r="BG407" s="4">
        <f>COUNTIF($BD$2:$BD$545,BD407)</f>
        <v/>
      </c>
      <c r="BH407" s="4">
        <f>COUNTIF($BE$2:$BE$545,BE407)</f>
        <v/>
      </c>
      <c r="BI407" s="3">
        <f t="array" ref="BI407">IF(N(AU407)&gt;=MIN_N,AT407,IF(BH407&gt;=MIN_N,MEDIAN(IF($BE$2:$BE$545=BE407,$O$2:$O$545)),IF(BG407&gt;=MIN_N,MEDIAN(IF($BD$2:$BD$545=BD407,$O$2:$O$545)),MEDIAN(IF($BC$2:$BC$545=BC407,$O$2:$O$545)))))</f>
        <v/>
      </c>
      <c r="BJ407" s="3">
        <f>IF(N(AU407)&gt;=MIN_N,"mercado "&amp;AV407,IF(BH407&gt;=MIN_N,"modelo+año+km",IF(BG407&gt;=MIN_N,"modelo+año","modelo")))</f>
        <v/>
      </c>
      <c r="BK407" s="4">
        <f>(BI407-O407)/BI407</f>
        <v/>
      </c>
      <c r="BL407" s="3">
        <f>IF(COUNTIFS(FR_FUEL,K407,FR_YEAR,AP407)&gt;0,1,0)</f>
        <v/>
      </c>
      <c r="BM407" s="3">
        <f>IF(COUNTIFS(FR_FUEL,K407,FR_YEAR,AP407-1)&gt;0,1,0)</f>
        <v/>
      </c>
      <c r="BN407" s="4">
        <f>IF(N(AQ407)&gt;0,AP407*100+AQ407,IF(AND(BL407=1,BM407=1),(AP407-1)*100+1,AP407*100+1))</f>
        <v/>
      </c>
      <c r="BO407" s="3">
        <f>IF(OR(K407="hibrido",K407="glp",K407="gnc",K407="phev"),"ECO",IF(K407="electrico","CERO",IF(K407="gasolina",IF(BN407&gt;=GAS_C_YM,"C",IF(BN407&gt;=GAS_B_YM,"B","A")),IF(K407="diesel",IF(BN407&gt;=DIE_C_YM,"C",IF(BN407&gt;=DIE_B_YM,"B","A")),""))))</f>
        <v/>
      </c>
      <c r="BP407" s="2" t="inlineStr">
        <is>
          <t>B</t>
        </is>
      </c>
      <c r="BQ407" s="4">
        <f>IF(AS407="regla",IF(AND(N(AQ407)=0,BL407=1),"sí","no"),"no")</f>
        <v/>
      </c>
      <c r="BR407" s="3">
        <f>IFERROR(VLOOKUP(F407,MOD_TBL,11,0),IFERROR(VLOOKUP(E407,OCU_TBL,2,0),NEUTRO))</f>
        <v/>
      </c>
      <c r="BS407" s="3">
        <f>SUMIFS(MOT_AJUSTE,MOT_MOTOR,G407,MOT_MARCA,E407,MOT_DESDE,"&lt;="&amp;M407,MOT_HASTA,"&gt;="&amp;M407)+SUMIFS(MOT_AJUSTE,MOT_MOTOR,G407,MOT_MARCA,"(todas)",MOT_DESDE,"&lt;="&amp;M407,MOT_HASTA,"&gt;="&amp;M407)</f>
        <v/>
      </c>
      <c r="BT407" s="3">
        <f>SUMIFS(COMB_AJUSTE,COMB_COMB,K407)</f>
        <v/>
      </c>
      <c r="BU407" s="3">
        <f>COUNTIFS(MOT_MOTOR,G407,MOT_MARCA,E407,MOT_DESDE,"&lt;="&amp;M407,MOT_HASTA,"&gt;="&amp;M407)+COUNTIFS(MOT_MOTOR,G407,MOT_MARCA,"(todas)",MOT_DESDE,"&lt;="&amp;M407,MOT_HASTA,"&gt;="&amp;M407)</f>
        <v/>
      </c>
      <c r="BV407" s="3">
        <f>IF(AND(K407="diesel",BU407=0),MIN(BR407,NEUTRO),BR407)</f>
        <v/>
      </c>
      <c r="BW407" s="4">
        <f>MAX(0,MIN(100,BV407+BS407+BT407))</f>
        <v/>
      </c>
      <c r="BX407" s="3">
        <f>MAX(0,MIN(100,50+BK407*PRECIO_PEND))</f>
        <v/>
      </c>
      <c r="BY407" s="3">
        <f>MAX(0,100*(1-N407/KM_MAX))</f>
        <v/>
      </c>
      <c r="BZ407" s="3">
        <f>IF(BB407&lt;KMA_SOSP,IF(AA407="sí",100,KMA_PEN),IF(BB407&lt;=KMA_IDEAL_MAX,100,MAX(0,100*(KMA_CERO-BB407)/(KMA_CERO-KMA_IDEAL_MAX))))</f>
        <v/>
      </c>
      <c r="CA407" s="3">
        <f>MAX(0,MIN(100,100*(M407-ANIO_MIN)/(ANIO_ACTUAL-ANIO_MIN)))</f>
        <v/>
      </c>
      <c r="CB407" s="3">
        <f>W_KMT*BY407+W_KMA*BZ407+W_EDAD*CA407</f>
        <v/>
      </c>
      <c r="CC407" s="3">
        <f>P_ITV*(V407="sí")+P_LIBRO*(W407="sí")+P_CORREA*(X407="sí")+P_PROP*(Y407=1)+P_GAR*(Z407="sí")+P_FOTOS*MIN(1,N(U407)/FOTOS_OBJ)</f>
        <v/>
      </c>
      <c r="CD407" s="3">
        <f>MAX(0,MIN(100,IFERROR(VLOOKUP(BP407,ETQ_TBL,2,0),0)-IF(BQ407="sí",ETQ_PEN_DUD,IF(AS407="regla",ETQ_PEN_REGLA,0))))</f>
        <v/>
      </c>
      <c r="CE407" s="3">
        <f>NEUTRO</f>
        <v/>
      </c>
      <c r="CF407" s="3">
        <f>IFERROR(VLOOKUP(L407,SEGURO_TBL,3,0),"")</f>
        <v/>
      </c>
      <c r="CG407" s="3">
        <f>IF(CF407="",NEUTRO,MAX(0,MIN(100,100*(SEG_REF_MAX-CF407)/(SEG_REF_MAX-SEG_REF_MIN))))</f>
        <v/>
      </c>
      <c r="CH407" s="3">
        <f>W_CONS*CE407+W_SEG*CG407</f>
        <v/>
      </c>
      <c r="CI407" s="3">
        <f>IF(N(AB407)&gt;0,AB407,IF(AND(R407="profesional",SG_LEGAL_ON=1),GAR_LEGAL,0))</f>
        <v/>
      </c>
      <c r="CJ407" s="3">
        <f>SG_GAR*MIN(1,CI407/SG_GAR_FULL)+SG_AMPL*(AC407="sí")+SG_KMC*(AF407="sí")+SG_REV*(N(AE407)&gt;0)+SG_DEV*MIN(1,N(AG407)/SG_DEV_FULL)+SG_HIST*(W407="sí")</f>
        <v/>
      </c>
      <c r="CK407" s="3">
        <f>IFERROR(VLOOKUP(L407,CARR_PEN_TBL,2,0),0)</f>
        <v/>
      </c>
      <c r="CL407" s="3">
        <f>W_FIAB*BW407+W_PRECIO*BX407+W_KMEDAD*CB407+W_ANUNCIO*CC407+W_USO*CH407+W_SEGURIDAD*CJ407+W_ETIQUETA*CD407-CK407</f>
        <v/>
      </c>
      <c r="CM407" s="4">
        <f>IF(N(I407)&gt;0,I407,IFERROR(ROUND(_xlfn.NUMBERVALUE(LEFT(G407,FIND(" ",G407&amp;" ")-1),".")*1000,0),99999))</f>
        <v/>
      </c>
      <c r="CN407" s="3">
        <f>IF(R407="profesional",0,IF(O407&lt;CUOTA_VALOR_MAX,IF(BA407&gt;ITP_TRAMO_ALTO,SUMIFS(CF_CUOTA,CF_MAS,ITP_TRAMO_ALTO,CF_CCMIN,"&lt;="&amp;CM407,CF_CCMAX,"&gt;="&amp;CM407),IF(BA407&gt;ITP_TRAMO_BAJO,SUMIFS(CF_CUOTA,CF_MAS,ITP_TRAMO_BAJO,CF_CCMIN,"&lt;="&amp;CM407,CF_CCMAX,"&gt;="&amp;CM407),O407*ITP_TIPO)),O407*ITP_TIPO))</f>
        <v/>
      </c>
      <c r="CO407" s="4">
        <f>IF(R407="profesional",N(AK407),0)</f>
        <v/>
      </c>
      <c r="CP407" s="3">
        <f>IF(AND(R407="profesional",ISNUMBER(AK407),AL407="sí"),0,TASA_DGT)</f>
        <v/>
      </c>
      <c r="CQ407" s="3">
        <f>INFORME_DGT</f>
        <v/>
      </c>
      <c r="CR407" s="4">
        <f>O407+CO407+CN407+CP407+CQ407</f>
        <v/>
      </c>
      <c r="CS407" s="4">
        <f>CR407+N(CF407)</f>
        <v/>
      </c>
      <c r="CT407" s="3">
        <f>IF(CR407&lt;=TOTAL_MAX,"sí",IF(CR407&lt;=TOTAL_MAX+MARGEN_NEG,"negociar","no"))</f>
        <v/>
      </c>
      <c r="CU407" s="4">
        <f>IF(CT407&lt;&gt;"no",COUNTIFS($CT$2:$CT$545,"&lt;&gt;no",$CL$2:$CL$545,"&gt;"&amp;CL407)+COUNTIFS($CT$2:CT407,"&lt;&gt;no",$CL$2:CL407,CL407),"")</f>
        <v/>
      </c>
    </row>
    <row r="408">
      <c r="A408" s="2" t="inlineStr">
        <is>
          <t>cochesnet:71863788</t>
        </is>
      </c>
      <c r="B408" s="2" t="inlineStr">
        <is>
          <t>cochesnet</t>
        </is>
      </c>
      <c r="C408" s="2" t="inlineStr">
        <is>
          <t>https://www.coches.net/ford-focus-18-tdci-trend-5p-diesel-2007-en-valencia-71863788-covo.aspx</t>
        </is>
      </c>
      <c r="D408" s="2" t="inlineStr">
        <is>
          <t>FORD Focus 1.8 TDCi Trend</t>
        </is>
      </c>
      <c r="E408" s="2" t="inlineStr">
        <is>
          <t>Ford</t>
        </is>
      </c>
      <c r="F408" s="2" t="inlineStr">
        <is>
          <t>Ford Focus</t>
        </is>
      </c>
      <c r="G408" s="2" t="inlineStr">
        <is>
          <t>1.8 TDCi</t>
        </is>
      </c>
      <c r="H408" s="2" t="inlineStr">
        <is>
          <t>1.8 TDCi Trend</t>
        </is>
      </c>
      <c r="I408" s="2" t="n"/>
      <c r="J408" s="2" t="n"/>
      <c r="K408" s="2" t="inlineStr">
        <is>
          <t>diesel</t>
        </is>
      </c>
      <c r="L408" s="2" t="inlineStr">
        <is>
          <t>compacto</t>
        </is>
      </c>
      <c r="M408" s="2" t="n">
        <v>2007</v>
      </c>
      <c r="N408" s="2" t="n">
        <v>151000</v>
      </c>
      <c r="O408" s="2" t="n">
        <v>3750</v>
      </c>
      <c r="P408" s="2" t="inlineStr">
        <is>
          <t>manual</t>
        </is>
      </c>
      <c r="Q408" s="2" t="inlineStr">
        <is>
          <t>no</t>
        </is>
      </c>
      <c r="R408" s="2" t="inlineStr">
        <is>
          <t>profesional</t>
        </is>
      </c>
      <c r="S408" s="2" t="inlineStr">
        <is>
          <t>Beniparrell</t>
        </is>
      </c>
      <c r="T408" s="2" t="inlineStr">
        <is>
          <t>2026-10-29T17:13:19Z</t>
        </is>
      </c>
      <c r="U408" s="2" t="n">
        <v>13</v>
      </c>
      <c r="V408" s="2" t="n"/>
      <c r="W408" s="2" t="n"/>
      <c r="X408" s="2" t="n"/>
      <c r="Y408" s="2" t="n"/>
      <c r="Z408" s="2" t="inlineStr">
        <is>
          <t>sí</t>
        </is>
      </c>
      <c r="AA408" s="2" t="n"/>
      <c r="AB408" s="2" t="n">
        <v>12</v>
      </c>
      <c r="AC408" s="2" t="n"/>
      <c r="AD408" s="2" t="n"/>
      <c r="AE408" s="2" t="n"/>
      <c r="AF408" s="2" t="n"/>
      <c r="AG408" s="2" t="n"/>
      <c r="AH408" s="2" t="n">
        <v>3750</v>
      </c>
      <c r="AI408" s="2" t="n"/>
      <c r="AJ408" s="2" t="n"/>
      <c r="AK408" s="2" t="n"/>
      <c r="AL408" s="2" t="n"/>
      <c r="AM408" s="2" t="n">
        <v>10.2</v>
      </c>
      <c r="AN408" s="2" t="n"/>
      <c r="AO408" s="2" t="inlineStr">
        <is>
          <t>2007</t>
        </is>
      </c>
      <c r="AP408" s="2" t="n">
        <v>2007</v>
      </c>
      <c r="AQ408" s="2" t="n"/>
      <c r="AR408" s="2" t="inlineStr">
        <is>
          <t>B</t>
        </is>
      </c>
      <c r="AS408" s="2" t="inlineStr">
        <is>
          <t>anuncio</t>
        </is>
      </c>
      <c r="AT408" s="2" t="n">
        <v>3870</v>
      </c>
      <c r="AU408" s="2" t="n">
        <v>10</v>
      </c>
      <c r="AV408" s="2" t="inlineStr">
        <is>
          <t>modelo+año+km</t>
        </is>
      </c>
      <c r="AW408" s="2" t="n"/>
      <c r="AX408" s="2" t="inlineStr">
        <is>
          <t>vendedor profesional: sin ITP (operación con IVA/REBU, confirmar en factura); gastos de gestión del vendedor no indicados: se suma la tasa DGT; preguntar el precio final; diésel: motor sin fuente de fiabilidad (fiabilidad limitada a neutra)</t>
        </is>
      </c>
      <c r="AY408" s="2" t="inlineStr">
        <is>
          <t>Este Focus destaca por su equipo de audio con reproductor de CD, RDS y mando en el volante, además de apertura del maletero a distancia. Incorpora climatización con filtro de partículas y carbón activo, faros antiniebla delanteros y cristales tintados en toda la cabina. Equipa también cierre centralizado con mando a distancia, elevalunas eléctricos delanteros y ordenador de viaje.GARANTÍA 12 meses (cobertura de 25 componentes del vehículo )cobertura de reparación hasta 2.000e en cualquier taller)</t>
        </is>
      </c>
      <c r="AZ408" s="2" t="inlineStr">
        <is>
          <t>https://www.coches.net/ford-focus-18-tdci-trend-5p-diesel-2007-en-valencia-71863788-covo.aspx (window.__INITIAL_PROPS__.ad) /home/user/Alopecia/buscador-coches/raw/cochesnet/b2ca64512f7ef089.json</t>
        </is>
      </c>
      <c r="BA408" s="3">
        <f>MAX(ANIO_ACTUAL-M408,0)</f>
        <v/>
      </c>
      <c r="BB408" s="4">
        <f>N408/MAX(BA408,0.5)</f>
        <v/>
      </c>
      <c r="BC408" s="4">
        <f>F408</f>
        <v/>
      </c>
      <c r="BD408" s="3">
        <f>BC408&amp;"|"&amp;INT(M408/SEG_ANIO)*SEG_ANIO</f>
        <v/>
      </c>
      <c r="BE408" s="3">
        <f>BD408&amp;"|"&amp;INT(N408/SEG_KM)*SEG_KM</f>
        <v/>
      </c>
      <c r="BF408" s="4">
        <f>COUNTIF($BC$2:$BC$545,BC408)</f>
        <v/>
      </c>
      <c r="BG408" s="4">
        <f>COUNTIF($BD$2:$BD$545,BD408)</f>
        <v/>
      </c>
      <c r="BH408" s="4">
        <f>COUNTIF($BE$2:$BE$545,BE408)</f>
        <v/>
      </c>
      <c r="BI408" s="3">
        <f t="array" ref="BI408">IF(N(AU408)&gt;=MIN_N,AT408,IF(BH408&gt;=MIN_N,MEDIAN(IF($BE$2:$BE$545=BE408,$O$2:$O$545)),IF(BG408&gt;=MIN_N,MEDIAN(IF($BD$2:$BD$545=BD408,$O$2:$O$545)),MEDIAN(IF($BC$2:$BC$545=BC408,$O$2:$O$545)))))</f>
        <v/>
      </c>
      <c r="BJ408" s="3">
        <f>IF(N(AU408)&gt;=MIN_N,"mercado "&amp;AV408,IF(BH408&gt;=MIN_N,"modelo+año+km",IF(BG408&gt;=MIN_N,"modelo+año","modelo")))</f>
        <v/>
      </c>
      <c r="BK408" s="4">
        <f>(BI408-O408)/BI408</f>
        <v/>
      </c>
      <c r="BL408" s="3">
        <f>IF(COUNTIFS(FR_FUEL,K408,FR_YEAR,AP408)&gt;0,1,0)</f>
        <v/>
      </c>
      <c r="BM408" s="3">
        <f>IF(COUNTIFS(FR_FUEL,K408,FR_YEAR,AP408-1)&gt;0,1,0)</f>
        <v/>
      </c>
      <c r="BN408" s="4">
        <f>IF(N(AQ408)&gt;0,AP408*100+AQ408,IF(AND(BL408=1,BM408=1),(AP408-1)*100+1,AP408*100+1))</f>
        <v/>
      </c>
      <c r="BO408" s="3">
        <f>IF(OR(K408="hibrido",K408="glp",K408="gnc",K408="phev"),"ECO",IF(K408="electrico","CERO",IF(K408="gasolina",IF(BN408&gt;=GAS_C_YM,"C",IF(BN408&gt;=GAS_B_YM,"B","A")),IF(K408="diesel",IF(BN408&gt;=DIE_C_YM,"C",IF(BN408&gt;=DIE_B_YM,"B","A")),""))))</f>
        <v/>
      </c>
      <c r="BP408" s="2" t="inlineStr">
        <is>
          <t>B</t>
        </is>
      </c>
      <c r="BQ408" s="4">
        <f>IF(AS408="regla",IF(AND(N(AQ408)=0,BL408=1),"sí","no"),"no")</f>
        <v/>
      </c>
      <c r="BR408" s="3">
        <f>IFERROR(VLOOKUP(F408,MOD_TBL,11,0),IFERROR(VLOOKUP(E408,OCU_TBL,2,0),NEUTRO))</f>
        <v/>
      </c>
      <c r="BS408" s="3">
        <f>SUMIFS(MOT_AJUSTE,MOT_MOTOR,G408,MOT_MARCA,E408,MOT_DESDE,"&lt;="&amp;M408,MOT_HASTA,"&gt;="&amp;M408)+SUMIFS(MOT_AJUSTE,MOT_MOTOR,G408,MOT_MARCA,"(todas)",MOT_DESDE,"&lt;="&amp;M408,MOT_HASTA,"&gt;="&amp;M408)</f>
        <v/>
      </c>
      <c r="BT408" s="3">
        <f>SUMIFS(COMB_AJUSTE,COMB_COMB,K408)</f>
        <v/>
      </c>
      <c r="BU408" s="3">
        <f>COUNTIFS(MOT_MOTOR,G408,MOT_MARCA,E408,MOT_DESDE,"&lt;="&amp;M408,MOT_HASTA,"&gt;="&amp;M408)+COUNTIFS(MOT_MOTOR,G408,MOT_MARCA,"(todas)",MOT_DESDE,"&lt;="&amp;M408,MOT_HASTA,"&gt;="&amp;M408)</f>
        <v/>
      </c>
      <c r="BV408" s="3">
        <f>IF(AND(K408="diesel",BU408=0),MIN(BR408,NEUTRO),BR408)</f>
        <v/>
      </c>
      <c r="BW408" s="4">
        <f>MAX(0,MIN(100,BV408+BS408+BT408))</f>
        <v/>
      </c>
      <c r="BX408" s="3">
        <f>MAX(0,MIN(100,50+BK408*PRECIO_PEND))</f>
        <v/>
      </c>
      <c r="BY408" s="3">
        <f>MAX(0,100*(1-N408/KM_MAX))</f>
        <v/>
      </c>
      <c r="BZ408" s="3">
        <f>IF(BB408&lt;KMA_SOSP,IF(AA408="sí",100,KMA_PEN),IF(BB408&lt;=KMA_IDEAL_MAX,100,MAX(0,100*(KMA_CERO-BB408)/(KMA_CERO-KMA_IDEAL_MAX))))</f>
        <v/>
      </c>
      <c r="CA408" s="3">
        <f>MAX(0,MIN(100,100*(M408-ANIO_MIN)/(ANIO_ACTUAL-ANIO_MIN)))</f>
        <v/>
      </c>
      <c r="CB408" s="3">
        <f>W_KMT*BY408+W_KMA*BZ408+W_EDAD*CA408</f>
        <v/>
      </c>
      <c r="CC408" s="3">
        <f>P_ITV*(V408="sí")+P_LIBRO*(W408="sí")+P_CORREA*(X408="sí")+P_PROP*(Y408=1)+P_GAR*(Z408="sí")+P_FOTOS*MIN(1,N(U408)/FOTOS_OBJ)</f>
        <v/>
      </c>
      <c r="CD408" s="3">
        <f>MAX(0,MIN(100,IFERROR(VLOOKUP(BP408,ETQ_TBL,2,0),0)-IF(BQ408="sí",ETQ_PEN_DUD,IF(AS408="regla",ETQ_PEN_REGLA,0))))</f>
        <v/>
      </c>
      <c r="CE408" s="3">
        <f>NEUTRO</f>
        <v/>
      </c>
      <c r="CF408" s="3">
        <f>IFERROR(VLOOKUP(L408,SEGURO_TBL,3,0),"")</f>
        <v/>
      </c>
      <c r="CG408" s="3">
        <f>IF(CF408="",NEUTRO,MAX(0,MIN(100,100*(SEG_REF_MAX-CF408)/(SEG_REF_MAX-SEG_REF_MIN))))</f>
        <v/>
      </c>
      <c r="CH408" s="3">
        <f>W_CONS*CE408+W_SEG*CG408</f>
        <v/>
      </c>
      <c r="CI408" s="3">
        <f>IF(N(AB408)&gt;0,AB408,IF(AND(R408="profesional",SG_LEGAL_ON=1),GAR_LEGAL,0))</f>
        <v/>
      </c>
      <c r="CJ408" s="3">
        <f>SG_GAR*MIN(1,CI408/SG_GAR_FULL)+SG_AMPL*(AC408="sí")+SG_KMC*(AF408="sí")+SG_REV*(N(AE408)&gt;0)+SG_DEV*MIN(1,N(AG408)/SG_DEV_FULL)+SG_HIST*(W408="sí")</f>
        <v/>
      </c>
      <c r="CK408" s="3">
        <f>IFERROR(VLOOKUP(L408,CARR_PEN_TBL,2,0),0)</f>
        <v/>
      </c>
      <c r="CL408" s="3">
        <f>W_FIAB*BW408+W_PRECIO*BX408+W_KMEDAD*CB408+W_ANUNCIO*CC408+W_USO*CH408+W_SEGURIDAD*CJ408+W_ETIQUETA*CD408-CK408</f>
        <v/>
      </c>
      <c r="CM408" s="4">
        <f>IF(N(I408)&gt;0,I408,IFERROR(ROUND(_xlfn.NUMBERVALUE(LEFT(G408,FIND(" ",G408&amp;" ")-1),".")*1000,0),99999))</f>
        <v/>
      </c>
      <c r="CN408" s="3">
        <f>IF(R408="profesional",0,IF(O408&lt;CUOTA_VALOR_MAX,IF(BA408&gt;ITP_TRAMO_ALTO,SUMIFS(CF_CUOTA,CF_MAS,ITP_TRAMO_ALTO,CF_CCMIN,"&lt;="&amp;CM408,CF_CCMAX,"&gt;="&amp;CM408),IF(BA408&gt;ITP_TRAMO_BAJO,SUMIFS(CF_CUOTA,CF_MAS,ITP_TRAMO_BAJO,CF_CCMIN,"&lt;="&amp;CM408,CF_CCMAX,"&gt;="&amp;CM408),O408*ITP_TIPO)),O408*ITP_TIPO))</f>
        <v/>
      </c>
      <c r="CO408" s="4">
        <f>IF(R408="profesional",N(AK408),0)</f>
        <v/>
      </c>
      <c r="CP408" s="3">
        <f>IF(AND(R408="profesional",ISNUMBER(AK408),AL408="sí"),0,TASA_DGT)</f>
        <v/>
      </c>
      <c r="CQ408" s="3">
        <f>INFORME_DGT</f>
        <v/>
      </c>
      <c r="CR408" s="4">
        <f>O408+CO408+CN408+CP408+CQ408</f>
        <v/>
      </c>
      <c r="CS408" s="4">
        <f>CR408+N(CF408)</f>
        <v/>
      </c>
      <c r="CT408" s="3">
        <f>IF(CR408&lt;=TOTAL_MAX,"sí",IF(CR408&lt;=TOTAL_MAX+MARGEN_NEG,"negociar","no"))</f>
        <v/>
      </c>
      <c r="CU408" s="4">
        <f>IF(CT408&lt;&gt;"no",COUNTIFS($CT$2:$CT$545,"&lt;&gt;no",$CL$2:$CL$545,"&gt;"&amp;CL408)+COUNTIFS($CT$2:CT408,"&lt;&gt;no",$CL$2:CL408,CL408),"")</f>
        <v/>
      </c>
    </row>
    <row r="409">
      <c r="A409" s="2" t="inlineStr">
        <is>
          <t>cochesnet:71461561</t>
        </is>
      </c>
      <c r="B409" s="2" t="inlineStr">
        <is>
          <t>cochesnet</t>
        </is>
      </c>
      <c r="C409" s="2" t="inlineStr">
        <is>
          <t>https://www.coches.net/ford-ka-gasolina-2006-en-valencia-71461561-covo.aspx</t>
        </is>
      </c>
      <c r="D409" s="2" t="inlineStr">
        <is>
          <t>FORD KA 1.3</t>
        </is>
      </c>
      <c r="E409" s="2" t="inlineStr">
        <is>
          <t>Ford</t>
        </is>
      </c>
      <c r="F409" s="2" t="inlineStr">
        <is>
          <t>Ford Ka</t>
        </is>
      </c>
      <c r="G409" s="2" t="inlineStr">
        <is>
          <t>1.3</t>
        </is>
      </c>
      <c r="H409" s="2" t="inlineStr">
        <is>
          <t>1.3</t>
        </is>
      </c>
      <c r="I409" s="2" t="n"/>
      <c r="J409" s="2" t="n"/>
      <c r="K409" s="2" t="inlineStr">
        <is>
          <t>gasolina</t>
        </is>
      </c>
      <c r="L409" s="2" t="inlineStr">
        <is>
          <t>utilitario</t>
        </is>
      </c>
      <c r="M409" s="2" t="n">
        <v>2006</v>
      </c>
      <c r="N409" s="2" t="n">
        <v>103000</v>
      </c>
      <c r="O409" s="2" t="n">
        <v>2500</v>
      </c>
      <c r="P409" s="2" t="inlineStr">
        <is>
          <t>manual</t>
        </is>
      </c>
      <c r="Q409" s="2" t="inlineStr">
        <is>
          <t>no</t>
        </is>
      </c>
      <c r="R409" s="2" t="inlineStr">
        <is>
          <t>particular</t>
        </is>
      </c>
      <c r="S409" s="2" t="inlineStr">
        <is>
          <t>Sagunto (Sagunt)</t>
        </is>
      </c>
      <c r="T409" s="2" t="inlineStr">
        <is>
          <t>2026-09-07T16:29:20Z</t>
        </is>
      </c>
      <c r="U409" s="2" t="n">
        <v>7</v>
      </c>
      <c r="V409" s="2" t="n"/>
      <c r="W409" s="2" t="n"/>
      <c r="X409" s="2" t="n"/>
      <c r="Y409" s="2" t="n"/>
      <c r="Z409" s="2" t="inlineStr">
        <is>
          <t>no</t>
        </is>
      </c>
      <c r="AA409" s="2" t="n"/>
      <c r="AB409" s="2" t="n"/>
      <c r="AC409" s="2" t="n"/>
      <c r="AD409" s="2" t="n"/>
      <c r="AE409" s="2" t="n"/>
      <c r="AF409" s="2" t="n"/>
      <c r="AG409" s="2" t="n"/>
      <c r="AH409" s="2" t="n">
        <v>2500</v>
      </c>
      <c r="AI409" s="2" t="n"/>
      <c r="AJ409" s="2" t="n"/>
      <c r="AK409" s="2" t="n"/>
      <c r="AL409" s="2" t="n"/>
      <c r="AM409" s="2" t="n"/>
      <c r="AN409" s="2" t="n"/>
      <c r="AO409" s="2" t="inlineStr">
        <is>
          <t>2006</t>
        </is>
      </c>
      <c r="AP409" s="2" t="n">
        <v>2006</v>
      </c>
      <c r="AQ409" s="2" t="n"/>
      <c r="AR409" s="2" t="n"/>
      <c r="AS409" s="2" t="inlineStr">
        <is>
          <t>regla</t>
        </is>
      </c>
      <c r="AT409" s="2" t="n">
        <v>1845</v>
      </c>
      <c r="AU409" s="2" t="n">
        <v>4</v>
      </c>
      <c r="AV409" s="2" t="inlineStr">
        <is>
          <t>modelo+año</t>
        </is>
      </c>
      <c r="AW409" s="2" t="n"/>
      <c r="AX409" s="2" t="inlineStr">
        <is>
          <t>cuota fija ITP: &gt;12 años, hasta 1.500 cc; distancia no verificable (el anuncio solo indica la provincia): confirmar que está a &lt;= 70 km; fiabilidad del modelo PENDIENTE de fuente (puntuación neutra)</t>
        </is>
      </c>
      <c r="AY409" s="2" t="inlineStr">
        <is>
          <t xml:space="preserve">Poco uso. Guardado garaje. Revision completa en 2025. </t>
        </is>
      </c>
      <c r="AZ409" s="2" t="inlineStr">
        <is>
          <t>https://www.coches.net/ford-ka-gasolina-2006-en-valencia-71461561-covo.aspx (window.__INITIAL_PROPS__.ad) /home/user/Alopecia/buscador-coches/raw/cochesnet/d2700b7fbe637f76.json</t>
        </is>
      </c>
      <c r="BA409" s="3">
        <f>MAX(ANIO_ACTUAL-M409,0)</f>
        <v/>
      </c>
      <c r="BB409" s="4">
        <f>N409/MAX(BA409,0.5)</f>
        <v/>
      </c>
      <c r="BC409" s="4">
        <f>F409</f>
        <v/>
      </c>
      <c r="BD409" s="3">
        <f>BC409&amp;"|"&amp;INT(M409/SEG_ANIO)*SEG_ANIO</f>
        <v/>
      </c>
      <c r="BE409" s="3">
        <f>BD409&amp;"|"&amp;INT(N409/SEG_KM)*SEG_KM</f>
        <v/>
      </c>
      <c r="BF409" s="4">
        <f>COUNTIF($BC$2:$BC$545,BC409)</f>
        <v/>
      </c>
      <c r="BG409" s="4">
        <f>COUNTIF($BD$2:$BD$545,BD409)</f>
        <v/>
      </c>
      <c r="BH409" s="4">
        <f>COUNTIF($BE$2:$BE$545,BE409)</f>
        <v/>
      </c>
      <c r="BI409" s="3">
        <f t="array" ref="BI409">IF(N(AU409)&gt;=MIN_N,AT409,IF(BH409&gt;=MIN_N,MEDIAN(IF($BE$2:$BE$545=BE409,$O$2:$O$545)),IF(BG409&gt;=MIN_N,MEDIAN(IF($BD$2:$BD$545=BD409,$O$2:$O$545)),MEDIAN(IF($BC$2:$BC$545=BC409,$O$2:$O$545)))))</f>
        <v/>
      </c>
      <c r="BJ409" s="3">
        <f>IF(N(AU409)&gt;=MIN_N,"mercado "&amp;AV409,IF(BH409&gt;=MIN_N,"modelo+año+km",IF(BG409&gt;=MIN_N,"modelo+año","modelo")))</f>
        <v/>
      </c>
      <c r="BK409" s="4">
        <f>(BI409-O409)/BI409</f>
        <v/>
      </c>
      <c r="BL409" s="3">
        <f>IF(COUNTIFS(FR_FUEL,K409,FR_YEAR,AP409)&gt;0,1,0)</f>
        <v/>
      </c>
      <c r="BM409" s="3">
        <f>IF(COUNTIFS(FR_FUEL,K409,FR_YEAR,AP409-1)&gt;0,1,0)</f>
        <v/>
      </c>
      <c r="BN409" s="4">
        <f>IF(N(AQ409)&gt;0,AP409*100+AQ409,IF(AND(BL409=1,BM409=1),(AP409-1)*100+1,AP409*100+1))</f>
        <v/>
      </c>
      <c r="BO409" s="3">
        <f>IF(OR(K409="hibrido",K409="glp",K409="gnc",K409="phev"),"ECO",IF(K409="electrico","CERO",IF(K409="gasolina",IF(BN409&gt;=GAS_C_YM,"C",IF(BN409&gt;=GAS_B_YM,"B","A")),IF(K409="diesel",IF(BN409&gt;=DIE_C_YM,"C",IF(BN409&gt;=DIE_B_YM,"B","A")),""))))</f>
        <v/>
      </c>
      <c r="BP409" s="4">
        <f>BO409</f>
        <v/>
      </c>
      <c r="BQ409" s="4">
        <f>IF(AS409="regla",IF(AND(N(AQ409)=0,BL409=1),"sí","no"),"no")</f>
        <v/>
      </c>
      <c r="BR409" s="3">
        <f>IFERROR(VLOOKUP(F409,MOD_TBL,11,0),IFERROR(VLOOKUP(E409,OCU_TBL,2,0),NEUTRO))</f>
        <v/>
      </c>
      <c r="BS409" s="3">
        <f>SUMIFS(MOT_AJUSTE,MOT_MOTOR,G409,MOT_MARCA,E409,MOT_DESDE,"&lt;="&amp;M409,MOT_HASTA,"&gt;="&amp;M409)+SUMIFS(MOT_AJUSTE,MOT_MOTOR,G409,MOT_MARCA,"(todas)",MOT_DESDE,"&lt;="&amp;M409,MOT_HASTA,"&gt;="&amp;M409)</f>
        <v/>
      </c>
      <c r="BT409" s="3">
        <f>SUMIFS(COMB_AJUSTE,COMB_COMB,K409)</f>
        <v/>
      </c>
      <c r="BU409" s="3">
        <f>COUNTIFS(MOT_MOTOR,G409,MOT_MARCA,E409,MOT_DESDE,"&lt;="&amp;M409,MOT_HASTA,"&gt;="&amp;M409)+COUNTIFS(MOT_MOTOR,G409,MOT_MARCA,"(todas)",MOT_DESDE,"&lt;="&amp;M409,MOT_HASTA,"&gt;="&amp;M409)</f>
        <v/>
      </c>
      <c r="BV409" s="3">
        <f>IF(AND(K409="diesel",BU409=0),MIN(BR409,NEUTRO),BR409)</f>
        <v/>
      </c>
      <c r="BW409" s="4">
        <f>MAX(0,MIN(100,BV409+BS409+BT409))</f>
        <v/>
      </c>
      <c r="BX409" s="3">
        <f>MAX(0,MIN(100,50+BK409*PRECIO_PEND))</f>
        <v/>
      </c>
      <c r="BY409" s="3">
        <f>MAX(0,100*(1-N409/KM_MAX))</f>
        <v/>
      </c>
      <c r="BZ409" s="3">
        <f>IF(BB409&lt;KMA_SOSP,IF(AA409="sí",100,KMA_PEN),IF(BB409&lt;=KMA_IDEAL_MAX,100,MAX(0,100*(KMA_CERO-BB409)/(KMA_CERO-KMA_IDEAL_MAX))))</f>
        <v/>
      </c>
      <c r="CA409" s="3">
        <f>MAX(0,MIN(100,100*(M409-ANIO_MIN)/(ANIO_ACTUAL-ANIO_MIN)))</f>
        <v/>
      </c>
      <c r="CB409" s="3">
        <f>W_KMT*BY409+W_KMA*BZ409+W_EDAD*CA409</f>
        <v/>
      </c>
      <c r="CC409" s="3">
        <f>P_ITV*(V409="sí")+P_LIBRO*(W409="sí")+P_CORREA*(X409="sí")+P_PROP*(Y409=1)+P_GAR*(Z409="sí")+P_FOTOS*MIN(1,N(U409)/FOTOS_OBJ)</f>
        <v/>
      </c>
      <c r="CD409" s="3">
        <f>MAX(0,MIN(100,IFERROR(VLOOKUP(BP409,ETQ_TBL,2,0),0)-IF(BQ409="sí",ETQ_PEN_DUD,IF(AS409="regla",ETQ_PEN_REGLA,0))))</f>
        <v/>
      </c>
      <c r="CE409" s="3">
        <f>NEUTRO</f>
        <v/>
      </c>
      <c r="CF409" s="3">
        <f>IFERROR(VLOOKUP(L409,SEGURO_TBL,3,0),"")</f>
        <v/>
      </c>
      <c r="CG409" s="3">
        <f>IF(CF409="",NEUTRO,MAX(0,MIN(100,100*(SEG_REF_MAX-CF409)/(SEG_REF_MAX-SEG_REF_MIN))))</f>
        <v/>
      </c>
      <c r="CH409" s="3">
        <f>W_CONS*CE409+W_SEG*CG409</f>
        <v/>
      </c>
      <c r="CI409" s="3">
        <f>IF(N(AB409)&gt;0,AB409,IF(AND(R409="profesional",SG_LEGAL_ON=1),GAR_LEGAL,0))</f>
        <v/>
      </c>
      <c r="CJ409" s="3">
        <f>SG_GAR*MIN(1,CI409/SG_GAR_FULL)+SG_AMPL*(AC409="sí")+SG_KMC*(AF409="sí")+SG_REV*(N(AE409)&gt;0)+SG_DEV*MIN(1,N(AG409)/SG_DEV_FULL)+SG_HIST*(W409="sí")</f>
        <v/>
      </c>
      <c r="CK409" s="3">
        <f>IFERROR(VLOOKUP(L409,CARR_PEN_TBL,2,0),0)</f>
        <v/>
      </c>
      <c r="CL409" s="3">
        <f>W_FIAB*BW409+W_PRECIO*BX409+W_KMEDAD*CB409+W_ANUNCIO*CC409+W_USO*CH409+W_SEGURIDAD*CJ409+W_ETIQUETA*CD409-CK409</f>
        <v/>
      </c>
      <c r="CM409" s="4">
        <f>IF(N(I409)&gt;0,I409,IFERROR(ROUND(_xlfn.NUMBERVALUE(LEFT(G409,FIND(" ",G409&amp;" ")-1),".")*1000,0),99999))</f>
        <v/>
      </c>
      <c r="CN409" s="3">
        <f>IF(R409="profesional",0,IF(O409&lt;CUOTA_VALOR_MAX,IF(BA409&gt;ITP_TRAMO_ALTO,SUMIFS(CF_CUOTA,CF_MAS,ITP_TRAMO_ALTO,CF_CCMIN,"&lt;="&amp;CM409,CF_CCMAX,"&gt;="&amp;CM409),IF(BA409&gt;ITP_TRAMO_BAJO,SUMIFS(CF_CUOTA,CF_MAS,ITP_TRAMO_BAJO,CF_CCMIN,"&lt;="&amp;CM409,CF_CCMAX,"&gt;="&amp;CM409),O409*ITP_TIPO)),O409*ITP_TIPO))</f>
        <v/>
      </c>
      <c r="CO409" s="4">
        <f>IF(R409="profesional",N(AK409),0)</f>
        <v/>
      </c>
      <c r="CP409" s="3">
        <f>IF(AND(R409="profesional",ISNUMBER(AK409),AL409="sí"),0,TASA_DGT)</f>
        <v/>
      </c>
      <c r="CQ409" s="3">
        <f>INFORME_DGT</f>
        <v/>
      </c>
      <c r="CR409" s="4">
        <f>O409+CO409+CN409+CP409+CQ409</f>
        <v/>
      </c>
      <c r="CS409" s="4">
        <f>CR409+N(CF409)</f>
        <v/>
      </c>
      <c r="CT409" s="3">
        <f>IF(CR409&lt;=TOTAL_MAX,"sí",IF(CR409&lt;=TOTAL_MAX+MARGEN_NEG,"negociar","no"))</f>
        <v/>
      </c>
      <c r="CU409" s="4">
        <f>IF(CT409&lt;&gt;"no",COUNTIFS($CT$2:$CT$545,"&lt;&gt;no",$CL$2:$CL$545,"&gt;"&amp;CL409)+COUNTIFS($CT$2:CT409,"&lt;&gt;no",$CL$2:CL409,CL409),"")</f>
        <v/>
      </c>
    </row>
    <row r="410">
      <c r="A410" s="2" t="inlineStr">
        <is>
          <t>cochesnet:71253044</t>
        </is>
      </c>
      <c r="B410" s="2" t="inlineStr">
        <is>
          <t>cochesnet</t>
        </is>
      </c>
      <c r="C410" s="2" t="inlineStr">
        <is>
          <t>https://www.coches.net/ford-ka-16i-sportka-3p-gasolina-2005-en-valencia-71253044-covo.aspx</t>
        </is>
      </c>
      <c r="D410" s="2" t="inlineStr">
        <is>
          <t>FORD Ka 1.6i SportKa</t>
        </is>
      </c>
      <c r="E410" s="2" t="inlineStr">
        <is>
          <t>Ford</t>
        </is>
      </c>
      <c r="F410" s="2" t="inlineStr">
        <is>
          <t>Ford Ka</t>
        </is>
      </c>
      <c r="G410" s="2" t="inlineStr">
        <is>
          <t>1.6</t>
        </is>
      </c>
      <c r="H410" s="2" t="inlineStr">
        <is>
          <t>1.6i SportKa</t>
        </is>
      </c>
      <c r="I410" s="2" t="n"/>
      <c r="J410" s="2" t="n"/>
      <c r="K410" s="2" t="inlineStr">
        <is>
          <t>gasolina</t>
        </is>
      </c>
      <c r="L410" s="2" t="inlineStr">
        <is>
          <t>utilitario</t>
        </is>
      </c>
      <c r="M410" s="2" t="n">
        <v>2007</v>
      </c>
      <c r="N410" s="2" t="n">
        <v>80000</v>
      </c>
      <c r="O410" s="2" t="n">
        <v>2990</v>
      </c>
      <c r="P410" s="2" t="inlineStr">
        <is>
          <t>manual</t>
        </is>
      </c>
      <c r="Q410" s="2" t="inlineStr">
        <is>
          <t>no</t>
        </is>
      </c>
      <c r="R410" s="2" t="inlineStr">
        <is>
          <t>profesional</t>
        </is>
      </c>
      <c r="S410" s="2" t="inlineStr">
        <is>
          <t>Foios</t>
        </is>
      </c>
      <c r="T410" s="2" t="inlineStr">
        <is>
          <t>2026-08-07T19:43:11Z</t>
        </is>
      </c>
      <c r="U410" s="2" t="n">
        <v>10</v>
      </c>
      <c r="V410" s="2" t="n"/>
      <c r="W410" s="2" t="n"/>
      <c r="X410" s="2" t="n"/>
      <c r="Y410" s="2" t="n"/>
      <c r="Z410" s="2" t="inlineStr">
        <is>
          <t>sí</t>
        </is>
      </c>
      <c r="AA410" s="2" t="n"/>
      <c r="AB410" s="2" t="n">
        <v>12</v>
      </c>
      <c r="AC410" s="2" t="n"/>
      <c r="AD410" s="2" t="n"/>
      <c r="AE410" s="2" t="n"/>
      <c r="AF410" s="2" t="n"/>
      <c r="AG410" s="2" t="n"/>
      <c r="AH410" s="2" t="n">
        <v>2990</v>
      </c>
      <c r="AI410" s="2" t="n">
        <v>2990</v>
      </c>
      <c r="AJ410" s="2" t="n"/>
      <c r="AK410" s="2" t="n"/>
      <c r="AL410" s="2" t="n"/>
      <c r="AM410" s="2" t="n">
        <v>7.7</v>
      </c>
      <c r="AN410" s="2" t="n"/>
      <c r="AO410" s="2" t="inlineStr">
        <is>
          <t>2007</t>
        </is>
      </c>
      <c r="AP410" s="2" t="n">
        <v>2007</v>
      </c>
      <c r="AQ410" s="2" t="n"/>
      <c r="AR410" s="2" t="inlineStr">
        <is>
          <t>C</t>
        </is>
      </c>
      <c r="AS410" s="2" t="inlineStr">
        <is>
          <t>anuncio</t>
        </is>
      </c>
      <c r="AT410" s="2" t="n"/>
      <c r="AU410" s="2" t="n"/>
      <c r="AV410" s="2" t="n"/>
      <c r="AW410" s="2" t="n"/>
      <c r="AX410" s="2" t="inlineStr">
        <is>
          <t>vendedor profesional: sin ITP (operación con IVA/REBU, confirmar en factura); gastos de gestión del vendedor no indicados: se suma la tasa DGT; preguntar el precio final; fiabilidad del modelo PENDIENTE de fuente (puntuación neutra)</t>
        </is>
      </c>
      <c r="AY410" s="2" t="inlineStr">
        <is>
          <t>Automóviles Jabe Precio solamente hasta final de mes Quien primero venga primero se lo lleva ¿Cambio de nombre incluido</t>
        </is>
      </c>
      <c r="AZ410" s="2" t="inlineStr">
        <is>
          <t>https://www.coches.net/ford-ka-16i-sportka-3p-gasolina-2005-en-valencia-71253044-covo.aspx (window.__INITIAL_PROPS__.ad) /home/user/Alopecia/buscador-coches/raw/cochesnet/fb59e16675e2ae2f.json</t>
        </is>
      </c>
      <c r="BA410" s="3">
        <f>MAX(ANIO_ACTUAL-M410,0)</f>
        <v/>
      </c>
      <c r="BB410" s="4">
        <f>N410/MAX(BA410,0.5)</f>
        <v/>
      </c>
      <c r="BC410" s="4">
        <f>F410</f>
        <v/>
      </c>
      <c r="BD410" s="3">
        <f>BC410&amp;"|"&amp;INT(M410/SEG_ANIO)*SEG_ANIO</f>
        <v/>
      </c>
      <c r="BE410" s="3">
        <f>BD410&amp;"|"&amp;INT(N410/SEG_KM)*SEG_KM</f>
        <v/>
      </c>
      <c r="BF410" s="4">
        <f>COUNTIF($BC$2:$BC$545,BC410)</f>
        <v/>
      </c>
      <c r="BG410" s="4">
        <f>COUNTIF($BD$2:$BD$545,BD410)</f>
        <v/>
      </c>
      <c r="BH410" s="4">
        <f>COUNTIF($BE$2:$BE$545,BE410)</f>
        <v/>
      </c>
      <c r="BI410" s="3">
        <f t="array" ref="BI410">IF(N(AU410)&gt;=MIN_N,AT410,IF(BH410&gt;=MIN_N,MEDIAN(IF($BE$2:$BE$545=BE410,$O$2:$O$545)),IF(BG410&gt;=MIN_N,MEDIAN(IF($BD$2:$BD$545=BD410,$O$2:$O$545)),MEDIAN(IF($BC$2:$BC$545=BC410,$O$2:$O$545)))))</f>
        <v/>
      </c>
      <c r="BJ410" s="3">
        <f>IF(N(AU410)&gt;=MIN_N,"mercado "&amp;AV410,IF(BH410&gt;=MIN_N,"modelo+año+km",IF(BG410&gt;=MIN_N,"modelo+año","modelo")))</f>
        <v/>
      </c>
      <c r="BK410" s="4">
        <f>(BI410-O410)/BI410</f>
        <v/>
      </c>
      <c r="BL410" s="3">
        <f>IF(COUNTIFS(FR_FUEL,K410,FR_YEAR,AP410)&gt;0,1,0)</f>
        <v/>
      </c>
      <c r="BM410" s="3">
        <f>IF(COUNTIFS(FR_FUEL,K410,FR_YEAR,AP410-1)&gt;0,1,0)</f>
        <v/>
      </c>
      <c r="BN410" s="4">
        <f>IF(N(AQ410)&gt;0,AP410*100+AQ410,IF(AND(BL410=1,BM410=1),(AP410-1)*100+1,AP410*100+1))</f>
        <v/>
      </c>
      <c r="BO410" s="3">
        <f>IF(OR(K410="hibrido",K410="glp",K410="gnc",K410="phev"),"ECO",IF(K410="electrico","CERO",IF(K410="gasolina",IF(BN410&gt;=GAS_C_YM,"C",IF(BN410&gt;=GAS_B_YM,"B","A")),IF(K410="diesel",IF(BN410&gt;=DIE_C_YM,"C",IF(BN410&gt;=DIE_B_YM,"B","A")),""))))</f>
        <v/>
      </c>
      <c r="BP410" s="2" t="inlineStr">
        <is>
          <t>C</t>
        </is>
      </c>
      <c r="BQ410" s="4">
        <f>IF(AS410="regla",IF(AND(N(AQ410)=0,BL410=1),"sí","no"),"no")</f>
        <v/>
      </c>
      <c r="BR410" s="3">
        <f>IFERROR(VLOOKUP(F410,MOD_TBL,11,0),IFERROR(VLOOKUP(E410,OCU_TBL,2,0),NEUTRO))</f>
        <v/>
      </c>
      <c r="BS410" s="3">
        <f>SUMIFS(MOT_AJUSTE,MOT_MOTOR,G410,MOT_MARCA,E410,MOT_DESDE,"&lt;="&amp;M410,MOT_HASTA,"&gt;="&amp;M410)+SUMIFS(MOT_AJUSTE,MOT_MOTOR,G410,MOT_MARCA,"(todas)",MOT_DESDE,"&lt;="&amp;M410,MOT_HASTA,"&gt;="&amp;M410)</f>
        <v/>
      </c>
      <c r="BT410" s="3">
        <f>SUMIFS(COMB_AJUSTE,COMB_COMB,K410)</f>
        <v/>
      </c>
      <c r="BU410" s="3">
        <f>COUNTIFS(MOT_MOTOR,G410,MOT_MARCA,E410,MOT_DESDE,"&lt;="&amp;M410,MOT_HASTA,"&gt;="&amp;M410)+COUNTIFS(MOT_MOTOR,G410,MOT_MARCA,"(todas)",MOT_DESDE,"&lt;="&amp;M410,MOT_HASTA,"&gt;="&amp;M410)</f>
        <v/>
      </c>
      <c r="BV410" s="3">
        <f>IF(AND(K410="diesel",BU410=0),MIN(BR410,NEUTRO),BR410)</f>
        <v/>
      </c>
      <c r="BW410" s="4">
        <f>MAX(0,MIN(100,BV410+BS410+BT410))</f>
        <v/>
      </c>
      <c r="BX410" s="3">
        <f>MAX(0,MIN(100,50+BK410*PRECIO_PEND))</f>
        <v/>
      </c>
      <c r="BY410" s="3">
        <f>MAX(0,100*(1-N410/KM_MAX))</f>
        <v/>
      </c>
      <c r="BZ410" s="3">
        <f>IF(BB410&lt;KMA_SOSP,IF(AA410="sí",100,KMA_PEN),IF(BB410&lt;=KMA_IDEAL_MAX,100,MAX(0,100*(KMA_CERO-BB410)/(KMA_CERO-KMA_IDEAL_MAX))))</f>
        <v/>
      </c>
      <c r="CA410" s="3">
        <f>MAX(0,MIN(100,100*(M410-ANIO_MIN)/(ANIO_ACTUAL-ANIO_MIN)))</f>
        <v/>
      </c>
      <c r="CB410" s="3">
        <f>W_KMT*BY410+W_KMA*BZ410+W_EDAD*CA410</f>
        <v/>
      </c>
      <c r="CC410" s="3">
        <f>P_ITV*(V410="sí")+P_LIBRO*(W410="sí")+P_CORREA*(X410="sí")+P_PROP*(Y410=1)+P_GAR*(Z410="sí")+P_FOTOS*MIN(1,N(U410)/FOTOS_OBJ)</f>
        <v/>
      </c>
      <c r="CD410" s="3">
        <f>MAX(0,MIN(100,IFERROR(VLOOKUP(BP410,ETQ_TBL,2,0),0)-IF(BQ410="sí",ETQ_PEN_DUD,IF(AS410="regla",ETQ_PEN_REGLA,0))))</f>
        <v/>
      </c>
      <c r="CE410" s="3">
        <f>NEUTRO</f>
        <v/>
      </c>
      <c r="CF410" s="3">
        <f>IFERROR(VLOOKUP(L410,SEGURO_TBL,3,0),"")</f>
        <v/>
      </c>
      <c r="CG410" s="3">
        <f>IF(CF410="",NEUTRO,MAX(0,MIN(100,100*(SEG_REF_MAX-CF410)/(SEG_REF_MAX-SEG_REF_MIN))))</f>
        <v/>
      </c>
      <c r="CH410" s="3">
        <f>W_CONS*CE410+W_SEG*CG410</f>
        <v/>
      </c>
      <c r="CI410" s="3">
        <f>IF(N(AB410)&gt;0,AB410,IF(AND(R410="profesional",SG_LEGAL_ON=1),GAR_LEGAL,0))</f>
        <v/>
      </c>
      <c r="CJ410" s="3">
        <f>SG_GAR*MIN(1,CI410/SG_GAR_FULL)+SG_AMPL*(AC410="sí")+SG_KMC*(AF410="sí")+SG_REV*(N(AE410)&gt;0)+SG_DEV*MIN(1,N(AG410)/SG_DEV_FULL)+SG_HIST*(W410="sí")</f>
        <v/>
      </c>
      <c r="CK410" s="3">
        <f>IFERROR(VLOOKUP(L410,CARR_PEN_TBL,2,0),0)</f>
        <v/>
      </c>
      <c r="CL410" s="3">
        <f>W_FIAB*BW410+W_PRECIO*BX410+W_KMEDAD*CB410+W_ANUNCIO*CC410+W_USO*CH410+W_SEGURIDAD*CJ410+W_ETIQUETA*CD410-CK410</f>
        <v/>
      </c>
      <c r="CM410" s="4">
        <f>IF(N(I410)&gt;0,I410,IFERROR(ROUND(_xlfn.NUMBERVALUE(LEFT(G410,FIND(" ",G410&amp;" ")-1),".")*1000,0),99999))</f>
        <v/>
      </c>
      <c r="CN410" s="3">
        <f>IF(R410="profesional",0,IF(O410&lt;CUOTA_VALOR_MAX,IF(BA410&gt;ITP_TRAMO_ALTO,SUMIFS(CF_CUOTA,CF_MAS,ITP_TRAMO_ALTO,CF_CCMIN,"&lt;="&amp;CM410,CF_CCMAX,"&gt;="&amp;CM410),IF(BA410&gt;ITP_TRAMO_BAJO,SUMIFS(CF_CUOTA,CF_MAS,ITP_TRAMO_BAJO,CF_CCMIN,"&lt;="&amp;CM410,CF_CCMAX,"&gt;="&amp;CM410),O410*ITP_TIPO)),O410*ITP_TIPO))</f>
        <v/>
      </c>
      <c r="CO410" s="4">
        <f>IF(R410="profesional",N(AK410),0)</f>
        <v/>
      </c>
      <c r="CP410" s="3">
        <f>IF(AND(R410="profesional",ISNUMBER(AK410),AL410="sí"),0,TASA_DGT)</f>
        <v/>
      </c>
      <c r="CQ410" s="3">
        <f>INFORME_DGT</f>
        <v/>
      </c>
      <c r="CR410" s="4">
        <f>O410+CO410+CN410+CP410+CQ410</f>
        <v/>
      </c>
      <c r="CS410" s="4">
        <f>CR410+N(CF410)</f>
        <v/>
      </c>
      <c r="CT410" s="3">
        <f>IF(CR410&lt;=TOTAL_MAX,"sí",IF(CR410&lt;=TOTAL_MAX+MARGEN_NEG,"negociar","no"))</f>
        <v/>
      </c>
      <c r="CU410" s="4">
        <f>IF(CT410&lt;&gt;"no",COUNTIFS($CT$2:$CT$545,"&lt;&gt;no",$CL$2:$CL$545,"&gt;"&amp;CL410)+COUNTIFS($CT$2:CT410,"&lt;&gt;no",$CL$2:CL410,CL410),"")</f>
        <v/>
      </c>
    </row>
    <row r="411">
      <c r="A411" s="2" t="inlineStr">
        <is>
          <t>cochesnet:71371893</t>
        </is>
      </c>
      <c r="B411" s="2" t="inlineStr">
        <is>
          <t>cochesnet</t>
        </is>
      </c>
      <c r="C411" s="2" t="inlineStr">
        <is>
          <t>https://www.coches.net/ford-ka-13-3p-gasolina-2006-en-valencia-71371893-covo.aspx</t>
        </is>
      </c>
      <c r="D411" s="2" t="inlineStr">
        <is>
          <t>FORD KA 1.3</t>
        </is>
      </c>
      <c r="E411" s="2" t="inlineStr">
        <is>
          <t>Ford</t>
        </is>
      </c>
      <c r="F411" s="2" t="inlineStr">
        <is>
          <t>Ford Ka</t>
        </is>
      </c>
      <c r="G411" s="2" t="inlineStr">
        <is>
          <t>1.3</t>
        </is>
      </c>
      <c r="H411" s="2" t="inlineStr">
        <is>
          <t>1.3</t>
        </is>
      </c>
      <c r="I411" s="2" t="n"/>
      <c r="J411" s="2" t="n"/>
      <c r="K411" s="2" t="inlineStr">
        <is>
          <t>gasolina</t>
        </is>
      </c>
      <c r="L411" s="2" t="inlineStr">
        <is>
          <t>utilitario</t>
        </is>
      </c>
      <c r="M411" s="2" t="n">
        <v>2006</v>
      </c>
      <c r="N411" s="2" t="n">
        <v>100000</v>
      </c>
      <c r="O411" s="2" t="n">
        <v>1200</v>
      </c>
      <c r="P411" s="2" t="inlineStr">
        <is>
          <t>manual</t>
        </is>
      </c>
      <c r="Q411" s="2" t="inlineStr">
        <is>
          <t>no</t>
        </is>
      </c>
      <c r="R411" s="2" t="inlineStr">
        <is>
          <t>particular</t>
        </is>
      </c>
      <c r="S411" s="2" t="inlineStr">
        <is>
          <t>Valencia</t>
        </is>
      </c>
      <c r="T411" s="2" t="inlineStr">
        <is>
          <t>2026-08-26T19:57:23Z</t>
        </is>
      </c>
      <c r="U411" s="2" t="n"/>
      <c r="V411" s="2" t="n"/>
      <c r="W411" s="2" t="n"/>
      <c r="X411" s="2" t="n"/>
      <c r="Y411" s="2" t="n"/>
      <c r="Z411" s="2" t="inlineStr">
        <is>
          <t>no</t>
        </is>
      </c>
      <c r="AA411" s="2" t="n"/>
      <c r="AB411" s="2" t="n"/>
      <c r="AC411" s="2" t="n"/>
      <c r="AD411" s="2" t="n"/>
      <c r="AE411" s="2" t="n"/>
      <c r="AF411" s="2" t="n"/>
      <c r="AG411" s="2" t="n"/>
      <c r="AH411" s="2" t="n">
        <v>1200</v>
      </c>
      <c r="AI411" s="2" t="n"/>
      <c r="AJ411" s="2" t="n"/>
      <c r="AK411" s="2" t="n"/>
      <c r="AL411" s="2" t="n"/>
      <c r="AM411" s="2" t="n">
        <v>0.1</v>
      </c>
      <c r="AN411" s="2" t="n"/>
      <c r="AO411" s="2" t="inlineStr">
        <is>
          <t>2006</t>
        </is>
      </c>
      <c r="AP411" s="2" t="n">
        <v>2006</v>
      </c>
      <c r="AQ411" s="2" t="n"/>
      <c r="AR411" s="2" t="n"/>
      <c r="AS411" s="2" t="inlineStr">
        <is>
          <t>regla</t>
        </is>
      </c>
      <c r="AT411" s="2" t="n">
        <v>1845</v>
      </c>
      <c r="AU411" s="2" t="n">
        <v>4</v>
      </c>
      <c r="AV411" s="2" t="inlineStr">
        <is>
          <t>modelo+año</t>
        </is>
      </c>
      <c r="AW411" s="2" t="n"/>
      <c r="AX411" s="2" t="inlineStr">
        <is>
          <t>cuota fija ITP: &gt;12 años, hasta 1.500 cc; fiabilidad del modelo PENDIENTE de fuente (puntuación neutra)</t>
        </is>
      </c>
      <c r="AY411" s="2" t="inlineStr">
        <is>
          <t>Vendo mi Ford Ka 1.3 manual, un vehículo urbano clásico y funcional que ha sido mi compañero de confianza durante estos años. Con más de 100.000 kilómetros recorridos, este pequeño berlina sigue cumpliendo su propósito: trasladarte de forma eficiente por la ciudad sin complicaciones.
El motor de 1.3 sin plomo de 70 CV ofrece la potencia necesaria para el uso diario, con un consumo muy contenido que te permitirá ahorrar en combustible. Es el tipo de coche que no te da sorpresas: fiable, manejable y fácil de aparcar gracias a sus dimensiones compactas.
Debo ser sincero sobre el estado: el exterior presenta signos de uso habitual tras estos años de circulación, y el interior refleja también ese uso cotidiano. No es un coche de salón, pero funciona correctamente para quien busque un transporte práctico sin pretensiones estéticas.
Si lo que buscas es un vehículo económico que te lleve de un lado a otro sin gastar una fortuna, este Ka es una opción interesante. Perfecto para desplazamientos en ciudad, para conductores jóvenes o como segundo coche de la familia.
Estoy disponible para que lo veas en persona y puedas comprobar su funcionamiento. Contacta conmigo sin dudas si necesitas información adicional sobre aspectos específicos que no encuentres en la ficha del anuncio. Puedes escribirme por chat o llamarme por teléfono.
Aprovecha esta oportunidad.</t>
        </is>
      </c>
      <c r="AZ411" s="2" t="inlineStr">
        <is>
          <t>https://www.coches.net/ford-ka-13-3p-gasolina-2006-en-valencia-71371893-covo.aspx (window.__INITIAL_PROPS__.ad) /home/user/Alopecia/buscador-coches/raw/cochesnet/9861fad84993f01a.json</t>
        </is>
      </c>
      <c r="BA411" s="3">
        <f>MAX(ANIO_ACTUAL-M411,0)</f>
        <v/>
      </c>
      <c r="BB411" s="4">
        <f>N411/MAX(BA411,0.5)</f>
        <v/>
      </c>
      <c r="BC411" s="4">
        <f>F411</f>
        <v/>
      </c>
      <c r="BD411" s="3">
        <f>BC411&amp;"|"&amp;INT(M411/SEG_ANIO)*SEG_ANIO</f>
        <v/>
      </c>
      <c r="BE411" s="3">
        <f>BD411&amp;"|"&amp;INT(N411/SEG_KM)*SEG_KM</f>
        <v/>
      </c>
      <c r="BF411" s="4">
        <f>COUNTIF($BC$2:$BC$545,BC411)</f>
        <v/>
      </c>
      <c r="BG411" s="4">
        <f>COUNTIF($BD$2:$BD$545,BD411)</f>
        <v/>
      </c>
      <c r="BH411" s="4">
        <f>COUNTIF($BE$2:$BE$545,BE411)</f>
        <v/>
      </c>
      <c r="BI411" s="3">
        <f t="array" ref="BI411">IF(N(AU411)&gt;=MIN_N,AT411,IF(BH411&gt;=MIN_N,MEDIAN(IF($BE$2:$BE$545=BE411,$O$2:$O$545)),IF(BG411&gt;=MIN_N,MEDIAN(IF($BD$2:$BD$545=BD411,$O$2:$O$545)),MEDIAN(IF($BC$2:$BC$545=BC411,$O$2:$O$545)))))</f>
        <v/>
      </c>
      <c r="BJ411" s="3">
        <f>IF(N(AU411)&gt;=MIN_N,"mercado "&amp;AV411,IF(BH411&gt;=MIN_N,"modelo+año+km",IF(BG411&gt;=MIN_N,"modelo+año","modelo")))</f>
        <v/>
      </c>
      <c r="BK411" s="4">
        <f>(BI411-O411)/BI411</f>
        <v/>
      </c>
      <c r="BL411" s="3">
        <f>IF(COUNTIFS(FR_FUEL,K411,FR_YEAR,AP411)&gt;0,1,0)</f>
        <v/>
      </c>
      <c r="BM411" s="3">
        <f>IF(COUNTIFS(FR_FUEL,K411,FR_YEAR,AP411-1)&gt;0,1,0)</f>
        <v/>
      </c>
      <c r="BN411" s="4">
        <f>IF(N(AQ411)&gt;0,AP411*100+AQ411,IF(AND(BL411=1,BM411=1),(AP411-1)*100+1,AP411*100+1))</f>
        <v/>
      </c>
      <c r="BO411" s="3">
        <f>IF(OR(K411="hibrido",K411="glp",K411="gnc",K411="phev"),"ECO",IF(K411="electrico","CERO",IF(K411="gasolina",IF(BN411&gt;=GAS_C_YM,"C",IF(BN411&gt;=GAS_B_YM,"B","A")),IF(K411="diesel",IF(BN411&gt;=DIE_C_YM,"C",IF(BN411&gt;=DIE_B_YM,"B","A")),""))))</f>
        <v/>
      </c>
      <c r="BP411" s="4">
        <f>BO411</f>
        <v/>
      </c>
      <c r="BQ411" s="4">
        <f>IF(AS411="regla",IF(AND(N(AQ411)=0,BL411=1),"sí","no"),"no")</f>
        <v/>
      </c>
      <c r="BR411" s="3">
        <f>IFERROR(VLOOKUP(F411,MOD_TBL,11,0),IFERROR(VLOOKUP(E411,OCU_TBL,2,0),NEUTRO))</f>
        <v/>
      </c>
      <c r="BS411" s="3">
        <f>SUMIFS(MOT_AJUSTE,MOT_MOTOR,G411,MOT_MARCA,E411,MOT_DESDE,"&lt;="&amp;M411,MOT_HASTA,"&gt;="&amp;M411)+SUMIFS(MOT_AJUSTE,MOT_MOTOR,G411,MOT_MARCA,"(todas)",MOT_DESDE,"&lt;="&amp;M411,MOT_HASTA,"&gt;="&amp;M411)</f>
        <v/>
      </c>
      <c r="BT411" s="3">
        <f>SUMIFS(COMB_AJUSTE,COMB_COMB,K411)</f>
        <v/>
      </c>
      <c r="BU411" s="3">
        <f>COUNTIFS(MOT_MOTOR,G411,MOT_MARCA,E411,MOT_DESDE,"&lt;="&amp;M411,MOT_HASTA,"&gt;="&amp;M411)+COUNTIFS(MOT_MOTOR,G411,MOT_MARCA,"(todas)",MOT_DESDE,"&lt;="&amp;M411,MOT_HASTA,"&gt;="&amp;M411)</f>
        <v/>
      </c>
      <c r="BV411" s="3">
        <f>IF(AND(K411="diesel",BU411=0),MIN(BR411,NEUTRO),BR411)</f>
        <v/>
      </c>
      <c r="BW411" s="4">
        <f>MAX(0,MIN(100,BV411+BS411+BT411))</f>
        <v/>
      </c>
      <c r="BX411" s="3">
        <f>MAX(0,MIN(100,50+BK411*PRECIO_PEND))</f>
        <v/>
      </c>
      <c r="BY411" s="3">
        <f>MAX(0,100*(1-N411/KM_MAX))</f>
        <v/>
      </c>
      <c r="BZ411" s="3">
        <f>IF(BB411&lt;KMA_SOSP,IF(AA411="sí",100,KMA_PEN),IF(BB411&lt;=KMA_IDEAL_MAX,100,MAX(0,100*(KMA_CERO-BB411)/(KMA_CERO-KMA_IDEAL_MAX))))</f>
        <v/>
      </c>
      <c r="CA411" s="3">
        <f>MAX(0,MIN(100,100*(M411-ANIO_MIN)/(ANIO_ACTUAL-ANIO_MIN)))</f>
        <v/>
      </c>
      <c r="CB411" s="3">
        <f>W_KMT*BY411+W_KMA*BZ411+W_EDAD*CA411</f>
        <v/>
      </c>
      <c r="CC411" s="3">
        <f>P_ITV*(V411="sí")+P_LIBRO*(W411="sí")+P_CORREA*(X411="sí")+P_PROP*(Y411=1)+P_GAR*(Z411="sí")+P_FOTOS*MIN(1,N(U411)/FOTOS_OBJ)</f>
        <v/>
      </c>
      <c r="CD411" s="3">
        <f>MAX(0,MIN(100,IFERROR(VLOOKUP(BP411,ETQ_TBL,2,0),0)-IF(BQ411="sí",ETQ_PEN_DUD,IF(AS411="regla",ETQ_PEN_REGLA,0))))</f>
        <v/>
      </c>
      <c r="CE411" s="3">
        <f>NEUTRO</f>
        <v/>
      </c>
      <c r="CF411" s="3">
        <f>IFERROR(VLOOKUP(L411,SEGURO_TBL,3,0),"")</f>
        <v/>
      </c>
      <c r="CG411" s="3">
        <f>IF(CF411="",NEUTRO,MAX(0,MIN(100,100*(SEG_REF_MAX-CF411)/(SEG_REF_MAX-SEG_REF_MIN))))</f>
        <v/>
      </c>
      <c r="CH411" s="3">
        <f>W_CONS*CE411+W_SEG*CG411</f>
        <v/>
      </c>
      <c r="CI411" s="3">
        <f>IF(N(AB411)&gt;0,AB411,IF(AND(R411="profesional",SG_LEGAL_ON=1),GAR_LEGAL,0))</f>
        <v/>
      </c>
      <c r="CJ411" s="3">
        <f>SG_GAR*MIN(1,CI411/SG_GAR_FULL)+SG_AMPL*(AC411="sí")+SG_KMC*(AF411="sí")+SG_REV*(N(AE411)&gt;0)+SG_DEV*MIN(1,N(AG411)/SG_DEV_FULL)+SG_HIST*(W411="sí")</f>
        <v/>
      </c>
      <c r="CK411" s="3">
        <f>IFERROR(VLOOKUP(L411,CARR_PEN_TBL,2,0),0)</f>
        <v/>
      </c>
      <c r="CL411" s="3">
        <f>W_FIAB*BW411+W_PRECIO*BX411+W_KMEDAD*CB411+W_ANUNCIO*CC411+W_USO*CH411+W_SEGURIDAD*CJ411+W_ETIQUETA*CD411-CK411</f>
        <v/>
      </c>
      <c r="CM411" s="4">
        <f>IF(N(I411)&gt;0,I411,IFERROR(ROUND(_xlfn.NUMBERVALUE(LEFT(G411,FIND(" ",G411&amp;" ")-1),".")*1000,0),99999))</f>
        <v/>
      </c>
      <c r="CN411" s="3">
        <f>IF(R411="profesional",0,IF(O411&lt;CUOTA_VALOR_MAX,IF(BA411&gt;ITP_TRAMO_ALTO,SUMIFS(CF_CUOTA,CF_MAS,ITP_TRAMO_ALTO,CF_CCMIN,"&lt;="&amp;CM411,CF_CCMAX,"&gt;="&amp;CM411),IF(BA411&gt;ITP_TRAMO_BAJO,SUMIFS(CF_CUOTA,CF_MAS,ITP_TRAMO_BAJO,CF_CCMIN,"&lt;="&amp;CM411,CF_CCMAX,"&gt;="&amp;CM411),O411*ITP_TIPO)),O411*ITP_TIPO))</f>
        <v/>
      </c>
      <c r="CO411" s="4">
        <f>IF(R411="profesional",N(AK411),0)</f>
        <v/>
      </c>
      <c r="CP411" s="3">
        <f>IF(AND(R411="profesional",ISNUMBER(AK411),AL411="sí"),0,TASA_DGT)</f>
        <v/>
      </c>
      <c r="CQ411" s="3">
        <f>INFORME_DGT</f>
        <v/>
      </c>
      <c r="CR411" s="4">
        <f>O411+CO411+CN411+CP411+CQ411</f>
        <v/>
      </c>
      <c r="CS411" s="4">
        <f>CR411+N(CF411)</f>
        <v/>
      </c>
      <c r="CT411" s="3">
        <f>IF(CR411&lt;=TOTAL_MAX,"sí",IF(CR411&lt;=TOTAL_MAX+MARGEN_NEG,"negociar","no"))</f>
        <v/>
      </c>
      <c r="CU411" s="4">
        <f>IF(CT411&lt;&gt;"no",COUNTIFS($CT$2:$CT$545,"&lt;&gt;no",$CL$2:$CL$545,"&gt;"&amp;CL411)+COUNTIFS($CT$2:CT411,"&lt;&gt;no",$CL$2:CL411,CL411),"")</f>
        <v/>
      </c>
    </row>
    <row r="412">
      <c r="A412" s="2" t="inlineStr">
        <is>
          <t>cochesnet:71841456</t>
        </is>
      </c>
      <c r="B412" s="2" t="inlineStr">
        <is>
          <t>cochesnet</t>
        </is>
      </c>
      <c r="C412" s="2" t="inlineStr">
        <is>
          <t>https://www.coches.net/ford-fiesta-13-newport-5p-gasolina-2006-en-valencia-71841456-covo.aspx</t>
        </is>
      </c>
      <c r="D412" s="2" t="inlineStr">
        <is>
          <t>FORD Fiesta 1.3 Newport</t>
        </is>
      </c>
      <c r="E412" s="2" t="inlineStr">
        <is>
          <t>Ford</t>
        </is>
      </c>
      <c r="F412" s="2" t="inlineStr">
        <is>
          <t>Ford Fiesta</t>
        </is>
      </c>
      <c r="G412" s="2" t="inlineStr">
        <is>
          <t>1.3</t>
        </is>
      </c>
      <c r="H412" s="2" t="inlineStr">
        <is>
          <t>1.3 Newport</t>
        </is>
      </c>
      <c r="I412" s="2" t="n"/>
      <c r="J412" s="2" t="n"/>
      <c r="K412" s="2" t="inlineStr">
        <is>
          <t>gasolina</t>
        </is>
      </c>
      <c r="L412" s="2" t="inlineStr">
        <is>
          <t>utilitario</t>
        </is>
      </c>
      <c r="M412" s="2" t="n">
        <v>2007</v>
      </c>
      <c r="N412" s="2" t="n">
        <v>108000</v>
      </c>
      <c r="O412" s="2" t="n">
        <v>3750</v>
      </c>
      <c r="P412" s="2" t="inlineStr">
        <is>
          <t>manual</t>
        </is>
      </c>
      <c r="Q412" s="2" t="inlineStr">
        <is>
          <t>no</t>
        </is>
      </c>
      <c r="R412" s="2" t="inlineStr">
        <is>
          <t>profesional</t>
        </is>
      </c>
      <c r="S412" s="2" t="inlineStr">
        <is>
          <t>Beniparrell</t>
        </is>
      </c>
      <c r="T412" s="2" t="inlineStr">
        <is>
          <t>2026-10-27T10:35:28Z</t>
        </is>
      </c>
      <c r="U412" s="2" t="n">
        <v>13</v>
      </c>
      <c r="V412" s="2" t="n"/>
      <c r="W412" s="2" t="n"/>
      <c r="X412" s="2" t="n"/>
      <c r="Y412" s="2" t="n"/>
      <c r="Z412" s="2" t="inlineStr">
        <is>
          <t>sí</t>
        </is>
      </c>
      <c r="AA412" s="2" t="n"/>
      <c r="AB412" s="2" t="n">
        <v>12</v>
      </c>
      <c r="AC412" s="2" t="n"/>
      <c r="AD412" s="2" t="n"/>
      <c r="AE412" s="2" t="n"/>
      <c r="AF412" s="2" t="n"/>
      <c r="AG412" s="2" t="n"/>
      <c r="AH412" s="2" t="n">
        <v>3750</v>
      </c>
      <c r="AI412" s="2" t="n"/>
      <c r="AJ412" s="2" t="n"/>
      <c r="AK412" s="2" t="n"/>
      <c r="AL412" s="2" t="n"/>
      <c r="AM412" s="2" t="n">
        <v>10.2</v>
      </c>
      <c r="AN412" s="2" t="n"/>
      <c r="AO412" s="2" t="inlineStr">
        <is>
          <t>2007</t>
        </is>
      </c>
      <c r="AP412" s="2" t="n">
        <v>2007</v>
      </c>
      <c r="AQ412" s="2" t="n"/>
      <c r="AR412" s="2" t="inlineStr">
        <is>
          <t>C</t>
        </is>
      </c>
      <c r="AS412" s="2" t="inlineStr">
        <is>
          <t>anuncio</t>
        </is>
      </c>
      <c r="AT412" s="2" t="n">
        <v>4990</v>
      </c>
      <c r="AU412" s="2" t="n">
        <v>9</v>
      </c>
      <c r="AV412" s="2" t="inlineStr">
        <is>
          <t>modelo+año+km</t>
        </is>
      </c>
      <c r="AW412" s="2" t="n"/>
      <c r="AX412" s="2" t="inlineStr">
        <is>
          <t>vendedor profesional: sin ITP (operación con IVA/REBU, confirmar en factura); gastos de gestión del vendedor no indicados: se suma la tasa DGT; preguntar el precio final</t>
        </is>
      </c>
      <c r="AY412" s="2" t="inlineStr">
        <is>
          <t>Este Fiesta Newport incorpora apertura del maletero a distancia con funcionamiento eléctrico y climatizador automático con controles digitales. Cuenta también con equipo de audio con radio, reproductor de CD y mandos en el volante, cristales tintados en toda la cabina y volante revestido de cuero ajustable en altura. Su etiqueta medioambiental C facilita el acceso a zonas ZBE.GARANTÍA 12 meses (cobertura de 25 componentes del vehículo )cobertura de reparación hasta 2.000e en cualquier taller)</t>
        </is>
      </c>
      <c r="AZ412" s="2" t="inlineStr">
        <is>
          <t>https://www.coches.net/ford-fiesta-13-newport-5p-gasolina-2006-en-valencia-71841456-covo.aspx (window.__INITIAL_PROPS__.ad) /home/user/Alopecia/buscador-coches/raw/cochesnet/0f64c41ace196125.json</t>
        </is>
      </c>
      <c r="BA412" s="3">
        <f>MAX(ANIO_ACTUAL-M412,0)</f>
        <v/>
      </c>
      <c r="BB412" s="4">
        <f>N412/MAX(BA412,0.5)</f>
        <v/>
      </c>
      <c r="BC412" s="4">
        <f>F412</f>
        <v/>
      </c>
      <c r="BD412" s="3">
        <f>BC412&amp;"|"&amp;INT(M412/SEG_ANIO)*SEG_ANIO</f>
        <v/>
      </c>
      <c r="BE412" s="3">
        <f>BD412&amp;"|"&amp;INT(N412/SEG_KM)*SEG_KM</f>
        <v/>
      </c>
      <c r="BF412" s="4">
        <f>COUNTIF($BC$2:$BC$545,BC412)</f>
        <v/>
      </c>
      <c r="BG412" s="4">
        <f>COUNTIF($BD$2:$BD$545,BD412)</f>
        <v/>
      </c>
      <c r="BH412" s="4">
        <f>COUNTIF($BE$2:$BE$545,BE412)</f>
        <v/>
      </c>
      <c r="BI412" s="3">
        <f t="array" ref="BI412">IF(N(AU412)&gt;=MIN_N,AT412,IF(BH412&gt;=MIN_N,MEDIAN(IF($BE$2:$BE$545=BE412,$O$2:$O$545)),IF(BG412&gt;=MIN_N,MEDIAN(IF($BD$2:$BD$545=BD412,$O$2:$O$545)),MEDIAN(IF($BC$2:$BC$545=BC412,$O$2:$O$545)))))</f>
        <v/>
      </c>
      <c r="BJ412" s="3">
        <f>IF(N(AU412)&gt;=MIN_N,"mercado "&amp;AV412,IF(BH412&gt;=MIN_N,"modelo+año+km",IF(BG412&gt;=MIN_N,"modelo+año","modelo")))</f>
        <v/>
      </c>
      <c r="BK412" s="4">
        <f>(BI412-O412)/BI412</f>
        <v/>
      </c>
      <c r="BL412" s="3">
        <f>IF(COUNTIFS(FR_FUEL,K412,FR_YEAR,AP412)&gt;0,1,0)</f>
        <v/>
      </c>
      <c r="BM412" s="3">
        <f>IF(COUNTIFS(FR_FUEL,K412,FR_YEAR,AP412-1)&gt;0,1,0)</f>
        <v/>
      </c>
      <c r="BN412" s="4">
        <f>IF(N(AQ412)&gt;0,AP412*100+AQ412,IF(AND(BL412=1,BM412=1),(AP412-1)*100+1,AP412*100+1))</f>
        <v/>
      </c>
      <c r="BO412" s="3">
        <f>IF(OR(K412="hibrido",K412="glp",K412="gnc",K412="phev"),"ECO",IF(K412="electrico","CERO",IF(K412="gasolina",IF(BN412&gt;=GAS_C_YM,"C",IF(BN412&gt;=GAS_B_YM,"B","A")),IF(K412="diesel",IF(BN412&gt;=DIE_C_YM,"C",IF(BN412&gt;=DIE_B_YM,"B","A")),""))))</f>
        <v/>
      </c>
      <c r="BP412" s="2" t="inlineStr">
        <is>
          <t>C</t>
        </is>
      </c>
      <c r="BQ412" s="4">
        <f>IF(AS412="regla",IF(AND(N(AQ412)=0,BL412=1),"sí","no"),"no")</f>
        <v/>
      </c>
      <c r="BR412" s="3">
        <f>IFERROR(VLOOKUP(F412,MOD_TBL,11,0),IFERROR(VLOOKUP(E412,OCU_TBL,2,0),NEUTRO))</f>
        <v/>
      </c>
      <c r="BS412" s="3">
        <f>SUMIFS(MOT_AJUSTE,MOT_MOTOR,G412,MOT_MARCA,E412,MOT_DESDE,"&lt;="&amp;M412,MOT_HASTA,"&gt;="&amp;M412)+SUMIFS(MOT_AJUSTE,MOT_MOTOR,G412,MOT_MARCA,"(todas)",MOT_DESDE,"&lt;="&amp;M412,MOT_HASTA,"&gt;="&amp;M412)</f>
        <v/>
      </c>
      <c r="BT412" s="3">
        <f>SUMIFS(COMB_AJUSTE,COMB_COMB,K412)</f>
        <v/>
      </c>
      <c r="BU412" s="3">
        <f>COUNTIFS(MOT_MOTOR,G412,MOT_MARCA,E412,MOT_DESDE,"&lt;="&amp;M412,MOT_HASTA,"&gt;="&amp;M412)+COUNTIFS(MOT_MOTOR,G412,MOT_MARCA,"(todas)",MOT_DESDE,"&lt;="&amp;M412,MOT_HASTA,"&gt;="&amp;M412)</f>
        <v/>
      </c>
      <c r="BV412" s="3">
        <f>IF(AND(K412="diesel",BU412=0),MIN(BR412,NEUTRO),BR412)</f>
        <v/>
      </c>
      <c r="BW412" s="4">
        <f>MAX(0,MIN(100,BV412+BS412+BT412))</f>
        <v/>
      </c>
      <c r="BX412" s="3">
        <f>MAX(0,MIN(100,50+BK412*PRECIO_PEND))</f>
        <v/>
      </c>
      <c r="BY412" s="3">
        <f>MAX(0,100*(1-N412/KM_MAX))</f>
        <v/>
      </c>
      <c r="BZ412" s="3">
        <f>IF(BB412&lt;KMA_SOSP,IF(AA412="sí",100,KMA_PEN),IF(BB412&lt;=KMA_IDEAL_MAX,100,MAX(0,100*(KMA_CERO-BB412)/(KMA_CERO-KMA_IDEAL_MAX))))</f>
        <v/>
      </c>
      <c r="CA412" s="3">
        <f>MAX(0,MIN(100,100*(M412-ANIO_MIN)/(ANIO_ACTUAL-ANIO_MIN)))</f>
        <v/>
      </c>
      <c r="CB412" s="3">
        <f>W_KMT*BY412+W_KMA*BZ412+W_EDAD*CA412</f>
        <v/>
      </c>
      <c r="CC412" s="3">
        <f>P_ITV*(V412="sí")+P_LIBRO*(W412="sí")+P_CORREA*(X412="sí")+P_PROP*(Y412=1)+P_GAR*(Z412="sí")+P_FOTOS*MIN(1,N(U412)/FOTOS_OBJ)</f>
        <v/>
      </c>
      <c r="CD412" s="3">
        <f>MAX(0,MIN(100,IFERROR(VLOOKUP(BP412,ETQ_TBL,2,0),0)-IF(BQ412="sí",ETQ_PEN_DUD,IF(AS412="regla",ETQ_PEN_REGLA,0))))</f>
        <v/>
      </c>
      <c r="CE412" s="3">
        <f>NEUTRO</f>
        <v/>
      </c>
      <c r="CF412" s="3">
        <f>IFERROR(VLOOKUP(L412,SEGURO_TBL,3,0),"")</f>
        <v/>
      </c>
      <c r="CG412" s="3">
        <f>IF(CF412="",NEUTRO,MAX(0,MIN(100,100*(SEG_REF_MAX-CF412)/(SEG_REF_MAX-SEG_REF_MIN))))</f>
        <v/>
      </c>
      <c r="CH412" s="3">
        <f>W_CONS*CE412+W_SEG*CG412</f>
        <v/>
      </c>
      <c r="CI412" s="3">
        <f>IF(N(AB412)&gt;0,AB412,IF(AND(R412="profesional",SG_LEGAL_ON=1),GAR_LEGAL,0))</f>
        <v/>
      </c>
      <c r="CJ412" s="3">
        <f>SG_GAR*MIN(1,CI412/SG_GAR_FULL)+SG_AMPL*(AC412="sí")+SG_KMC*(AF412="sí")+SG_REV*(N(AE412)&gt;0)+SG_DEV*MIN(1,N(AG412)/SG_DEV_FULL)+SG_HIST*(W412="sí")</f>
        <v/>
      </c>
      <c r="CK412" s="3">
        <f>IFERROR(VLOOKUP(L412,CARR_PEN_TBL,2,0),0)</f>
        <v/>
      </c>
      <c r="CL412" s="3">
        <f>W_FIAB*BW412+W_PRECIO*BX412+W_KMEDAD*CB412+W_ANUNCIO*CC412+W_USO*CH412+W_SEGURIDAD*CJ412+W_ETIQUETA*CD412-CK412</f>
        <v/>
      </c>
      <c r="CM412" s="4">
        <f>IF(N(I412)&gt;0,I412,IFERROR(ROUND(_xlfn.NUMBERVALUE(LEFT(G412,FIND(" ",G412&amp;" ")-1),".")*1000,0),99999))</f>
        <v/>
      </c>
      <c r="CN412" s="3">
        <f>IF(R412="profesional",0,IF(O412&lt;CUOTA_VALOR_MAX,IF(BA412&gt;ITP_TRAMO_ALTO,SUMIFS(CF_CUOTA,CF_MAS,ITP_TRAMO_ALTO,CF_CCMIN,"&lt;="&amp;CM412,CF_CCMAX,"&gt;="&amp;CM412),IF(BA412&gt;ITP_TRAMO_BAJO,SUMIFS(CF_CUOTA,CF_MAS,ITP_TRAMO_BAJO,CF_CCMIN,"&lt;="&amp;CM412,CF_CCMAX,"&gt;="&amp;CM412),O412*ITP_TIPO)),O412*ITP_TIPO))</f>
        <v/>
      </c>
      <c r="CO412" s="4">
        <f>IF(R412="profesional",N(AK412),0)</f>
        <v/>
      </c>
      <c r="CP412" s="3">
        <f>IF(AND(R412="profesional",ISNUMBER(AK412),AL412="sí"),0,TASA_DGT)</f>
        <v/>
      </c>
      <c r="CQ412" s="3">
        <f>INFORME_DGT</f>
        <v/>
      </c>
      <c r="CR412" s="4">
        <f>O412+CO412+CN412+CP412+CQ412</f>
        <v/>
      </c>
      <c r="CS412" s="4">
        <f>CR412+N(CF412)</f>
        <v/>
      </c>
      <c r="CT412" s="3">
        <f>IF(CR412&lt;=TOTAL_MAX,"sí",IF(CR412&lt;=TOTAL_MAX+MARGEN_NEG,"negociar","no"))</f>
        <v/>
      </c>
      <c r="CU412" s="4">
        <f>IF(CT412&lt;&gt;"no",COUNTIFS($CT$2:$CT$545,"&lt;&gt;no",$CL$2:$CL$545,"&gt;"&amp;CL412)+COUNTIFS($CT$2:CT412,"&lt;&gt;no",$CL$2:CL412,CL412),"")</f>
        <v/>
      </c>
    </row>
    <row r="413">
      <c r="A413" s="2" t="inlineStr">
        <is>
          <t>cochesnet:71654849</t>
        </is>
      </c>
      <c r="B413" s="2" t="inlineStr">
        <is>
          <t>cochesnet</t>
        </is>
      </c>
      <c r="C413" s="2" t="inlineStr">
        <is>
          <t>https://www.coches.net/ford-fiesta-14-tdci-trend-5p-diesel-2012-en-valencia-71654849-covo.aspx</t>
        </is>
      </c>
      <c r="D413" s="2" t="inlineStr">
        <is>
          <t>FORD Fiesta 1.4 TDCi Trend</t>
        </is>
      </c>
      <c r="E413" s="2" t="inlineStr">
        <is>
          <t>Ford</t>
        </is>
      </c>
      <c r="F413" s="2" t="inlineStr">
        <is>
          <t>Ford Fiesta</t>
        </is>
      </c>
      <c r="G413" s="2" t="inlineStr">
        <is>
          <t>1.4 TDCi</t>
        </is>
      </c>
      <c r="H413" s="2" t="inlineStr">
        <is>
          <t>1.4 TDCi Trend</t>
        </is>
      </c>
      <c r="I413" s="2" t="n"/>
      <c r="J413" s="2" t="n"/>
      <c r="K413" s="2" t="inlineStr">
        <is>
          <t>diesel</t>
        </is>
      </c>
      <c r="L413" s="2" t="inlineStr">
        <is>
          <t>utilitario</t>
        </is>
      </c>
      <c r="M413" s="2" t="n">
        <v>2013</v>
      </c>
      <c r="N413" s="2" t="n">
        <v>205000</v>
      </c>
      <c r="O413" s="2" t="n">
        <v>4790</v>
      </c>
      <c r="P413" s="2" t="inlineStr">
        <is>
          <t>manual</t>
        </is>
      </c>
      <c r="Q413" s="2" t="inlineStr">
        <is>
          <t>no</t>
        </is>
      </c>
      <c r="R413" s="2" t="inlineStr">
        <is>
          <t>profesional</t>
        </is>
      </c>
      <c r="S413" s="2" t="inlineStr">
        <is>
          <t>V.O. Eliana San Antonio de Benagéber</t>
        </is>
      </c>
      <c r="T413" s="2" t="inlineStr">
        <is>
          <t>2026-10-02T11:14:37Z</t>
        </is>
      </c>
      <c r="U413" s="2" t="n">
        <v>17</v>
      </c>
      <c r="V413" s="2" t="n"/>
      <c r="W413" s="2" t="n"/>
      <c r="X413" s="2" t="n"/>
      <c r="Y413" s="2" t="n"/>
      <c r="Z413" s="2" t="inlineStr">
        <is>
          <t>sí</t>
        </is>
      </c>
      <c r="AA413" s="2" t="n"/>
      <c r="AB413" s="2" t="n">
        <v>12</v>
      </c>
      <c r="AC413" s="2" t="n"/>
      <c r="AD413" s="2" t="n"/>
      <c r="AE413" s="2" t="n"/>
      <c r="AF413" s="2" t="n"/>
      <c r="AG413" s="2" t="n"/>
      <c r="AH413" s="2" t="n">
        <v>4790</v>
      </c>
      <c r="AI413" s="2" t="n"/>
      <c r="AJ413" s="2" t="n"/>
      <c r="AK413" s="2" t="n"/>
      <c r="AL413" s="2" t="n"/>
      <c r="AM413" s="2" t="n">
        <v>19.1</v>
      </c>
      <c r="AN413" s="2" t="n"/>
      <c r="AO413" s="2" t="inlineStr">
        <is>
          <t>2013</t>
        </is>
      </c>
      <c r="AP413" s="2" t="n">
        <v>2013</v>
      </c>
      <c r="AQ413" s="2" t="n"/>
      <c r="AR413" s="2" t="inlineStr">
        <is>
          <t>B</t>
        </is>
      </c>
      <c r="AS413" s="2" t="inlineStr">
        <is>
          <t>anuncio</t>
        </is>
      </c>
      <c r="AT413" s="2" t="n">
        <v>6300</v>
      </c>
      <c r="AU413" s="2" t="n">
        <v>23</v>
      </c>
      <c r="AV413" s="2" t="inlineStr">
        <is>
          <t>modelo+año</t>
        </is>
      </c>
      <c r="AW413" s="2" t="n"/>
      <c r="AX413" s="2" t="inlineStr">
        <is>
          <t>vendedor profesional: sin ITP (operación con IVA/REBU, confirmar en factura); gastos de gestión del vendedor no indicados: se suma la tasa DGT; preguntar el precio final; diésel: motor sin fuente de fiabilidad (fiabilidad limitada a neutra)</t>
        </is>
      </c>
      <c r="AY413" s="2" t="inlineStr">
        <is>
          <t>Este Ford Fiesta 1.4 TDCi Trend combina eficiencia diésel con equipamiento práctico para el día a día. Destaca por su dirección asistida eléctrica con endurecimiento progresivo, volante ajustable en altura y profundidad, y elevalunas eléctricos delanteros con función de un solo toque. Dispone de cierre centralizado con mando a distancia de doble cierre, apertura remota del maletero, ordenador de viaje con datos de consumo y autonomía, climatización con filtro de pólen, y retrovisores exteriores eléctricos desempañables con intermitente integrado. Los asientos delanteros ofrecen ajuste manual en múltiples direcciones para mayor comodidad, mientras que los traseros cuentan con respaldo abatible asimétrico. Cristales tintados, limpiaparabrisas delantero y pintura sólida completan este vehículo versátil y funcional.</t>
        </is>
      </c>
      <c r="AZ413" s="2" t="inlineStr">
        <is>
          <t>https://www.coches.net/ford-fiesta-14-tdci-trend-5p-diesel-2012-en-valencia-71654849-covo.aspx (window.__INITIAL_PROPS__.ad) /home/user/Alopecia/buscador-coches/raw/cochesnet/fa8d9cab8b462a12.json</t>
        </is>
      </c>
      <c r="BA413" s="3">
        <f>MAX(ANIO_ACTUAL-M413,0)</f>
        <v/>
      </c>
      <c r="BB413" s="4">
        <f>N413/MAX(BA413,0.5)</f>
        <v/>
      </c>
      <c r="BC413" s="4">
        <f>F413</f>
        <v/>
      </c>
      <c r="BD413" s="3">
        <f>BC413&amp;"|"&amp;INT(M413/SEG_ANIO)*SEG_ANIO</f>
        <v/>
      </c>
      <c r="BE413" s="3">
        <f>BD413&amp;"|"&amp;INT(N413/SEG_KM)*SEG_KM</f>
        <v/>
      </c>
      <c r="BF413" s="4">
        <f>COUNTIF($BC$2:$BC$545,BC413)</f>
        <v/>
      </c>
      <c r="BG413" s="4">
        <f>COUNTIF($BD$2:$BD$545,BD413)</f>
        <v/>
      </c>
      <c r="BH413" s="4">
        <f>COUNTIF($BE$2:$BE$545,BE413)</f>
        <v/>
      </c>
      <c r="BI413" s="3">
        <f t="array" ref="BI413">IF(N(AU413)&gt;=MIN_N,AT413,IF(BH413&gt;=MIN_N,MEDIAN(IF($BE$2:$BE$545=BE413,$O$2:$O$545)),IF(BG413&gt;=MIN_N,MEDIAN(IF($BD$2:$BD$545=BD413,$O$2:$O$545)),MEDIAN(IF($BC$2:$BC$545=BC413,$O$2:$O$545)))))</f>
        <v/>
      </c>
      <c r="BJ413" s="3">
        <f>IF(N(AU413)&gt;=MIN_N,"mercado "&amp;AV413,IF(BH413&gt;=MIN_N,"modelo+año+km",IF(BG413&gt;=MIN_N,"modelo+año","modelo")))</f>
        <v/>
      </c>
      <c r="BK413" s="4">
        <f>(BI413-O413)/BI413</f>
        <v/>
      </c>
      <c r="BL413" s="3">
        <f>IF(COUNTIFS(FR_FUEL,K413,FR_YEAR,AP413)&gt;0,1,0)</f>
        <v/>
      </c>
      <c r="BM413" s="3">
        <f>IF(COUNTIFS(FR_FUEL,K413,FR_YEAR,AP413-1)&gt;0,1,0)</f>
        <v/>
      </c>
      <c r="BN413" s="4">
        <f>IF(N(AQ413)&gt;0,AP413*100+AQ413,IF(AND(BL413=1,BM413=1),(AP413-1)*100+1,AP413*100+1))</f>
        <v/>
      </c>
      <c r="BO413" s="3">
        <f>IF(OR(K413="hibrido",K413="glp",K413="gnc",K413="phev"),"ECO",IF(K413="electrico","CERO",IF(K413="gasolina",IF(BN413&gt;=GAS_C_YM,"C",IF(BN413&gt;=GAS_B_YM,"B","A")),IF(K413="diesel",IF(BN413&gt;=DIE_C_YM,"C",IF(BN413&gt;=DIE_B_YM,"B","A")),""))))</f>
        <v/>
      </c>
      <c r="BP413" s="2" t="inlineStr">
        <is>
          <t>B</t>
        </is>
      </c>
      <c r="BQ413" s="4">
        <f>IF(AS413="regla",IF(AND(N(AQ413)=0,BL413=1),"sí","no"),"no")</f>
        <v/>
      </c>
      <c r="BR413" s="3">
        <f>IFERROR(VLOOKUP(F413,MOD_TBL,11,0),IFERROR(VLOOKUP(E413,OCU_TBL,2,0),NEUTRO))</f>
        <v/>
      </c>
      <c r="BS413" s="3">
        <f>SUMIFS(MOT_AJUSTE,MOT_MOTOR,G413,MOT_MARCA,E413,MOT_DESDE,"&lt;="&amp;M413,MOT_HASTA,"&gt;="&amp;M413)+SUMIFS(MOT_AJUSTE,MOT_MOTOR,G413,MOT_MARCA,"(todas)",MOT_DESDE,"&lt;="&amp;M413,MOT_HASTA,"&gt;="&amp;M413)</f>
        <v/>
      </c>
      <c r="BT413" s="3">
        <f>SUMIFS(COMB_AJUSTE,COMB_COMB,K413)</f>
        <v/>
      </c>
      <c r="BU413" s="3">
        <f>COUNTIFS(MOT_MOTOR,G413,MOT_MARCA,E413,MOT_DESDE,"&lt;="&amp;M413,MOT_HASTA,"&gt;="&amp;M413)+COUNTIFS(MOT_MOTOR,G413,MOT_MARCA,"(todas)",MOT_DESDE,"&lt;="&amp;M413,MOT_HASTA,"&gt;="&amp;M413)</f>
        <v/>
      </c>
      <c r="BV413" s="3">
        <f>IF(AND(K413="diesel",BU413=0),MIN(BR413,NEUTRO),BR413)</f>
        <v/>
      </c>
      <c r="BW413" s="4">
        <f>MAX(0,MIN(100,BV413+BS413+BT413))</f>
        <v/>
      </c>
      <c r="BX413" s="3">
        <f>MAX(0,MIN(100,50+BK413*PRECIO_PEND))</f>
        <v/>
      </c>
      <c r="BY413" s="3">
        <f>MAX(0,100*(1-N413/KM_MAX))</f>
        <v/>
      </c>
      <c r="BZ413" s="3">
        <f>IF(BB413&lt;KMA_SOSP,IF(AA413="sí",100,KMA_PEN),IF(BB413&lt;=KMA_IDEAL_MAX,100,MAX(0,100*(KMA_CERO-BB413)/(KMA_CERO-KMA_IDEAL_MAX))))</f>
        <v/>
      </c>
      <c r="CA413" s="3">
        <f>MAX(0,MIN(100,100*(M413-ANIO_MIN)/(ANIO_ACTUAL-ANIO_MIN)))</f>
        <v/>
      </c>
      <c r="CB413" s="3">
        <f>W_KMT*BY413+W_KMA*BZ413+W_EDAD*CA413</f>
        <v/>
      </c>
      <c r="CC413" s="3">
        <f>P_ITV*(V413="sí")+P_LIBRO*(W413="sí")+P_CORREA*(X413="sí")+P_PROP*(Y413=1)+P_GAR*(Z413="sí")+P_FOTOS*MIN(1,N(U413)/FOTOS_OBJ)</f>
        <v/>
      </c>
      <c r="CD413" s="3">
        <f>MAX(0,MIN(100,IFERROR(VLOOKUP(BP413,ETQ_TBL,2,0),0)-IF(BQ413="sí",ETQ_PEN_DUD,IF(AS413="regla",ETQ_PEN_REGLA,0))))</f>
        <v/>
      </c>
      <c r="CE413" s="3">
        <f>NEUTRO</f>
        <v/>
      </c>
      <c r="CF413" s="3">
        <f>IFERROR(VLOOKUP(L413,SEGURO_TBL,3,0),"")</f>
        <v/>
      </c>
      <c r="CG413" s="3">
        <f>IF(CF413="",NEUTRO,MAX(0,MIN(100,100*(SEG_REF_MAX-CF413)/(SEG_REF_MAX-SEG_REF_MIN))))</f>
        <v/>
      </c>
      <c r="CH413" s="3">
        <f>W_CONS*CE413+W_SEG*CG413</f>
        <v/>
      </c>
      <c r="CI413" s="3">
        <f>IF(N(AB413)&gt;0,AB413,IF(AND(R413="profesional",SG_LEGAL_ON=1),GAR_LEGAL,0))</f>
        <v/>
      </c>
      <c r="CJ413" s="3">
        <f>SG_GAR*MIN(1,CI413/SG_GAR_FULL)+SG_AMPL*(AC413="sí")+SG_KMC*(AF413="sí")+SG_REV*(N(AE413)&gt;0)+SG_DEV*MIN(1,N(AG413)/SG_DEV_FULL)+SG_HIST*(W413="sí")</f>
        <v/>
      </c>
      <c r="CK413" s="3">
        <f>IFERROR(VLOOKUP(L413,CARR_PEN_TBL,2,0),0)</f>
        <v/>
      </c>
      <c r="CL413" s="3">
        <f>W_FIAB*BW413+W_PRECIO*BX413+W_KMEDAD*CB413+W_ANUNCIO*CC413+W_USO*CH413+W_SEGURIDAD*CJ413+W_ETIQUETA*CD413-CK413</f>
        <v/>
      </c>
      <c r="CM413" s="4">
        <f>IF(N(I413)&gt;0,I413,IFERROR(ROUND(_xlfn.NUMBERVALUE(LEFT(G413,FIND(" ",G413&amp;" ")-1),".")*1000,0),99999))</f>
        <v/>
      </c>
      <c r="CN413" s="3">
        <f>IF(R413="profesional",0,IF(O413&lt;CUOTA_VALOR_MAX,IF(BA413&gt;ITP_TRAMO_ALTO,SUMIFS(CF_CUOTA,CF_MAS,ITP_TRAMO_ALTO,CF_CCMIN,"&lt;="&amp;CM413,CF_CCMAX,"&gt;="&amp;CM413),IF(BA413&gt;ITP_TRAMO_BAJO,SUMIFS(CF_CUOTA,CF_MAS,ITP_TRAMO_BAJO,CF_CCMIN,"&lt;="&amp;CM413,CF_CCMAX,"&gt;="&amp;CM413),O413*ITP_TIPO)),O413*ITP_TIPO))</f>
        <v/>
      </c>
      <c r="CO413" s="4">
        <f>IF(R413="profesional",N(AK413),0)</f>
        <v/>
      </c>
      <c r="CP413" s="3">
        <f>IF(AND(R413="profesional",ISNUMBER(AK413),AL413="sí"),0,TASA_DGT)</f>
        <v/>
      </c>
      <c r="CQ413" s="3">
        <f>INFORME_DGT</f>
        <v/>
      </c>
      <c r="CR413" s="4">
        <f>O413+CO413+CN413+CP413+CQ413</f>
        <v/>
      </c>
      <c r="CS413" s="4">
        <f>CR413+N(CF413)</f>
        <v/>
      </c>
      <c r="CT413" s="3">
        <f>IF(CR413&lt;=TOTAL_MAX,"sí",IF(CR413&lt;=TOTAL_MAX+MARGEN_NEG,"negociar","no"))</f>
        <v/>
      </c>
      <c r="CU413" s="4">
        <f>IF(CT413&lt;&gt;"no",COUNTIFS($CT$2:$CT$545,"&lt;&gt;no",$CL$2:$CL$545,"&gt;"&amp;CL413)+COUNTIFS($CT$2:CT413,"&lt;&gt;no",$CL$2:CL413,CL413),"")</f>
        <v/>
      </c>
    </row>
    <row r="414">
      <c r="A414" s="2" t="inlineStr">
        <is>
          <t>cochesnet:71021675</t>
        </is>
      </c>
      <c r="B414" s="2" t="inlineStr">
        <is>
          <t>cochesnet</t>
        </is>
      </c>
      <c r="C414" s="2" t="inlineStr">
        <is>
          <t>https://www.coches.net/ford-fiesta-14-tdci-trend-5p-diesel-2011-en-valencia-71021675-covo.aspx</t>
        </is>
      </c>
      <c r="D414" s="2" t="inlineStr">
        <is>
          <t>FORD Fiesta 1.4 TDCi Trend</t>
        </is>
      </c>
      <c r="E414" s="2" t="inlineStr">
        <is>
          <t>Ford</t>
        </is>
      </c>
      <c r="F414" s="2" t="inlineStr">
        <is>
          <t>Ford Fiesta</t>
        </is>
      </c>
      <c r="G414" s="2" t="inlineStr">
        <is>
          <t>1.4 TDCi</t>
        </is>
      </c>
      <c r="H414" s="2" t="inlineStr">
        <is>
          <t>1.4 TDCi Trend</t>
        </is>
      </c>
      <c r="I414" s="2" t="n"/>
      <c r="J414" s="2" t="n"/>
      <c r="K414" s="2" t="inlineStr">
        <is>
          <t>diesel</t>
        </is>
      </c>
      <c r="L414" s="2" t="inlineStr">
        <is>
          <t>utilitario</t>
        </is>
      </c>
      <c r="M414" s="2" t="n">
        <v>2011</v>
      </c>
      <c r="N414" s="2" t="n">
        <v>141000</v>
      </c>
      <c r="O414" s="2" t="n">
        <v>5000</v>
      </c>
      <c r="P414" s="2" t="inlineStr">
        <is>
          <t>manual</t>
        </is>
      </c>
      <c r="Q414" s="2" t="inlineStr">
        <is>
          <t>no</t>
        </is>
      </c>
      <c r="R414" s="2" t="inlineStr">
        <is>
          <t>profesional</t>
        </is>
      </c>
      <c r="S414" s="2" t="inlineStr">
        <is>
          <t>Beniparrell</t>
        </is>
      </c>
      <c r="T414" s="2" t="inlineStr">
        <is>
          <t>2026-10-05T12:39:23Z</t>
        </is>
      </c>
      <c r="U414" s="2" t="n">
        <v>13</v>
      </c>
      <c r="V414" s="2" t="n"/>
      <c r="W414" s="2" t="n"/>
      <c r="X414" s="2" t="n"/>
      <c r="Y414" s="2" t="n"/>
      <c r="Z414" s="2" t="inlineStr">
        <is>
          <t>sí</t>
        </is>
      </c>
      <c r="AA414" s="2" t="n"/>
      <c r="AB414" s="2" t="n">
        <v>12</v>
      </c>
      <c r="AC414" s="2" t="n"/>
      <c r="AD414" s="2" t="n"/>
      <c r="AE414" s="2" t="n"/>
      <c r="AF414" s="2" t="n"/>
      <c r="AG414" s="2" t="n"/>
      <c r="AH414" s="2" t="n">
        <v>5000</v>
      </c>
      <c r="AI414" s="2" t="n"/>
      <c r="AJ414" s="2" t="n"/>
      <c r="AK414" s="2" t="n"/>
      <c r="AL414" s="2" t="n"/>
      <c r="AM414" s="2" t="n">
        <v>10.2</v>
      </c>
      <c r="AN414" s="2" t="n"/>
      <c r="AO414" s="2" t="inlineStr">
        <is>
          <t>2011</t>
        </is>
      </c>
      <c r="AP414" s="2" t="n">
        <v>2011</v>
      </c>
      <c r="AQ414" s="2" t="n"/>
      <c r="AR414" s="2" t="inlineStr">
        <is>
          <t>B</t>
        </is>
      </c>
      <c r="AS414" s="2" t="inlineStr">
        <is>
          <t>anuncio</t>
        </is>
      </c>
      <c r="AT414" s="2" t="n">
        <v>4700</v>
      </c>
      <c r="AU414" s="2" t="n">
        <v>4</v>
      </c>
      <c r="AV414" s="2" t="inlineStr">
        <is>
          <t>modelo+año+km</t>
        </is>
      </c>
      <c r="AW414" s="2" t="n"/>
      <c r="AX414" s="2" t="inlineStr">
        <is>
          <t>por encima del presupuesto (5064 €), negociar; vendedor profesional: sin ITP (operación con IVA/REBU, confirmar en factura); gastos de gestión del vendedor no indicados: se suma la tasa DGT; preguntar el precio final; diésel: motor sin fuente de fiabilidad (fiabilidad limitada a neutra)</t>
        </is>
      </c>
      <c r="AY414" s="2" t="inlineStr">
        <is>
          <t>Este Ford Fiesta 1.4 TDCi Trend es un berlina compacto de cinco puertas que destaca por su practicidad y eficiencia en consumo. El motor diésel de 1.4 litros entrega 70 CV con un par de 160 Nm, ofreciendo un comportamiento equilibrado tanto en circulación urbana como en carretera. La transmisión manual de cinco velocidades proporciona un control directo y contribuye a mantener consumos moderados, con una media de 4,1 l/100 km en ciclo mixto.
El espacio interior resulta funcional para el segmento: 295 litros de maletero con asientos montados, ampliables a 979 litros con los respaldos traseros abatidos. Los asientos delanteros incluyen ajuste en altura manual y los traseros cuentan con respaldo abatible asimétrico, lo que facilita la versatilidad de carga. La dirección asistida eléctrica con endurecimiento progresivo y la suspensión independiente delantera tipo McPherson proporcionan una conducción cómoda y controlada.
En cuanto a seguridad, este vehículo incorpora airbags frontales inteligentes y laterales delanteros, cinturones de seguridad con pretensores en los asientos delanteros, ABS y control de estabilidad. Los cristales tintados mejoran la privacidad y el confort térmico.
El equipamiento de confort incluye cierre centralizado con mando a distancia, elevalunas eléctricos delanteros con función de un solo toque, volante ajustable en altura y profundidad, y sistema de ventilación con filtro de pólen. El ordenador de viaje facilita el seguimiento del consumo y la autono</t>
        </is>
      </c>
      <c r="AZ414" s="2" t="inlineStr">
        <is>
          <t>https://www.coches.net/ford-fiesta-14-tdci-trend-5p-diesel-2011-en-valencia-71021675-covo.aspx (window.__INITIAL_PROPS__.ad) /home/user/Alopecia/buscador-coches/raw/cochesnet/1f22be94c870808d.json</t>
        </is>
      </c>
      <c r="BA414" s="3">
        <f>MAX(ANIO_ACTUAL-M414,0)</f>
        <v/>
      </c>
      <c r="BB414" s="4">
        <f>N414/MAX(BA414,0.5)</f>
        <v/>
      </c>
      <c r="BC414" s="4">
        <f>F414</f>
        <v/>
      </c>
      <c r="BD414" s="3">
        <f>BC414&amp;"|"&amp;INT(M414/SEG_ANIO)*SEG_ANIO</f>
        <v/>
      </c>
      <c r="BE414" s="3">
        <f>BD414&amp;"|"&amp;INT(N414/SEG_KM)*SEG_KM</f>
        <v/>
      </c>
      <c r="BF414" s="4">
        <f>COUNTIF($BC$2:$BC$545,BC414)</f>
        <v/>
      </c>
      <c r="BG414" s="4">
        <f>COUNTIF($BD$2:$BD$545,BD414)</f>
        <v/>
      </c>
      <c r="BH414" s="4">
        <f>COUNTIF($BE$2:$BE$545,BE414)</f>
        <v/>
      </c>
      <c r="BI414" s="3">
        <f t="array" ref="BI414">IF(N(AU414)&gt;=MIN_N,AT414,IF(BH414&gt;=MIN_N,MEDIAN(IF($BE$2:$BE$545=BE414,$O$2:$O$545)),IF(BG414&gt;=MIN_N,MEDIAN(IF($BD$2:$BD$545=BD414,$O$2:$O$545)),MEDIAN(IF($BC$2:$BC$545=BC414,$O$2:$O$545)))))</f>
        <v/>
      </c>
      <c r="BJ414" s="3">
        <f>IF(N(AU414)&gt;=MIN_N,"mercado "&amp;AV414,IF(BH414&gt;=MIN_N,"modelo+año+km",IF(BG414&gt;=MIN_N,"modelo+año","modelo")))</f>
        <v/>
      </c>
      <c r="BK414" s="4">
        <f>(BI414-O414)/BI414</f>
        <v/>
      </c>
      <c r="BL414" s="3">
        <f>IF(COUNTIFS(FR_FUEL,K414,FR_YEAR,AP414)&gt;0,1,0)</f>
        <v/>
      </c>
      <c r="BM414" s="3">
        <f>IF(COUNTIFS(FR_FUEL,K414,FR_YEAR,AP414-1)&gt;0,1,0)</f>
        <v/>
      </c>
      <c r="BN414" s="4">
        <f>IF(N(AQ414)&gt;0,AP414*100+AQ414,IF(AND(BL414=1,BM414=1),(AP414-1)*100+1,AP414*100+1))</f>
        <v/>
      </c>
      <c r="BO414" s="3">
        <f>IF(OR(K414="hibrido",K414="glp",K414="gnc",K414="phev"),"ECO",IF(K414="electrico","CERO",IF(K414="gasolina",IF(BN414&gt;=GAS_C_YM,"C",IF(BN414&gt;=GAS_B_YM,"B","A")),IF(K414="diesel",IF(BN414&gt;=DIE_C_YM,"C",IF(BN414&gt;=DIE_B_YM,"B","A")),""))))</f>
        <v/>
      </c>
      <c r="BP414" s="2" t="inlineStr">
        <is>
          <t>B</t>
        </is>
      </c>
      <c r="BQ414" s="4">
        <f>IF(AS414="regla",IF(AND(N(AQ414)=0,BL414=1),"sí","no"),"no")</f>
        <v/>
      </c>
      <c r="BR414" s="3">
        <f>IFERROR(VLOOKUP(F414,MOD_TBL,11,0),IFERROR(VLOOKUP(E414,OCU_TBL,2,0),NEUTRO))</f>
        <v/>
      </c>
      <c r="BS414" s="3">
        <f>SUMIFS(MOT_AJUSTE,MOT_MOTOR,G414,MOT_MARCA,E414,MOT_DESDE,"&lt;="&amp;M414,MOT_HASTA,"&gt;="&amp;M414)+SUMIFS(MOT_AJUSTE,MOT_MOTOR,G414,MOT_MARCA,"(todas)",MOT_DESDE,"&lt;="&amp;M414,MOT_HASTA,"&gt;="&amp;M414)</f>
        <v/>
      </c>
      <c r="BT414" s="3">
        <f>SUMIFS(COMB_AJUSTE,COMB_COMB,K414)</f>
        <v/>
      </c>
      <c r="BU414" s="3">
        <f>COUNTIFS(MOT_MOTOR,G414,MOT_MARCA,E414,MOT_DESDE,"&lt;="&amp;M414,MOT_HASTA,"&gt;="&amp;M414)+COUNTIFS(MOT_MOTOR,G414,MOT_MARCA,"(todas)",MOT_DESDE,"&lt;="&amp;M414,MOT_HASTA,"&gt;="&amp;M414)</f>
        <v/>
      </c>
      <c r="BV414" s="3">
        <f>IF(AND(K414="diesel",BU414=0),MIN(BR414,NEUTRO),BR414)</f>
        <v/>
      </c>
      <c r="BW414" s="4">
        <f>MAX(0,MIN(100,BV414+BS414+BT414))</f>
        <v/>
      </c>
      <c r="BX414" s="3">
        <f>MAX(0,MIN(100,50+BK414*PRECIO_PEND))</f>
        <v/>
      </c>
      <c r="BY414" s="3">
        <f>MAX(0,100*(1-N414/KM_MAX))</f>
        <v/>
      </c>
      <c r="BZ414" s="3">
        <f>IF(BB414&lt;KMA_SOSP,IF(AA414="sí",100,KMA_PEN),IF(BB414&lt;=KMA_IDEAL_MAX,100,MAX(0,100*(KMA_CERO-BB414)/(KMA_CERO-KMA_IDEAL_MAX))))</f>
        <v/>
      </c>
      <c r="CA414" s="3">
        <f>MAX(0,MIN(100,100*(M414-ANIO_MIN)/(ANIO_ACTUAL-ANIO_MIN)))</f>
        <v/>
      </c>
      <c r="CB414" s="3">
        <f>W_KMT*BY414+W_KMA*BZ414+W_EDAD*CA414</f>
        <v/>
      </c>
      <c r="CC414" s="3">
        <f>P_ITV*(V414="sí")+P_LIBRO*(W414="sí")+P_CORREA*(X414="sí")+P_PROP*(Y414=1)+P_GAR*(Z414="sí")+P_FOTOS*MIN(1,N(U414)/FOTOS_OBJ)</f>
        <v/>
      </c>
      <c r="CD414" s="3">
        <f>MAX(0,MIN(100,IFERROR(VLOOKUP(BP414,ETQ_TBL,2,0),0)-IF(BQ414="sí",ETQ_PEN_DUD,IF(AS414="regla",ETQ_PEN_REGLA,0))))</f>
        <v/>
      </c>
      <c r="CE414" s="3">
        <f>NEUTRO</f>
        <v/>
      </c>
      <c r="CF414" s="3">
        <f>IFERROR(VLOOKUP(L414,SEGURO_TBL,3,0),"")</f>
        <v/>
      </c>
      <c r="CG414" s="3">
        <f>IF(CF414="",NEUTRO,MAX(0,MIN(100,100*(SEG_REF_MAX-CF414)/(SEG_REF_MAX-SEG_REF_MIN))))</f>
        <v/>
      </c>
      <c r="CH414" s="3">
        <f>W_CONS*CE414+W_SEG*CG414</f>
        <v/>
      </c>
      <c r="CI414" s="3">
        <f>IF(N(AB414)&gt;0,AB414,IF(AND(R414="profesional",SG_LEGAL_ON=1),GAR_LEGAL,0))</f>
        <v/>
      </c>
      <c r="CJ414" s="3">
        <f>SG_GAR*MIN(1,CI414/SG_GAR_FULL)+SG_AMPL*(AC414="sí")+SG_KMC*(AF414="sí")+SG_REV*(N(AE414)&gt;0)+SG_DEV*MIN(1,N(AG414)/SG_DEV_FULL)+SG_HIST*(W414="sí")</f>
        <v/>
      </c>
      <c r="CK414" s="3">
        <f>IFERROR(VLOOKUP(L414,CARR_PEN_TBL,2,0),0)</f>
        <v/>
      </c>
      <c r="CL414" s="3">
        <f>W_FIAB*BW414+W_PRECIO*BX414+W_KMEDAD*CB414+W_ANUNCIO*CC414+W_USO*CH414+W_SEGURIDAD*CJ414+W_ETIQUETA*CD414-CK414</f>
        <v/>
      </c>
      <c r="CM414" s="4">
        <f>IF(N(I414)&gt;0,I414,IFERROR(ROUND(_xlfn.NUMBERVALUE(LEFT(G414,FIND(" ",G414&amp;" ")-1),".")*1000,0),99999))</f>
        <v/>
      </c>
      <c r="CN414" s="3">
        <f>IF(R414="profesional",0,IF(O414&lt;CUOTA_VALOR_MAX,IF(BA414&gt;ITP_TRAMO_ALTO,SUMIFS(CF_CUOTA,CF_MAS,ITP_TRAMO_ALTO,CF_CCMIN,"&lt;="&amp;CM414,CF_CCMAX,"&gt;="&amp;CM414),IF(BA414&gt;ITP_TRAMO_BAJO,SUMIFS(CF_CUOTA,CF_MAS,ITP_TRAMO_BAJO,CF_CCMIN,"&lt;="&amp;CM414,CF_CCMAX,"&gt;="&amp;CM414),O414*ITP_TIPO)),O414*ITP_TIPO))</f>
        <v/>
      </c>
      <c r="CO414" s="4">
        <f>IF(R414="profesional",N(AK414),0)</f>
        <v/>
      </c>
      <c r="CP414" s="3">
        <f>IF(AND(R414="profesional",ISNUMBER(AK414),AL414="sí"),0,TASA_DGT)</f>
        <v/>
      </c>
      <c r="CQ414" s="3">
        <f>INFORME_DGT</f>
        <v/>
      </c>
      <c r="CR414" s="4">
        <f>O414+CO414+CN414+CP414+CQ414</f>
        <v/>
      </c>
      <c r="CS414" s="4">
        <f>CR414+N(CF414)</f>
        <v/>
      </c>
      <c r="CT414" s="3">
        <f>IF(CR414&lt;=TOTAL_MAX,"sí",IF(CR414&lt;=TOTAL_MAX+MARGEN_NEG,"negociar","no"))</f>
        <v/>
      </c>
      <c r="CU414" s="4">
        <f>IF(CT414&lt;&gt;"no",COUNTIFS($CT$2:$CT$545,"&lt;&gt;no",$CL$2:$CL$545,"&gt;"&amp;CL414)+COUNTIFS($CT$2:CT414,"&lt;&gt;no",$CL$2:CL414,CL414),"")</f>
        <v/>
      </c>
    </row>
    <row r="415">
      <c r="A415" s="2" t="inlineStr">
        <is>
          <t>cochesnet:71579775</t>
        </is>
      </c>
      <c r="B415" s="2" t="inlineStr">
        <is>
          <t>cochesnet</t>
        </is>
      </c>
      <c r="C415" s="2" t="inlineStr">
        <is>
          <t>https://www.coches.net/ford-fiesta-14-tdci-ghia-5p-diesel-2009-en-valencia-71579775-covo.aspx</t>
        </is>
      </c>
      <c r="D415" s="2" t="inlineStr">
        <is>
          <t>FORD Fiesta 1.4 TDCi Ghia</t>
        </is>
      </c>
      <c r="E415" s="2" t="inlineStr">
        <is>
          <t>Ford</t>
        </is>
      </c>
      <c r="F415" s="2" t="inlineStr">
        <is>
          <t>Ford Fiesta</t>
        </is>
      </c>
      <c r="G415" s="2" t="inlineStr">
        <is>
          <t>1.4 TDCi</t>
        </is>
      </c>
      <c r="H415" s="2" t="inlineStr">
        <is>
          <t>1.4 TDCi Ghia</t>
        </is>
      </c>
      <c r="I415" s="2" t="n"/>
      <c r="J415" s="2" t="n"/>
      <c r="K415" s="2" t="inlineStr">
        <is>
          <t>diesel</t>
        </is>
      </c>
      <c r="L415" s="2" t="inlineStr">
        <is>
          <t>utilitario</t>
        </is>
      </c>
      <c r="M415" s="2" t="n">
        <v>2009</v>
      </c>
      <c r="N415" s="2" t="n">
        <v>149000</v>
      </c>
      <c r="O415" s="2" t="n">
        <v>4990</v>
      </c>
      <c r="P415" s="2" t="inlineStr">
        <is>
          <t>manual</t>
        </is>
      </c>
      <c r="Q415" s="2" t="inlineStr">
        <is>
          <t>no</t>
        </is>
      </c>
      <c r="R415" s="2" t="inlineStr">
        <is>
          <t>profesional</t>
        </is>
      </c>
      <c r="S415" s="2" t="inlineStr">
        <is>
          <t>IMPER BLUE Bonrepòs i Mirambell</t>
        </is>
      </c>
      <c r="T415" s="2" t="inlineStr">
        <is>
          <t>2026-09-23T12:26:07Z</t>
        </is>
      </c>
      <c r="U415" s="2" t="n">
        <v>17</v>
      </c>
      <c r="V415" s="2" t="inlineStr">
        <is>
          <t>sí</t>
        </is>
      </c>
      <c r="W415" s="2" t="n"/>
      <c r="X415" s="2" t="n"/>
      <c r="Y415" s="2" t="n"/>
      <c r="Z415" s="2" t="inlineStr">
        <is>
          <t>sí</t>
        </is>
      </c>
      <c r="AA415" s="2" t="n"/>
      <c r="AB415" s="2" t="n">
        <v>12</v>
      </c>
      <c r="AC415" s="2" t="n"/>
      <c r="AD415" s="2" t="n"/>
      <c r="AE415" s="2" t="n"/>
      <c r="AF415" s="2" t="n"/>
      <c r="AG415" s="2" t="n"/>
      <c r="AH415" s="2" t="n">
        <v>4990</v>
      </c>
      <c r="AI415" s="2" t="n">
        <v>4990</v>
      </c>
      <c r="AJ415" s="2" t="n"/>
      <c r="AK415" s="2" t="n"/>
      <c r="AL415" s="2" t="n"/>
      <c r="AM415" s="2" t="n">
        <v>5.3</v>
      </c>
      <c r="AN415" s="2" t="n"/>
      <c r="AO415" s="2" t="inlineStr">
        <is>
          <t>2009</t>
        </is>
      </c>
      <c r="AP415" s="2" t="n">
        <v>2009</v>
      </c>
      <c r="AQ415" s="2" t="n"/>
      <c r="AR415" s="2" t="inlineStr">
        <is>
          <t>B</t>
        </is>
      </c>
      <c r="AS415" s="2" t="inlineStr">
        <is>
          <t>anuncio</t>
        </is>
      </c>
      <c r="AT415" s="2" t="n">
        <v>4990</v>
      </c>
      <c r="AU415" s="2" t="n">
        <v>9</v>
      </c>
      <c r="AV415" s="2" t="inlineStr">
        <is>
          <t>modelo+año+km</t>
        </is>
      </c>
      <c r="AW415" s="2" t="n"/>
      <c r="AX415"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415" s="2" t="inlineStr">
        <is>
          <t>- IMPER BLUE - 
Concesionario multimarca con mas de 300 vehículos en stock.
Vehículo nacional en perfecto estado de funcionamiento general , cuenta con las 2 llaves originales y se entrega con mantenimiento e ITV al día. 
GARANTIA de 12 meses INCLUIDA en el precio.
Ford fiesta 1.4 Diesel tdci motor super fiable con un consumo muy bajo ideal para el día a día, vehículo bien cuidado con un perfecto funcionamiento total. 
Dispone de paquete deportivo con llantas de aluminio 5 radios
Climatizador digital
Eleva lunas eléctricos
Radio con conexión para el móvil
Cierre centralizado 
Para mas información no dude en contactarnos, el anuncio puede contener errores tipográficos.</t>
        </is>
      </c>
      <c r="AZ415" s="2" t="inlineStr">
        <is>
          <t>https://www.coches.net/ford-fiesta-14-tdci-ghia-5p-diesel-2009-en-valencia-71579775-covo.aspx (window.__INITIAL_PROPS__.ad) /home/user/Alopecia/buscador-coches/raw/cochesnet/e6fe16c41392a16e.json</t>
        </is>
      </c>
      <c r="BA415" s="3">
        <f>MAX(ANIO_ACTUAL-M415,0)</f>
        <v/>
      </c>
      <c r="BB415" s="4">
        <f>N415/MAX(BA415,0.5)</f>
        <v/>
      </c>
      <c r="BC415" s="4">
        <f>F415</f>
        <v/>
      </c>
      <c r="BD415" s="3">
        <f>BC415&amp;"|"&amp;INT(M415/SEG_ANIO)*SEG_ANIO</f>
        <v/>
      </c>
      <c r="BE415" s="3">
        <f>BD415&amp;"|"&amp;INT(N415/SEG_KM)*SEG_KM</f>
        <v/>
      </c>
      <c r="BF415" s="4">
        <f>COUNTIF($BC$2:$BC$545,BC415)</f>
        <v/>
      </c>
      <c r="BG415" s="4">
        <f>COUNTIF($BD$2:$BD$545,BD415)</f>
        <v/>
      </c>
      <c r="BH415" s="4">
        <f>COUNTIF($BE$2:$BE$545,BE415)</f>
        <v/>
      </c>
      <c r="BI415" s="3">
        <f t="array" ref="BI415">IF(N(AU415)&gt;=MIN_N,AT415,IF(BH415&gt;=MIN_N,MEDIAN(IF($BE$2:$BE$545=BE415,$O$2:$O$545)),IF(BG415&gt;=MIN_N,MEDIAN(IF($BD$2:$BD$545=BD415,$O$2:$O$545)),MEDIAN(IF($BC$2:$BC$545=BC415,$O$2:$O$545)))))</f>
        <v/>
      </c>
      <c r="BJ415" s="3">
        <f>IF(N(AU415)&gt;=MIN_N,"mercado "&amp;AV415,IF(BH415&gt;=MIN_N,"modelo+año+km",IF(BG415&gt;=MIN_N,"modelo+año","modelo")))</f>
        <v/>
      </c>
      <c r="BK415" s="4">
        <f>(BI415-O415)/BI415</f>
        <v/>
      </c>
      <c r="BL415" s="3">
        <f>IF(COUNTIFS(FR_FUEL,K415,FR_YEAR,AP415)&gt;0,1,0)</f>
        <v/>
      </c>
      <c r="BM415" s="3">
        <f>IF(COUNTIFS(FR_FUEL,K415,FR_YEAR,AP415-1)&gt;0,1,0)</f>
        <v/>
      </c>
      <c r="BN415" s="4">
        <f>IF(N(AQ415)&gt;0,AP415*100+AQ415,IF(AND(BL415=1,BM415=1),(AP415-1)*100+1,AP415*100+1))</f>
        <v/>
      </c>
      <c r="BO415" s="3">
        <f>IF(OR(K415="hibrido",K415="glp",K415="gnc",K415="phev"),"ECO",IF(K415="electrico","CERO",IF(K415="gasolina",IF(BN415&gt;=GAS_C_YM,"C",IF(BN415&gt;=GAS_B_YM,"B","A")),IF(K415="diesel",IF(BN415&gt;=DIE_C_YM,"C",IF(BN415&gt;=DIE_B_YM,"B","A")),""))))</f>
        <v/>
      </c>
      <c r="BP415" s="2" t="inlineStr">
        <is>
          <t>B</t>
        </is>
      </c>
      <c r="BQ415" s="4">
        <f>IF(AS415="regla",IF(AND(N(AQ415)=0,BL415=1),"sí","no"),"no")</f>
        <v/>
      </c>
      <c r="BR415" s="3">
        <f>IFERROR(VLOOKUP(F415,MOD_TBL,11,0),IFERROR(VLOOKUP(E415,OCU_TBL,2,0),NEUTRO))</f>
        <v/>
      </c>
      <c r="BS415" s="3">
        <f>SUMIFS(MOT_AJUSTE,MOT_MOTOR,G415,MOT_MARCA,E415,MOT_DESDE,"&lt;="&amp;M415,MOT_HASTA,"&gt;="&amp;M415)+SUMIFS(MOT_AJUSTE,MOT_MOTOR,G415,MOT_MARCA,"(todas)",MOT_DESDE,"&lt;="&amp;M415,MOT_HASTA,"&gt;="&amp;M415)</f>
        <v/>
      </c>
      <c r="BT415" s="3">
        <f>SUMIFS(COMB_AJUSTE,COMB_COMB,K415)</f>
        <v/>
      </c>
      <c r="BU415" s="3">
        <f>COUNTIFS(MOT_MOTOR,G415,MOT_MARCA,E415,MOT_DESDE,"&lt;="&amp;M415,MOT_HASTA,"&gt;="&amp;M415)+COUNTIFS(MOT_MOTOR,G415,MOT_MARCA,"(todas)",MOT_DESDE,"&lt;="&amp;M415,MOT_HASTA,"&gt;="&amp;M415)</f>
        <v/>
      </c>
      <c r="BV415" s="3">
        <f>IF(AND(K415="diesel",BU415=0),MIN(BR415,NEUTRO),BR415)</f>
        <v/>
      </c>
      <c r="BW415" s="4">
        <f>MAX(0,MIN(100,BV415+BS415+BT415))</f>
        <v/>
      </c>
      <c r="BX415" s="3">
        <f>MAX(0,MIN(100,50+BK415*PRECIO_PEND))</f>
        <v/>
      </c>
      <c r="BY415" s="3">
        <f>MAX(0,100*(1-N415/KM_MAX))</f>
        <v/>
      </c>
      <c r="BZ415" s="3">
        <f>IF(BB415&lt;KMA_SOSP,IF(AA415="sí",100,KMA_PEN),IF(BB415&lt;=KMA_IDEAL_MAX,100,MAX(0,100*(KMA_CERO-BB415)/(KMA_CERO-KMA_IDEAL_MAX))))</f>
        <v/>
      </c>
      <c r="CA415" s="3">
        <f>MAX(0,MIN(100,100*(M415-ANIO_MIN)/(ANIO_ACTUAL-ANIO_MIN)))</f>
        <v/>
      </c>
      <c r="CB415" s="3">
        <f>W_KMT*BY415+W_KMA*BZ415+W_EDAD*CA415</f>
        <v/>
      </c>
      <c r="CC415" s="3">
        <f>P_ITV*(V415="sí")+P_LIBRO*(W415="sí")+P_CORREA*(X415="sí")+P_PROP*(Y415=1)+P_GAR*(Z415="sí")+P_FOTOS*MIN(1,N(U415)/FOTOS_OBJ)</f>
        <v/>
      </c>
      <c r="CD415" s="3">
        <f>MAX(0,MIN(100,IFERROR(VLOOKUP(BP415,ETQ_TBL,2,0),0)-IF(BQ415="sí",ETQ_PEN_DUD,IF(AS415="regla",ETQ_PEN_REGLA,0))))</f>
        <v/>
      </c>
      <c r="CE415" s="3">
        <f>NEUTRO</f>
        <v/>
      </c>
      <c r="CF415" s="3">
        <f>IFERROR(VLOOKUP(L415,SEGURO_TBL,3,0),"")</f>
        <v/>
      </c>
      <c r="CG415" s="3">
        <f>IF(CF415="",NEUTRO,MAX(0,MIN(100,100*(SEG_REF_MAX-CF415)/(SEG_REF_MAX-SEG_REF_MIN))))</f>
        <v/>
      </c>
      <c r="CH415" s="3">
        <f>W_CONS*CE415+W_SEG*CG415</f>
        <v/>
      </c>
      <c r="CI415" s="3">
        <f>IF(N(AB415)&gt;0,AB415,IF(AND(R415="profesional",SG_LEGAL_ON=1),GAR_LEGAL,0))</f>
        <v/>
      </c>
      <c r="CJ415" s="3">
        <f>SG_GAR*MIN(1,CI415/SG_GAR_FULL)+SG_AMPL*(AC415="sí")+SG_KMC*(AF415="sí")+SG_REV*(N(AE415)&gt;0)+SG_DEV*MIN(1,N(AG415)/SG_DEV_FULL)+SG_HIST*(W415="sí")</f>
        <v/>
      </c>
      <c r="CK415" s="3">
        <f>IFERROR(VLOOKUP(L415,CARR_PEN_TBL,2,0),0)</f>
        <v/>
      </c>
      <c r="CL415" s="3">
        <f>W_FIAB*BW415+W_PRECIO*BX415+W_KMEDAD*CB415+W_ANUNCIO*CC415+W_USO*CH415+W_SEGURIDAD*CJ415+W_ETIQUETA*CD415-CK415</f>
        <v/>
      </c>
      <c r="CM415" s="4">
        <f>IF(N(I415)&gt;0,I415,IFERROR(ROUND(_xlfn.NUMBERVALUE(LEFT(G415,FIND(" ",G415&amp;" ")-1),".")*1000,0),99999))</f>
        <v/>
      </c>
      <c r="CN415" s="3">
        <f>IF(R415="profesional",0,IF(O415&lt;CUOTA_VALOR_MAX,IF(BA415&gt;ITP_TRAMO_ALTO,SUMIFS(CF_CUOTA,CF_MAS,ITP_TRAMO_ALTO,CF_CCMIN,"&lt;="&amp;CM415,CF_CCMAX,"&gt;="&amp;CM415),IF(BA415&gt;ITP_TRAMO_BAJO,SUMIFS(CF_CUOTA,CF_MAS,ITP_TRAMO_BAJO,CF_CCMIN,"&lt;="&amp;CM415,CF_CCMAX,"&gt;="&amp;CM415),O415*ITP_TIPO)),O415*ITP_TIPO))</f>
        <v/>
      </c>
      <c r="CO415" s="4">
        <f>IF(R415="profesional",N(AK415),0)</f>
        <v/>
      </c>
      <c r="CP415" s="3">
        <f>IF(AND(R415="profesional",ISNUMBER(AK415),AL415="sí"),0,TASA_DGT)</f>
        <v/>
      </c>
      <c r="CQ415" s="3">
        <f>INFORME_DGT</f>
        <v/>
      </c>
      <c r="CR415" s="4">
        <f>O415+CO415+CN415+CP415+CQ415</f>
        <v/>
      </c>
      <c r="CS415" s="4">
        <f>CR415+N(CF415)</f>
        <v/>
      </c>
      <c r="CT415" s="3">
        <f>IF(CR415&lt;=TOTAL_MAX,"sí",IF(CR415&lt;=TOTAL_MAX+MARGEN_NEG,"negociar","no"))</f>
        <v/>
      </c>
      <c r="CU415" s="4">
        <f>IF(CT415&lt;&gt;"no",COUNTIFS($CT$2:$CT$545,"&lt;&gt;no",$CL$2:$CL$545,"&gt;"&amp;CL415)+COUNTIFS($CT$2:CT415,"&lt;&gt;no",$CL$2:CL415,CL415),"")</f>
        <v/>
      </c>
    </row>
    <row r="416">
      <c r="A416" s="2" t="inlineStr">
        <is>
          <t>cochesnet:71519458</t>
        </is>
      </c>
      <c r="B416" s="2" t="inlineStr">
        <is>
          <t>cochesnet</t>
        </is>
      </c>
      <c r="C416" s="2" t="inlineStr">
        <is>
          <t>https://www.coches.net/ford-fiesta-diesel-2006-en-valencia-71519458-covo.aspx</t>
        </is>
      </c>
      <c r="D416" s="2" t="inlineStr">
        <is>
          <t>FORD Fiesta</t>
        </is>
      </c>
      <c r="E416" s="2" t="inlineStr">
        <is>
          <t>Ford</t>
        </is>
      </c>
      <c r="F416" s="2" t="inlineStr">
        <is>
          <t>Ford Fiesta</t>
        </is>
      </c>
      <c r="G416" s="2" t="n"/>
      <c r="H416" s="2" t="n"/>
      <c r="I416" s="2" t="n"/>
      <c r="J416" s="2" t="n"/>
      <c r="K416" s="2" t="inlineStr">
        <is>
          <t>diesel</t>
        </is>
      </c>
      <c r="L416" s="2" t="inlineStr">
        <is>
          <t>utilitario</t>
        </is>
      </c>
      <c r="M416" s="2" t="n">
        <v>2006</v>
      </c>
      <c r="N416" s="2" t="n">
        <v>133000</v>
      </c>
      <c r="O416" s="2" t="n">
        <v>3000</v>
      </c>
      <c r="P416" s="2" t="inlineStr">
        <is>
          <t>manual</t>
        </is>
      </c>
      <c r="Q416" s="2" t="inlineStr">
        <is>
          <t>no</t>
        </is>
      </c>
      <c r="R416" s="2" t="inlineStr">
        <is>
          <t>particular</t>
        </is>
      </c>
      <c r="S416" s="2" t="n"/>
      <c r="T416" s="2" t="inlineStr">
        <is>
          <t>2026-09-15T13:50:55Z</t>
        </is>
      </c>
      <c r="U416" s="2" t="n">
        <v>9</v>
      </c>
      <c r="V416" s="2" t="n"/>
      <c r="W416" s="2" t="n"/>
      <c r="X416" s="2" t="n"/>
      <c r="Y416" s="2" t="n"/>
      <c r="Z416" s="2" t="inlineStr">
        <is>
          <t>no</t>
        </is>
      </c>
      <c r="AA416" s="2" t="n"/>
      <c r="AB416" s="2" t="n"/>
      <c r="AC416" s="2" t="n"/>
      <c r="AD416" s="2" t="n"/>
      <c r="AE416" s="2" t="n"/>
      <c r="AF416" s="2" t="n"/>
      <c r="AG416" s="2" t="n"/>
      <c r="AH416" s="2" t="n">
        <v>3000</v>
      </c>
      <c r="AI416" s="2" t="n"/>
      <c r="AJ416" s="2" t="n"/>
      <c r="AK416" s="2" t="n"/>
      <c r="AL416" s="2" t="n"/>
      <c r="AM416" s="2" t="n"/>
      <c r="AN416" s="2" t="n"/>
      <c r="AO416" s="2" t="inlineStr">
        <is>
          <t>2006</t>
        </is>
      </c>
      <c r="AP416" s="2" t="n">
        <v>2006</v>
      </c>
      <c r="AQ416" s="2" t="n"/>
      <c r="AR416" s="2" t="n"/>
      <c r="AS416" s="2" t="inlineStr">
        <is>
          <t>regla</t>
        </is>
      </c>
      <c r="AT416" s="2" t="n">
        <v>2999</v>
      </c>
      <c r="AU416" s="2" t="n">
        <v>7</v>
      </c>
      <c r="AV416" s="2" t="inlineStr">
        <is>
          <t>modelo+año+km</t>
        </is>
      </c>
      <c r="AW416" s="2" t="n"/>
      <c r="AX416"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16" s="2" t="inlineStr">
        <is>
          <t xml:space="preserve">Se vende for fiesta con correa de distribucion con 10.000 km de cambiada discos y pastas nuevas embrague recien cambiado itv septiembre 2027 esta en buen estado de pintura 3000 negociables </t>
        </is>
      </c>
      <c r="AZ416" s="2" t="inlineStr">
        <is>
          <t>https://www.coches.net/ford-fiesta-diesel-2006-en-valencia-71519458-covo.aspx (window.__INITIAL_PROPS__.ad) /home/user/Alopecia/buscador-coches/raw/cochesnet/b1aac51ae065372f.json</t>
        </is>
      </c>
      <c r="BA416" s="3">
        <f>MAX(ANIO_ACTUAL-M416,0)</f>
        <v/>
      </c>
      <c r="BB416" s="4">
        <f>N416/MAX(BA416,0.5)</f>
        <v/>
      </c>
      <c r="BC416" s="4">
        <f>F416</f>
        <v/>
      </c>
      <c r="BD416" s="3">
        <f>BC416&amp;"|"&amp;INT(M416/SEG_ANIO)*SEG_ANIO</f>
        <v/>
      </c>
      <c r="BE416" s="3">
        <f>BD416&amp;"|"&amp;INT(N416/SEG_KM)*SEG_KM</f>
        <v/>
      </c>
      <c r="BF416" s="4">
        <f>COUNTIF($BC$2:$BC$545,BC416)</f>
        <v/>
      </c>
      <c r="BG416" s="4">
        <f>COUNTIF($BD$2:$BD$545,BD416)</f>
        <v/>
      </c>
      <c r="BH416" s="4">
        <f>COUNTIF($BE$2:$BE$545,BE416)</f>
        <v/>
      </c>
      <c r="BI416" s="3">
        <f t="array" ref="BI416">IF(N(AU416)&gt;=MIN_N,AT416,IF(BH416&gt;=MIN_N,MEDIAN(IF($BE$2:$BE$545=BE416,$O$2:$O$545)),IF(BG416&gt;=MIN_N,MEDIAN(IF($BD$2:$BD$545=BD416,$O$2:$O$545)),MEDIAN(IF($BC$2:$BC$545=BC416,$O$2:$O$545)))))</f>
        <v/>
      </c>
      <c r="BJ416" s="3">
        <f>IF(N(AU416)&gt;=MIN_N,"mercado "&amp;AV416,IF(BH416&gt;=MIN_N,"modelo+año+km",IF(BG416&gt;=MIN_N,"modelo+año","modelo")))</f>
        <v/>
      </c>
      <c r="BK416" s="4">
        <f>(BI416-O416)/BI416</f>
        <v/>
      </c>
      <c r="BL416" s="3">
        <f>IF(COUNTIFS(FR_FUEL,K416,FR_YEAR,AP416)&gt;0,1,0)</f>
        <v/>
      </c>
      <c r="BM416" s="3">
        <f>IF(COUNTIFS(FR_FUEL,K416,FR_YEAR,AP416-1)&gt;0,1,0)</f>
        <v/>
      </c>
      <c r="BN416" s="4">
        <f>IF(N(AQ416)&gt;0,AP416*100+AQ416,IF(AND(BL416=1,BM416=1),(AP416-1)*100+1,AP416*100+1))</f>
        <v/>
      </c>
      <c r="BO416" s="3">
        <f>IF(OR(K416="hibrido",K416="glp",K416="gnc",K416="phev"),"ECO",IF(K416="electrico","CERO",IF(K416="gasolina",IF(BN416&gt;=GAS_C_YM,"C",IF(BN416&gt;=GAS_B_YM,"B","A")),IF(K416="diesel",IF(BN416&gt;=DIE_C_YM,"C",IF(BN416&gt;=DIE_B_YM,"B","A")),""))))</f>
        <v/>
      </c>
      <c r="BP416" s="4">
        <f>BO416</f>
        <v/>
      </c>
      <c r="BQ416" s="4">
        <f>IF(AS416="regla",IF(AND(N(AQ416)=0,BL416=1),"sí","no"),"no")</f>
        <v/>
      </c>
      <c r="BR416" s="3">
        <f>IFERROR(VLOOKUP(F416,MOD_TBL,11,0),IFERROR(VLOOKUP(E416,OCU_TBL,2,0),NEUTRO))</f>
        <v/>
      </c>
      <c r="BS416" s="3">
        <f>SUMIFS(MOT_AJUSTE,MOT_MOTOR,G416,MOT_MARCA,E416,MOT_DESDE,"&lt;="&amp;M416,MOT_HASTA,"&gt;="&amp;M416)+SUMIFS(MOT_AJUSTE,MOT_MOTOR,G416,MOT_MARCA,"(todas)",MOT_DESDE,"&lt;="&amp;M416,MOT_HASTA,"&gt;="&amp;M416)</f>
        <v/>
      </c>
      <c r="BT416" s="3">
        <f>SUMIFS(COMB_AJUSTE,COMB_COMB,K416)</f>
        <v/>
      </c>
      <c r="BU416" s="3">
        <f>COUNTIFS(MOT_MOTOR,G416,MOT_MARCA,E416,MOT_DESDE,"&lt;="&amp;M416,MOT_HASTA,"&gt;="&amp;M416)+COUNTIFS(MOT_MOTOR,G416,MOT_MARCA,"(todas)",MOT_DESDE,"&lt;="&amp;M416,MOT_HASTA,"&gt;="&amp;M416)</f>
        <v/>
      </c>
      <c r="BV416" s="3">
        <f>IF(AND(K416="diesel",BU416=0),MIN(BR416,NEUTRO),BR416)</f>
        <v/>
      </c>
      <c r="BW416" s="4">
        <f>MAX(0,MIN(100,BV416+BS416+BT416))</f>
        <v/>
      </c>
      <c r="BX416" s="3">
        <f>MAX(0,MIN(100,50+BK416*PRECIO_PEND))</f>
        <v/>
      </c>
      <c r="BY416" s="3">
        <f>MAX(0,100*(1-N416/KM_MAX))</f>
        <v/>
      </c>
      <c r="BZ416" s="3">
        <f>IF(BB416&lt;KMA_SOSP,IF(AA416="sí",100,KMA_PEN),IF(BB416&lt;=KMA_IDEAL_MAX,100,MAX(0,100*(KMA_CERO-BB416)/(KMA_CERO-KMA_IDEAL_MAX))))</f>
        <v/>
      </c>
      <c r="CA416" s="3">
        <f>MAX(0,MIN(100,100*(M416-ANIO_MIN)/(ANIO_ACTUAL-ANIO_MIN)))</f>
        <v/>
      </c>
      <c r="CB416" s="3">
        <f>W_KMT*BY416+W_KMA*BZ416+W_EDAD*CA416</f>
        <v/>
      </c>
      <c r="CC416" s="3">
        <f>P_ITV*(V416="sí")+P_LIBRO*(W416="sí")+P_CORREA*(X416="sí")+P_PROP*(Y416=1)+P_GAR*(Z416="sí")+P_FOTOS*MIN(1,N(U416)/FOTOS_OBJ)</f>
        <v/>
      </c>
      <c r="CD416" s="3">
        <f>MAX(0,MIN(100,IFERROR(VLOOKUP(BP416,ETQ_TBL,2,0),0)-IF(BQ416="sí",ETQ_PEN_DUD,IF(AS416="regla",ETQ_PEN_REGLA,0))))</f>
        <v/>
      </c>
      <c r="CE416" s="3">
        <f>NEUTRO</f>
        <v/>
      </c>
      <c r="CF416" s="3">
        <f>IFERROR(VLOOKUP(L416,SEGURO_TBL,3,0),"")</f>
        <v/>
      </c>
      <c r="CG416" s="3">
        <f>IF(CF416="",NEUTRO,MAX(0,MIN(100,100*(SEG_REF_MAX-CF416)/(SEG_REF_MAX-SEG_REF_MIN))))</f>
        <v/>
      </c>
      <c r="CH416" s="3">
        <f>W_CONS*CE416+W_SEG*CG416</f>
        <v/>
      </c>
      <c r="CI416" s="3">
        <f>IF(N(AB416)&gt;0,AB416,IF(AND(R416="profesional",SG_LEGAL_ON=1),GAR_LEGAL,0))</f>
        <v/>
      </c>
      <c r="CJ416" s="3">
        <f>SG_GAR*MIN(1,CI416/SG_GAR_FULL)+SG_AMPL*(AC416="sí")+SG_KMC*(AF416="sí")+SG_REV*(N(AE416)&gt;0)+SG_DEV*MIN(1,N(AG416)/SG_DEV_FULL)+SG_HIST*(W416="sí")</f>
        <v/>
      </c>
      <c r="CK416" s="3">
        <f>IFERROR(VLOOKUP(L416,CARR_PEN_TBL,2,0),0)</f>
        <v/>
      </c>
      <c r="CL416" s="3">
        <f>W_FIAB*BW416+W_PRECIO*BX416+W_KMEDAD*CB416+W_ANUNCIO*CC416+W_USO*CH416+W_SEGURIDAD*CJ416+W_ETIQUETA*CD416-CK416</f>
        <v/>
      </c>
      <c r="CM416" s="4">
        <f>IF(N(I416)&gt;0,I416,IFERROR(ROUND(_xlfn.NUMBERVALUE(LEFT(G416,FIND(" ",G416&amp;" ")-1),".")*1000,0),99999))</f>
        <v/>
      </c>
      <c r="CN416" s="3">
        <f>IF(R416="profesional",0,IF(O416&lt;CUOTA_VALOR_MAX,IF(BA416&gt;ITP_TRAMO_ALTO,SUMIFS(CF_CUOTA,CF_MAS,ITP_TRAMO_ALTO,CF_CCMIN,"&lt;="&amp;CM416,CF_CCMAX,"&gt;="&amp;CM416),IF(BA416&gt;ITP_TRAMO_BAJO,SUMIFS(CF_CUOTA,CF_MAS,ITP_TRAMO_BAJO,CF_CCMIN,"&lt;="&amp;CM416,CF_CCMAX,"&gt;="&amp;CM416),O416*ITP_TIPO)),O416*ITP_TIPO))</f>
        <v/>
      </c>
      <c r="CO416" s="4">
        <f>IF(R416="profesional",N(AK416),0)</f>
        <v/>
      </c>
      <c r="CP416" s="3">
        <f>IF(AND(R416="profesional",ISNUMBER(AK416),AL416="sí"),0,TASA_DGT)</f>
        <v/>
      </c>
      <c r="CQ416" s="3">
        <f>INFORME_DGT</f>
        <v/>
      </c>
      <c r="CR416" s="4">
        <f>O416+CO416+CN416+CP416+CQ416</f>
        <v/>
      </c>
      <c r="CS416" s="4">
        <f>CR416+N(CF416)</f>
        <v/>
      </c>
      <c r="CT416" s="3">
        <f>IF(CR416&lt;=TOTAL_MAX,"sí",IF(CR416&lt;=TOTAL_MAX+MARGEN_NEG,"negociar","no"))</f>
        <v/>
      </c>
      <c r="CU416" s="4">
        <f>IF(CT416&lt;&gt;"no",COUNTIFS($CT$2:$CT$545,"&lt;&gt;no",$CL$2:$CL$545,"&gt;"&amp;CL416)+COUNTIFS($CT$2:CT416,"&lt;&gt;no",$CL$2:CL416,CL416),"")</f>
        <v/>
      </c>
    </row>
    <row r="417">
      <c r="A417" s="2" t="inlineStr">
        <is>
          <t>cochesnet:71488118</t>
        </is>
      </c>
      <c r="B417" s="2" t="inlineStr">
        <is>
          <t>cochesnet</t>
        </is>
      </c>
      <c r="C417" s="2" t="inlineStr">
        <is>
          <t>https://www.coches.net/ford-fiesta-125-60cv-ambiente-5p-gasolina-2007-en-valencia-71488118-covo.aspx</t>
        </is>
      </c>
      <c r="D417" s="2" t="inlineStr">
        <is>
          <t>FORD Fiesta 1.25 Ambiente</t>
        </is>
      </c>
      <c r="E417" s="2" t="inlineStr">
        <is>
          <t>Ford</t>
        </is>
      </c>
      <c r="F417" s="2" t="inlineStr">
        <is>
          <t>Ford Fiesta</t>
        </is>
      </c>
      <c r="G417" s="2" t="inlineStr">
        <is>
          <t>1.2</t>
        </is>
      </c>
      <c r="H417" s="2" t="inlineStr">
        <is>
          <t>1.25 60cv Ambiente</t>
        </is>
      </c>
      <c r="I417" s="2" t="n"/>
      <c r="J417" s="2" t="n">
        <v>60</v>
      </c>
      <c r="K417" s="2" t="inlineStr">
        <is>
          <t>gasolina</t>
        </is>
      </c>
      <c r="L417" s="2" t="inlineStr">
        <is>
          <t>utilitario</t>
        </is>
      </c>
      <c r="M417" s="2" t="n">
        <v>2007</v>
      </c>
      <c r="N417" s="2" t="n">
        <v>94000</v>
      </c>
      <c r="O417" s="2" t="n">
        <v>3500</v>
      </c>
      <c r="P417" s="2" t="inlineStr">
        <is>
          <t>manual</t>
        </is>
      </c>
      <c r="Q417" s="2" t="inlineStr">
        <is>
          <t>no</t>
        </is>
      </c>
      <c r="R417" s="2" t="inlineStr">
        <is>
          <t>particular</t>
        </is>
      </c>
      <c r="S417" s="2" t="inlineStr">
        <is>
          <t>Burjassot</t>
        </is>
      </c>
      <c r="T417" s="2" t="inlineStr">
        <is>
          <t>2026-09-10T19:15:38Z</t>
        </is>
      </c>
      <c r="U417" s="2" t="n">
        <v>7</v>
      </c>
      <c r="V417" s="2" t="inlineStr">
        <is>
          <t>sí</t>
        </is>
      </c>
      <c r="W417" s="2" t="n"/>
      <c r="X417" s="2" t="n"/>
      <c r="Y417" s="2" t="n"/>
      <c r="Z417" s="2" t="inlineStr">
        <is>
          <t>no</t>
        </is>
      </c>
      <c r="AA417" s="2" t="n"/>
      <c r="AB417" s="2" t="n"/>
      <c r="AC417" s="2" t="n"/>
      <c r="AD417" s="2" t="n"/>
      <c r="AE417" s="2" t="n"/>
      <c r="AF417" s="2" t="n"/>
      <c r="AG417" s="2" t="n"/>
      <c r="AH417" s="2" t="n">
        <v>3500</v>
      </c>
      <c r="AI417" s="2" t="n"/>
      <c r="AJ417" s="2" t="n"/>
      <c r="AK417" s="2" t="n"/>
      <c r="AL417" s="2" t="n"/>
      <c r="AM417" s="2" t="n">
        <v>5.5</v>
      </c>
      <c r="AN417" s="2" t="n"/>
      <c r="AO417" s="2" t="inlineStr">
        <is>
          <t>2007</t>
        </is>
      </c>
      <c r="AP417" s="2" t="n">
        <v>2007</v>
      </c>
      <c r="AQ417" s="2" t="n"/>
      <c r="AR417" s="2" t="n"/>
      <c r="AS417" s="2" t="inlineStr">
        <is>
          <t>regla</t>
        </is>
      </c>
      <c r="AT417" s="2" t="n">
        <v>3500</v>
      </c>
      <c r="AU417" s="2" t="n">
        <v>47</v>
      </c>
      <c r="AV417" s="2" t="inlineStr">
        <is>
          <t>modelo+año</t>
        </is>
      </c>
      <c r="AW417" s="2" t="n"/>
      <c r="AX417" s="2" t="inlineStr">
        <is>
          <t>cuota fija ITP: &gt;12 años, hasta 1.500 cc</t>
        </is>
      </c>
      <c r="AY417" s="2" t="inlineStr">
        <is>
          <t>Ford fiesta 1.2 ITV pasada hasta octubre 2027
Perfecto estado de motor
Ruedas nuevas</t>
        </is>
      </c>
      <c r="AZ417" s="2" t="inlineStr">
        <is>
          <t>https://www.coches.net/ford-fiesta-125-60cv-ambiente-5p-gasolina-2007-en-valencia-71488118-covo.aspx (window.__INITIAL_PROPS__.ad) /home/user/Alopecia/buscador-coches/raw/cochesnet/36c9c433ea4900a4.json</t>
        </is>
      </c>
      <c r="BA417" s="3">
        <f>MAX(ANIO_ACTUAL-M417,0)</f>
        <v/>
      </c>
      <c r="BB417" s="4">
        <f>N417/MAX(BA417,0.5)</f>
        <v/>
      </c>
      <c r="BC417" s="4">
        <f>F417</f>
        <v/>
      </c>
      <c r="BD417" s="3">
        <f>BC417&amp;"|"&amp;INT(M417/SEG_ANIO)*SEG_ANIO</f>
        <v/>
      </c>
      <c r="BE417" s="3">
        <f>BD417&amp;"|"&amp;INT(N417/SEG_KM)*SEG_KM</f>
        <v/>
      </c>
      <c r="BF417" s="4">
        <f>COUNTIF($BC$2:$BC$545,BC417)</f>
        <v/>
      </c>
      <c r="BG417" s="4">
        <f>COUNTIF($BD$2:$BD$545,BD417)</f>
        <v/>
      </c>
      <c r="BH417" s="4">
        <f>COUNTIF($BE$2:$BE$545,BE417)</f>
        <v/>
      </c>
      <c r="BI417" s="3">
        <f t="array" ref="BI417">IF(N(AU417)&gt;=MIN_N,AT417,IF(BH417&gt;=MIN_N,MEDIAN(IF($BE$2:$BE$545=BE417,$O$2:$O$545)),IF(BG417&gt;=MIN_N,MEDIAN(IF($BD$2:$BD$545=BD417,$O$2:$O$545)),MEDIAN(IF($BC$2:$BC$545=BC417,$O$2:$O$545)))))</f>
        <v/>
      </c>
      <c r="BJ417" s="3">
        <f>IF(N(AU417)&gt;=MIN_N,"mercado "&amp;AV417,IF(BH417&gt;=MIN_N,"modelo+año+km",IF(BG417&gt;=MIN_N,"modelo+año","modelo")))</f>
        <v/>
      </c>
      <c r="BK417" s="4">
        <f>(BI417-O417)/BI417</f>
        <v/>
      </c>
      <c r="BL417" s="3">
        <f>IF(COUNTIFS(FR_FUEL,K417,FR_YEAR,AP417)&gt;0,1,0)</f>
        <v/>
      </c>
      <c r="BM417" s="3">
        <f>IF(COUNTIFS(FR_FUEL,K417,FR_YEAR,AP417-1)&gt;0,1,0)</f>
        <v/>
      </c>
      <c r="BN417" s="4">
        <f>IF(N(AQ417)&gt;0,AP417*100+AQ417,IF(AND(BL417=1,BM417=1),(AP417-1)*100+1,AP417*100+1))</f>
        <v/>
      </c>
      <c r="BO417" s="3">
        <f>IF(OR(K417="hibrido",K417="glp",K417="gnc",K417="phev"),"ECO",IF(K417="electrico","CERO",IF(K417="gasolina",IF(BN417&gt;=GAS_C_YM,"C",IF(BN417&gt;=GAS_B_YM,"B","A")),IF(K417="diesel",IF(BN417&gt;=DIE_C_YM,"C",IF(BN417&gt;=DIE_B_YM,"B","A")),""))))</f>
        <v/>
      </c>
      <c r="BP417" s="4">
        <f>BO417</f>
        <v/>
      </c>
      <c r="BQ417" s="4">
        <f>IF(AS417="regla",IF(AND(N(AQ417)=0,BL417=1),"sí","no"),"no")</f>
        <v/>
      </c>
      <c r="BR417" s="3">
        <f>IFERROR(VLOOKUP(F417,MOD_TBL,11,0),IFERROR(VLOOKUP(E417,OCU_TBL,2,0),NEUTRO))</f>
        <v/>
      </c>
      <c r="BS417" s="3">
        <f>SUMIFS(MOT_AJUSTE,MOT_MOTOR,G417,MOT_MARCA,E417,MOT_DESDE,"&lt;="&amp;M417,MOT_HASTA,"&gt;="&amp;M417)+SUMIFS(MOT_AJUSTE,MOT_MOTOR,G417,MOT_MARCA,"(todas)",MOT_DESDE,"&lt;="&amp;M417,MOT_HASTA,"&gt;="&amp;M417)</f>
        <v/>
      </c>
      <c r="BT417" s="3">
        <f>SUMIFS(COMB_AJUSTE,COMB_COMB,K417)</f>
        <v/>
      </c>
      <c r="BU417" s="3">
        <f>COUNTIFS(MOT_MOTOR,G417,MOT_MARCA,E417,MOT_DESDE,"&lt;="&amp;M417,MOT_HASTA,"&gt;="&amp;M417)+COUNTIFS(MOT_MOTOR,G417,MOT_MARCA,"(todas)",MOT_DESDE,"&lt;="&amp;M417,MOT_HASTA,"&gt;="&amp;M417)</f>
        <v/>
      </c>
      <c r="BV417" s="3">
        <f>IF(AND(K417="diesel",BU417=0),MIN(BR417,NEUTRO),BR417)</f>
        <v/>
      </c>
      <c r="BW417" s="4">
        <f>MAX(0,MIN(100,BV417+BS417+BT417))</f>
        <v/>
      </c>
      <c r="BX417" s="3">
        <f>MAX(0,MIN(100,50+BK417*PRECIO_PEND))</f>
        <v/>
      </c>
      <c r="BY417" s="3">
        <f>MAX(0,100*(1-N417/KM_MAX))</f>
        <v/>
      </c>
      <c r="BZ417" s="3">
        <f>IF(BB417&lt;KMA_SOSP,IF(AA417="sí",100,KMA_PEN),IF(BB417&lt;=KMA_IDEAL_MAX,100,MAX(0,100*(KMA_CERO-BB417)/(KMA_CERO-KMA_IDEAL_MAX))))</f>
        <v/>
      </c>
      <c r="CA417" s="3">
        <f>MAX(0,MIN(100,100*(M417-ANIO_MIN)/(ANIO_ACTUAL-ANIO_MIN)))</f>
        <v/>
      </c>
      <c r="CB417" s="3">
        <f>W_KMT*BY417+W_KMA*BZ417+W_EDAD*CA417</f>
        <v/>
      </c>
      <c r="CC417" s="3">
        <f>P_ITV*(V417="sí")+P_LIBRO*(W417="sí")+P_CORREA*(X417="sí")+P_PROP*(Y417=1)+P_GAR*(Z417="sí")+P_FOTOS*MIN(1,N(U417)/FOTOS_OBJ)</f>
        <v/>
      </c>
      <c r="CD417" s="3">
        <f>MAX(0,MIN(100,IFERROR(VLOOKUP(BP417,ETQ_TBL,2,0),0)-IF(BQ417="sí",ETQ_PEN_DUD,IF(AS417="regla",ETQ_PEN_REGLA,0))))</f>
        <v/>
      </c>
      <c r="CE417" s="3">
        <f>NEUTRO</f>
        <v/>
      </c>
      <c r="CF417" s="3">
        <f>IFERROR(VLOOKUP(L417,SEGURO_TBL,3,0),"")</f>
        <v/>
      </c>
      <c r="CG417" s="3">
        <f>IF(CF417="",NEUTRO,MAX(0,MIN(100,100*(SEG_REF_MAX-CF417)/(SEG_REF_MAX-SEG_REF_MIN))))</f>
        <v/>
      </c>
      <c r="CH417" s="3">
        <f>W_CONS*CE417+W_SEG*CG417</f>
        <v/>
      </c>
      <c r="CI417" s="3">
        <f>IF(N(AB417)&gt;0,AB417,IF(AND(R417="profesional",SG_LEGAL_ON=1),GAR_LEGAL,0))</f>
        <v/>
      </c>
      <c r="CJ417" s="3">
        <f>SG_GAR*MIN(1,CI417/SG_GAR_FULL)+SG_AMPL*(AC417="sí")+SG_KMC*(AF417="sí")+SG_REV*(N(AE417)&gt;0)+SG_DEV*MIN(1,N(AG417)/SG_DEV_FULL)+SG_HIST*(W417="sí")</f>
        <v/>
      </c>
      <c r="CK417" s="3">
        <f>IFERROR(VLOOKUP(L417,CARR_PEN_TBL,2,0),0)</f>
        <v/>
      </c>
      <c r="CL417" s="3">
        <f>W_FIAB*BW417+W_PRECIO*BX417+W_KMEDAD*CB417+W_ANUNCIO*CC417+W_USO*CH417+W_SEGURIDAD*CJ417+W_ETIQUETA*CD417-CK417</f>
        <v/>
      </c>
      <c r="CM417" s="4">
        <f>IF(N(I417)&gt;0,I417,IFERROR(ROUND(_xlfn.NUMBERVALUE(LEFT(G417,FIND(" ",G417&amp;" ")-1),".")*1000,0),99999))</f>
        <v/>
      </c>
      <c r="CN417" s="3">
        <f>IF(R417="profesional",0,IF(O417&lt;CUOTA_VALOR_MAX,IF(BA417&gt;ITP_TRAMO_ALTO,SUMIFS(CF_CUOTA,CF_MAS,ITP_TRAMO_ALTO,CF_CCMIN,"&lt;="&amp;CM417,CF_CCMAX,"&gt;="&amp;CM417),IF(BA417&gt;ITP_TRAMO_BAJO,SUMIFS(CF_CUOTA,CF_MAS,ITP_TRAMO_BAJO,CF_CCMIN,"&lt;="&amp;CM417,CF_CCMAX,"&gt;="&amp;CM417),O417*ITP_TIPO)),O417*ITP_TIPO))</f>
        <v/>
      </c>
      <c r="CO417" s="4">
        <f>IF(R417="profesional",N(AK417),0)</f>
        <v/>
      </c>
      <c r="CP417" s="3">
        <f>IF(AND(R417="profesional",ISNUMBER(AK417),AL417="sí"),0,TASA_DGT)</f>
        <v/>
      </c>
      <c r="CQ417" s="3">
        <f>INFORME_DGT</f>
        <v/>
      </c>
      <c r="CR417" s="4">
        <f>O417+CO417+CN417+CP417+CQ417</f>
        <v/>
      </c>
      <c r="CS417" s="4">
        <f>CR417+N(CF417)</f>
        <v/>
      </c>
      <c r="CT417" s="3">
        <f>IF(CR417&lt;=TOTAL_MAX,"sí",IF(CR417&lt;=TOTAL_MAX+MARGEN_NEG,"negociar","no"))</f>
        <v/>
      </c>
      <c r="CU417" s="4">
        <f>IF(CT417&lt;&gt;"no",COUNTIFS($CT$2:$CT$545,"&lt;&gt;no",$CL$2:$CL$545,"&gt;"&amp;CL417)+COUNTIFS($CT$2:CT417,"&lt;&gt;no",$CL$2:CL417,CL417),"")</f>
        <v/>
      </c>
    </row>
    <row r="418">
      <c r="A418" s="2" t="inlineStr">
        <is>
          <t>cochesnet:71434628</t>
        </is>
      </c>
      <c r="B418" s="2" t="inlineStr">
        <is>
          <t>cochesnet</t>
        </is>
      </c>
      <c r="C418" s="2" t="inlineStr">
        <is>
          <t>https://www.coches.net/ford-fiesta-diesel-2007-en-valencia-71434628-covo.aspx</t>
        </is>
      </c>
      <c r="D418" s="2" t="inlineStr">
        <is>
          <t>FORD Fiesta</t>
        </is>
      </c>
      <c r="E418" s="2" t="inlineStr">
        <is>
          <t>Ford</t>
        </is>
      </c>
      <c r="F418" s="2" t="inlineStr">
        <is>
          <t>Ford Fiesta</t>
        </is>
      </c>
      <c r="G418" s="2" t="n"/>
      <c r="H418" s="2" t="n"/>
      <c r="I418" s="2" t="n"/>
      <c r="J418" s="2" t="n"/>
      <c r="K418" s="2" t="inlineStr">
        <is>
          <t>diesel</t>
        </is>
      </c>
      <c r="L418" s="2" t="inlineStr">
        <is>
          <t>utilitario</t>
        </is>
      </c>
      <c r="M418" s="2" t="n">
        <v>2007</v>
      </c>
      <c r="N418" s="2" t="n">
        <v>149842</v>
      </c>
      <c r="O418" s="2" t="n">
        <v>5000</v>
      </c>
      <c r="P418" s="2" t="inlineStr">
        <is>
          <t>automatico</t>
        </is>
      </c>
      <c r="Q418" s="2" t="inlineStr">
        <is>
          <t>sí</t>
        </is>
      </c>
      <c r="R418" s="2" t="inlineStr">
        <is>
          <t>particular</t>
        </is>
      </c>
      <c r="S418" s="2" t="inlineStr">
        <is>
          <t>Almussafes</t>
        </is>
      </c>
      <c r="T418" s="2" t="inlineStr">
        <is>
          <t>2026-09-03T13:24:25Z</t>
        </is>
      </c>
      <c r="U418" s="2" t="n">
        <v>9</v>
      </c>
      <c r="V418" s="2" t="n"/>
      <c r="W418" s="2" t="n"/>
      <c r="X418" s="2" t="n"/>
      <c r="Y418" s="2" t="n"/>
      <c r="Z418" s="2" t="inlineStr">
        <is>
          <t>no</t>
        </is>
      </c>
      <c r="AA418" s="2" t="n"/>
      <c r="AB418" s="2" t="n"/>
      <c r="AC418" s="2" t="n"/>
      <c r="AD418" s="2" t="n"/>
      <c r="AE418" s="2" t="n"/>
      <c r="AF418" s="2" t="n"/>
      <c r="AG418" s="2" t="n"/>
      <c r="AH418" s="2" t="n">
        <v>5000</v>
      </c>
      <c r="AI418" s="2" t="n"/>
      <c r="AJ418" s="2" t="n"/>
      <c r="AK418" s="2" t="n"/>
      <c r="AL418" s="2" t="n"/>
      <c r="AM418" s="2" t="n">
        <v>20</v>
      </c>
      <c r="AN418" s="2" t="n"/>
      <c r="AO418" s="2" t="inlineStr">
        <is>
          <t>2007</t>
        </is>
      </c>
      <c r="AP418" s="2" t="n">
        <v>2007</v>
      </c>
      <c r="AQ418" s="2" t="n"/>
      <c r="AR418" s="2" t="n"/>
      <c r="AS418" s="2" t="inlineStr">
        <is>
          <t>regla</t>
        </is>
      </c>
      <c r="AT418" s="2" t="n">
        <v>4990</v>
      </c>
      <c r="AU418" s="2" t="n">
        <v>9</v>
      </c>
      <c r="AV418" s="2" t="inlineStr">
        <is>
          <t>modelo+año+km</t>
        </is>
      </c>
      <c r="AW418" s="2" t="n"/>
      <c r="AX418" s="2" t="inlineStr">
        <is>
          <t>por encima del presupuesto (5204 €), negociar; cilindrada desconocida: se aplica el tramo de cuota fija más alto; cuota fija ITP: &gt;12 años, más de 2.000 cc; diésel: motor sin fuente de fiabilidad (fiabilidad limitada a neutra)</t>
        </is>
      </c>
      <c r="AY418" s="2" t="inlineStr">
        <is>
          <t>Coche en perfectas condiciones, muy cuidado y siempre guardado en garaje.
Se ha utilizado únicamente para trayectos muy cortos para ir a trabajar, desde Almussafes al polígono de Almussafes, por lo que su uso anual ha sido mínimo. De hecho, el seguro está contratado con un límite de 2.000 km al año.
Tiene aproximadamente 149.842 km.
Interior y exterior muy bien conservados para sus años, tal y como se aprecia en las fotos.
Duerme siempre en garaje.
Se vende por no necesitarlo. Se puede ver y probar en Almussafes.
Abstenerse ofertas absurdas. Para cualquier duda, preguntar sin compromiso.</t>
        </is>
      </c>
      <c r="AZ418" s="2" t="inlineStr">
        <is>
          <t>https://www.coches.net/ford-fiesta-diesel-2007-en-valencia-71434628-covo.aspx (window.__INITIAL_PROPS__.ad) /home/user/Alopecia/buscador-coches/raw/cochesnet/d27a65ef8f2eed3e.json</t>
        </is>
      </c>
      <c r="BA418" s="3">
        <f>MAX(ANIO_ACTUAL-M418,0)</f>
        <v/>
      </c>
      <c r="BB418" s="4">
        <f>N418/MAX(BA418,0.5)</f>
        <v/>
      </c>
      <c r="BC418" s="4">
        <f>F418</f>
        <v/>
      </c>
      <c r="BD418" s="3">
        <f>BC418&amp;"|"&amp;INT(M418/SEG_ANIO)*SEG_ANIO</f>
        <v/>
      </c>
      <c r="BE418" s="3">
        <f>BD418&amp;"|"&amp;INT(N418/SEG_KM)*SEG_KM</f>
        <v/>
      </c>
      <c r="BF418" s="4">
        <f>COUNTIF($BC$2:$BC$545,BC418)</f>
        <v/>
      </c>
      <c r="BG418" s="4">
        <f>COUNTIF($BD$2:$BD$545,BD418)</f>
        <v/>
      </c>
      <c r="BH418" s="4">
        <f>COUNTIF($BE$2:$BE$545,BE418)</f>
        <v/>
      </c>
      <c r="BI418" s="3">
        <f t="array" ref="BI418">IF(N(AU418)&gt;=MIN_N,AT418,IF(BH418&gt;=MIN_N,MEDIAN(IF($BE$2:$BE$545=BE418,$O$2:$O$545)),IF(BG418&gt;=MIN_N,MEDIAN(IF($BD$2:$BD$545=BD418,$O$2:$O$545)),MEDIAN(IF($BC$2:$BC$545=BC418,$O$2:$O$545)))))</f>
        <v/>
      </c>
      <c r="BJ418" s="3">
        <f>IF(N(AU418)&gt;=MIN_N,"mercado "&amp;AV418,IF(BH418&gt;=MIN_N,"modelo+año+km",IF(BG418&gt;=MIN_N,"modelo+año","modelo")))</f>
        <v/>
      </c>
      <c r="BK418" s="4">
        <f>(BI418-O418)/BI418</f>
        <v/>
      </c>
      <c r="BL418" s="3">
        <f>IF(COUNTIFS(FR_FUEL,K418,FR_YEAR,AP418)&gt;0,1,0)</f>
        <v/>
      </c>
      <c r="BM418" s="3">
        <f>IF(COUNTIFS(FR_FUEL,K418,FR_YEAR,AP418-1)&gt;0,1,0)</f>
        <v/>
      </c>
      <c r="BN418" s="4">
        <f>IF(N(AQ418)&gt;0,AP418*100+AQ418,IF(AND(BL418=1,BM418=1),(AP418-1)*100+1,AP418*100+1))</f>
        <v/>
      </c>
      <c r="BO418" s="3">
        <f>IF(OR(K418="hibrido",K418="glp",K418="gnc",K418="phev"),"ECO",IF(K418="electrico","CERO",IF(K418="gasolina",IF(BN418&gt;=GAS_C_YM,"C",IF(BN418&gt;=GAS_B_YM,"B","A")),IF(K418="diesel",IF(BN418&gt;=DIE_C_YM,"C",IF(BN418&gt;=DIE_B_YM,"B","A")),""))))</f>
        <v/>
      </c>
      <c r="BP418" s="4">
        <f>BO418</f>
        <v/>
      </c>
      <c r="BQ418" s="4">
        <f>IF(AS418="regla",IF(AND(N(AQ418)=0,BL418=1),"sí","no"),"no")</f>
        <v/>
      </c>
      <c r="BR418" s="3">
        <f>IFERROR(VLOOKUP(F418,MOD_TBL,11,0),IFERROR(VLOOKUP(E418,OCU_TBL,2,0),NEUTRO))</f>
        <v/>
      </c>
      <c r="BS418" s="3">
        <f>SUMIFS(MOT_AJUSTE,MOT_MOTOR,G418,MOT_MARCA,E418,MOT_DESDE,"&lt;="&amp;M418,MOT_HASTA,"&gt;="&amp;M418)+SUMIFS(MOT_AJUSTE,MOT_MOTOR,G418,MOT_MARCA,"(todas)",MOT_DESDE,"&lt;="&amp;M418,MOT_HASTA,"&gt;="&amp;M418)</f>
        <v/>
      </c>
      <c r="BT418" s="3">
        <f>SUMIFS(COMB_AJUSTE,COMB_COMB,K418)</f>
        <v/>
      </c>
      <c r="BU418" s="3">
        <f>COUNTIFS(MOT_MOTOR,G418,MOT_MARCA,E418,MOT_DESDE,"&lt;="&amp;M418,MOT_HASTA,"&gt;="&amp;M418)+COUNTIFS(MOT_MOTOR,G418,MOT_MARCA,"(todas)",MOT_DESDE,"&lt;="&amp;M418,MOT_HASTA,"&gt;="&amp;M418)</f>
        <v/>
      </c>
      <c r="BV418" s="3">
        <f>IF(AND(K418="diesel",BU418=0),MIN(BR418,NEUTRO),BR418)</f>
        <v/>
      </c>
      <c r="BW418" s="4">
        <f>MAX(0,MIN(100,BV418+BS418+BT418))</f>
        <v/>
      </c>
      <c r="BX418" s="3">
        <f>MAX(0,MIN(100,50+BK418*PRECIO_PEND))</f>
        <v/>
      </c>
      <c r="BY418" s="3">
        <f>MAX(0,100*(1-N418/KM_MAX))</f>
        <v/>
      </c>
      <c r="BZ418" s="3">
        <f>IF(BB418&lt;KMA_SOSP,IF(AA418="sí",100,KMA_PEN),IF(BB418&lt;=KMA_IDEAL_MAX,100,MAX(0,100*(KMA_CERO-BB418)/(KMA_CERO-KMA_IDEAL_MAX))))</f>
        <v/>
      </c>
      <c r="CA418" s="3">
        <f>MAX(0,MIN(100,100*(M418-ANIO_MIN)/(ANIO_ACTUAL-ANIO_MIN)))</f>
        <v/>
      </c>
      <c r="CB418" s="3">
        <f>W_KMT*BY418+W_KMA*BZ418+W_EDAD*CA418</f>
        <v/>
      </c>
      <c r="CC418" s="3">
        <f>P_ITV*(V418="sí")+P_LIBRO*(W418="sí")+P_CORREA*(X418="sí")+P_PROP*(Y418=1)+P_GAR*(Z418="sí")+P_FOTOS*MIN(1,N(U418)/FOTOS_OBJ)</f>
        <v/>
      </c>
      <c r="CD418" s="3">
        <f>MAX(0,MIN(100,IFERROR(VLOOKUP(BP418,ETQ_TBL,2,0),0)-IF(BQ418="sí",ETQ_PEN_DUD,IF(AS418="regla",ETQ_PEN_REGLA,0))))</f>
        <v/>
      </c>
      <c r="CE418" s="3">
        <f>NEUTRO</f>
        <v/>
      </c>
      <c r="CF418" s="3">
        <f>IFERROR(VLOOKUP(L418,SEGURO_TBL,3,0),"")</f>
        <v/>
      </c>
      <c r="CG418" s="3">
        <f>IF(CF418="",NEUTRO,MAX(0,MIN(100,100*(SEG_REF_MAX-CF418)/(SEG_REF_MAX-SEG_REF_MIN))))</f>
        <v/>
      </c>
      <c r="CH418" s="3">
        <f>W_CONS*CE418+W_SEG*CG418</f>
        <v/>
      </c>
      <c r="CI418" s="3">
        <f>IF(N(AB418)&gt;0,AB418,IF(AND(R418="profesional",SG_LEGAL_ON=1),GAR_LEGAL,0))</f>
        <v/>
      </c>
      <c r="CJ418" s="3">
        <f>SG_GAR*MIN(1,CI418/SG_GAR_FULL)+SG_AMPL*(AC418="sí")+SG_KMC*(AF418="sí")+SG_REV*(N(AE418)&gt;0)+SG_DEV*MIN(1,N(AG418)/SG_DEV_FULL)+SG_HIST*(W418="sí")</f>
        <v/>
      </c>
      <c r="CK418" s="3">
        <f>IFERROR(VLOOKUP(L418,CARR_PEN_TBL,2,0),0)</f>
        <v/>
      </c>
      <c r="CL418" s="3">
        <f>W_FIAB*BW418+W_PRECIO*BX418+W_KMEDAD*CB418+W_ANUNCIO*CC418+W_USO*CH418+W_SEGURIDAD*CJ418+W_ETIQUETA*CD418-CK418</f>
        <v/>
      </c>
      <c r="CM418" s="4">
        <f>IF(N(I418)&gt;0,I418,IFERROR(ROUND(_xlfn.NUMBERVALUE(LEFT(G418,FIND(" ",G418&amp;" ")-1),".")*1000,0),99999))</f>
        <v/>
      </c>
      <c r="CN418" s="3">
        <f>IF(R418="profesional",0,IF(O418&lt;CUOTA_VALOR_MAX,IF(BA418&gt;ITP_TRAMO_ALTO,SUMIFS(CF_CUOTA,CF_MAS,ITP_TRAMO_ALTO,CF_CCMIN,"&lt;="&amp;CM418,CF_CCMAX,"&gt;="&amp;CM418),IF(BA418&gt;ITP_TRAMO_BAJO,SUMIFS(CF_CUOTA,CF_MAS,ITP_TRAMO_BAJO,CF_CCMIN,"&lt;="&amp;CM418,CF_CCMAX,"&gt;="&amp;CM418),O418*ITP_TIPO)),O418*ITP_TIPO))</f>
        <v/>
      </c>
      <c r="CO418" s="4">
        <f>IF(R418="profesional",N(AK418),0)</f>
        <v/>
      </c>
      <c r="CP418" s="3">
        <f>IF(AND(R418="profesional",ISNUMBER(AK418),AL418="sí"),0,TASA_DGT)</f>
        <v/>
      </c>
      <c r="CQ418" s="3">
        <f>INFORME_DGT</f>
        <v/>
      </c>
      <c r="CR418" s="4">
        <f>O418+CO418+CN418+CP418+CQ418</f>
        <v/>
      </c>
      <c r="CS418" s="4">
        <f>CR418+N(CF418)</f>
        <v/>
      </c>
      <c r="CT418" s="3">
        <f>IF(CR418&lt;=TOTAL_MAX,"sí",IF(CR418&lt;=TOTAL_MAX+MARGEN_NEG,"negociar","no"))</f>
        <v/>
      </c>
      <c r="CU418" s="4">
        <f>IF(CT418&lt;&gt;"no",COUNTIFS($CT$2:$CT$545,"&lt;&gt;no",$CL$2:$CL$545,"&gt;"&amp;CL418)+COUNTIFS($CT$2:CT418,"&lt;&gt;no",$CL$2:CL418,CL418),"")</f>
        <v/>
      </c>
    </row>
    <row r="419">
      <c r="A419" s="2" t="inlineStr">
        <is>
          <t>cochesnet:71399309</t>
        </is>
      </c>
      <c r="B419" s="2" t="inlineStr">
        <is>
          <t>cochesnet</t>
        </is>
      </c>
      <c r="C419" s="2" t="inlineStr">
        <is>
          <t>https://www.coches.net/ford-fiesta-diesel-2006-en-valencia-71399309-covo.aspx</t>
        </is>
      </c>
      <c r="D419" s="2" t="inlineStr">
        <is>
          <t>FORD Fiesta</t>
        </is>
      </c>
      <c r="E419" s="2" t="inlineStr">
        <is>
          <t>Ford</t>
        </is>
      </c>
      <c r="F419" s="2" t="inlineStr">
        <is>
          <t>Ford Fiesta</t>
        </is>
      </c>
      <c r="G419" s="2" t="n"/>
      <c r="H419" s="2" t="n"/>
      <c r="I419" s="2" t="n"/>
      <c r="J419" s="2" t="n"/>
      <c r="K419" s="2" t="inlineStr">
        <is>
          <t>diesel</t>
        </is>
      </c>
      <c r="L419" s="2" t="inlineStr">
        <is>
          <t>utilitario</t>
        </is>
      </c>
      <c r="M419" s="2" t="n">
        <v>2006</v>
      </c>
      <c r="N419" s="2" t="n">
        <v>210000</v>
      </c>
      <c r="O419" s="2" t="n">
        <v>2800</v>
      </c>
      <c r="P419" s="2" t="inlineStr">
        <is>
          <t>manual</t>
        </is>
      </c>
      <c r="Q419" s="2" t="inlineStr">
        <is>
          <t>no</t>
        </is>
      </c>
      <c r="R419" s="2" t="inlineStr">
        <is>
          <t>particular</t>
        </is>
      </c>
      <c r="S419" s="2" t="n"/>
      <c r="T419" s="2" t="inlineStr">
        <is>
          <t>2026-08-31T09:24:26Z</t>
        </is>
      </c>
      <c r="U419" s="2" t="n">
        <v>8</v>
      </c>
      <c r="V419" s="2" t="inlineStr">
        <is>
          <t>sí</t>
        </is>
      </c>
      <c r="W419" s="2" t="n"/>
      <c r="X419" s="2" t="n"/>
      <c r="Y419" s="2" t="n"/>
      <c r="Z419" s="2" t="inlineStr">
        <is>
          <t>no</t>
        </is>
      </c>
      <c r="AA419" s="2" t="n"/>
      <c r="AB419" s="2" t="n"/>
      <c r="AC419" s="2" t="n"/>
      <c r="AD419" s="2" t="n"/>
      <c r="AE419" s="2" t="n"/>
      <c r="AF419" s="2" t="n"/>
      <c r="AG419" s="2" t="n"/>
      <c r="AH419" s="2" t="n">
        <v>2800</v>
      </c>
      <c r="AI419" s="2" t="n"/>
      <c r="AJ419" s="2" t="n"/>
      <c r="AK419" s="2" t="n"/>
      <c r="AL419" s="2" t="n"/>
      <c r="AM419" s="2" t="n"/>
      <c r="AN419" s="2" t="n"/>
      <c r="AO419" s="2" t="inlineStr">
        <is>
          <t>2006</t>
        </is>
      </c>
      <c r="AP419" s="2" t="n">
        <v>2006</v>
      </c>
      <c r="AQ419" s="2" t="n"/>
      <c r="AR419" s="2" t="n"/>
      <c r="AS419" s="2" t="inlineStr">
        <is>
          <t>regla</t>
        </is>
      </c>
      <c r="AT419" s="2" t="n">
        <v>2500</v>
      </c>
      <c r="AU419" s="2" t="n">
        <v>7</v>
      </c>
      <c r="AV419" s="2" t="inlineStr">
        <is>
          <t>modelo+año+km</t>
        </is>
      </c>
      <c r="AW419" s="2" t="n"/>
      <c r="AX419"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19" s="2" t="inlineStr">
        <is>
          <t>El vehículo se entrega en perfecto funcionamiento con la ITV en vigor y garantía de bloque motor y caja de cambios.</t>
        </is>
      </c>
      <c r="AZ419" s="2" t="inlineStr">
        <is>
          <t>https://www.coches.net/ford-fiesta-diesel-2006-en-valencia-71399309-covo.aspx (window.__INITIAL_PROPS__.ad) /home/user/Alopecia/buscador-coches/raw/cochesnet/494fd8d2bf92f4f1.json</t>
        </is>
      </c>
      <c r="BA419" s="3">
        <f>MAX(ANIO_ACTUAL-M419,0)</f>
        <v/>
      </c>
      <c r="BB419" s="4">
        <f>N419/MAX(BA419,0.5)</f>
        <v/>
      </c>
      <c r="BC419" s="4">
        <f>F419</f>
        <v/>
      </c>
      <c r="BD419" s="3">
        <f>BC419&amp;"|"&amp;INT(M419/SEG_ANIO)*SEG_ANIO</f>
        <v/>
      </c>
      <c r="BE419" s="3">
        <f>BD419&amp;"|"&amp;INT(N419/SEG_KM)*SEG_KM</f>
        <v/>
      </c>
      <c r="BF419" s="4">
        <f>COUNTIF($BC$2:$BC$545,BC419)</f>
        <v/>
      </c>
      <c r="BG419" s="4">
        <f>COUNTIF($BD$2:$BD$545,BD419)</f>
        <v/>
      </c>
      <c r="BH419" s="4">
        <f>COUNTIF($BE$2:$BE$545,BE419)</f>
        <v/>
      </c>
      <c r="BI419" s="3">
        <f t="array" ref="BI419">IF(N(AU419)&gt;=MIN_N,AT419,IF(BH419&gt;=MIN_N,MEDIAN(IF($BE$2:$BE$545=BE419,$O$2:$O$545)),IF(BG419&gt;=MIN_N,MEDIAN(IF($BD$2:$BD$545=BD419,$O$2:$O$545)),MEDIAN(IF($BC$2:$BC$545=BC419,$O$2:$O$545)))))</f>
        <v/>
      </c>
      <c r="BJ419" s="3">
        <f>IF(N(AU419)&gt;=MIN_N,"mercado "&amp;AV419,IF(BH419&gt;=MIN_N,"modelo+año+km",IF(BG419&gt;=MIN_N,"modelo+año","modelo")))</f>
        <v/>
      </c>
      <c r="BK419" s="4">
        <f>(BI419-O419)/BI419</f>
        <v/>
      </c>
      <c r="BL419" s="3">
        <f>IF(COUNTIFS(FR_FUEL,K419,FR_YEAR,AP419)&gt;0,1,0)</f>
        <v/>
      </c>
      <c r="BM419" s="3">
        <f>IF(COUNTIFS(FR_FUEL,K419,FR_YEAR,AP419-1)&gt;0,1,0)</f>
        <v/>
      </c>
      <c r="BN419" s="4">
        <f>IF(N(AQ419)&gt;0,AP419*100+AQ419,IF(AND(BL419=1,BM419=1),(AP419-1)*100+1,AP419*100+1))</f>
        <v/>
      </c>
      <c r="BO419" s="3">
        <f>IF(OR(K419="hibrido",K419="glp",K419="gnc",K419="phev"),"ECO",IF(K419="electrico","CERO",IF(K419="gasolina",IF(BN419&gt;=GAS_C_YM,"C",IF(BN419&gt;=GAS_B_YM,"B","A")),IF(K419="diesel",IF(BN419&gt;=DIE_C_YM,"C",IF(BN419&gt;=DIE_B_YM,"B","A")),""))))</f>
        <v/>
      </c>
      <c r="BP419" s="4">
        <f>BO419</f>
        <v/>
      </c>
      <c r="BQ419" s="4">
        <f>IF(AS419="regla",IF(AND(N(AQ419)=0,BL419=1),"sí","no"),"no")</f>
        <v/>
      </c>
      <c r="BR419" s="3">
        <f>IFERROR(VLOOKUP(F419,MOD_TBL,11,0),IFERROR(VLOOKUP(E419,OCU_TBL,2,0),NEUTRO))</f>
        <v/>
      </c>
      <c r="BS419" s="3">
        <f>SUMIFS(MOT_AJUSTE,MOT_MOTOR,G419,MOT_MARCA,E419,MOT_DESDE,"&lt;="&amp;M419,MOT_HASTA,"&gt;="&amp;M419)+SUMIFS(MOT_AJUSTE,MOT_MOTOR,G419,MOT_MARCA,"(todas)",MOT_DESDE,"&lt;="&amp;M419,MOT_HASTA,"&gt;="&amp;M419)</f>
        <v/>
      </c>
      <c r="BT419" s="3">
        <f>SUMIFS(COMB_AJUSTE,COMB_COMB,K419)</f>
        <v/>
      </c>
      <c r="BU419" s="3">
        <f>COUNTIFS(MOT_MOTOR,G419,MOT_MARCA,E419,MOT_DESDE,"&lt;="&amp;M419,MOT_HASTA,"&gt;="&amp;M419)+COUNTIFS(MOT_MOTOR,G419,MOT_MARCA,"(todas)",MOT_DESDE,"&lt;="&amp;M419,MOT_HASTA,"&gt;="&amp;M419)</f>
        <v/>
      </c>
      <c r="BV419" s="3">
        <f>IF(AND(K419="diesel",BU419=0),MIN(BR419,NEUTRO),BR419)</f>
        <v/>
      </c>
      <c r="BW419" s="4">
        <f>MAX(0,MIN(100,BV419+BS419+BT419))</f>
        <v/>
      </c>
      <c r="BX419" s="3">
        <f>MAX(0,MIN(100,50+BK419*PRECIO_PEND))</f>
        <v/>
      </c>
      <c r="BY419" s="3">
        <f>MAX(0,100*(1-N419/KM_MAX))</f>
        <v/>
      </c>
      <c r="BZ419" s="3">
        <f>IF(BB419&lt;KMA_SOSP,IF(AA419="sí",100,KMA_PEN),IF(BB419&lt;=KMA_IDEAL_MAX,100,MAX(0,100*(KMA_CERO-BB419)/(KMA_CERO-KMA_IDEAL_MAX))))</f>
        <v/>
      </c>
      <c r="CA419" s="3">
        <f>MAX(0,MIN(100,100*(M419-ANIO_MIN)/(ANIO_ACTUAL-ANIO_MIN)))</f>
        <v/>
      </c>
      <c r="CB419" s="3">
        <f>W_KMT*BY419+W_KMA*BZ419+W_EDAD*CA419</f>
        <v/>
      </c>
      <c r="CC419" s="3">
        <f>P_ITV*(V419="sí")+P_LIBRO*(W419="sí")+P_CORREA*(X419="sí")+P_PROP*(Y419=1)+P_GAR*(Z419="sí")+P_FOTOS*MIN(1,N(U419)/FOTOS_OBJ)</f>
        <v/>
      </c>
      <c r="CD419" s="3">
        <f>MAX(0,MIN(100,IFERROR(VLOOKUP(BP419,ETQ_TBL,2,0),0)-IF(BQ419="sí",ETQ_PEN_DUD,IF(AS419="regla",ETQ_PEN_REGLA,0))))</f>
        <v/>
      </c>
      <c r="CE419" s="3">
        <f>NEUTRO</f>
        <v/>
      </c>
      <c r="CF419" s="3">
        <f>IFERROR(VLOOKUP(L419,SEGURO_TBL,3,0),"")</f>
        <v/>
      </c>
      <c r="CG419" s="3">
        <f>IF(CF419="",NEUTRO,MAX(0,MIN(100,100*(SEG_REF_MAX-CF419)/(SEG_REF_MAX-SEG_REF_MIN))))</f>
        <v/>
      </c>
      <c r="CH419" s="3">
        <f>W_CONS*CE419+W_SEG*CG419</f>
        <v/>
      </c>
      <c r="CI419" s="3">
        <f>IF(N(AB419)&gt;0,AB419,IF(AND(R419="profesional",SG_LEGAL_ON=1),GAR_LEGAL,0))</f>
        <v/>
      </c>
      <c r="CJ419" s="3">
        <f>SG_GAR*MIN(1,CI419/SG_GAR_FULL)+SG_AMPL*(AC419="sí")+SG_KMC*(AF419="sí")+SG_REV*(N(AE419)&gt;0)+SG_DEV*MIN(1,N(AG419)/SG_DEV_FULL)+SG_HIST*(W419="sí")</f>
        <v/>
      </c>
      <c r="CK419" s="3">
        <f>IFERROR(VLOOKUP(L419,CARR_PEN_TBL,2,0),0)</f>
        <v/>
      </c>
      <c r="CL419" s="3">
        <f>W_FIAB*BW419+W_PRECIO*BX419+W_KMEDAD*CB419+W_ANUNCIO*CC419+W_USO*CH419+W_SEGURIDAD*CJ419+W_ETIQUETA*CD419-CK419</f>
        <v/>
      </c>
      <c r="CM419" s="4">
        <f>IF(N(I419)&gt;0,I419,IFERROR(ROUND(_xlfn.NUMBERVALUE(LEFT(G419,FIND(" ",G419&amp;" ")-1),".")*1000,0),99999))</f>
        <v/>
      </c>
      <c r="CN419" s="3">
        <f>IF(R419="profesional",0,IF(O419&lt;CUOTA_VALOR_MAX,IF(BA419&gt;ITP_TRAMO_ALTO,SUMIFS(CF_CUOTA,CF_MAS,ITP_TRAMO_ALTO,CF_CCMIN,"&lt;="&amp;CM419,CF_CCMAX,"&gt;="&amp;CM419),IF(BA419&gt;ITP_TRAMO_BAJO,SUMIFS(CF_CUOTA,CF_MAS,ITP_TRAMO_BAJO,CF_CCMIN,"&lt;="&amp;CM419,CF_CCMAX,"&gt;="&amp;CM419),O419*ITP_TIPO)),O419*ITP_TIPO))</f>
        <v/>
      </c>
      <c r="CO419" s="4">
        <f>IF(R419="profesional",N(AK419),0)</f>
        <v/>
      </c>
      <c r="CP419" s="3">
        <f>IF(AND(R419="profesional",ISNUMBER(AK419),AL419="sí"),0,TASA_DGT)</f>
        <v/>
      </c>
      <c r="CQ419" s="3">
        <f>INFORME_DGT</f>
        <v/>
      </c>
      <c r="CR419" s="4">
        <f>O419+CO419+CN419+CP419+CQ419</f>
        <v/>
      </c>
      <c r="CS419" s="4">
        <f>CR419+N(CF419)</f>
        <v/>
      </c>
      <c r="CT419" s="3">
        <f>IF(CR419&lt;=TOTAL_MAX,"sí",IF(CR419&lt;=TOTAL_MAX+MARGEN_NEG,"negociar","no"))</f>
        <v/>
      </c>
      <c r="CU419" s="4">
        <f>IF(CT419&lt;&gt;"no",COUNTIFS($CT$2:$CT$545,"&lt;&gt;no",$CL$2:$CL$545,"&gt;"&amp;CL419)+COUNTIFS($CT$2:CT419,"&lt;&gt;no",$CL$2:CL419,CL419),"")</f>
        <v/>
      </c>
    </row>
    <row r="420">
      <c r="A420" s="2" t="inlineStr">
        <is>
          <t>cochesnet:71396447</t>
        </is>
      </c>
      <c r="B420" s="2" t="inlineStr">
        <is>
          <t>cochesnet</t>
        </is>
      </c>
      <c r="C420" s="2" t="inlineStr">
        <is>
          <t>https://www.coches.net/ford-fiesta-diesel-2007-en-valencia-71396447-covo.aspx</t>
        </is>
      </c>
      <c r="D420" s="2" t="inlineStr">
        <is>
          <t>FORD Fiesta</t>
        </is>
      </c>
      <c r="E420" s="2" t="inlineStr">
        <is>
          <t>Ford</t>
        </is>
      </c>
      <c r="F420" s="2" t="inlineStr">
        <is>
          <t>Ford Fiesta</t>
        </is>
      </c>
      <c r="G420" s="2" t="n"/>
      <c r="H420" s="2" t="n"/>
      <c r="I420" s="2" t="n"/>
      <c r="J420" s="2" t="n"/>
      <c r="K420" s="2" t="inlineStr">
        <is>
          <t>diesel</t>
        </is>
      </c>
      <c r="L420" s="2" t="inlineStr">
        <is>
          <t>utilitario</t>
        </is>
      </c>
      <c r="M420" s="2" t="n">
        <v>2007</v>
      </c>
      <c r="N420" s="2" t="n">
        <v>218500</v>
      </c>
      <c r="O420" s="2" t="n">
        <v>2700</v>
      </c>
      <c r="P420" s="2" t="inlineStr">
        <is>
          <t>manual</t>
        </is>
      </c>
      <c r="Q420" s="2" t="inlineStr">
        <is>
          <t>no</t>
        </is>
      </c>
      <c r="R420" s="2" t="inlineStr">
        <is>
          <t>particular</t>
        </is>
      </c>
      <c r="S420" s="2" t="inlineStr">
        <is>
          <t>Manises</t>
        </is>
      </c>
      <c r="T420" s="2" t="inlineStr">
        <is>
          <t>2026-08-30T21:17:03Z</t>
        </is>
      </c>
      <c r="U420" s="2" t="n">
        <v>9</v>
      </c>
      <c r="V420" s="2" t="inlineStr">
        <is>
          <t>sí</t>
        </is>
      </c>
      <c r="W420" s="2" t="n"/>
      <c r="X420" s="2" t="n"/>
      <c r="Y420" s="2" t="n"/>
      <c r="Z420" s="2" t="inlineStr">
        <is>
          <t>no</t>
        </is>
      </c>
      <c r="AA420" s="2" t="n"/>
      <c r="AB420" s="2" t="n"/>
      <c r="AC420" s="2" t="n"/>
      <c r="AD420" s="2" t="n"/>
      <c r="AE420" s="2" t="n"/>
      <c r="AF420" s="2" t="n"/>
      <c r="AG420" s="2" t="n"/>
      <c r="AH420" s="2" t="n">
        <v>2700</v>
      </c>
      <c r="AI420" s="2" t="n"/>
      <c r="AJ420" s="2" t="n"/>
      <c r="AK420" s="2" t="n"/>
      <c r="AL420" s="2" t="n"/>
      <c r="AM420" s="2" t="n">
        <v>8.1</v>
      </c>
      <c r="AN420" s="2" t="n"/>
      <c r="AO420" s="2" t="inlineStr">
        <is>
          <t>2007</t>
        </is>
      </c>
      <c r="AP420" s="2" t="n">
        <v>2007</v>
      </c>
      <c r="AQ420" s="2" t="n"/>
      <c r="AR420" s="2" t="n"/>
      <c r="AS420" s="2" t="inlineStr">
        <is>
          <t>regla</t>
        </is>
      </c>
      <c r="AT420" s="2" t="n">
        <v>3250</v>
      </c>
      <c r="AU420" s="2" t="n">
        <v>12</v>
      </c>
      <c r="AV420" s="2" t="inlineStr">
        <is>
          <t>modelo+año+km</t>
        </is>
      </c>
      <c r="AW420" s="2" t="n"/>
      <c r="AX420" s="2" t="inlineStr">
        <is>
          <t>cilindrada desconocida: se aplica el tramo de cuota fija más alto; cuota fija ITP: &gt;12 años, más de 2.000 cc; diésel: motor sin fuente de fiabilidad (fiabilidad limitada a neutra)</t>
        </is>
      </c>
      <c r="AY420" s="2" t="inlineStr">
        <is>
          <t>vendo ford fiesta en perfecto estado.
cambio distribucion aceites filtros recien cambiados ruedas practicamente nuevas.itv recien pasada.no se fumo nunca y siempre en garaje.esta nuevo</t>
        </is>
      </c>
      <c r="AZ420" s="2" t="inlineStr">
        <is>
          <t>https://www.coches.net/ford-fiesta-diesel-2007-en-valencia-71396447-covo.aspx (window.__INITIAL_PROPS__.ad) /home/user/Alopecia/buscador-coches/raw/cochesnet/e708f159fe8d1e93.json</t>
        </is>
      </c>
      <c r="BA420" s="3">
        <f>MAX(ANIO_ACTUAL-M420,0)</f>
        <v/>
      </c>
      <c r="BB420" s="4">
        <f>N420/MAX(BA420,0.5)</f>
        <v/>
      </c>
      <c r="BC420" s="4">
        <f>F420</f>
        <v/>
      </c>
      <c r="BD420" s="3">
        <f>BC420&amp;"|"&amp;INT(M420/SEG_ANIO)*SEG_ANIO</f>
        <v/>
      </c>
      <c r="BE420" s="3">
        <f>BD420&amp;"|"&amp;INT(N420/SEG_KM)*SEG_KM</f>
        <v/>
      </c>
      <c r="BF420" s="4">
        <f>COUNTIF($BC$2:$BC$545,BC420)</f>
        <v/>
      </c>
      <c r="BG420" s="4">
        <f>COUNTIF($BD$2:$BD$545,BD420)</f>
        <v/>
      </c>
      <c r="BH420" s="4">
        <f>COUNTIF($BE$2:$BE$545,BE420)</f>
        <v/>
      </c>
      <c r="BI420" s="3">
        <f t="array" ref="BI420">IF(N(AU420)&gt;=MIN_N,AT420,IF(BH420&gt;=MIN_N,MEDIAN(IF($BE$2:$BE$545=BE420,$O$2:$O$545)),IF(BG420&gt;=MIN_N,MEDIAN(IF($BD$2:$BD$545=BD420,$O$2:$O$545)),MEDIAN(IF($BC$2:$BC$545=BC420,$O$2:$O$545)))))</f>
        <v/>
      </c>
      <c r="BJ420" s="3">
        <f>IF(N(AU420)&gt;=MIN_N,"mercado "&amp;AV420,IF(BH420&gt;=MIN_N,"modelo+año+km",IF(BG420&gt;=MIN_N,"modelo+año","modelo")))</f>
        <v/>
      </c>
      <c r="BK420" s="4">
        <f>(BI420-O420)/BI420</f>
        <v/>
      </c>
      <c r="BL420" s="3">
        <f>IF(COUNTIFS(FR_FUEL,K420,FR_YEAR,AP420)&gt;0,1,0)</f>
        <v/>
      </c>
      <c r="BM420" s="3">
        <f>IF(COUNTIFS(FR_FUEL,K420,FR_YEAR,AP420-1)&gt;0,1,0)</f>
        <v/>
      </c>
      <c r="BN420" s="4">
        <f>IF(N(AQ420)&gt;0,AP420*100+AQ420,IF(AND(BL420=1,BM420=1),(AP420-1)*100+1,AP420*100+1))</f>
        <v/>
      </c>
      <c r="BO420" s="3">
        <f>IF(OR(K420="hibrido",K420="glp",K420="gnc",K420="phev"),"ECO",IF(K420="electrico","CERO",IF(K420="gasolina",IF(BN420&gt;=GAS_C_YM,"C",IF(BN420&gt;=GAS_B_YM,"B","A")),IF(K420="diesel",IF(BN420&gt;=DIE_C_YM,"C",IF(BN420&gt;=DIE_B_YM,"B","A")),""))))</f>
        <v/>
      </c>
      <c r="BP420" s="4">
        <f>BO420</f>
        <v/>
      </c>
      <c r="BQ420" s="4">
        <f>IF(AS420="regla",IF(AND(N(AQ420)=0,BL420=1),"sí","no"),"no")</f>
        <v/>
      </c>
      <c r="BR420" s="3">
        <f>IFERROR(VLOOKUP(F420,MOD_TBL,11,0),IFERROR(VLOOKUP(E420,OCU_TBL,2,0),NEUTRO))</f>
        <v/>
      </c>
      <c r="BS420" s="3">
        <f>SUMIFS(MOT_AJUSTE,MOT_MOTOR,G420,MOT_MARCA,E420,MOT_DESDE,"&lt;="&amp;M420,MOT_HASTA,"&gt;="&amp;M420)+SUMIFS(MOT_AJUSTE,MOT_MOTOR,G420,MOT_MARCA,"(todas)",MOT_DESDE,"&lt;="&amp;M420,MOT_HASTA,"&gt;="&amp;M420)</f>
        <v/>
      </c>
      <c r="BT420" s="3">
        <f>SUMIFS(COMB_AJUSTE,COMB_COMB,K420)</f>
        <v/>
      </c>
      <c r="BU420" s="3">
        <f>COUNTIFS(MOT_MOTOR,G420,MOT_MARCA,E420,MOT_DESDE,"&lt;="&amp;M420,MOT_HASTA,"&gt;="&amp;M420)+COUNTIFS(MOT_MOTOR,G420,MOT_MARCA,"(todas)",MOT_DESDE,"&lt;="&amp;M420,MOT_HASTA,"&gt;="&amp;M420)</f>
        <v/>
      </c>
      <c r="BV420" s="3">
        <f>IF(AND(K420="diesel",BU420=0),MIN(BR420,NEUTRO),BR420)</f>
        <v/>
      </c>
      <c r="BW420" s="4">
        <f>MAX(0,MIN(100,BV420+BS420+BT420))</f>
        <v/>
      </c>
      <c r="BX420" s="3">
        <f>MAX(0,MIN(100,50+BK420*PRECIO_PEND))</f>
        <v/>
      </c>
      <c r="BY420" s="3">
        <f>MAX(0,100*(1-N420/KM_MAX))</f>
        <v/>
      </c>
      <c r="BZ420" s="3">
        <f>IF(BB420&lt;KMA_SOSP,IF(AA420="sí",100,KMA_PEN),IF(BB420&lt;=KMA_IDEAL_MAX,100,MAX(0,100*(KMA_CERO-BB420)/(KMA_CERO-KMA_IDEAL_MAX))))</f>
        <v/>
      </c>
      <c r="CA420" s="3">
        <f>MAX(0,MIN(100,100*(M420-ANIO_MIN)/(ANIO_ACTUAL-ANIO_MIN)))</f>
        <v/>
      </c>
      <c r="CB420" s="3">
        <f>W_KMT*BY420+W_KMA*BZ420+W_EDAD*CA420</f>
        <v/>
      </c>
      <c r="CC420" s="3">
        <f>P_ITV*(V420="sí")+P_LIBRO*(W420="sí")+P_CORREA*(X420="sí")+P_PROP*(Y420=1)+P_GAR*(Z420="sí")+P_FOTOS*MIN(1,N(U420)/FOTOS_OBJ)</f>
        <v/>
      </c>
      <c r="CD420" s="3">
        <f>MAX(0,MIN(100,IFERROR(VLOOKUP(BP420,ETQ_TBL,2,0),0)-IF(BQ420="sí",ETQ_PEN_DUD,IF(AS420="regla",ETQ_PEN_REGLA,0))))</f>
        <v/>
      </c>
      <c r="CE420" s="3">
        <f>NEUTRO</f>
        <v/>
      </c>
      <c r="CF420" s="3">
        <f>IFERROR(VLOOKUP(L420,SEGURO_TBL,3,0),"")</f>
        <v/>
      </c>
      <c r="CG420" s="3">
        <f>IF(CF420="",NEUTRO,MAX(0,MIN(100,100*(SEG_REF_MAX-CF420)/(SEG_REF_MAX-SEG_REF_MIN))))</f>
        <v/>
      </c>
      <c r="CH420" s="3">
        <f>W_CONS*CE420+W_SEG*CG420</f>
        <v/>
      </c>
      <c r="CI420" s="3">
        <f>IF(N(AB420)&gt;0,AB420,IF(AND(R420="profesional",SG_LEGAL_ON=1),GAR_LEGAL,0))</f>
        <v/>
      </c>
      <c r="CJ420" s="3">
        <f>SG_GAR*MIN(1,CI420/SG_GAR_FULL)+SG_AMPL*(AC420="sí")+SG_KMC*(AF420="sí")+SG_REV*(N(AE420)&gt;0)+SG_DEV*MIN(1,N(AG420)/SG_DEV_FULL)+SG_HIST*(W420="sí")</f>
        <v/>
      </c>
      <c r="CK420" s="3">
        <f>IFERROR(VLOOKUP(L420,CARR_PEN_TBL,2,0),0)</f>
        <v/>
      </c>
      <c r="CL420" s="3">
        <f>W_FIAB*BW420+W_PRECIO*BX420+W_KMEDAD*CB420+W_ANUNCIO*CC420+W_USO*CH420+W_SEGURIDAD*CJ420+W_ETIQUETA*CD420-CK420</f>
        <v/>
      </c>
      <c r="CM420" s="4">
        <f>IF(N(I420)&gt;0,I420,IFERROR(ROUND(_xlfn.NUMBERVALUE(LEFT(G420,FIND(" ",G420&amp;" ")-1),".")*1000,0),99999))</f>
        <v/>
      </c>
      <c r="CN420" s="3">
        <f>IF(R420="profesional",0,IF(O420&lt;CUOTA_VALOR_MAX,IF(BA420&gt;ITP_TRAMO_ALTO,SUMIFS(CF_CUOTA,CF_MAS,ITP_TRAMO_ALTO,CF_CCMIN,"&lt;="&amp;CM420,CF_CCMAX,"&gt;="&amp;CM420),IF(BA420&gt;ITP_TRAMO_BAJO,SUMIFS(CF_CUOTA,CF_MAS,ITP_TRAMO_BAJO,CF_CCMIN,"&lt;="&amp;CM420,CF_CCMAX,"&gt;="&amp;CM420),O420*ITP_TIPO)),O420*ITP_TIPO))</f>
        <v/>
      </c>
      <c r="CO420" s="4">
        <f>IF(R420="profesional",N(AK420),0)</f>
        <v/>
      </c>
      <c r="CP420" s="3">
        <f>IF(AND(R420="profesional",ISNUMBER(AK420),AL420="sí"),0,TASA_DGT)</f>
        <v/>
      </c>
      <c r="CQ420" s="3">
        <f>INFORME_DGT</f>
        <v/>
      </c>
      <c r="CR420" s="4">
        <f>O420+CO420+CN420+CP420+CQ420</f>
        <v/>
      </c>
      <c r="CS420" s="4">
        <f>CR420+N(CF420)</f>
        <v/>
      </c>
      <c r="CT420" s="3">
        <f>IF(CR420&lt;=TOTAL_MAX,"sí",IF(CR420&lt;=TOTAL_MAX+MARGEN_NEG,"negociar","no"))</f>
        <v/>
      </c>
      <c r="CU420" s="4">
        <f>IF(CT420&lt;&gt;"no",COUNTIFS($CT$2:$CT$545,"&lt;&gt;no",$CL$2:$CL$545,"&gt;"&amp;CL420)+COUNTIFS($CT$2:CT420,"&lt;&gt;no",$CL$2:CL420,CL420),"")</f>
        <v/>
      </c>
    </row>
    <row r="421">
      <c r="A421" s="2" t="inlineStr">
        <is>
          <t>cochesnet:71356641</t>
        </is>
      </c>
      <c r="B421" s="2" t="inlineStr">
        <is>
          <t>cochesnet</t>
        </is>
      </c>
      <c r="C421" s="2" t="inlineStr">
        <is>
          <t>https://www.coches.net/ford-fiesta-20-st-3p-gasolina-2007-en-valencia-71356641-covo.aspx</t>
        </is>
      </c>
      <c r="D421" s="2" t="inlineStr">
        <is>
          <t>FORD Fiesta 2.0 ST</t>
        </is>
      </c>
      <c r="E421" s="2" t="inlineStr">
        <is>
          <t>Ford</t>
        </is>
      </c>
      <c r="F421" s="2" t="inlineStr">
        <is>
          <t>Ford Fiesta</t>
        </is>
      </c>
      <c r="G421" s="2" t="inlineStr">
        <is>
          <t>2.0</t>
        </is>
      </c>
      <c r="H421" s="2" t="inlineStr">
        <is>
          <t>2.0 ST</t>
        </is>
      </c>
      <c r="I421" s="2" t="n"/>
      <c r="J421" s="2" t="n"/>
      <c r="K421" s="2" t="inlineStr">
        <is>
          <t>gasolina</t>
        </is>
      </c>
      <c r="L421" s="2" t="inlineStr">
        <is>
          <t>familiar</t>
        </is>
      </c>
      <c r="M421" s="2" t="n">
        <v>2007</v>
      </c>
      <c r="N421" s="2" t="n">
        <v>196000</v>
      </c>
      <c r="O421" s="2" t="n">
        <v>4990</v>
      </c>
      <c r="P421" s="2" t="inlineStr">
        <is>
          <t>manual</t>
        </is>
      </c>
      <c r="Q421" s="2" t="inlineStr">
        <is>
          <t>no</t>
        </is>
      </c>
      <c r="R421" s="2" t="inlineStr">
        <is>
          <t>particular</t>
        </is>
      </c>
      <c r="S421" s="2" t="inlineStr">
        <is>
          <t>Sagunto (Sagunt)</t>
        </is>
      </c>
      <c r="T421" s="2" t="inlineStr">
        <is>
          <t>2026-08-24T22:28:49Z</t>
        </is>
      </c>
      <c r="U421" s="2" t="n">
        <v>21</v>
      </c>
      <c r="V421" s="2" t="inlineStr">
        <is>
          <t>sí</t>
        </is>
      </c>
      <c r="W421" s="2" t="n"/>
      <c r="X421" s="2" t="n"/>
      <c r="Y421" s="2" t="n">
        <v>3</v>
      </c>
      <c r="Z421" s="2" t="inlineStr">
        <is>
          <t>no</t>
        </is>
      </c>
      <c r="AA421" s="2" t="n"/>
      <c r="AB421" s="2" t="n"/>
      <c r="AC421" s="2" t="n"/>
      <c r="AD421" s="2" t="n"/>
      <c r="AE421" s="2" t="n"/>
      <c r="AF421" s="2" t="n"/>
      <c r="AG421" s="2" t="n"/>
      <c r="AH421" s="2" t="n">
        <v>4990</v>
      </c>
      <c r="AI421" s="2" t="n"/>
      <c r="AJ421" s="2" t="n"/>
      <c r="AK421" s="2" t="n"/>
      <c r="AL421" s="2" t="n"/>
      <c r="AM421" s="2" t="n"/>
      <c r="AN421" s="2" t="inlineStr">
        <is>
          <t>DE2024Y</t>
        </is>
      </c>
      <c r="AO421" s="2" t="inlineStr">
        <is>
          <t>08/2007</t>
        </is>
      </c>
      <c r="AP421" s="2" t="n">
        <v>2007</v>
      </c>
      <c r="AQ421" s="2" t="n">
        <v>8</v>
      </c>
      <c r="AR421" s="2" t="inlineStr">
        <is>
          <t>C</t>
        </is>
      </c>
      <c r="AS421" s="2" t="inlineStr">
        <is>
          <t>anuncio</t>
        </is>
      </c>
      <c r="AT421" s="2" t="n">
        <v>4500</v>
      </c>
      <c r="AU421" s="2" t="n">
        <v>18</v>
      </c>
      <c r="AV421" s="2" t="inlineStr">
        <is>
          <t>modelo+año+km</t>
        </is>
      </c>
      <c r="AW421" s="2" t="n"/>
      <c r="AX421" s="2" t="inlineStr">
        <is>
          <t>por encima del presupuesto (5114 €), negociar; cuota fija ITP: &gt;12 años, 1.501-2.000 cc; carrocería familiar: -3 puntos; distancia no verificable (el anuncio solo indica la provincia): confirmar que está a &lt;= 70 km</t>
        </is>
      </c>
      <c r="AY421" s="2" t="inlineStr">
        <is>
          <t>Vendo Ford Fiesta ST150 2.0 16V de 150 CV, matriculado en 2007, con 196.000 km y cambio manual.
Coche con 3 propietarios registrados, pero 2 propietarios reales, ya que uno de los cambios de titularidad se realizó entre familiares.
1. Equipamiento:
- Motor 2.0 gasolina atmosférico de 150 CV
- Cambio manual
- Climatizador
- Asientos deportivos
- Llantas de 17"
- Retrovisores eléctricos
- Neumáticos:
Actualmente monta Presto UHP 2 en medida 205/40 R17, medida homologada en ficha para el vehículo.
Los neumáticos son de fabricación semana 17 de 2024 y presentan buen estado y bastante dibujo, como se puede apreciar en las fotografías.
2. Mantenimiento:
-Cambio de aceite y filtro de aceite realizado a los 191.615 km.
-Dispongo de facturas de la mayoría de mantenimientos.
-El coche se utiliza con normalidad y para su funcionamiento diario no necesita ninguna reparación inmediata.
-Conservo además la revisión mecánica que realicé hace aproximadamente 2 años, cuando compré el coche, en la que aparecen las recomendaciones que realizó mi mecánico. Puedo enseñarla a cualquier interesado para que conozca el estado del vehículo con total transparencia.
3. Estado del vehículo:
-El interior está en muy buen estado, teniendo en cuenta la edad y kilometraje del coche.
-Exteriormente presenta algunos golpes y arañazos propios del uso, aunque en general la pintura se encuentra en un estado correcto. No es un coche nuevo ni se vende como tal, por lo que prefiero dejar claro su estado de</t>
        </is>
      </c>
      <c r="AZ421" s="2" t="inlineStr">
        <is>
          <t>https://www.coches.net/ford-fiesta-20-st-3p-gasolina-2007-en-valencia-71356641-covo.aspx (window.__INITIAL_PROPS__.ad) /home/user/Alopecia/buscador-coches/raw/cochesnet/bfcf8482301290af.json</t>
        </is>
      </c>
      <c r="BA421" s="3">
        <f>MAX(ANIO_ACTUAL-M421,0)</f>
        <v/>
      </c>
      <c r="BB421" s="4">
        <f>N421/MAX(BA421,0.5)</f>
        <v/>
      </c>
      <c r="BC421" s="4">
        <f>F421</f>
        <v/>
      </c>
      <c r="BD421" s="3">
        <f>BC421&amp;"|"&amp;INT(M421/SEG_ANIO)*SEG_ANIO</f>
        <v/>
      </c>
      <c r="BE421" s="3">
        <f>BD421&amp;"|"&amp;INT(N421/SEG_KM)*SEG_KM</f>
        <v/>
      </c>
      <c r="BF421" s="4">
        <f>COUNTIF($BC$2:$BC$545,BC421)</f>
        <v/>
      </c>
      <c r="BG421" s="4">
        <f>COUNTIF($BD$2:$BD$545,BD421)</f>
        <v/>
      </c>
      <c r="BH421" s="4">
        <f>COUNTIF($BE$2:$BE$545,BE421)</f>
        <v/>
      </c>
      <c r="BI421" s="3">
        <f t="array" ref="BI421">IF(N(AU421)&gt;=MIN_N,AT421,IF(BH421&gt;=MIN_N,MEDIAN(IF($BE$2:$BE$545=BE421,$O$2:$O$545)),IF(BG421&gt;=MIN_N,MEDIAN(IF($BD$2:$BD$545=BD421,$O$2:$O$545)),MEDIAN(IF($BC$2:$BC$545=BC421,$O$2:$O$545)))))</f>
        <v/>
      </c>
      <c r="BJ421" s="3">
        <f>IF(N(AU421)&gt;=MIN_N,"mercado "&amp;AV421,IF(BH421&gt;=MIN_N,"modelo+año+km",IF(BG421&gt;=MIN_N,"modelo+año","modelo")))</f>
        <v/>
      </c>
      <c r="BK421" s="4">
        <f>(BI421-O421)/BI421</f>
        <v/>
      </c>
      <c r="BL421" s="3">
        <f>IF(COUNTIFS(FR_FUEL,K421,FR_YEAR,AP421)&gt;0,1,0)</f>
        <v/>
      </c>
      <c r="BM421" s="3">
        <f>IF(COUNTIFS(FR_FUEL,K421,FR_YEAR,AP421-1)&gt;0,1,0)</f>
        <v/>
      </c>
      <c r="BN421" s="4">
        <f>IF(N(AQ421)&gt;0,AP421*100+AQ421,IF(AND(BL421=1,BM421=1),(AP421-1)*100+1,AP421*100+1))</f>
        <v/>
      </c>
      <c r="BO421" s="3">
        <f>IF(OR(K421="hibrido",K421="glp",K421="gnc",K421="phev"),"ECO",IF(K421="electrico","CERO",IF(K421="gasolina",IF(BN421&gt;=GAS_C_YM,"C",IF(BN421&gt;=GAS_B_YM,"B","A")),IF(K421="diesel",IF(BN421&gt;=DIE_C_YM,"C",IF(BN421&gt;=DIE_B_YM,"B","A")),""))))</f>
        <v/>
      </c>
      <c r="BP421" s="2" t="inlineStr">
        <is>
          <t>C</t>
        </is>
      </c>
      <c r="BQ421" s="4">
        <f>IF(AS421="regla",IF(AND(N(AQ421)=0,BL421=1),"sí","no"),"no")</f>
        <v/>
      </c>
      <c r="BR421" s="3">
        <f>IFERROR(VLOOKUP(F421,MOD_TBL,11,0),IFERROR(VLOOKUP(E421,OCU_TBL,2,0),NEUTRO))</f>
        <v/>
      </c>
      <c r="BS421" s="3">
        <f>SUMIFS(MOT_AJUSTE,MOT_MOTOR,G421,MOT_MARCA,E421,MOT_DESDE,"&lt;="&amp;M421,MOT_HASTA,"&gt;="&amp;M421)+SUMIFS(MOT_AJUSTE,MOT_MOTOR,G421,MOT_MARCA,"(todas)",MOT_DESDE,"&lt;="&amp;M421,MOT_HASTA,"&gt;="&amp;M421)</f>
        <v/>
      </c>
      <c r="BT421" s="3">
        <f>SUMIFS(COMB_AJUSTE,COMB_COMB,K421)</f>
        <v/>
      </c>
      <c r="BU421" s="3">
        <f>COUNTIFS(MOT_MOTOR,G421,MOT_MARCA,E421,MOT_DESDE,"&lt;="&amp;M421,MOT_HASTA,"&gt;="&amp;M421)+COUNTIFS(MOT_MOTOR,G421,MOT_MARCA,"(todas)",MOT_DESDE,"&lt;="&amp;M421,MOT_HASTA,"&gt;="&amp;M421)</f>
        <v/>
      </c>
      <c r="BV421" s="3">
        <f>IF(AND(K421="diesel",BU421=0),MIN(BR421,NEUTRO),BR421)</f>
        <v/>
      </c>
      <c r="BW421" s="4">
        <f>MAX(0,MIN(100,BV421+BS421+BT421))</f>
        <v/>
      </c>
      <c r="BX421" s="3">
        <f>MAX(0,MIN(100,50+BK421*PRECIO_PEND))</f>
        <v/>
      </c>
      <c r="BY421" s="3">
        <f>MAX(0,100*(1-N421/KM_MAX))</f>
        <v/>
      </c>
      <c r="BZ421" s="3">
        <f>IF(BB421&lt;KMA_SOSP,IF(AA421="sí",100,KMA_PEN),IF(BB421&lt;=KMA_IDEAL_MAX,100,MAX(0,100*(KMA_CERO-BB421)/(KMA_CERO-KMA_IDEAL_MAX))))</f>
        <v/>
      </c>
      <c r="CA421" s="3">
        <f>MAX(0,MIN(100,100*(M421-ANIO_MIN)/(ANIO_ACTUAL-ANIO_MIN)))</f>
        <v/>
      </c>
      <c r="CB421" s="3">
        <f>W_KMT*BY421+W_KMA*BZ421+W_EDAD*CA421</f>
        <v/>
      </c>
      <c r="CC421" s="3">
        <f>P_ITV*(V421="sí")+P_LIBRO*(W421="sí")+P_CORREA*(X421="sí")+P_PROP*(Y421=1)+P_GAR*(Z421="sí")+P_FOTOS*MIN(1,N(U421)/FOTOS_OBJ)</f>
        <v/>
      </c>
      <c r="CD421" s="3">
        <f>MAX(0,MIN(100,IFERROR(VLOOKUP(BP421,ETQ_TBL,2,0),0)-IF(BQ421="sí",ETQ_PEN_DUD,IF(AS421="regla",ETQ_PEN_REGLA,0))))</f>
        <v/>
      </c>
      <c r="CE421" s="3">
        <f>NEUTRO</f>
        <v/>
      </c>
      <c r="CF421" s="3">
        <f>IFERROR(VLOOKUP(L421,SEGURO_TBL,3,0),"")</f>
        <v/>
      </c>
      <c r="CG421" s="3">
        <f>IF(CF421="",NEUTRO,MAX(0,MIN(100,100*(SEG_REF_MAX-CF421)/(SEG_REF_MAX-SEG_REF_MIN))))</f>
        <v/>
      </c>
      <c r="CH421" s="3">
        <f>W_CONS*CE421+W_SEG*CG421</f>
        <v/>
      </c>
      <c r="CI421" s="3">
        <f>IF(N(AB421)&gt;0,AB421,IF(AND(R421="profesional",SG_LEGAL_ON=1),GAR_LEGAL,0))</f>
        <v/>
      </c>
      <c r="CJ421" s="3">
        <f>SG_GAR*MIN(1,CI421/SG_GAR_FULL)+SG_AMPL*(AC421="sí")+SG_KMC*(AF421="sí")+SG_REV*(N(AE421)&gt;0)+SG_DEV*MIN(1,N(AG421)/SG_DEV_FULL)+SG_HIST*(W421="sí")</f>
        <v/>
      </c>
      <c r="CK421" s="3">
        <f>IFERROR(VLOOKUP(L421,CARR_PEN_TBL,2,0),0)</f>
        <v/>
      </c>
      <c r="CL421" s="3">
        <f>W_FIAB*BW421+W_PRECIO*BX421+W_KMEDAD*CB421+W_ANUNCIO*CC421+W_USO*CH421+W_SEGURIDAD*CJ421+W_ETIQUETA*CD421-CK421</f>
        <v/>
      </c>
      <c r="CM421" s="4">
        <f>IF(N(I421)&gt;0,I421,IFERROR(ROUND(_xlfn.NUMBERVALUE(LEFT(G421,FIND(" ",G421&amp;" ")-1),".")*1000,0),99999))</f>
        <v/>
      </c>
      <c r="CN421" s="3">
        <f>IF(R421="profesional",0,IF(O421&lt;CUOTA_VALOR_MAX,IF(BA421&gt;ITP_TRAMO_ALTO,SUMIFS(CF_CUOTA,CF_MAS,ITP_TRAMO_ALTO,CF_CCMIN,"&lt;="&amp;CM421,CF_CCMAX,"&gt;="&amp;CM421),IF(BA421&gt;ITP_TRAMO_BAJO,SUMIFS(CF_CUOTA,CF_MAS,ITP_TRAMO_BAJO,CF_CCMIN,"&lt;="&amp;CM421,CF_CCMAX,"&gt;="&amp;CM421),O421*ITP_TIPO)),O421*ITP_TIPO))</f>
        <v/>
      </c>
      <c r="CO421" s="4">
        <f>IF(R421="profesional",N(AK421),0)</f>
        <v/>
      </c>
      <c r="CP421" s="3">
        <f>IF(AND(R421="profesional",ISNUMBER(AK421),AL421="sí"),0,TASA_DGT)</f>
        <v/>
      </c>
      <c r="CQ421" s="3">
        <f>INFORME_DGT</f>
        <v/>
      </c>
      <c r="CR421" s="4">
        <f>O421+CO421+CN421+CP421+CQ421</f>
        <v/>
      </c>
      <c r="CS421" s="4">
        <f>CR421+N(CF421)</f>
        <v/>
      </c>
      <c r="CT421" s="3">
        <f>IF(CR421&lt;=TOTAL_MAX,"sí",IF(CR421&lt;=TOTAL_MAX+MARGEN_NEG,"negociar","no"))</f>
        <v/>
      </c>
      <c r="CU421" s="4">
        <f>IF(CT421&lt;&gt;"no",COUNTIFS($CT$2:$CT$545,"&lt;&gt;no",$CL$2:$CL$545,"&gt;"&amp;CL421)+COUNTIFS($CT$2:CT421,"&lt;&gt;no",$CL$2:CL421,CL421),"")</f>
        <v/>
      </c>
    </row>
    <row r="422">
      <c r="A422" s="2" t="inlineStr">
        <is>
          <t>cochesnet:71868483</t>
        </is>
      </c>
      <c r="B422" s="2" t="inlineStr">
        <is>
          <t>cochesnet</t>
        </is>
      </c>
      <c r="C422" s="2" t="inlineStr">
        <is>
          <t>https://www.coches.net/ford-focus-18-tdci-sport-3p-diesel-2006-en-valencia-71868483-covo.aspx</t>
        </is>
      </c>
      <c r="D422" s="2" t="inlineStr">
        <is>
          <t>FORD Focus 1.8 TDCi Sport</t>
        </is>
      </c>
      <c r="E422" s="2" t="inlineStr">
        <is>
          <t>Ford</t>
        </is>
      </c>
      <c r="F422" s="2" t="inlineStr">
        <is>
          <t>Ford Focus</t>
        </is>
      </c>
      <c r="G422" s="2" t="inlineStr">
        <is>
          <t>1.8 TDCi</t>
        </is>
      </c>
      <c r="H422" s="2" t="inlineStr">
        <is>
          <t>1.8 TDCi Sport</t>
        </is>
      </c>
      <c r="I422" s="2" t="n"/>
      <c r="J422" s="2" t="n"/>
      <c r="K422" s="2" t="inlineStr">
        <is>
          <t>diesel</t>
        </is>
      </c>
      <c r="L422" s="2" t="inlineStr">
        <is>
          <t>compacto</t>
        </is>
      </c>
      <c r="M422" s="2" t="n">
        <v>2006</v>
      </c>
      <c r="N422" s="2" t="n">
        <v>167000</v>
      </c>
      <c r="O422" s="2" t="n">
        <v>3900</v>
      </c>
      <c r="P422" s="2" t="inlineStr">
        <is>
          <t>manual</t>
        </is>
      </c>
      <c r="Q422" s="2" t="inlineStr">
        <is>
          <t>no</t>
        </is>
      </c>
      <c r="R422" s="2" t="inlineStr">
        <is>
          <t>particular</t>
        </is>
      </c>
      <c r="S422" s="2" t="inlineStr">
        <is>
          <t>Mislata</t>
        </is>
      </c>
      <c r="T422" s="2" t="inlineStr">
        <is>
          <t>2026-10-30T10:50:00Z</t>
        </is>
      </c>
      <c r="U422" s="2" t="n">
        <v>4</v>
      </c>
      <c r="V422" s="2" t="inlineStr">
        <is>
          <t>sí</t>
        </is>
      </c>
      <c r="W422" s="2" t="n"/>
      <c r="X422" s="2" t="n"/>
      <c r="Y422" s="2" t="n"/>
      <c r="Z422" s="2" t="inlineStr">
        <is>
          <t>no</t>
        </is>
      </c>
      <c r="AA422" s="2" t="inlineStr">
        <is>
          <t>sí</t>
        </is>
      </c>
      <c r="AB422" s="2" t="n"/>
      <c r="AC422" s="2" t="n"/>
      <c r="AD422" s="2" t="n"/>
      <c r="AE422" s="2" t="n"/>
      <c r="AF422" s="2" t="n"/>
      <c r="AG422" s="2" t="n"/>
      <c r="AH422" s="2" t="n">
        <v>3900</v>
      </c>
      <c r="AI422" s="2" t="n"/>
      <c r="AJ422" s="2" t="n"/>
      <c r="AK422" s="2" t="n"/>
      <c r="AL422" s="2" t="n"/>
      <c r="AM422" s="2" t="n">
        <v>3</v>
      </c>
      <c r="AN422" s="2" t="n"/>
      <c r="AO422" s="2" t="inlineStr">
        <is>
          <t>2006</t>
        </is>
      </c>
      <c r="AP422" s="2" t="n">
        <v>2006</v>
      </c>
      <c r="AQ422" s="2" t="n"/>
      <c r="AR422" s="2" t="inlineStr">
        <is>
          <t>B</t>
        </is>
      </c>
      <c r="AS422" s="2" t="inlineStr">
        <is>
          <t>anuncio</t>
        </is>
      </c>
      <c r="AT422" s="2" t="n">
        <v>3000</v>
      </c>
      <c r="AU422" s="2" t="n">
        <v>10</v>
      </c>
      <c r="AV422" s="2" t="inlineStr">
        <is>
          <t>modelo+año+km</t>
        </is>
      </c>
      <c r="AW422" s="2" t="n"/>
      <c r="AX422" s="2" t="inlineStr">
        <is>
          <t>cuota fija ITP: &gt;12 años, 1.501-2.000 cc; diésel: motor sin fuente de fiabilidad (fiabilidad limitada a neutra)</t>
        </is>
      </c>
      <c r="AY422" s="2" t="inlineStr">
        <is>
          <t>Se vende Ford Focus Mk2 color negro. 1 sola dueña.. Persona mayor que ya no puede conducir. Coche muy mimado guardado siempre en garaje privado.
• Tapicería completa de cuero negro en perfecto estado.
• Asientos delanteros calefactables.
• Llantas de aleación originales.
• Distintivo ambiental (Etiqueta B).
• Neumáticos nuevos a estrenar.
• Aceite y filtros recién cambiados.
• ITV en vigor y al día</t>
        </is>
      </c>
      <c r="AZ422" s="2" t="inlineStr">
        <is>
          <t>https://www.coches.net/ford-focus-18-tdci-sport-3p-diesel-2006-en-valencia-71868483-covo.aspx (window.__INITIAL_PROPS__.ad) /home/user/Alopecia/buscador-coches/raw/cochesnet/ea0ba4c87f9b97b8.json</t>
        </is>
      </c>
      <c r="BA422" s="3">
        <f>MAX(ANIO_ACTUAL-M422,0)</f>
        <v/>
      </c>
      <c r="BB422" s="4">
        <f>N422/MAX(BA422,0.5)</f>
        <v/>
      </c>
      <c r="BC422" s="4">
        <f>F422</f>
        <v/>
      </c>
      <c r="BD422" s="3">
        <f>BC422&amp;"|"&amp;INT(M422/SEG_ANIO)*SEG_ANIO</f>
        <v/>
      </c>
      <c r="BE422" s="3">
        <f>BD422&amp;"|"&amp;INT(N422/SEG_KM)*SEG_KM</f>
        <v/>
      </c>
      <c r="BF422" s="4">
        <f>COUNTIF($BC$2:$BC$545,BC422)</f>
        <v/>
      </c>
      <c r="BG422" s="4">
        <f>COUNTIF($BD$2:$BD$545,BD422)</f>
        <v/>
      </c>
      <c r="BH422" s="4">
        <f>COUNTIF($BE$2:$BE$545,BE422)</f>
        <v/>
      </c>
      <c r="BI422" s="3">
        <f t="array" ref="BI422">IF(N(AU422)&gt;=MIN_N,AT422,IF(BH422&gt;=MIN_N,MEDIAN(IF($BE$2:$BE$545=BE422,$O$2:$O$545)),IF(BG422&gt;=MIN_N,MEDIAN(IF($BD$2:$BD$545=BD422,$O$2:$O$545)),MEDIAN(IF($BC$2:$BC$545=BC422,$O$2:$O$545)))))</f>
        <v/>
      </c>
      <c r="BJ422" s="3">
        <f>IF(N(AU422)&gt;=MIN_N,"mercado "&amp;AV422,IF(BH422&gt;=MIN_N,"modelo+año+km",IF(BG422&gt;=MIN_N,"modelo+año","modelo")))</f>
        <v/>
      </c>
      <c r="BK422" s="4">
        <f>(BI422-O422)/BI422</f>
        <v/>
      </c>
      <c r="BL422" s="3">
        <f>IF(COUNTIFS(FR_FUEL,K422,FR_YEAR,AP422)&gt;0,1,0)</f>
        <v/>
      </c>
      <c r="BM422" s="3">
        <f>IF(COUNTIFS(FR_FUEL,K422,FR_YEAR,AP422-1)&gt;0,1,0)</f>
        <v/>
      </c>
      <c r="BN422" s="4">
        <f>IF(N(AQ422)&gt;0,AP422*100+AQ422,IF(AND(BL422=1,BM422=1),(AP422-1)*100+1,AP422*100+1))</f>
        <v/>
      </c>
      <c r="BO422" s="3">
        <f>IF(OR(K422="hibrido",K422="glp",K422="gnc",K422="phev"),"ECO",IF(K422="electrico","CERO",IF(K422="gasolina",IF(BN422&gt;=GAS_C_YM,"C",IF(BN422&gt;=GAS_B_YM,"B","A")),IF(K422="diesel",IF(BN422&gt;=DIE_C_YM,"C",IF(BN422&gt;=DIE_B_YM,"B","A")),""))))</f>
        <v/>
      </c>
      <c r="BP422" s="2" t="inlineStr">
        <is>
          <t>B</t>
        </is>
      </c>
      <c r="BQ422" s="4">
        <f>IF(AS422="regla",IF(AND(N(AQ422)=0,BL422=1),"sí","no"),"no")</f>
        <v/>
      </c>
      <c r="BR422" s="3">
        <f>IFERROR(VLOOKUP(F422,MOD_TBL,11,0),IFERROR(VLOOKUP(E422,OCU_TBL,2,0),NEUTRO))</f>
        <v/>
      </c>
      <c r="BS422" s="3">
        <f>SUMIFS(MOT_AJUSTE,MOT_MOTOR,G422,MOT_MARCA,E422,MOT_DESDE,"&lt;="&amp;M422,MOT_HASTA,"&gt;="&amp;M422)+SUMIFS(MOT_AJUSTE,MOT_MOTOR,G422,MOT_MARCA,"(todas)",MOT_DESDE,"&lt;="&amp;M422,MOT_HASTA,"&gt;="&amp;M422)</f>
        <v/>
      </c>
      <c r="BT422" s="3">
        <f>SUMIFS(COMB_AJUSTE,COMB_COMB,K422)</f>
        <v/>
      </c>
      <c r="BU422" s="3">
        <f>COUNTIFS(MOT_MOTOR,G422,MOT_MARCA,E422,MOT_DESDE,"&lt;="&amp;M422,MOT_HASTA,"&gt;="&amp;M422)+COUNTIFS(MOT_MOTOR,G422,MOT_MARCA,"(todas)",MOT_DESDE,"&lt;="&amp;M422,MOT_HASTA,"&gt;="&amp;M422)</f>
        <v/>
      </c>
      <c r="BV422" s="3">
        <f>IF(AND(K422="diesel",BU422=0),MIN(BR422,NEUTRO),BR422)</f>
        <v/>
      </c>
      <c r="BW422" s="4">
        <f>MAX(0,MIN(100,BV422+BS422+BT422))</f>
        <v/>
      </c>
      <c r="BX422" s="3">
        <f>MAX(0,MIN(100,50+BK422*PRECIO_PEND))</f>
        <v/>
      </c>
      <c r="BY422" s="3">
        <f>MAX(0,100*(1-N422/KM_MAX))</f>
        <v/>
      </c>
      <c r="BZ422" s="3">
        <f>IF(BB422&lt;KMA_SOSP,IF(AA422="sí",100,KMA_PEN),IF(BB422&lt;=KMA_IDEAL_MAX,100,MAX(0,100*(KMA_CERO-BB422)/(KMA_CERO-KMA_IDEAL_MAX))))</f>
        <v/>
      </c>
      <c r="CA422" s="3">
        <f>MAX(0,MIN(100,100*(M422-ANIO_MIN)/(ANIO_ACTUAL-ANIO_MIN)))</f>
        <v/>
      </c>
      <c r="CB422" s="3">
        <f>W_KMT*BY422+W_KMA*BZ422+W_EDAD*CA422</f>
        <v/>
      </c>
      <c r="CC422" s="3">
        <f>P_ITV*(V422="sí")+P_LIBRO*(W422="sí")+P_CORREA*(X422="sí")+P_PROP*(Y422=1)+P_GAR*(Z422="sí")+P_FOTOS*MIN(1,N(U422)/FOTOS_OBJ)</f>
        <v/>
      </c>
      <c r="CD422" s="3">
        <f>MAX(0,MIN(100,IFERROR(VLOOKUP(BP422,ETQ_TBL,2,0),0)-IF(BQ422="sí",ETQ_PEN_DUD,IF(AS422="regla",ETQ_PEN_REGLA,0))))</f>
        <v/>
      </c>
      <c r="CE422" s="3">
        <f>NEUTRO</f>
        <v/>
      </c>
      <c r="CF422" s="3">
        <f>IFERROR(VLOOKUP(L422,SEGURO_TBL,3,0),"")</f>
        <v/>
      </c>
      <c r="CG422" s="3">
        <f>IF(CF422="",NEUTRO,MAX(0,MIN(100,100*(SEG_REF_MAX-CF422)/(SEG_REF_MAX-SEG_REF_MIN))))</f>
        <v/>
      </c>
      <c r="CH422" s="3">
        <f>W_CONS*CE422+W_SEG*CG422</f>
        <v/>
      </c>
      <c r="CI422" s="3">
        <f>IF(N(AB422)&gt;0,AB422,IF(AND(R422="profesional",SG_LEGAL_ON=1),GAR_LEGAL,0))</f>
        <v/>
      </c>
      <c r="CJ422" s="3">
        <f>SG_GAR*MIN(1,CI422/SG_GAR_FULL)+SG_AMPL*(AC422="sí")+SG_KMC*(AF422="sí")+SG_REV*(N(AE422)&gt;0)+SG_DEV*MIN(1,N(AG422)/SG_DEV_FULL)+SG_HIST*(W422="sí")</f>
        <v/>
      </c>
      <c r="CK422" s="3">
        <f>IFERROR(VLOOKUP(L422,CARR_PEN_TBL,2,0),0)</f>
        <v/>
      </c>
      <c r="CL422" s="3">
        <f>W_FIAB*BW422+W_PRECIO*BX422+W_KMEDAD*CB422+W_ANUNCIO*CC422+W_USO*CH422+W_SEGURIDAD*CJ422+W_ETIQUETA*CD422-CK422</f>
        <v/>
      </c>
      <c r="CM422" s="4">
        <f>IF(N(I422)&gt;0,I422,IFERROR(ROUND(_xlfn.NUMBERVALUE(LEFT(G422,FIND(" ",G422&amp;" ")-1),".")*1000,0),99999))</f>
        <v/>
      </c>
      <c r="CN422" s="3">
        <f>IF(R422="profesional",0,IF(O422&lt;CUOTA_VALOR_MAX,IF(BA422&gt;ITP_TRAMO_ALTO,SUMIFS(CF_CUOTA,CF_MAS,ITP_TRAMO_ALTO,CF_CCMIN,"&lt;="&amp;CM422,CF_CCMAX,"&gt;="&amp;CM422),IF(BA422&gt;ITP_TRAMO_BAJO,SUMIFS(CF_CUOTA,CF_MAS,ITP_TRAMO_BAJO,CF_CCMIN,"&lt;="&amp;CM422,CF_CCMAX,"&gt;="&amp;CM422),O422*ITP_TIPO)),O422*ITP_TIPO))</f>
        <v/>
      </c>
      <c r="CO422" s="4">
        <f>IF(R422="profesional",N(AK422),0)</f>
        <v/>
      </c>
      <c r="CP422" s="3">
        <f>IF(AND(R422="profesional",ISNUMBER(AK422),AL422="sí"),0,TASA_DGT)</f>
        <v/>
      </c>
      <c r="CQ422" s="3">
        <f>INFORME_DGT</f>
        <v/>
      </c>
      <c r="CR422" s="4">
        <f>O422+CO422+CN422+CP422+CQ422</f>
        <v/>
      </c>
      <c r="CS422" s="4">
        <f>CR422+N(CF422)</f>
        <v/>
      </c>
      <c r="CT422" s="3">
        <f>IF(CR422&lt;=TOTAL_MAX,"sí",IF(CR422&lt;=TOTAL_MAX+MARGEN_NEG,"negociar","no"))</f>
        <v/>
      </c>
      <c r="CU422" s="4">
        <f>IF(CT422&lt;&gt;"no",COUNTIFS($CT$2:$CT$545,"&lt;&gt;no",$CL$2:$CL$545,"&gt;"&amp;CL422)+COUNTIFS($CT$2:CT422,"&lt;&gt;no",$CL$2:CL422,CL422),"")</f>
        <v/>
      </c>
    </row>
    <row r="423">
      <c r="A423" s="2" t="inlineStr">
        <is>
          <t>cochesnet:71869539</t>
        </is>
      </c>
      <c r="B423" s="2" t="inlineStr">
        <is>
          <t>cochesnet</t>
        </is>
      </c>
      <c r="C423" s="2" t="inlineStr">
        <is>
          <t>https://www.coches.net/ford-focus-16-trend-5p-gasolina-2006-en-valencia-71869539-covo.aspx</t>
        </is>
      </c>
      <c r="D423" s="2" t="inlineStr">
        <is>
          <t>FORD Focus 1.6 TREND</t>
        </is>
      </c>
      <c r="E423" s="2" t="inlineStr">
        <is>
          <t>Ford</t>
        </is>
      </c>
      <c r="F423" s="2" t="inlineStr">
        <is>
          <t>Ford Focus</t>
        </is>
      </c>
      <c r="G423" s="2" t="inlineStr">
        <is>
          <t>1.6</t>
        </is>
      </c>
      <c r="H423" s="2" t="inlineStr">
        <is>
          <t>1.6 TREND</t>
        </is>
      </c>
      <c r="I423" s="2" t="n"/>
      <c r="J423" s="2" t="n"/>
      <c r="K423" s="2" t="inlineStr">
        <is>
          <t>gasolina</t>
        </is>
      </c>
      <c r="L423" s="2" t="inlineStr">
        <is>
          <t>compacto</t>
        </is>
      </c>
      <c r="M423" s="2" t="n">
        <v>2006</v>
      </c>
      <c r="N423" s="2" t="n">
        <v>160000</v>
      </c>
      <c r="O423" s="2" t="n">
        <v>3000</v>
      </c>
      <c r="P423" s="2" t="inlineStr">
        <is>
          <t>manual</t>
        </is>
      </c>
      <c r="Q423" s="2" t="inlineStr">
        <is>
          <t>no</t>
        </is>
      </c>
      <c r="R423" s="2" t="inlineStr">
        <is>
          <t>particular</t>
        </is>
      </c>
      <c r="S423" s="2" t="inlineStr">
        <is>
          <t>Paterna</t>
        </is>
      </c>
      <c r="T423" s="2" t="inlineStr">
        <is>
          <t>2026-10-30T12:03:36Z</t>
        </is>
      </c>
      <c r="U423" s="2" t="n">
        <v>8</v>
      </c>
      <c r="V423" s="2" t="n"/>
      <c r="W423" s="2" t="n"/>
      <c r="X423" s="2" t="n"/>
      <c r="Y423" s="2" t="n"/>
      <c r="Z423" s="2" t="inlineStr">
        <is>
          <t>no</t>
        </is>
      </c>
      <c r="AA423" s="2" t="n"/>
      <c r="AB423" s="2" t="n"/>
      <c r="AC423" s="2" t="n"/>
      <c r="AD423" s="2" t="n"/>
      <c r="AE423" s="2" t="n"/>
      <c r="AF423" s="2" t="n"/>
      <c r="AG423" s="2" t="n"/>
      <c r="AH423" s="2" t="n">
        <v>3000</v>
      </c>
      <c r="AI423" s="2" t="n"/>
      <c r="AJ423" s="2" t="n"/>
      <c r="AK423" s="2" t="n"/>
      <c r="AL423" s="2" t="n"/>
      <c r="AM423" s="2" t="n">
        <v>6.8</v>
      </c>
      <c r="AN423" s="2" t="n"/>
      <c r="AO423" s="2" t="inlineStr">
        <is>
          <t>06/2006</t>
        </is>
      </c>
      <c r="AP423" s="2" t="n">
        <v>2006</v>
      </c>
      <c r="AQ423" s="2" t="n">
        <v>6</v>
      </c>
      <c r="AR423" s="2" t="n"/>
      <c r="AS423" s="2" t="inlineStr">
        <is>
          <t>regla</t>
        </is>
      </c>
      <c r="AT423" s="2" t="n">
        <v>3000</v>
      </c>
      <c r="AU423" s="2" t="n">
        <v>10</v>
      </c>
      <c r="AV423" s="2" t="inlineStr">
        <is>
          <t>modelo+año+km</t>
        </is>
      </c>
      <c r="AW423" s="2" t="n"/>
      <c r="AX423" s="2" t="inlineStr">
        <is>
          <t>cuota fija ITP: &gt;12 años, 1.501-2.000 cc</t>
        </is>
      </c>
      <c r="AY423" s="2" t="inlineStr"/>
      <c r="AZ423" s="2" t="inlineStr">
        <is>
          <t>https://www.coches.net/ford-focus-16-trend-5p-gasolina-2006-en-valencia-71869539-covo.aspx (window.__INITIAL_PROPS__.ad) /home/user/Alopecia/buscador-coches/raw/cochesnet/09608cf9d240b902.json</t>
        </is>
      </c>
      <c r="BA423" s="3">
        <f>MAX(ANIO_ACTUAL-M423,0)</f>
        <v/>
      </c>
      <c r="BB423" s="4">
        <f>N423/MAX(BA423,0.5)</f>
        <v/>
      </c>
      <c r="BC423" s="4">
        <f>F423</f>
        <v/>
      </c>
      <c r="BD423" s="3">
        <f>BC423&amp;"|"&amp;INT(M423/SEG_ANIO)*SEG_ANIO</f>
        <v/>
      </c>
      <c r="BE423" s="3">
        <f>BD423&amp;"|"&amp;INT(N423/SEG_KM)*SEG_KM</f>
        <v/>
      </c>
      <c r="BF423" s="4">
        <f>COUNTIF($BC$2:$BC$545,BC423)</f>
        <v/>
      </c>
      <c r="BG423" s="4">
        <f>COUNTIF($BD$2:$BD$545,BD423)</f>
        <v/>
      </c>
      <c r="BH423" s="4">
        <f>COUNTIF($BE$2:$BE$545,BE423)</f>
        <v/>
      </c>
      <c r="BI423" s="3">
        <f t="array" ref="BI423">IF(N(AU423)&gt;=MIN_N,AT423,IF(BH423&gt;=MIN_N,MEDIAN(IF($BE$2:$BE$545=BE423,$O$2:$O$545)),IF(BG423&gt;=MIN_N,MEDIAN(IF($BD$2:$BD$545=BD423,$O$2:$O$545)),MEDIAN(IF($BC$2:$BC$545=BC423,$O$2:$O$545)))))</f>
        <v/>
      </c>
      <c r="BJ423" s="3">
        <f>IF(N(AU423)&gt;=MIN_N,"mercado "&amp;AV423,IF(BH423&gt;=MIN_N,"modelo+año+km",IF(BG423&gt;=MIN_N,"modelo+año","modelo")))</f>
        <v/>
      </c>
      <c r="BK423" s="4">
        <f>(BI423-O423)/BI423</f>
        <v/>
      </c>
      <c r="BL423" s="3">
        <f>IF(COUNTIFS(FR_FUEL,K423,FR_YEAR,AP423)&gt;0,1,0)</f>
        <v/>
      </c>
      <c r="BM423" s="3">
        <f>IF(COUNTIFS(FR_FUEL,K423,FR_YEAR,AP423-1)&gt;0,1,0)</f>
        <v/>
      </c>
      <c r="BN423" s="4">
        <f>IF(N(AQ423)&gt;0,AP423*100+AQ423,IF(AND(BL423=1,BM423=1),(AP423-1)*100+1,AP423*100+1))</f>
        <v/>
      </c>
      <c r="BO423" s="3">
        <f>IF(OR(K423="hibrido",K423="glp",K423="gnc",K423="phev"),"ECO",IF(K423="electrico","CERO",IF(K423="gasolina",IF(BN423&gt;=GAS_C_YM,"C",IF(BN423&gt;=GAS_B_YM,"B","A")),IF(K423="diesel",IF(BN423&gt;=DIE_C_YM,"C",IF(BN423&gt;=DIE_B_YM,"B","A")),""))))</f>
        <v/>
      </c>
      <c r="BP423" s="4">
        <f>BO423</f>
        <v/>
      </c>
      <c r="BQ423" s="4">
        <f>IF(AS423="regla",IF(AND(N(AQ423)=0,BL423=1),"sí","no"),"no")</f>
        <v/>
      </c>
      <c r="BR423" s="3">
        <f>IFERROR(VLOOKUP(F423,MOD_TBL,11,0),IFERROR(VLOOKUP(E423,OCU_TBL,2,0),NEUTRO))</f>
        <v/>
      </c>
      <c r="BS423" s="3">
        <f>SUMIFS(MOT_AJUSTE,MOT_MOTOR,G423,MOT_MARCA,E423,MOT_DESDE,"&lt;="&amp;M423,MOT_HASTA,"&gt;="&amp;M423)+SUMIFS(MOT_AJUSTE,MOT_MOTOR,G423,MOT_MARCA,"(todas)",MOT_DESDE,"&lt;="&amp;M423,MOT_HASTA,"&gt;="&amp;M423)</f>
        <v/>
      </c>
      <c r="BT423" s="3">
        <f>SUMIFS(COMB_AJUSTE,COMB_COMB,K423)</f>
        <v/>
      </c>
      <c r="BU423" s="3">
        <f>COUNTIFS(MOT_MOTOR,G423,MOT_MARCA,E423,MOT_DESDE,"&lt;="&amp;M423,MOT_HASTA,"&gt;="&amp;M423)+COUNTIFS(MOT_MOTOR,G423,MOT_MARCA,"(todas)",MOT_DESDE,"&lt;="&amp;M423,MOT_HASTA,"&gt;="&amp;M423)</f>
        <v/>
      </c>
      <c r="BV423" s="3">
        <f>IF(AND(K423="diesel",BU423=0),MIN(BR423,NEUTRO),BR423)</f>
        <v/>
      </c>
      <c r="BW423" s="4">
        <f>MAX(0,MIN(100,BV423+BS423+BT423))</f>
        <v/>
      </c>
      <c r="BX423" s="3">
        <f>MAX(0,MIN(100,50+BK423*PRECIO_PEND))</f>
        <v/>
      </c>
      <c r="BY423" s="3">
        <f>MAX(0,100*(1-N423/KM_MAX))</f>
        <v/>
      </c>
      <c r="BZ423" s="3">
        <f>IF(BB423&lt;KMA_SOSP,IF(AA423="sí",100,KMA_PEN),IF(BB423&lt;=KMA_IDEAL_MAX,100,MAX(0,100*(KMA_CERO-BB423)/(KMA_CERO-KMA_IDEAL_MAX))))</f>
        <v/>
      </c>
      <c r="CA423" s="3">
        <f>MAX(0,MIN(100,100*(M423-ANIO_MIN)/(ANIO_ACTUAL-ANIO_MIN)))</f>
        <v/>
      </c>
      <c r="CB423" s="3">
        <f>W_KMT*BY423+W_KMA*BZ423+W_EDAD*CA423</f>
        <v/>
      </c>
      <c r="CC423" s="3">
        <f>P_ITV*(V423="sí")+P_LIBRO*(W423="sí")+P_CORREA*(X423="sí")+P_PROP*(Y423=1)+P_GAR*(Z423="sí")+P_FOTOS*MIN(1,N(U423)/FOTOS_OBJ)</f>
        <v/>
      </c>
      <c r="CD423" s="3">
        <f>MAX(0,MIN(100,IFERROR(VLOOKUP(BP423,ETQ_TBL,2,0),0)-IF(BQ423="sí",ETQ_PEN_DUD,IF(AS423="regla",ETQ_PEN_REGLA,0))))</f>
        <v/>
      </c>
      <c r="CE423" s="3">
        <f>NEUTRO</f>
        <v/>
      </c>
      <c r="CF423" s="3">
        <f>IFERROR(VLOOKUP(L423,SEGURO_TBL,3,0),"")</f>
        <v/>
      </c>
      <c r="CG423" s="3">
        <f>IF(CF423="",NEUTRO,MAX(0,MIN(100,100*(SEG_REF_MAX-CF423)/(SEG_REF_MAX-SEG_REF_MIN))))</f>
        <v/>
      </c>
      <c r="CH423" s="3">
        <f>W_CONS*CE423+W_SEG*CG423</f>
        <v/>
      </c>
      <c r="CI423" s="3">
        <f>IF(N(AB423)&gt;0,AB423,IF(AND(R423="profesional",SG_LEGAL_ON=1),GAR_LEGAL,0))</f>
        <v/>
      </c>
      <c r="CJ423" s="3">
        <f>SG_GAR*MIN(1,CI423/SG_GAR_FULL)+SG_AMPL*(AC423="sí")+SG_KMC*(AF423="sí")+SG_REV*(N(AE423)&gt;0)+SG_DEV*MIN(1,N(AG423)/SG_DEV_FULL)+SG_HIST*(W423="sí")</f>
        <v/>
      </c>
      <c r="CK423" s="3">
        <f>IFERROR(VLOOKUP(L423,CARR_PEN_TBL,2,0),0)</f>
        <v/>
      </c>
      <c r="CL423" s="3">
        <f>W_FIAB*BW423+W_PRECIO*BX423+W_KMEDAD*CB423+W_ANUNCIO*CC423+W_USO*CH423+W_SEGURIDAD*CJ423+W_ETIQUETA*CD423-CK423</f>
        <v/>
      </c>
      <c r="CM423" s="4">
        <f>IF(N(I423)&gt;0,I423,IFERROR(ROUND(_xlfn.NUMBERVALUE(LEFT(G423,FIND(" ",G423&amp;" ")-1),".")*1000,0),99999))</f>
        <v/>
      </c>
      <c r="CN423" s="3">
        <f>IF(R423="profesional",0,IF(O423&lt;CUOTA_VALOR_MAX,IF(BA423&gt;ITP_TRAMO_ALTO,SUMIFS(CF_CUOTA,CF_MAS,ITP_TRAMO_ALTO,CF_CCMIN,"&lt;="&amp;CM423,CF_CCMAX,"&gt;="&amp;CM423),IF(BA423&gt;ITP_TRAMO_BAJO,SUMIFS(CF_CUOTA,CF_MAS,ITP_TRAMO_BAJO,CF_CCMIN,"&lt;="&amp;CM423,CF_CCMAX,"&gt;="&amp;CM423),O423*ITP_TIPO)),O423*ITP_TIPO))</f>
        <v/>
      </c>
      <c r="CO423" s="4">
        <f>IF(R423="profesional",N(AK423),0)</f>
        <v/>
      </c>
      <c r="CP423" s="3">
        <f>IF(AND(R423="profesional",ISNUMBER(AK423),AL423="sí"),0,TASA_DGT)</f>
        <v/>
      </c>
      <c r="CQ423" s="3">
        <f>INFORME_DGT</f>
        <v/>
      </c>
      <c r="CR423" s="4">
        <f>O423+CO423+CN423+CP423+CQ423</f>
        <v/>
      </c>
      <c r="CS423" s="4">
        <f>CR423+N(CF423)</f>
        <v/>
      </c>
      <c r="CT423" s="3">
        <f>IF(CR423&lt;=TOTAL_MAX,"sí",IF(CR423&lt;=TOTAL_MAX+MARGEN_NEG,"negociar","no"))</f>
        <v/>
      </c>
      <c r="CU423" s="4">
        <f>IF(CT423&lt;&gt;"no",COUNTIFS($CT$2:$CT$545,"&lt;&gt;no",$CL$2:$CL$545,"&gt;"&amp;CL423)+COUNTIFS($CT$2:CT423,"&lt;&gt;no",$CL$2:CL423,CL423),"")</f>
        <v/>
      </c>
    </row>
    <row r="424">
      <c r="A424" s="2" t="inlineStr">
        <is>
          <t>cochesnet:71824946</t>
        </is>
      </c>
      <c r="B424" s="2" t="inlineStr">
        <is>
          <t>cochesnet</t>
        </is>
      </c>
      <c r="C424" s="2" t="inlineStr">
        <is>
          <t>https://www.coches.net/ford-focus-16ti-vct-ghia-5p-gasolina-2007-en-valencia-71824946-covo.aspx</t>
        </is>
      </c>
      <c r="D424" s="2" t="inlineStr">
        <is>
          <t>FORD Focus 1.6Ti VCT Ghia</t>
        </is>
      </c>
      <c r="E424" s="2" t="inlineStr">
        <is>
          <t>Ford</t>
        </is>
      </c>
      <c r="F424" s="2" t="inlineStr">
        <is>
          <t>Ford Focus</t>
        </is>
      </c>
      <c r="G424" s="2" t="inlineStr">
        <is>
          <t>1.6</t>
        </is>
      </c>
      <c r="H424" s="2" t="inlineStr">
        <is>
          <t>1.6Ti VCT Ghia</t>
        </is>
      </c>
      <c r="I424" s="2" t="n"/>
      <c r="J424" s="2" t="n"/>
      <c r="K424" s="2" t="inlineStr">
        <is>
          <t>gasolina</t>
        </is>
      </c>
      <c r="L424" s="2" t="inlineStr">
        <is>
          <t>compacto</t>
        </is>
      </c>
      <c r="M424" s="2" t="n">
        <v>2007</v>
      </c>
      <c r="N424" s="2" t="n">
        <v>159000</v>
      </c>
      <c r="O424" s="2" t="n">
        <v>4200</v>
      </c>
      <c r="P424" s="2" t="inlineStr">
        <is>
          <t>manual</t>
        </is>
      </c>
      <c r="Q424" s="2" t="inlineStr">
        <is>
          <t>no</t>
        </is>
      </c>
      <c r="R424" s="2" t="inlineStr">
        <is>
          <t>particular</t>
        </is>
      </c>
      <c r="S424" s="2" t="inlineStr">
        <is>
          <t>Valencia</t>
        </is>
      </c>
      <c r="T424" s="2" t="inlineStr">
        <is>
          <t>2026-10-24T18:03:42Z</t>
        </is>
      </c>
      <c r="U424" s="2" t="n">
        <v>13</v>
      </c>
      <c r="V424" s="2" t="inlineStr">
        <is>
          <t>sí</t>
        </is>
      </c>
      <c r="W424" s="2" t="n"/>
      <c r="X424" s="2" t="n"/>
      <c r="Y424" s="2" t="n">
        <v>1</v>
      </c>
      <c r="Z424" s="2" t="inlineStr">
        <is>
          <t>no</t>
        </is>
      </c>
      <c r="AA424" s="2" t="inlineStr">
        <is>
          <t>sí</t>
        </is>
      </c>
      <c r="AB424" s="2" t="n"/>
      <c r="AC424" s="2" t="n"/>
      <c r="AD424" s="2" t="n"/>
      <c r="AE424" s="2" t="n"/>
      <c r="AF424" s="2" t="n"/>
      <c r="AG424" s="2" t="n"/>
      <c r="AH424" s="2" t="n">
        <v>4200</v>
      </c>
      <c r="AI424" s="2" t="n"/>
      <c r="AJ424" s="2" t="n"/>
      <c r="AK424" s="2" t="n"/>
      <c r="AL424" s="2" t="n"/>
      <c r="AM424" s="2" t="n">
        <v>0.1</v>
      </c>
      <c r="AN424" s="2" t="inlineStr">
        <is>
          <t>6044FWM</t>
        </is>
      </c>
      <c r="AO424" s="2" t="inlineStr">
        <is>
          <t>2007</t>
        </is>
      </c>
      <c r="AP424" s="2" t="n">
        <v>2007</v>
      </c>
      <c r="AQ424" s="2" t="n"/>
      <c r="AR424" s="2" t="inlineStr">
        <is>
          <t>C</t>
        </is>
      </c>
      <c r="AS424" s="2" t="inlineStr">
        <is>
          <t>DGT</t>
        </is>
      </c>
      <c r="AT424" s="2" t="n">
        <v>3870</v>
      </c>
      <c r="AU424" s="2" t="n">
        <v>10</v>
      </c>
      <c r="AV424" s="2" t="inlineStr">
        <is>
          <t>modelo+año+km</t>
        </is>
      </c>
      <c r="AW424" s="2" t="n"/>
      <c r="AX424" s="2" t="inlineStr">
        <is>
          <t>cuota fija ITP: &gt;12 años, 1.501-2.000 cc</t>
        </is>
      </c>
      <c r="AY424" s="2" t="inlineStr">
        <is>
          <t xml:space="preserve">Se vende Ford Focus acabado Ghia en muy buen estado de conservación. Vehículo muy cuidado, de un único propietario (persona mayor que ha dejado de conducir), siempre guardado en garaje y sin ningún tipo de accidente.
Detalles del vehículo:
• Motor: 1.600 cc (Gasolina) – 85 kW / 115 CV
• Transmisión: Cambio manual
• Carrocería: 5 puertas
• Kilometraje: 161.000 km reales (ver foto)
• Matriculación: 17 de octubre de 2007
• Matrícula: 6044 FWM
A destacadar:
• Velocidad de crucero
• EL AIRE ACONDICIONADO FUNCIONA PERO LE FALTA POTENCIA PARA LOS DÍAS MÁS EXTREMOS 
Mantenimiento reciente (Puesta a punto completa en Octubre 2026):
• ITV recién pasada válida hasta octubre de 2027.
• Batería completamente nueva.
• Neumáticos nuevos.
• Cambio reciente de filtros (aceite, aire y habitáculo) y aceite.
Gastos y documentación:
• Impuesto del Ayuntamiento (IVTM) pagado hasta el 03/2027.
• Seguro en vigor y pagado hasta el 04/2027.
</t>
        </is>
      </c>
      <c r="AZ424" s="2" t="inlineStr">
        <is>
          <t>https://www.coches.net/ford-focus-16ti-vct-ghia-5p-gasolina-2007-en-valencia-71824946-covo.aspx (window.__INITIAL_PROPS__.ad) /home/user/Alopecia/buscador-coches/raw/cochesnet/08d06fd89fc96e99.json</t>
        </is>
      </c>
      <c r="BA424" s="3">
        <f>MAX(ANIO_ACTUAL-M424,0)</f>
        <v/>
      </c>
      <c r="BB424" s="4">
        <f>N424/MAX(BA424,0.5)</f>
        <v/>
      </c>
      <c r="BC424" s="4">
        <f>F424</f>
        <v/>
      </c>
      <c r="BD424" s="3">
        <f>BC424&amp;"|"&amp;INT(M424/SEG_ANIO)*SEG_ANIO</f>
        <v/>
      </c>
      <c r="BE424" s="3">
        <f>BD424&amp;"|"&amp;INT(N424/SEG_KM)*SEG_KM</f>
        <v/>
      </c>
      <c r="BF424" s="4">
        <f>COUNTIF($BC$2:$BC$545,BC424)</f>
        <v/>
      </c>
      <c r="BG424" s="4">
        <f>COUNTIF($BD$2:$BD$545,BD424)</f>
        <v/>
      </c>
      <c r="BH424" s="4">
        <f>COUNTIF($BE$2:$BE$545,BE424)</f>
        <v/>
      </c>
      <c r="BI424" s="3">
        <f t="array" ref="BI424">IF(N(AU424)&gt;=MIN_N,AT424,IF(BH424&gt;=MIN_N,MEDIAN(IF($BE$2:$BE$545=BE424,$O$2:$O$545)),IF(BG424&gt;=MIN_N,MEDIAN(IF($BD$2:$BD$545=BD424,$O$2:$O$545)),MEDIAN(IF($BC$2:$BC$545=BC424,$O$2:$O$545)))))</f>
        <v/>
      </c>
      <c r="BJ424" s="3">
        <f>IF(N(AU424)&gt;=MIN_N,"mercado "&amp;AV424,IF(BH424&gt;=MIN_N,"modelo+año+km",IF(BG424&gt;=MIN_N,"modelo+año","modelo")))</f>
        <v/>
      </c>
      <c r="BK424" s="4">
        <f>(BI424-O424)/BI424</f>
        <v/>
      </c>
      <c r="BL424" s="3">
        <f>IF(COUNTIFS(FR_FUEL,K424,FR_YEAR,AP424)&gt;0,1,0)</f>
        <v/>
      </c>
      <c r="BM424" s="3">
        <f>IF(COUNTIFS(FR_FUEL,K424,FR_YEAR,AP424-1)&gt;0,1,0)</f>
        <v/>
      </c>
      <c r="BN424" s="4">
        <f>IF(N(AQ424)&gt;0,AP424*100+AQ424,IF(AND(BL424=1,BM424=1),(AP424-1)*100+1,AP424*100+1))</f>
        <v/>
      </c>
      <c r="BO424" s="3">
        <f>IF(OR(K424="hibrido",K424="glp",K424="gnc",K424="phev"),"ECO",IF(K424="electrico","CERO",IF(K424="gasolina",IF(BN424&gt;=GAS_C_YM,"C",IF(BN424&gt;=GAS_B_YM,"B","A")),IF(K424="diesel",IF(BN424&gt;=DIE_C_YM,"C",IF(BN424&gt;=DIE_B_YM,"B","A")),""))))</f>
        <v/>
      </c>
      <c r="BP424" s="2" t="inlineStr">
        <is>
          <t>C</t>
        </is>
      </c>
      <c r="BQ424" s="4">
        <f>IF(AS424="regla",IF(AND(N(AQ424)=0,BL424=1),"sí","no"),"no")</f>
        <v/>
      </c>
      <c r="BR424" s="3">
        <f>IFERROR(VLOOKUP(F424,MOD_TBL,11,0),IFERROR(VLOOKUP(E424,OCU_TBL,2,0),NEUTRO))</f>
        <v/>
      </c>
      <c r="BS424" s="3">
        <f>SUMIFS(MOT_AJUSTE,MOT_MOTOR,G424,MOT_MARCA,E424,MOT_DESDE,"&lt;="&amp;M424,MOT_HASTA,"&gt;="&amp;M424)+SUMIFS(MOT_AJUSTE,MOT_MOTOR,G424,MOT_MARCA,"(todas)",MOT_DESDE,"&lt;="&amp;M424,MOT_HASTA,"&gt;="&amp;M424)</f>
        <v/>
      </c>
      <c r="BT424" s="3">
        <f>SUMIFS(COMB_AJUSTE,COMB_COMB,K424)</f>
        <v/>
      </c>
      <c r="BU424" s="3">
        <f>COUNTIFS(MOT_MOTOR,G424,MOT_MARCA,E424,MOT_DESDE,"&lt;="&amp;M424,MOT_HASTA,"&gt;="&amp;M424)+COUNTIFS(MOT_MOTOR,G424,MOT_MARCA,"(todas)",MOT_DESDE,"&lt;="&amp;M424,MOT_HASTA,"&gt;="&amp;M424)</f>
        <v/>
      </c>
      <c r="BV424" s="3">
        <f>IF(AND(K424="diesel",BU424=0),MIN(BR424,NEUTRO),BR424)</f>
        <v/>
      </c>
      <c r="BW424" s="4">
        <f>MAX(0,MIN(100,BV424+BS424+BT424))</f>
        <v/>
      </c>
      <c r="BX424" s="3">
        <f>MAX(0,MIN(100,50+BK424*PRECIO_PEND))</f>
        <v/>
      </c>
      <c r="BY424" s="3">
        <f>MAX(0,100*(1-N424/KM_MAX))</f>
        <v/>
      </c>
      <c r="BZ424" s="3">
        <f>IF(BB424&lt;KMA_SOSP,IF(AA424="sí",100,KMA_PEN),IF(BB424&lt;=KMA_IDEAL_MAX,100,MAX(0,100*(KMA_CERO-BB424)/(KMA_CERO-KMA_IDEAL_MAX))))</f>
        <v/>
      </c>
      <c r="CA424" s="3">
        <f>MAX(0,MIN(100,100*(M424-ANIO_MIN)/(ANIO_ACTUAL-ANIO_MIN)))</f>
        <v/>
      </c>
      <c r="CB424" s="3">
        <f>W_KMT*BY424+W_KMA*BZ424+W_EDAD*CA424</f>
        <v/>
      </c>
      <c r="CC424" s="3">
        <f>P_ITV*(V424="sí")+P_LIBRO*(W424="sí")+P_CORREA*(X424="sí")+P_PROP*(Y424=1)+P_GAR*(Z424="sí")+P_FOTOS*MIN(1,N(U424)/FOTOS_OBJ)</f>
        <v/>
      </c>
      <c r="CD424" s="3">
        <f>MAX(0,MIN(100,IFERROR(VLOOKUP(BP424,ETQ_TBL,2,0),0)-IF(BQ424="sí",ETQ_PEN_DUD,IF(AS424="regla",ETQ_PEN_REGLA,0))))</f>
        <v/>
      </c>
      <c r="CE424" s="3">
        <f>NEUTRO</f>
        <v/>
      </c>
      <c r="CF424" s="3">
        <f>IFERROR(VLOOKUP(L424,SEGURO_TBL,3,0),"")</f>
        <v/>
      </c>
      <c r="CG424" s="3">
        <f>IF(CF424="",NEUTRO,MAX(0,MIN(100,100*(SEG_REF_MAX-CF424)/(SEG_REF_MAX-SEG_REF_MIN))))</f>
        <v/>
      </c>
      <c r="CH424" s="3">
        <f>W_CONS*CE424+W_SEG*CG424</f>
        <v/>
      </c>
      <c r="CI424" s="3">
        <f>IF(N(AB424)&gt;0,AB424,IF(AND(R424="profesional",SG_LEGAL_ON=1),GAR_LEGAL,0))</f>
        <v/>
      </c>
      <c r="CJ424" s="3">
        <f>SG_GAR*MIN(1,CI424/SG_GAR_FULL)+SG_AMPL*(AC424="sí")+SG_KMC*(AF424="sí")+SG_REV*(N(AE424)&gt;0)+SG_DEV*MIN(1,N(AG424)/SG_DEV_FULL)+SG_HIST*(W424="sí")</f>
        <v/>
      </c>
      <c r="CK424" s="3">
        <f>IFERROR(VLOOKUP(L424,CARR_PEN_TBL,2,0),0)</f>
        <v/>
      </c>
      <c r="CL424" s="3">
        <f>W_FIAB*BW424+W_PRECIO*BX424+W_KMEDAD*CB424+W_ANUNCIO*CC424+W_USO*CH424+W_SEGURIDAD*CJ424+W_ETIQUETA*CD424-CK424</f>
        <v/>
      </c>
      <c r="CM424" s="4">
        <f>IF(N(I424)&gt;0,I424,IFERROR(ROUND(_xlfn.NUMBERVALUE(LEFT(G424,FIND(" ",G424&amp;" ")-1),".")*1000,0),99999))</f>
        <v/>
      </c>
      <c r="CN424" s="3">
        <f>IF(R424="profesional",0,IF(O424&lt;CUOTA_VALOR_MAX,IF(BA424&gt;ITP_TRAMO_ALTO,SUMIFS(CF_CUOTA,CF_MAS,ITP_TRAMO_ALTO,CF_CCMIN,"&lt;="&amp;CM424,CF_CCMAX,"&gt;="&amp;CM424),IF(BA424&gt;ITP_TRAMO_BAJO,SUMIFS(CF_CUOTA,CF_MAS,ITP_TRAMO_BAJO,CF_CCMIN,"&lt;="&amp;CM424,CF_CCMAX,"&gt;="&amp;CM424),O424*ITP_TIPO)),O424*ITP_TIPO))</f>
        <v/>
      </c>
      <c r="CO424" s="4">
        <f>IF(R424="profesional",N(AK424),0)</f>
        <v/>
      </c>
      <c r="CP424" s="3">
        <f>IF(AND(R424="profesional",ISNUMBER(AK424),AL424="sí"),0,TASA_DGT)</f>
        <v/>
      </c>
      <c r="CQ424" s="3">
        <f>INFORME_DGT</f>
        <v/>
      </c>
      <c r="CR424" s="4">
        <f>O424+CO424+CN424+CP424+CQ424</f>
        <v/>
      </c>
      <c r="CS424" s="4">
        <f>CR424+N(CF424)</f>
        <v/>
      </c>
      <c r="CT424" s="3">
        <f>IF(CR424&lt;=TOTAL_MAX,"sí",IF(CR424&lt;=TOTAL_MAX+MARGEN_NEG,"negociar","no"))</f>
        <v/>
      </c>
      <c r="CU424" s="4">
        <f>IF(CT424&lt;&gt;"no",COUNTIFS($CT$2:$CT$545,"&lt;&gt;no",$CL$2:$CL$545,"&gt;"&amp;CL424)+COUNTIFS($CT$2:CT424,"&lt;&gt;no",$CL$2:CL424,CL424),"")</f>
        <v/>
      </c>
    </row>
    <row r="425">
      <c r="A425" s="2" t="inlineStr">
        <is>
          <t>cochesnet:71099479</t>
        </is>
      </c>
      <c r="B425" s="2" t="inlineStr">
        <is>
          <t>cochesnet</t>
        </is>
      </c>
      <c r="C425" s="2" t="inlineStr">
        <is>
          <t>https://www.coches.net/ford-focus-18-tdci-ghia-5p-diesel-2005-en-valencia-71099479-covo.aspx</t>
        </is>
      </c>
      <c r="D425" s="2" t="inlineStr">
        <is>
          <t>FORD Focus 1.8 TDCi Ghia</t>
        </is>
      </c>
      <c r="E425" s="2" t="inlineStr">
        <is>
          <t>Ford</t>
        </is>
      </c>
      <c r="F425" s="2" t="inlineStr">
        <is>
          <t>Ford Focus</t>
        </is>
      </c>
      <c r="G425" s="2" t="inlineStr">
        <is>
          <t>1.8 TDCi</t>
        </is>
      </c>
      <c r="H425" s="2" t="inlineStr">
        <is>
          <t>1.8 TDCi Ghia</t>
        </is>
      </c>
      <c r="I425" s="2" t="n"/>
      <c r="J425" s="2" t="n"/>
      <c r="K425" s="2" t="inlineStr">
        <is>
          <t>diesel</t>
        </is>
      </c>
      <c r="L425" s="2" t="inlineStr">
        <is>
          <t>compacto</t>
        </is>
      </c>
      <c r="M425" s="2" t="n">
        <v>2006</v>
      </c>
      <c r="N425" s="2" t="n">
        <v>180000</v>
      </c>
      <c r="O425" s="2" t="n">
        <v>3400</v>
      </c>
      <c r="P425" s="2" t="inlineStr">
        <is>
          <t>manual</t>
        </is>
      </c>
      <c r="Q425" s="2" t="inlineStr">
        <is>
          <t>no</t>
        </is>
      </c>
      <c r="R425" s="2" t="inlineStr">
        <is>
          <t>profesional</t>
        </is>
      </c>
      <c r="S425" s="2" t="inlineStr">
        <is>
          <t>MA Automoción Manises</t>
        </is>
      </c>
      <c r="T425" s="2" t="inlineStr">
        <is>
          <t>2026-10-13T18:31:14Z</t>
        </is>
      </c>
      <c r="U425" s="2" t="n">
        <v>6</v>
      </c>
      <c r="V425" s="2" t="n"/>
      <c r="W425" s="2" t="n"/>
      <c r="X425" s="2" t="n"/>
      <c r="Y425" s="2" t="n"/>
      <c r="Z425" s="2" t="inlineStr">
        <is>
          <t>sí</t>
        </is>
      </c>
      <c r="AA425" s="2" t="n"/>
      <c r="AB425" s="2" t="n">
        <v>12</v>
      </c>
      <c r="AC425" s="2" t="n"/>
      <c r="AD425" s="2" t="n"/>
      <c r="AE425" s="2" t="n"/>
      <c r="AF425" s="2" t="n"/>
      <c r="AG425" s="2" t="n"/>
      <c r="AH425" s="2" t="n">
        <v>3400</v>
      </c>
      <c r="AI425" s="2" t="n">
        <v>3400</v>
      </c>
      <c r="AJ425" s="2" t="n"/>
      <c r="AK425" s="2" t="n"/>
      <c r="AL425" s="2" t="n"/>
      <c r="AM425" s="2" t="n">
        <v>8.1</v>
      </c>
      <c r="AN425" s="2" t="n"/>
      <c r="AO425" s="2" t="inlineStr">
        <is>
          <t>2006</t>
        </is>
      </c>
      <c r="AP425" s="2" t="n">
        <v>2006</v>
      </c>
      <c r="AQ425" s="2" t="n"/>
      <c r="AR425" s="2" t="n"/>
      <c r="AS425" s="2" t="inlineStr">
        <is>
          <t>regla</t>
        </is>
      </c>
      <c r="AT425" s="2" t="n">
        <v>3000</v>
      </c>
      <c r="AU425" s="2" t="n">
        <v>10</v>
      </c>
      <c r="AV425" s="2" t="inlineStr">
        <is>
          <t>modelo+año+km</t>
        </is>
      </c>
      <c r="AW425" s="2" t="n"/>
      <c r="AX425" s="2" t="inlineStr">
        <is>
          <t>etiqueta A dudosa: confirmar etiqueta con la DGT antes de comprar; vendedor profesional: sin ITP (operación con IVA/REBU, confirmar en factura); gastos de gestión del vendedor no indicados: se suma la tasa DGT; preguntar el precio final; diésel: motor sin fuente de fiabilidad (fiabilidad limitada a neutra)</t>
        </is>
      </c>
      <c r="AY425" s="2" t="inlineStr">
        <is>
          <t>Este Ford Focus 1.8 TDCi Ghia es una berlina compacta de cinco puertas con tracción delantera que destaca por su equilibrio entre practicidad y confort. El motor diésel de 1,8 litros ofrece 115 CV con un par máximo de 300 Nm a bajas revoluciones, característica típica de los motores de gasoil que facilita la conducción en ciudad y en carretera. La transmisión manual de cinco velocidades proporciona control directo y eficiencia en el consumo.
El acabado Ghia refleja un nivel de equipamiento generoso para su época. En el interior, destaca el volante multifuncional revestido de cuero con ajuste en altura y profundidad, asientos delanteros individuales con regulación lumbar en el conductor, y aire acondicionado automático bizona con filtro de carbón activo. Los cristales tintados y los elevalunas eléctricos en todas las puertas contribuyen al confort diario. La dirección asistida y el control de crucero facilitan los viajes prolongados.
En cuanto a seguridad, este vehículo incorpora airbags frontales inteligentes, laterales delanteros y de cortina, cinturones de seguridad de tres puntos con pretensores en los asientos delanteros, y frenos ABS en las cuatro ruedas con sensores de distancia traseros. El inmovilizador electrónico proporciona protección adicional contra el robo.
El maletero ofrece 385 litros de capacidad, ampliables a 1.247 litros con los asientos traseros abatidos, lo que proporciona versatilidad para diferentes necesidades de carga. Las llantas de aleación de 16</t>
        </is>
      </c>
      <c r="AZ425" s="2" t="inlineStr">
        <is>
          <t>https://www.coches.net/ford-focus-18-tdci-ghia-5p-diesel-2005-en-valencia-71099479-covo.aspx (window.__INITIAL_PROPS__.ad) /home/user/Alopecia/buscador-coches/raw/cochesnet/336b83cf505ea9c6.json</t>
        </is>
      </c>
      <c r="BA425" s="3">
        <f>MAX(ANIO_ACTUAL-M425,0)</f>
        <v/>
      </c>
      <c r="BB425" s="4">
        <f>N425/MAX(BA425,0.5)</f>
        <v/>
      </c>
      <c r="BC425" s="4">
        <f>F425</f>
        <v/>
      </c>
      <c r="BD425" s="3">
        <f>BC425&amp;"|"&amp;INT(M425/SEG_ANIO)*SEG_ANIO</f>
        <v/>
      </c>
      <c r="BE425" s="3">
        <f>BD425&amp;"|"&amp;INT(N425/SEG_KM)*SEG_KM</f>
        <v/>
      </c>
      <c r="BF425" s="4">
        <f>COUNTIF($BC$2:$BC$545,BC425)</f>
        <v/>
      </c>
      <c r="BG425" s="4">
        <f>COUNTIF($BD$2:$BD$545,BD425)</f>
        <v/>
      </c>
      <c r="BH425" s="4">
        <f>COUNTIF($BE$2:$BE$545,BE425)</f>
        <v/>
      </c>
      <c r="BI425" s="3">
        <f t="array" ref="BI425">IF(N(AU425)&gt;=MIN_N,AT425,IF(BH425&gt;=MIN_N,MEDIAN(IF($BE$2:$BE$545=BE425,$O$2:$O$545)),IF(BG425&gt;=MIN_N,MEDIAN(IF($BD$2:$BD$545=BD425,$O$2:$O$545)),MEDIAN(IF($BC$2:$BC$545=BC425,$O$2:$O$545)))))</f>
        <v/>
      </c>
      <c r="BJ425" s="3">
        <f>IF(N(AU425)&gt;=MIN_N,"mercado "&amp;AV425,IF(BH425&gt;=MIN_N,"modelo+año+km",IF(BG425&gt;=MIN_N,"modelo+año","modelo")))</f>
        <v/>
      </c>
      <c r="BK425" s="4">
        <f>(BI425-O425)/BI425</f>
        <v/>
      </c>
      <c r="BL425" s="3">
        <f>IF(COUNTIFS(FR_FUEL,K425,FR_YEAR,AP425)&gt;0,1,0)</f>
        <v/>
      </c>
      <c r="BM425" s="3">
        <f>IF(COUNTIFS(FR_FUEL,K425,FR_YEAR,AP425-1)&gt;0,1,0)</f>
        <v/>
      </c>
      <c r="BN425" s="4">
        <f>IF(N(AQ425)&gt;0,AP425*100+AQ425,IF(AND(BL425=1,BM425=1),(AP425-1)*100+1,AP425*100+1))</f>
        <v/>
      </c>
      <c r="BO425" s="3">
        <f>IF(OR(K425="hibrido",K425="glp",K425="gnc",K425="phev"),"ECO",IF(K425="electrico","CERO",IF(K425="gasolina",IF(BN425&gt;=GAS_C_YM,"C",IF(BN425&gt;=GAS_B_YM,"B","A")),IF(K425="diesel",IF(BN425&gt;=DIE_C_YM,"C",IF(BN425&gt;=DIE_B_YM,"B","A")),""))))</f>
        <v/>
      </c>
      <c r="BP425" s="4">
        <f>BO425</f>
        <v/>
      </c>
      <c r="BQ425" s="4">
        <f>IF(AS425="regla",IF(AND(N(AQ425)=0,BL425=1),"sí","no"),"no")</f>
        <v/>
      </c>
      <c r="BR425" s="3">
        <f>IFERROR(VLOOKUP(F425,MOD_TBL,11,0),IFERROR(VLOOKUP(E425,OCU_TBL,2,0),NEUTRO))</f>
        <v/>
      </c>
      <c r="BS425" s="3">
        <f>SUMIFS(MOT_AJUSTE,MOT_MOTOR,G425,MOT_MARCA,E425,MOT_DESDE,"&lt;="&amp;M425,MOT_HASTA,"&gt;="&amp;M425)+SUMIFS(MOT_AJUSTE,MOT_MOTOR,G425,MOT_MARCA,"(todas)",MOT_DESDE,"&lt;="&amp;M425,MOT_HASTA,"&gt;="&amp;M425)</f>
        <v/>
      </c>
      <c r="BT425" s="3">
        <f>SUMIFS(COMB_AJUSTE,COMB_COMB,K425)</f>
        <v/>
      </c>
      <c r="BU425" s="3">
        <f>COUNTIFS(MOT_MOTOR,G425,MOT_MARCA,E425,MOT_DESDE,"&lt;="&amp;M425,MOT_HASTA,"&gt;="&amp;M425)+COUNTIFS(MOT_MOTOR,G425,MOT_MARCA,"(todas)",MOT_DESDE,"&lt;="&amp;M425,MOT_HASTA,"&gt;="&amp;M425)</f>
        <v/>
      </c>
      <c r="BV425" s="3">
        <f>IF(AND(K425="diesel",BU425=0),MIN(BR425,NEUTRO),BR425)</f>
        <v/>
      </c>
      <c r="BW425" s="4">
        <f>MAX(0,MIN(100,BV425+BS425+BT425))</f>
        <v/>
      </c>
      <c r="BX425" s="3">
        <f>MAX(0,MIN(100,50+BK425*PRECIO_PEND))</f>
        <v/>
      </c>
      <c r="BY425" s="3">
        <f>MAX(0,100*(1-N425/KM_MAX))</f>
        <v/>
      </c>
      <c r="BZ425" s="3">
        <f>IF(BB425&lt;KMA_SOSP,IF(AA425="sí",100,KMA_PEN),IF(BB425&lt;=KMA_IDEAL_MAX,100,MAX(0,100*(KMA_CERO-BB425)/(KMA_CERO-KMA_IDEAL_MAX))))</f>
        <v/>
      </c>
      <c r="CA425" s="3">
        <f>MAX(0,MIN(100,100*(M425-ANIO_MIN)/(ANIO_ACTUAL-ANIO_MIN)))</f>
        <v/>
      </c>
      <c r="CB425" s="3">
        <f>W_KMT*BY425+W_KMA*BZ425+W_EDAD*CA425</f>
        <v/>
      </c>
      <c r="CC425" s="3">
        <f>P_ITV*(V425="sí")+P_LIBRO*(W425="sí")+P_CORREA*(X425="sí")+P_PROP*(Y425=1)+P_GAR*(Z425="sí")+P_FOTOS*MIN(1,N(U425)/FOTOS_OBJ)</f>
        <v/>
      </c>
      <c r="CD425" s="3">
        <f>MAX(0,MIN(100,IFERROR(VLOOKUP(BP425,ETQ_TBL,2,0),0)-IF(BQ425="sí",ETQ_PEN_DUD,IF(AS425="regla",ETQ_PEN_REGLA,0))))</f>
        <v/>
      </c>
      <c r="CE425" s="3">
        <f>NEUTRO</f>
        <v/>
      </c>
      <c r="CF425" s="3">
        <f>IFERROR(VLOOKUP(L425,SEGURO_TBL,3,0),"")</f>
        <v/>
      </c>
      <c r="CG425" s="3">
        <f>IF(CF425="",NEUTRO,MAX(0,MIN(100,100*(SEG_REF_MAX-CF425)/(SEG_REF_MAX-SEG_REF_MIN))))</f>
        <v/>
      </c>
      <c r="CH425" s="3">
        <f>W_CONS*CE425+W_SEG*CG425</f>
        <v/>
      </c>
      <c r="CI425" s="3">
        <f>IF(N(AB425)&gt;0,AB425,IF(AND(R425="profesional",SG_LEGAL_ON=1),GAR_LEGAL,0))</f>
        <v/>
      </c>
      <c r="CJ425" s="3">
        <f>SG_GAR*MIN(1,CI425/SG_GAR_FULL)+SG_AMPL*(AC425="sí")+SG_KMC*(AF425="sí")+SG_REV*(N(AE425)&gt;0)+SG_DEV*MIN(1,N(AG425)/SG_DEV_FULL)+SG_HIST*(W425="sí")</f>
        <v/>
      </c>
      <c r="CK425" s="3">
        <f>IFERROR(VLOOKUP(L425,CARR_PEN_TBL,2,0),0)</f>
        <v/>
      </c>
      <c r="CL425" s="3">
        <f>W_FIAB*BW425+W_PRECIO*BX425+W_KMEDAD*CB425+W_ANUNCIO*CC425+W_USO*CH425+W_SEGURIDAD*CJ425+W_ETIQUETA*CD425-CK425</f>
        <v/>
      </c>
      <c r="CM425" s="4">
        <f>IF(N(I425)&gt;0,I425,IFERROR(ROUND(_xlfn.NUMBERVALUE(LEFT(G425,FIND(" ",G425&amp;" ")-1),".")*1000,0),99999))</f>
        <v/>
      </c>
      <c r="CN425" s="3">
        <f>IF(R425="profesional",0,IF(O425&lt;CUOTA_VALOR_MAX,IF(BA425&gt;ITP_TRAMO_ALTO,SUMIFS(CF_CUOTA,CF_MAS,ITP_TRAMO_ALTO,CF_CCMIN,"&lt;="&amp;CM425,CF_CCMAX,"&gt;="&amp;CM425),IF(BA425&gt;ITP_TRAMO_BAJO,SUMIFS(CF_CUOTA,CF_MAS,ITP_TRAMO_BAJO,CF_CCMIN,"&lt;="&amp;CM425,CF_CCMAX,"&gt;="&amp;CM425),O425*ITP_TIPO)),O425*ITP_TIPO))</f>
        <v/>
      </c>
      <c r="CO425" s="4">
        <f>IF(R425="profesional",N(AK425),0)</f>
        <v/>
      </c>
      <c r="CP425" s="3">
        <f>IF(AND(R425="profesional",ISNUMBER(AK425),AL425="sí"),0,TASA_DGT)</f>
        <v/>
      </c>
      <c r="CQ425" s="3">
        <f>INFORME_DGT</f>
        <v/>
      </c>
      <c r="CR425" s="4">
        <f>O425+CO425+CN425+CP425+CQ425</f>
        <v/>
      </c>
      <c r="CS425" s="4">
        <f>CR425+N(CF425)</f>
        <v/>
      </c>
      <c r="CT425" s="3">
        <f>IF(CR425&lt;=TOTAL_MAX,"sí",IF(CR425&lt;=TOTAL_MAX+MARGEN_NEG,"negociar","no"))</f>
        <v/>
      </c>
      <c r="CU425" s="4">
        <f>IF(CT425&lt;&gt;"no",COUNTIFS($CT$2:$CT$545,"&lt;&gt;no",$CL$2:$CL$545,"&gt;"&amp;CL425)+COUNTIFS($CT$2:CT425,"&lt;&gt;no",$CL$2:CL425,CL425),"")</f>
        <v/>
      </c>
    </row>
    <row r="426">
      <c r="A426" s="2" t="inlineStr">
        <is>
          <t>cochesnet:71021526</t>
        </is>
      </c>
      <c r="B426" s="2" t="inlineStr">
        <is>
          <t>cochesnet</t>
        </is>
      </c>
      <c r="C426" s="2" t="inlineStr">
        <is>
          <t>https://www.coches.net/ford-focus-18-tdci-ghia-5p-diesel-2007-en-valencia-71021526-covo.aspx</t>
        </is>
      </c>
      <c r="D426" s="2" t="inlineStr">
        <is>
          <t>FORD Focus 1.8 TDCi Ghia</t>
        </is>
      </c>
      <c r="E426" s="2" t="inlineStr">
        <is>
          <t>Ford</t>
        </is>
      </c>
      <c r="F426" s="2" t="inlineStr">
        <is>
          <t>Ford Focus</t>
        </is>
      </c>
      <c r="G426" s="2" t="inlineStr">
        <is>
          <t>1.8 TDCi</t>
        </is>
      </c>
      <c r="H426" s="2" t="inlineStr">
        <is>
          <t>1.8 TDCi Ghia</t>
        </is>
      </c>
      <c r="I426" s="2" t="n"/>
      <c r="J426" s="2" t="n"/>
      <c r="K426" s="2" t="inlineStr">
        <is>
          <t>diesel</t>
        </is>
      </c>
      <c r="L426" s="2" t="inlineStr">
        <is>
          <t>compacto</t>
        </is>
      </c>
      <c r="M426" s="2" t="n">
        <v>2006</v>
      </c>
      <c r="N426" s="2" t="n">
        <v>202000</v>
      </c>
      <c r="O426" s="2" t="n">
        <v>3500</v>
      </c>
      <c r="P426" s="2" t="inlineStr">
        <is>
          <t>manual</t>
        </is>
      </c>
      <c r="Q426" s="2" t="inlineStr">
        <is>
          <t>no</t>
        </is>
      </c>
      <c r="R426" s="2" t="inlineStr">
        <is>
          <t>profesional</t>
        </is>
      </c>
      <c r="S426" s="2" t="inlineStr">
        <is>
          <t>Beniparrell</t>
        </is>
      </c>
      <c r="T426" s="2" t="inlineStr">
        <is>
          <t>2026-10-05T12:25:03Z</t>
        </is>
      </c>
      <c r="U426" s="2" t="n">
        <v>13</v>
      </c>
      <c r="V426" s="2" t="n"/>
      <c r="W426" s="2" t="n"/>
      <c r="X426" s="2" t="n"/>
      <c r="Y426" s="2" t="n"/>
      <c r="Z426" s="2" t="inlineStr">
        <is>
          <t>sí</t>
        </is>
      </c>
      <c r="AA426" s="2" t="n"/>
      <c r="AB426" s="2" t="n">
        <v>12</v>
      </c>
      <c r="AC426" s="2" t="n"/>
      <c r="AD426" s="2" t="n"/>
      <c r="AE426" s="2" t="n"/>
      <c r="AF426" s="2" t="n"/>
      <c r="AG426" s="2" t="n"/>
      <c r="AH426" s="2" t="n">
        <v>3500</v>
      </c>
      <c r="AI426" s="2" t="n"/>
      <c r="AJ426" s="2" t="n"/>
      <c r="AK426" s="2" t="n"/>
      <c r="AL426" s="2" t="n"/>
      <c r="AM426" s="2" t="n">
        <v>10.2</v>
      </c>
      <c r="AN426" s="2" t="n"/>
      <c r="AO426" s="2" t="inlineStr">
        <is>
          <t>2006</t>
        </is>
      </c>
      <c r="AP426" s="2" t="n">
        <v>2006</v>
      </c>
      <c r="AQ426" s="2" t="n"/>
      <c r="AR426" s="2" t="inlineStr">
        <is>
          <t>B</t>
        </is>
      </c>
      <c r="AS426" s="2" t="inlineStr">
        <is>
          <t>anuncio</t>
        </is>
      </c>
      <c r="AT426" s="2" t="n">
        <v>2995</v>
      </c>
      <c r="AU426" s="2" t="n">
        <v>16</v>
      </c>
      <c r="AV426" s="2" t="inlineStr">
        <is>
          <t>modelo+año+km</t>
        </is>
      </c>
      <c r="AW426" s="2" t="n"/>
      <c r="AX426" s="2" t="inlineStr">
        <is>
          <t>vendedor profesional: sin ITP (operación con IVA/REBU, confirmar en factura); gastos de gestión del vendedor no indicados: se suma la tasa DGT; preguntar el precio final; diésel: motor sin fuente de fiabilidad (fiabilidad limitada a neutra)</t>
        </is>
      </c>
      <c r="AY426" s="2" t="inlineStr">
        <is>
          <t>Este Ford Focus 1.8 TDCi Ghia representa una berlina compacta versátil, con acabado de lujo que combina practicidad y equipamiento completo para el uso diario. El motor diésel de 1.753 cc proporciona una entrega de potencia eficiente, especialmente en recorridos mixtos y a velocidad de crucero, donde demuestra su fortaleza en par motor.
El espacio interior está bien aprovechado: 385 litros de maletero ampliables a 1.247 con los asientos traseros abatidos, lo que facilita tanto viajes ocasionales como transportes puntuales. Los asientos delanteros cuentan con ajuste lumbar y altura, mientras que la banqueta trasera partida y abatible asimétrica permite flexibilidad en la configuración del habitáculo.
En cuanto a confort, este vehículo integra climatización bizona automática, control de crucero, dirección asistida y volante multifuncional revestido en cuero ajustable. Los elevalunas eléctricos delanteros con un solo toque, cierre centralizado con mando a distancia y apertura eléctrica del maletero son detalles que facilitan el uso cotidiano.
La seguridad está cubierta con airbags frontales inteligentes, laterales delanteros y de cortina, cinturones de tres puntos con pretensores en los asientos delanteros, ABS en las cuatro ruedas y sensores de distancia traseros. El sistema de frenado combina discos ventilados delanteros con ABS.
Equipado con sistema de audio de seis altavoces, radio AM/FM con reproductor de CD, RDS y control remoto en volante, además de ordenador de viaje</t>
        </is>
      </c>
      <c r="AZ426" s="2" t="inlineStr">
        <is>
          <t>https://www.coches.net/ford-focus-18-tdci-ghia-5p-diesel-2007-en-valencia-71021526-covo.aspx (window.__INITIAL_PROPS__.ad) /home/user/Alopecia/buscador-coches/raw/cochesnet/be51951326ffd2d8.json</t>
        </is>
      </c>
      <c r="BA426" s="3">
        <f>MAX(ANIO_ACTUAL-M426,0)</f>
        <v/>
      </c>
      <c r="BB426" s="4">
        <f>N426/MAX(BA426,0.5)</f>
        <v/>
      </c>
      <c r="BC426" s="4">
        <f>F426</f>
        <v/>
      </c>
      <c r="BD426" s="3">
        <f>BC426&amp;"|"&amp;INT(M426/SEG_ANIO)*SEG_ANIO</f>
        <v/>
      </c>
      <c r="BE426" s="3">
        <f>BD426&amp;"|"&amp;INT(N426/SEG_KM)*SEG_KM</f>
        <v/>
      </c>
      <c r="BF426" s="4">
        <f>COUNTIF($BC$2:$BC$545,BC426)</f>
        <v/>
      </c>
      <c r="BG426" s="4">
        <f>COUNTIF($BD$2:$BD$545,BD426)</f>
        <v/>
      </c>
      <c r="BH426" s="4">
        <f>COUNTIF($BE$2:$BE$545,BE426)</f>
        <v/>
      </c>
      <c r="BI426" s="3">
        <f t="array" ref="BI426">IF(N(AU426)&gt;=MIN_N,AT426,IF(BH426&gt;=MIN_N,MEDIAN(IF($BE$2:$BE$545=BE426,$O$2:$O$545)),IF(BG426&gt;=MIN_N,MEDIAN(IF($BD$2:$BD$545=BD426,$O$2:$O$545)),MEDIAN(IF($BC$2:$BC$545=BC426,$O$2:$O$545)))))</f>
        <v/>
      </c>
      <c r="BJ426" s="3">
        <f>IF(N(AU426)&gt;=MIN_N,"mercado "&amp;AV426,IF(BH426&gt;=MIN_N,"modelo+año+km",IF(BG426&gt;=MIN_N,"modelo+año","modelo")))</f>
        <v/>
      </c>
      <c r="BK426" s="4">
        <f>(BI426-O426)/BI426</f>
        <v/>
      </c>
      <c r="BL426" s="3">
        <f>IF(COUNTIFS(FR_FUEL,K426,FR_YEAR,AP426)&gt;0,1,0)</f>
        <v/>
      </c>
      <c r="BM426" s="3">
        <f>IF(COUNTIFS(FR_FUEL,K426,FR_YEAR,AP426-1)&gt;0,1,0)</f>
        <v/>
      </c>
      <c r="BN426" s="4">
        <f>IF(N(AQ426)&gt;0,AP426*100+AQ426,IF(AND(BL426=1,BM426=1),(AP426-1)*100+1,AP426*100+1))</f>
        <v/>
      </c>
      <c r="BO426" s="3">
        <f>IF(OR(K426="hibrido",K426="glp",K426="gnc",K426="phev"),"ECO",IF(K426="electrico","CERO",IF(K426="gasolina",IF(BN426&gt;=GAS_C_YM,"C",IF(BN426&gt;=GAS_B_YM,"B","A")),IF(K426="diesel",IF(BN426&gt;=DIE_C_YM,"C",IF(BN426&gt;=DIE_B_YM,"B","A")),""))))</f>
        <v/>
      </c>
      <c r="BP426" s="2" t="inlineStr">
        <is>
          <t>B</t>
        </is>
      </c>
      <c r="BQ426" s="4">
        <f>IF(AS426="regla",IF(AND(N(AQ426)=0,BL426=1),"sí","no"),"no")</f>
        <v/>
      </c>
      <c r="BR426" s="3">
        <f>IFERROR(VLOOKUP(F426,MOD_TBL,11,0),IFERROR(VLOOKUP(E426,OCU_TBL,2,0),NEUTRO))</f>
        <v/>
      </c>
      <c r="BS426" s="3">
        <f>SUMIFS(MOT_AJUSTE,MOT_MOTOR,G426,MOT_MARCA,E426,MOT_DESDE,"&lt;="&amp;M426,MOT_HASTA,"&gt;="&amp;M426)+SUMIFS(MOT_AJUSTE,MOT_MOTOR,G426,MOT_MARCA,"(todas)",MOT_DESDE,"&lt;="&amp;M426,MOT_HASTA,"&gt;="&amp;M426)</f>
        <v/>
      </c>
      <c r="BT426" s="3">
        <f>SUMIFS(COMB_AJUSTE,COMB_COMB,K426)</f>
        <v/>
      </c>
      <c r="BU426" s="3">
        <f>COUNTIFS(MOT_MOTOR,G426,MOT_MARCA,E426,MOT_DESDE,"&lt;="&amp;M426,MOT_HASTA,"&gt;="&amp;M426)+COUNTIFS(MOT_MOTOR,G426,MOT_MARCA,"(todas)",MOT_DESDE,"&lt;="&amp;M426,MOT_HASTA,"&gt;="&amp;M426)</f>
        <v/>
      </c>
      <c r="BV426" s="3">
        <f>IF(AND(K426="diesel",BU426=0),MIN(BR426,NEUTRO),BR426)</f>
        <v/>
      </c>
      <c r="BW426" s="4">
        <f>MAX(0,MIN(100,BV426+BS426+BT426))</f>
        <v/>
      </c>
      <c r="BX426" s="3">
        <f>MAX(0,MIN(100,50+BK426*PRECIO_PEND))</f>
        <v/>
      </c>
      <c r="BY426" s="3">
        <f>MAX(0,100*(1-N426/KM_MAX))</f>
        <v/>
      </c>
      <c r="BZ426" s="3">
        <f>IF(BB426&lt;KMA_SOSP,IF(AA426="sí",100,KMA_PEN),IF(BB426&lt;=KMA_IDEAL_MAX,100,MAX(0,100*(KMA_CERO-BB426)/(KMA_CERO-KMA_IDEAL_MAX))))</f>
        <v/>
      </c>
      <c r="CA426" s="3">
        <f>MAX(0,MIN(100,100*(M426-ANIO_MIN)/(ANIO_ACTUAL-ANIO_MIN)))</f>
        <v/>
      </c>
      <c r="CB426" s="3">
        <f>W_KMT*BY426+W_KMA*BZ426+W_EDAD*CA426</f>
        <v/>
      </c>
      <c r="CC426" s="3">
        <f>P_ITV*(V426="sí")+P_LIBRO*(W426="sí")+P_CORREA*(X426="sí")+P_PROP*(Y426=1)+P_GAR*(Z426="sí")+P_FOTOS*MIN(1,N(U426)/FOTOS_OBJ)</f>
        <v/>
      </c>
      <c r="CD426" s="3">
        <f>MAX(0,MIN(100,IFERROR(VLOOKUP(BP426,ETQ_TBL,2,0),0)-IF(BQ426="sí",ETQ_PEN_DUD,IF(AS426="regla",ETQ_PEN_REGLA,0))))</f>
        <v/>
      </c>
      <c r="CE426" s="3">
        <f>NEUTRO</f>
        <v/>
      </c>
      <c r="CF426" s="3">
        <f>IFERROR(VLOOKUP(L426,SEGURO_TBL,3,0),"")</f>
        <v/>
      </c>
      <c r="CG426" s="3">
        <f>IF(CF426="",NEUTRO,MAX(0,MIN(100,100*(SEG_REF_MAX-CF426)/(SEG_REF_MAX-SEG_REF_MIN))))</f>
        <v/>
      </c>
      <c r="CH426" s="3">
        <f>W_CONS*CE426+W_SEG*CG426</f>
        <v/>
      </c>
      <c r="CI426" s="3">
        <f>IF(N(AB426)&gt;0,AB426,IF(AND(R426="profesional",SG_LEGAL_ON=1),GAR_LEGAL,0))</f>
        <v/>
      </c>
      <c r="CJ426" s="3">
        <f>SG_GAR*MIN(1,CI426/SG_GAR_FULL)+SG_AMPL*(AC426="sí")+SG_KMC*(AF426="sí")+SG_REV*(N(AE426)&gt;0)+SG_DEV*MIN(1,N(AG426)/SG_DEV_FULL)+SG_HIST*(W426="sí")</f>
        <v/>
      </c>
      <c r="CK426" s="3">
        <f>IFERROR(VLOOKUP(L426,CARR_PEN_TBL,2,0),0)</f>
        <v/>
      </c>
      <c r="CL426" s="3">
        <f>W_FIAB*BW426+W_PRECIO*BX426+W_KMEDAD*CB426+W_ANUNCIO*CC426+W_USO*CH426+W_SEGURIDAD*CJ426+W_ETIQUETA*CD426-CK426</f>
        <v/>
      </c>
      <c r="CM426" s="4">
        <f>IF(N(I426)&gt;0,I426,IFERROR(ROUND(_xlfn.NUMBERVALUE(LEFT(G426,FIND(" ",G426&amp;" ")-1),".")*1000,0),99999))</f>
        <v/>
      </c>
      <c r="CN426" s="3">
        <f>IF(R426="profesional",0,IF(O426&lt;CUOTA_VALOR_MAX,IF(BA426&gt;ITP_TRAMO_ALTO,SUMIFS(CF_CUOTA,CF_MAS,ITP_TRAMO_ALTO,CF_CCMIN,"&lt;="&amp;CM426,CF_CCMAX,"&gt;="&amp;CM426),IF(BA426&gt;ITP_TRAMO_BAJO,SUMIFS(CF_CUOTA,CF_MAS,ITP_TRAMO_BAJO,CF_CCMIN,"&lt;="&amp;CM426,CF_CCMAX,"&gt;="&amp;CM426),O426*ITP_TIPO)),O426*ITP_TIPO))</f>
        <v/>
      </c>
      <c r="CO426" s="4">
        <f>IF(R426="profesional",N(AK426),0)</f>
        <v/>
      </c>
      <c r="CP426" s="3">
        <f>IF(AND(R426="profesional",ISNUMBER(AK426),AL426="sí"),0,TASA_DGT)</f>
        <v/>
      </c>
      <c r="CQ426" s="3">
        <f>INFORME_DGT</f>
        <v/>
      </c>
      <c r="CR426" s="4">
        <f>O426+CO426+CN426+CP426+CQ426</f>
        <v/>
      </c>
      <c r="CS426" s="4">
        <f>CR426+N(CF426)</f>
        <v/>
      </c>
      <c r="CT426" s="3">
        <f>IF(CR426&lt;=TOTAL_MAX,"sí",IF(CR426&lt;=TOTAL_MAX+MARGEN_NEG,"negociar","no"))</f>
        <v/>
      </c>
      <c r="CU426" s="4">
        <f>IF(CT426&lt;&gt;"no",COUNTIFS($CT$2:$CT$545,"&lt;&gt;no",$CL$2:$CL$545,"&gt;"&amp;CL426)+COUNTIFS($CT$2:CT426,"&lt;&gt;no",$CL$2:CL426,CL426),"")</f>
        <v/>
      </c>
    </row>
    <row r="427">
      <c r="A427" s="2" t="inlineStr">
        <is>
          <t>cochesnet:71726866</t>
        </is>
      </c>
      <c r="B427" s="2" t="inlineStr">
        <is>
          <t>cochesnet</t>
        </is>
      </c>
      <c r="C427" s="2" t="inlineStr">
        <is>
          <t>https://www.coches.net/ford-focus-20-tdci-s-3p-diesel-2007-en-valencia-71726866-covo.aspx</t>
        </is>
      </c>
      <c r="D427" s="2" t="inlineStr">
        <is>
          <t>FORD Focus 2.0 TDCi S</t>
        </is>
      </c>
      <c r="E427" s="2" t="inlineStr">
        <is>
          <t>Ford</t>
        </is>
      </c>
      <c r="F427" s="2" t="inlineStr">
        <is>
          <t>Ford Focus</t>
        </is>
      </c>
      <c r="G427" s="2" t="inlineStr">
        <is>
          <t>2.0 TDCi</t>
        </is>
      </c>
      <c r="H427" s="2" t="inlineStr">
        <is>
          <t>2.0 TDCi S</t>
        </is>
      </c>
      <c r="I427" s="2" t="n"/>
      <c r="J427" s="2" t="n"/>
      <c r="K427" s="2" t="inlineStr">
        <is>
          <t>diesel</t>
        </is>
      </c>
      <c r="L427" s="2" t="inlineStr">
        <is>
          <t>compacto</t>
        </is>
      </c>
      <c r="M427" s="2" t="n">
        <v>2007</v>
      </c>
      <c r="N427" s="2" t="n">
        <v>203000</v>
      </c>
      <c r="O427" s="2" t="n">
        <v>3200</v>
      </c>
      <c r="P427" s="2" t="inlineStr">
        <is>
          <t>manual</t>
        </is>
      </c>
      <c r="Q427" s="2" t="inlineStr">
        <is>
          <t>no</t>
        </is>
      </c>
      <c r="R427" s="2" t="inlineStr">
        <is>
          <t>particular</t>
        </is>
      </c>
      <c r="S427" s="2" t="inlineStr">
        <is>
          <t>Villalonga</t>
        </is>
      </c>
      <c r="T427" s="2" t="inlineStr">
        <is>
          <t>2026-10-12T16:59:27Z</t>
        </is>
      </c>
      <c r="U427" s="2" t="n">
        <v>3</v>
      </c>
      <c r="V427" s="2" t="inlineStr">
        <is>
          <t>sí</t>
        </is>
      </c>
      <c r="W427" s="2" t="n"/>
      <c r="X427" s="2" t="n"/>
      <c r="Y427" s="2" t="n"/>
      <c r="Z427" s="2" t="inlineStr">
        <is>
          <t>no</t>
        </is>
      </c>
      <c r="AA427" s="2" t="n"/>
      <c r="AB427" s="2" t="n"/>
      <c r="AC427" s="2" t="n"/>
      <c r="AD427" s="2" t="n"/>
      <c r="AE427" s="2" t="n"/>
      <c r="AF427" s="2" t="n"/>
      <c r="AG427" s="2" t="n"/>
      <c r="AH427" s="2" t="n">
        <v>3200</v>
      </c>
      <c r="AI427" s="2" t="n"/>
      <c r="AJ427" s="2" t="n"/>
      <c r="AK427" s="2" t="n"/>
      <c r="AL427" s="2" t="n"/>
      <c r="AM427" s="2" t="n">
        <v>66.59999999999999</v>
      </c>
      <c r="AN427" s="2" t="n"/>
      <c r="AO427" s="2" t="inlineStr">
        <is>
          <t>05/2007</t>
        </is>
      </c>
      <c r="AP427" s="2" t="n">
        <v>2007</v>
      </c>
      <c r="AQ427" s="2" t="n">
        <v>5</v>
      </c>
      <c r="AR427" s="2" t="n"/>
      <c r="AS427" s="2" t="inlineStr">
        <is>
          <t>regla</t>
        </is>
      </c>
      <c r="AT427" s="2" t="n">
        <v>3500</v>
      </c>
      <c r="AU427" s="2" t="n">
        <v>12</v>
      </c>
      <c r="AV427" s="2" t="inlineStr">
        <is>
          <t>modelo+año+km</t>
        </is>
      </c>
      <c r="AW427" s="2" t="n"/>
      <c r="AX427" s="2" t="inlineStr">
        <is>
          <t>cuota fija ITP: &gt;12 años, 1.501-2.000 cc; diésel: motor sin fuente de fiabilidad (fiabilidad limitada a neutra)</t>
        </is>
      </c>
      <c r="AY427" s="2" t="inlineStr">
        <is>
          <t>Vendo Ford Focus Sport 2.0 TDCi de 136 CV, del año 2007, color negro y con 200.000 km.
El coche funciona perfectamente. En los últimos 50.000 km se han sustituido los siguientes componentes por piezas nuevas:
* Embrague
* Turbo
* Sistema de refrigeración
* Alternador
* Correa de distribución
*Bateria cambiada hace un año
Dispone de dos llaves, la original y la de repuesto, y tiene la ITV en vigor hasta julio de 2027.
En cuanto al estado exterior, presenta marcas de uso y un golpe en el lateral izquierdo, visibles en las fotografías.
Para más información, cualquier consulta o solicitar más fotos, contactar por correo electrónico o WhatsApp.</t>
        </is>
      </c>
      <c r="AZ427" s="2" t="inlineStr">
        <is>
          <t>https://www.coches.net/ford-focus-20-tdci-s-3p-diesel-2007-en-valencia-71726866-covo.aspx (window.__INITIAL_PROPS__.ad) /home/user/Alopecia/buscador-coches/raw/cochesnet/7ba94b5d16cc5f04.json</t>
        </is>
      </c>
      <c r="BA427" s="3">
        <f>MAX(ANIO_ACTUAL-M427,0)</f>
        <v/>
      </c>
      <c r="BB427" s="4">
        <f>N427/MAX(BA427,0.5)</f>
        <v/>
      </c>
      <c r="BC427" s="4">
        <f>F427</f>
        <v/>
      </c>
      <c r="BD427" s="3">
        <f>BC427&amp;"|"&amp;INT(M427/SEG_ANIO)*SEG_ANIO</f>
        <v/>
      </c>
      <c r="BE427" s="3">
        <f>BD427&amp;"|"&amp;INT(N427/SEG_KM)*SEG_KM</f>
        <v/>
      </c>
      <c r="BF427" s="4">
        <f>COUNTIF($BC$2:$BC$545,BC427)</f>
        <v/>
      </c>
      <c r="BG427" s="4">
        <f>COUNTIF($BD$2:$BD$545,BD427)</f>
        <v/>
      </c>
      <c r="BH427" s="4">
        <f>COUNTIF($BE$2:$BE$545,BE427)</f>
        <v/>
      </c>
      <c r="BI427" s="3">
        <f t="array" ref="BI427">IF(N(AU427)&gt;=MIN_N,AT427,IF(BH427&gt;=MIN_N,MEDIAN(IF($BE$2:$BE$545=BE427,$O$2:$O$545)),IF(BG427&gt;=MIN_N,MEDIAN(IF($BD$2:$BD$545=BD427,$O$2:$O$545)),MEDIAN(IF($BC$2:$BC$545=BC427,$O$2:$O$545)))))</f>
        <v/>
      </c>
      <c r="BJ427" s="3">
        <f>IF(N(AU427)&gt;=MIN_N,"mercado "&amp;AV427,IF(BH427&gt;=MIN_N,"modelo+año+km",IF(BG427&gt;=MIN_N,"modelo+año","modelo")))</f>
        <v/>
      </c>
      <c r="BK427" s="4">
        <f>(BI427-O427)/BI427</f>
        <v/>
      </c>
      <c r="BL427" s="3">
        <f>IF(COUNTIFS(FR_FUEL,K427,FR_YEAR,AP427)&gt;0,1,0)</f>
        <v/>
      </c>
      <c r="BM427" s="3">
        <f>IF(COUNTIFS(FR_FUEL,K427,FR_YEAR,AP427-1)&gt;0,1,0)</f>
        <v/>
      </c>
      <c r="BN427" s="4">
        <f>IF(N(AQ427)&gt;0,AP427*100+AQ427,IF(AND(BL427=1,BM427=1),(AP427-1)*100+1,AP427*100+1))</f>
        <v/>
      </c>
      <c r="BO427" s="3">
        <f>IF(OR(K427="hibrido",K427="glp",K427="gnc",K427="phev"),"ECO",IF(K427="electrico","CERO",IF(K427="gasolina",IF(BN427&gt;=GAS_C_YM,"C",IF(BN427&gt;=GAS_B_YM,"B","A")),IF(K427="diesel",IF(BN427&gt;=DIE_C_YM,"C",IF(BN427&gt;=DIE_B_YM,"B","A")),""))))</f>
        <v/>
      </c>
      <c r="BP427" s="4">
        <f>BO427</f>
        <v/>
      </c>
      <c r="BQ427" s="4">
        <f>IF(AS427="regla",IF(AND(N(AQ427)=0,BL427=1),"sí","no"),"no")</f>
        <v/>
      </c>
      <c r="BR427" s="3">
        <f>IFERROR(VLOOKUP(F427,MOD_TBL,11,0),IFERROR(VLOOKUP(E427,OCU_TBL,2,0),NEUTRO))</f>
        <v/>
      </c>
      <c r="BS427" s="3">
        <f>SUMIFS(MOT_AJUSTE,MOT_MOTOR,G427,MOT_MARCA,E427,MOT_DESDE,"&lt;="&amp;M427,MOT_HASTA,"&gt;="&amp;M427)+SUMIFS(MOT_AJUSTE,MOT_MOTOR,G427,MOT_MARCA,"(todas)",MOT_DESDE,"&lt;="&amp;M427,MOT_HASTA,"&gt;="&amp;M427)</f>
        <v/>
      </c>
      <c r="BT427" s="3">
        <f>SUMIFS(COMB_AJUSTE,COMB_COMB,K427)</f>
        <v/>
      </c>
      <c r="BU427" s="3">
        <f>COUNTIFS(MOT_MOTOR,G427,MOT_MARCA,E427,MOT_DESDE,"&lt;="&amp;M427,MOT_HASTA,"&gt;="&amp;M427)+COUNTIFS(MOT_MOTOR,G427,MOT_MARCA,"(todas)",MOT_DESDE,"&lt;="&amp;M427,MOT_HASTA,"&gt;="&amp;M427)</f>
        <v/>
      </c>
      <c r="BV427" s="3">
        <f>IF(AND(K427="diesel",BU427=0),MIN(BR427,NEUTRO),BR427)</f>
        <v/>
      </c>
      <c r="BW427" s="4">
        <f>MAX(0,MIN(100,BV427+BS427+BT427))</f>
        <v/>
      </c>
      <c r="BX427" s="3">
        <f>MAX(0,MIN(100,50+BK427*PRECIO_PEND))</f>
        <v/>
      </c>
      <c r="BY427" s="3">
        <f>MAX(0,100*(1-N427/KM_MAX))</f>
        <v/>
      </c>
      <c r="BZ427" s="3">
        <f>IF(BB427&lt;KMA_SOSP,IF(AA427="sí",100,KMA_PEN),IF(BB427&lt;=KMA_IDEAL_MAX,100,MAX(0,100*(KMA_CERO-BB427)/(KMA_CERO-KMA_IDEAL_MAX))))</f>
        <v/>
      </c>
      <c r="CA427" s="3">
        <f>MAX(0,MIN(100,100*(M427-ANIO_MIN)/(ANIO_ACTUAL-ANIO_MIN)))</f>
        <v/>
      </c>
      <c r="CB427" s="3">
        <f>W_KMT*BY427+W_KMA*BZ427+W_EDAD*CA427</f>
        <v/>
      </c>
      <c r="CC427" s="3">
        <f>P_ITV*(V427="sí")+P_LIBRO*(W427="sí")+P_CORREA*(X427="sí")+P_PROP*(Y427=1)+P_GAR*(Z427="sí")+P_FOTOS*MIN(1,N(U427)/FOTOS_OBJ)</f>
        <v/>
      </c>
      <c r="CD427" s="3">
        <f>MAX(0,MIN(100,IFERROR(VLOOKUP(BP427,ETQ_TBL,2,0),0)-IF(BQ427="sí",ETQ_PEN_DUD,IF(AS427="regla",ETQ_PEN_REGLA,0))))</f>
        <v/>
      </c>
      <c r="CE427" s="3">
        <f>NEUTRO</f>
        <v/>
      </c>
      <c r="CF427" s="3">
        <f>IFERROR(VLOOKUP(L427,SEGURO_TBL,3,0),"")</f>
        <v/>
      </c>
      <c r="CG427" s="3">
        <f>IF(CF427="",NEUTRO,MAX(0,MIN(100,100*(SEG_REF_MAX-CF427)/(SEG_REF_MAX-SEG_REF_MIN))))</f>
        <v/>
      </c>
      <c r="CH427" s="3">
        <f>W_CONS*CE427+W_SEG*CG427</f>
        <v/>
      </c>
      <c r="CI427" s="3">
        <f>IF(N(AB427)&gt;0,AB427,IF(AND(R427="profesional",SG_LEGAL_ON=1),GAR_LEGAL,0))</f>
        <v/>
      </c>
      <c r="CJ427" s="3">
        <f>SG_GAR*MIN(1,CI427/SG_GAR_FULL)+SG_AMPL*(AC427="sí")+SG_KMC*(AF427="sí")+SG_REV*(N(AE427)&gt;0)+SG_DEV*MIN(1,N(AG427)/SG_DEV_FULL)+SG_HIST*(W427="sí")</f>
        <v/>
      </c>
      <c r="CK427" s="3">
        <f>IFERROR(VLOOKUP(L427,CARR_PEN_TBL,2,0),0)</f>
        <v/>
      </c>
      <c r="CL427" s="3">
        <f>W_FIAB*BW427+W_PRECIO*BX427+W_KMEDAD*CB427+W_ANUNCIO*CC427+W_USO*CH427+W_SEGURIDAD*CJ427+W_ETIQUETA*CD427-CK427</f>
        <v/>
      </c>
      <c r="CM427" s="4">
        <f>IF(N(I427)&gt;0,I427,IFERROR(ROUND(_xlfn.NUMBERVALUE(LEFT(G427,FIND(" ",G427&amp;" ")-1),".")*1000,0),99999))</f>
        <v/>
      </c>
      <c r="CN427" s="3">
        <f>IF(R427="profesional",0,IF(O427&lt;CUOTA_VALOR_MAX,IF(BA427&gt;ITP_TRAMO_ALTO,SUMIFS(CF_CUOTA,CF_MAS,ITP_TRAMO_ALTO,CF_CCMIN,"&lt;="&amp;CM427,CF_CCMAX,"&gt;="&amp;CM427),IF(BA427&gt;ITP_TRAMO_BAJO,SUMIFS(CF_CUOTA,CF_MAS,ITP_TRAMO_BAJO,CF_CCMIN,"&lt;="&amp;CM427,CF_CCMAX,"&gt;="&amp;CM427),O427*ITP_TIPO)),O427*ITP_TIPO))</f>
        <v/>
      </c>
      <c r="CO427" s="4">
        <f>IF(R427="profesional",N(AK427),0)</f>
        <v/>
      </c>
      <c r="CP427" s="3">
        <f>IF(AND(R427="profesional",ISNUMBER(AK427),AL427="sí"),0,TASA_DGT)</f>
        <v/>
      </c>
      <c r="CQ427" s="3">
        <f>INFORME_DGT</f>
        <v/>
      </c>
      <c r="CR427" s="4">
        <f>O427+CO427+CN427+CP427+CQ427</f>
        <v/>
      </c>
      <c r="CS427" s="4">
        <f>CR427+N(CF427)</f>
        <v/>
      </c>
      <c r="CT427" s="3">
        <f>IF(CR427&lt;=TOTAL_MAX,"sí",IF(CR427&lt;=TOTAL_MAX+MARGEN_NEG,"negociar","no"))</f>
        <v/>
      </c>
      <c r="CU427" s="4">
        <f>IF(CT427&lt;&gt;"no",COUNTIFS($CT$2:$CT$545,"&lt;&gt;no",$CL$2:$CL$545,"&gt;"&amp;CL427)+COUNTIFS($CT$2:CT427,"&lt;&gt;no",$CL$2:CL427,CL427),"")</f>
        <v/>
      </c>
    </row>
    <row r="428">
      <c r="A428" s="2" t="inlineStr">
        <is>
          <t>cochesnet:71700165</t>
        </is>
      </c>
      <c r="B428" s="2" t="inlineStr">
        <is>
          <t>cochesnet</t>
        </is>
      </c>
      <c r="C428" s="2" t="inlineStr">
        <is>
          <t>https://www.coches.net/ford-focus-16-trend-5p-gasolina-2006-en-valencia-71700165-covo.aspx</t>
        </is>
      </c>
      <c r="D428" s="2" t="inlineStr">
        <is>
          <t>FORD Focus 1.6 TREND</t>
        </is>
      </c>
      <c r="E428" s="2" t="inlineStr">
        <is>
          <t>Ford</t>
        </is>
      </c>
      <c r="F428" s="2" t="inlineStr">
        <is>
          <t>Ford Focus</t>
        </is>
      </c>
      <c r="G428" s="2" t="inlineStr">
        <is>
          <t>1.6</t>
        </is>
      </c>
      <c r="H428" s="2" t="inlineStr">
        <is>
          <t>1.6 TREND</t>
        </is>
      </c>
      <c r="I428" s="2" t="n"/>
      <c r="J428" s="2" t="n"/>
      <c r="K428" s="2" t="inlineStr">
        <is>
          <t>gasolina</t>
        </is>
      </c>
      <c r="L428" s="2" t="inlineStr">
        <is>
          <t>compacto</t>
        </is>
      </c>
      <c r="M428" s="2" t="n">
        <v>2006</v>
      </c>
      <c r="N428" s="2" t="n">
        <v>185800</v>
      </c>
      <c r="O428" s="2" t="n">
        <v>3000</v>
      </c>
      <c r="P428" s="2" t="inlineStr">
        <is>
          <t>manual</t>
        </is>
      </c>
      <c r="Q428" s="2" t="inlineStr">
        <is>
          <t>no</t>
        </is>
      </c>
      <c r="R428" s="2" t="inlineStr">
        <is>
          <t>particular</t>
        </is>
      </c>
      <c r="S428" s="2" t="inlineStr">
        <is>
          <t>Alboraya</t>
        </is>
      </c>
      <c r="T428" s="2" t="inlineStr">
        <is>
          <t>2026-10-08T10:25:38Z</t>
        </is>
      </c>
      <c r="U428" s="2" t="n">
        <v>9</v>
      </c>
      <c r="V428" s="2" t="n"/>
      <c r="W428" s="2" t="n"/>
      <c r="X428" s="2" t="n"/>
      <c r="Y428" s="2" t="n"/>
      <c r="Z428" s="2" t="inlineStr">
        <is>
          <t>no</t>
        </is>
      </c>
      <c r="AA428" s="2" t="n"/>
      <c r="AB428" s="2" t="n"/>
      <c r="AC428" s="2" t="n"/>
      <c r="AD428" s="2" t="n"/>
      <c r="AE428" s="2" t="n"/>
      <c r="AF428" s="2" t="n"/>
      <c r="AG428" s="2" t="n"/>
      <c r="AH428" s="2" t="n">
        <v>3000</v>
      </c>
      <c r="AI428" s="2" t="n"/>
      <c r="AJ428" s="2" t="n"/>
      <c r="AK428" s="2" t="n"/>
      <c r="AL428" s="2" t="n"/>
      <c r="AM428" s="2" t="n">
        <v>4</v>
      </c>
      <c r="AN428" s="2" t="n"/>
      <c r="AO428" s="2" t="inlineStr">
        <is>
          <t>2006</t>
        </is>
      </c>
      <c r="AP428" s="2" t="n">
        <v>2006</v>
      </c>
      <c r="AQ428" s="2" t="n"/>
      <c r="AR428" s="2" t="n"/>
      <c r="AS428" s="2" t="inlineStr">
        <is>
          <t>regla</t>
        </is>
      </c>
      <c r="AT428" s="2" t="n">
        <v>3000</v>
      </c>
      <c r="AU428" s="2" t="n">
        <v>10</v>
      </c>
      <c r="AV428" s="2" t="inlineStr">
        <is>
          <t>modelo+año+km</t>
        </is>
      </c>
      <c r="AW428" s="2" t="n"/>
      <c r="AX428" s="2" t="inlineStr">
        <is>
          <t>cuota fija ITP: &gt;12 años, 1.501-2.000 cc</t>
        </is>
      </c>
      <c r="AY428" s="2" t="inlineStr">
        <is>
          <t>Si buscas un vehículo funcional y económico para el día a día, este Ford Focus es tu opción. Se trata de un berlina de cuatro puertas con motor de 1.6 litros y 100 caballos de vapor, perfecto para ciudad y carreteras secundarias. Su cambio manual garantiza una conducción directa y un consumo eficiente, ideal si priorizas el ahorro en combustible sin renunciar a un buen rendimiento.
El interior mantiene condiciones aceptables con el desgarre normal de uso habitual, mientras que el exterior refleja los años de circulación con algunos rayones y signos de oxidación en la pintura roja. Esto se traduce en un precio accesible para quien busque un coche práctico sin pretensiones estéticas.
Con capacidad para cinco ocupantes y un diseño versátil, este Focus se adapta a tus necesidades diarias. Es un vehículo que ha demostrado la fiabilidad característica de la marca Ford, manteniéndose en funcionamiento a pesar de los kilómetros recorridos.
Si tienes dudas sobre aspectos específicos del estado mecánico, equipamiento o historial del vehículo, no dudes en contactarme a través del chat. Estoy disponible para resolver cualquier pregunta que tengas antes de tomar tu decisión.
Contacta hoy mismo y descubre si este Ford Focus es exactamente lo que estabas buscando.</t>
        </is>
      </c>
      <c r="AZ428" s="2" t="inlineStr">
        <is>
          <t>https://www.coches.net/ford-focus-16-trend-5p-gasolina-2006-en-valencia-71700165-covo.aspx (window.__INITIAL_PROPS__.ad) /home/user/Alopecia/buscador-coches/raw/cochesnet/c7ed7ceb59b87835.json</t>
        </is>
      </c>
      <c r="BA428" s="3">
        <f>MAX(ANIO_ACTUAL-M428,0)</f>
        <v/>
      </c>
      <c r="BB428" s="4">
        <f>N428/MAX(BA428,0.5)</f>
        <v/>
      </c>
      <c r="BC428" s="4">
        <f>F428</f>
        <v/>
      </c>
      <c r="BD428" s="3">
        <f>BC428&amp;"|"&amp;INT(M428/SEG_ANIO)*SEG_ANIO</f>
        <v/>
      </c>
      <c r="BE428" s="3">
        <f>BD428&amp;"|"&amp;INT(N428/SEG_KM)*SEG_KM</f>
        <v/>
      </c>
      <c r="BF428" s="4">
        <f>COUNTIF($BC$2:$BC$545,BC428)</f>
        <v/>
      </c>
      <c r="BG428" s="4">
        <f>COUNTIF($BD$2:$BD$545,BD428)</f>
        <v/>
      </c>
      <c r="BH428" s="4">
        <f>COUNTIF($BE$2:$BE$545,BE428)</f>
        <v/>
      </c>
      <c r="BI428" s="3">
        <f t="array" ref="BI428">IF(N(AU428)&gt;=MIN_N,AT428,IF(BH428&gt;=MIN_N,MEDIAN(IF($BE$2:$BE$545=BE428,$O$2:$O$545)),IF(BG428&gt;=MIN_N,MEDIAN(IF($BD$2:$BD$545=BD428,$O$2:$O$545)),MEDIAN(IF($BC$2:$BC$545=BC428,$O$2:$O$545)))))</f>
        <v/>
      </c>
      <c r="BJ428" s="3">
        <f>IF(N(AU428)&gt;=MIN_N,"mercado "&amp;AV428,IF(BH428&gt;=MIN_N,"modelo+año+km",IF(BG428&gt;=MIN_N,"modelo+año","modelo")))</f>
        <v/>
      </c>
      <c r="BK428" s="4">
        <f>(BI428-O428)/BI428</f>
        <v/>
      </c>
      <c r="BL428" s="3">
        <f>IF(COUNTIFS(FR_FUEL,K428,FR_YEAR,AP428)&gt;0,1,0)</f>
        <v/>
      </c>
      <c r="BM428" s="3">
        <f>IF(COUNTIFS(FR_FUEL,K428,FR_YEAR,AP428-1)&gt;0,1,0)</f>
        <v/>
      </c>
      <c r="BN428" s="4">
        <f>IF(N(AQ428)&gt;0,AP428*100+AQ428,IF(AND(BL428=1,BM428=1),(AP428-1)*100+1,AP428*100+1))</f>
        <v/>
      </c>
      <c r="BO428" s="3">
        <f>IF(OR(K428="hibrido",K428="glp",K428="gnc",K428="phev"),"ECO",IF(K428="electrico","CERO",IF(K428="gasolina",IF(BN428&gt;=GAS_C_YM,"C",IF(BN428&gt;=GAS_B_YM,"B","A")),IF(K428="diesel",IF(BN428&gt;=DIE_C_YM,"C",IF(BN428&gt;=DIE_B_YM,"B","A")),""))))</f>
        <v/>
      </c>
      <c r="BP428" s="4">
        <f>BO428</f>
        <v/>
      </c>
      <c r="BQ428" s="4">
        <f>IF(AS428="regla",IF(AND(N(AQ428)=0,BL428=1),"sí","no"),"no")</f>
        <v/>
      </c>
      <c r="BR428" s="3">
        <f>IFERROR(VLOOKUP(F428,MOD_TBL,11,0),IFERROR(VLOOKUP(E428,OCU_TBL,2,0),NEUTRO))</f>
        <v/>
      </c>
      <c r="BS428" s="3">
        <f>SUMIFS(MOT_AJUSTE,MOT_MOTOR,G428,MOT_MARCA,E428,MOT_DESDE,"&lt;="&amp;M428,MOT_HASTA,"&gt;="&amp;M428)+SUMIFS(MOT_AJUSTE,MOT_MOTOR,G428,MOT_MARCA,"(todas)",MOT_DESDE,"&lt;="&amp;M428,MOT_HASTA,"&gt;="&amp;M428)</f>
        <v/>
      </c>
      <c r="BT428" s="3">
        <f>SUMIFS(COMB_AJUSTE,COMB_COMB,K428)</f>
        <v/>
      </c>
      <c r="BU428" s="3">
        <f>COUNTIFS(MOT_MOTOR,G428,MOT_MARCA,E428,MOT_DESDE,"&lt;="&amp;M428,MOT_HASTA,"&gt;="&amp;M428)+COUNTIFS(MOT_MOTOR,G428,MOT_MARCA,"(todas)",MOT_DESDE,"&lt;="&amp;M428,MOT_HASTA,"&gt;="&amp;M428)</f>
        <v/>
      </c>
      <c r="BV428" s="3">
        <f>IF(AND(K428="diesel",BU428=0),MIN(BR428,NEUTRO),BR428)</f>
        <v/>
      </c>
      <c r="BW428" s="4">
        <f>MAX(0,MIN(100,BV428+BS428+BT428))</f>
        <v/>
      </c>
      <c r="BX428" s="3">
        <f>MAX(0,MIN(100,50+BK428*PRECIO_PEND))</f>
        <v/>
      </c>
      <c r="BY428" s="3">
        <f>MAX(0,100*(1-N428/KM_MAX))</f>
        <v/>
      </c>
      <c r="BZ428" s="3">
        <f>IF(BB428&lt;KMA_SOSP,IF(AA428="sí",100,KMA_PEN),IF(BB428&lt;=KMA_IDEAL_MAX,100,MAX(0,100*(KMA_CERO-BB428)/(KMA_CERO-KMA_IDEAL_MAX))))</f>
        <v/>
      </c>
      <c r="CA428" s="3">
        <f>MAX(0,MIN(100,100*(M428-ANIO_MIN)/(ANIO_ACTUAL-ANIO_MIN)))</f>
        <v/>
      </c>
      <c r="CB428" s="3">
        <f>W_KMT*BY428+W_KMA*BZ428+W_EDAD*CA428</f>
        <v/>
      </c>
      <c r="CC428" s="3">
        <f>P_ITV*(V428="sí")+P_LIBRO*(W428="sí")+P_CORREA*(X428="sí")+P_PROP*(Y428=1)+P_GAR*(Z428="sí")+P_FOTOS*MIN(1,N(U428)/FOTOS_OBJ)</f>
        <v/>
      </c>
      <c r="CD428" s="3">
        <f>MAX(0,MIN(100,IFERROR(VLOOKUP(BP428,ETQ_TBL,2,0),0)-IF(BQ428="sí",ETQ_PEN_DUD,IF(AS428="regla",ETQ_PEN_REGLA,0))))</f>
        <v/>
      </c>
      <c r="CE428" s="3">
        <f>NEUTRO</f>
        <v/>
      </c>
      <c r="CF428" s="3">
        <f>IFERROR(VLOOKUP(L428,SEGURO_TBL,3,0),"")</f>
        <v/>
      </c>
      <c r="CG428" s="3">
        <f>IF(CF428="",NEUTRO,MAX(0,MIN(100,100*(SEG_REF_MAX-CF428)/(SEG_REF_MAX-SEG_REF_MIN))))</f>
        <v/>
      </c>
      <c r="CH428" s="3">
        <f>W_CONS*CE428+W_SEG*CG428</f>
        <v/>
      </c>
      <c r="CI428" s="3">
        <f>IF(N(AB428)&gt;0,AB428,IF(AND(R428="profesional",SG_LEGAL_ON=1),GAR_LEGAL,0))</f>
        <v/>
      </c>
      <c r="CJ428" s="3">
        <f>SG_GAR*MIN(1,CI428/SG_GAR_FULL)+SG_AMPL*(AC428="sí")+SG_KMC*(AF428="sí")+SG_REV*(N(AE428)&gt;0)+SG_DEV*MIN(1,N(AG428)/SG_DEV_FULL)+SG_HIST*(W428="sí")</f>
        <v/>
      </c>
      <c r="CK428" s="3">
        <f>IFERROR(VLOOKUP(L428,CARR_PEN_TBL,2,0),0)</f>
        <v/>
      </c>
      <c r="CL428" s="3">
        <f>W_FIAB*BW428+W_PRECIO*BX428+W_KMEDAD*CB428+W_ANUNCIO*CC428+W_USO*CH428+W_SEGURIDAD*CJ428+W_ETIQUETA*CD428-CK428</f>
        <v/>
      </c>
      <c r="CM428" s="4">
        <f>IF(N(I428)&gt;0,I428,IFERROR(ROUND(_xlfn.NUMBERVALUE(LEFT(G428,FIND(" ",G428&amp;" ")-1),".")*1000,0),99999))</f>
        <v/>
      </c>
      <c r="CN428" s="3">
        <f>IF(R428="profesional",0,IF(O428&lt;CUOTA_VALOR_MAX,IF(BA428&gt;ITP_TRAMO_ALTO,SUMIFS(CF_CUOTA,CF_MAS,ITP_TRAMO_ALTO,CF_CCMIN,"&lt;="&amp;CM428,CF_CCMAX,"&gt;="&amp;CM428),IF(BA428&gt;ITP_TRAMO_BAJO,SUMIFS(CF_CUOTA,CF_MAS,ITP_TRAMO_BAJO,CF_CCMIN,"&lt;="&amp;CM428,CF_CCMAX,"&gt;="&amp;CM428),O428*ITP_TIPO)),O428*ITP_TIPO))</f>
        <v/>
      </c>
      <c r="CO428" s="4">
        <f>IF(R428="profesional",N(AK428),0)</f>
        <v/>
      </c>
      <c r="CP428" s="3">
        <f>IF(AND(R428="profesional",ISNUMBER(AK428),AL428="sí"),0,TASA_DGT)</f>
        <v/>
      </c>
      <c r="CQ428" s="3">
        <f>INFORME_DGT</f>
        <v/>
      </c>
      <c r="CR428" s="4">
        <f>O428+CO428+CN428+CP428+CQ428</f>
        <v/>
      </c>
      <c r="CS428" s="4">
        <f>CR428+N(CF428)</f>
        <v/>
      </c>
      <c r="CT428" s="3">
        <f>IF(CR428&lt;=TOTAL_MAX,"sí",IF(CR428&lt;=TOTAL_MAX+MARGEN_NEG,"negociar","no"))</f>
        <v/>
      </c>
      <c r="CU428" s="4">
        <f>IF(CT428&lt;&gt;"no",COUNTIFS($CT$2:$CT$545,"&lt;&gt;no",$CL$2:$CL$545,"&gt;"&amp;CL428)+COUNTIFS($CT$2:CT428,"&lt;&gt;no",$CL$2:CL428,CL428),"")</f>
        <v/>
      </c>
    </row>
    <row r="429">
      <c r="A429" s="2" t="inlineStr">
        <is>
          <t>cochesnet:71699041</t>
        </is>
      </c>
      <c r="B429" s="2" t="inlineStr">
        <is>
          <t>cochesnet</t>
        </is>
      </c>
      <c r="C429" s="2" t="inlineStr">
        <is>
          <t>https://www.coches.net/ford-focus-diesel-2010-en-valencia-71699041-covo.aspx</t>
        </is>
      </c>
      <c r="D429" s="2" t="inlineStr">
        <is>
          <t>FORD Focus 1.8 TDCi Trend</t>
        </is>
      </c>
      <c r="E429" s="2" t="inlineStr">
        <is>
          <t>Ford</t>
        </is>
      </c>
      <c r="F429" s="2" t="inlineStr">
        <is>
          <t>Ford Focus</t>
        </is>
      </c>
      <c r="G429" s="2" t="inlineStr">
        <is>
          <t>1.8 TDCi</t>
        </is>
      </c>
      <c r="H429" s="2" t="inlineStr">
        <is>
          <t>1.8 TDCi Trend</t>
        </is>
      </c>
      <c r="I429" s="2" t="n"/>
      <c r="J429" s="2" t="n"/>
      <c r="K429" s="2" t="inlineStr">
        <is>
          <t>diesel</t>
        </is>
      </c>
      <c r="L429" s="2" t="inlineStr">
        <is>
          <t>compacto</t>
        </is>
      </c>
      <c r="M429" s="2" t="n">
        <v>2010</v>
      </c>
      <c r="N429" s="2" t="n">
        <v>126000</v>
      </c>
      <c r="O429" s="2" t="n">
        <v>4650</v>
      </c>
      <c r="P429" s="2" t="inlineStr">
        <is>
          <t>manual</t>
        </is>
      </c>
      <c r="Q429" s="2" t="inlineStr">
        <is>
          <t>no</t>
        </is>
      </c>
      <c r="R429" s="2" t="inlineStr">
        <is>
          <t>particular</t>
        </is>
      </c>
      <c r="S429" s="2" t="n"/>
      <c r="T429" s="2" t="inlineStr">
        <is>
          <t>2026-10-07T19:48:28Z</t>
        </is>
      </c>
      <c r="U429" s="2" t="n">
        <v>4</v>
      </c>
      <c r="V429" s="2" t="n"/>
      <c r="W429" s="2" t="n"/>
      <c r="X429" s="2" t="n"/>
      <c r="Y429" s="2" t="n">
        <v>1</v>
      </c>
      <c r="Z429" s="2" t="inlineStr">
        <is>
          <t>no</t>
        </is>
      </c>
      <c r="AA429" s="2" t="n"/>
      <c r="AB429" s="2" t="n"/>
      <c r="AC429" s="2" t="n"/>
      <c r="AD429" s="2" t="n"/>
      <c r="AE429" s="2" t="n"/>
      <c r="AF429" s="2" t="n"/>
      <c r="AG429" s="2" t="n"/>
      <c r="AH429" s="2" t="n">
        <v>4650</v>
      </c>
      <c r="AI429" s="2" t="n"/>
      <c r="AJ429" s="2" t="n"/>
      <c r="AK429" s="2" t="n"/>
      <c r="AL429" s="2" t="n"/>
      <c r="AM429" s="2" t="n"/>
      <c r="AN429" s="2" t="n"/>
      <c r="AO429" s="2" t="inlineStr">
        <is>
          <t>2010</t>
        </is>
      </c>
      <c r="AP429" s="2" t="n">
        <v>2010</v>
      </c>
      <c r="AQ429" s="2" t="n"/>
      <c r="AR429" s="2" t="n"/>
      <c r="AS429" s="2" t="inlineStr">
        <is>
          <t>regla</t>
        </is>
      </c>
      <c r="AT429" s="2" t="n">
        <v>4500</v>
      </c>
      <c r="AU429" s="2" t="n">
        <v>27</v>
      </c>
      <c r="AV429" s="2" t="inlineStr">
        <is>
          <t>modelo+año</t>
        </is>
      </c>
      <c r="AW429" s="2" t="n"/>
      <c r="AX429" s="2" t="inlineStr">
        <is>
          <t>cuota fija ITP: &gt;12 años, 1.501-2.000 cc; diésel: motor sin fuente de fiabilidad (fiabilidad limitada a neutra); distancia no verificable (el anuncio solo indica la provincia): confirmar que está a &lt;= 70 km</t>
        </is>
      </c>
      <c r="AY429" s="2" t="inlineStr">
        <is>
          <t xml:space="preserve">OPORTUNIDAD- ÚNICO PROPIETARIO - 128MIL KM
Vendo Bonito y cuidado Ford Focus del 2008 1.8 cc diesel,bastante bien de chapa con algún detalle,interior muy bien cuidado,elevalunas,cierre,climatizador,control de velocidad,ordenador de abordo,y más extras,
motor muy bueno y fiable,solo 128.000 kms, bajo consumo conbustible , muy económico.
</t>
        </is>
      </c>
      <c r="AZ429" s="2" t="inlineStr">
        <is>
          <t>https://www.coches.net/ford-focus-diesel-2010-en-valencia-71699041-covo.aspx (window.__INITIAL_PROPS__.ad) /home/user/Alopecia/buscador-coches/raw/cochesnet/255472a73c98dec3.json</t>
        </is>
      </c>
      <c r="BA429" s="3">
        <f>MAX(ANIO_ACTUAL-M429,0)</f>
        <v/>
      </c>
      <c r="BB429" s="4">
        <f>N429/MAX(BA429,0.5)</f>
        <v/>
      </c>
      <c r="BC429" s="4">
        <f>F429</f>
        <v/>
      </c>
      <c r="BD429" s="3">
        <f>BC429&amp;"|"&amp;INT(M429/SEG_ANIO)*SEG_ANIO</f>
        <v/>
      </c>
      <c r="BE429" s="3">
        <f>BD429&amp;"|"&amp;INT(N429/SEG_KM)*SEG_KM</f>
        <v/>
      </c>
      <c r="BF429" s="4">
        <f>COUNTIF($BC$2:$BC$545,BC429)</f>
        <v/>
      </c>
      <c r="BG429" s="4">
        <f>COUNTIF($BD$2:$BD$545,BD429)</f>
        <v/>
      </c>
      <c r="BH429" s="4">
        <f>COUNTIF($BE$2:$BE$545,BE429)</f>
        <v/>
      </c>
      <c r="BI429" s="3">
        <f t="array" ref="BI429">IF(N(AU429)&gt;=MIN_N,AT429,IF(BH429&gt;=MIN_N,MEDIAN(IF($BE$2:$BE$545=BE429,$O$2:$O$545)),IF(BG429&gt;=MIN_N,MEDIAN(IF($BD$2:$BD$545=BD429,$O$2:$O$545)),MEDIAN(IF($BC$2:$BC$545=BC429,$O$2:$O$545)))))</f>
        <v/>
      </c>
      <c r="BJ429" s="3">
        <f>IF(N(AU429)&gt;=MIN_N,"mercado "&amp;AV429,IF(BH429&gt;=MIN_N,"modelo+año+km",IF(BG429&gt;=MIN_N,"modelo+año","modelo")))</f>
        <v/>
      </c>
      <c r="BK429" s="4">
        <f>(BI429-O429)/BI429</f>
        <v/>
      </c>
      <c r="BL429" s="3">
        <f>IF(COUNTIFS(FR_FUEL,K429,FR_YEAR,AP429)&gt;0,1,0)</f>
        <v/>
      </c>
      <c r="BM429" s="3">
        <f>IF(COUNTIFS(FR_FUEL,K429,FR_YEAR,AP429-1)&gt;0,1,0)</f>
        <v/>
      </c>
      <c r="BN429" s="4">
        <f>IF(N(AQ429)&gt;0,AP429*100+AQ429,IF(AND(BL429=1,BM429=1),(AP429-1)*100+1,AP429*100+1))</f>
        <v/>
      </c>
      <c r="BO429" s="3">
        <f>IF(OR(K429="hibrido",K429="glp",K429="gnc",K429="phev"),"ECO",IF(K429="electrico","CERO",IF(K429="gasolina",IF(BN429&gt;=GAS_C_YM,"C",IF(BN429&gt;=GAS_B_YM,"B","A")),IF(K429="diesel",IF(BN429&gt;=DIE_C_YM,"C",IF(BN429&gt;=DIE_B_YM,"B","A")),""))))</f>
        <v/>
      </c>
      <c r="BP429" s="4">
        <f>BO429</f>
        <v/>
      </c>
      <c r="BQ429" s="4">
        <f>IF(AS429="regla",IF(AND(N(AQ429)=0,BL429=1),"sí","no"),"no")</f>
        <v/>
      </c>
      <c r="BR429" s="3">
        <f>IFERROR(VLOOKUP(F429,MOD_TBL,11,0),IFERROR(VLOOKUP(E429,OCU_TBL,2,0),NEUTRO))</f>
        <v/>
      </c>
      <c r="BS429" s="3">
        <f>SUMIFS(MOT_AJUSTE,MOT_MOTOR,G429,MOT_MARCA,E429,MOT_DESDE,"&lt;="&amp;M429,MOT_HASTA,"&gt;="&amp;M429)+SUMIFS(MOT_AJUSTE,MOT_MOTOR,G429,MOT_MARCA,"(todas)",MOT_DESDE,"&lt;="&amp;M429,MOT_HASTA,"&gt;="&amp;M429)</f>
        <v/>
      </c>
      <c r="BT429" s="3">
        <f>SUMIFS(COMB_AJUSTE,COMB_COMB,K429)</f>
        <v/>
      </c>
      <c r="BU429" s="3">
        <f>COUNTIFS(MOT_MOTOR,G429,MOT_MARCA,E429,MOT_DESDE,"&lt;="&amp;M429,MOT_HASTA,"&gt;="&amp;M429)+COUNTIFS(MOT_MOTOR,G429,MOT_MARCA,"(todas)",MOT_DESDE,"&lt;="&amp;M429,MOT_HASTA,"&gt;="&amp;M429)</f>
        <v/>
      </c>
      <c r="BV429" s="3">
        <f>IF(AND(K429="diesel",BU429=0),MIN(BR429,NEUTRO),BR429)</f>
        <v/>
      </c>
      <c r="BW429" s="4">
        <f>MAX(0,MIN(100,BV429+BS429+BT429))</f>
        <v/>
      </c>
      <c r="BX429" s="3">
        <f>MAX(0,MIN(100,50+BK429*PRECIO_PEND))</f>
        <v/>
      </c>
      <c r="BY429" s="3">
        <f>MAX(0,100*(1-N429/KM_MAX))</f>
        <v/>
      </c>
      <c r="BZ429" s="3">
        <f>IF(BB429&lt;KMA_SOSP,IF(AA429="sí",100,KMA_PEN),IF(BB429&lt;=KMA_IDEAL_MAX,100,MAX(0,100*(KMA_CERO-BB429)/(KMA_CERO-KMA_IDEAL_MAX))))</f>
        <v/>
      </c>
      <c r="CA429" s="3">
        <f>MAX(0,MIN(100,100*(M429-ANIO_MIN)/(ANIO_ACTUAL-ANIO_MIN)))</f>
        <v/>
      </c>
      <c r="CB429" s="3">
        <f>W_KMT*BY429+W_KMA*BZ429+W_EDAD*CA429</f>
        <v/>
      </c>
      <c r="CC429" s="3">
        <f>P_ITV*(V429="sí")+P_LIBRO*(W429="sí")+P_CORREA*(X429="sí")+P_PROP*(Y429=1)+P_GAR*(Z429="sí")+P_FOTOS*MIN(1,N(U429)/FOTOS_OBJ)</f>
        <v/>
      </c>
      <c r="CD429" s="3">
        <f>MAX(0,MIN(100,IFERROR(VLOOKUP(BP429,ETQ_TBL,2,0),0)-IF(BQ429="sí",ETQ_PEN_DUD,IF(AS429="regla",ETQ_PEN_REGLA,0))))</f>
        <v/>
      </c>
      <c r="CE429" s="3">
        <f>NEUTRO</f>
        <v/>
      </c>
      <c r="CF429" s="3">
        <f>IFERROR(VLOOKUP(L429,SEGURO_TBL,3,0),"")</f>
        <v/>
      </c>
      <c r="CG429" s="3">
        <f>IF(CF429="",NEUTRO,MAX(0,MIN(100,100*(SEG_REF_MAX-CF429)/(SEG_REF_MAX-SEG_REF_MIN))))</f>
        <v/>
      </c>
      <c r="CH429" s="3">
        <f>W_CONS*CE429+W_SEG*CG429</f>
        <v/>
      </c>
      <c r="CI429" s="3">
        <f>IF(N(AB429)&gt;0,AB429,IF(AND(R429="profesional",SG_LEGAL_ON=1),GAR_LEGAL,0))</f>
        <v/>
      </c>
      <c r="CJ429" s="3">
        <f>SG_GAR*MIN(1,CI429/SG_GAR_FULL)+SG_AMPL*(AC429="sí")+SG_KMC*(AF429="sí")+SG_REV*(N(AE429)&gt;0)+SG_DEV*MIN(1,N(AG429)/SG_DEV_FULL)+SG_HIST*(W429="sí")</f>
        <v/>
      </c>
      <c r="CK429" s="3">
        <f>IFERROR(VLOOKUP(L429,CARR_PEN_TBL,2,0),0)</f>
        <v/>
      </c>
      <c r="CL429" s="3">
        <f>W_FIAB*BW429+W_PRECIO*BX429+W_KMEDAD*CB429+W_ANUNCIO*CC429+W_USO*CH429+W_SEGURIDAD*CJ429+W_ETIQUETA*CD429-CK429</f>
        <v/>
      </c>
      <c r="CM429" s="4">
        <f>IF(N(I429)&gt;0,I429,IFERROR(ROUND(_xlfn.NUMBERVALUE(LEFT(G429,FIND(" ",G429&amp;" ")-1),".")*1000,0),99999))</f>
        <v/>
      </c>
      <c r="CN429" s="3">
        <f>IF(R429="profesional",0,IF(O429&lt;CUOTA_VALOR_MAX,IF(BA429&gt;ITP_TRAMO_ALTO,SUMIFS(CF_CUOTA,CF_MAS,ITP_TRAMO_ALTO,CF_CCMIN,"&lt;="&amp;CM429,CF_CCMAX,"&gt;="&amp;CM429),IF(BA429&gt;ITP_TRAMO_BAJO,SUMIFS(CF_CUOTA,CF_MAS,ITP_TRAMO_BAJO,CF_CCMIN,"&lt;="&amp;CM429,CF_CCMAX,"&gt;="&amp;CM429),O429*ITP_TIPO)),O429*ITP_TIPO))</f>
        <v/>
      </c>
      <c r="CO429" s="4">
        <f>IF(R429="profesional",N(AK429),0)</f>
        <v/>
      </c>
      <c r="CP429" s="3">
        <f>IF(AND(R429="profesional",ISNUMBER(AK429),AL429="sí"),0,TASA_DGT)</f>
        <v/>
      </c>
      <c r="CQ429" s="3">
        <f>INFORME_DGT</f>
        <v/>
      </c>
      <c r="CR429" s="4">
        <f>O429+CO429+CN429+CP429+CQ429</f>
        <v/>
      </c>
      <c r="CS429" s="4">
        <f>CR429+N(CF429)</f>
        <v/>
      </c>
      <c r="CT429" s="3">
        <f>IF(CR429&lt;=TOTAL_MAX,"sí",IF(CR429&lt;=TOTAL_MAX+MARGEN_NEG,"negociar","no"))</f>
        <v/>
      </c>
      <c r="CU429" s="4">
        <f>IF(CT429&lt;&gt;"no",COUNTIFS($CT$2:$CT$545,"&lt;&gt;no",$CL$2:$CL$545,"&gt;"&amp;CL429)+COUNTIFS($CT$2:CT429,"&lt;&gt;no",$CL$2:CL429,CL429),"")</f>
        <v/>
      </c>
    </row>
    <row r="430">
      <c r="A430" s="2" t="inlineStr">
        <is>
          <t>cochesnet:71678600</t>
        </is>
      </c>
      <c r="B430" s="2" t="inlineStr">
        <is>
          <t>cochesnet</t>
        </is>
      </c>
      <c r="C430" s="2" t="inlineStr">
        <is>
          <t>https://www.coches.net/ford-focus-diesel-2006-en-valencia-71678600-covo.aspx</t>
        </is>
      </c>
      <c r="D430" s="2" t="inlineStr">
        <is>
          <t>FORD Focus</t>
        </is>
      </c>
      <c r="E430" s="2" t="inlineStr">
        <is>
          <t>Ford</t>
        </is>
      </c>
      <c r="F430" s="2" t="inlineStr">
        <is>
          <t>Ford Focus</t>
        </is>
      </c>
      <c r="G430" s="2" t="n"/>
      <c r="H430" s="2" t="n"/>
      <c r="I430" s="2" t="n"/>
      <c r="J430" s="2" t="n"/>
      <c r="K430" s="2" t="inlineStr">
        <is>
          <t>diesel</t>
        </is>
      </c>
      <c r="L430" s="2" t="inlineStr">
        <is>
          <t>compacto</t>
        </is>
      </c>
      <c r="M430" s="2" t="n">
        <v>2006</v>
      </c>
      <c r="N430" s="2" t="n">
        <v>220000</v>
      </c>
      <c r="O430" s="2" t="n">
        <v>2750</v>
      </c>
      <c r="P430" s="2" t="inlineStr">
        <is>
          <t>manual</t>
        </is>
      </c>
      <c r="Q430" s="2" t="inlineStr">
        <is>
          <t>no</t>
        </is>
      </c>
      <c r="R430" s="2" t="inlineStr">
        <is>
          <t>particular</t>
        </is>
      </c>
      <c r="S430" s="2" t="n"/>
      <c r="T430" s="2" t="inlineStr">
        <is>
          <t>2026-10-05T15:10:24Z</t>
        </is>
      </c>
      <c r="U430" s="2" t="n">
        <v>9</v>
      </c>
      <c r="V430" s="2" t="inlineStr">
        <is>
          <t>sí</t>
        </is>
      </c>
      <c r="W430" s="2" t="n"/>
      <c r="X430" s="2" t="n"/>
      <c r="Y430" s="2" t="n"/>
      <c r="Z430" s="2" t="inlineStr">
        <is>
          <t>no</t>
        </is>
      </c>
      <c r="AA430" s="2" t="n"/>
      <c r="AB430" s="2" t="n"/>
      <c r="AC430" s="2" t="n"/>
      <c r="AD430" s="2" t="n"/>
      <c r="AE430" s="2" t="n"/>
      <c r="AF430" s="2" t="n"/>
      <c r="AG430" s="2" t="n"/>
      <c r="AH430" s="2" t="n">
        <v>2750</v>
      </c>
      <c r="AI430" s="2" t="n"/>
      <c r="AJ430" s="2" t="n"/>
      <c r="AK430" s="2" t="n"/>
      <c r="AL430" s="2" t="n"/>
      <c r="AM430" s="2" t="n"/>
      <c r="AN430" s="2" t="n"/>
      <c r="AO430" s="2" t="inlineStr">
        <is>
          <t>2006</t>
        </is>
      </c>
      <c r="AP430" s="2" t="n">
        <v>2006</v>
      </c>
      <c r="AQ430" s="2" t="n"/>
      <c r="AR430" s="2" t="n"/>
      <c r="AS430" s="2" t="inlineStr">
        <is>
          <t>regla</t>
        </is>
      </c>
      <c r="AT430" s="2" t="n">
        <v>2995</v>
      </c>
      <c r="AU430" s="2" t="n">
        <v>16</v>
      </c>
      <c r="AV430" s="2" t="inlineStr">
        <is>
          <t>modelo+año+km</t>
        </is>
      </c>
      <c r="AW430" s="2" t="n"/>
      <c r="AX430"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30" s="2" t="inlineStr">
        <is>
          <t>Ford Focus del año 2006, con 220.000 km. Vehículo práctico, cómodo y fiable, ideal tanto para el día a día como para carretera.
? Motor fiable
? 220.000 km
? Año 2006
? Cómodo y económico de mantener
? Interior y exterior en buen estado para sus años
Se entrega con ITV recien pasada 
?? Se puede ver y probar sin compromiso.</t>
        </is>
      </c>
      <c r="AZ430" s="2" t="inlineStr">
        <is>
          <t>https://www.coches.net/ford-focus-diesel-2006-en-valencia-71678600-covo.aspx (window.__INITIAL_PROPS__.ad) /home/user/Alopecia/buscador-coches/raw/cochesnet/d269c3975f36f796.json</t>
        </is>
      </c>
      <c r="BA430" s="3">
        <f>MAX(ANIO_ACTUAL-M430,0)</f>
        <v/>
      </c>
      <c r="BB430" s="4">
        <f>N430/MAX(BA430,0.5)</f>
        <v/>
      </c>
      <c r="BC430" s="4">
        <f>F430</f>
        <v/>
      </c>
      <c r="BD430" s="3">
        <f>BC430&amp;"|"&amp;INT(M430/SEG_ANIO)*SEG_ANIO</f>
        <v/>
      </c>
      <c r="BE430" s="3">
        <f>BD430&amp;"|"&amp;INT(N430/SEG_KM)*SEG_KM</f>
        <v/>
      </c>
      <c r="BF430" s="4">
        <f>COUNTIF($BC$2:$BC$545,BC430)</f>
        <v/>
      </c>
      <c r="BG430" s="4">
        <f>COUNTIF($BD$2:$BD$545,BD430)</f>
        <v/>
      </c>
      <c r="BH430" s="4">
        <f>COUNTIF($BE$2:$BE$545,BE430)</f>
        <v/>
      </c>
      <c r="BI430" s="3">
        <f t="array" ref="BI430">IF(N(AU430)&gt;=MIN_N,AT430,IF(BH430&gt;=MIN_N,MEDIAN(IF($BE$2:$BE$545=BE430,$O$2:$O$545)),IF(BG430&gt;=MIN_N,MEDIAN(IF($BD$2:$BD$545=BD430,$O$2:$O$545)),MEDIAN(IF($BC$2:$BC$545=BC430,$O$2:$O$545)))))</f>
        <v/>
      </c>
      <c r="BJ430" s="3">
        <f>IF(N(AU430)&gt;=MIN_N,"mercado "&amp;AV430,IF(BH430&gt;=MIN_N,"modelo+año+km",IF(BG430&gt;=MIN_N,"modelo+año","modelo")))</f>
        <v/>
      </c>
      <c r="BK430" s="4">
        <f>(BI430-O430)/BI430</f>
        <v/>
      </c>
      <c r="BL430" s="3">
        <f>IF(COUNTIFS(FR_FUEL,K430,FR_YEAR,AP430)&gt;0,1,0)</f>
        <v/>
      </c>
      <c r="BM430" s="3">
        <f>IF(COUNTIFS(FR_FUEL,K430,FR_YEAR,AP430-1)&gt;0,1,0)</f>
        <v/>
      </c>
      <c r="BN430" s="4">
        <f>IF(N(AQ430)&gt;0,AP430*100+AQ430,IF(AND(BL430=1,BM430=1),(AP430-1)*100+1,AP430*100+1))</f>
        <v/>
      </c>
      <c r="BO430" s="3">
        <f>IF(OR(K430="hibrido",K430="glp",K430="gnc",K430="phev"),"ECO",IF(K430="electrico","CERO",IF(K430="gasolina",IF(BN430&gt;=GAS_C_YM,"C",IF(BN430&gt;=GAS_B_YM,"B","A")),IF(K430="diesel",IF(BN430&gt;=DIE_C_YM,"C",IF(BN430&gt;=DIE_B_YM,"B","A")),""))))</f>
        <v/>
      </c>
      <c r="BP430" s="4">
        <f>BO430</f>
        <v/>
      </c>
      <c r="BQ430" s="4">
        <f>IF(AS430="regla",IF(AND(N(AQ430)=0,BL430=1),"sí","no"),"no")</f>
        <v/>
      </c>
      <c r="BR430" s="3">
        <f>IFERROR(VLOOKUP(F430,MOD_TBL,11,0),IFERROR(VLOOKUP(E430,OCU_TBL,2,0),NEUTRO))</f>
        <v/>
      </c>
      <c r="BS430" s="3">
        <f>SUMIFS(MOT_AJUSTE,MOT_MOTOR,G430,MOT_MARCA,E430,MOT_DESDE,"&lt;="&amp;M430,MOT_HASTA,"&gt;="&amp;M430)+SUMIFS(MOT_AJUSTE,MOT_MOTOR,G430,MOT_MARCA,"(todas)",MOT_DESDE,"&lt;="&amp;M430,MOT_HASTA,"&gt;="&amp;M430)</f>
        <v/>
      </c>
      <c r="BT430" s="3">
        <f>SUMIFS(COMB_AJUSTE,COMB_COMB,K430)</f>
        <v/>
      </c>
      <c r="BU430" s="3">
        <f>COUNTIFS(MOT_MOTOR,G430,MOT_MARCA,E430,MOT_DESDE,"&lt;="&amp;M430,MOT_HASTA,"&gt;="&amp;M430)+COUNTIFS(MOT_MOTOR,G430,MOT_MARCA,"(todas)",MOT_DESDE,"&lt;="&amp;M430,MOT_HASTA,"&gt;="&amp;M430)</f>
        <v/>
      </c>
      <c r="BV430" s="3">
        <f>IF(AND(K430="diesel",BU430=0),MIN(BR430,NEUTRO),BR430)</f>
        <v/>
      </c>
      <c r="BW430" s="4">
        <f>MAX(0,MIN(100,BV430+BS430+BT430))</f>
        <v/>
      </c>
      <c r="BX430" s="3">
        <f>MAX(0,MIN(100,50+BK430*PRECIO_PEND))</f>
        <v/>
      </c>
      <c r="BY430" s="3">
        <f>MAX(0,100*(1-N430/KM_MAX))</f>
        <v/>
      </c>
      <c r="BZ430" s="3">
        <f>IF(BB430&lt;KMA_SOSP,IF(AA430="sí",100,KMA_PEN),IF(BB430&lt;=KMA_IDEAL_MAX,100,MAX(0,100*(KMA_CERO-BB430)/(KMA_CERO-KMA_IDEAL_MAX))))</f>
        <v/>
      </c>
      <c r="CA430" s="3">
        <f>MAX(0,MIN(100,100*(M430-ANIO_MIN)/(ANIO_ACTUAL-ANIO_MIN)))</f>
        <v/>
      </c>
      <c r="CB430" s="3">
        <f>W_KMT*BY430+W_KMA*BZ430+W_EDAD*CA430</f>
        <v/>
      </c>
      <c r="CC430" s="3">
        <f>P_ITV*(V430="sí")+P_LIBRO*(W430="sí")+P_CORREA*(X430="sí")+P_PROP*(Y430=1)+P_GAR*(Z430="sí")+P_FOTOS*MIN(1,N(U430)/FOTOS_OBJ)</f>
        <v/>
      </c>
      <c r="CD430" s="3">
        <f>MAX(0,MIN(100,IFERROR(VLOOKUP(BP430,ETQ_TBL,2,0),0)-IF(BQ430="sí",ETQ_PEN_DUD,IF(AS430="regla",ETQ_PEN_REGLA,0))))</f>
        <v/>
      </c>
      <c r="CE430" s="3">
        <f>NEUTRO</f>
        <v/>
      </c>
      <c r="CF430" s="3">
        <f>IFERROR(VLOOKUP(L430,SEGURO_TBL,3,0),"")</f>
        <v/>
      </c>
      <c r="CG430" s="3">
        <f>IF(CF430="",NEUTRO,MAX(0,MIN(100,100*(SEG_REF_MAX-CF430)/(SEG_REF_MAX-SEG_REF_MIN))))</f>
        <v/>
      </c>
      <c r="CH430" s="3">
        <f>W_CONS*CE430+W_SEG*CG430</f>
        <v/>
      </c>
      <c r="CI430" s="3">
        <f>IF(N(AB430)&gt;0,AB430,IF(AND(R430="profesional",SG_LEGAL_ON=1),GAR_LEGAL,0))</f>
        <v/>
      </c>
      <c r="CJ430" s="3">
        <f>SG_GAR*MIN(1,CI430/SG_GAR_FULL)+SG_AMPL*(AC430="sí")+SG_KMC*(AF430="sí")+SG_REV*(N(AE430)&gt;0)+SG_DEV*MIN(1,N(AG430)/SG_DEV_FULL)+SG_HIST*(W430="sí")</f>
        <v/>
      </c>
      <c r="CK430" s="3">
        <f>IFERROR(VLOOKUP(L430,CARR_PEN_TBL,2,0),0)</f>
        <v/>
      </c>
      <c r="CL430" s="3">
        <f>W_FIAB*BW430+W_PRECIO*BX430+W_KMEDAD*CB430+W_ANUNCIO*CC430+W_USO*CH430+W_SEGURIDAD*CJ430+W_ETIQUETA*CD430-CK430</f>
        <v/>
      </c>
      <c r="CM430" s="4">
        <f>IF(N(I430)&gt;0,I430,IFERROR(ROUND(_xlfn.NUMBERVALUE(LEFT(G430,FIND(" ",G430&amp;" ")-1),".")*1000,0),99999))</f>
        <v/>
      </c>
      <c r="CN430" s="3">
        <f>IF(R430="profesional",0,IF(O430&lt;CUOTA_VALOR_MAX,IF(BA430&gt;ITP_TRAMO_ALTO,SUMIFS(CF_CUOTA,CF_MAS,ITP_TRAMO_ALTO,CF_CCMIN,"&lt;="&amp;CM430,CF_CCMAX,"&gt;="&amp;CM430),IF(BA430&gt;ITP_TRAMO_BAJO,SUMIFS(CF_CUOTA,CF_MAS,ITP_TRAMO_BAJO,CF_CCMIN,"&lt;="&amp;CM430,CF_CCMAX,"&gt;="&amp;CM430),O430*ITP_TIPO)),O430*ITP_TIPO))</f>
        <v/>
      </c>
      <c r="CO430" s="4">
        <f>IF(R430="profesional",N(AK430),0)</f>
        <v/>
      </c>
      <c r="CP430" s="3">
        <f>IF(AND(R430="profesional",ISNUMBER(AK430),AL430="sí"),0,TASA_DGT)</f>
        <v/>
      </c>
      <c r="CQ430" s="3">
        <f>INFORME_DGT</f>
        <v/>
      </c>
      <c r="CR430" s="4">
        <f>O430+CO430+CN430+CP430+CQ430</f>
        <v/>
      </c>
      <c r="CS430" s="4">
        <f>CR430+N(CF430)</f>
        <v/>
      </c>
      <c r="CT430" s="3">
        <f>IF(CR430&lt;=TOTAL_MAX,"sí",IF(CR430&lt;=TOTAL_MAX+MARGEN_NEG,"negociar","no"))</f>
        <v/>
      </c>
      <c r="CU430" s="4">
        <f>IF(CT430&lt;&gt;"no",COUNTIFS($CT$2:$CT$545,"&lt;&gt;no",$CL$2:$CL$545,"&gt;"&amp;CL430)+COUNTIFS($CT$2:CT430,"&lt;&gt;no",$CL$2:CL430,CL430),"")</f>
        <v/>
      </c>
    </row>
    <row r="431">
      <c r="A431" s="2" t="inlineStr">
        <is>
          <t>cochesnet:71793171</t>
        </is>
      </c>
      <c r="B431" s="2" t="inlineStr">
        <is>
          <t>cochesnet</t>
        </is>
      </c>
      <c r="C431" s="2" t="inlineStr">
        <is>
          <t>https://www.coches.net/ford-fusion-14-tdci-ambiente-5p-diesel-2009-en-valencia-71793171-covo.aspx</t>
        </is>
      </c>
      <c r="D431" s="2" t="inlineStr">
        <is>
          <t>FORD Fusion 1.4 TDCI Ambiente</t>
        </is>
      </c>
      <c r="E431" s="2" t="inlineStr">
        <is>
          <t>Ford</t>
        </is>
      </c>
      <c r="F431" s="2" t="inlineStr">
        <is>
          <t>Ford Fusion</t>
        </is>
      </c>
      <c r="G431" s="2" t="inlineStr">
        <is>
          <t>1.4 TDCi</t>
        </is>
      </c>
      <c r="H431" s="2" t="inlineStr">
        <is>
          <t>1.4 TDCI Ambiente</t>
        </is>
      </c>
      <c r="I431" s="2" t="n"/>
      <c r="J431" s="2" t="n"/>
      <c r="K431" s="2" t="inlineStr">
        <is>
          <t>diesel</t>
        </is>
      </c>
      <c r="L431" s="2" t="inlineStr">
        <is>
          <t>monovolumen_pequeno</t>
        </is>
      </c>
      <c r="M431" s="2" t="n">
        <v>2009</v>
      </c>
      <c r="N431" s="2" t="n">
        <v>180000</v>
      </c>
      <c r="O431" s="2" t="n">
        <v>3490</v>
      </c>
      <c r="P431" s="2" t="inlineStr">
        <is>
          <t>manual</t>
        </is>
      </c>
      <c r="Q431" s="2" t="inlineStr">
        <is>
          <t>no</t>
        </is>
      </c>
      <c r="R431" s="2" t="inlineStr">
        <is>
          <t>profesional</t>
        </is>
      </c>
      <c r="S431" s="2" t="inlineStr">
        <is>
          <t>Foios</t>
        </is>
      </c>
      <c r="T431" s="2" t="inlineStr">
        <is>
          <t>2026-10-20T18:21:58Z</t>
        </is>
      </c>
      <c r="U431" s="2" t="n">
        <v>15</v>
      </c>
      <c r="V431" s="2" t="n"/>
      <c r="W431" s="2" t="n"/>
      <c r="X431" s="2" t="n"/>
      <c r="Y431" s="2" t="n"/>
      <c r="Z431" s="2" t="inlineStr">
        <is>
          <t>sí</t>
        </is>
      </c>
      <c r="AA431" s="2" t="n"/>
      <c r="AB431" s="2" t="n">
        <v>12</v>
      </c>
      <c r="AC431" s="2" t="n"/>
      <c r="AD431" s="2" t="n"/>
      <c r="AE431" s="2" t="n"/>
      <c r="AF431" s="2" t="n"/>
      <c r="AG431" s="2" t="n"/>
      <c r="AH431" s="2" t="n">
        <v>3490</v>
      </c>
      <c r="AI431" s="2" t="n">
        <v>3490</v>
      </c>
      <c r="AJ431" s="2" t="n"/>
      <c r="AK431" s="2" t="n"/>
      <c r="AL431" s="2" t="n"/>
      <c r="AM431" s="2" t="n">
        <v>7.7</v>
      </c>
      <c r="AN431" s="2" t="n"/>
      <c r="AO431" s="2" t="inlineStr">
        <is>
          <t>2009</t>
        </is>
      </c>
      <c r="AP431" s="2" t="n">
        <v>2009</v>
      </c>
      <c r="AQ431" s="2" t="n"/>
      <c r="AR431" s="2" t="inlineStr">
        <is>
          <t>B</t>
        </is>
      </c>
      <c r="AS431" s="2" t="inlineStr">
        <is>
          <t>anuncio</t>
        </is>
      </c>
      <c r="AT431" s="2" t="n"/>
      <c r="AU431" s="2" t="n"/>
      <c r="AV431" s="2" t="n"/>
      <c r="AW431" s="2" t="n"/>
      <c r="AX431"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1 anuncio(s)</t>
        </is>
      </c>
      <c r="AY431" s="2" t="inlineStr"/>
      <c r="AZ431" s="2" t="inlineStr">
        <is>
          <t>https://www.coches.net/ford-fusion-14-tdci-ambiente-5p-diesel-2009-en-valencia-71793171-covo.aspx (window.__INITIAL_PROPS__.ad) /home/user/Alopecia/buscador-coches/raw/cochesnet/934176b6a50ee69e.json</t>
        </is>
      </c>
      <c r="BA431" s="3">
        <f>MAX(ANIO_ACTUAL-M431,0)</f>
        <v/>
      </c>
      <c r="BB431" s="4">
        <f>N431/MAX(BA431,0.5)</f>
        <v/>
      </c>
      <c r="BC431" s="4">
        <f>F431</f>
        <v/>
      </c>
      <c r="BD431" s="3">
        <f>BC431&amp;"|"&amp;INT(M431/SEG_ANIO)*SEG_ANIO</f>
        <v/>
      </c>
      <c r="BE431" s="3">
        <f>BD431&amp;"|"&amp;INT(N431/SEG_KM)*SEG_KM</f>
        <v/>
      </c>
      <c r="BF431" s="4">
        <f>COUNTIF($BC$2:$BC$545,BC431)</f>
        <v/>
      </c>
      <c r="BG431" s="4">
        <f>COUNTIF($BD$2:$BD$545,BD431)</f>
        <v/>
      </c>
      <c r="BH431" s="4">
        <f>COUNTIF($BE$2:$BE$545,BE431)</f>
        <v/>
      </c>
      <c r="BI431" s="3">
        <f t="array" ref="BI431">IF(N(AU431)&gt;=MIN_N,AT431,IF(BH431&gt;=MIN_N,MEDIAN(IF($BE$2:$BE$545=BE431,$O$2:$O$545)),IF(BG431&gt;=MIN_N,MEDIAN(IF($BD$2:$BD$545=BD431,$O$2:$O$545)),MEDIAN(IF($BC$2:$BC$545=BC431,$O$2:$O$545)))))</f>
        <v/>
      </c>
      <c r="BJ431" s="3">
        <f>IF(N(AU431)&gt;=MIN_N,"mercado "&amp;AV431,IF(BH431&gt;=MIN_N,"modelo+año+km",IF(BG431&gt;=MIN_N,"modelo+año","modelo")))</f>
        <v/>
      </c>
      <c r="BK431" s="4">
        <f>(BI431-O431)/BI431</f>
        <v/>
      </c>
      <c r="BL431" s="3">
        <f>IF(COUNTIFS(FR_FUEL,K431,FR_YEAR,AP431)&gt;0,1,0)</f>
        <v/>
      </c>
      <c r="BM431" s="3">
        <f>IF(COUNTIFS(FR_FUEL,K431,FR_YEAR,AP431-1)&gt;0,1,0)</f>
        <v/>
      </c>
      <c r="BN431" s="4">
        <f>IF(N(AQ431)&gt;0,AP431*100+AQ431,IF(AND(BL431=1,BM431=1),(AP431-1)*100+1,AP431*100+1))</f>
        <v/>
      </c>
      <c r="BO431" s="3">
        <f>IF(OR(K431="hibrido",K431="glp",K431="gnc",K431="phev"),"ECO",IF(K431="electrico","CERO",IF(K431="gasolina",IF(BN431&gt;=GAS_C_YM,"C",IF(BN431&gt;=GAS_B_YM,"B","A")),IF(K431="diesel",IF(BN431&gt;=DIE_C_YM,"C",IF(BN431&gt;=DIE_B_YM,"B","A")),""))))</f>
        <v/>
      </c>
      <c r="BP431" s="2" t="inlineStr">
        <is>
          <t>B</t>
        </is>
      </c>
      <c r="BQ431" s="4">
        <f>IF(AS431="regla",IF(AND(N(AQ431)=0,BL431=1),"sí","no"),"no")</f>
        <v/>
      </c>
      <c r="BR431" s="3">
        <f>IFERROR(VLOOKUP(F431,MOD_TBL,11,0),IFERROR(VLOOKUP(E431,OCU_TBL,2,0),NEUTRO))</f>
        <v/>
      </c>
      <c r="BS431" s="3">
        <f>SUMIFS(MOT_AJUSTE,MOT_MOTOR,G431,MOT_MARCA,E431,MOT_DESDE,"&lt;="&amp;M431,MOT_HASTA,"&gt;="&amp;M431)+SUMIFS(MOT_AJUSTE,MOT_MOTOR,G431,MOT_MARCA,"(todas)",MOT_DESDE,"&lt;="&amp;M431,MOT_HASTA,"&gt;="&amp;M431)</f>
        <v/>
      </c>
      <c r="BT431" s="3">
        <f>SUMIFS(COMB_AJUSTE,COMB_COMB,K431)</f>
        <v/>
      </c>
      <c r="BU431" s="3">
        <f>COUNTIFS(MOT_MOTOR,G431,MOT_MARCA,E431,MOT_DESDE,"&lt;="&amp;M431,MOT_HASTA,"&gt;="&amp;M431)+COUNTIFS(MOT_MOTOR,G431,MOT_MARCA,"(todas)",MOT_DESDE,"&lt;="&amp;M431,MOT_HASTA,"&gt;="&amp;M431)</f>
        <v/>
      </c>
      <c r="BV431" s="3">
        <f>IF(AND(K431="diesel",BU431=0),MIN(BR431,NEUTRO),BR431)</f>
        <v/>
      </c>
      <c r="BW431" s="4">
        <f>MAX(0,MIN(100,BV431+BS431+BT431))</f>
        <v/>
      </c>
      <c r="BX431" s="3">
        <f>MAX(0,MIN(100,50+BK431*PRECIO_PEND))</f>
        <v/>
      </c>
      <c r="BY431" s="3">
        <f>MAX(0,100*(1-N431/KM_MAX))</f>
        <v/>
      </c>
      <c r="BZ431" s="3">
        <f>IF(BB431&lt;KMA_SOSP,IF(AA431="sí",100,KMA_PEN),IF(BB431&lt;=KMA_IDEAL_MAX,100,MAX(0,100*(KMA_CERO-BB431)/(KMA_CERO-KMA_IDEAL_MAX))))</f>
        <v/>
      </c>
      <c r="CA431" s="3">
        <f>MAX(0,MIN(100,100*(M431-ANIO_MIN)/(ANIO_ACTUAL-ANIO_MIN)))</f>
        <v/>
      </c>
      <c r="CB431" s="3">
        <f>W_KMT*BY431+W_KMA*BZ431+W_EDAD*CA431</f>
        <v/>
      </c>
      <c r="CC431" s="3">
        <f>P_ITV*(V431="sí")+P_LIBRO*(W431="sí")+P_CORREA*(X431="sí")+P_PROP*(Y431=1)+P_GAR*(Z431="sí")+P_FOTOS*MIN(1,N(U431)/FOTOS_OBJ)</f>
        <v/>
      </c>
      <c r="CD431" s="3">
        <f>MAX(0,MIN(100,IFERROR(VLOOKUP(BP431,ETQ_TBL,2,0),0)-IF(BQ431="sí",ETQ_PEN_DUD,IF(AS431="regla",ETQ_PEN_REGLA,0))))</f>
        <v/>
      </c>
      <c r="CE431" s="3">
        <f>NEUTRO</f>
        <v/>
      </c>
      <c r="CF431" s="3">
        <f>IFERROR(VLOOKUP(L431,SEGURO_TBL,3,0),"")</f>
        <v/>
      </c>
      <c r="CG431" s="3">
        <f>IF(CF431="",NEUTRO,MAX(0,MIN(100,100*(SEG_REF_MAX-CF431)/(SEG_REF_MAX-SEG_REF_MIN))))</f>
        <v/>
      </c>
      <c r="CH431" s="3">
        <f>W_CONS*CE431+W_SEG*CG431</f>
        <v/>
      </c>
      <c r="CI431" s="3">
        <f>IF(N(AB431)&gt;0,AB431,IF(AND(R431="profesional",SG_LEGAL_ON=1),GAR_LEGAL,0))</f>
        <v/>
      </c>
      <c r="CJ431" s="3">
        <f>SG_GAR*MIN(1,CI431/SG_GAR_FULL)+SG_AMPL*(AC431="sí")+SG_KMC*(AF431="sí")+SG_REV*(N(AE431)&gt;0)+SG_DEV*MIN(1,N(AG431)/SG_DEV_FULL)+SG_HIST*(W431="sí")</f>
        <v/>
      </c>
      <c r="CK431" s="3">
        <f>IFERROR(VLOOKUP(L431,CARR_PEN_TBL,2,0),0)</f>
        <v/>
      </c>
      <c r="CL431" s="3">
        <f>W_FIAB*BW431+W_PRECIO*BX431+W_KMEDAD*CB431+W_ANUNCIO*CC431+W_USO*CH431+W_SEGURIDAD*CJ431+W_ETIQUETA*CD431-CK431</f>
        <v/>
      </c>
      <c r="CM431" s="4">
        <f>IF(N(I431)&gt;0,I431,IFERROR(ROUND(_xlfn.NUMBERVALUE(LEFT(G431,FIND(" ",G431&amp;" ")-1),".")*1000,0),99999))</f>
        <v/>
      </c>
      <c r="CN431" s="3">
        <f>IF(R431="profesional",0,IF(O431&lt;CUOTA_VALOR_MAX,IF(BA431&gt;ITP_TRAMO_ALTO,SUMIFS(CF_CUOTA,CF_MAS,ITP_TRAMO_ALTO,CF_CCMIN,"&lt;="&amp;CM431,CF_CCMAX,"&gt;="&amp;CM431),IF(BA431&gt;ITP_TRAMO_BAJO,SUMIFS(CF_CUOTA,CF_MAS,ITP_TRAMO_BAJO,CF_CCMIN,"&lt;="&amp;CM431,CF_CCMAX,"&gt;="&amp;CM431),O431*ITP_TIPO)),O431*ITP_TIPO))</f>
        <v/>
      </c>
      <c r="CO431" s="4">
        <f>IF(R431="profesional",N(AK431),0)</f>
        <v/>
      </c>
      <c r="CP431" s="3">
        <f>IF(AND(R431="profesional",ISNUMBER(AK431),AL431="sí"),0,TASA_DGT)</f>
        <v/>
      </c>
      <c r="CQ431" s="3">
        <f>INFORME_DGT</f>
        <v/>
      </c>
      <c r="CR431" s="4">
        <f>O431+CO431+CN431+CP431+CQ431</f>
        <v/>
      </c>
      <c r="CS431" s="4">
        <f>CR431+N(CF431)</f>
        <v/>
      </c>
      <c r="CT431" s="3">
        <f>IF(CR431&lt;=TOTAL_MAX,"sí",IF(CR431&lt;=TOTAL_MAX+MARGEN_NEG,"negociar","no"))</f>
        <v/>
      </c>
      <c r="CU431" s="4">
        <f>IF(CT431&lt;&gt;"no",COUNTIFS($CT$2:$CT$545,"&lt;&gt;no",$CL$2:$CL$545,"&gt;"&amp;CL431)+COUNTIFS($CT$2:CT431,"&lt;&gt;no",$CL$2:CL431,CL431),"")</f>
        <v/>
      </c>
    </row>
    <row r="432">
      <c r="A432" s="2" t="inlineStr">
        <is>
          <t>cochesnet:70514152</t>
        </is>
      </c>
      <c r="B432" s="2" t="inlineStr">
        <is>
          <t>cochesnet</t>
        </is>
      </c>
      <c r="C432" s="2" t="inlineStr">
        <is>
          <t>https://www.coches.net/fiat-linea-14-16v-tjet-120cv-dynamic-4p-gasolina-2007-en-valencia-70514152-covo.aspx</t>
        </is>
      </c>
      <c r="D432" s="2" t="inlineStr">
        <is>
          <t>FIAT Linea 1.4 16v TJet Dynamic</t>
        </is>
      </c>
      <c r="E432" s="2" t="inlineStr">
        <is>
          <t>Fiat</t>
        </is>
      </c>
      <c r="F432" s="2" t="inlineStr">
        <is>
          <t>Fiat Linea</t>
        </is>
      </c>
      <c r="G432" s="2" t="inlineStr">
        <is>
          <t>1.4 T-Jet</t>
        </is>
      </c>
      <c r="H432" s="2" t="inlineStr">
        <is>
          <t>1.4 16v TJet 120cv Dynamic</t>
        </is>
      </c>
      <c r="I432" s="2" t="n"/>
      <c r="J432" s="2" t="n">
        <v>120</v>
      </c>
      <c r="K432" s="2" t="inlineStr">
        <is>
          <t>gasolina</t>
        </is>
      </c>
      <c r="L432" s="2" t="inlineStr">
        <is>
          <t>berlina</t>
        </is>
      </c>
      <c r="M432" s="2" t="n">
        <v>2009</v>
      </c>
      <c r="N432" s="2" t="n">
        <v>156000</v>
      </c>
      <c r="O432" s="2" t="n">
        <v>3300</v>
      </c>
      <c r="P432" s="2" t="inlineStr">
        <is>
          <t>manual</t>
        </is>
      </c>
      <c r="Q432" s="2" t="inlineStr">
        <is>
          <t>no</t>
        </is>
      </c>
      <c r="R432" s="2" t="inlineStr">
        <is>
          <t>profesional</t>
        </is>
      </c>
      <c r="S432" s="2" t="inlineStr">
        <is>
          <t>Automoción Valencia Albal</t>
        </is>
      </c>
      <c r="T432" s="2" t="inlineStr">
        <is>
          <t>2026-10-23T20:29:41Z</t>
        </is>
      </c>
      <c r="U432" s="2" t="n">
        <v>10</v>
      </c>
      <c r="V432" s="2" t="n"/>
      <c r="W432" s="2" t="n"/>
      <c r="X432" s="2" t="n"/>
      <c r="Y432" s="2" t="n"/>
      <c r="Z432" s="2" t="inlineStr">
        <is>
          <t>no</t>
        </is>
      </c>
      <c r="AA432" s="2" t="n"/>
      <c r="AB432" s="2" t="n"/>
      <c r="AC432" s="2" t="n"/>
      <c r="AD432" s="2" t="n"/>
      <c r="AE432" s="2" t="n"/>
      <c r="AF432" s="2" t="n"/>
      <c r="AG432" s="2" t="n"/>
      <c r="AH432" s="2" t="n">
        <v>3300</v>
      </c>
      <c r="AI432" s="2" t="n">
        <v>3300</v>
      </c>
      <c r="AJ432" s="2" t="n"/>
      <c r="AK432" s="2" t="n"/>
      <c r="AL432" s="2" t="n"/>
      <c r="AM432" s="2" t="n">
        <v>8.699999999999999</v>
      </c>
      <c r="AN432" s="2" t="n"/>
      <c r="AO432" s="2" t="inlineStr">
        <is>
          <t>2009</t>
        </is>
      </c>
      <c r="AP432" s="2" t="n">
        <v>2009</v>
      </c>
      <c r="AQ432" s="2" t="n"/>
      <c r="AR432" s="2" t="inlineStr">
        <is>
          <t>C</t>
        </is>
      </c>
      <c r="AS432" s="2" t="inlineStr">
        <is>
          <t>anuncio</t>
        </is>
      </c>
      <c r="AT432" s="2" t="n"/>
      <c r="AU432" s="2" t="n"/>
      <c r="AV432" s="2" t="n"/>
      <c r="AW432" s="2" t="n"/>
      <c r="AX432" s="2" t="inlineStr">
        <is>
          <t>vendedor profesional: sin ITP (operación con IVA/REBU, confirmar en factura); gastos de gestión del vendedor no indicados: se suma la tasa DGT; preguntar el precio final; carrocería berlina: -4 puntos; fiabilidad del modelo PENDIENTE de fuente (puntuación neutra); mediana con solo 1 anuncio(s)</t>
        </is>
      </c>
      <c r="AY432" s="2" t="inlineStr">
        <is>
          <t>Fiat Lìnea Dynamic combina practicidad y confort en un sedán compacto de dimensiones contenidas, ideal para la conducción urbana y desplazamientos diarios. El habitáculo ofrece espacio suficiente para cinco ocupantes con maletero de 500 litros, ampliable a 870 litros con los asientos traseros abatidos, lo que facilita tanto viajes familiares como traslados puntuales de carga.
El motor de 1.4 litros proporciona una respuesta ágil en ciudad gracias a su par disponible desde bajas revoluciones, mientras que el consumo moderado (6,7 l/100km en ciclo mixto) lo hace económico en uso. La transmisión manual de cinco velocidades permite un control directo de la conducción. Equipado con la etiqueta ambiental C, este vehículo accede sin restricciones a las zonas de bajas emisiones en ciudades con regulación de tráfico.
En cuanto a seguridad, este dispone de sistema ABS en las cuatro ruedas, airbags múltiples (frontales, laterales y cortina), cinturones con pretensores en los asientos delanteros y preparación Isofix para sistemas de retención infantil. La dirección asistida con endurecimiento progresivo facilita las maniobras sin sacrificar la estabilidad a velocidad de crucero.
El equipamiento de confort incluye climatizador automático, elevalunas eléctricos delanteros, volante regulable en altura y profundidad, y sistema de ventilación con filtro de partículas. Este ejemplar incorpora además asientos delanteros calefactados, cortinas parasol, volante y pomo en piel, y pintura metali</t>
        </is>
      </c>
      <c r="AZ432" s="2" t="inlineStr">
        <is>
          <t>https://www.coches.net/fiat-linea-14-16v-tjet-120cv-dynamic-4p-gasolina-2007-en-valencia-70514152-covo.aspx (window.__INITIAL_PROPS__.ad) /home/user/Alopecia/buscador-coches/raw/cochesnet/306a1c8397fb75cd.json</t>
        </is>
      </c>
      <c r="BA432" s="3">
        <f>MAX(ANIO_ACTUAL-M432,0)</f>
        <v/>
      </c>
      <c r="BB432" s="4">
        <f>N432/MAX(BA432,0.5)</f>
        <v/>
      </c>
      <c r="BC432" s="4">
        <f>F432</f>
        <v/>
      </c>
      <c r="BD432" s="3">
        <f>BC432&amp;"|"&amp;INT(M432/SEG_ANIO)*SEG_ANIO</f>
        <v/>
      </c>
      <c r="BE432" s="3">
        <f>BD432&amp;"|"&amp;INT(N432/SEG_KM)*SEG_KM</f>
        <v/>
      </c>
      <c r="BF432" s="4">
        <f>COUNTIF($BC$2:$BC$545,BC432)</f>
        <v/>
      </c>
      <c r="BG432" s="4">
        <f>COUNTIF($BD$2:$BD$545,BD432)</f>
        <v/>
      </c>
      <c r="BH432" s="4">
        <f>COUNTIF($BE$2:$BE$545,BE432)</f>
        <v/>
      </c>
      <c r="BI432" s="3">
        <f t="array" ref="BI432">IF(N(AU432)&gt;=MIN_N,AT432,IF(BH432&gt;=MIN_N,MEDIAN(IF($BE$2:$BE$545=BE432,$O$2:$O$545)),IF(BG432&gt;=MIN_N,MEDIAN(IF($BD$2:$BD$545=BD432,$O$2:$O$545)),MEDIAN(IF($BC$2:$BC$545=BC432,$O$2:$O$545)))))</f>
        <v/>
      </c>
      <c r="BJ432" s="3">
        <f>IF(N(AU432)&gt;=MIN_N,"mercado "&amp;AV432,IF(BH432&gt;=MIN_N,"modelo+año+km",IF(BG432&gt;=MIN_N,"modelo+año","modelo")))</f>
        <v/>
      </c>
      <c r="BK432" s="4">
        <f>(BI432-O432)/BI432</f>
        <v/>
      </c>
      <c r="BL432" s="3">
        <f>IF(COUNTIFS(FR_FUEL,K432,FR_YEAR,AP432)&gt;0,1,0)</f>
        <v/>
      </c>
      <c r="BM432" s="3">
        <f>IF(COUNTIFS(FR_FUEL,K432,FR_YEAR,AP432-1)&gt;0,1,0)</f>
        <v/>
      </c>
      <c r="BN432" s="4">
        <f>IF(N(AQ432)&gt;0,AP432*100+AQ432,IF(AND(BL432=1,BM432=1),(AP432-1)*100+1,AP432*100+1))</f>
        <v/>
      </c>
      <c r="BO432" s="3">
        <f>IF(OR(K432="hibrido",K432="glp",K432="gnc",K432="phev"),"ECO",IF(K432="electrico","CERO",IF(K432="gasolina",IF(BN432&gt;=GAS_C_YM,"C",IF(BN432&gt;=GAS_B_YM,"B","A")),IF(K432="diesel",IF(BN432&gt;=DIE_C_YM,"C",IF(BN432&gt;=DIE_B_YM,"B","A")),""))))</f>
        <v/>
      </c>
      <c r="BP432" s="2" t="inlineStr">
        <is>
          <t>C</t>
        </is>
      </c>
      <c r="BQ432" s="4">
        <f>IF(AS432="regla",IF(AND(N(AQ432)=0,BL432=1),"sí","no"),"no")</f>
        <v/>
      </c>
      <c r="BR432" s="3">
        <f>IFERROR(VLOOKUP(F432,MOD_TBL,11,0),IFERROR(VLOOKUP(E432,OCU_TBL,2,0),NEUTRO))</f>
        <v/>
      </c>
      <c r="BS432" s="3">
        <f>SUMIFS(MOT_AJUSTE,MOT_MOTOR,G432,MOT_MARCA,E432,MOT_DESDE,"&lt;="&amp;M432,MOT_HASTA,"&gt;="&amp;M432)+SUMIFS(MOT_AJUSTE,MOT_MOTOR,G432,MOT_MARCA,"(todas)",MOT_DESDE,"&lt;="&amp;M432,MOT_HASTA,"&gt;="&amp;M432)</f>
        <v/>
      </c>
      <c r="BT432" s="3">
        <f>SUMIFS(COMB_AJUSTE,COMB_COMB,K432)</f>
        <v/>
      </c>
      <c r="BU432" s="3">
        <f>COUNTIFS(MOT_MOTOR,G432,MOT_MARCA,E432,MOT_DESDE,"&lt;="&amp;M432,MOT_HASTA,"&gt;="&amp;M432)+COUNTIFS(MOT_MOTOR,G432,MOT_MARCA,"(todas)",MOT_DESDE,"&lt;="&amp;M432,MOT_HASTA,"&gt;="&amp;M432)</f>
        <v/>
      </c>
      <c r="BV432" s="3">
        <f>IF(AND(K432="diesel",BU432=0),MIN(BR432,NEUTRO),BR432)</f>
        <v/>
      </c>
      <c r="BW432" s="4">
        <f>MAX(0,MIN(100,BV432+BS432+BT432))</f>
        <v/>
      </c>
      <c r="BX432" s="3">
        <f>MAX(0,MIN(100,50+BK432*PRECIO_PEND))</f>
        <v/>
      </c>
      <c r="BY432" s="3">
        <f>MAX(0,100*(1-N432/KM_MAX))</f>
        <v/>
      </c>
      <c r="BZ432" s="3">
        <f>IF(BB432&lt;KMA_SOSP,IF(AA432="sí",100,KMA_PEN),IF(BB432&lt;=KMA_IDEAL_MAX,100,MAX(0,100*(KMA_CERO-BB432)/(KMA_CERO-KMA_IDEAL_MAX))))</f>
        <v/>
      </c>
      <c r="CA432" s="3">
        <f>MAX(0,MIN(100,100*(M432-ANIO_MIN)/(ANIO_ACTUAL-ANIO_MIN)))</f>
        <v/>
      </c>
      <c r="CB432" s="3">
        <f>W_KMT*BY432+W_KMA*BZ432+W_EDAD*CA432</f>
        <v/>
      </c>
      <c r="CC432" s="3">
        <f>P_ITV*(V432="sí")+P_LIBRO*(W432="sí")+P_CORREA*(X432="sí")+P_PROP*(Y432=1)+P_GAR*(Z432="sí")+P_FOTOS*MIN(1,N(U432)/FOTOS_OBJ)</f>
        <v/>
      </c>
      <c r="CD432" s="3">
        <f>MAX(0,MIN(100,IFERROR(VLOOKUP(BP432,ETQ_TBL,2,0),0)-IF(BQ432="sí",ETQ_PEN_DUD,IF(AS432="regla",ETQ_PEN_REGLA,0))))</f>
        <v/>
      </c>
      <c r="CE432" s="3">
        <f>NEUTRO</f>
        <v/>
      </c>
      <c r="CF432" s="3">
        <f>IFERROR(VLOOKUP(L432,SEGURO_TBL,3,0),"")</f>
        <v/>
      </c>
      <c r="CG432" s="3">
        <f>IF(CF432="",NEUTRO,MAX(0,MIN(100,100*(SEG_REF_MAX-CF432)/(SEG_REF_MAX-SEG_REF_MIN))))</f>
        <v/>
      </c>
      <c r="CH432" s="3">
        <f>W_CONS*CE432+W_SEG*CG432</f>
        <v/>
      </c>
      <c r="CI432" s="3">
        <f>IF(N(AB432)&gt;0,AB432,IF(AND(R432="profesional",SG_LEGAL_ON=1),GAR_LEGAL,0))</f>
        <v/>
      </c>
      <c r="CJ432" s="3">
        <f>SG_GAR*MIN(1,CI432/SG_GAR_FULL)+SG_AMPL*(AC432="sí")+SG_KMC*(AF432="sí")+SG_REV*(N(AE432)&gt;0)+SG_DEV*MIN(1,N(AG432)/SG_DEV_FULL)+SG_HIST*(W432="sí")</f>
        <v/>
      </c>
      <c r="CK432" s="3">
        <f>IFERROR(VLOOKUP(L432,CARR_PEN_TBL,2,0),0)</f>
        <v/>
      </c>
      <c r="CL432" s="3">
        <f>W_FIAB*BW432+W_PRECIO*BX432+W_KMEDAD*CB432+W_ANUNCIO*CC432+W_USO*CH432+W_SEGURIDAD*CJ432+W_ETIQUETA*CD432-CK432</f>
        <v/>
      </c>
      <c r="CM432" s="4">
        <f>IF(N(I432)&gt;0,I432,IFERROR(ROUND(_xlfn.NUMBERVALUE(LEFT(G432,FIND(" ",G432&amp;" ")-1),".")*1000,0),99999))</f>
        <v/>
      </c>
      <c r="CN432" s="3">
        <f>IF(R432="profesional",0,IF(O432&lt;CUOTA_VALOR_MAX,IF(BA432&gt;ITP_TRAMO_ALTO,SUMIFS(CF_CUOTA,CF_MAS,ITP_TRAMO_ALTO,CF_CCMIN,"&lt;="&amp;CM432,CF_CCMAX,"&gt;="&amp;CM432),IF(BA432&gt;ITP_TRAMO_BAJO,SUMIFS(CF_CUOTA,CF_MAS,ITP_TRAMO_BAJO,CF_CCMIN,"&lt;="&amp;CM432,CF_CCMAX,"&gt;="&amp;CM432),O432*ITP_TIPO)),O432*ITP_TIPO))</f>
        <v/>
      </c>
      <c r="CO432" s="4">
        <f>IF(R432="profesional",N(AK432),0)</f>
        <v/>
      </c>
      <c r="CP432" s="3">
        <f>IF(AND(R432="profesional",ISNUMBER(AK432),AL432="sí"),0,TASA_DGT)</f>
        <v/>
      </c>
      <c r="CQ432" s="3">
        <f>INFORME_DGT</f>
        <v/>
      </c>
      <c r="CR432" s="4">
        <f>O432+CO432+CN432+CP432+CQ432</f>
        <v/>
      </c>
      <c r="CS432" s="4">
        <f>CR432+N(CF432)</f>
        <v/>
      </c>
      <c r="CT432" s="3">
        <f>IF(CR432&lt;=TOTAL_MAX,"sí",IF(CR432&lt;=TOTAL_MAX+MARGEN_NEG,"negociar","no"))</f>
        <v/>
      </c>
      <c r="CU432" s="4">
        <f>IF(CT432&lt;&gt;"no",COUNTIFS($CT$2:$CT$545,"&lt;&gt;no",$CL$2:$CL$545,"&gt;"&amp;CL432)+COUNTIFS($CT$2:CT432,"&lt;&gt;no",$CL$2:CL432,CL432),"")</f>
        <v/>
      </c>
    </row>
    <row r="433">
      <c r="A433" s="2" t="inlineStr">
        <is>
          <t>cochesnet:62365434</t>
        </is>
      </c>
      <c r="B433" s="2" t="inlineStr">
        <is>
          <t>cochesnet</t>
        </is>
      </c>
      <c r="C433" s="2" t="inlineStr">
        <is>
          <t>https://www.coches.net/fiat-500-12-8v-69-cv-lounge-3p-gasolina-2014-en-valencia-62365434-covo.aspx</t>
        </is>
      </c>
      <c r="D433" s="2" t="inlineStr">
        <is>
          <t>FIAT 500 1.2 8v 69 CV Lounge</t>
        </is>
      </c>
      <c r="E433" s="2" t="inlineStr">
        <is>
          <t>Fiat</t>
        </is>
      </c>
      <c r="F433" s="2" t="inlineStr">
        <is>
          <t>Fiat 500</t>
        </is>
      </c>
      <c r="G433" s="2" t="inlineStr">
        <is>
          <t>1.2</t>
        </is>
      </c>
      <c r="H433" s="2" t="inlineStr">
        <is>
          <t>1.2 8v 69 CV Lounge</t>
        </is>
      </c>
      <c r="I433" s="2" t="n"/>
      <c r="J433" s="2" t="n">
        <v>69</v>
      </c>
      <c r="K433" s="2" t="inlineStr">
        <is>
          <t>gasolina</t>
        </is>
      </c>
      <c r="L433" s="2" t="inlineStr">
        <is>
          <t>utilitario</t>
        </is>
      </c>
      <c r="M433" s="2" t="n">
        <v>2014</v>
      </c>
      <c r="N433" s="2" t="n">
        <v>146000</v>
      </c>
      <c r="O433" s="2" t="n">
        <v>4999</v>
      </c>
      <c r="P433" s="2" t="inlineStr">
        <is>
          <t>manual</t>
        </is>
      </c>
      <c r="Q433" s="2" t="inlineStr">
        <is>
          <t>no</t>
        </is>
      </c>
      <c r="R433" s="2" t="inlineStr">
        <is>
          <t>profesional</t>
        </is>
      </c>
      <c r="S433" s="2" t="inlineStr">
        <is>
          <t>Automoción Valencia Albal</t>
        </is>
      </c>
      <c r="T433" s="2" t="inlineStr">
        <is>
          <t>2026-08-15T17:18:49Z</t>
        </is>
      </c>
      <c r="U433" s="2" t="n">
        <v>22</v>
      </c>
      <c r="V433" s="2" t="n"/>
      <c r="W433" s="2" t="n"/>
      <c r="X433" s="2" t="n"/>
      <c r="Y433" s="2" t="n"/>
      <c r="Z433" s="2" t="inlineStr">
        <is>
          <t>no</t>
        </is>
      </c>
      <c r="AA433" s="2" t="n"/>
      <c r="AB433" s="2" t="n"/>
      <c r="AC433" s="2" t="n"/>
      <c r="AD433" s="2" t="n"/>
      <c r="AE433" s="2" t="n"/>
      <c r="AF433" s="2" t="n"/>
      <c r="AG433" s="2" t="n"/>
      <c r="AH433" s="2" t="n">
        <v>4999</v>
      </c>
      <c r="AI433" s="2" t="n">
        <v>4999</v>
      </c>
      <c r="AJ433" s="2" t="n"/>
      <c r="AK433" s="2" t="n"/>
      <c r="AL433" s="2" t="n"/>
      <c r="AM433" s="2" t="n">
        <v>8.699999999999999</v>
      </c>
      <c r="AN433" s="2" t="n"/>
      <c r="AO433" s="2" t="inlineStr">
        <is>
          <t>2014</t>
        </is>
      </c>
      <c r="AP433" s="2" t="n">
        <v>2014</v>
      </c>
      <c r="AQ433" s="2" t="n"/>
      <c r="AR433" s="2" t="inlineStr">
        <is>
          <t>C</t>
        </is>
      </c>
      <c r="AS433" s="2" t="inlineStr">
        <is>
          <t>anuncio</t>
        </is>
      </c>
      <c r="AT433" s="2" t="n">
        <v>6100</v>
      </c>
      <c r="AU433" s="2" t="n">
        <v>8</v>
      </c>
      <c r="AV433" s="2" t="inlineStr">
        <is>
          <t>modelo+año+km</t>
        </is>
      </c>
      <c r="AW433" s="2" t="n"/>
      <c r="AX433" s="2" t="inlineStr">
        <is>
          <t>por encima del presupuesto (5063 €), negociar; vendedor profesional: sin ITP (operación con IVA/REBU, confirmar en factura); gastos de gestión del vendedor no indicados: se suma la tasa DGT; preguntar el precio final</t>
        </is>
      </c>
      <c r="AY433" s="2" t="inlineStr">
        <is>
          <t>*¡OFERTA EXCEPCIONAL! SE VENDE FIAT 500 1.2 MPI 70 CV AÑO 2014*
*ETIQUETA AMBIENTAL C
 ¡EL VEHÍCULO  ECONOMICO PARA LA CIUDAD!*
ESTE FIAT 500 ES UN VEHÍCULO COMPACTO Y ECONÓMICO, IDEAL PARA MOVERSÉ POR LA CIUDAD. CON SU MOTOR 1.2 MPI 70 CV, OFRECE UN RENDIMIENTO EFICIENTE Y UNA CONDUCCIÓN SUAVE.
*EQUIPAMIENTO DE SERIE:*
- CLIMATIZADOR
- PANTALLA MULTIFUNCIÓN
- VOLANTE MULTIFUNCIÓN
- LLANTAS DE ALEACIÓN
- CONTROL DE ESTABILIDAD (ESP)
- DIRECCIÓN ASISTIDA
- ELEVALUNAS ELÉCTRICOS
- CIERRE CENTRALIZADO
- SENSOR DE LUCES
- ISOFIX
- SISTEMA DE AUDIO CON BLUETOOTH Y USB
*VENTAJAS:*
- MUY ECONÓMICO Y MANEJABLE
- IDEAL PARA LA CIUDAD
- ETIQUETA AMBIENTAL C
*PRECIO INCREÍBLE:*
*¡NO PIERDAS LA OPORTUNIDAD! CONTACTA CON NOSOTROS:*
- TELÉFONO: 664506303
*¡LLAMA AHORA Y PROGRAMA UNA CITA PARA VER EL VEHÍCULO!*</t>
        </is>
      </c>
      <c r="AZ433" s="2" t="inlineStr">
        <is>
          <t>https://www.coches.net/fiat-500-12-8v-69-cv-lounge-3p-gasolina-2014-en-valencia-62365434-covo.aspx (window.__INITIAL_PROPS__.ad) /home/user/Alopecia/buscador-coches/raw/cochesnet/35da72ef6d8b8c75.json</t>
        </is>
      </c>
      <c r="BA433" s="3">
        <f>MAX(ANIO_ACTUAL-M433,0)</f>
        <v/>
      </c>
      <c r="BB433" s="4">
        <f>N433/MAX(BA433,0.5)</f>
        <v/>
      </c>
      <c r="BC433" s="4">
        <f>F433</f>
        <v/>
      </c>
      <c r="BD433" s="3">
        <f>BC433&amp;"|"&amp;INT(M433/SEG_ANIO)*SEG_ANIO</f>
        <v/>
      </c>
      <c r="BE433" s="3">
        <f>BD433&amp;"|"&amp;INT(N433/SEG_KM)*SEG_KM</f>
        <v/>
      </c>
      <c r="BF433" s="4">
        <f>COUNTIF($BC$2:$BC$545,BC433)</f>
        <v/>
      </c>
      <c r="BG433" s="4">
        <f>COUNTIF($BD$2:$BD$545,BD433)</f>
        <v/>
      </c>
      <c r="BH433" s="4">
        <f>COUNTIF($BE$2:$BE$545,BE433)</f>
        <v/>
      </c>
      <c r="BI433" s="3">
        <f t="array" ref="BI433">IF(N(AU433)&gt;=MIN_N,AT433,IF(BH433&gt;=MIN_N,MEDIAN(IF($BE$2:$BE$545=BE433,$O$2:$O$545)),IF(BG433&gt;=MIN_N,MEDIAN(IF($BD$2:$BD$545=BD433,$O$2:$O$545)),MEDIAN(IF($BC$2:$BC$545=BC433,$O$2:$O$545)))))</f>
        <v/>
      </c>
      <c r="BJ433" s="3">
        <f>IF(N(AU433)&gt;=MIN_N,"mercado "&amp;AV433,IF(BH433&gt;=MIN_N,"modelo+año+km",IF(BG433&gt;=MIN_N,"modelo+año","modelo")))</f>
        <v/>
      </c>
      <c r="BK433" s="4">
        <f>(BI433-O433)/BI433</f>
        <v/>
      </c>
      <c r="BL433" s="3">
        <f>IF(COUNTIFS(FR_FUEL,K433,FR_YEAR,AP433)&gt;0,1,0)</f>
        <v/>
      </c>
      <c r="BM433" s="3">
        <f>IF(COUNTIFS(FR_FUEL,K433,FR_YEAR,AP433-1)&gt;0,1,0)</f>
        <v/>
      </c>
      <c r="BN433" s="4">
        <f>IF(N(AQ433)&gt;0,AP433*100+AQ433,IF(AND(BL433=1,BM433=1),(AP433-1)*100+1,AP433*100+1))</f>
        <v/>
      </c>
      <c r="BO433" s="3">
        <f>IF(OR(K433="hibrido",K433="glp",K433="gnc",K433="phev"),"ECO",IF(K433="electrico","CERO",IF(K433="gasolina",IF(BN433&gt;=GAS_C_YM,"C",IF(BN433&gt;=GAS_B_YM,"B","A")),IF(K433="diesel",IF(BN433&gt;=DIE_C_YM,"C",IF(BN433&gt;=DIE_B_YM,"B","A")),""))))</f>
        <v/>
      </c>
      <c r="BP433" s="2" t="inlineStr">
        <is>
          <t>C</t>
        </is>
      </c>
      <c r="BQ433" s="4">
        <f>IF(AS433="regla",IF(AND(N(AQ433)=0,BL433=1),"sí","no"),"no")</f>
        <v/>
      </c>
      <c r="BR433" s="3">
        <f>IFERROR(VLOOKUP(F433,MOD_TBL,11,0),IFERROR(VLOOKUP(E433,OCU_TBL,2,0),NEUTRO))</f>
        <v/>
      </c>
      <c r="BS433" s="3">
        <f>SUMIFS(MOT_AJUSTE,MOT_MOTOR,G433,MOT_MARCA,E433,MOT_DESDE,"&lt;="&amp;M433,MOT_HASTA,"&gt;="&amp;M433)+SUMIFS(MOT_AJUSTE,MOT_MOTOR,G433,MOT_MARCA,"(todas)",MOT_DESDE,"&lt;="&amp;M433,MOT_HASTA,"&gt;="&amp;M433)</f>
        <v/>
      </c>
      <c r="BT433" s="3">
        <f>SUMIFS(COMB_AJUSTE,COMB_COMB,K433)</f>
        <v/>
      </c>
      <c r="BU433" s="3">
        <f>COUNTIFS(MOT_MOTOR,G433,MOT_MARCA,E433,MOT_DESDE,"&lt;="&amp;M433,MOT_HASTA,"&gt;="&amp;M433)+COUNTIFS(MOT_MOTOR,G433,MOT_MARCA,"(todas)",MOT_DESDE,"&lt;="&amp;M433,MOT_HASTA,"&gt;="&amp;M433)</f>
        <v/>
      </c>
      <c r="BV433" s="3">
        <f>IF(AND(K433="diesel",BU433=0),MIN(BR433,NEUTRO),BR433)</f>
        <v/>
      </c>
      <c r="BW433" s="4">
        <f>MAX(0,MIN(100,BV433+BS433+BT433))</f>
        <v/>
      </c>
      <c r="BX433" s="3">
        <f>MAX(0,MIN(100,50+BK433*PRECIO_PEND))</f>
        <v/>
      </c>
      <c r="BY433" s="3">
        <f>MAX(0,100*(1-N433/KM_MAX))</f>
        <v/>
      </c>
      <c r="BZ433" s="3">
        <f>IF(BB433&lt;KMA_SOSP,IF(AA433="sí",100,KMA_PEN),IF(BB433&lt;=KMA_IDEAL_MAX,100,MAX(0,100*(KMA_CERO-BB433)/(KMA_CERO-KMA_IDEAL_MAX))))</f>
        <v/>
      </c>
      <c r="CA433" s="3">
        <f>MAX(0,MIN(100,100*(M433-ANIO_MIN)/(ANIO_ACTUAL-ANIO_MIN)))</f>
        <v/>
      </c>
      <c r="CB433" s="3">
        <f>W_KMT*BY433+W_KMA*BZ433+W_EDAD*CA433</f>
        <v/>
      </c>
      <c r="CC433" s="3">
        <f>P_ITV*(V433="sí")+P_LIBRO*(W433="sí")+P_CORREA*(X433="sí")+P_PROP*(Y433=1)+P_GAR*(Z433="sí")+P_FOTOS*MIN(1,N(U433)/FOTOS_OBJ)</f>
        <v/>
      </c>
      <c r="CD433" s="3">
        <f>MAX(0,MIN(100,IFERROR(VLOOKUP(BP433,ETQ_TBL,2,0),0)-IF(BQ433="sí",ETQ_PEN_DUD,IF(AS433="regla",ETQ_PEN_REGLA,0))))</f>
        <v/>
      </c>
      <c r="CE433" s="3">
        <f>NEUTRO</f>
        <v/>
      </c>
      <c r="CF433" s="3">
        <f>IFERROR(VLOOKUP(L433,SEGURO_TBL,3,0),"")</f>
        <v/>
      </c>
      <c r="CG433" s="3">
        <f>IF(CF433="",NEUTRO,MAX(0,MIN(100,100*(SEG_REF_MAX-CF433)/(SEG_REF_MAX-SEG_REF_MIN))))</f>
        <v/>
      </c>
      <c r="CH433" s="3">
        <f>W_CONS*CE433+W_SEG*CG433</f>
        <v/>
      </c>
      <c r="CI433" s="3">
        <f>IF(N(AB433)&gt;0,AB433,IF(AND(R433="profesional",SG_LEGAL_ON=1),GAR_LEGAL,0))</f>
        <v/>
      </c>
      <c r="CJ433" s="3">
        <f>SG_GAR*MIN(1,CI433/SG_GAR_FULL)+SG_AMPL*(AC433="sí")+SG_KMC*(AF433="sí")+SG_REV*(N(AE433)&gt;0)+SG_DEV*MIN(1,N(AG433)/SG_DEV_FULL)+SG_HIST*(W433="sí")</f>
        <v/>
      </c>
      <c r="CK433" s="3">
        <f>IFERROR(VLOOKUP(L433,CARR_PEN_TBL,2,0),0)</f>
        <v/>
      </c>
      <c r="CL433" s="3">
        <f>W_FIAB*BW433+W_PRECIO*BX433+W_KMEDAD*CB433+W_ANUNCIO*CC433+W_USO*CH433+W_SEGURIDAD*CJ433+W_ETIQUETA*CD433-CK433</f>
        <v/>
      </c>
      <c r="CM433" s="4">
        <f>IF(N(I433)&gt;0,I433,IFERROR(ROUND(_xlfn.NUMBERVALUE(LEFT(G433,FIND(" ",G433&amp;" ")-1),".")*1000,0),99999))</f>
        <v/>
      </c>
      <c r="CN433" s="3">
        <f>IF(R433="profesional",0,IF(O433&lt;CUOTA_VALOR_MAX,IF(BA433&gt;ITP_TRAMO_ALTO,SUMIFS(CF_CUOTA,CF_MAS,ITP_TRAMO_ALTO,CF_CCMIN,"&lt;="&amp;CM433,CF_CCMAX,"&gt;="&amp;CM433),IF(BA433&gt;ITP_TRAMO_BAJO,SUMIFS(CF_CUOTA,CF_MAS,ITP_TRAMO_BAJO,CF_CCMIN,"&lt;="&amp;CM433,CF_CCMAX,"&gt;="&amp;CM433),O433*ITP_TIPO)),O433*ITP_TIPO))</f>
        <v/>
      </c>
      <c r="CO433" s="4">
        <f>IF(R433="profesional",N(AK433),0)</f>
        <v/>
      </c>
      <c r="CP433" s="3">
        <f>IF(AND(R433="profesional",ISNUMBER(AK433),AL433="sí"),0,TASA_DGT)</f>
        <v/>
      </c>
      <c r="CQ433" s="3">
        <f>INFORME_DGT</f>
        <v/>
      </c>
      <c r="CR433" s="4">
        <f>O433+CO433+CN433+CP433+CQ433</f>
        <v/>
      </c>
      <c r="CS433" s="4">
        <f>CR433+N(CF433)</f>
        <v/>
      </c>
      <c r="CT433" s="3">
        <f>IF(CR433&lt;=TOTAL_MAX,"sí",IF(CR433&lt;=TOTAL_MAX+MARGEN_NEG,"negociar","no"))</f>
        <v/>
      </c>
      <c r="CU433" s="4">
        <f>IF(CT433&lt;&gt;"no",COUNTIFS($CT$2:$CT$545,"&lt;&gt;no",$CL$2:$CL$545,"&gt;"&amp;CL433)+COUNTIFS($CT$2:CT433,"&lt;&gt;no",$CL$2:CL433,CL433),"")</f>
        <v/>
      </c>
    </row>
    <row r="434">
      <c r="A434" s="2" t="inlineStr">
        <is>
          <t>cochesnet:71808710</t>
        </is>
      </c>
      <c r="B434" s="2" t="inlineStr">
        <is>
          <t>cochesnet</t>
        </is>
      </c>
      <c r="C434" s="2" t="inlineStr">
        <is>
          <t>https://www.coches.net/fiat-bravo-16-multijet-120-cv-emotion-5p-diesel-2012-en-valencia-71808710-covo.aspx</t>
        </is>
      </c>
      <c r="D434" s="2" t="inlineStr">
        <is>
          <t>FIAT Bravo 1.6 Multijet 120 CV Emotion</t>
        </is>
      </c>
      <c r="E434" s="2" t="inlineStr">
        <is>
          <t>Fiat</t>
        </is>
      </c>
      <c r="F434" s="2" t="inlineStr">
        <is>
          <t>Fiat Bravo</t>
        </is>
      </c>
      <c r="G434" s="2" t="inlineStr">
        <is>
          <t>1.6 Multijet</t>
        </is>
      </c>
      <c r="H434" s="2" t="inlineStr">
        <is>
          <t>1.6 Multijet 120 CV Emotion</t>
        </is>
      </c>
      <c r="I434" s="2" t="n"/>
      <c r="J434" s="2" t="n">
        <v>120</v>
      </c>
      <c r="K434" s="2" t="inlineStr">
        <is>
          <t>diesel</t>
        </is>
      </c>
      <c r="L434" s="2" t="inlineStr">
        <is>
          <t>compacto</t>
        </is>
      </c>
      <c r="M434" s="2" t="n">
        <v>2012</v>
      </c>
      <c r="N434" s="2" t="n">
        <v>188000</v>
      </c>
      <c r="O434" s="2" t="n">
        <v>4800</v>
      </c>
      <c r="P434" s="2" t="inlineStr">
        <is>
          <t>manual</t>
        </is>
      </c>
      <c r="Q434" s="2" t="inlineStr">
        <is>
          <t>no</t>
        </is>
      </c>
      <c r="R434" s="2" t="inlineStr">
        <is>
          <t>particular</t>
        </is>
      </c>
      <c r="S434" s="2" t="n"/>
      <c r="T434" s="2" t="inlineStr">
        <is>
          <t>2026-10-22T11:07:47Z</t>
        </is>
      </c>
      <c r="U434" s="2" t="n">
        <v>9</v>
      </c>
      <c r="V434" s="2" t="n"/>
      <c r="W434" s="2" t="n"/>
      <c r="X434" s="2" t="inlineStr">
        <is>
          <t>sí</t>
        </is>
      </c>
      <c r="Y434" s="2" t="n"/>
      <c r="Z434" s="2" t="inlineStr">
        <is>
          <t>no</t>
        </is>
      </c>
      <c r="AA434" s="2" t="n"/>
      <c r="AB434" s="2" t="n"/>
      <c r="AC434" s="2" t="n"/>
      <c r="AD434" s="2" t="n"/>
      <c r="AE434" s="2" t="n"/>
      <c r="AF434" s="2" t="n"/>
      <c r="AG434" s="2" t="n"/>
      <c r="AH434" s="2" t="n">
        <v>4800</v>
      </c>
      <c r="AI434" s="2" t="n"/>
      <c r="AJ434" s="2" t="n"/>
      <c r="AK434" s="2" t="n"/>
      <c r="AL434" s="2" t="n"/>
      <c r="AM434" s="2" t="n"/>
      <c r="AN434" s="2" t="n"/>
      <c r="AO434" s="2" t="inlineStr">
        <is>
          <t>2012</t>
        </is>
      </c>
      <c r="AP434" s="2" t="n">
        <v>2012</v>
      </c>
      <c r="AQ434" s="2" t="n"/>
      <c r="AR434" s="2" t="n"/>
      <c r="AS434" s="2" t="inlineStr">
        <is>
          <t>regla</t>
        </is>
      </c>
      <c r="AT434" s="2" t="n">
        <v>3800</v>
      </c>
      <c r="AU434" s="2" t="n">
        <v>5</v>
      </c>
      <c r="AV434" s="2" t="inlineStr">
        <is>
          <t>modelo+año</t>
        </is>
      </c>
      <c r="AW434" s="2" t="n"/>
      <c r="AX434" s="2" t="inlineStr">
        <is>
          <t>cuota fija ITP: &gt;12 años, 1.501-2.000 cc; diésel: motor sin fuente de fiabilidad (fiabilidad limitada a neutra); distancia no verificable (el anuncio solo indica la provincia): confirmar que está a &lt;= 70 km; fiabilidad del modelo PENDIENTE de fuente (puntuación neutra)</t>
        </is>
      </c>
      <c r="AY434" s="2" t="inlineStr">
        <is>
          <t>ITV en 2027, le funciona todo vidrios automáticos eléctricos en las 4 ventanas, aire acondicionado en excelente estado, interior del coche en perfectas condiciones, kit de distribución recién cambiado con filtros y aceite</t>
        </is>
      </c>
      <c r="AZ434" s="2" t="inlineStr">
        <is>
          <t>https://www.coches.net/fiat-bravo-16-multijet-120-cv-emotion-5p-diesel-2012-en-valencia-71808710-covo.aspx (window.__INITIAL_PROPS__.ad) /home/user/Alopecia/buscador-coches/raw/cochesnet/5c6d8e8780b2d857.json</t>
        </is>
      </c>
      <c r="BA434" s="3">
        <f>MAX(ANIO_ACTUAL-M434,0)</f>
        <v/>
      </c>
      <c r="BB434" s="4">
        <f>N434/MAX(BA434,0.5)</f>
        <v/>
      </c>
      <c r="BC434" s="4">
        <f>F434</f>
        <v/>
      </c>
      <c r="BD434" s="3">
        <f>BC434&amp;"|"&amp;INT(M434/SEG_ANIO)*SEG_ANIO</f>
        <v/>
      </c>
      <c r="BE434" s="3">
        <f>BD434&amp;"|"&amp;INT(N434/SEG_KM)*SEG_KM</f>
        <v/>
      </c>
      <c r="BF434" s="4">
        <f>COUNTIF($BC$2:$BC$545,BC434)</f>
        <v/>
      </c>
      <c r="BG434" s="4">
        <f>COUNTIF($BD$2:$BD$545,BD434)</f>
        <v/>
      </c>
      <c r="BH434" s="4">
        <f>COUNTIF($BE$2:$BE$545,BE434)</f>
        <v/>
      </c>
      <c r="BI434" s="3">
        <f t="array" ref="BI434">IF(N(AU434)&gt;=MIN_N,AT434,IF(BH434&gt;=MIN_N,MEDIAN(IF($BE$2:$BE$545=BE434,$O$2:$O$545)),IF(BG434&gt;=MIN_N,MEDIAN(IF($BD$2:$BD$545=BD434,$O$2:$O$545)),MEDIAN(IF($BC$2:$BC$545=BC434,$O$2:$O$545)))))</f>
        <v/>
      </c>
      <c r="BJ434" s="3">
        <f>IF(N(AU434)&gt;=MIN_N,"mercado "&amp;AV434,IF(BH434&gt;=MIN_N,"modelo+año+km",IF(BG434&gt;=MIN_N,"modelo+año","modelo")))</f>
        <v/>
      </c>
      <c r="BK434" s="4">
        <f>(BI434-O434)/BI434</f>
        <v/>
      </c>
      <c r="BL434" s="3">
        <f>IF(COUNTIFS(FR_FUEL,K434,FR_YEAR,AP434)&gt;0,1,0)</f>
        <v/>
      </c>
      <c r="BM434" s="3">
        <f>IF(COUNTIFS(FR_FUEL,K434,FR_YEAR,AP434-1)&gt;0,1,0)</f>
        <v/>
      </c>
      <c r="BN434" s="4">
        <f>IF(N(AQ434)&gt;0,AP434*100+AQ434,IF(AND(BL434=1,BM434=1),(AP434-1)*100+1,AP434*100+1))</f>
        <v/>
      </c>
      <c r="BO434" s="3">
        <f>IF(OR(K434="hibrido",K434="glp",K434="gnc",K434="phev"),"ECO",IF(K434="electrico","CERO",IF(K434="gasolina",IF(BN434&gt;=GAS_C_YM,"C",IF(BN434&gt;=GAS_B_YM,"B","A")),IF(K434="diesel",IF(BN434&gt;=DIE_C_YM,"C",IF(BN434&gt;=DIE_B_YM,"B","A")),""))))</f>
        <v/>
      </c>
      <c r="BP434" s="4">
        <f>BO434</f>
        <v/>
      </c>
      <c r="BQ434" s="4">
        <f>IF(AS434="regla",IF(AND(N(AQ434)=0,BL434=1),"sí","no"),"no")</f>
        <v/>
      </c>
      <c r="BR434" s="3">
        <f>IFERROR(VLOOKUP(F434,MOD_TBL,11,0),IFERROR(VLOOKUP(E434,OCU_TBL,2,0),NEUTRO))</f>
        <v/>
      </c>
      <c r="BS434" s="3">
        <f>SUMIFS(MOT_AJUSTE,MOT_MOTOR,G434,MOT_MARCA,E434,MOT_DESDE,"&lt;="&amp;M434,MOT_HASTA,"&gt;="&amp;M434)+SUMIFS(MOT_AJUSTE,MOT_MOTOR,G434,MOT_MARCA,"(todas)",MOT_DESDE,"&lt;="&amp;M434,MOT_HASTA,"&gt;="&amp;M434)</f>
        <v/>
      </c>
      <c r="BT434" s="3">
        <f>SUMIFS(COMB_AJUSTE,COMB_COMB,K434)</f>
        <v/>
      </c>
      <c r="BU434" s="3">
        <f>COUNTIFS(MOT_MOTOR,G434,MOT_MARCA,E434,MOT_DESDE,"&lt;="&amp;M434,MOT_HASTA,"&gt;="&amp;M434)+COUNTIFS(MOT_MOTOR,G434,MOT_MARCA,"(todas)",MOT_DESDE,"&lt;="&amp;M434,MOT_HASTA,"&gt;="&amp;M434)</f>
        <v/>
      </c>
      <c r="BV434" s="3">
        <f>IF(AND(K434="diesel",BU434=0),MIN(BR434,NEUTRO),BR434)</f>
        <v/>
      </c>
      <c r="BW434" s="4">
        <f>MAX(0,MIN(100,BV434+BS434+BT434))</f>
        <v/>
      </c>
      <c r="BX434" s="3">
        <f>MAX(0,MIN(100,50+BK434*PRECIO_PEND))</f>
        <v/>
      </c>
      <c r="BY434" s="3">
        <f>MAX(0,100*(1-N434/KM_MAX))</f>
        <v/>
      </c>
      <c r="BZ434" s="3">
        <f>IF(BB434&lt;KMA_SOSP,IF(AA434="sí",100,KMA_PEN),IF(BB434&lt;=KMA_IDEAL_MAX,100,MAX(0,100*(KMA_CERO-BB434)/(KMA_CERO-KMA_IDEAL_MAX))))</f>
        <v/>
      </c>
      <c r="CA434" s="3">
        <f>MAX(0,MIN(100,100*(M434-ANIO_MIN)/(ANIO_ACTUAL-ANIO_MIN)))</f>
        <v/>
      </c>
      <c r="CB434" s="3">
        <f>W_KMT*BY434+W_KMA*BZ434+W_EDAD*CA434</f>
        <v/>
      </c>
      <c r="CC434" s="3">
        <f>P_ITV*(V434="sí")+P_LIBRO*(W434="sí")+P_CORREA*(X434="sí")+P_PROP*(Y434=1)+P_GAR*(Z434="sí")+P_FOTOS*MIN(1,N(U434)/FOTOS_OBJ)</f>
        <v/>
      </c>
      <c r="CD434" s="3">
        <f>MAX(0,MIN(100,IFERROR(VLOOKUP(BP434,ETQ_TBL,2,0),0)-IF(BQ434="sí",ETQ_PEN_DUD,IF(AS434="regla",ETQ_PEN_REGLA,0))))</f>
        <v/>
      </c>
      <c r="CE434" s="3">
        <f>NEUTRO</f>
        <v/>
      </c>
      <c r="CF434" s="3">
        <f>IFERROR(VLOOKUP(L434,SEGURO_TBL,3,0),"")</f>
        <v/>
      </c>
      <c r="CG434" s="3">
        <f>IF(CF434="",NEUTRO,MAX(0,MIN(100,100*(SEG_REF_MAX-CF434)/(SEG_REF_MAX-SEG_REF_MIN))))</f>
        <v/>
      </c>
      <c r="CH434" s="3">
        <f>W_CONS*CE434+W_SEG*CG434</f>
        <v/>
      </c>
      <c r="CI434" s="3">
        <f>IF(N(AB434)&gt;0,AB434,IF(AND(R434="profesional",SG_LEGAL_ON=1),GAR_LEGAL,0))</f>
        <v/>
      </c>
      <c r="CJ434" s="3">
        <f>SG_GAR*MIN(1,CI434/SG_GAR_FULL)+SG_AMPL*(AC434="sí")+SG_KMC*(AF434="sí")+SG_REV*(N(AE434)&gt;0)+SG_DEV*MIN(1,N(AG434)/SG_DEV_FULL)+SG_HIST*(W434="sí")</f>
        <v/>
      </c>
      <c r="CK434" s="3">
        <f>IFERROR(VLOOKUP(L434,CARR_PEN_TBL,2,0),0)</f>
        <v/>
      </c>
      <c r="CL434" s="3">
        <f>W_FIAB*BW434+W_PRECIO*BX434+W_KMEDAD*CB434+W_ANUNCIO*CC434+W_USO*CH434+W_SEGURIDAD*CJ434+W_ETIQUETA*CD434-CK434</f>
        <v/>
      </c>
      <c r="CM434" s="4">
        <f>IF(N(I434)&gt;0,I434,IFERROR(ROUND(_xlfn.NUMBERVALUE(LEFT(G434,FIND(" ",G434&amp;" ")-1),".")*1000,0),99999))</f>
        <v/>
      </c>
      <c r="CN434" s="3">
        <f>IF(R434="profesional",0,IF(O434&lt;CUOTA_VALOR_MAX,IF(BA434&gt;ITP_TRAMO_ALTO,SUMIFS(CF_CUOTA,CF_MAS,ITP_TRAMO_ALTO,CF_CCMIN,"&lt;="&amp;CM434,CF_CCMAX,"&gt;="&amp;CM434),IF(BA434&gt;ITP_TRAMO_BAJO,SUMIFS(CF_CUOTA,CF_MAS,ITP_TRAMO_BAJO,CF_CCMIN,"&lt;="&amp;CM434,CF_CCMAX,"&gt;="&amp;CM434),O434*ITP_TIPO)),O434*ITP_TIPO))</f>
        <v/>
      </c>
      <c r="CO434" s="4">
        <f>IF(R434="profesional",N(AK434),0)</f>
        <v/>
      </c>
      <c r="CP434" s="3">
        <f>IF(AND(R434="profesional",ISNUMBER(AK434),AL434="sí"),0,TASA_DGT)</f>
        <v/>
      </c>
      <c r="CQ434" s="3">
        <f>INFORME_DGT</f>
        <v/>
      </c>
      <c r="CR434" s="4">
        <f>O434+CO434+CN434+CP434+CQ434</f>
        <v/>
      </c>
      <c r="CS434" s="4">
        <f>CR434+N(CF434)</f>
        <v/>
      </c>
      <c r="CT434" s="3">
        <f>IF(CR434&lt;=TOTAL_MAX,"sí",IF(CR434&lt;=TOTAL_MAX+MARGEN_NEG,"negociar","no"))</f>
        <v/>
      </c>
      <c r="CU434" s="4">
        <f>IF(CT434&lt;&gt;"no",COUNTIFS($CT$2:$CT$545,"&lt;&gt;no",$CL$2:$CL$545,"&gt;"&amp;CL434)+COUNTIFS($CT$2:CT434,"&lt;&gt;no",$CL$2:CL434,CL434),"")</f>
        <v/>
      </c>
    </row>
    <row r="435">
      <c r="A435" s="2" t="inlineStr">
        <is>
          <t>cochesnet:71804422</t>
        </is>
      </c>
      <c r="B435" s="2" t="inlineStr">
        <is>
          <t>cochesnet</t>
        </is>
      </c>
      <c r="C435" s="2" t="inlineStr">
        <is>
          <t>https://www.coches.net/fiat-500-12-8v-69-cv-sport-3p-gasolina-2009-en-valencia-71804422-covo.aspx</t>
        </is>
      </c>
      <c r="D435" s="2" t="inlineStr">
        <is>
          <t>FIAT 500 1.2 8v 69 CV Sport</t>
        </is>
      </c>
      <c r="E435" s="2" t="inlineStr">
        <is>
          <t>Fiat</t>
        </is>
      </c>
      <c r="F435" s="2" t="inlineStr">
        <is>
          <t>Fiat 500</t>
        </is>
      </c>
      <c r="G435" s="2" t="inlineStr">
        <is>
          <t>1.2</t>
        </is>
      </c>
      <c r="H435" s="2" t="inlineStr">
        <is>
          <t>1.2 8v 69 CV Sport</t>
        </is>
      </c>
      <c r="I435" s="2" t="n"/>
      <c r="J435" s="2" t="n">
        <v>69</v>
      </c>
      <c r="K435" s="2" t="inlineStr">
        <is>
          <t>gasolina</t>
        </is>
      </c>
      <c r="L435" s="2" t="inlineStr">
        <is>
          <t>utilitario</t>
        </is>
      </c>
      <c r="M435" s="2" t="n">
        <v>2009</v>
      </c>
      <c r="N435" s="2" t="n">
        <v>175000</v>
      </c>
      <c r="O435" s="2" t="n">
        <v>4700</v>
      </c>
      <c r="P435" s="2" t="inlineStr">
        <is>
          <t>automatico</t>
        </is>
      </c>
      <c r="Q435" s="2" t="inlineStr">
        <is>
          <t>sí</t>
        </is>
      </c>
      <c r="R435" s="2" t="inlineStr">
        <is>
          <t>particular</t>
        </is>
      </c>
      <c r="S435" s="2" t="inlineStr">
        <is>
          <t>Paiporta</t>
        </is>
      </c>
      <c r="T435" s="2" t="inlineStr">
        <is>
          <t>2026-10-21T22:17:50Z</t>
        </is>
      </c>
      <c r="U435" s="2" t="n">
        <v>12</v>
      </c>
      <c r="V435" s="2" t="n"/>
      <c r="W435" s="2" t="n"/>
      <c r="X435" s="2" t="n"/>
      <c r="Y435" s="2" t="n"/>
      <c r="Z435" s="2" t="inlineStr">
        <is>
          <t>no</t>
        </is>
      </c>
      <c r="AA435" s="2" t="n"/>
      <c r="AB435" s="2" t="n"/>
      <c r="AC435" s="2" t="n"/>
      <c r="AD435" s="2" t="n"/>
      <c r="AE435" s="2" t="n"/>
      <c r="AF435" s="2" t="n"/>
      <c r="AG435" s="2" t="n"/>
      <c r="AH435" s="2" t="n">
        <v>4700</v>
      </c>
      <c r="AI435" s="2" t="n"/>
      <c r="AJ435" s="2" t="n"/>
      <c r="AK435" s="2" t="n"/>
      <c r="AL435" s="2" t="n"/>
      <c r="AM435" s="2" t="n">
        <v>5.9</v>
      </c>
      <c r="AN435" s="2" t="n"/>
      <c r="AO435" s="2" t="inlineStr">
        <is>
          <t>03/2009</t>
        </is>
      </c>
      <c r="AP435" s="2" t="n">
        <v>2009</v>
      </c>
      <c r="AQ435" s="2" t="n">
        <v>3</v>
      </c>
      <c r="AR435" s="2" t="n"/>
      <c r="AS435" s="2" t="inlineStr">
        <is>
          <t>regla</t>
        </is>
      </c>
      <c r="AT435" s="2" t="n">
        <v>4990</v>
      </c>
      <c r="AU435" s="2" t="n">
        <v>7</v>
      </c>
      <c r="AV435" s="2" t="inlineStr">
        <is>
          <t>modelo+año</t>
        </is>
      </c>
      <c r="AW435" s="2" t="n"/>
      <c r="AX435" s="2" t="inlineStr">
        <is>
          <t>cuota fija ITP: &gt;12 años, hasta 1.500 cc</t>
        </is>
      </c>
      <c r="AY435" s="2" t="inlineStr">
        <is>
          <t xml:space="preserve">Fiat 500 1.2 Sport 69 CV – Manual – Blanco
Vendo mi Fiat 500 1.2 Sport, un coche compacto, práctico y con mucho estilo, ideal para moverse por ciudad y aparcar fácilmente. Es de color blanco, tiene 3 puertas y capacidad para 4 personas. Tanto el interior como el exterior se encuentran en buen estado general.
Cuenta con un motor de gasolina de 1.242 cc y 69 CV, con un consumo ajustado, perfecto para los desplazamientos del día a día. Su tamaño compacto lo hace muy manejable y es una buena opción como coche para ciudad.
Detalles que hay que tener en cuenta:
Los faros necesitan un pulido.
Hay que reparar el cable del mecanismo de los asientos abatibles.
Es necesario recargar el aire acondicionado.
Para que puedas elegir lo que más te convenga, hay dos opciones:
Me encargo yo de las reparaciones: el coche se vende al precio anunciado.
Prefieres arreglarlo tú: podemos descontar del precio el coste de las reparaciones y negociar una rebaja. Lo hablamos sin problema para llegar a un acuerdo justo para ambos.
Prefiero dejarlo todo claro desde el principio. Si buscas un coche pequeño, con personalidad y práctico para el día a día, puede ser una buena opción.
Si tienes alguna duda o quieres venir a verlo, escríbeme por chat y hablamos. </t>
        </is>
      </c>
      <c r="AZ435" s="2" t="inlineStr">
        <is>
          <t>https://www.coches.net/fiat-500-12-8v-69-cv-sport-3p-gasolina-2009-en-valencia-71804422-covo.aspx (window.__INITIAL_PROPS__.ad) /home/user/Alopecia/buscador-coches/raw/cochesnet/ae156675963d0768.json</t>
        </is>
      </c>
      <c r="BA435" s="3">
        <f>MAX(ANIO_ACTUAL-M435,0)</f>
        <v/>
      </c>
      <c r="BB435" s="4">
        <f>N435/MAX(BA435,0.5)</f>
        <v/>
      </c>
      <c r="BC435" s="4">
        <f>F435</f>
        <v/>
      </c>
      <c r="BD435" s="3">
        <f>BC435&amp;"|"&amp;INT(M435/SEG_ANIO)*SEG_ANIO</f>
        <v/>
      </c>
      <c r="BE435" s="3">
        <f>BD435&amp;"|"&amp;INT(N435/SEG_KM)*SEG_KM</f>
        <v/>
      </c>
      <c r="BF435" s="4">
        <f>COUNTIF($BC$2:$BC$545,BC435)</f>
        <v/>
      </c>
      <c r="BG435" s="4">
        <f>COUNTIF($BD$2:$BD$545,BD435)</f>
        <v/>
      </c>
      <c r="BH435" s="4">
        <f>COUNTIF($BE$2:$BE$545,BE435)</f>
        <v/>
      </c>
      <c r="BI435" s="3">
        <f t="array" ref="BI435">IF(N(AU435)&gt;=MIN_N,AT435,IF(BH435&gt;=MIN_N,MEDIAN(IF($BE$2:$BE$545=BE435,$O$2:$O$545)),IF(BG435&gt;=MIN_N,MEDIAN(IF($BD$2:$BD$545=BD435,$O$2:$O$545)),MEDIAN(IF($BC$2:$BC$545=BC435,$O$2:$O$545)))))</f>
        <v/>
      </c>
      <c r="BJ435" s="3">
        <f>IF(N(AU435)&gt;=MIN_N,"mercado "&amp;AV435,IF(BH435&gt;=MIN_N,"modelo+año+km",IF(BG435&gt;=MIN_N,"modelo+año","modelo")))</f>
        <v/>
      </c>
      <c r="BK435" s="4">
        <f>(BI435-O435)/BI435</f>
        <v/>
      </c>
      <c r="BL435" s="3">
        <f>IF(COUNTIFS(FR_FUEL,K435,FR_YEAR,AP435)&gt;0,1,0)</f>
        <v/>
      </c>
      <c r="BM435" s="3">
        <f>IF(COUNTIFS(FR_FUEL,K435,FR_YEAR,AP435-1)&gt;0,1,0)</f>
        <v/>
      </c>
      <c r="BN435" s="4">
        <f>IF(N(AQ435)&gt;0,AP435*100+AQ435,IF(AND(BL435=1,BM435=1),(AP435-1)*100+1,AP435*100+1))</f>
        <v/>
      </c>
      <c r="BO435" s="3">
        <f>IF(OR(K435="hibrido",K435="glp",K435="gnc",K435="phev"),"ECO",IF(K435="electrico","CERO",IF(K435="gasolina",IF(BN435&gt;=GAS_C_YM,"C",IF(BN435&gt;=GAS_B_YM,"B","A")),IF(K435="diesel",IF(BN435&gt;=DIE_C_YM,"C",IF(BN435&gt;=DIE_B_YM,"B","A")),""))))</f>
        <v/>
      </c>
      <c r="BP435" s="4">
        <f>BO435</f>
        <v/>
      </c>
      <c r="BQ435" s="4">
        <f>IF(AS435="regla",IF(AND(N(AQ435)=0,BL435=1),"sí","no"),"no")</f>
        <v/>
      </c>
      <c r="BR435" s="3">
        <f>IFERROR(VLOOKUP(F435,MOD_TBL,11,0),IFERROR(VLOOKUP(E435,OCU_TBL,2,0),NEUTRO))</f>
        <v/>
      </c>
      <c r="BS435" s="3">
        <f>SUMIFS(MOT_AJUSTE,MOT_MOTOR,G435,MOT_MARCA,E435,MOT_DESDE,"&lt;="&amp;M435,MOT_HASTA,"&gt;="&amp;M435)+SUMIFS(MOT_AJUSTE,MOT_MOTOR,G435,MOT_MARCA,"(todas)",MOT_DESDE,"&lt;="&amp;M435,MOT_HASTA,"&gt;="&amp;M435)</f>
        <v/>
      </c>
      <c r="BT435" s="3">
        <f>SUMIFS(COMB_AJUSTE,COMB_COMB,K435)</f>
        <v/>
      </c>
      <c r="BU435" s="3">
        <f>COUNTIFS(MOT_MOTOR,G435,MOT_MARCA,E435,MOT_DESDE,"&lt;="&amp;M435,MOT_HASTA,"&gt;="&amp;M435)+COUNTIFS(MOT_MOTOR,G435,MOT_MARCA,"(todas)",MOT_DESDE,"&lt;="&amp;M435,MOT_HASTA,"&gt;="&amp;M435)</f>
        <v/>
      </c>
      <c r="BV435" s="3">
        <f>IF(AND(K435="diesel",BU435=0),MIN(BR435,NEUTRO),BR435)</f>
        <v/>
      </c>
      <c r="BW435" s="4">
        <f>MAX(0,MIN(100,BV435+BS435+BT435))</f>
        <v/>
      </c>
      <c r="BX435" s="3">
        <f>MAX(0,MIN(100,50+BK435*PRECIO_PEND))</f>
        <v/>
      </c>
      <c r="BY435" s="3">
        <f>MAX(0,100*(1-N435/KM_MAX))</f>
        <v/>
      </c>
      <c r="BZ435" s="3">
        <f>IF(BB435&lt;KMA_SOSP,IF(AA435="sí",100,KMA_PEN),IF(BB435&lt;=KMA_IDEAL_MAX,100,MAX(0,100*(KMA_CERO-BB435)/(KMA_CERO-KMA_IDEAL_MAX))))</f>
        <v/>
      </c>
      <c r="CA435" s="3">
        <f>MAX(0,MIN(100,100*(M435-ANIO_MIN)/(ANIO_ACTUAL-ANIO_MIN)))</f>
        <v/>
      </c>
      <c r="CB435" s="3">
        <f>W_KMT*BY435+W_KMA*BZ435+W_EDAD*CA435</f>
        <v/>
      </c>
      <c r="CC435" s="3">
        <f>P_ITV*(V435="sí")+P_LIBRO*(W435="sí")+P_CORREA*(X435="sí")+P_PROP*(Y435=1)+P_GAR*(Z435="sí")+P_FOTOS*MIN(1,N(U435)/FOTOS_OBJ)</f>
        <v/>
      </c>
      <c r="CD435" s="3">
        <f>MAX(0,MIN(100,IFERROR(VLOOKUP(BP435,ETQ_TBL,2,0),0)-IF(BQ435="sí",ETQ_PEN_DUD,IF(AS435="regla",ETQ_PEN_REGLA,0))))</f>
        <v/>
      </c>
      <c r="CE435" s="3">
        <f>NEUTRO</f>
        <v/>
      </c>
      <c r="CF435" s="3">
        <f>IFERROR(VLOOKUP(L435,SEGURO_TBL,3,0),"")</f>
        <v/>
      </c>
      <c r="CG435" s="3">
        <f>IF(CF435="",NEUTRO,MAX(0,MIN(100,100*(SEG_REF_MAX-CF435)/(SEG_REF_MAX-SEG_REF_MIN))))</f>
        <v/>
      </c>
      <c r="CH435" s="3">
        <f>W_CONS*CE435+W_SEG*CG435</f>
        <v/>
      </c>
      <c r="CI435" s="3">
        <f>IF(N(AB435)&gt;0,AB435,IF(AND(R435="profesional",SG_LEGAL_ON=1),GAR_LEGAL,0))</f>
        <v/>
      </c>
      <c r="CJ435" s="3">
        <f>SG_GAR*MIN(1,CI435/SG_GAR_FULL)+SG_AMPL*(AC435="sí")+SG_KMC*(AF435="sí")+SG_REV*(N(AE435)&gt;0)+SG_DEV*MIN(1,N(AG435)/SG_DEV_FULL)+SG_HIST*(W435="sí")</f>
        <v/>
      </c>
      <c r="CK435" s="3">
        <f>IFERROR(VLOOKUP(L435,CARR_PEN_TBL,2,0),0)</f>
        <v/>
      </c>
      <c r="CL435" s="3">
        <f>W_FIAB*BW435+W_PRECIO*BX435+W_KMEDAD*CB435+W_ANUNCIO*CC435+W_USO*CH435+W_SEGURIDAD*CJ435+W_ETIQUETA*CD435-CK435</f>
        <v/>
      </c>
      <c r="CM435" s="4">
        <f>IF(N(I435)&gt;0,I435,IFERROR(ROUND(_xlfn.NUMBERVALUE(LEFT(G435,FIND(" ",G435&amp;" ")-1),".")*1000,0),99999))</f>
        <v/>
      </c>
      <c r="CN435" s="3">
        <f>IF(R435="profesional",0,IF(O435&lt;CUOTA_VALOR_MAX,IF(BA435&gt;ITP_TRAMO_ALTO,SUMIFS(CF_CUOTA,CF_MAS,ITP_TRAMO_ALTO,CF_CCMIN,"&lt;="&amp;CM435,CF_CCMAX,"&gt;="&amp;CM435),IF(BA435&gt;ITP_TRAMO_BAJO,SUMIFS(CF_CUOTA,CF_MAS,ITP_TRAMO_BAJO,CF_CCMIN,"&lt;="&amp;CM435,CF_CCMAX,"&gt;="&amp;CM435),O435*ITP_TIPO)),O435*ITP_TIPO))</f>
        <v/>
      </c>
      <c r="CO435" s="4">
        <f>IF(R435="profesional",N(AK435),0)</f>
        <v/>
      </c>
      <c r="CP435" s="3">
        <f>IF(AND(R435="profesional",ISNUMBER(AK435),AL435="sí"),0,TASA_DGT)</f>
        <v/>
      </c>
      <c r="CQ435" s="3">
        <f>INFORME_DGT</f>
        <v/>
      </c>
      <c r="CR435" s="4">
        <f>O435+CO435+CN435+CP435+CQ435</f>
        <v/>
      </c>
      <c r="CS435" s="4">
        <f>CR435+N(CF435)</f>
        <v/>
      </c>
      <c r="CT435" s="3">
        <f>IF(CR435&lt;=TOTAL_MAX,"sí",IF(CR435&lt;=TOTAL_MAX+MARGEN_NEG,"negociar","no"))</f>
        <v/>
      </c>
      <c r="CU435" s="4">
        <f>IF(CT435&lt;&gt;"no",COUNTIFS($CT$2:$CT$545,"&lt;&gt;no",$CL$2:$CL$545,"&gt;"&amp;CL435)+COUNTIFS($CT$2:CT435,"&lt;&gt;no",$CL$2:CL435,CL435),"")</f>
        <v/>
      </c>
    </row>
    <row r="436">
      <c r="A436" s="2" t="inlineStr">
        <is>
          <t>cochesnet:71800515</t>
        </is>
      </c>
      <c r="B436" s="2" t="inlineStr">
        <is>
          <t>cochesnet</t>
        </is>
      </c>
      <c r="C436" s="2" t="inlineStr">
        <is>
          <t>https://www.coches.net/fiat-fiorino-combi-adventure-13-mjt-75cv-5plazas-e5-4p-diesel-2016-en-valencia-71800515-covo.aspx</t>
        </is>
      </c>
      <c r="D436" s="2" t="inlineStr">
        <is>
          <t>FIAT Fiorino Combi Adventure 1.3 Mjt 5plazas E5</t>
        </is>
      </c>
      <c r="E436" s="2" t="inlineStr">
        <is>
          <t>Fiat</t>
        </is>
      </c>
      <c r="F436" s="2" t="inlineStr">
        <is>
          <t>Fiat Fiorino</t>
        </is>
      </c>
      <c r="G436" s="2" t="inlineStr">
        <is>
          <t>1.3</t>
        </is>
      </c>
      <c r="H436" s="2" t="inlineStr">
        <is>
          <t>Combi Adventure 1.3 Mjt 75cv 5plazas E5</t>
        </is>
      </c>
      <c r="I436" s="2" t="n"/>
      <c r="J436" s="2" t="n">
        <v>75</v>
      </c>
      <c r="K436" s="2" t="inlineStr">
        <is>
          <t>diesel</t>
        </is>
      </c>
      <c r="L436" s="2" t="inlineStr">
        <is>
          <t>familiar</t>
        </is>
      </c>
      <c r="M436" s="2" t="n">
        <v>2016</v>
      </c>
      <c r="N436" s="2" t="n">
        <v>160000</v>
      </c>
      <c r="O436" s="2" t="n">
        <v>3900</v>
      </c>
      <c r="P436" s="2" t="inlineStr">
        <is>
          <t>manual</t>
        </is>
      </c>
      <c r="Q436" s="2" t="inlineStr">
        <is>
          <t>no</t>
        </is>
      </c>
      <c r="R436" s="2" t="inlineStr">
        <is>
          <t>particular</t>
        </is>
      </c>
      <c r="S436" s="2" t="n"/>
      <c r="T436" s="2" t="inlineStr">
        <is>
          <t>2026-10-21T12:50:31Z</t>
        </is>
      </c>
      <c r="U436" s="2" t="n">
        <v>7</v>
      </c>
      <c r="V436" s="2" t="inlineStr">
        <is>
          <t>sí</t>
        </is>
      </c>
      <c r="W436" s="2" t="n"/>
      <c r="X436" s="2" t="n"/>
      <c r="Y436" s="2" t="n">
        <v>1</v>
      </c>
      <c r="Z436" s="2" t="inlineStr">
        <is>
          <t>no</t>
        </is>
      </c>
      <c r="AA436" s="2" t="n"/>
      <c r="AB436" s="2" t="n"/>
      <c r="AC436" s="2" t="n"/>
      <c r="AD436" s="2" t="n"/>
      <c r="AE436" s="2" t="n"/>
      <c r="AF436" s="2" t="n"/>
      <c r="AG436" s="2" t="n"/>
      <c r="AH436" s="2" t="n">
        <v>3900</v>
      </c>
      <c r="AI436" s="2" t="n"/>
      <c r="AJ436" s="2" t="n"/>
      <c r="AK436" s="2" t="n"/>
      <c r="AL436" s="2" t="n"/>
      <c r="AM436" s="2" t="n"/>
      <c r="AN436" s="2" t="n"/>
      <c r="AO436" s="2" t="inlineStr">
        <is>
          <t>2016</t>
        </is>
      </c>
      <c r="AP436" s="2" t="n">
        <v>2016</v>
      </c>
      <c r="AQ436" s="2" t="n"/>
      <c r="AR436" s="2" t="n"/>
      <c r="AS436" s="2" t="inlineStr">
        <is>
          <t>regla</t>
        </is>
      </c>
      <c r="AT436" s="2" t="n"/>
      <c r="AU436" s="2" t="n"/>
      <c r="AV436" s="2" t="n"/>
      <c r="AW436" s="2" t="n"/>
      <c r="AX436" s="2" t="inlineStr">
        <is>
          <t>cuota fija ITP: &gt;5 y &lt;=12 años, hasta 1.500 cc; diésel: motor sin fuente de fiabilidad (fiabilidad limitada a neutra); carrocería familiar: -3 puntos; distancia no verificable (el anuncio solo indica la provincia): confirmar que está a &lt;= 70 km; fiabilidad del modelo PENDIENTE de fuente (puntuación neutra); mediana con solo 1 anuncio(s)</t>
        </is>
      </c>
      <c r="AY436" s="2" t="inlineStr">
        <is>
          <t xml:space="preserve">Año 2019. ITV en vigor motor muy buen estado un solo propietario muy poco consumo tiene aire acondicionado ideal para trabajar furgoneta  utilizable </t>
        </is>
      </c>
      <c r="AZ436" s="2" t="inlineStr">
        <is>
          <t>https://www.coches.net/fiat-fiorino-combi-adventure-13-mjt-75cv-5plazas-e5-4p-diesel-2016-en-valencia-71800515-covo.aspx (window.__INITIAL_PROPS__.ad) /home/user/Alopecia/buscador-coches/raw/cochesnet/4c72026a6c676019.json</t>
        </is>
      </c>
      <c r="BA436" s="3">
        <f>MAX(ANIO_ACTUAL-M436,0)</f>
        <v/>
      </c>
      <c r="BB436" s="4">
        <f>N436/MAX(BA436,0.5)</f>
        <v/>
      </c>
      <c r="BC436" s="4">
        <f>F436</f>
        <v/>
      </c>
      <c r="BD436" s="3">
        <f>BC436&amp;"|"&amp;INT(M436/SEG_ANIO)*SEG_ANIO</f>
        <v/>
      </c>
      <c r="BE436" s="3">
        <f>BD436&amp;"|"&amp;INT(N436/SEG_KM)*SEG_KM</f>
        <v/>
      </c>
      <c r="BF436" s="4">
        <f>COUNTIF($BC$2:$BC$545,BC436)</f>
        <v/>
      </c>
      <c r="BG436" s="4">
        <f>COUNTIF($BD$2:$BD$545,BD436)</f>
        <v/>
      </c>
      <c r="BH436" s="4">
        <f>COUNTIF($BE$2:$BE$545,BE436)</f>
        <v/>
      </c>
      <c r="BI436" s="3">
        <f t="array" ref="BI436">IF(N(AU436)&gt;=MIN_N,AT436,IF(BH436&gt;=MIN_N,MEDIAN(IF($BE$2:$BE$545=BE436,$O$2:$O$545)),IF(BG436&gt;=MIN_N,MEDIAN(IF($BD$2:$BD$545=BD436,$O$2:$O$545)),MEDIAN(IF($BC$2:$BC$545=BC436,$O$2:$O$545)))))</f>
        <v/>
      </c>
      <c r="BJ436" s="3">
        <f>IF(N(AU436)&gt;=MIN_N,"mercado "&amp;AV436,IF(BH436&gt;=MIN_N,"modelo+año+km",IF(BG436&gt;=MIN_N,"modelo+año","modelo")))</f>
        <v/>
      </c>
      <c r="BK436" s="4">
        <f>(BI436-O436)/BI436</f>
        <v/>
      </c>
      <c r="BL436" s="3">
        <f>IF(COUNTIFS(FR_FUEL,K436,FR_YEAR,AP436)&gt;0,1,0)</f>
        <v/>
      </c>
      <c r="BM436" s="3">
        <f>IF(COUNTIFS(FR_FUEL,K436,FR_YEAR,AP436-1)&gt;0,1,0)</f>
        <v/>
      </c>
      <c r="BN436" s="4">
        <f>IF(N(AQ436)&gt;0,AP436*100+AQ436,IF(AND(BL436=1,BM436=1),(AP436-1)*100+1,AP436*100+1))</f>
        <v/>
      </c>
      <c r="BO436" s="3">
        <f>IF(OR(K436="hibrido",K436="glp",K436="gnc",K436="phev"),"ECO",IF(K436="electrico","CERO",IF(K436="gasolina",IF(BN436&gt;=GAS_C_YM,"C",IF(BN436&gt;=GAS_B_YM,"B","A")),IF(K436="diesel",IF(BN436&gt;=DIE_C_YM,"C",IF(BN436&gt;=DIE_B_YM,"B","A")),""))))</f>
        <v/>
      </c>
      <c r="BP436" s="4">
        <f>BO436</f>
        <v/>
      </c>
      <c r="BQ436" s="4">
        <f>IF(AS436="regla",IF(AND(N(AQ436)=0,BL436=1),"sí","no"),"no")</f>
        <v/>
      </c>
      <c r="BR436" s="3">
        <f>IFERROR(VLOOKUP(F436,MOD_TBL,11,0),IFERROR(VLOOKUP(E436,OCU_TBL,2,0),NEUTRO))</f>
        <v/>
      </c>
      <c r="BS436" s="3">
        <f>SUMIFS(MOT_AJUSTE,MOT_MOTOR,G436,MOT_MARCA,E436,MOT_DESDE,"&lt;="&amp;M436,MOT_HASTA,"&gt;="&amp;M436)+SUMIFS(MOT_AJUSTE,MOT_MOTOR,G436,MOT_MARCA,"(todas)",MOT_DESDE,"&lt;="&amp;M436,MOT_HASTA,"&gt;="&amp;M436)</f>
        <v/>
      </c>
      <c r="BT436" s="3">
        <f>SUMIFS(COMB_AJUSTE,COMB_COMB,K436)</f>
        <v/>
      </c>
      <c r="BU436" s="3">
        <f>COUNTIFS(MOT_MOTOR,G436,MOT_MARCA,E436,MOT_DESDE,"&lt;="&amp;M436,MOT_HASTA,"&gt;="&amp;M436)+COUNTIFS(MOT_MOTOR,G436,MOT_MARCA,"(todas)",MOT_DESDE,"&lt;="&amp;M436,MOT_HASTA,"&gt;="&amp;M436)</f>
        <v/>
      </c>
      <c r="BV436" s="3">
        <f>IF(AND(K436="diesel",BU436=0),MIN(BR436,NEUTRO),BR436)</f>
        <v/>
      </c>
      <c r="BW436" s="4">
        <f>MAX(0,MIN(100,BV436+BS436+BT436))</f>
        <v/>
      </c>
      <c r="BX436" s="3">
        <f>MAX(0,MIN(100,50+BK436*PRECIO_PEND))</f>
        <v/>
      </c>
      <c r="BY436" s="3">
        <f>MAX(0,100*(1-N436/KM_MAX))</f>
        <v/>
      </c>
      <c r="BZ436" s="3">
        <f>IF(BB436&lt;KMA_SOSP,IF(AA436="sí",100,KMA_PEN),IF(BB436&lt;=KMA_IDEAL_MAX,100,MAX(0,100*(KMA_CERO-BB436)/(KMA_CERO-KMA_IDEAL_MAX))))</f>
        <v/>
      </c>
      <c r="CA436" s="3">
        <f>MAX(0,MIN(100,100*(M436-ANIO_MIN)/(ANIO_ACTUAL-ANIO_MIN)))</f>
        <v/>
      </c>
      <c r="CB436" s="3">
        <f>W_KMT*BY436+W_KMA*BZ436+W_EDAD*CA436</f>
        <v/>
      </c>
      <c r="CC436" s="3">
        <f>P_ITV*(V436="sí")+P_LIBRO*(W436="sí")+P_CORREA*(X436="sí")+P_PROP*(Y436=1)+P_GAR*(Z436="sí")+P_FOTOS*MIN(1,N(U436)/FOTOS_OBJ)</f>
        <v/>
      </c>
      <c r="CD436" s="3">
        <f>MAX(0,MIN(100,IFERROR(VLOOKUP(BP436,ETQ_TBL,2,0),0)-IF(BQ436="sí",ETQ_PEN_DUD,IF(AS436="regla",ETQ_PEN_REGLA,0))))</f>
        <v/>
      </c>
      <c r="CE436" s="3">
        <f>NEUTRO</f>
        <v/>
      </c>
      <c r="CF436" s="3">
        <f>IFERROR(VLOOKUP(L436,SEGURO_TBL,3,0),"")</f>
        <v/>
      </c>
      <c r="CG436" s="3">
        <f>IF(CF436="",NEUTRO,MAX(0,MIN(100,100*(SEG_REF_MAX-CF436)/(SEG_REF_MAX-SEG_REF_MIN))))</f>
        <v/>
      </c>
      <c r="CH436" s="3">
        <f>W_CONS*CE436+W_SEG*CG436</f>
        <v/>
      </c>
      <c r="CI436" s="3">
        <f>IF(N(AB436)&gt;0,AB436,IF(AND(R436="profesional",SG_LEGAL_ON=1),GAR_LEGAL,0))</f>
        <v/>
      </c>
      <c r="CJ436" s="3">
        <f>SG_GAR*MIN(1,CI436/SG_GAR_FULL)+SG_AMPL*(AC436="sí")+SG_KMC*(AF436="sí")+SG_REV*(N(AE436)&gt;0)+SG_DEV*MIN(1,N(AG436)/SG_DEV_FULL)+SG_HIST*(W436="sí")</f>
        <v/>
      </c>
      <c r="CK436" s="3">
        <f>IFERROR(VLOOKUP(L436,CARR_PEN_TBL,2,0),0)</f>
        <v/>
      </c>
      <c r="CL436" s="3">
        <f>W_FIAB*BW436+W_PRECIO*BX436+W_KMEDAD*CB436+W_ANUNCIO*CC436+W_USO*CH436+W_SEGURIDAD*CJ436+W_ETIQUETA*CD436-CK436</f>
        <v/>
      </c>
      <c r="CM436" s="4">
        <f>IF(N(I436)&gt;0,I436,IFERROR(ROUND(_xlfn.NUMBERVALUE(LEFT(G436,FIND(" ",G436&amp;" ")-1),".")*1000,0),99999))</f>
        <v/>
      </c>
      <c r="CN436" s="3">
        <f>IF(R436="profesional",0,IF(O436&lt;CUOTA_VALOR_MAX,IF(BA436&gt;ITP_TRAMO_ALTO,SUMIFS(CF_CUOTA,CF_MAS,ITP_TRAMO_ALTO,CF_CCMIN,"&lt;="&amp;CM436,CF_CCMAX,"&gt;="&amp;CM436),IF(BA436&gt;ITP_TRAMO_BAJO,SUMIFS(CF_CUOTA,CF_MAS,ITP_TRAMO_BAJO,CF_CCMIN,"&lt;="&amp;CM436,CF_CCMAX,"&gt;="&amp;CM436),O436*ITP_TIPO)),O436*ITP_TIPO))</f>
        <v/>
      </c>
      <c r="CO436" s="4">
        <f>IF(R436="profesional",N(AK436),0)</f>
        <v/>
      </c>
      <c r="CP436" s="3">
        <f>IF(AND(R436="profesional",ISNUMBER(AK436),AL436="sí"),0,TASA_DGT)</f>
        <v/>
      </c>
      <c r="CQ436" s="3">
        <f>INFORME_DGT</f>
        <v/>
      </c>
      <c r="CR436" s="4">
        <f>O436+CO436+CN436+CP436+CQ436</f>
        <v/>
      </c>
      <c r="CS436" s="4">
        <f>CR436+N(CF436)</f>
        <v/>
      </c>
      <c r="CT436" s="3">
        <f>IF(CR436&lt;=TOTAL_MAX,"sí",IF(CR436&lt;=TOTAL_MAX+MARGEN_NEG,"negociar","no"))</f>
        <v/>
      </c>
      <c r="CU436" s="4">
        <f>IF(CT436&lt;&gt;"no",COUNTIFS($CT$2:$CT$545,"&lt;&gt;no",$CL$2:$CL$545,"&gt;"&amp;CL436)+COUNTIFS($CT$2:CT436,"&lt;&gt;no",$CL$2:CL436,CL436),"")</f>
        <v/>
      </c>
    </row>
    <row r="437">
      <c r="A437" s="2" t="inlineStr">
        <is>
          <t>cochesnet:71702947</t>
        </is>
      </c>
      <c r="B437" s="2" t="inlineStr">
        <is>
          <t>cochesnet</t>
        </is>
      </c>
      <c r="C437" s="2" t="inlineStr">
        <is>
          <t>https://www.coches.net/fiat-punto-12-feel-5p-gasolina-2005-en-valencia-71702947-covo.aspx</t>
        </is>
      </c>
      <c r="D437" s="2" t="inlineStr">
        <is>
          <t>FIAT Punto 1.2 Feel</t>
        </is>
      </c>
      <c r="E437" s="2" t="inlineStr">
        <is>
          <t>Fiat</t>
        </is>
      </c>
      <c r="F437" s="2" t="inlineStr">
        <is>
          <t>Fiat Punto</t>
        </is>
      </c>
      <c r="G437" s="2" t="inlineStr">
        <is>
          <t>1.2</t>
        </is>
      </c>
      <c r="H437" s="2" t="inlineStr">
        <is>
          <t>1.2 Feel</t>
        </is>
      </c>
      <c r="I437" s="2" t="n"/>
      <c r="J437" s="2" t="n"/>
      <c r="K437" s="2" t="inlineStr">
        <is>
          <t>gasolina</t>
        </is>
      </c>
      <c r="L437" s="2" t="inlineStr">
        <is>
          <t>utilitario</t>
        </is>
      </c>
      <c r="M437" s="2" t="n">
        <v>2007</v>
      </c>
      <c r="N437" s="2" t="n">
        <v>117000</v>
      </c>
      <c r="O437" s="2" t="n">
        <v>2750</v>
      </c>
      <c r="P437" s="2" t="inlineStr">
        <is>
          <t>manual</t>
        </is>
      </c>
      <c r="Q437" s="2" t="inlineStr">
        <is>
          <t>no</t>
        </is>
      </c>
      <c r="R437" s="2" t="inlineStr">
        <is>
          <t>profesional</t>
        </is>
      </c>
      <c r="S437" s="2" t="inlineStr">
        <is>
          <t>GO! autos Sagunto (Sagunt)</t>
        </is>
      </c>
      <c r="T437" s="2" t="inlineStr">
        <is>
          <t>2026-10-08T13:46:56Z</t>
        </is>
      </c>
      <c r="U437" s="2" t="n">
        <v>12</v>
      </c>
      <c r="V437" s="2" t="inlineStr">
        <is>
          <t>sí</t>
        </is>
      </c>
      <c r="W437" s="2" t="inlineStr">
        <is>
          <t>sí</t>
        </is>
      </c>
      <c r="X437" s="2" t="n"/>
      <c r="Y437" s="2" t="n"/>
      <c r="Z437" s="2" t="inlineStr">
        <is>
          <t>sí</t>
        </is>
      </c>
      <c r="AA437" s="2" t="n"/>
      <c r="AB437" s="2" t="n">
        <v>12</v>
      </c>
      <c r="AC437" s="2" t="n"/>
      <c r="AD437" s="2" t="n"/>
      <c r="AE437" s="2" t="n"/>
      <c r="AF437" s="2" t="n"/>
      <c r="AG437" s="2" t="n"/>
      <c r="AH437" s="2" t="n">
        <v>2750</v>
      </c>
      <c r="AI437" s="2" t="n">
        <v>2750</v>
      </c>
      <c r="AJ437" s="2" t="n"/>
      <c r="AK437" s="2" t="n"/>
      <c r="AL437" s="2" t="n"/>
      <c r="AM437" s="2" t="n"/>
      <c r="AN437" s="2" t="n"/>
      <c r="AO437" s="2" t="inlineStr">
        <is>
          <t>2007</t>
        </is>
      </c>
      <c r="AP437" s="2" t="n">
        <v>2007</v>
      </c>
      <c r="AQ437" s="2" t="n"/>
      <c r="AR437" s="2" t="inlineStr">
        <is>
          <t>C</t>
        </is>
      </c>
      <c r="AS437" s="2" t="inlineStr">
        <is>
          <t>anuncio</t>
        </is>
      </c>
      <c r="AT437" s="2" t="n">
        <v>2500</v>
      </c>
      <c r="AU437" s="2" t="n">
        <v>13</v>
      </c>
      <c r="AV437" s="2" t="inlineStr">
        <is>
          <t>modelo+año</t>
        </is>
      </c>
      <c r="AW437" s="2" t="n"/>
      <c r="AX437"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437" s="2" t="inlineStr">
        <is>
          <t>IAT PUNTO 1.2 SENSATION GASOLINA | 116.000 KM | GARANTÍA 1 AÑO | ITV EN VIGOR
Fiat Punto 1.2 Sensation gasolina, con 116.000 km, ideal para quienes buscan un vehículo económico, práctico y fácil de conducir.
Una opción perfecta para el día a día, especialmente para ciudad y desplazamientos habituales, con un motor sencillo y un mantenimiento económico.
EQUIPAMIENTO Y EXTRAS
Aire acondicionado 
Cierre centralizado
Elevalunas eléctricos
Radio CD
2 llaves
SE ENTREGA
? 1 año de garantía
? ITV en vigor
? Mantenimiento al día
? 2 llaves
? 116.000 km
Vehículo práctico y económico, listo para su próximo propietario.
Para más información, fotos o concertar una visita, no dude en contactar.</t>
        </is>
      </c>
      <c r="AZ437" s="2" t="inlineStr">
        <is>
          <t>https://www.coches.net/fiat-punto-12-feel-5p-gasolina-2005-en-valencia-71702947-covo.aspx (window.__INITIAL_PROPS__.ad) /home/user/Alopecia/buscador-coches/raw/cochesnet/33da8b6b5efdbae4.json</t>
        </is>
      </c>
      <c r="BA437" s="3">
        <f>MAX(ANIO_ACTUAL-M437,0)</f>
        <v/>
      </c>
      <c r="BB437" s="4">
        <f>N437/MAX(BA437,0.5)</f>
        <v/>
      </c>
      <c r="BC437" s="4">
        <f>F437</f>
        <v/>
      </c>
      <c r="BD437" s="3">
        <f>BC437&amp;"|"&amp;INT(M437/SEG_ANIO)*SEG_ANIO</f>
        <v/>
      </c>
      <c r="BE437" s="3">
        <f>BD437&amp;"|"&amp;INT(N437/SEG_KM)*SEG_KM</f>
        <v/>
      </c>
      <c r="BF437" s="4">
        <f>COUNTIF($BC$2:$BC$545,BC437)</f>
        <v/>
      </c>
      <c r="BG437" s="4">
        <f>COUNTIF($BD$2:$BD$545,BD437)</f>
        <v/>
      </c>
      <c r="BH437" s="4">
        <f>COUNTIF($BE$2:$BE$545,BE437)</f>
        <v/>
      </c>
      <c r="BI437" s="3">
        <f t="array" ref="BI437">IF(N(AU437)&gt;=MIN_N,AT437,IF(BH437&gt;=MIN_N,MEDIAN(IF($BE$2:$BE$545=BE437,$O$2:$O$545)),IF(BG437&gt;=MIN_N,MEDIAN(IF($BD$2:$BD$545=BD437,$O$2:$O$545)),MEDIAN(IF($BC$2:$BC$545=BC437,$O$2:$O$545)))))</f>
        <v/>
      </c>
      <c r="BJ437" s="3">
        <f>IF(N(AU437)&gt;=MIN_N,"mercado "&amp;AV437,IF(BH437&gt;=MIN_N,"modelo+año+km",IF(BG437&gt;=MIN_N,"modelo+año","modelo")))</f>
        <v/>
      </c>
      <c r="BK437" s="4">
        <f>(BI437-O437)/BI437</f>
        <v/>
      </c>
      <c r="BL437" s="3">
        <f>IF(COUNTIFS(FR_FUEL,K437,FR_YEAR,AP437)&gt;0,1,0)</f>
        <v/>
      </c>
      <c r="BM437" s="3">
        <f>IF(COUNTIFS(FR_FUEL,K437,FR_YEAR,AP437-1)&gt;0,1,0)</f>
        <v/>
      </c>
      <c r="BN437" s="4">
        <f>IF(N(AQ437)&gt;0,AP437*100+AQ437,IF(AND(BL437=1,BM437=1),(AP437-1)*100+1,AP437*100+1))</f>
        <v/>
      </c>
      <c r="BO437" s="3">
        <f>IF(OR(K437="hibrido",K437="glp",K437="gnc",K437="phev"),"ECO",IF(K437="electrico","CERO",IF(K437="gasolina",IF(BN437&gt;=GAS_C_YM,"C",IF(BN437&gt;=GAS_B_YM,"B","A")),IF(K437="diesel",IF(BN437&gt;=DIE_C_YM,"C",IF(BN437&gt;=DIE_B_YM,"B","A")),""))))</f>
        <v/>
      </c>
      <c r="BP437" s="2" t="inlineStr">
        <is>
          <t>C</t>
        </is>
      </c>
      <c r="BQ437" s="4">
        <f>IF(AS437="regla",IF(AND(N(AQ437)=0,BL437=1),"sí","no"),"no")</f>
        <v/>
      </c>
      <c r="BR437" s="3">
        <f>IFERROR(VLOOKUP(F437,MOD_TBL,11,0),IFERROR(VLOOKUP(E437,OCU_TBL,2,0),NEUTRO))</f>
        <v/>
      </c>
      <c r="BS437" s="3">
        <f>SUMIFS(MOT_AJUSTE,MOT_MOTOR,G437,MOT_MARCA,E437,MOT_DESDE,"&lt;="&amp;M437,MOT_HASTA,"&gt;="&amp;M437)+SUMIFS(MOT_AJUSTE,MOT_MOTOR,G437,MOT_MARCA,"(todas)",MOT_DESDE,"&lt;="&amp;M437,MOT_HASTA,"&gt;="&amp;M437)</f>
        <v/>
      </c>
      <c r="BT437" s="3">
        <f>SUMIFS(COMB_AJUSTE,COMB_COMB,K437)</f>
        <v/>
      </c>
      <c r="BU437" s="3">
        <f>COUNTIFS(MOT_MOTOR,G437,MOT_MARCA,E437,MOT_DESDE,"&lt;="&amp;M437,MOT_HASTA,"&gt;="&amp;M437)+COUNTIFS(MOT_MOTOR,G437,MOT_MARCA,"(todas)",MOT_DESDE,"&lt;="&amp;M437,MOT_HASTA,"&gt;="&amp;M437)</f>
        <v/>
      </c>
      <c r="BV437" s="3">
        <f>IF(AND(K437="diesel",BU437=0),MIN(BR437,NEUTRO),BR437)</f>
        <v/>
      </c>
      <c r="BW437" s="4">
        <f>MAX(0,MIN(100,BV437+BS437+BT437))</f>
        <v/>
      </c>
      <c r="BX437" s="3">
        <f>MAX(0,MIN(100,50+BK437*PRECIO_PEND))</f>
        <v/>
      </c>
      <c r="BY437" s="3">
        <f>MAX(0,100*(1-N437/KM_MAX))</f>
        <v/>
      </c>
      <c r="BZ437" s="3">
        <f>IF(BB437&lt;KMA_SOSP,IF(AA437="sí",100,KMA_PEN),IF(BB437&lt;=KMA_IDEAL_MAX,100,MAX(0,100*(KMA_CERO-BB437)/(KMA_CERO-KMA_IDEAL_MAX))))</f>
        <v/>
      </c>
      <c r="CA437" s="3">
        <f>MAX(0,MIN(100,100*(M437-ANIO_MIN)/(ANIO_ACTUAL-ANIO_MIN)))</f>
        <v/>
      </c>
      <c r="CB437" s="3">
        <f>W_KMT*BY437+W_KMA*BZ437+W_EDAD*CA437</f>
        <v/>
      </c>
      <c r="CC437" s="3">
        <f>P_ITV*(V437="sí")+P_LIBRO*(W437="sí")+P_CORREA*(X437="sí")+P_PROP*(Y437=1)+P_GAR*(Z437="sí")+P_FOTOS*MIN(1,N(U437)/FOTOS_OBJ)</f>
        <v/>
      </c>
      <c r="CD437" s="3">
        <f>MAX(0,MIN(100,IFERROR(VLOOKUP(BP437,ETQ_TBL,2,0),0)-IF(BQ437="sí",ETQ_PEN_DUD,IF(AS437="regla",ETQ_PEN_REGLA,0))))</f>
        <v/>
      </c>
      <c r="CE437" s="3">
        <f>NEUTRO</f>
        <v/>
      </c>
      <c r="CF437" s="3">
        <f>IFERROR(VLOOKUP(L437,SEGURO_TBL,3,0),"")</f>
        <v/>
      </c>
      <c r="CG437" s="3">
        <f>IF(CF437="",NEUTRO,MAX(0,MIN(100,100*(SEG_REF_MAX-CF437)/(SEG_REF_MAX-SEG_REF_MIN))))</f>
        <v/>
      </c>
      <c r="CH437" s="3">
        <f>W_CONS*CE437+W_SEG*CG437</f>
        <v/>
      </c>
      <c r="CI437" s="3">
        <f>IF(N(AB437)&gt;0,AB437,IF(AND(R437="profesional",SG_LEGAL_ON=1),GAR_LEGAL,0))</f>
        <v/>
      </c>
      <c r="CJ437" s="3">
        <f>SG_GAR*MIN(1,CI437/SG_GAR_FULL)+SG_AMPL*(AC437="sí")+SG_KMC*(AF437="sí")+SG_REV*(N(AE437)&gt;0)+SG_DEV*MIN(1,N(AG437)/SG_DEV_FULL)+SG_HIST*(W437="sí")</f>
        <v/>
      </c>
      <c r="CK437" s="3">
        <f>IFERROR(VLOOKUP(L437,CARR_PEN_TBL,2,0),0)</f>
        <v/>
      </c>
      <c r="CL437" s="3">
        <f>W_FIAB*BW437+W_PRECIO*BX437+W_KMEDAD*CB437+W_ANUNCIO*CC437+W_USO*CH437+W_SEGURIDAD*CJ437+W_ETIQUETA*CD437-CK437</f>
        <v/>
      </c>
      <c r="CM437" s="4">
        <f>IF(N(I437)&gt;0,I437,IFERROR(ROUND(_xlfn.NUMBERVALUE(LEFT(G437,FIND(" ",G437&amp;" ")-1),".")*1000,0),99999))</f>
        <v/>
      </c>
      <c r="CN437" s="3">
        <f>IF(R437="profesional",0,IF(O437&lt;CUOTA_VALOR_MAX,IF(BA437&gt;ITP_TRAMO_ALTO,SUMIFS(CF_CUOTA,CF_MAS,ITP_TRAMO_ALTO,CF_CCMIN,"&lt;="&amp;CM437,CF_CCMAX,"&gt;="&amp;CM437),IF(BA437&gt;ITP_TRAMO_BAJO,SUMIFS(CF_CUOTA,CF_MAS,ITP_TRAMO_BAJO,CF_CCMIN,"&lt;="&amp;CM437,CF_CCMAX,"&gt;="&amp;CM437),O437*ITP_TIPO)),O437*ITP_TIPO))</f>
        <v/>
      </c>
      <c r="CO437" s="4">
        <f>IF(R437="profesional",N(AK437),0)</f>
        <v/>
      </c>
      <c r="CP437" s="3">
        <f>IF(AND(R437="profesional",ISNUMBER(AK437),AL437="sí"),0,TASA_DGT)</f>
        <v/>
      </c>
      <c r="CQ437" s="3">
        <f>INFORME_DGT</f>
        <v/>
      </c>
      <c r="CR437" s="4">
        <f>O437+CO437+CN437+CP437+CQ437</f>
        <v/>
      </c>
      <c r="CS437" s="4">
        <f>CR437+N(CF437)</f>
        <v/>
      </c>
      <c r="CT437" s="3">
        <f>IF(CR437&lt;=TOTAL_MAX,"sí",IF(CR437&lt;=TOTAL_MAX+MARGEN_NEG,"negociar","no"))</f>
        <v/>
      </c>
      <c r="CU437" s="4">
        <f>IF(CT437&lt;&gt;"no",COUNTIFS($CT$2:$CT$545,"&lt;&gt;no",$CL$2:$CL$545,"&gt;"&amp;CL437)+COUNTIFS($CT$2:CT437,"&lt;&gt;no",$CL$2:CL437,CL437),"")</f>
        <v/>
      </c>
    </row>
    <row r="438">
      <c r="A438" s="2" t="inlineStr">
        <is>
          <t>cochesnet:71487805</t>
        </is>
      </c>
      <c r="B438" s="2" t="inlineStr">
        <is>
          <t>cochesnet</t>
        </is>
      </c>
      <c r="C438" s="2" t="inlineStr">
        <is>
          <t>https://www.coches.net/fiat-500-12-8v-69-cv-lounge-3p-gasolina-2012-en-valencia-71487805-covo.aspx</t>
        </is>
      </c>
      <c r="D438" s="2" t="inlineStr">
        <is>
          <t>FIAT 500 1.2 8v 69 CV Lounge</t>
        </is>
      </c>
      <c r="E438" s="2" t="inlineStr">
        <is>
          <t>Fiat</t>
        </is>
      </c>
      <c r="F438" s="2" t="inlineStr">
        <is>
          <t>Fiat 500</t>
        </is>
      </c>
      <c r="G438" s="2" t="inlineStr">
        <is>
          <t>1.2</t>
        </is>
      </c>
      <c r="H438" s="2" t="inlineStr">
        <is>
          <t>1.2 8v 69 CV Lounge</t>
        </is>
      </c>
      <c r="I438" s="2" t="n"/>
      <c r="J438" s="2" t="n">
        <v>69</v>
      </c>
      <c r="K438" s="2" t="inlineStr">
        <is>
          <t>gasolina</t>
        </is>
      </c>
      <c r="L438" s="2" t="inlineStr">
        <is>
          <t>utilitario</t>
        </is>
      </c>
      <c r="M438" s="2" t="n">
        <v>2012</v>
      </c>
      <c r="N438" s="2" t="n">
        <v>135000</v>
      </c>
      <c r="O438" s="2" t="n">
        <v>4900</v>
      </c>
      <c r="P438" s="2" t="inlineStr">
        <is>
          <t>manual</t>
        </is>
      </c>
      <c r="Q438" s="2" t="inlineStr">
        <is>
          <t>no</t>
        </is>
      </c>
      <c r="R438" s="2" t="inlineStr">
        <is>
          <t>particular</t>
        </is>
      </c>
      <c r="S438" s="2" t="inlineStr">
        <is>
          <t>Valencia</t>
        </is>
      </c>
      <c r="T438" s="2" t="inlineStr">
        <is>
          <t>2026-09-10T20:34:17Z</t>
        </is>
      </c>
      <c r="U438" s="2" t="n">
        <v>5</v>
      </c>
      <c r="V438" s="2" t="n"/>
      <c r="W438" s="2" t="n"/>
      <c r="X438" s="2" t="n"/>
      <c r="Y438" s="2" t="n"/>
      <c r="Z438" s="2" t="inlineStr">
        <is>
          <t>no</t>
        </is>
      </c>
      <c r="AA438" s="2" t="n"/>
      <c r="AB438" s="2" t="n"/>
      <c r="AC438" s="2" t="n"/>
      <c r="AD438" s="2" t="n"/>
      <c r="AE438" s="2" t="n"/>
      <c r="AF438" s="2" t="n"/>
      <c r="AG438" s="2" t="n"/>
      <c r="AH438" s="2" t="n">
        <v>4900</v>
      </c>
      <c r="AI438" s="2" t="n"/>
      <c r="AJ438" s="2" t="n"/>
      <c r="AK438" s="2" t="n"/>
      <c r="AL438" s="2" t="n"/>
      <c r="AM438" s="2" t="n">
        <v>0.1</v>
      </c>
      <c r="AN438" s="2" t="n"/>
      <c r="AO438" s="2" t="inlineStr">
        <is>
          <t>07/2012</t>
        </is>
      </c>
      <c r="AP438" s="2" t="n">
        <v>2012</v>
      </c>
      <c r="AQ438" s="2" t="n">
        <v>7</v>
      </c>
      <c r="AR438" s="2" t="n"/>
      <c r="AS438" s="2" t="inlineStr">
        <is>
          <t>regla</t>
        </is>
      </c>
      <c r="AT438" s="2" t="n">
        <v>5500</v>
      </c>
      <c r="AU438" s="2" t="n">
        <v>7</v>
      </c>
      <c r="AV438" s="2" t="inlineStr">
        <is>
          <t>modelo+año+km</t>
        </is>
      </c>
      <c r="AW438" s="2" t="n"/>
      <c r="AX438" s="2" t="inlineStr">
        <is>
          <t>por encima del presupuesto (5004 €), negociar; cuota fija ITP: &gt;12 años, hasta 1.500 cc</t>
        </is>
      </c>
      <c r="AY438" s="2" t="inlineStr">
        <is>
          <t>Te presento mi FIAT 500 1.2 Lounge, un clásico italiano que sigue siendo la mejor opción para quien quiere disfrutar de la conducción en ciudad sin renunciar al estilo. Este coche es perfecto si quieres un vehículo completamente funcional y cómodo para el día a día.
El estado general del vehículo es bueno, con algunos detalles en la pintura que no afectan a su funcionamiento. Se trata de un coche que ha sido cuidado, que no ha dado ninguna avería, y que mantiene esa personalidad característica del 500. 
Con cuatro plazas y dos puertas, es ágil y fácil de estacionar, ideal para quienes viven en zonas con poco espacio disponible. Tiene un consumo muy bajo, incluso en ciudad, que es donde mejor se mueve con la función City, y aunque pequeño, he hecho con este 500, viajes largos sin problemas.
Disponible para verlo y probarlo en Madrid.
Si tienes dudas sobre aspectos específicos del vehículo o quieres conocer más detalles, no dudes en contactarme a través del chat.</t>
        </is>
      </c>
      <c r="AZ438" s="2" t="inlineStr">
        <is>
          <t>https://www.coches.net/fiat-500-12-8v-69-cv-lounge-3p-gasolina-2012-en-valencia-71487805-covo.aspx (window.__INITIAL_PROPS__.ad) /home/user/Alopecia/buscador-coches/raw/cochesnet/e7a6db0312a6b9c2.json</t>
        </is>
      </c>
      <c r="BA438" s="3">
        <f>MAX(ANIO_ACTUAL-M438,0)</f>
        <v/>
      </c>
      <c r="BB438" s="4">
        <f>N438/MAX(BA438,0.5)</f>
        <v/>
      </c>
      <c r="BC438" s="4">
        <f>F438</f>
        <v/>
      </c>
      <c r="BD438" s="3">
        <f>BC438&amp;"|"&amp;INT(M438/SEG_ANIO)*SEG_ANIO</f>
        <v/>
      </c>
      <c r="BE438" s="3">
        <f>BD438&amp;"|"&amp;INT(N438/SEG_KM)*SEG_KM</f>
        <v/>
      </c>
      <c r="BF438" s="4">
        <f>COUNTIF($BC$2:$BC$545,BC438)</f>
        <v/>
      </c>
      <c r="BG438" s="4">
        <f>COUNTIF($BD$2:$BD$545,BD438)</f>
        <v/>
      </c>
      <c r="BH438" s="4">
        <f>COUNTIF($BE$2:$BE$545,BE438)</f>
        <v/>
      </c>
      <c r="BI438" s="3">
        <f t="array" ref="BI438">IF(N(AU438)&gt;=MIN_N,AT438,IF(BH438&gt;=MIN_N,MEDIAN(IF($BE$2:$BE$545=BE438,$O$2:$O$545)),IF(BG438&gt;=MIN_N,MEDIAN(IF($BD$2:$BD$545=BD438,$O$2:$O$545)),MEDIAN(IF($BC$2:$BC$545=BC438,$O$2:$O$545)))))</f>
        <v/>
      </c>
      <c r="BJ438" s="3">
        <f>IF(N(AU438)&gt;=MIN_N,"mercado "&amp;AV438,IF(BH438&gt;=MIN_N,"modelo+año+km",IF(BG438&gt;=MIN_N,"modelo+año","modelo")))</f>
        <v/>
      </c>
      <c r="BK438" s="4">
        <f>(BI438-O438)/BI438</f>
        <v/>
      </c>
      <c r="BL438" s="3">
        <f>IF(COUNTIFS(FR_FUEL,K438,FR_YEAR,AP438)&gt;0,1,0)</f>
        <v/>
      </c>
      <c r="BM438" s="3">
        <f>IF(COUNTIFS(FR_FUEL,K438,FR_YEAR,AP438-1)&gt;0,1,0)</f>
        <v/>
      </c>
      <c r="BN438" s="4">
        <f>IF(N(AQ438)&gt;0,AP438*100+AQ438,IF(AND(BL438=1,BM438=1),(AP438-1)*100+1,AP438*100+1))</f>
        <v/>
      </c>
      <c r="BO438" s="3">
        <f>IF(OR(K438="hibrido",K438="glp",K438="gnc",K438="phev"),"ECO",IF(K438="electrico","CERO",IF(K438="gasolina",IF(BN438&gt;=GAS_C_YM,"C",IF(BN438&gt;=GAS_B_YM,"B","A")),IF(K438="diesel",IF(BN438&gt;=DIE_C_YM,"C",IF(BN438&gt;=DIE_B_YM,"B","A")),""))))</f>
        <v/>
      </c>
      <c r="BP438" s="4">
        <f>BO438</f>
        <v/>
      </c>
      <c r="BQ438" s="4">
        <f>IF(AS438="regla",IF(AND(N(AQ438)=0,BL438=1),"sí","no"),"no")</f>
        <v/>
      </c>
      <c r="BR438" s="3">
        <f>IFERROR(VLOOKUP(F438,MOD_TBL,11,0),IFERROR(VLOOKUP(E438,OCU_TBL,2,0),NEUTRO))</f>
        <v/>
      </c>
      <c r="BS438" s="3">
        <f>SUMIFS(MOT_AJUSTE,MOT_MOTOR,G438,MOT_MARCA,E438,MOT_DESDE,"&lt;="&amp;M438,MOT_HASTA,"&gt;="&amp;M438)+SUMIFS(MOT_AJUSTE,MOT_MOTOR,G438,MOT_MARCA,"(todas)",MOT_DESDE,"&lt;="&amp;M438,MOT_HASTA,"&gt;="&amp;M438)</f>
        <v/>
      </c>
      <c r="BT438" s="3">
        <f>SUMIFS(COMB_AJUSTE,COMB_COMB,K438)</f>
        <v/>
      </c>
      <c r="BU438" s="3">
        <f>COUNTIFS(MOT_MOTOR,G438,MOT_MARCA,E438,MOT_DESDE,"&lt;="&amp;M438,MOT_HASTA,"&gt;="&amp;M438)+COUNTIFS(MOT_MOTOR,G438,MOT_MARCA,"(todas)",MOT_DESDE,"&lt;="&amp;M438,MOT_HASTA,"&gt;="&amp;M438)</f>
        <v/>
      </c>
      <c r="BV438" s="3">
        <f>IF(AND(K438="diesel",BU438=0),MIN(BR438,NEUTRO),BR438)</f>
        <v/>
      </c>
      <c r="BW438" s="4">
        <f>MAX(0,MIN(100,BV438+BS438+BT438))</f>
        <v/>
      </c>
      <c r="BX438" s="3">
        <f>MAX(0,MIN(100,50+BK438*PRECIO_PEND))</f>
        <v/>
      </c>
      <c r="BY438" s="3">
        <f>MAX(0,100*(1-N438/KM_MAX))</f>
        <v/>
      </c>
      <c r="BZ438" s="3">
        <f>IF(BB438&lt;KMA_SOSP,IF(AA438="sí",100,KMA_PEN),IF(BB438&lt;=KMA_IDEAL_MAX,100,MAX(0,100*(KMA_CERO-BB438)/(KMA_CERO-KMA_IDEAL_MAX))))</f>
        <v/>
      </c>
      <c r="CA438" s="3">
        <f>MAX(0,MIN(100,100*(M438-ANIO_MIN)/(ANIO_ACTUAL-ANIO_MIN)))</f>
        <v/>
      </c>
      <c r="CB438" s="3">
        <f>W_KMT*BY438+W_KMA*BZ438+W_EDAD*CA438</f>
        <v/>
      </c>
      <c r="CC438" s="3">
        <f>P_ITV*(V438="sí")+P_LIBRO*(W438="sí")+P_CORREA*(X438="sí")+P_PROP*(Y438=1)+P_GAR*(Z438="sí")+P_FOTOS*MIN(1,N(U438)/FOTOS_OBJ)</f>
        <v/>
      </c>
      <c r="CD438" s="3">
        <f>MAX(0,MIN(100,IFERROR(VLOOKUP(BP438,ETQ_TBL,2,0),0)-IF(BQ438="sí",ETQ_PEN_DUD,IF(AS438="regla",ETQ_PEN_REGLA,0))))</f>
        <v/>
      </c>
      <c r="CE438" s="3">
        <f>NEUTRO</f>
        <v/>
      </c>
      <c r="CF438" s="3">
        <f>IFERROR(VLOOKUP(L438,SEGURO_TBL,3,0),"")</f>
        <v/>
      </c>
      <c r="CG438" s="3">
        <f>IF(CF438="",NEUTRO,MAX(0,MIN(100,100*(SEG_REF_MAX-CF438)/(SEG_REF_MAX-SEG_REF_MIN))))</f>
        <v/>
      </c>
      <c r="CH438" s="3">
        <f>W_CONS*CE438+W_SEG*CG438</f>
        <v/>
      </c>
      <c r="CI438" s="3">
        <f>IF(N(AB438)&gt;0,AB438,IF(AND(R438="profesional",SG_LEGAL_ON=1),GAR_LEGAL,0))</f>
        <v/>
      </c>
      <c r="CJ438" s="3">
        <f>SG_GAR*MIN(1,CI438/SG_GAR_FULL)+SG_AMPL*(AC438="sí")+SG_KMC*(AF438="sí")+SG_REV*(N(AE438)&gt;0)+SG_DEV*MIN(1,N(AG438)/SG_DEV_FULL)+SG_HIST*(W438="sí")</f>
        <v/>
      </c>
      <c r="CK438" s="3">
        <f>IFERROR(VLOOKUP(L438,CARR_PEN_TBL,2,0),0)</f>
        <v/>
      </c>
      <c r="CL438" s="3">
        <f>W_FIAB*BW438+W_PRECIO*BX438+W_KMEDAD*CB438+W_ANUNCIO*CC438+W_USO*CH438+W_SEGURIDAD*CJ438+W_ETIQUETA*CD438-CK438</f>
        <v/>
      </c>
      <c r="CM438" s="4">
        <f>IF(N(I438)&gt;0,I438,IFERROR(ROUND(_xlfn.NUMBERVALUE(LEFT(G438,FIND(" ",G438&amp;" ")-1),".")*1000,0),99999))</f>
        <v/>
      </c>
      <c r="CN438" s="3">
        <f>IF(R438="profesional",0,IF(O438&lt;CUOTA_VALOR_MAX,IF(BA438&gt;ITP_TRAMO_ALTO,SUMIFS(CF_CUOTA,CF_MAS,ITP_TRAMO_ALTO,CF_CCMIN,"&lt;="&amp;CM438,CF_CCMAX,"&gt;="&amp;CM438),IF(BA438&gt;ITP_TRAMO_BAJO,SUMIFS(CF_CUOTA,CF_MAS,ITP_TRAMO_BAJO,CF_CCMIN,"&lt;="&amp;CM438,CF_CCMAX,"&gt;="&amp;CM438),O438*ITP_TIPO)),O438*ITP_TIPO))</f>
        <v/>
      </c>
      <c r="CO438" s="4">
        <f>IF(R438="profesional",N(AK438),0)</f>
        <v/>
      </c>
      <c r="CP438" s="3">
        <f>IF(AND(R438="profesional",ISNUMBER(AK438),AL438="sí"),0,TASA_DGT)</f>
        <v/>
      </c>
      <c r="CQ438" s="3">
        <f>INFORME_DGT</f>
        <v/>
      </c>
      <c r="CR438" s="4">
        <f>O438+CO438+CN438+CP438+CQ438</f>
        <v/>
      </c>
      <c r="CS438" s="4">
        <f>CR438+N(CF438)</f>
        <v/>
      </c>
      <c r="CT438" s="3">
        <f>IF(CR438&lt;=TOTAL_MAX,"sí",IF(CR438&lt;=TOTAL_MAX+MARGEN_NEG,"negociar","no"))</f>
        <v/>
      </c>
      <c r="CU438" s="4">
        <f>IF(CT438&lt;&gt;"no",COUNTIFS($CT$2:$CT$545,"&lt;&gt;no",$CL$2:$CL$545,"&gt;"&amp;CL438)+COUNTIFS($CT$2:CT438,"&lt;&gt;no",$CL$2:CL438,CL438),"")</f>
        <v/>
      </c>
    </row>
    <row r="439">
      <c r="A439" s="2" t="inlineStr">
        <is>
          <t>cochesnet:71258359</t>
        </is>
      </c>
      <c r="B439" s="2" t="inlineStr">
        <is>
          <t>cochesnet</t>
        </is>
      </c>
      <c r="C439" s="2" t="inlineStr">
        <is>
          <t>https://www.coches.net/fiat-bravo-diesel-2007-en-valencia-71258359-covo.aspx</t>
        </is>
      </c>
      <c r="D439" s="2" t="inlineStr">
        <is>
          <t>FIAT Bravo</t>
        </is>
      </c>
      <c r="E439" s="2" t="inlineStr">
        <is>
          <t>Fiat</t>
        </is>
      </c>
      <c r="F439" s="2" t="inlineStr">
        <is>
          <t>Fiat Bravo</t>
        </is>
      </c>
      <c r="G439" s="2" t="n"/>
      <c r="H439" s="2" t="n"/>
      <c r="I439" s="2" t="n"/>
      <c r="J439" s="2" t="n"/>
      <c r="K439" s="2" t="inlineStr">
        <is>
          <t>diesel</t>
        </is>
      </c>
      <c r="L439" s="2" t="inlineStr">
        <is>
          <t>compacto</t>
        </is>
      </c>
      <c r="M439" s="2" t="n">
        <v>2007</v>
      </c>
      <c r="N439" s="2" t="n">
        <v>24545</v>
      </c>
      <c r="O439" s="2" t="n">
        <v>2500</v>
      </c>
      <c r="P439" s="2" t="inlineStr">
        <is>
          <t>manual</t>
        </is>
      </c>
      <c r="Q439" s="2" t="inlineStr">
        <is>
          <t>no</t>
        </is>
      </c>
      <c r="R439" s="2" t="inlineStr">
        <is>
          <t>particular</t>
        </is>
      </c>
      <c r="S439" s="2" t="n"/>
      <c r="T439" s="2" t="inlineStr">
        <is>
          <t>2026-08-09T06:57:01Z</t>
        </is>
      </c>
      <c r="U439" s="2" t="n">
        <v>8</v>
      </c>
      <c r="V439" s="2" t="n"/>
      <c r="W439" s="2" t="n"/>
      <c r="X439" s="2" t="n"/>
      <c r="Y439" s="2" t="n"/>
      <c r="Z439" s="2" t="inlineStr">
        <is>
          <t>no</t>
        </is>
      </c>
      <c r="AA439" s="2" t="n"/>
      <c r="AB439" s="2" t="n"/>
      <c r="AC439" s="2" t="n"/>
      <c r="AD439" s="2" t="n"/>
      <c r="AE439" s="2" t="n"/>
      <c r="AF439" s="2" t="n"/>
      <c r="AG439" s="2" t="n"/>
      <c r="AH439" s="2" t="n">
        <v>2500</v>
      </c>
      <c r="AI439" s="2" t="n"/>
      <c r="AJ439" s="2" t="n"/>
      <c r="AK439" s="2" t="n"/>
      <c r="AL439" s="2" t="n"/>
      <c r="AM439" s="2" t="n"/>
      <c r="AN439" s="2" t="n"/>
      <c r="AO439" s="2" t="inlineStr">
        <is>
          <t>2007</t>
        </is>
      </c>
      <c r="AP439" s="2" t="n">
        <v>2007</v>
      </c>
      <c r="AQ439" s="2" t="n"/>
      <c r="AR439" s="2" t="n"/>
      <c r="AS439" s="2" t="inlineStr">
        <is>
          <t>regla</t>
        </is>
      </c>
      <c r="AT439" s="2" t="n">
        <v>2800</v>
      </c>
      <c r="AU439" s="2" t="n">
        <v>8</v>
      </c>
      <c r="AV439" s="2" t="inlineStr">
        <is>
          <t>modelo+año</t>
        </is>
      </c>
      <c r="AW439" s="2" t="n"/>
      <c r="AX43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439" s="2" t="inlineStr">
        <is>
          <t xml:space="preserve">Coche en buen estado    No tiene ltv se entrega asi o sel a podemos entragar con ltv
 Vidrios eletricos aire acondicionado  direcon eletroasistida   Techo corediso </t>
        </is>
      </c>
      <c r="AZ439" s="2" t="inlineStr">
        <is>
          <t>https://www.coches.net/fiat-bravo-diesel-2007-en-valencia-71258359-covo.aspx (window.__INITIAL_PROPS__.ad) /home/user/Alopecia/buscador-coches/raw/cochesnet/1e406afa6f6d6bf5.json</t>
        </is>
      </c>
      <c r="BA439" s="3">
        <f>MAX(ANIO_ACTUAL-M439,0)</f>
        <v/>
      </c>
      <c r="BB439" s="4">
        <f>N439/MAX(BA439,0.5)</f>
        <v/>
      </c>
      <c r="BC439" s="4">
        <f>F439</f>
        <v/>
      </c>
      <c r="BD439" s="3">
        <f>BC439&amp;"|"&amp;INT(M439/SEG_ANIO)*SEG_ANIO</f>
        <v/>
      </c>
      <c r="BE439" s="3">
        <f>BD439&amp;"|"&amp;INT(N439/SEG_KM)*SEG_KM</f>
        <v/>
      </c>
      <c r="BF439" s="4">
        <f>COUNTIF($BC$2:$BC$545,BC439)</f>
        <v/>
      </c>
      <c r="BG439" s="4">
        <f>COUNTIF($BD$2:$BD$545,BD439)</f>
        <v/>
      </c>
      <c r="BH439" s="4">
        <f>COUNTIF($BE$2:$BE$545,BE439)</f>
        <v/>
      </c>
      <c r="BI439" s="3">
        <f t="array" ref="BI439">IF(N(AU439)&gt;=MIN_N,AT439,IF(BH439&gt;=MIN_N,MEDIAN(IF($BE$2:$BE$545=BE439,$O$2:$O$545)),IF(BG439&gt;=MIN_N,MEDIAN(IF($BD$2:$BD$545=BD439,$O$2:$O$545)),MEDIAN(IF($BC$2:$BC$545=BC439,$O$2:$O$545)))))</f>
        <v/>
      </c>
      <c r="BJ439" s="3">
        <f>IF(N(AU439)&gt;=MIN_N,"mercado "&amp;AV439,IF(BH439&gt;=MIN_N,"modelo+año+km",IF(BG439&gt;=MIN_N,"modelo+año","modelo")))</f>
        <v/>
      </c>
      <c r="BK439" s="4">
        <f>(BI439-O439)/BI439</f>
        <v/>
      </c>
      <c r="BL439" s="3">
        <f>IF(COUNTIFS(FR_FUEL,K439,FR_YEAR,AP439)&gt;0,1,0)</f>
        <v/>
      </c>
      <c r="BM439" s="3">
        <f>IF(COUNTIFS(FR_FUEL,K439,FR_YEAR,AP439-1)&gt;0,1,0)</f>
        <v/>
      </c>
      <c r="BN439" s="4">
        <f>IF(N(AQ439)&gt;0,AP439*100+AQ439,IF(AND(BL439=1,BM439=1),(AP439-1)*100+1,AP439*100+1))</f>
        <v/>
      </c>
      <c r="BO439" s="3">
        <f>IF(OR(K439="hibrido",K439="glp",K439="gnc",K439="phev"),"ECO",IF(K439="electrico","CERO",IF(K439="gasolina",IF(BN439&gt;=GAS_C_YM,"C",IF(BN439&gt;=GAS_B_YM,"B","A")),IF(K439="diesel",IF(BN439&gt;=DIE_C_YM,"C",IF(BN439&gt;=DIE_B_YM,"B","A")),""))))</f>
        <v/>
      </c>
      <c r="BP439" s="4">
        <f>BO439</f>
        <v/>
      </c>
      <c r="BQ439" s="4">
        <f>IF(AS439="regla",IF(AND(N(AQ439)=0,BL439=1),"sí","no"),"no")</f>
        <v/>
      </c>
      <c r="BR439" s="3">
        <f>IFERROR(VLOOKUP(F439,MOD_TBL,11,0),IFERROR(VLOOKUP(E439,OCU_TBL,2,0),NEUTRO))</f>
        <v/>
      </c>
      <c r="BS439" s="3">
        <f>SUMIFS(MOT_AJUSTE,MOT_MOTOR,G439,MOT_MARCA,E439,MOT_DESDE,"&lt;="&amp;M439,MOT_HASTA,"&gt;="&amp;M439)+SUMIFS(MOT_AJUSTE,MOT_MOTOR,G439,MOT_MARCA,"(todas)",MOT_DESDE,"&lt;="&amp;M439,MOT_HASTA,"&gt;="&amp;M439)</f>
        <v/>
      </c>
      <c r="BT439" s="3">
        <f>SUMIFS(COMB_AJUSTE,COMB_COMB,K439)</f>
        <v/>
      </c>
      <c r="BU439" s="3">
        <f>COUNTIFS(MOT_MOTOR,G439,MOT_MARCA,E439,MOT_DESDE,"&lt;="&amp;M439,MOT_HASTA,"&gt;="&amp;M439)+COUNTIFS(MOT_MOTOR,G439,MOT_MARCA,"(todas)",MOT_DESDE,"&lt;="&amp;M439,MOT_HASTA,"&gt;="&amp;M439)</f>
        <v/>
      </c>
      <c r="BV439" s="3">
        <f>IF(AND(K439="diesel",BU439=0),MIN(BR439,NEUTRO),BR439)</f>
        <v/>
      </c>
      <c r="BW439" s="4">
        <f>MAX(0,MIN(100,BV439+BS439+BT439))</f>
        <v/>
      </c>
      <c r="BX439" s="3">
        <f>MAX(0,MIN(100,50+BK439*PRECIO_PEND))</f>
        <v/>
      </c>
      <c r="BY439" s="3">
        <f>MAX(0,100*(1-N439/KM_MAX))</f>
        <v/>
      </c>
      <c r="BZ439" s="3">
        <f>IF(BB439&lt;KMA_SOSP,IF(AA439="sí",100,KMA_PEN),IF(BB439&lt;=KMA_IDEAL_MAX,100,MAX(0,100*(KMA_CERO-BB439)/(KMA_CERO-KMA_IDEAL_MAX))))</f>
        <v/>
      </c>
      <c r="CA439" s="3">
        <f>MAX(0,MIN(100,100*(M439-ANIO_MIN)/(ANIO_ACTUAL-ANIO_MIN)))</f>
        <v/>
      </c>
      <c r="CB439" s="3">
        <f>W_KMT*BY439+W_KMA*BZ439+W_EDAD*CA439</f>
        <v/>
      </c>
      <c r="CC439" s="3">
        <f>P_ITV*(V439="sí")+P_LIBRO*(W439="sí")+P_CORREA*(X439="sí")+P_PROP*(Y439=1)+P_GAR*(Z439="sí")+P_FOTOS*MIN(1,N(U439)/FOTOS_OBJ)</f>
        <v/>
      </c>
      <c r="CD439" s="3">
        <f>MAX(0,MIN(100,IFERROR(VLOOKUP(BP439,ETQ_TBL,2,0),0)-IF(BQ439="sí",ETQ_PEN_DUD,IF(AS439="regla",ETQ_PEN_REGLA,0))))</f>
        <v/>
      </c>
      <c r="CE439" s="3">
        <f>NEUTRO</f>
        <v/>
      </c>
      <c r="CF439" s="3">
        <f>IFERROR(VLOOKUP(L439,SEGURO_TBL,3,0),"")</f>
        <v/>
      </c>
      <c r="CG439" s="3">
        <f>IF(CF439="",NEUTRO,MAX(0,MIN(100,100*(SEG_REF_MAX-CF439)/(SEG_REF_MAX-SEG_REF_MIN))))</f>
        <v/>
      </c>
      <c r="CH439" s="3">
        <f>W_CONS*CE439+W_SEG*CG439</f>
        <v/>
      </c>
      <c r="CI439" s="3">
        <f>IF(N(AB439)&gt;0,AB439,IF(AND(R439="profesional",SG_LEGAL_ON=1),GAR_LEGAL,0))</f>
        <v/>
      </c>
      <c r="CJ439" s="3">
        <f>SG_GAR*MIN(1,CI439/SG_GAR_FULL)+SG_AMPL*(AC439="sí")+SG_KMC*(AF439="sí")+SG_REV*(N(AE439)&gt;0)+SG_DEV*MIN(1,N(AG439)/SG_DEV_FULL)+SG_HIST*(W439="sí")</f>
        <v/>
      </c>
      <c r="CK439" s="3">
        <f>IFERROR(VLOOKUP(L439,CARR_PEN_TBL,2,0),0)</f>
        <v/>
      </c>
      <c r="CL439" s="3">
        <f>W_FIAB*BW439+W_PRECIO*BX439+W_KMEDAD*CB439+W_ANUNCIO*CC439+W_USO*CH439+W_SEGURIDAD*CJ439+W_ETIQUETA*CD439-CK439</f>
        <v/>
      </c>
      <c r="CM439" s="4">
        <f>IF(N(I439)&gt;0,I439,IFERROR(ROUND(_xlfn.NUMBERVALUE(LEFT(G439,FIND(" ",G439&amp;" ")-1),".")*1000,0),99999))</f>
        <v/>
      </c>
      <c r="CN439" s="3">
        <f>IF(R439="profesional",0,IF(O439&lt;CUOTA_VALOR_MAX,IF(BA439&gt;ITP_TRAMO_ALTO,SUMIFS(CF_CUOTA,CF_MAS,ITP_TRAMO_ALTO,CF_CCMIN,"&lt;="&amp;CM439,CF_CCMAX,"&gt;="&amp;CM439),IF(BA439&gt;ITP_TRAMO_BAJO,SUMIFS(CF_CUOTA,CF_MAS,ITP_TRAMO_BAJO,CF_CCMIN,"&lt;="&amp;CM439,CF_CCMAX,"&gt;="&amp;CM439),O439*ITP_TIPO)),O439*ITP_TIPO))</f>
        <v/>
      </c>
      <c r="CO439" s="4">
        <f>IF(R439="profesional",N(AK439),0)</f>
        <v/>
      </c>
      <c r="CP439" s="3">
        <f>IF(AND(R439="profesional",ISNUMBER(AK439),AL439="sí"),0,TASA_DGT)</f>
        <v/>
      </c>
      <c r="CQ439" s="3">
        <f>INFORME_DGT</f>
        <v/>
      </c>
      <c r="CR439" s="4">
        <f>O439+CO439+CN439+CP439+CQ439</f>
        <v/>
      </c>
      <c r="CS439" s="4">
        <f>CR439+N(CF439)</f>
        <v/>
      </c>
      <c r="CT439" s="3">
        <f>IF(CR439&lt;=TOTAL_MAX,"sí",IF(CR439&lt;=TOTAL_MAX+MARGEN_NEG,"negociar","no"))</f>
        <v/>
      </c>
      <c r="CU439" s="4">
        <f>IF(CT439&lt;&gt;"no",COUNTIFS($CT$2:$CT$545,"&lt;&gt;no",$CL$2:$CL$545,"&gt;"&amp;CL439)+COUNTIFS($CT$2:CT439,"&lt;&gt;no",$CL$2:CL439,CL439),"")</f>
        <v/>
      </c>
    </row>
    <row r="440">
      <c r="A440" s="2" t="inlineStr">
        <is>
          <t>cochesnet:71643063</t>
        </is>
      </c>
      <c r="B440" s="2" t="inlineStr">
        <is>
          <t>cochesnet</t>
        </is>
      </c>
      <c r="C440" s="2" t="inlineStr">
        <is>
          <t>https://www.coches.net/nissan-note-5p-14g-88cv-acenta-5p-gasolina-2011-en-valencia-71643063-covo.aspx</t>
        </is>
      </c>
      <c r="D440" s="2" t="inlineStr">
        <is>
          <t>NISSAN NOTE 1.4G Acenta</t>
        </is>
      </c>
      <c r="E440" s="2" t="inlineStr">
        <is>
          <t>Nissan</t>
        </is>
      </c>
      <c r="F440" s="2" t="inlineStr">
        <is>
          <t>Nissan Note</t>
        </is>
      </c>
      <c r="G440" s="2" t="inlineStr">
        <is>
          <t>1.4</t>
        </is>
      </c>
      <c r="H440" s="2" t="inlineStr">
        <is>
          <t>5p. 1.4G 88CV Acenta</t>
        </is>
      </c>
      <c r="I440" s="2" t="n"/>
      <c r="J440" s="2" t="n">
        <v>88</v>
      </c>
      <c r="K440" s="2" t="inlineStr">
        <is>
          <t>gasolina</t>
        </is>
      </c>
      <c r="L440" s="2" t="inlineStr">
        <is>
          <t>monovolumen_pequeno</t>
        </is>
      </c>
      <c r="M440" s="2" t="n">
        <v>2011</v>
      </c>
      <c r="N440" s="2" t="n">
        <v>149860</v>
      </c>
      <c r="O440" s="2" t="n">
        <v>4450</v>
      </c>
      <c r="P440" s="2" t="inlineStr">
        <is>
          <t>manual</t>
        </is>
      </c>
      <c r="Q440" s="2" t="inlineStr">
        <is>
          <t>no</t>
        </is>
      </c>
      <c r="R440" s="2" t="inlineStr">
        <is>
          <t>particular</t>
        </is>
      </c>
      <c r="S440" s="2" t="inlineStr">
        <is>
          <t>Torrent</t>
        </is>
      </c>
      <c r="T440" s="2" t="inlineStr">
        <is>
          <t>2026-10-11T00:27:59Z</t>
        </is>
      </c>
      <c r="U440" s="2" t="n">
        <v>9</v>
      </c>
      <c r="V440" s="2" t="inlineStr">
        <is>
          <t>sí</t>
        </is>
      </c>
      <c r="W440" s="2" t="n"/>
      <c r="X440" s="2" t="n"/>
      <c r="Y440" s="2" t="n"/>
      <c r="Z440" s="2" t="inlineStr">
        <is>
          <t>no</t>
        </is>
      </c>
      <c r="AA440" s="2" t="n"/>
      <c r="AB440" s="2" t="n"/>
      <c r="AC440" s="2" t="n"/>
      <c r="AD440" s="2" t="n"/>
      <c r="AE440" s="2" t="n"/>
      <c r="AF440" s="2" t="n"/>
      <c r="AG440" s="2" t="n"/>
      <c r="AH440" s="2" t="n">
        <v>4450</v>
      </c>
      <c r="AI440" s="2" t="n"/>
      <c r="AJ440" s="2" t="n"/>
      <c r="AK440" s="2" t="n"/>
      <c r="AL440" s="2" t="n"/>
      <c r="AM440" s="2" t="n">
        <v>8.800000000000001</v>
      </c>
      <c r="AN440" s="2" t="n"/>
      <c r="AO440" s="2" t="inlineStr">
        <is>
          <t>2011</t>
        </is>
      </c>
      <c r="AP440" s="2" t="n">
        <v>2011</v>
      </c>
      <c r="AQ440" s="2" t="n"/>
      <c r="AR440" s="2" t="n"/>
      <c r="AS440" s="2" t="inlineStr">
        <is>
          <t>regla</t>
        </is>
      </c>
      <c r="AT440" s="2" t="n"/>
      <c r="AU440" s="2" t="n"/>
      <c r="AV440" s="2" t="n"/>
      <c r="AW440" s="2" t="n"/>
      <c r="AX440" s="2" t="inlineStr">
        <is>
          <t>cuota fija ITP: &gt;12 años, hasta 1.500 cc; carrocería monovolumen_pequeno: -6 puntos; fiabilidad del modelo PENDIENTE de fuente (puntuación neutra); mediana con solo 1 anuncio(s)</t>
        </is>
      </c>
      <c r="AY440" s="2" t="inlineStr">
        <is>
          <t>Nissan Note 1.4 gasolina
Muy económico
Garantía 1 año
En muy buen estado, fiable y económico. 
Ideal para uso diario y ciudad.
?? Motor con cadena de distribución
?? Consumo real aprox. 6,3 L/100 km
?? Todos los mantenimientos al día
?? 4 neumáticos completamente nuevos
?? Interior limpio y bien cuidado
?? ITV hasta septiembre de 2028
?? Vehículo listo para usar
Venta profesional, con 1 año de garantía en motor y caja de cambios.
IVA incluido y deducible.
Se puede ver y probar sin compromiso.</t>
        </is>
      </c>
      <c r="AZ440" s="2" t="inlineStr">
        <is>
          <t>https://www.coches.net/nissan-note-5p-14g-88cv-acenta-5p-gasolina-2011-en-valencia-71643063-covo.aspx (window.__INITIAL_PROPS__.ad) /home/user/Alopecia/buscador-coches/raw/cochesnet/3ebdbc95e425b57f.json</t>
        </is>
      </c>
      <c r="BA440" s="3">
        <f>MAX(ANIO_ACTUAL-M440,0)</f>
        <v/>
      </c>
      <c r="BB440" s="4">
        <f>N440/MAX(BA440,0.5)</f>
        <v/>
      </c>
      <c r="BC440" s="4">
        <f>F440</f>
        <v/>
      </c>
      <c r="BD440" s="3">
        <f>BC440&amp;"|"&amp;INT(M440/SEG_ANIO)*SEG_ANIO</f>
        <v/>
      </c>
      <c r="BE440" s="3">
        <f>BD440&amp;"|"&amp;INT(N440/SEG_KM)*SEG_KM</f>
        <v/>
      </c>
      <c r="BF440" s="4">
        <f>COUNTIF($BC$2:$BC$545,BC440)</f>
        <v/>
      </c>
      <c r="BG440" s="4">
        <f>COUNTIF($BD$2:$BD$545,BD440)</f>
        <v/>
      </c>
      <c r="BH440" s="4">
        <f>COUNTIF($BE$2:$BE$545,BE440)</f>
        <v/>
      </c>
      <c r="BI440" s="3">
        <f t="array" ref="BI440">IF(N(AU440)&gt;=MIN_N,AT440,IF(BH440&gt;=MIN_N,MEDIAN(IF($BE$2:$BE$545=BE440,$O$2:$O$545)),IF(BG440&gt;=MIN_N,MEDIAN(IF($BD$2:$BD$545=BD440,$O$2:$O$545)),MEDIAN(IF($BC$2:$BC$545=BC440,$O$2:$O$545)))))</f>
        <v/>
      </c>
      <c r="BJ440" s="3">
        <f>IF(N(AU440)&gt;=MIN_N,"mercado "&amp;AV440,IF(BH440&gt;=MIN_N,"modelo+año+km",IF(BG440&gt;=MIN_N,"modelo+año","modelo")))</f>
        <v/>
      </c>
      <c r="BK440" s="4">
        <f>(BI440-O440)/BI440</f>
        <v/>
      </c>
      <c r="BL440" s="3">
        <f>IF(COUNTIFS(FR_FUEL,K440,FR_YEAR,AP440)&gt;0,1,0)</f>
        <v/>
      </c>
      <c r="BM440" s="3">
        <f>IF(COUNTIFS(FR_FUEL,K440,FR_YEAR,AP440-1)&gt;0,1,0)</f>
        <v/>
      </c>
      <c r="BN440" s="4">
        <f>IF(N(AQ440)&gt;0,AP440*100+AQ440,IF(AND(BL440=1,BM440=1),(AP440-1)*100+1,AP440*100+1))</f>
        <v/>
      </c>
      <c r="BO440" s="3">
        <f>IF(OR(K440="hibrido",K440="glp",K440="gnc",K440="phev"),"ECO",IF(K440="electrico","CERO",IF(K440="gasolina",IF(BN440&gt;=GAS_C_YM,"C",IF(BN440&gt;=GAS_B_YM,"B","A")),IF(K440="diesel",IF(BN440&gt;=DIE_C_YM,"C",IF(BN440&gt;=DIE_B_YM,"B","A")),""))))</f>
        <v/>
      </c>
      <c r="BP440" s="4">
        <f>BO440</f>
        <v/>
      </c>
      <c r="BQ440" s="4">
        <f>IF(AS440="regla",IF(AND(N(AQ440)=0,BL440=1),"sí","no"),"no")</f>
        <v/>
      </c>
      <c r="BR440" s="3">
        <f>IFERROR(VLOOKUP(F440,MOD_TBL,11,0),IFERROR(VLOOKUP(E440,OCU_TBL,2,0),NEUTRO))</f>
        <v/>
      </c>
      <c r="BS440" s="3">
        <f>SUMIFS(MOT_AJUSTE,MOT_MOTOR,G440,MOT_MARCA,E440,MOT_DESDE,"&lt;="&amp;M440,MOT_HASTA,"&gt;="&amp;M440)+SUMIFS(MOT_AJUSTE,MOT_MOTOR,G440,MOT_MARCA,"(todas)",MOT_DESDE,"&lt;="&amp;M440,MOT_HASTA,"&gt;="&amp;M440)</f>
        <v/>
      </c>
      <c r="BT440" s="3">
        <f>SUMIFS(COMB_AJUSTE,COMB_COMB,K440)</f>
        <v/>
      </c>
      <c r="BU440" s="3">
        <f>COUNTIFS(MOT_MOTOR,G440,MOT_MARCA,E440,MOT_DESDE,"&lt;="&amp;M440,MOT_HASTA,"&gt;="&amp;M440)+COUNTIFS(MOT_MOTOR,G440,MOT_MARCA,"(todas)",MOT_DESDE,"&lt;="&amp;M440,MOT_HASTA,"&gt;="&amp;M440)</f>
        <v/>
      </c>
      <c r="BV440" s="3">
        <f>IF(AND(K440="diesel",BU440=0),MIN(BR440,NEUTRO),BR440)</f>
        <v/>
      </c>
      <c r="BW440" s="4">
        <f>MAX(0,MIN(100,BV440+BS440+BT440))</f>
        <v/>
      </c>
      <c r="BX440" s="3">
        <f>MAX(0,MIN(100,50+BK440*PRECIO_PEND))</f>
        <v/>
      </c>
      <c r="BY440" s="3">
        <f>MAX(0,100*(1-N440/KM_MAX))</f>
        <v/>
      </c>
      <c r="BZ440" s="3">
        <f>IF(BB440&lt;KMA_SOSP,IF(AA440="sí",100,KMA_PEN),IF(BB440&lt;=KMA_IDEAL_MAX,100,MAX(0,100*(KMA_CERO-BB440)/(KMA_CERO-KMA_IDEAL_MAX))))</f>
        <v/>
      </c>
      <c r="CA440" s="3">
        <f>MAX(0,MIN(100,100*(M440-ANIO_MIN)/(ANIO_ACTUAL-ANIO_MIN)))</f>
        <v/>
      </c>
      <c r="CB440" s="3">
        <f>W_KMT*BY440+W_KMA*BZ440+W_EDAD*CA440</f>
        <v/>
      </c>
      <c r="CC440" s="3">
        <f>P_ITV*(V440="sí")+P_LIBRO*(W440="sí")+P_CORREA*(X440="sí")+P_PROP*(Y440=1)+P_GAR*(Z440="sí")+P_FOTOS*MIN(1,N(U440)/FOTOS_OBJ)</f>
        <v/>
      </c>
      <c r="CD440" s="3">
        <f>MAX(0,MIN(100,IFERROR(VLOOKUP(BP440,ETQ_TBL,2,0),0)-IF(BQ440="sí",ETQ_PEN_DUD,IF(AS440="regla",ETQ_PEN_REGLA,0))))</f>
        <v/>
      </c>
      <c r="CE440" s="3">
        <f>NEUTRO</f>
        <v/>
      </c>
      <c r="CF440" s="3">
        <f>IFERROR(VLOOKUP(L440,SEGURO_TBL,3,0),"")</f>
        <v/>
      </c>
      <c r="CG440" s="3">
        <f>IF(CF440="",NEUTRO,MAX(0,MIN(100,100*(SEG_REF_MAX-CF440)/(SEG_REF_MAX-SEG_REF_MIN))))</f>
        <v/>
      </c>
      <c r="CH440" s="3">
        <f>W_CONS*CE440+W_SEG*CG440</f>
        <v/>
      </c>
      <c r="CI440" s="3">
        <f>IF(N(AB440)&gt;0,AB440,IF(AND(R440="profesional",SG_LEGAL_ON=1),GAR_LEGAL,0))</f>
        <v/>
      </c>
      <c r="CJ440" s="3">
        <f>SG_GAR*MIN(1,CI440/SG_GAR_FULL)+SG_AMPL*(AC440="sí")+SG_KMC*(AF440="sí")+SG_REV*(N(AE440)&gt;0)+SG_DEV*MIN(1,N(AG440)/SG_DEV_FULL)+SG_HIST*(W440="sí")</f>
        <v/>
      </c>
      <c r="CK440" s="3">
        <f>IFERROR(VLOOKUP(L440,CARR_PEN_TBL,2,0),0)</f>
        <v/>
      </c>
      <c r="CL440" s="3">
        <f>W_FIAB*BW440+W_PRECIO*BX440+W_KMEDAD*CB440+W_ANUNCIO*CC440+W_USO*CH440+W_SEGURIDAD*CJ440+W_ETIQUETA*CD440-CK440</f>
        <v/>
      </c>
      <c r="CM440" s="4">
        <f>IF(N(I440)&gt;0,I440,IFERROR(ROUND(_xlfn.NUMBERVALUE(LEFT(G440,FIND(" ",G440&amp;" ")-1),".")*1000,0),99999))</f>
        <v/>
      </c>
      <c r="CN440" s="3">
        <f>IF(R440="profesional",0,IF(O440&lt;CUOTA_VALOR_MAX,IF(BA440&gt;ITP_TRAMO_ALTO,SUMIFS(CF_CUOTA,CF_MAS,ITP_TRAMO_ALTO,CF_CCMIN,"&lt;="&amp;CM440,CF_CCMAX,"&gt;="&amp;CM440),IF(BA440&gt;ITP_TRAMO_BAJO,SUMIFS(CF_CUOTA,CF_MAS,ITP_TRAMO_BAJO,CF_CCMIN,"&lt;="&amp;CM440,CF_CCMAX,"&gt;="&amp;CM440),O440*ITP_TIPO)),O440*ITP_TIPO))</f>
        <v/>
      </c>
      <c r="CO440" s="4">
        <f>IF(R440="profesional",N(AK440),0)</f>
        <v/>
      </c>
      <c r="CP440" s="3">
        <f>IF(AND(R440="profesional",ISNUMBER(AK440),AL440="sí"),0,TASA_DGT)</f>
        <v/>
      </c>
      <c r="CQ440" s="3">
        <f>INFORME_DGT</f>
        <v/>
      </c>
      <c r="CR440" s="4">
        <f>O440+CO440+CN440+CP440+CQ440</f>
        <v/>
      </c>
      <c r="CS440" s="4">
        <f>CR440+N(CF440)</f>
        <v/>
      </c>
      <c r="CT440" s="3">
        <f>IF(CR440&lt;=TOTAL_MAX,"sí",IF(CR440&lt;=TOTAL_MAX+MARGEN_NEG,"negociar","no"))</f>
        <v/>
      </c>
      <c r="CU440" s="4">
        <f>IF(CT440&lt;&gt;"no",COUNTIFS($CT$2:$CT$545,"&lt;&gt;no",$CL$2:$CL$545,"&gt;"&amp;CL440)+COUNTIFS($CT$2:CT440,"&lt;&gt;no",$CL$2:CL440,CL440),"")</f>
        <v/>
      </c>
    </row>
    <row r="441">
      <c r="A441" s="2" t="inlineStr">
        <is>
          <t>cochesnet:71530109</t>
        </is>
      </c>
      <c r="B441" s="2" t="inlineStr">
        <is>
          <t>cochesnet</t>
        </is>
      </c>
      <c r="C441" s="2" t="inlineStr">
        <is>
          <t>https://www.coches.net/suzuki-alto-10-gl-5p-gasolina-2009-en-valencia-71530109-covo.aspx</t>
        </is>
      </c>
      <c r="D441" s="2" t="inlineStr">
        <is>
          <t>SUZUKI Alto 1.0 GL</t>
        </is>
      </c>
      <c r="E441" s="2" t="inlineStr">
        <is>
          <t>Suzuki</t>
        </is>
      </c>
      <c r="F441" s="2" t="inlineStr">
        <is>
          <t>Suzuki Alto</t>
        </is>
      </c>
      <c r="G441" s="2" t="inlineStr">
        <is>
          <t>1.0</t>
        </is>
      </c>
      <c r="H441" s="2" t="inlineStr">
        <is>
          <t>1.0 GL</t>
        </is>
      </c>
      <c r="I441" s="2" t="n"/>
      <c r="J441" s="2" t="n"/>
      <c r="K441" s="2" t="inlineStr">
        <is>
          <t>gasolina</t>
        </is>
      </c>
      <c r="L441" s="2" t="inlineStr">
        <is>
          <t>utilitario</t>
        </is>
      </c>
      <c r="M441" s="2" t="n">
        <v>2009</v>
      </c>
      <c r="N441" s="2" t="n">
        <v>55500</v>
      </c>
      <c r="O441" s="2" t="n">
        <v>5000</v>
      </c>
      <c r="P441" s="2" t="inlineStr">
        <is>
          <t>manual</t>
        </is>
      </c>
      <c r="Q441" s="2" t="inlineStr">
        <is>
          <t>no</t>
        </is>
      </c>
      <c r="R441" s="2" t="inlineStr">
        <is>
          <t>profesional</t>
        </is>
      </c>
      <c r="S441" s="2" t="inlineStr">
        <is>
          <t>Safor Auto Palmera</t>
        </is>
      </c>
      <c r="T441" s="2" t="inlineStr">
        <is>
          <t>2026-09-16T18:35:14Z</t>
        </is>
      </c>
      <c r="U441" s="2" t="n">
        <v>4</v>
      </c>
      <c r="V441" s="2" t="n"/>
      <c r="W441" s="2" t="n"/>
      <c r="X441" s="2" t="n"/>
      <c r="Y441" s="2" t="n">
        <v>1</v>
      </c>
      <c r="Z441" s="2" t="inlineStr">
        <is>
          <t>sí</t>
        </is>
      </c>
      <c r="AA441" s="2" t="inlineStr">
        <is>
          <t>sí</t>
        </is>
      </c>
      <c r="AB441" s="2" t="n">
        <v>12</v>
      </c>
      <c r="AC441" s="2" t="n"/>
      <c r="AD441" s="2" t="n"/>
      <c r="AE441" s="2" t="n"/>
      <c r="AF441" s="2" t="inlineStr">
        <is>
          <t>sí</t>
        </is>
      </c>
      <c r="AG441" s="2" t="n"/>
      <c r="AH441" s="2" t="n">
        <v>5000</v>
      </c>
      <c r="AI441" s="2" t="n"/>
      <c r="AJ441" s="2" t="n"/>
      <c r="AK441" s="2" t="n"/>
      <c r="AL441" s="2" t="n"/>
      <c r="AM441" s="2" t="n">
        <v>61.8</v>
      </c>
      <c r="AN441" s="2" t="n"/>
      <c r="AO441" s="2" t="inlineStr">
        <is>
          <t>2009</t>
        </is>
      </c>
      <c r="AP441" s="2" t="n">
        <v>2009</v>
      </c>
      <c r="AQ441" s="2" t="n"/>
      <c r="AR441" s="2" t="inlineStr">
        <is>
          <t>C</t>
        </is>
      </c>
      <c r="AS441" s="2" t="inlineStr">
        <is>
          <t>anuncio</t>
        </is>
      </c>
      <c r="AT441" s="2" t="n"/>
      <c r="AU441" s="2" t="n"/>
      <c r="AV441" s="2" t="n"/>
      <c r="AW441" s="2" t="n"/>
      <c r="AX441" s="2" t="inlineStr">
        <is>
          <t>por encima del presupuesto (5064 €), negociar; vendedor profesional: sin ITP (operación con IVA/REBU, confirmar en factura); gastos de gestión del vendedor no indicados: se suma la tasa DGT; preguntar el precio final; mediana con solo 2 anuncio(s)</t>
        </is>
      </c>
      <c r="AY441" s="2" t="inlineStr">
        <is>
          <t xml:space="preserve">- VEHÍCULO NACIONAL CON KM CERTIFICADOS
- UN SOLO DUEÑO UNIDAD MUY CUIDADA
- SE ENTREGA TOTALMENTE REVISADA Y CON TODO EL MANTENIMIENTO HECHO
- ACEPTAMOS PRUEBA MECÁNICA
- GARANTÍA DE 12 MESES INCLUIDA EN EL PRECIO
- POSIBILIDAD DE FINANCIAR SIN ENTRADA DESDE 181,23€ AL MES
- LAS GARANTÍAS SE CUBREN EN CUALQUIER PUNTO DE ESPAÑA
- PROMOCIÓN 20 ANIVERSARIO ENTREGA GRATUITA EN SU DOMICILIO 
- ACEPTAMOS VEHÍCULO COMO PARTE DEL PAGO
- VEHÍCULO EN MANTENIMIENTO EN BREVE INSERTAMOS MAS FOTOGRAFÍAS 
- PARA VER Y PROBAR EL VEHÍCULO HAY QUE CONCERTAR CITA PREVIA
   ( EL DÍA Y LA HORA LO DECIDE USTED )
</t>
        </is>
      </c>
      <c r="AZ441" s="2" t="inlineStr">
        <is>
          <t>https://www.coches.net/suzuki-alto-10-gl-5p-gasolina-2009-en-valencia-71530109-covo.aspx (window.__INITIAL_PROPS__.ad) /home/user/Alopecia/buscador-coches/raw/cochesnet/ddee7fb118c34811.json</t>
        </is>
      </c>
      <c r="BA441" s="3">
        <f>MAX(ANIO_ACTUAL-M441,0)</f>
        <v/>
      </c>
      <c r="BB441" s="4">
        <f>N441/MAX(BA441,0.5)</f>
        <v/>
      </c>
      <c r="BC441" s="4">
        <f>F441</f>
        <v/>
      </c>
      <c r="BD441" s="3">
        <f>BC441&amp;"|"&amp;INT(M441/SEG_ANIO)*SEG_ANIO</f>
        <v/>
      </c>
      <c r="BE441" s="3">
        <f>BD441&amp;"|"&amp;INT(N441/SEG_KM)*SEG_KM</f>
        <v/>
      </c>
      <c r="BF441" s="4">
        <f>COUNTIF($BC$2:$BC$545,BC441)</f>
        <v/>
      </c>
      <c r="BG441" s="4">
        <f>COUNTIF($BD$2:$BD$545,BD441)</f>
        <v/>
      </c>
      <c r="BH441" s="4">
        <f>COUNTIF($BE$2:$BE$545,BE441)</f>
        <v/>
      </c>
      <c r="BI441" s="3">
        <f t="array" ref="BI441">IF(N(AU441)&gt;=MIN_N,AT441,IF(BH441&gt;=MIN_N,MEDIAN(IF($BE$2:$BE$545=BE441,$O$2:$O$545)),IF(BG441&gt;=MIN_N,MEDIAN(IF($BD$2:$BD$545=BD441,$O$2:$O$545)),MEDIAN(IF($BC$2:$BC$545=BC441,$O$2:$O$545)))))</f>
        <v/>
      </c>
      <c r="BJ441" s="3">
        <f>IF(N(AU441)&gt;=MIN_N,"mercado "&amp;AV441,IF(BH441&gt;=MIN_N,"modelo+año+km",IF(BG441&gt;=MIN_N,"modelo+año","modelo")))</f>
        <v/>
      </c>
      <c r="BK441" s="4">
        <f>(BI441-O441)/BI441</f>
        <v/>
      </c>
      <c r="BL441" s="3">
        <f>IF(COUNTIFS(FR_FUEL,K441,FR_YEAR,AP441)&gt;0,1,0)</f>
        <v/>
      </c>
      <c r="BM441" s="3">
        <f>IF(COUNTIFS(FR_FUEL,K441,FR_YEAR,AP441-1)&gt;0,1,0)</f>
        <v/>
      </c>
      <c r="BN441" s="4">
        <f>IF(N(AQ441)&gt;0,AP441*100+AQ441,IF(AND(BL441=1,BM441=1),(AP441-1)*100+1,AP441*100+1))</f>
        <v/>
      </c>
      <c r="BO441" s="3">
        <f>IF(OR(K441="hibrido",K441="glp",K441="gnc",K441="phev"),"ECO",IF(K441="electrico","CERO",IF(K441="gasolina",IF(BN441&gt;=GAS_C_YM,"C",IF(BN441&gt;=GAS_B_YM,"B","A")),IF(K441="diesel",IF(BN441&gt;=DIE_C_YM,"C",IF(BN441&gt;=DIE_B_YM,"B","A")),""))))</f>
        <v/>
      </c>
      <c r="BP441" s="2" t="inlineStr">
        <is>
          <t>C</t>
        </is>
      </c>
      <c r="BQ441" s="4">
        <f>IF(AS441="regla",IF(AND(N(AQ441)=0,BL441=1),"sí","no"),"no")</f>
        <v/>
      </c>
      <c r="BR441" s="3">
        <f>IFERROR(VLOOKUP(F441,MOD_TBL,11,0),IFERROR(VLOOKUP(E441,OCU_TBL,2,0),NEUTRO))</f>
        <v/>
      </c>
      <c r="BS441" s="3">
        <f>SUMIFS(MOT_AJUSTE,MOT_MOTOR,G441,MOT_MARCA,E441,MOT_DESDE,"&lt;="&amp;M441,MOT_HASTA,"&gt;="&amp;M441)+SUMIFS(MOT_AJUSTE,MOT_MOTOR,G441,MOT_MARCA,"(todas)",MOT_DESDE,"&lt;="&amp;M441,MOT_HASTA,"&gt;="&amp;M441)</f>
        <v/>
      </c>
      <c r="BT441" s="3">
        <f>SUMIFS(COMB_AJUSTE,COMB_COMB,K441)</f>
        <v/>
      </c>
      <c r="BU441" s="3">
        <f>COUNTIFS(MOT_MOTOR,G441,MOT_MARCA,E441,MOT_DESDE,"&lt;="&amp;M441,MOT_HASTA,"&gt;="&amp;M441)+COUNTIFS(MOT_MOTOR,G441,MOT_MARCA,"(todas)",MOT_DESDE,"&lt;="&amp;M441,MOT_HASTA,"&gt;="&amp;M441)</f>
        <v/>
      </c>
      <c r="BV441" s="3">
        <f>IF(AND(K441="diesel",BU441=0),MIN(BR441,NEUTRO),BR441)</f>
        <v/>
      </c>
      <c r="BW441" s="4">
        <f>MAX(0,MIN(100,BV441+BS441+BT441))</f>
        <v/>
      </c>
      <c r="BX441" s="3">
        <f>MAX(0,MIN(100,50+BK441*PRECIO_PEND))</f>
        <v/>
      </c>
      <c r="BY441" s="3">
        <f>MAX(0,100*(1-N441/KM_MAX))</f>
        <v/>
      </c>
      <c r="BZ441" s="3">
        <f>IF(BB441&lt;KMA_SOSP,IF(AA441="sí",100,KMA_PEN),IF(BB441&lt;=KMA_IDEAL_MAX,100,MAX(0,100*(KMA_CERO-BB441)/(KMA_CERO-KMA_IDEAL_MAX))))</f>
        <v/>
      </c>
      <c r="CA441" s="3">
        <f>MAX(0,MIN(100,100*(M441-ANIO_MIN)/(ANIO_ACTUAL-ANIO_MIN)))</f>
        <v/>
      </c>
      <c r="CB441" s="3">
        <f>W_KMT*BY441+W_KMA*BZ441+W_EDAD*CA441</f>
        <v/>
      </c>
      <c r="CC441" s="3">
        <f>P_ITV*(V441="sí")+P_LIBRO*(W441="sí")+P_CORREA*(X441="sí")+P_PROP*(Y441=1)+P_GAR*(Z441="sí")+P_FOTOS*MIN(1,N(U441)/FOTOS_OBJ)</f>
        <v/>
      </c>
      <c r="CD441" s="3">
        <f>MAX(0,MIN(100,IFERROR(VLOOKUP(BP441,ETQ_TBL,2,0),0)-IF(BQ441="sí",ETQ_PEN_DUD,IF(AS441="regla",ETQ_PEN_REGLA,0))))</f>
        <v/>
      </c>
      <c r="CE441" s="3">
        <f>NEUTRO</f>
        <v/>
      </c>
      <c r="CF441" s="3">
        <f>IFERROR(VLOOKUP(L441,SEGURO_TBL,3,0),"")</f>
        <v/>
      </c>
      <c r="CG441" s="3">
        <f>IF(CF441="",NEUTRO,MAX(0,MIN(100,100*(SEG_REF_MAX-CF441)/(SEG_REF_MAX-SEG_REF_MIN))))</f>
        <v/>
      </c>
      <c r="CH441" s="3">
        <f>W_CONS*CE441+W_SEG*CG441</f>
        <v/>
      </c>
      <c r="CI441" s="3">
        <f>IF(N(AB441)&gt;0,AB441,IF(AND(R441="profesional",SG_LEGAL_ON=1),GAR_LEGAL,0))</f>
        <v/>
      </c>
      <c r="CJ441" s="3">
        <f>SG_GAR*MIN(1,CI441/SG_GAR_FULL)+SG_AMPL*(AC441="sí")+SG_KMC*(AF441="sí")+SG_REV*(N(AE441)&gt;0)+SG_DEV*MIN(1,N(AG441)/SG_DEV_FULL)+SG_HIST*(W441="sí")</f>
        <v/>
      </c>
      <c r="CK441" s="3">
        <f>IFERROR(VLOOKUP(L441,CARR_PEN_TBL,2,0),0)</f>
        <v/>
      </c>
      <c r="CL441" s="3">
        <f>W_FIAB*BW441+W_PRECIO*BX441+W_KMEDAD*CB441+W_ANUNCIO*CC441+W_USO*CH441+W_SEGURIDAD*CJ441+W_ETIQUETA*CD441-CK441</f>
        <v/>
      </c>
      <c r="CM441" s="4">
        <f>IF(N(I441)&gt;0,I441,IFERROR(ROUND(_xlfn.NUMBERVALUE(LEFT(G441,FIND(" ",G441&amp;" ")-1),".")*1000,0),99999))</f>
        <v/>
      </c>
      <c r="CN441" s="3">
        <f>IF(R441="profesional",0,IF(O441&lt;CUOTA_VALOR_MAX,IF(BA441&gt;ITP_TRAMO_ALTO,SUMIFS(CF_CUOTA,CF_MAS,ITP_TRAMO_ALTO,CF_CCMIN,"&lt;="&amp;CM441,CF_CCMAX,"&gt;="&amp;CM441),IF(BA441&gt;ITP_TRAMO_BAJO,SUMIFS(CF_CUOTA,CF_MAS,ITP_TRAMO_BAJO,CF_CCMIN,"&lt;="&amp;CM441,CF_CCMAX,"&gt;="&amp;CM441),O441*ITP_TIPO)),O441*ITP_TIPO))</f>
        <v/>
      </c>
      <c r="CO441" s="4">
        <f>IF(R441="profesional",N(AK441),0)</f>
        <v/>
      </c>
      <c r="CP441" s="3">
        <f>IF(AND(R441="profesional",ISNUMBER(AK441),AL441="sí"),0,TASA_DGT)</f>
        <v/>
      </c>
      <c r="CQ441" s="3">
        <f>INFORME_DGT</f>
        <v/>
      </c>
      <c r="CR441" s="4">
        <f>O441+CO441+CN441+CP441+CQ441</f>
        <v/>
      </c>
      <c r="CS441" s="4">
        <f>CR441+N(CF441)</f>
        <v/>
      </c>
      <c r="CT441" s="3">
        <f>IF(CR441&lt;=TOTAL_MAX,"sí",IF(CR441&lt;=TOTAL_MAX+MARGEN_NEG,"negociar","no"))</f>
        <v/>
      </c>
      <c r="CU441" s="4">
        <f>IF(CT441&lt;&gt;"no",COUNTIFS($CT$2:$CT$545,"&lt;&gt;no",$CL$2:$CL$545,"&gt;"&amp;CL441)+COUNTIFS($CT$2:CT441,"&lt;&gt;no",$CL$2:CL441,CL441),"")</f>
        <v/>
      </c>
    </row>
    <row r="442">
      <c r="A442" s="2" t="inlineStr">
        <is>
          <t>cochesnet:71666662</t>
        </is>
      </c>
      <c r="B442" s="2" t="inlineStr">
        <is>
          <t>cochesnet</t>
        </is>
      </c>
      <c r="C442" s="2" t="inlineStr">
        <is>
          <t>https://www.coches.net/suzuki-swift-diesel-2006-en-valencia-71666662-covo.aspx</t>
        </is>
      </c>
      <c r="D442" s="2" t="inlineStr">
        <is>
          <t>SUZUKI Swift</t>
        </is>
      </c>
      <c r="E442" s="2" t="inlineStr">
        <is>
          <t>Suzuki</t>
        </is>
      </c>
      <c r="F442" s="2" t="inlineStr">
        <is>
          <t>Suzuki Swift</t>
        </is>
      </c>
      <c r="G442" s="2" t="n"/>
      <c r="H442" s="2" t="n"/>
      <c r="I442" s="2" t="n"/>
      <c r="J442" s="2" t="n"/>
      <c r="K442" s="2" t="inlineStr">
        <is>
          <t>diesel</t>
        </is>
      </c>
      <c r="L442" s="2" t="inlineStr">
        <is>
          <t>utilitario</t>
        </is>
      </c>
      <c r="M442" s="2" t="n">
        <v>2006</v>
      </c>
      <c r="N442" s="2" t="n">
        <v>122000</v>
      </c>
      <c r="O442" s="2" t="n">
        <v>3845</v>
      </c>
      <c r="P442" s="2" t="inlineStr">
        <is>
          <t>manual</t>
        </is>
      </c>
      <c r="Q442" s="2" t="inlineStr">
        <is>
          <t>no</t>
        </is>
      </c>
      <c r="R442" s="2" t="inlineStr">
        <is>
          <t>particular</t>
        </is>
      </c>
      <c r="S442" s="2" t="inlineStr">
        <is>
          <t>Burjassot</t>
        </is>
      </c>
      <c r="T442" s="2" t="inlineStr">
        <is>
          <t>2026-10-03T17:38:55Z</t>
        </is>
      </c>
      <c r="U442" s="2" t="n">
        <v>9</v>
      </c>
      <c r="V442" s="2" t="inlineStr">
        <is>
          <t>sí</t>
        </is>
      </c>
      <c r="W442" s="2" t="n"/>
      <c r="X442" s="2" t="n"/>
      <c r="Y442" s="2" t="n"/>
      <c r="Z442" s="2" t="inlineStr">
        <is>
          <t>no</t>
        </is>
      </c>
      <c r="AA442" s="2" t="n"/>
      <c r="AB442" s="2" t="n"/>
      <c r="AC442" s="2" t="n"/>
      <c r="AD442" s="2" t="n"/>
      <c r="AE442" s="2" t="n"/>
      <c r="AF442" s="2" t="n"/>
      <c r="AG442" s="2" t="n"/>
      <c r="AH442" s="2" t="n">
        <v>3845</v>
      </c>
      <c r="AI442" s="2" t="n"/>
      <c r="AJ442" s="2" t="n"/>
      <c r="AK442" s="2" t="n"/>
      <c r="AL442" s="2" t="n"/>
      <c r="AM442" s="2" t="n">
        <v>5.5</v>
      </c>
      <c r="AN442" s="2" t="inlineStr">
        <is>
          <t>DE3000KM</t>
        </is>
      </c>
      <c r="AO442" s="2" t="inlineStr">
        <is>
          <t>2006</t>
        </is>
      </c>
      <c r="AP442" s="2" t="n">
        <v>2006</v>
      </c>
      <c r="AQ442" s="2" t="n"/>
      <c r="AR442" s="2" t="n"/>
      <c r="AS442" s="2" t="inlineStr">
        <is>
          <t>regla</t>
        </is>
      </c>
      <c r="AT442" s="2" t="n">
        <v>3475</v>
      </c>
      <c r="AU442" s="2" t="n">
        <v>5</v>
      </c>
      <c r="AV442" s="2" t="inlineStr">
        <is>
          <t>modelo+año</t>
        </is>
      </c>
      <c r="AW442" s="2" t="inlineStr">
        <is>
          <t>cochesnet:71666551 (https://www.coches.net/suzuki-swift-13-ddis-glx-5p-5p-diesel-2006-en-valencia-71666551-covo.aspx)</t>
        </is>
      </c>
      <c r="AX442" s="2" t="inlineStr">
        <is>
          <t>etiqueta A dudosa: confirmar etiqueta con la DGT antes de comprar; cilindrada desconocida: se aplica el tramo de cuota fija más alto; cuota fija ITP: &gt;12 años, más de 2.000 cc; diésel: motor sin fuente de fiabilidad (fiabilidad limitada a neutra)</t>
        </is>
      </c>
      <c r="AY442" s="2" t="inlineStr">
        <is>
          <t>-Vendo Suzuki Swift 1.3 Ddis diesel del 2006 de 70cv con 122000km
-Vendo el coche porque tengo otro y no voy a usar este, tiene pastillas, discos de freno, aceite y filtros cambiado hace menos de 3000km, la batería tiene 2 años se le cambió el alternador hace tiempo y los faros están pulidos, ITV pasada hace menos de un mes. No hay que hacerle nada está listo para disfrutarlo y hacer kilómetros.
-Etiqueta medioambiental B
Pantalla android con Apple carplay y android auto 4gb de RAM y 64 de almacenamiento(costo más de 250€) también tengo la radio original, se puede ver en la foto del maletero.
-Interior impoluto recién limpiado con máquina lavatapicerias de inyección extracción.
-Presenta desgastes lógicos por los años en ambos parachoques, delantero y trasero.
-Ideal como primer coche o coche para ir al trabajo, no consume nada.
-Cualquier duda o consulta no dudes en escribir, el coche se puede ver en Valencia o Albacete.</t>
        </is>
      </c>
      <c r="AZ442" s="2" t="inlineStr">
        <is>
          <t>https://www.coches.net/suzuki-swift-diesel-2006-en-valencia-71666662-covo.aspx (window.__INITIAL_PROPS__.ad) /home/user/Alopecia/buscador-coches/raw/cochesnet/c780e000178af53c.json</t>
        </is>
      </c>
      <c r="BA442" s="3">
        <f>MAX(ANIO_ACTUAL-M442,0)</f>
        <v/>
      </c>
      <c r="BB442" s="4">
        <f>N442/MAX(BA442,0.5)</f>
        <v/>
      </c>
      <c r="BC442" s="4">
        <f>F442</f>
        <v/>
      </c>
      <c r="BD442" s="3">
        <f>BC442&amp;"|"&amp;INT(M442/SEG_ANIO)*SEG_ANIO</f>
        <v/>
      </c>
      <c r="BE442" s="3">
        <f>BD442&amp;"|"&amp;INT(N442/SEG_KM)*SEG_KM</f>
        <v/>
      </c>
      <c r="BF442" s="4">
        <f>COUNTIF($BC$2:$BC$545,BC442)</f>
        <v/>
      </c>
      <c r="BG442" s="4">
        <f>COUNTIF($BD$2:$BD$545,BD442)</f>
        <v/>
      </c>
      <c r="BH442" s="4">
        <f>COUNTIF($BE$2:$BE$545,BE442)</f>
        <v/>
      </c>
      <c r="BI442" s="3">
        <f t="array" ref="BI442">IF(N(AU442)&gt;=MIN_N,AT442,IF(BH442&gt;=MIN_N,MEDIAN(IF($BE$2:$BE$545=BE442,$O$2:$O$545)),IF(BG442&gt;=MIN_N,MEDIAN(IF($BD$2:$BD$545=BD442,$O$2:$O$545)),MEDIAN(IF($BC$2:$BC$545=BC442,$O$2:$O$545)))))</f>
        <v/>
      </c>
      <c r="BJ442" s="3">
        <f>IF(N(AU442)&gt;=MIN_N,"mercado "&amp;AV442,IF(BH442&gt;=MIN_N,"modelo+año+km",IF(BG442&gt;=MIN_N,"modelo+año","modelo")))</f>
        <v/>
      </c>
      <c r="BK442" s="4">
        <f>(BI442-O442)/BI442</f>
        <v/>
      </c>
      <c r="BL442" s="3">
        <f>IF(COUNTIFS(FR_FUEL,K442,FR_YEAR,AP442)&gt;0,1,0)</f>
        <v/>
      </c>
      <c r="BM442" s="3">
        <f>IF(COUNTIFS(FR_FUEL,K442,FR_YEAR,AP442-1)&gt;0,1,0)</f>
        <v/>
      </c>
      <c r="BN442" s="4">
        <f>IF(N(AQ442)&gt;0,AP442*100+AQ442,IF(AND(BL442=1,BM442=1),(AP442-1)*100+1,AP442*100+1))</f>
        <v/>
      </c>
      <c r="BO442" s="3">
        <f>IF(OR(K442="hibrido",K442="glp",K442="gnc",K442="phev"),"ECO",IF(K442="electrico","CERO",IF(K442="gasolina",IF(BN442&gt;=GAS_C_YM,"C",IF(BN442&gt;=GAS_B_YM,"B","A")),IF(K442="diesel",IF(BN442&gt;=DIE_C_YM,"C",IF(BN442&gt;=DIE_B_YM,"B","A")),""))))</f>
        <v/>
      </c>
      <c r="BP442" s="4">
        <f>BO442</f>
        <v/>
      </c>
      <c r="BQ442" s="4">
        <f>IF(AS442="regla",IF(AND(N(AQ442)=0,BL442=1),"sí","no"),"no")</f>
        <v/>
      </c>
      <c r="BR442" s="3">
        <f>IFERROR(VLOOKUP(F442,MOD_TBL,11,0),IFERROR(VLOOKUP(E442,OCU_TBL,2,0),NEUTRO))</f>
        <v/>
      </c>
      <c r="BS442" s="3">
        <f>SUMIFS(MOT_AJUSTE,MOT_MOTOR,G442,MOT_MARCA,E442,MOT_DESDE,"&lt;="&amp;M442,MOT_HASTA,"&gt;="&amp;M442)+SUMIFS(MOT_AJUSTE,MOT_MOTOR,G442,MOT_MARCA,"(todas)",MOT_DESDE,"&lt;="&amp;M442,MOT_HASTA,"&gt;="&amp;M442)</f>
        <v/>
      </c>
      <c r="BT442" s="3">
        <f>SUMIFS(COMB_AJUSTE,COMB_COMB,K442)</f>
        <v/>
      </c>
      <c r="BU442" s="3">
        <f>COUNTIFS(MOT_MOTOR,G442,MOT_MARCA,E442,MOT_DESDE,"&lt;="&amp;M442,MOT_HASTA,"&gt;="&amp;M442)+COUNTIFS(MOT_MOTOR,G442,MOT_MARCA,"(todas)",MOT_DESDE,"&lt;="&amp;M442,MOT_HASTA,"&gt;="&amp;M442)</f>
        <v/>
      </c>
      <c r="BV442" s="3">
        <f>IF(AND(K442="diesel",BU442=0),MIN(BR442,NEUTRO),BR442)</f>
        <v/>
      </c>
      <c r="BW442" s="4">
        <f>MAX(0,MIN(100,BV442+BS442+BT442))</f>
        <v/>
      </c>
      <c r="BX442" s="3">
        <f>MAX(0,MIN(100,50+BK442*PRECIO_PEND))</f>
        <v/>
      </c>
      <c r="BY442" s="3">
        <f>MAX(0,100*(1-N442/KM_MAX))</f>
        <v/>
      </c>
      <c r="BZ442" s="3">
        <f>IF(BB442&lt;KMA_SOSP,IF(AA442="sí",100,KMA_PEN),IF(BB442&lt;=KMA_IDEAL_MAX,100,MAX(0,100*(KMA_CERO-BB442)/(KMA_CERO-KMA_IDEAL_MAX))))</f>
        <v/>
      </c>
      <c r="CA442" s="3">
        <f>MAX(0,MIN(100,100*(M442-ANIO_MIN)/(ANIO_ACTUAL-ANIO_MIN)))</f>
        <v/>
      </c>
      <c r="CB442" s="3">
        <f>W_KMT*BY442+W_KMA*BZ442+W_EDAD*CA442</f>
        <v/>
      </c>
      <c r="CC442" s="3">
        <f>P_ITV*(V442="sí")+P_LIBRO*(W442="sí")+P_CORREA*(X442="sí")+P_PROP*(Y442=1)+P_GAR*(Z442="sí")+P_FOTOS*MIN(1,N(U442)/FOTOS_OBJ)</f>
        <v/>
      </c>
      <c r="CD442" s="3">
        <f>MAX(0,MIN(100,IFERROR(VLOOKUP(BP442,ETQ_TBL,2,0),0)-IF(BQ442="sí",ETQ_PEN_DUD,IF(AS442="regla",ETQ_PEN_REGLA,0))))</f>
        <v/>
      </c>
      <c r="CE442" s="3">
        <f>NEUTRO</f>
        <v/>
      </c>
      <c r="CF442" s="3">
        <f>IFERROR(VLOOKUP(L442,SEGURO_TBL,3,0),"")</f>
        <v/>
      </c>
      <c r="CG442" s="3">
        <f>IF(CF442="",NEUTRO,MAX(0,MIN(100,100*(SEG_REF_MAX-CF442)/(SEG_REF_MAX-SEG_REF_MIN))))</f>
        <v/>
      </c>
      <c r="CH442" s="3">
        <f>W_CONS*CE442+W_SEG*CG442</f>
        <v/>
      </c>
      <c r="CI442" s="3">
        <f>IF(N(AB442)&gt;0,AB442,IF(AND(R442="profesional",SG_LEGAL_ON=1),GAR_LEGAL,0))</f>
        <v/>
      </c>
      <c r="CJ442" s="3">
        <f>SG_GAR*MIN(1,CI442/SG_GAR_FULL)+SG_AMPL*(AC442="sí")+SG_KMC*(AF442="sí")+SG_REV*(N(AE442)&gt;0)+SG_DEV*MIN(1,N(AG442)/SG_DEV_FULL)+SG_HIST*(W442="sí")</f>
        <v/>
      </c>
      <c r="CK442" s="3">
        <f>IFERROR(VLOOKUP(L442,CARR_PEN_TBL,2,0),0)</f>
        <v/>
      </c>
      <c r="CL442" s="3">
        <f>W_FIAB*BW442+W_PRECIO*BX442+W_KMEDAD*CB442+W_ANUNCIO*CC442+W_USO*CH442+W_SEGURIDAD*CJ442+W_ETIQUETA*CD442-CK442</f>
        <v/>
      </c>
      <c r="CM442" s="4">
        <f>IF(N(I442)&gt;0,I442,IFERROR(ROUND(_xlfn.NUMBERVALUE(LEFT(G442,FIND(" ",G442&amp;" ")-1),".")*1000,0),99999))</f>
        <v/>
      </c>
      <c r="CN442" s="3">
        <f>IF(R442="profesional",0,IF(O442&lt;CUOTA_VALOR_MAX,IF(BA442&gt;ITP_TRAMO_ALTO,SUMIFS(CF_CUOTA,CF_MAS,ITP_TRAMO_ALTO,CF_CCMIN,"&lt;="&amp;CM442,CF_CCMAX,"&gt;="&amp;CM442),IF(BA442&gt;ITP_TRAMO_BAJO,SUMIFS(CF_CUOTA,CF_MAS,ITP_TRAMO_BAJO,CF_CCMIN,"&lt;="&amp;CM442,CF_CCMAX,"&gt;="&amp;CM442),O442*ITP_TIPO)),O442*ITP_TIPO))</f>
        <v/>
      </c>
      <c r="CO442" s="4">
        <f>IF(R442="profesional",N(AK442),0)</f>
        <v/>
      </c>
      <c r="CP442" s="3">
        <f>IF(AND(R442="profesional",ISNUMBER(AK442),AL442="sí"),0,TASA_DGT)</f>
        <v/>
      </c>
      <c r="CQ442" s="3">
        <f>INFORME_DGT</f>
        <v/>
      </c>
      <c r="CR442" s="4">
        <f>O442+CO442+CN442+CP442+CQ442</f>
        <v/>
      </c>
      <c r="CS442" s="4">
        <f>CR442+N(CF442)</f>
        <v/>
      </c>
      <c r="CT442" s="3">
        <f>IF(CR442&lt;=TOTAL_MAX,"sí",IF(CR442&lt;=TOTAL_MAX+MARGEN_NEG,"negociar","no"))</f>
        <v/>
      </c>
      <c r="CU442" s="4">
        <f>IF(CT442&lt;&gt;"no",COUNTIFS($CT$2:$CT$545,"&lt;&gt;no",$CL$2:$CL$545,"&gt;"&amp;CL442)+COUNTIFS($CT$2:CT442,"&lt;&gt;no",$CL$2:CL442,CL442),"")</f>
        <v/>
      </c>
    </row>
    <row r="443">
      <c r="A443" s="2" t="inlineStr">
        <is>
          <t>cochesnet:71604098</t>
        </is>
      </c>
      <c r="B443" s="2" t="inlineStr">
        <is>
          <t>cochesnet</t>
        </is>
      </c>
      <c r="C443" s="2" t="inlineStr">
        <is>
          <t>https://www.coches.net/suzuki-swift-13-gl-5p-5p-gasolina-2006-en-valencia-71604098-covo.aspx</t>
        </is>
      </c>
      <c r="D443" s="2" t="inlineStr">
        <is>
          <t>SUZUKI Swift 1.3 GL</t>
        </is>
      </c>
      <c r="E443" s="2" t="inlineStr">
        <is>
          <t>Suzuki</t>
        </is>
      </c>
      <c r="F443" s="2" t="inlineStr">
        <is>
          <t>Suzuki Swift</t>
        </is>
      </c>
      <c r="G443" s="2" t="inlineStr">
        <is>
          <t>1.3</t>
        </is>
      </c>
      <c r="H443" s="2" t="inlineStr">
        <is>
          <t>1.3 GL 5p</t>
        </is>
      </c>
      <c r="I443" s="2" t="n"/>
      <c r="J443" s="2" t="n"/>
      <c r="K443" s="2" t="inlineStr">
        <is>
          <t>gasolina</t>
        </is>
      </c>
      <c r="L443" s="2" t="inlineStr">
        <is>
          <t>utilitario</t>
        </is>
      </c>
      <c r="M443" s="2" t="n">
        <v>2006</v>
      </c>
      <c r="N443" s="2" t="n">
        <v>206000</v>
      </c>
      <c r="O443" s="2" t="n">
        <v>2800</v>
      </c>
      <c r="P443" s="2" t="inlineStr">
        <is>
          <t>manual</t>
        </is>
      </c>
      <c r="Q443" s="2" t="inlineStr">
        <is>
          <t>no</t>
        </is>
      </c>
      <c r="R443" s="2" t="inlineStr">
        <is>
          <t>particular</t>
        </is>
      </c>
      <c r="S443" s="2" t="inlineStr">
        <is>
          <t>San Antonio de Benagéber</t>
        </is>
      </c>
      <c r="T443" s="2" t="inlineStr">
        <is>
          <t>2026-09-26T18:45:21Z</t>
        </is>
      </c>
      <c r="U443" s="2" t="n">
        <v>6</v>
      </c>
      <c r="V443" s="2" t="n"/>
      <c r="W443" s="2" t="n"/>
      <c r="X443" s="2" t="n"/>
      <c r="Y443" s="2" t="n"/>
      <c r="Z443" s="2" t="inlineStr">
        <is>
          <t>no</t>
        </is>
      </c>
      <c r="AA443" s="2" t="n"/>
      <c r="AB443" s="2" t="n"/>
      <c r="AC443" s="2" t="n"/>
      <c r="AD443" s="2" t="n"/>
      <c r="AE443" s="2" t="n"/>
      <c r="AF443" s="2" t="n"/>
      <c r="AG443" s="2" t="n"/>
      <c r="AH443" s="2" t="n">
        <v>2800</v>
      </c>
      <c r="AI443" s="2" t="n"/>
      <c r="AJ443" s="2" t="n"/>
      <c r="AK443" s="2" t="n"/>
      <c r="AL443" s="2" t="n"/>
      <c r="AM443" s="2" t="n">
        <v>19.1</v>
      </c>
      <c r="AN443" s="2" t="inlineStr">
        <is>
          <t>DE1328CC</t>
        </is>
      </c>
      <c r="AO443" s="2" t="inlineStr">
        <is>
          <t>2006</t>
        </is>
      </c>
      <c r="AP443" s="2" t="n">
        <v>2006</v>
      </c>
      <c r="AQ443" s="2" t="n"/>
      <c r="AR443" s="2" t="inlineStr">
        <is>
          <t>B</t>
        </is>
      </c>
      <c r="AS443" s="2" t="inlineStr">
        <is>
          <t>anuncio</t>
        </is>
      </c>
      <c r="AT443" s="2" t="n">
        <v>3475</v>
      </c>
      <c r="AU443" s="2" t="n">
        <v>5</v>
      </c>
      <c r="AV443" s="2" t="inlineStr">
        <is>
          <t>modelo+año</t>
        </is>
      </c>
      <c r="AW443" s="2" t="inlineStr">
        <is>
          <t>cochesnet:71652616 (https://www.coches.net/suzuki-swift-gasolina-2006-en-valencia-71652616-covo.aspx)</t>
        </is>
      </c>
      <c r="AX443" s="2" t="inlineStr">
        <is>
          <t>cuota fija ITP: &gt;12 años, hasta 1.500 cc</t>
        </is>
      </c>
      <c r="AY443" s="2" t="inlineStr">
        <is>
          <t>Vendo mi Suzuki Swift 1.3 GL, un vehículo práctico y fiable que ha demostrado ser una excelente inversión. Con más de 200.000 kilómetros recorridos, sigue funcionando correctamente y listo para seguir prestando servicio.
Este modelo es perfecto si buscas un coche ágil y económico para moverte por la ciudad sin complicaciones. El Swift es conocido por su bajo consumo de combustible, lo que te permitirá ahorrar significativamente en cada repostaje. Su motor de 1328 cc ofrece la potencia suficiente para una conducción cómoda en cualquier situación.
La carrocería de cinco puertas facilita el acceso y la comodidad para los pasajeros, mientras que la transmisión manual te proporciona control total de la conducción. Con capacidad para cinco ocupantes, es ideal tanto para uso personal como familiar.
Se trata de un berlina compacta que combina practicidad y maniobrabilidad, especialmente útil en entornos urbanos donde el espacio es limitado. Su tamaño reducido no compromete el confort interior ni la funcionalidad.
Soy vendedor particular y estoy disponible para resolver cualquier duda que tengas sobre el estado del vehículo o detalles específicos que no encuentres en la ficha. Puedes contactarme a través del chat del portal para una comunicación directa y rápida.
Si buscas un coche económico, confiable y listo para continuar su andadura, no dejes pasar esta oportunidad. Contacta hoy mismo para más información o para concertar una cita de inspección.</t>
        </is>
      </c>
      <c r="AZ443" s="2" t="inlineStr">
        <is>
          <t>https://www.coches.net/suzuki-swift-13-gl-5p-5p-gasolina-2006-en-valencia-71604098-covo.aspx (window.__INITIAL_PROPS__.ad) /home/user/Alopecia/buscador-coches/raw/cochesnet/ace8dad539e9784d.json</t>
        </is>
      </c>
      <c r="BA443" s="3">
        <f>MAX(ANIO_ACTUAL-M443,0)</f>
        <v/>
      </c>
      <c r="BB443" s="4">
        <f>N443/MAX(BA443,0.5)</f>
        <v/>
      </c>
      <c r="BC443" s="4">
        <f>F443</f>
        <v/>
      </c>
      <c r="BD443" s="3">
        <f>BC443&amp;"|"&amp;INT(M443/SEG_ANIO)*SEG_ANIO</f>
        <v/>
      </c>
      <c r="BE443" s="3">
        <f>BD443&amp;"|"&amp;INT(N443/SEG_KM)*SEG_KM</f>
        <v/>
      </c>
      <c r="BF443" s="4">
        <f>COUNTIF($BC$2:$BC$545,BC443)</f>
        <v/>
      </c>
      <c r="BG443" s="4">
        <f>COUNTIF($BD$2:$BD$545,BD443)</f>
        <v/>
      </c>
      <c r="BH443" s="4">
        <f>COUNTIF($BE$2:$BE$545,BE443)</f>
        <v/>
      </c>
      <c r="BI443" s="3">
        <f t="array" ref="BI443">IF(N(AU443)&gt;=MIN_N,AT443,IF(BH443&gt;=MIN_N,MEDIAN(IF($BE$2:$BE$545=BE443,$O$2:$O$545)),IF(BG443&gt;=MIN_N,MEDIAN(IF($BD$2:$BD$545=BD443,$O$2:$O$545)),MEDIAN(IF($BC$2:$BC$545=BC443,$O$2:$O$545)))))</f>
        <v/>
      </c>
      <c r="BJ443" s="3">
        <f>IF(N(AU443)&gt;=MIN_N,"mercado "&amp;AV443,IF(BH443&gt;=MIN_N,"modelo+año+km",IF(BG443&gt;=MIN_N,"modelo+año","modelo")))</f>
        <v/>
      </c>
      <c r="BK443" s="4">
        <f>(BI443-O443)/BI443</f>
        <v/>
      </c>
      <c r="BL443" s="3">
        <f>IF(COUNTIFS(FR_FUEL,K443,FR_YEAR,AP443)&gt;0,1,0)</f>
        <v/>
      </c>
      <c r="BM443" s="3">
        <f>IF(COUNTIFS(FR_FUEL,K443,FR_YEAR,AP443-1)&gt;0,1,0)</f>
        <v/>
      </c>
      <c r="BN443" s="4">
        <f>IF(N(AQ443)&gt;0,AP443*100+AQ443,IF(AND(BL443=1,BM443=1),(AP443-1)*100+1,AP443*100+1))</f>
        <v/>
      </c>
      <c r="BO443" s="3">
        <f>IF(OR(K443="hibrido",K443="glp",K443="gnc",K443="phev"),"ECO",IF(K443="electrico","CERO",IF(K443="gasolina",IF(BN443&gt;=GAS_C_YM,"C",IF(BN443&gt;=GAS_B_YM,"B","A")),IF(K443="diesel",IF(BN443&gt;=DIE_C_YM,"C",IF(BN443&gt;=DIE_B_YM,"B","A")),""))))</f>
        <v/>
      </c>
      <c r="BP443" s="2" t="inlineStr">
        <is>
          <t>B</t>
        </is>
      </c>
      <c r="BQ443" s="4">
        <f>IF(AS443="regla",IF(AND(N(AQ443)=0,BL443=1),"sí","no"),"no")</f>
        <v/>
      </c>
      <c r="BR443" s="3">
        <f>IFERROR(VLOOKUP(F443,MOD_TBL,11,0),IFERROR(VLOOKUP(E443,OCU_TBL,2,0),NEUTRO))</f>
        <v/>
      </c>
      <c r="BS443" s="3">
        <f>SUMIFS(MOT_AJUSTE,MOT_MOTOR,G443,MOT_MARCA,E443,MOT_DESDE,"&lt;="&amp;M443,MOT_HASTA,"&gt;="&amp;M443)+SUMIFS(MOT_AJUSTE,MOT_MOTOR,G443,MOT_MARCA,"(todas)",MOT_DESDE,"&lt;="&amp;M443,MOT_HASTA,"&gt;="&amp;M443)</f>
        <v/>
      </c>
      <c r="BT443" s="3">
        <f>SUMIFS(COMB_AJUSTE,COMB_COMB,K443)</f>
        <v/>
      </c>
      <c r="BU443" s="3">
        <f>COUNTIFS(MOT_MOTOR,G443,MOT_MARCA,E443,MOT_DESDE,"&lt;="&amp;M443,MOT_HASTA,"&gt;="&amp;M443)+COUNTIFS(MOT_MOTOR,G443,MOT_MARCA,"(todas)",MOT_DESDE,"&lt;="&amp;M443,MOT_HASTA,"&gt;="&amp;M443)</f>
        <v/>
      </c>
      <c r="BV443" s="3">
        <f>IF(AND(K443="diesel",BU443=0),MIN(BR443,NEUTRO),BR443)</f>
        <v/>
      </c>
      <c r="BW443" s="4">
        <f>MAX(0,MIN(100,BV443+BS443+BT443))</f>
        <v/>
      </c>
      <c r="BX443" s="3">
        <f>MAX(0,MIN(100,50+BK443*PRECIO_PEND))</f>
        <v/>
      </c>
      <c r="BY443" s="3">
        <f>MAX(0,100*(1-N443/KM_MAX))</f>
        <v/>
      </c>
      <c r="BZ443" s="3">
        <f>IF(BB443&lt;KMA_SOSP,IF(AA443="sí",100,KMA_PEN),IF(BB443&lt;=KMA_IDEAL_MAX,100,MAX(0,100*(KMA_CERO-BB443)/(KMA_CERO-KMA_IDEAL_MAX))))</f>
        <v/>
      </c>
      <c r="CA443" s="3">
        <f>MAX(0,MIN(100,100*(M443-ANIO_MIN)/(ANIO_ACTUAL-ANIO_MIN)))</f>
        <v/>
      </c>
      <c r="CB443" s="3">
        <f>W_KMT*BY443+W_KMA*BZ443+W_EDAD*CA443</f>
        <v/>
      </c>
      <c r="CC443" s="3">
        <f>P_ITV*(V443="sí")+P_LIBRO*(W443="sí")+P_CORREA*(X443="sí")+P_PROP*(Y443=1)+P_GAR*(Z443="sí")+P_FOTOS*MIN(1,N(U443)/FOTOS_OBJ)</f>
        <v/>
      </c>
      <c r="CD443" s="3">
        <f>MAX(0,MIN(100,IFERROR(VLOOKUP(BP443,ETQ_TBL,2,0),0)-IF(BQ443="sí",ETQ_PEN_DUD,IF(AS443="regla",ETQ_PEN_REGLA,0))))</f>
        <v/>
      </c>
      <c r="CE443" s="3">
        <f>NEUTRO</f>
        <v/>
      </c>
      <c r="CF443" s="3">
        <f>IFERROR(VLOOKUP(L443,SEGURO_TBL,3,0),"")</f>
        <v/>
      </c>
      <c r="CG443" s="3">
        <f>IF(CF443="",NEUTRO,MAX(0,MIN(100,100*(SEG_REF_MAX-CF443)/(SEG_REF_MAX-SEG_REF_MIN))))</f>
        <v/>
      </c>
      <c r="CH443" s="3">
        <f>W_CONS*CE443+W_SEG*CG443</f>
        <v/>
      </c>
      <c r="CI443" s="3">
        <f>IF(N(AB443)&gt;0,AB443,IF(AND(R443="profesional",SG_LEGAL_ON=1),GAR_LEGAL,0))</f>
        <v/>
      </c>
      <c r="CJ443" s="3">
        <f>SG_GAR*MIN(1,CI443/SG_GAR_FULL)+SG_AMPL*(AC443="sí")+SG_KMC*(AF443="sí")+SG_REV*(N(AE443)&gt;0)+SG_DEV*MIN(1,N(AG443)/SG_DEV_FULL)+SG_HIST*(W443="sí")</f>
        <v/>
      </c>
      <c r="CK443" s="3">
        <f>IFERROR(VLOOKUP(L443,CARR_PEN_TBL,2,0),0)</f>
        <v/>
      </c>
      <c r="CL443" s="3">
        <f>W_FIAB*BW443+W_PRECIO*BX443+W_KMEDAD*CB443+W_ANUNCIO*CC443+W_USO*CH443+W_SEGURIDAD*CJ443+W_ETIQUETA*CD443-CK443</f>
        <v/>
      </c>
      <c r="CM443" s="4">
        <f>IF(N(I443)&gt;0,I443,IFERROR(ROUND(_xlfn.NUMBERVALUE(LEFT(G443,FIND(" ",G443&amp;" ")-1),".")*1000,0),99999))</f>
        <v/>
      </c>
      <c r="CN443" s="3">
        <f>IF(R443="profesional",0,IF(O443&lt;CUOTA_VALOR_MAX,IF(BA443&gt;ITP_TRAMO_ALTO,SUMIFS(CF_CUOTA,CF_MAS,ITP_TRAMO_ALTO,CF_CCMIN,"&lt;="&amp;CM443,CF_CCMAX,"&gt;="&amp;CM443),IF(BA443&gt;ITP_TRAMO_BAJO,SUMIFS(CF_CUOTA,CF_MAS,ITP_TRAMO_BAJO,CF_CCMIN,"&lt;="&amp;CM443,CF_CCMAX,"&gt;="&amp;CM443),O443*ITP_TIPO)),O443*ITP_TIPO))</f>
        <v/>
      </c>
      <c r="CO443" s="4">
        <f>IF(R443="profesional",N(AK443),0)</f>
        <v/>
      </c>
      <c r="CP443" s="3">
        <f>IF(AND(R443="profesional",ISNUMBER(AK443),AL443="sí"),0,TASA_DGT)</f>
        <v/>
      </c>
      <c r="CQ443" s="3">
        <f>INFORME_DGT</f>
        <v/>
      </c>
      <c r="CR443" s="4">
        <f>O443+CO443+CN443+CP443+CQ443</f>
        <v/>
      </c>
      <c r="CS443" s="4">
        <f>CR443+N(CF443)</f>
        <v/>
      </c>
      <c r="CT443" s="3">
        <f>IF(CR443&lt;=TOTAL_MAX,"sí",IF(CR443&lt;=TOTAL_MAX+MARGEN_NEG,"negociar","no"))</f>
        <v/>
      </c>
      <c r="CU443" s="4">
        <f>IF(CT443&lt;&gt;"no",COUNTIFS($CT$2:$CT$545,"&lt;&gt;no",$CL$2:$CL$545,"&gt;"&amp;CL443)+COUNTIFS($CT$2:CT443,"&lt;&gt;no",$CL$2:CL443,CL443),"")</f>
        <v/>
      </c>
    </row>
    <row r="444">
      <c r="A444" s="2" t="inlineStr">
        <is>
          <t>cochesnet:71649260</t>
        </is>
      </c>
      <c r="B444" s="2" t="inlineStr">
        <is>
          <t>cochesnet</t>
        </is>
      </c>
      <c r="C444" s="2" t="inlineStr">
        <is>
          <t>https://www.coches.net/audi-a3-sportback-19-tdi-ambiente-dpf-5p-diesel-2006-en-valencia-71649260-covo.aspx</t>
        </is>
      </c>
      <c r="D444" s="2" t="inlineStr">
        <is>
          <t>AUDI A3 Sportback 1.9 TDI Ambiente DPF</t>
        </is>
      </c>
      <c r="E444" s="2" t="inlineStr">
        <is>
          <t>Audi</t>
        </is>
      </c>
      <c r="F444" s="2" t="inlineStr">
        <is>
          <t>Audi A3</t>
        </is>
      </c>
      <c r="G444" s="2" t="inlineStr">
        <is>
          <t>1.9 TDI</t>
        </is>
      </c>
      <c r="H444" s="2" t="inlineStr">
        <is>
          <t>Sportback 1.9 TDI Ambiente DPF</t>
        </is>
      </c>
      <c r="I444" s="2" t="n"/>
      <c r="J444" s="2" t="n"/>
      <c r="K444" s="2" t="inlineStr">
        <is>
          <t>diesel</t>
        </is>
      </c>
      <c r="L444" s="2" t="inlineStr">
        <is>
          <t>compacto</t>
        </is>
      </c>
      <c r="M444" s="2" t="n">
        <v>2006</v>
      </c>
      <c r="N444" s="2" t="n">
        <v>140000</v>
      </c>
      <c r="O444" s="2" t="n">
        <v>3500</v>
      </c>
      <c r="P444" s="2" t="inlineStr">
        <is>
          <t>manual</t>
        </is>
      </c>
      <c r="Q444" s="2" t="inlineStr">
        <is>
          <t>no</t>
        </is>
      </c>
      <c r="R444" s="2" t="inlineStr">
        <is>
          <t>particular</t>
        </is>
      </c>
      <c r="S444" s="2" t="inlineStr">
        <is>
          <t>Valencia</t>
        </is>
      </c>
      <c r="T444" s="2" t="inlineStr">
        <is>
          <t>2026-10-01T17:26:07Z</t>
        </is>
      </c>
      <c r="U444" s="2" t="n">
        <v>9</v>
      </c>
      <c r="V444" s="2" t="n"/>
      <c r="W444" s="2" t="n"/>
      <c r="X444" s="2" t="n"/>
      <c r="Y444" s="2" t="n"/>
      <c r="Z444" s="2" t="inlineStr">
        <is>
          <t>no</t>
        </is>
      </c>
      <c r="AA444" s="2" t="n"/>
      <c r="AB444" s="2" t="n"/>
      <c r="AC444" s="2" t="n"/>
      <c r="AD444" s="2" t="n"/>
      <c r="AE444" s="2" t="n"/>
      <c r="AF444" s="2" t="n"/>
      <c r="AG444" s="2" t="n"/>
      <c r="AH444" s="2" t="n">
        <v>3500</v>
      </c>
      <c r="AI444" s="2" t="n"/>
      <c r="AJ444" s="2" t="n"/>
      <c r="AK444" s="2" t="n"/>
      <c r="AL444" s="2" t="n"/>
      <c r="AM444" s="2" t="n">
        <v>0.1</v>
      </c>
      <c r="AN444" s="2" t="n"/>
      <c r="AO444" s="2" t="inlineStr">
        <is>
          <t>03/2006</t>
        </is>
      </c>
      <c r="AP444" s="2" t="n">
        <v>2006</v>
      </c>
      <c r="AQ444" s="2" t="n">
        <v>3</v>
      </c>
      <c r="AR444" s="2" t="n"/>
      <c r="AS444" s="2" t="inlineStr">
        <is>
          <t>regla</t>
        </is>
      </c>
      <c r="AT444" s="2" t="n">
        <v>4200</v>
      </c>
      <c r="AU444" s="2" t="n">
        <v>39</v>
      </c>
      <c r="AV444" s="2" t="inlineStr">
        <is>
          <t>modelo+año</t>
        </is>
      </c>
      <c r="AW444" s="2" t="n"/>
      <c r="AX444" s="2" t="inlineStr">
        <is>
          <t>cuota fija ITP: &gt;12 años, 1.501-2.000 cc; diésel: motor sin fuente de fiabilidad (fiabilidad limitada a neutra); fiabilidad del modelo PENDIENTE de fuente (puntuación neutra)</t>
        </is>
      </c>
      <c r="AY444" s="2" t="inlineStr"/>
      <c r="AZ444" s="2" t="inlineStr">
        <is>
          <t>https://www.coches.net/audi-a3-sportback-19-tdi-ambiente-dpf-5p-diesel-2006-en-valencia-71649260-covo.aspx (window.__INITIAL_PROPS__.ad) /home/user/Alopecia/buscador-coches/raw/cochesnet/4d1d2b8954b77bac.json</t>
        </is>
      </c>
      <c r="BA444" s="3">
        <f>MAX(ANIO_ACTUAL-M444,0)</f>
        <v/>
      </c>
      <c r="BB444" s="4">
        <f>N444/MAX(BA444,0.5)</f>
        <v/>
      </c>
      <c r="BC444" s="4">
        <f>F444</f>
        <v/>
      </c>
      <c r="BD444" s="3">
        <f>BC444&amp;"|"&amp;INT(M444/SEG_ANIO)*SEG_ANIO</f>
        <v/>
      </c>
      <c r="BE444" s="3">
        <f>BD444&amp;"|"&amp;INT(N444/SEG_KM)*SEG_KM</f>
        <v/>
      </c>
      <c r="BF444" s="4">
        <f>COUNTIF($BC$2:$BC$545,BC444)</f>
        <v/>
      </c>
      <c r="BG444" s="4">
        <f>COUNTIF($BD$2:$BD$545,BD444)</f>
        <v/>
      </c>
      <c r="BH444" s="4">
        <f>COUNTIF($BE$2:$BE$545,BE444)</f>
        <v/>
      </c>
      <c r="BI444" s="3">
        <f t="array" ref="BI444">IF(N(AU444)&gt;=MIN_N,AT444,IF(BH444&gt;=MIN_N,MEDIAN(IF($BE$2:$BE$545=BE444,$O$2:$O$545)),IF(BG444&gt;=MIN_N,MEDIAN(IF($BD$2:$BD$545=BD444,$O$2:$O$545)),MEDIAN(IF($BC$2:$BC$545=BC444,$O$2:$O$545)))))</f>
        <v/>
      </c>
      <c r="BJ444" s="3">
        <f>IF(N(AU444)&gt;=MIN_N,"mercado "&amp;AV444,IF(BH444&gt;=MIN_N,"modelo+año+km",IF(BG444&gt;=MIN_N,"modelo+año","modelo")))</f>
        <v/>
      </c>
      <c r="BK444" s="4">
        <f>(BI444-O444)/BI444</f>
        <v/>
      </c>
      <c r="BL444" s="3">
        <f>IF(COUNTIFS(FR_FUEL,K444,FR_YEAR,AP444)&gt;0,1,0)</f>
        <v/>
      </c>
      <c r="BM444" s="3">
        <f>IF(COUNTIFS(FR_FUEL,K444,FR_YEAR,AP444-1)&gt;0,1,0)</f>
        <v/>
      </c>
      <c r="BN444" s="4">
        <f>IF(N(AQ444)&gt;0,AP444*100+AQ444,IF(AND(BL444=1,BM444=1),(AP444-1)*100+1,AP444*100+1))</f>
        <v/>
      </c>
      <c r="BO444" s="3">
        <f>IF(OR(K444="hibrido",K444="glp",K444="gnc",K444="phev"),"ECO",IF(K444="electrico","CERO",IF(K444="gasolina",IF(BN444&gt;=GAS_C_YM,"C",IF(BN444&gt;=GAS_B_YM,"B","A")),IF(K444="diesel",IF(BN444&gt;=DIE_C_YM,"C",IF(BN444&gt;=DIE_B_YM,"B","A")),""))))</f>
        <v/>
      </c>
      <c r="BP444" s="4">
        <f>BO444</f>
        <v/>
      </c>
      <c r="BQ444" s="4">
        <f>IF(AS444="regla",IF(AND(N(AQ444)=0,BL444=1),"sí","no"),"no")</f>
        <v/>
      </c>
      <c r="BR444" s="3">
        <f>IFERROR(VLOOKUP(F444,MOD_TBL,11,0),IFERROR(VLOOKUP(E444,OCU_TBL,2,0),NEUTRO))</f>
        <v/>
      </c>
      <c r="BS444" s="3">
        <f>SUMIFS(MOT_AJUSTE,MOT_MOTOR,G444,MOT_MARCA,E444,MOT_DESDE,"&lt;="&amp;M444,MOT_HASTA,"&gt;="&amp;M444)+SUMIFS(MOT_AJUSTE,MOT_MOTOR,G444,MOT_MARCA,"(todas)",MOT_DESDE,"&lt;="&amp;M444,MOT_HASTA,"&gt;="&amp;M444)</f>
        <v/>
      </c>
      <c r="BT444" s="3">
        <f>SUMIFS(COMB_AJUSTE,COMB_COMB,K444)</f>
        <v/>
      </c>
      <c r="BU444" s="3">
        <f>COUNTIFS(MOT_MOTOR,G444,MOT_MARCA,E444,MOT_DESDE,"&lt;="&amp;M444,MOT_HASTA,"&gt;="&amp;M444)+COUNTIFS(MOT_MOTOR,G444,MOT_MARCA,"(todas)",MOT_DESDE,"&lt;="&amp;M444,MOT_HASTA,"&gt;="&amp;M444)</f>
        <v/>
      </c>
      <c r="BV444" s="3">
        <f>IF(AND(K444="diesel",BU444=0),MIN(BR444,NEUTRO),BR444)</f>
        <v/>
      </c>
      <c r="BW444" s="4">
        <f>MAX(0,MIN(100,BV444+BS444+BT444))</f>
        <v/>
      </c>
      <c r="BX444" s="3">
        <f>MAX(0,MIN(100,50+BK444*PRECIO_PEND))</f>
        <v/>
      </c>
      <c r="BY444" s="3">
        <f>MAX(0,100*(1-N444/KM_MAX))</f>
        <v/>
      </c>
      <c r="BZ444" s="3">
        <f>IF(BB444&lt;KMA_SOSP,IF(AA444="sí",100,KMA_PEN),IF(BB444&lt;=KMA_IDEAL_MAX,100,MAX(0,100*(KMA_CERO-BB444)/(KMA_CERO-KMA_IDEAL_MAX))))</f>
        <v/>
      </c>
      <c r="CA444" s="3">
        <f>MAX(0,MIN(100,100*(M444-ANIO_MIN)/(ANIO_ACTUAL-ANIO_MIN)))</f>
        <v/>
      </c>
      <c r="CB444" s="3">
        <f>W_KMT*BY444+W_KMA*BZ444+W_EDAD*CA444</f>
        <v/>
      </c>
      <c r="CC444" s="3">
        <f>P_ITV*(V444="sí")+P_LIBRO*(W444="sí")+P_CORREA*(X444="sí")+P_PROP*(Y444=1)+P_GAR*(Z444="sí")+P_FOTOS*MIN(1,N(U444)/FOTOS_OBJ)</f>
        <v/>
      </c>
      <c r="CD444" s="3">
        <f>MAX(0,MIN(100,IFERROR(VLOOKUP(BP444,ETQ_TBL,2,0),0)-IF(BQ444="sí",ETQ_PEN_DUD,IF(AS444="regla",ETQ_PEN_REGLA,0))))</f>
        <v/>
      </c>
      <c r="CE444" s="3">
        <f>NEUTRO</f>
        <v/>
      </c>
      <c r="CF444" s="3">
        <f>IFERROR(VLOOKUP(L444,SEGURO_TBL,3,0),"")</f>
        <v/>
      </c>
      <c r="CG444" s="3">
        <f>IF(CF444="",NEUTRO,MAX(0,MIN(100,100*(SEG_REF_MAX-CF444)/(SEG_REF_MAX-SEG_REF_MIN))))</f>
        <v/>
      </c>
      <c r="CH444" s="3">
        <f>W_CONS*CE444+W_SEG*CG444</f>
        <v/>
      </c>
      <c r="CI444" s="3">
        <f>IF(N(AB444)&gt;0,AB444,IF(AND(R444="profesional",SG_LEGAL_ON=1),GAR_LEGAL,0))</f>
        <v/>
      </c>
      <c r="CJ444" s="3">
        <f>SG_GAR*MIN(1,CI444/SG_GAR_FULL)+SG_AMPL*(AC444="sí")+SG_KMC*(AF444="sí")+SG_REV*(N(AE444)&gt;0)+SG_DEV*MIN(1,N(AG444)/SG_DEV_FULL)+SG_HIST*(W444="sí")</f>
        <v/>
      </c>
      <c r="CK444" s="3">
        <f>IFERROR(VLOOKUP(L444,CARR_PEN_TBL,2,0),0)</f>
        <v/>
      </c>
      <c r="CL444" s="3">
        <f>W_FIAB*BW444+W_PRECIO*BX444+W_KMEDAD*CB444+W_ANUNCIO*CC444+W_USO*CH444+W_SEGURIDAD*CJ444+W_ETIQUETA*CD444-CK444</f>
        <v/>
      </c>
      <c r="CM444" s="4">
        <f>IF(N(I444)&gt;0,I444,IFERROR(ROUND(_xlfn.NUMBERVALUE(LEFT(G444,FIND(" ",G444&amp;" ")-1),".")*1000,0),99999))</f>
        <v/>
      </c>
      <c r="CN444" s="3">
        <f>IF(R444="profesional",0,IF(O444&lt;CUOTA_VALOR_MAX,IF(BA444&gt;ITP_TRAMO_ALTO,SUMIFS(CF_CUOTA,CF_MAS,ITP_TRAMO_ALTO,CF_CCMIN,"&lt;="&amp;CM444,CF_CCMAX,"&gt;="&amp;CM444),IF(BA444&gt;ITP_TRAMO_BAJO,SUMIFS(CF_CUOTA,CF_MAS,ITP_TRAMO_BAJO,CF_CCMIN,"&lt;="&amp;CM444,CF_CCMAX,"&gt;="&amp;CM444),O444*ITP_TIPO)),O444*ITP_TIPO))</f>
        <v/>
      </c>
      <c r="CO444" s="4">
        <f>IF(R444="profesional",N(AK444),0)</f>
        <v/>
      </c>
      <c r="CP444" s="3">
        <f>IF(AND(R444="profesional",ISNUMBER(AK444),AL444="sí"),0,TASA_DGT)</f>
        <v/>
      </c>
      <c r="CQ444" s="3">
        <f>INFORME_DGT</f>
        <v/>
      </c>
      <c r="CR444" s="4">
        <f>O444+CO444+CN444+CP444+CQ444</f>
        <v/>
      </c>
      <c r="CS444" s="4">
        <f>CR444+N(CF444)</f>
        <v/>
      </c>
      <c r="CT444" s="3">
        <f>IF(CR444&lt;=TOTAL_MAX,"sí",IF(CR444&lt;=TOTAL_MAX+MARGEN_NEG,"negociar","no"))</f>
        <v/>
      </c>
      <c r="CU444" s="4">
        <f>IF(CT444&lt;&gt;"no",COUNTIFS($CT$2:$CT$545,"&lt;&gt;no",$CL$2:$CL$545,"&gt;"&amp;CL444)+COUNTIFS($CT$2:CT444,"&lt;&gt;no",$CL$2:CL444,CL444),"")</f>
        <v/>
      </c>
    </row>
    <row r="445">
      <c r="A445" s="2" t="inlineStr">
        <is>
          <t>cochesnet:71855000</t>
        </is>
      </c>
      <c r="B445" s="2" t="inlineStr">
        <is>
          <t>cochesnet</t>
        </is>
      </c>
      <c r="C445" s="2" t="inlineStr">
        <is>
          <t>https://www.coches.net/mini-mini-cooper-3p-gasolina-2009-en-valencia-71855000-covo.aspx</t>
        </is>
      </c>
      <c r="D445" s="2" t="inlineStr">
        <is>
          <t>MINI MINI Cooper</t>
        </is>
      </c>
      <c r="E445" s="2" t="inlineStr">
        <is>
          <t>MINI</t>
        </is>
      </c>
      <c r="F445" s="2" t="inlineStr">
        <is>
          <t>MINI MINI</t>
        </is>
      </c>
      <c r="G445" s="2" t="n"/>
      <c r="H445" s="2" t="inlineStr">
        <is>
          <t>Cooper</t>
        </is>
      </c>
      <c r="I445" s="2" t="n"/>
      <c r="J445" s="2" t="n"/>
      <c r="K445" s="2" t="inlineStr">
        <is>
          <t>gasolina</t>
        </is>
      </c>
      <c r="L445" s="2" t="inlineStr">
        <is>
          <t>utilitario</t>
        </is>
      </c>
      <c r="M445" s="2" t="n">
        <v>2009</v>
      </c>
      <c r="N445" s="2" t="n">
        <v>160000</v>
      </c>
      <c r="O445" s="2" t="n">
        <v>3990</v>
      </c>
      <c r="P445" s="2" t="inlineStr">
        <is>
          <t>manual</t>
        </is>
      </c>
      <c r="Q445" s="2" t="inlineStr">
        <is>
          <t>no</t>
        </is>
      </c>
      <c r="R445" s="2" t="inlineStr">
        <is>
          <t>particular</t>
        </is>
      </c>
      <c r="S445" s="2" t="n"/>
      <c r="T445" s="2" t="inlineStr">
        <is>
          <t>2026-10-28T14:16:43Z</t>
        </is>
      </c>
      <c r="U445" s="2" t="n">
        <v>9</v>
      </c>
      <c r="V445" s="2" t="n"/>
      <c r="W445" s="2" t="inlineStr">
        <is>
          <t>sí</t>
        </is>
      </c>
      <c r="X445" s="2" t="n"/>
      <c r="Y445" s="2" t="n">
        <v>1</v>
      </c>
      <c r="Z445" s="2" t="inlineStr">
        <is>
          <t>no</t>
        </is>
      </c>
      <c r="AA445" s="2" t="n"/>
      <c r="AB445" s="2" t="n"/>
      <c r="AC445" s="2" t="n"/>
      <c r="AD445" s="2" t="n"/>
      <c r="AE445" s="2" t="n"/>
      <c r="AF445" s="2" t="n"/>
      <c r="AG445" s="2" t="n"/>
      <c r="AH445" s="2" t="n">
        <v>3990</v>
      </c>
      <c r="AI445" s="2" t="n"/>
      <c r="AJ445" s="2" t="n"/>
      <c r="AK445" s="2" t="n"/>
      <c r="AL445" s="2" t="n"/>
      <c r="AM445" s="2" t="n"/>
      <c r="AN445" s="2" t="n"/>
      <c r="AO445" s="2" t="inlineStr">
        <is>
          <t>2009</t>
        </is>
      </c>
      <c r="AP445" s="2" t="n">
        <v>2009</v>
      </c>
      <c r="AQ445" s="2" t="n"/>
      <c r="AR445" s="2" t="n"/>
      <c r="AS445" s="2" t="inlineStr">
        <is>
          <t>regla</t>
        </is>
      </c>
      <c r="AT445" s="2" t="n">
        <v>6000</v>
      </c>
      <c r="AU445" s="2" t="n">
        <v>9</v>
      </c>
      <c r="AV445" s="2" t="inlineStr">
        <is>
          <t>modelo+año+km</t>
        </is>
      </c>
      <c r="AW445" s="2" t="n"/>
      <c r="AX445"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45" s="2" t="inlineStr">
        <is>
          <t xml:space="preserve">Se vende mini cooper del 2009 con un solo dueño comprado nuevo en canoturia valencia con dos llaves ,libro de revisiones ,llantas en 17 ,aleron del jonh works ,doble techo solar 
SE VENDE CON EL MOTOR PARA REPARAR O CAMBIAR.
Actualmente no dispone de itv </t>
        </is>
      </c>
      <c r="AZ445" s="2" t="inlineStr">
        <is>
          <t>https://www.coches.net/mini-mini-cooper-3p-gasolina-2009-en-valencia-71855000-covo.aspx (window.__INITIAL_PROPS__.ad) /home/user/Alopecia/buscador-coches/raw/cochesnet/377e22bb2805c379.json</t>
        </is>
      </c>
      <c r="BA445" s="3">
        <f>MAX(ANIO_ACTUAL-M445,0)</f>
        <v/>
      </c>
      <c r="BB445" s="4">
        <f>N445/MAX(BA445,0.5)</f>
        <v/>
      </c>
      <c r="BC445" s="4">
        <f>F445</f>
        <v/>
      </c>
      <c r="BD445" s="3">
        <f>BC445&amp;"|"&amp;INT(M445/SEG_ANIO)*SEG_ANIO</f>
        <v/>
      </c>
      <c r="BE445" s="3">
        <f>BD445&amp;"|"&amp;INT(N445/SEG_KM)*SEG_KM</f>
        <v/>
      </c>
      <c r="BF445" s="4">
        <f>COUNTIF($BC$2:$BC$545,BC445)</f>
        <v/>
      </c>
      <c r="BG445" s="4">
        <f>COUNTIF($BD$2:$BD$545,BD445)</f>
        <v/>
      </c>
      <c r="BH445" s="4">
        <f>COUNTIF($BE$2:$BE$545,BE445)</f>
        <v/>
      </c>
      <c r="BI445" s="3">
        <f t="array" ref="BI445">IF(N(AU445)&gt;=MIN_N,AT445,IF(BH445&gt;=MIN_N,MEDIAN(IF($BE$2:$BE$545=BE445,$O$2:$O$545)),IF(BG445&gt;=MIN_N,MEDIAN(IF($BD$2:$BD$545=BD445,$O$2:$O$545)),MEDIAN(IF($BC$2:$BC$545=BC445,$O$2:$O$545)))))</f>
        <v/>
      </c>
      <c r="BJ445" s="3">
        <f>IF(N(AU445)&gt;=MIN_N,"mercado "&amp;AV445,IF(BH445&gt;=MIN_N,"modelo+año+km",IF(BG445&gt;=MIN_N,"modelo+año","modelo")))</f>
        <v/>
      </c>
      <c r="BK445" s="4">
        <f>(BI445-O445)/BI445</f>
        <v/>
      </c>
      <c r="BL445" s="3">
        <f>IF(COUNTIFS(FR_FUEL,K445,FR_YEAR,AP445)&gt;0,1,0)</f>
        <v/>
      </c>
      <c r="BM445" s="3">
        <f>IF(COUNTIFS(FR_FUEL,K445,FR_YEAR,AP445-1)&gt;0,1,0)</f>
        <v/>
      </c>
      <c r="BN445" s="4">
        <f>IF(N(AQ445)&gt;0,AP445*100+AQ445,IF(AND(BL445=1,BM445=1),(AP445-1)*100+1,AP445*100+1))</f>
        <v/>
      </c>
      <c r="BO445" s="3">
        <f>IF(OR(K445="hibrido",K445="glp",K445="gnc",K445="phev"),"ECO",IF(K445="electrico","CERO",IF(K445="gasolina",IF(BN445&gt;=GAS_C_YM,"C",IF(BN445&gt;=GAS_B_YM,"B","A")),IF(K445="diesel",IF(BN445&gt;=DIE_C_YM,"C",IF(BN445&gt;=DIE_B_YM,"B","A")),""))))</f>
        <v/>
      </c>
      <c r="BP445" s="4">
        <f>BO445</f>
        <v/>
      </c>
      <c r="BQ445" s="4">
        <f>IF(AS445="regla",IF(AND(N(AQ445)=0,BL445=1),"sí","no"),"no")</f>
        <v/>
      </c>
      <c r="BR445" s="3">
        <f>IFERROR(VLOOKUP(F445,MOD_TBL,11,0),IFERROR(VLOOKUP(E445,OCU_TBL,2,0),NEUTRO))</f>
        <v/>
      </c>
      <c r="BS445" s="3">
        <f>SUMIFS(MOT_AJUSTE,MOT_MOTOR,G445,MOT_MARCA,E445,MOT_DESDE,"&lt;="&amp;M445,MOT_HASTA,"&gt;="&amp;M445)+SUMIFS(MOT_AJUSTE,MOT_MOTOR,G445,MOT_MARCA,"(todas)",MOT_DESDE,"&lt;="&amp;M445,MOT_HASTA,"&gt;="&amp;M445)</f>
        <v/>
      </c>
      <c r="BT445" s="3">
        <f>SUMIFS(COMB_AJUSTE,COMB_COMB,K445)</f>
        <v/>
      </c>
      <c r="BU445" s="3">
        <f>COUNTIFS(MOT_MOTOR,G445,MOT_MARCA,E445,MOT_DESDE,"&lt;="&amp;M445,MOT_HASTA,"&gt;="&amp;M445)+COUNTIFS(MOT_MOTOR,G445,MOT_MARCA,"(todas)",MOT_DESDE,"&lt;="&amp;M445,MOT_HASTA,"&gt;="&amp;M445)</f>
        <v/>
      </c>
      <c r="BV445" s="3">
        <f>IF(AND(K445="diesel",BU445=0),MIN(BR445,NEUTRO),BR445)</f>
        <v/>
      </c>
      <c r="BW445" s="4">
        <f>MAX(0,MIN(100,BV445+BS445+BT445))</f>
        <v/>
      </c>
      <c r="BX445" s="3">
        <f>MAX(0,MIN(100,50+BK445*PRECIO_PEND))</f>
        <v/>
      </c>
      <c r="BY445" s="3">
        <f>MAX(0,100*(1-N445/KM_MAX))</f>
        <v/>
      </c>
      <c r="BZ445" s="3">
        <f>IF(BB445&lt;KMA_SOSP,IF(AA445="sí",100,KMA_PEN),IF(BB445&lt;=KMA_IDEAL_MAX,100,MAX(0,100*(KMA_CERO-BB445)/(KMA_CERO-KMA_IDEAL_MAX))))</f>
        <v/>
      </c>
      <c r="CA445" s="3">
        <f>MAX(0,MIN(100,100*(M445-ANIO_MIN)/(ANIO_ACTUAL-ANIO_MIN)))</f>
        <v/>
      </c>
      <c r="CB445" s="3">
        <f>W_KMT*BY445+W_KMA*BZ445+W_EDAD*CA445</f>
        <v/>
      </c>
      <c r="CC445" s="3">
        <f>P_ITV*(V445="sí")+P_LIBRO*(W445="sí")+P_CORREA*(X445="sí")+P_PROP*(Y445=1)+P_GAR*(Z445="sí")+P_FOTOS*MIN(1,N(U445)/FOTOS_OBJ)</f>
        <v/>
      </c>
      <c r="CD445" s="3">
        <f>MAX(0,MIN(100,IFERROR(VLOOKUP(BP445,ETQ_TBL,2,0),0)-IF(BQ445="sí",ETQ_PEN_DUD,IF(AS445="regla",ETQ_PEN_REGLA,0))))</f>
        <v/>
      </c>
      <c r="CE445" s="3">
        <f>NEUTRO</f>
        <v/>
      </c>
      <c r="CF445" s="3">
        <f>IFERROR(VLOOKUP(L445,SEGURO_TBL,3,0),"")</f>
        <v/>
      </c>
      <c r="CG445" s="3">
        <f>IF(CF445="",NEUTRO,MAX(0,MIN(100,100*(SEG_REF_MAX-CF445)/(SEG_REF_MAX-SEG_REF_MIN))))</f>
        <v/>
      </c>
      <c r="CH445" s="3">
        <f>W_CONS*CE445+W_SEG*CG445</f>
        <v/>
      </c>
      <c r="CI445" s="3">
        <f>IF(N(AB445)&gt;0,AB445,IF(AND(R445="profesional",SG_LEGAL_ON=1),GAR_LEGAL,0))</f>
        <v/>
      </c>
      <c r="CJ445" s="3">
        <f>SG_GAR*MIN(1,CI445/SG_GAR_FULL)+SG_AMPL*(AC445="sí")+SG_KMC*(AF445="sí")+SG_REV*(N(AE445)&gt;0)+SG_DEV*MIN(1,N(AG445)/SG_DEV_FULL)+SG_HIST*(W445="sí")</f>
        <v/>
      </c>
      <c r="CK445" s="3">
        <f>IFERROR(VLOOKUP(L445,CARR_PEN_TBL,2,0),0)</f>
        <v/>
      </c>
      <c r="CL445" s="3">
        <f>W_FIAB*BW445+W_PRECIO*BX445+W_KMEDAD*CB445+W_ANUNCIO*CC445+W_USO*CH445+W_SEGURIDAD*CJ445+W_ETIQUETA*CD445-CK445</f>
        <v/>
      </c>
      <c r="CM445" s="4">
        <f>IF(N(I445)&gt;0,I445,IFERROR(ROUND(_xlfn.NUMBERVALUE(LEFT(G445,FIND(" ",G445&amp;" ")-1),".")*1000,0),99999))</f>
        <v/>
      </c>
      <c r="CN445" s="3">
        <f>IF(R445="profesional",0,IF(O445&lt;CUOTA_VALOR_MAX,IF(BA445&gt;ITP_TRAMO_ALTO,SUMIFS(CF_CUOTA,CF_MAS,ITP_TRAMO_ALTO,CF_CCMIN,"&lt;="&amp;CM445,CF_CCMAX,"&gt;="&amp;CM445),IF(BA445&gt;ITP_TRAMO_BAJO,SUMIFS(CF_CUOTA,CF_MAS,ITP_TRAMO_BAJO,CF_CCMIN,"&lt;="&amp;CM445,CF_CCMAX,"&gt;="&amp;CM445),O445*ITP_TIPO)),O445*ITP_TIPO))</f>
        <v/>
      </c>
      <c r="CO445" s="4">
        <f>IF(R445="profesional",N(AK445),0)</f>
        <v/>
      </c>
      <c r="CP445" s="3">
        <f>IF(AND(R445="profesional",ISNUMBER(AK445),AL445="sí"),0,TASA_DGT)</f>
        <v/>
      </c>
      <c r="CQ445" s="3">
        <f>INFORME_DGT</f>
        <v/>
      </c>
      <c r="CR445" s="4">
        <f>O445+CO445+CN445+CP445+CQ445</f>
        <v/>
      </c>
      <c r="CS445" s="4">
        <f>CR445+N(CF445)</f>
        <v/>
      </c>
      <c r="CT445" s="3">
        <f>IF(CR445&lt;=TOTAL_MAX,"sí",IF(CR445&lt;=TOTAL_MAX+MARGEN_NEG,"negociar","no"))</f>
        <v/>
      </c>
      <c r="CU445" s="4">
        <f>IF(CT445&lt;&gt;"no",COUNTIFS($CT$2:$CT$545,"&lt;&gt;no",$CL$2:$CL$545,"&gt;"&amp;CL445)+COUNTIFS($CT$2:CT445,"&lt;&gt;no",$CL$2:CL445,CL445),"")</f>
        <v/>
      </c>
    </row>
    <row r="446">
      <c r="A446" s="2" t="inlineStr">
        <is>
          <t>cochesnet:71821326</t>
        </is>
      </c>
      <c r="B446" s="2" t="inlineStr">
        <is>
          <t>cochesnet</t>
        </is>
      </c>
      <c r="C446" s="2" t="inlineStr">
        <is>
          <t>https://www.coches.net/mini-mini-one-3p-gasolina-2008-en-valencia-71821326-covo.aspx</t>
        </is>
      </c>
      <c r="D446" s="2" t="inlineStr">
        <is>
          <t>MINI MINI One</t>
        </is>
      </c>
      <c r="E446" s="2" t="inlineStr">
        <is>
          <t>MINI</t>
        </is>
      </c>
      <c r="F446" s="2" t="inlineStr">
        <is>
          <t>MINI MINI</t>
        </is>
      </c>
      <c r="G446" s="2" t="n"/>
      <c r="H446" s="2" t="inlineStr">
        <is>
          <t>One</t>
        </is>
      </c>
      <c r="I446" s="2" t="n"/>
      <c r="J446" s="2" t="n"/>
      <c r="K446" s="2" t="inlineStr">
        <is>
          <t>gasolina</t>
        </is>
      </c>
      <c r="L446" s="2" t="inlineStr">
        <is>
          <t>utilitario</t>
        </is>
      </c>
      <c r="M446" s="2" t="n">
        <v>2008</v>
      </c>
      <c r="N446" s="2" t="n">
        <v>185000</v>
      </c>
      <c r="O446" s="2" t="n">
        <v>4500</v>
      </c>
      <c r="P446" s="2" t="inlineStr">
        <is>
          <t>manual</t>
        </is>
      </c>
      <c r="Q446" s="2" t="inlineStr">
        <is>
          <t>no</t>
        </is>
      </c>
      <c r="R446" s="2" t="inlineStr">
        <is>
          <t>particular</t>
        </is>
      </c>
      <c r="S446" s="2" t="n"/>
      <c r="T446" s="2" t="inlineStr">
        <is>
          <t>2026-10-23T20:01:20Z</t>
        </is>
      </c>
      <c r="U446" s="2" t="n">
        <v>5</v>
      </c>
      <c r="V446" s="2" t="inlineStr">
        <is>
          <t>sí</t>
        </is>
      </c>
      <c r="W446" s="2" t="n"/>
      <c r="X446" s="2" t="n"/>
      <c r="Y446" s="2" t="n"/>
      <c r="Z446" s="2" t="inlineStr">
        <is>
          <t>no</t>
        </is>
      </c>
      <c r="AA446" s="2" t="n"/>
      <c r="AB446" s="2" t="n"/>
      <c r="AC446" s="2" t="n"/>
      <c r="AD446" s="2" t="n"/>
      <c r="AE446" s="2" t="n"/>
      <c r="AF446" s="2" t="n"/>
      <c r="AG446" s="2" t="n"/>
      <c r="AH446" s="2" t="n">
        <v>4500</v>
      </c>
      <c r="AI446" s="2" t="n"/>
      <c r="AJ446" s="2" t="n"/>
      <c r="AK446" s="2" t="n"/>
      <c r="AL446" s="2" t="n"/>
      <c r="AM446" s="2" t="n"/>
      <c r="AN446" s="2" t="n"/>
      <c r="AO446" s="2" t="inlineStr">
        <is>
          <t>2008</t>
        </is>
      </c>
      <c r="AP446" s="2" t="n">
        <v>2008</v>
      </c>
      <c r="AQ446" s="2" t="n"/>
      <c r="AR446" s="2" t="n"/>
      <c r="AS446" s="2" t="inlineStr">
        <is>
          <t>regla</t>
        </is>
      </c>
      <c r="AT446" s="2" t="n">
        <v>6000</v>
      </c>
      <c r="AU446" s="2" t="n">
        <v>9</v>
      </c>
      <c r="AV446" s="2" t="inlineStr">
        <is>
          <t>modelo+año+km</t>
        </is>
      </c>
      <c r="AW446" s="2" t="n"/>
      <c r="AX44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46" s="2" t="inlineStr">
        <is>
          <t xml:space="preserve">Mini One 1.4 Gasolina 6 Velocidades 
ITV Pasada Revisiones Al Día Etiqueta C
No Fumador Aire Acondicionado Funcionando Todos Los Extras Documentacion al día Mejor Ver Muy Cuidado En Buen Estado En General 
TLF </t>
        </is>
      </c>
      <c r="AZ446" s="2" t="inlineStr">
        <is>
          <t>https://www.coches.net/mini-mini-one-3p-gasolina-2008-en-valencia-71821326-covo.aspx (window.__INITIAL_PROPS__.ad) /home/user/Alopecia/buscador-coches/raw/cochesnet/2b97ad6498eb7d77.json</t>
        </is>
      </c>
      <c r="BA446" s="3">
        <f>MAX(ANIO_ACTUAL-M446,0)</f>
        <v/>
      </c>
      <c r="BB446" s="4">
        <f>N446/MAX(BA446,0.5)</f>
        <v/>
      </c>
      <c r="BC446" s="4">
        <f>F446</f>
        <v/>
      </c>
      <c r="BD446" s="3">
        <f>BC446&amp;"|"&amp;INT(M446/SEG_ANIO)*SEG_ANIO</f>
        <v/>
      </c>
      <c r="BE446" s="3">
        <f>BD446&amp;"|"&amp;INT(N446/SEG_KM)*SEG_KM</f>
        <v/>
      </c>
      <c r="BF446" s="4">
        <f>COUNTIF($BC$2:$BC$545,BC446)</f>
        <v/>
      </c>
      <c r="BG446" s="4">
        <f>COUNTIF($BD$2:$BD$545,BD446)</f>
        <v/>
      </c>
      <c r="BH446" s="4">
        <f>COUNTIF($BE$2:$BE$545,BE446)</f>
        <v/>
      </c>
      <c r="BI446" s="3">
        <f t="array" ref="BI446">IF(N(AU446)&gt;=MIN_N,AT446,IF(BH446&gt;=MIN_N,MEDIAN(IF($BE$2:$BE$545=BE446,$O$2:$O$545)),IF(BG446&gt;=MIN_N,MEDIAN(IF($BD$2:$BD$545=BD446,$O$2:$O$545)),MEDIAN(IF($BC$2:$BC$545=BC446,$O$2:$O$545)))))</f>
        <v/>
      </c>
      <c r="BJ446" s="3">
        <f>IF(N(AU446)&gt;=MIN_N,"mercado "&amp;AV446,IF(BH446&gt;=MIN_N,"modelo+año+km",IF(BG446&gt;=MIN_N,"modelo+año","modelo")))</f>
        <v/>
      </c>
      <c r="BK446" s="4">
        <f>(BI446-O446)/BI446</f>
        <v/>
      </c>
      <c r="BL446" s="3">
        <f>IF(COUNTIFS(FR_FUEL,K446,FR_YEAR,AP446)&gt;0,1,0)</f>
        <v/>
      </c>
      <c r="BM446" s="3">
        <f>IF(COUNTIFS(FR_FUEL,K446,FR_YEAR,AP446-1)&gt;0,1,0)</f>
        <v/>
      </c>
      <c r="BN446" s="4">
        <f>IF(N(AQ446)&gt;0,AP446*100+AQ446,IF(AND(BL446=1,BM446=1),(AP446-1)*100+1,AP446*100+1))</f>
        <v/>
      </c>
      <c r="BO446" s="3">
        <f>IF(OR(K446="hibrido",K446="glp",K446="gnc",K446="phev"),"ECO",IF(K446="electrico","CERO",IF(K446="gasolina",IF(BN446&gt;=GAS_C_YM,"C",IF(BN446&gt;=GAS_B_YM,"B","A")),IF(K446="diesel",IF(BN446&gt;=DIE_C_YM,"C",IF(BN446&gt;=DIE_B_YM,"B","A")),""))))</f>
        <v/>
      </c>
      <c r="BP446" s="4">
        <f>BO446</f>
        <v/>
      </c>
      <c r="BQ446" s="4">
        <f>IF(AS446="regla",IF(AND(N(AQ446)=0,BL446=1),"sí","no"),"no")</f>
        <v/>
      </c>
      <c r="BR446" s="3">
        <f>IFERROR(VLOOKUP(F446,MOD_TBL,11,0),IFERROR(VLOOKUP(E446,OCU_TBL,2,0),NEUTRO))</f>
        <v/>
      </c>
      <c r="BS446" s="3">
        <f>SUMIFS(MOT_AJUSTE,MOT_MOTOR,G446,MOT_MARCA,E446,MOT_DESDE,"&lt;="&amp;M446,MOT_HASTA,"&gt;="&amp;M446)+SUMIFS(MOT_AJUSTE,MOT_MOTOR,G446,MOT_MARCA,"(todas)",MOT_DESDE,"&lt;="&amp;M446,MOT_HASTA,"&gt;="&amp;M446)</f>
        <v/>
      </c>
      <c r="BT446" s="3">
        <f>SUMIFS(COMB_AJUSTE,COMB_COMB,K446)</f>
        <v/>
      </c>
      <c r="BU446" s="3">
        <f>COUNTIFS(MOT_MOTOR,G446,MOT_MARCA,E446,MOT_DESDE,"&lt;="&amp;M446,MOT_HASTA,"&gt;="&amp;M446)+COUNTIFS(MOT_MOTOR,G446,MOT_MARCA,"(todas)",MOT_DESDE,"&lt;="&amp;M446,MOT_HASTA,"&gt;="&amp;M446)</f>
        <v/>
      </c>
      <c r="BV446" s="3">
        <f>IF(AND(K446="diesel",BU446=0),MIN(BR446,NEUTRO),BR446)</f>
        <v/>
      </c>
      <c r="BW446" s="4">
        <f>MAX(0,MIN(100,BV446+BS446+BT446))</f>
        <v/>
      </c>
      <c r="BX446" s="3">
        <f>MAX(0,MIN(100,50+BK446*PRECIO_PEND))</f>
        <v/>
      </c>
      <c r="BY446" s="3">
        <f>MAX(0,100*(1-N446/KM_MAX))</f>
        <v/>
      </c>
      <c r="BZ446" s="3">
        <f>IF(BB446&lt;KMA_SOSP,IF(AA446="sí",100,KMA_PEN),IF(BB446&lt;=KMA_IDEAL_MAX,100,MAX(0,100*(KMA_CERO-BB446)/(KMA_CERO-KMA_IDEAL_MAX))))</f>
        <v/>
      </c>
      <c r="CA446" s="3">
        <f>MAX(0,MIN(100,100*(M446-ANIO_MIN)/(ANIO_ACTUAL-ANIO_MIN)))</f>
        <v/>
      </c>
      <c r="CB446" s="3">
        <f>W_KMT*BY446+W_KMA*BZ446+W_EDAD*CA446</f>
        <v/>
      </c>
      <c r="CC446" s="3">
        <f>P_ITV*(V446="sí")+P_LIBRO*(W446="sí")+P_CORREA*(X446="sí")+P_PROP*(Y446=1)+P_GAR*(Z446="sí")+P_FOTOS*MIN(1,N(U446)/FOTOS_OBJ)</f>
        <v/>
      </c>
      <c r="CD446" s="3">
        <f>MAX(0,MIN(100,IFERROR(VLOOKUP(BP446,ETQ_TBL,2,0),0)-IF(BQ446="sí",ETQ_PEN_DUD,IF(AS446="regla",ETQ_PEN_REGLA,0))))</f>
        <v/>
      </c>
      <c r="CE446" s="3">
        <f>NEUTRO</f>
        <v/>
      </c>
      <c r="CF446" s="3">
        <f>IFERROR(VLOOKUP(L446,SEGURO_TBL,3,0),"")</f>
        <v/>
      </c>
      <c r="CG446" s="3">
        <f>IF(CF446="",NEUTRO,MAX(0,MIN(100,100*(SEG_REF_MAX-CF446)/(SEG_REF_MAX-SEG_REF_MIN))))</f>
        <v/>
      </c>
      <c r="CH446" s="3">
        <f>W_CONS*CE446+W_SEG*CG446</f>
        <v/>
      </c>
      <c r="CI446" s="3">
        <f>IF(N(AB446)&gt;0,AB446,IF(AND(R446="profesional",SG_LEGAL_ON=1),GAR_LEGAL,0))</f>
        <v/>
      </c>
      <c r="CJ446" s="3">
        <f>SG_GAR*MIN(1,CI446/SG_GAR_FULL)+SG_AMPL*(AC446="sí")+SG_KMC*(AF446="sí")+SG_REV*(N(AE446)&gt;0)+SG_DEV*MIN(1,N(AG446)/SG_DEV_FULL)+SG_HIST*(W446="sí")</f>
        <v/>
      </c>
      <c r="CK446" s="3">
        <f>IFERROR(VLOOKUP(L446,CARR_PEN_TBL,2,0),0)</f>
        <v/>
      </c>
      <c r="CL446" s="3">
        <f>W_FIAB*BW446+W_PRECIO*BX446+W_KMEDAD*CB446+W_ANUNCIO*CC446+W_USO*CH446+W_SEGURIDAD*CJ446+W_ETIQUETA*CD446-CK446</f>
        <v/>
      </c>
      <c r="CM446" s="4">
        <f>IF(N(I446)&gt;0,I446,IFERROR(ROUND(_xlfn.NUMBERVALUE(LEFT(G446,FIND(" ",G446&amp;" ")-1),".")*1000,0),99999))</f>
        <v/>
      </c>
      <c r="CN446" s="3">
        <f>IF(R446="profesional",0,IF(O446&lt;CUOTA_VALOR_MAX,IF(BA446&gt;ITP_TRAMO_ALTO,SUMIFS(CF_CUOTA,CF_MAS,ITP_TRAMO_ALTO,CF_CCMIN,"&lt;="&amp;CM446,CF_CCMAX,"&gt;="&amp;CM446),IF(BA446&gt;ITP_TRAMO_BAJO,SUMIFS(CF_CUOTA,CF_MAS,ITP_TRAMO_BAJO,CF_CCMIN,"&lt;="&amp;CM446,CF_CCMAX,"&gt;="&amp;CM446),O446*ITP_TIPO)),O446*ITP_TIPO))</f>
        <v/>
      </c>
      <c r="CO446" s="4">
        <f>IF(R446="profesional",N(AK446),0)</f>
        <v/>
      </c>
      <c r="CP446" s="3">
        <f>IF(AND(R446="profesional",ISNUMBER(AK446),AL446="sí"),0,TASA_DGT)</f>
        <v/>
      </c>
      <c r="CQ446" s="3">
        <f>INFORME_DGT</f>
        <v/>
      </c>
      <c r="CR446" s="4">
        <f>O446+CO446+CN446+CP446+CQ446</f>
        <v/>
      </c>
      <c r="CS446" s="4">
        <f>CR446+N(CF446)</f>
        <v/>
      </c>
      <c r="CT446" s="3">
        <f>IF(CR446&lt;=TOTAL_MAX,"sí",IF(CR446&lt;=TOTAL_MAX+MARGEN_NEG,"negociar","no"))</f>
        <v/>
      </c>
      <c r="CU446" s="4">
        <f>IF(CT446&lt;&gt;"no",COUNTIFS($CT$2:$CT$545,"&lt;&gt;no",$CL$2:$CL$545,"&gt;"&amp;CL446)+COUNTIFS($CT$2:CT446,"&lt;&gt;no",$CL$2:CL446,CL446),"")</f>
        <v/>
      </c>
    </row>
    <row r="447">
      <c r="A447" s="2" t="inlineStr">
        <is>
          <t>cochesnet:71805914</t>
        </is>
      </c>
      <c r="B447" s="2" t="inlineStr">
        <is>
          <t>cochesnet</t>
        </is>
      </c>
      <c r="C447" s="2" t="inlineStr">
        <is>
          <t>https://www.coches.net/mini-mini-cooper-3p-gasolina-2007-en-valencia-71805914-covo.aspx</t>
        </is>
      </c>
      <c r="D447" s="2" t="inlineStr">
        <is>
          <t>MINI MINI Cooper</t>
        </is>
      </c>
      <c r="E447" s="2" t="inlineStr">
        <is>
          <t>MINI</t>
        </is>
      </c>
      <c r="F447" s="2" t="inlineStr">
        <is>
          <t>MINI MINI</t>
        </is>
      </c>
      <c r="G447" s="2" t="n"/>
      <c r="H447" s="2" t="inlineStr">
        <is>
          <t>Cooper</t>
        </is>
      </c>
      <c r="I447" s="2" t="n"/>
      <c r="J447" s="2" t="n"/>
      <c r="K447" s="2" t="inlineStr">
        <is>
          <t>gasolina</t>
        </is>
      </c>
      <c r="L447" s="2" t="inlineStr">
        <is>
          <t>utilitario</t>
        </is>
      </c>
      <c r="M447" s="2" t="n">
        <v>2007</v>
      </c>
      <c r="N447" s="2" t="n">
        <v>220000</v>
      </c>
      <c r="O447" s="2" t="n">
        <v>3999</v>
      </c>
      <c r="P447" s="2" t="inlineStr">
        <is>
          <t>manual</t>
        </is>
      </c>
      <c r="Q447" s="2" t="inlineStr">
        <is>
          <t>no</t>
        </is>
      </c>
      <c r="R447" s="2" t="inlineStr">
        <is>
          <t>profesional</t>
        </is>
      </c>
      <c r="S447" s="2" t="inlineStr">
        <is>
          <t>Compraventa MCars L'Alcúdia</t>
        </is>
      </c>
      <c r="T447" s="2" t="inlineStr">
        <is>
          <t>2026-10-22T09:48:02Z</t>
        </is>
      </c>
      <c r="U447" s="2" t="n">
        <v>9</v>
      </c>
      <c r="V447" s="2" t="inlineStr">
        <is>
          <t>sí</t>
        </is>
      </c>
      <c r="W447" s="2" t="inlineStr">
        <is>
          <t>sí</t>
        </is>
      </c>
      <c r="X447" s="2" t="n"/>
      <c r="Y447" s="2" t="n"/>
      <c r="Z447" s="2" t="inlineStr">
        <is>
          <t>sí</t>
        </is>
      </c>
      <c r="AA447" s="2" t="n"/>
      <c r="AB447" s="2" t="n">
        <v>12</v>
      </c>
      <c r="AC447" s="2" t="n"/>
      <c r="AD447" s="2" t="n"/>
      <c r="AE447" s="2" t="n"/>
      <c r="AF447" s="2" t="n"/>
      <c r="AG447" s="2" t="n"/>
      <c r="AH447" s="2" t="n">
        <v>3999</v>
      </c>
      <c r="AI447" s="2" t="n"/>
      <c r="AJ447" s="2" t="n"/>
      <c r="AK447" s="2" t="n"/>
      <c r="AL447" s="2" t="n"/>
      <c r="AM447" s="2" t="n"/>
      <c r="AN447" s="2" t="n"/>
      <c r="AO447" s="2" t="inlineStr">
        <is>
          <t>2007</t>
        </is>
      </c>
      <c r="AP447" s="2" t="n">
        <v>2007</v>
      </c>
      <c r="AQ447" s="2" t="n"/>
      <c r="AR447" s="2" t="n"/>
      <c r="AS447" s="2" t="inlineStr">
        <is>
          <t>regla</t>
        </is>
      </c>
      <c r="AT447" s="2" t="n">
        <v>4200</v>
      </c>
      <c r="AU447" s="2" t="n">
        <v>7</v>
      </c>
      <c r="AV447" s="2" t="inlineStr">
        <is>
          <t>modelo+año+km</t>
        </is>
      </c>
      <c r="AW447" s="2" t="n"/>
      <c r="AX447"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447" s="2" t="inlineStr">
        <is>
          <t xml:space="preserve">Vehículo nacional, mantenimiento al día, cubiertas seminuevas, ITV recién pasada, se entrega totalmente revisado por nuestros mecánicos transferido y con 12 meses de garantía </t>
        </is>
      </c>
      <c r="AZ447" s="2" t="inlineStr">
        <is>
          <t>https://www.coches.net/mini-mini-cooper-3p-gasolina-2007-en-valencia-71805914-covo.aspx (window.__INITIAL_PROPS__.ad) /home/user/Alopecia/buscador-coches/raw/cochesnet/04e2cc9cacd438ee.json</t>
        </is>
      </c>
      <c r="BA447" s="3">
        <f>MAX(ANIO_ACTUAL-M447,0)</f>
        <v/>
      </c>
      <c r="BB447" s="4">
        <f>N447/MAX(BA447,0.5)</f>
        <v/>
      </c>
      <c r="BC447" s="4">
        <f>F447</f>
        <v/>
      </c>
      <c r="BD447" s="3">
        <f>BC447&amp;"|"&amp;INT(M447/SEG_ANIO)*SEG_ANIO</f>
        <v/>
      </c>
      <c r="BE447" s="3">
        <f>BD447&amp;"|"&amp;INT(N447/SEG_KM)*SEG_KM</f>
        <v/>
      </c>
      <c r="BF447" s="4">
        <f>COUNTIF($BC$2:$BC$545,BC447)</f>
        <v/>
      </c>
      <c r="BG447" s="4">
        <f>COUNTIF($BD$2:$BD$545,BD447)</f>
        <v/>
      </c>
      <c r="BH447" s="4">
        <f>COUNTIF($BE$2:$BE$545,BE447)</f>
        <v/>
      </c>
      <c r="BI447" s="3">
        <f t="array" ref="BI447">IF(N(AU447)&gt;=MIN_N,AT447,IF(BH447&gt;=MIN_N,MEDIAN(IF($BE$2:$BE$545=BE447,$O$2:$O$545)),IF(BG447&gt;=MIN_N,MEDIAN(IF($BD$2:$BD$545=BD447,$O$2:$O$545)),MEDIAN(IF($BC$2:$BC$545=BC447,$O$2:$O$545)))))</f>
        <v/>
      </c>
      <c r="BJ447" s="3">
        <f>IF(N(AU447)&gt;=MIN_N,"mercado "&amp;AV447,IF(BH447&gt;=MIN_N,"modelo+año+km",IF(BG447&gt;=MIN_N,"modelo+año","modelo")))</f>
        <v/>
      </c>
      <c r="BK447" s="4">
        <f>(BI447-O447)/BI447</f>
        <v/>
      </c>
      <c r="BL447" s="3">
        <f>IF(COUNTIFS(FR_FUEL,K447,FR_YEAR,AP447)&gt;0,1,0)</f>
        <v/>
      </c>
      <c r="BM447" s="3">
        <f>IF(COUNTIFS(FR_FUEL,K447,FR_YEAR,AP447-1)&gt;0,1,0)</f>
        <v/>
      </c>
      <c r="BN447" s="4">
        <f>IF(N(AQ447)&gt;0,AP447*100+AQ447,IF(AND(BL447=1,BM447=1),(AP447-1)*100+1,AP447*100+1))</f>
        <v/>
      </c>
      <c r="BO447" s="3">
        <f>IF(OR(K447="hibrido",K447="glp",K447="gnc",K447="phev"),"ECO",IF(K447="electrico","CERO",IF(K447="gasolina",IF(BN447&gt;=GAS_C_YM,"C",IF(BN447&gt;=GAS_B_YM,"B","A")),IF(K447="diesel",IF(BN447&gt;=DIE_C_YM,"C",IF(BN447&gt;=DIE_B_YM,"B","A")),""))))</f>
        <v/>
      </c>
      <c r="BP447" s="4">
        <f>BO447</f>
        <v/>
      </c>
      <c r="BQ447" s="4">
        <f>IF(AS447="regla",IF(AND(N(AQ447)=0,BL447=1),"sí","no"),"no")</f>
        <v/>
      </c>
      <c r="BR447" s="3">
        <f>IFERROR(VLOOKUP(F447,MOD_TBL,11,0),IFERROR(VLOOKUP(E447,OCU_TBL,2,0),NEUTRO))</f>
        <v/>
      </c>
      <c r="BS447" s="3">
        <f>SUMIFS(MOT_AJUSTE,MOT_MOTOR,G447,MOT_MARCA,E447,MOT_DESDE,"&lt;="&amp;M447,MOT_HASTA,"&gt;="&amp;M447)+SUMIFS(MOT_AJUSTE,MOT_MOTOR,G447,MOT_MARCA,"(todas)",MOT_DESDE,"&lt;="&amp;M447,MOT_HASTA,"&gt;="&amp;M447)</f>
        <v/>
      </c>
      <c r="BT447" s="3">
        <f>SUMIFS(COMB_AJUSTE,COMB_COMB,K447)</f>
        <v/>
      </c>
      <c r="BU447" s="3">
        <f>COUNTIFS(MOT_MOTOR,G447,MOT_MARCA,E447,MOT_DESDE,"&lt;="&amp;M447,MOT_HASTA,"&gt;="&amp;M447)+COUNTIFS(MOT_MOTOR,G447,MOT_MARCA,"(todas)",MOT_DESDE,"&lt;="&amp;M447,MOT_HASTA,"&gt;="&amp;M447)</f>
        <v/>
      </c>
      <c r="BV447" s="3">
        <f>IF(AND(K447="diesel",BU447=0),MIN(BR447,NEUTRO),BR447)</f>
        <v/>
      </c>
      <c r="BW447" s="4">
        <f>MAX(0,MIN(100,BV447+BS447+BT447))</f>
        <v/>
      </c>
      <c r="BX447" s="3">
        <f>MAX(0,MIN(100,50+BK447*PRECIO_PEND))</f>
        <v/>
      </c>
      <c r="BY447" s="3">
        <f>MAX(0,100*(1-N447/KM_MAX))</f>
        <v/>
      </c>
      <c r="BZ447" s="3">
        <f>IF(BB447&lt;KMA_SOSP,IF(AA447="sí",100,KMA_PEN),IF(BB447&lt;=KMA_IDEAL_MAX,100,MAX(0,100*(KMA_CERO-BB447)/(KMA_CERO-KMA_IDEAL_MAX))))</f>
        <v/>
      </c>
      <c r="CA447" s="3">
        <f>MAX(0,MIN(100,100*(M447-ANIO_MIN)/(ANIO_ACTUAL-ANIO_MIN)))</f>
        <v/>
      </c>
      <c r="CB447" s="3">
        <f>W_KMT*BY447+W_KMA*BZ447+W_EDAD*CA447</f>
        <v/>
      </c>
      <c r="CC447" s="3">
        <f>P_ITV*(V447="sí")+P_LIBRO*(W447="sí")+P_CORREA*(X447="sí")+P_PROP*(Y447=1)+P_GAR*(Z447="sí")+P_FOTOS*MIN(1,N(U447)/FOTOS_OBJ)</f>
        <v/>
      </c>
      <c r="CD447" s="3">
        <f>MAX(0,MIN(100,IFERROR(VLOOKUP(BP447,ETQ_TBL,2,0),0)-IF(BQ447="sí",ETQ_PEN_DUD,IF(AS447="regla",ETQ_PEN_REGLA,0))))</f>
        <v/>
      </c>
      <c r="CE447" s="3">
        <f>NEUTRO</f>
        <v/>
      </c>
      <c r="CF447" s="3">
        <f>IFERROR(VLOOKUP(L447,SEGURO_TBL,3,0),"")</f>
        <v/>
      </c>
      <c r="CG447" s="3">
        <f>IF(CF447="",NEUTRO,MAX(0,MIN(100,100*(SEG_REF_MAX-CF447)/(SEG_REF_MAX-SEG_REF_MIN))))</f>
        <v/>
      </c>
      <c r="CH447" s="3">
        <f>W_CONS*CE447+W_SEG*CG447</f>
        <v/>
      </c>
      <c r="CI447" s="3">
        <f>IF(N(AB447)&gt;0,AB447,IF(AND(R447="profesional",SG_LEGAL_ON=1),GAR_LEGAL,0))</f>
        <v/>
      </c>
      <c r="CJ447" s="3">
        <f>SG_GAR*MIN(1,CI447/SG_GAR_FULL)+SG_AMPL*(AC447="sí")+SG_KMC*(AF447="sí")+SG_REV*(N(AE447)&gt;0)+SG_DEV*MIN(1,N(AG447)/SG_DEV_FULL)+SG_HIST*(W447="sí")</f>
        <v/>
      </c>
      <c r="CK447" s="3">
        <f>IFERROR(VLOOKUP(L447,CARR_PEN_TBL,2,0),0)</f>
        <v/>
      </c>
      <c r="CL447" s="3">
        <f>W_FIAB*BW447+W_PRECIO*BX447+W_KMEDAD*CB447+W_ANUNCIO*CC447+W_USO*CH447+W_SEGURIDAD*CJ447+W_ETIQUETA*CD447-CK447</f>
        <v/>
      </c>
      <c r="CM447" s="4">
        <f>IF(N(I447)&gt;0,I447,IFERROR(ROUND(_xlfn.NUMBERVALUE(LEFT(G447,FIND(" ",G447&amp;" ")-1),".")*1000,0),99999))</f>
        <v/>
      </c>
      <c r="CN447" s="3">
        <f>IF(R447="profesional",0,IF(O447&lt;CUOTA_VALOR_MAX,IF(BA447&gt;ITP_TRAMO_ALTO,SUMIFS(CF_CUOTA,CF_MAS,ITP_TRAMO_ALTO,CF_CCMIN,"&lt;="&amp;CM447,CF_CCMAX,"&gt;="&amp;CM447),IF(BA447&gt;ITP_TRAMO_BAJO,SUMIFS(CF_CUOTA,CF_MAS,ITP_TRAMO_BAJO,CF_CCMIN,"&lt;="&amp;CM447,CF_CCMAX,"&gt;="&amp;CM447),O447*ITP_TIPO)),O447*ITP_TIPO))</f>
        <v/>
      </c>
      <c r="CO447" s="4">
        <f>IF(R447="profesional",N(AK447),0)</f>
        <v/>
      </c>
      <c r="CP447" s="3">
        <f>IF(AND(R447="profesional",ISNUMBER(AK447),AL447="sí"),0,TASA_DGT)</f>
        <v/>
      </c>
      <c r="CQ447" s="3">
        <f>INFORME_DGT</f>
        <v/>
      </c>
      <c r="CR447" s="4">
        <f>O447+CO447+CN447+CP447+CQ447</f>
        <v/>
      </c>
      <c r="CS447" s="4">
        <f>CR447+N(CF447)</f>
        <v/>
      </c>
      <c r="CT447" s="3">
        <f>IF(CR447&lt;=TOTAL_MAX,"sí",IF(CR447&lt;=TOTAL_MAX+MARGEN_NEG,"negociar","no"))</f>
        <v/>
      </c>
      <c r="CU447" s="4">
        <f>IF(CT447&lt;&gt;"no",COUNTIFS($CT$2:$CT$545,"&lt;&gt;no",$CL$2:$CL$545,"&gt;"&amp;CL447)+COUNTIFS($CT$2:CT447,"&lt;&gt;no",$CL$2:CL447,CL447),"")</f>
        <v/>
      </c>
    </row>
    <row r="448">
      <c r="A448" s="2" t="inlineStr">
        <is>
          <t>cochesnet:71745074</t>
        </is>
      </c>
      <c r="B448" s="2" t="inlineStr">
        <is>
          <t>cochesnet</t>
        </is>
      </c>
      <c r="C448" s="2" t="inlineStr">
        <is>
          <t>https://www.coches.net/mini-mini-one-seven-3p-gasolina-2006-en-valencia-71745074-covo.aspx</t>
        </is>
      </c>
      <c r="D448" s="2" t="inlineStr">
        <is>
          <t>MINI MINI One Seven</t>
        </is>
      </c>
      <c r="E448" s="2" t="inlineStr">
        <is>
          <t>MINI</t>
        </is>
      </c>
      <c r="F448" s="2" t="inlineStr">
        <is>
          <t>MINI MINI</t>
        </is>
      </c>
      <c r="G448" s="2" t="n"/>
      <c r="H448" s="2" t="inlineStr">
        <is>
          <t>One Seven</t>
        </is>
      </c>
      <c r="I448" s="2" t="n"/>
      <c r="J448" s="2" t="n"/>
      <c r="K448" s="2" t="inlineStr">
        <is>
          <t>gasolina</t>
        </is>
      </c>
      <c r="L448" s="2" t="inlineStr">
        <is>
          <t>utilitario</t>
        </is>
      </c>
      <c r="M448" s="2" t="n">
        <v>2006</v>
      </c>
      <c r="N448" s="2" t="n">
        <v>196500</v>
      </c>
      <c r="O448" s="2" t="n">
        <v>3650</v>
      </c>
      <c r="P448" s="2" t="inlineStr">
        <is>
          <t>manual</t>
        </is>
      </c>
      <c r="Q448" s="2" t="inlineStr">
        <is>
          <t>no</t>
        </is>
      </c>
      <c r="R448" s="2" t="inlineStr">
        <is>
          <t>particular</t>
        </is>
      </c>
      <c r="S448" s="2" t="inlineStr">
        <is>
          <t>Valencia</t>
        </is>
      </c>
      <c r="T448" s="2" t="inlineStr">
        <is>
          <t>2026-10-14T17:40:34Z</t>
        </is>
      </c>
      <c r="U448" s="2" t="n">
        <v>12</v>
      </c>
      <c r="V448" s="2" t="n"/>
      <c r="W448" s="2" t="n"/>
      <c r="X448" s="2" t="n"/>
      <c r="Y448" s="2" t="n"/>
      <c r="Z448" s="2" t="inlineStr">
        <is>
          <t>no</t>
        </is>
      </c>
      <c r="AA448" s="2" t="n"/>
      <c r="AB448" s="2" t="n"/>
      <c r="AC448" s="2" t="n"/>
      <c r="AD448" s="2" t="n"/>
      <c r="AE448" s="2" t="n"/>
      <c r="AF448" s="2" t="n"/>
      <c r="AG448" s="2" t="n"/>
      <c r="AH448" s="2" t="n">
        <v>3650</v>
      </c>
      <c r="AI448" s="2" t="n"/>
      <c r="AJ448" s="2" t="n"/>
      <c r="AK448" s="2" t="n"/>
      <c r="AL448" s="2" t="n"/>
      <c r="AM448" s="2" t="n">
        <v>0.1</v>
      </c>
      <c r="AN448" s="2" t="n"/>
      <c r="AO448" s="2" t="inlineStr">
        <is>
          <t>10/2006</t>
        </is>
      </c>
      <c r="AP448" s="2" t="n">
        <v>2006</v>
      </c>
      <c r="AQ448" s="2" t="n">
        <v>10</v>
      </c>
      <c r="AR448" s="2" t="inlineStr">
        <is>
          <t>C</t>
        </is>
      </c>
      <c r="AS448" s="2" t="inlineStr">
        <is>
          <t>anuncio</t>
        </is>
      </c>
      <c r="AT448" s="2" t="n">
        <v>4650</v>
      </c>
      <c r="AU448" s="2" t="n">
        <v>6</v>
      </c>
      <c r="AV448" s="2" t="inlineStr">
        <is>
          <t>modelo+año+km</t>
        </is>
      </c>
      <c r="AW448" s="2" t="n"/>
      <c r="AX448" s="2" t="inlineStr">
        <is>
          <t>cilindrada desconocida: se aplica el tramo de cuota fija más alto; cuota fija ITP: &gt;12 años, más de 2.000 cc; fiabilidad del modelo PENDIENTE de fuente (puntuación neutra)</t>
        </is>
      </c>
      <c r="AY448" s="2" t="inlineStr">
        <is>
          <t xml:space="preserve">Muy cuidado. Siempre en garaje. ITV febrero 2027. Embrague recién hecho. Revisión completa recientemente. </t>
        </is>
      </c>
      <c r="AZ448" s="2" t="inlineStr">
        <is>
          <t>https://www.coches.net/mini-mini-one-seven-3p-gasolina-2006-en-valencia-71745074-covo.aspx (window.__INITIAL_PROPS__.ad) /home/user/Alopecia/buscador-coches/raw/cochesnet/4d4b1c57aef6737d.json</t>
        </is>
      </c>
      <c r="BA448" s="3">
        <f>MAX(ANIO_ACTUAL-M448,0)</f>
        <v/>
      </c>
      <c r="BB448" s="4">
        <f>N448/MAX(BA448,0.5)</f>
        <v/>
      </c>
      <c r="BC448" s="4">
        <f>F448</f>
        <v/>
      </c>
      <c r="BD448" s="3">
        <f>BC448&amp;"|"&amp;INT(M448/SEG_ANIO)*SEG_ANIO</f>
        <v/>
      </c>
      <c r="BE448" s="3">
        <f>BD448&amp;"|"&amp;INT(N448/SEG_KM)*SEG_KM</f>
        <v/>
      </c>
      <c r="BF448" s="4">
        <f>COUNTIF($BC$2:$BC$545,BC448)</f>
        <v/>
      </c>
      <c r="BG448" s="4">
        <f>COUNTIF($BD$2:$BD$545,BD448)</f>
        <v/>
      </c>
      <c r="BH448" s="4">
        <f>COUNTIF($BE$2:$BE$545,BE448)</f>
        <v/>
      </c>
      <c r="BI448" s="3">
        <f t="array" ref="BI448">IF(N(AU448)&gt;=MIN_N,AT448,IF(BH448&gt;=MIN_N,MEDIAN(IF($BE$2:$BE$545=BE448,$O$2:$O$545)),IF(BG448&gt;=MIN_N,MEDIAN(IF($BD$2:$BD$545=BD448,$O$2:$O$545)),MEDIAN(IF($BC$2:$BC$545=BC448,$O$2:$O$545)))))</f>
        <v/>
      </c>
      <c r="BJ448" s="3">
        <f>IF(N(AU448)&gt;=MIN_N,"mercado "&amp;AV448,IF(BH448&gt;=MIN_N,"modelo+año+km",IF(BG448&gt;=MIN_N,"modelo+año","modelo")))</f>
        <v/>
      </c>
      <c r="BK448" s="4">
        <f>(BI448-O448)/BI448</f>
        <v/>
      </c>
      <c r="BL448" s="3">
        <f>IF(COUNTIFS(FR_FUEL,K448,FR_YEAR,AP448)&gt;0,1,0)</f>
        <v/>
      </c>
      <c r="BM448" s="3">
        <f>IF(COUNTIFS(FR_FUEL,K448,FR_YEAR,AP448-1)&gt;0,1,0)</f>
        <v/>
      </c>
      <c r="BN448" s="4">
        <f>IF(N(AQ448)&gt;0,AP448*100+AQ448,IF(AND(BL448=1,BM448=1),(AP448-1)*100+1,AP448*100+1))</f>
        <v/>
      </c>
      <c r="BO448" s="3">
        <f>IF(OR(K448="hibrido",K448="glp",K448="gnc",K448="phev"),"ECO",IF(K448="electrico","CERO",IF(K448="gasolina",IF(BN448&gt;=GAS_C_YM,"C",IF(BN448&gt;=GAS_B_YM,"B","A")),IF(K448="diesel",IF(BN448&gt;=DIE_C_YM,"C",IF(BN448&gt;=DIE_B_YM,"B","A")),""))))</f>
        <v/>
      </c>
      <c r="BP448" s="2" t="inlineStr">
        <is>
          <t>C</t>
        </is>
      </c>
      <c r="BQ448" s="4">
        <f>IF(AS448="regla",IF(AND(N(AQ448)=0,BL448=1),"sí","no"),"no")</f>
        <v/>
      </c>
      <c r="BR448" s="3">
        <f>IFERROR(VLOOKUP(F448,MOD_TBL,11,0),IFERROR(VLOOKUP(E448,OCU_TBL,2,0),NEUTRO))</f>
        <v/>
      </c>
      <c r="BS448" s="3">
        <f>SUMIFS(MOT_AJUSTE,MOT_MOTOR,G448,MOT_MARCA,E448,MOT_DESDE,"&lt;="&amp;M448,MOT_HASTA,"&gt;="&amp;M448)+SUMIFS(MOT_AJUSTE,MOT_MOTOR,G448,MOT_MARCA,"(todas)",MOT_DESDE,"&lt;="&amp;M448,MOT_HASTA,"&gt;="&amp;M448)</f>
        <v/>
      </c>
      <c r="BT448" s="3">
        <f>SUMIFS(COMB_AJUSTE,COMB_COMB,K448)</f>
        <v/>
      </c>
      <c r="BU448" s="3">
        <f>COUNTIFS(MOT_MOTOR,G448,MOT_MARCA,E448,MOT_DESDE,"&lt;="&amp;M448,MOT_HASTA,"&gt;="&amp;M448)+COUNTIFS(MOT_MOTOR,G448,MOT_MARCA,"(todas)",MOT_DESDE,"&lt;="&amp;M448,MOT_HASTA,"&gt;="&amp;M448)</f>
        <v/>
      </c>
      <c r="BV448" s="3">
        <f>IF(AND(K448="diesel",BU448=0),MIN(BR448,NEUTRO),BR448)</f>
        <v/>
      </c>
      <c r="BW448" s="4">
        <f>MAX(0,MIN(100,BV448+BS448+BT448))</f>
        <v/>
      </c>
      <c r="BX448" s="3">
        <f>MAX(0,MIN(100,50+BK448*PRECIO_PEND))</f>
        <v/>
      </c>
      <c r="BY448" s="3">
        <f>MAX(0,100*(1-N448/KM_MAX))</f>
        <v/>
      </c>
      <c r="BZ448" s="3">
        <f>IF(BB448&lt;KMA_SOSP,IF(AA448="sí",100,KMA_PEN),IF(BB448&lt;=KMA_IDEAL_MAX,100,MAX(0,100*(KMA_CERO-BB448)/(KMA_CERO-KMA_IDEAL_MAX))))</f>
        <v/>
      </c>
      <c r="CA448" s="3">
        <f>MAX(0,MIN(100,100*(M448-ANIO_MIN)/(ANIO_ACTUAL-ANIO_MIN)))</f>
        <v/>
      </c>
      <c r="CB448" s="3">
        <f>W_KMT*BY448+W_KMA*BZ448+W_EDAD*CA448</f>
        <v/>
      </c>
      <c r="CC448" s="3">
        <f>P_ITV*(V448="sí")+P_LIBRO*(W448="sí")+P_CORREA*(X448="sí")+P_PROP*(Y448=1)+P_GAR*(Z448="sí")+P_FOTOS*MIN(1,N(U448)/FOTOS_OBJ)</f>
        <v/>
      </c>
      <c r="CD448" s="3">
        <f>MAX(0,MIN(100,IFERROR(VLOOKUP(BP448,ETQ_TBL,2,0),0)-IF(BQ448="sí",ETQ_PEN_DUD,IF(AS448="regla",ETQ_PEN_REGLA,0))))</f>
        <v/>
      </c>
      <c r="CE448" s="3">
        <f>NEUTRO</f>
        <v/>
      </c>
      <c r="CF448" s="3">
        <f>IFERROR(VLOOKUP(L448,SEGURO_TBL,3,0),"")</f>
        <v/>
      </c>
      <c r="CG448" s="3">
        <f>IF(CF448="",NEUTRO,MAX(0,MIN(100,100*(SEG_REF_MAX-CF448)/(SEG_REF_MAX-SEG_REF_MIN))))</f>
        <v/>
      </c>
      <c r="CH448" s="3">
        <f>W_CONS*CE448+W_SEG*CG448</f>
        <v/>
      </c>
      <c r="CI448" s="3">
        <f>IF(N(AB448)&gt;0,AB448,IF(AND(R448="profesional",SG_LEGAL_ON=1),GAR_LEGAL,0))</f>
        <v/>
      </c>
      <c r="CJ448" s="3">
        <f>SG_GAR*MIN(1,CI448/SG_GAR_FULL)+SG_AMPL*(AC448="sí")+SG_KMC*(AF448="sí")+SG_REV*(N(AE448)&gt;0)+SG_DEV*MIN(1,N(AG448)/SG_DEV_FULL)+SG_HIST*(W448="sí")</f>
        <v/>
      </c>
      <c r="CK448" s="3">
        <f>IFERROR(VLOOKUP(L448,CARR_PEN_TBL,2,0),0)</f>
        <v/>
      </c>
      <c r="CL448" s="3">
        <f>W_FIAB*BW448+W_PRECIO*BX448+W_KMEDAD*CB448+W_ANUNCIO*CC448+W_USO*CH448+W_SEGURIDAD*CJ448+W_ETIQUETA*CD448-CK448</f>
        <v/>
      </c>
      <c r="CM448" s="4">
        <f>IF(N(I448)&gt;0,I448,IFERROR(ROUND(_xlfn.NUMBERVALUE(LEFT(G448,FIND(" ",G448&amp;" ")-1),".")*1000,0),99999))</f>
        <v/>
      </c>
      <c r="CN448" s="3">
        <f>IF(R448="profesional",0,IF(O448&lt;CUOTA_VALOR_MAX,IF(BA448&gt;ITP_TRAMO_ALTO,SUMIFS(CF_CUOTA,CF_MAS,ITP_TRAMO_ALTO,CF_CCMIN,"&lt;="&amp;CM448,CF_CCMAX,"&gt;="&amp;CM448),IF(BA448&gt;ITP_TRAMO_BAJO,SUMIFS(CF_CUOTA,CF_MAS,ITP_TRAMO_BAJO,CF_CCMIN,"&lt;="&amp;CM448,CF_CCMAX,"&gt;="&amp;CM448),O448*ITP_TIPO)),O448*ITP_TIPO))</f>
        <v/>
      </c>
      <c r="CO448" s="4">
        <f>IF(R448="profesional",N(AK448),0)</f>
        <v/>
      </c>
      <c r="CP448" s="3">
        <f>IF(AND(R448="profesional",ISNUMBER(AK448),AL448="sí"),0,TASA_DGT)</f>
        <v/>
      </c>
      <c r="CQ448" s="3">
        <f>INFORME_DGT</f>
        <v/>
      </c>
      <c r="CR448" s="4">
        <f>O448+CO448+CN448+CP448+CQ448</f>
        <v/>
      </c>
      <c r="CS448" s="4">
        <f>CR448+N(CF448)</f>
        <v/>
      </c>
      <c r="CT448" s="3">
        <f>IF(CR448&lt;=TOTAL_MAX,"sí",IF(CR448&lt;=TOTAL_MAX+MARGEN_NEG,"negociar","no"))</f>
        <v/>
      </c>
      <c r="CU448" s="4">
        <f>IF(CT448&lt;&gt;"no",COUNTIFS($CT$2:$CT$545,"&lt;&gt;no",$CL$2:$CL$545,"&gt;"&amp;CL448)+COUNTIFS($CT$2:CT448,"&lt;&gt;no",$CL$2:CL448,CL448),"")</f>
        <v/>
      </c>
    </row>
    <row r="449">
      <c r="A449" s="2" t="inlineStr">
        <is>
          <t>cochesnet:71599977</t>
        </is>
      </c>
      <c r="B449" s="2" t="inlineStr">
        <is>
          <t>cochesnet</t>
        </is>
      </c>
      <c r="C449" s="2" t="inlineStr">
        <is>
          <t>https://www.coches.net/mini-mini-diesel-2007-en-valencia-71599977-covo.aspx</t>
        </is>
      </c>
      <c r="D449" s="2" t="inlineStr">
        <is>
          <t>MINI MINI One D</t>
        </is>
      </c>
      <c r="E449" s="2" t="inlineStr">
        <is>
          <t>MINI</t>
        </is>
      </c>
      <c r="F449" s="2" t="inlineStr">
        <is>
          <t>MINI MINI</t>
        </is>
      </c>
      <c r="G449" s="2" t="n"/>
      <c r="H449" s="2" t="inlineStr">
        <is>
          <t>One D</t>
        </is>
      </c>
      <c r="I449" s="2" t="n"/>
      <c r="J449" s="2" t="n"/>
      <c r="K449" s="2" t="inlineStr">
        <is>
          <t>diesel</t>
        </is>
      </c>
      <c r="L449" s="2" t="inlineStr">
        <is>
          <t>utilitario</t>
        </is>
      </c>
      <c r="M449" s="2" t="n">
        <v>2007</v>
      </c>
      <c r="N449" s="2" t="n">
        <v>205000</v>
      </c>
      <c r="O449" s="2" t="n">
        <v>4950</v>
      </c>
      <c r="P449" s="2" t="inlineStr">
        <is>
          <t>manual</t>
        </is>
      </c>
      <c r="Q449" s="2" t="inlineStr">
        <is>
          <t>no</t>
        </is>
      </c>
      <c r="R449" s="2" t="inlineStr">
        <is>
          <t>particular</t>
        </is>
      </c>
      <c r="S449" s="2" t="n"/>
      <c r="T449" s="2" t="inlineStr">
        <is>
          <t>2026-09-25T15:21:04Z</t>
        </is>
      </c>
      <c r="U449" s="2" t="n">
        <v>9</v>
      </c>
      <c r="V449" s="2" t="n"/>
      <c r="W449" s="2" t="n"/>
      <c r="X449" s="2" t="n"/>
      <c r="Y449" s="2" t="n"/>
      <c r="Z449" s="2" t="inlineStr">
        <is>
          <t>no</t>
        </is>
      </c>
      <c r="AA449" s="2" t="n"/>
      <c r="AB449" s="2" t="n"/>
      <c r="AC449" s="2" t="n"/>
      <c r="AD449" s="2" t="n"/>
      <c r="AE449" s="2" t="n"/>
      <c r="AF449" s="2" t="n"/>
      <c r="AG449" s="2" t="n"/>
      <c r="AH449" s="2" t="n">
        <v>4950</v>
      </c>
      <c r="AI449" s="2" t="n"/>
      <c r="AJ449" s="2" t="n"/>
      <c r="AK449" s="2" t="n"/>
      <c r="AL449" s="2" t="n"/>
      <c r="AM449" s="2" t="n"/>
      <c r="AN449" s="2" t="n"/>
      <c r="AO449" s="2" t="inlineStr">
        <is>
          <t>2007</t>
        </is>
      </c>
      <c r="AP449" s="2" t="n">
        <v>2007</v>
      </c>
      <c r="AQ449" s="2" t="n"/>
      <c r="AR449" s="2" t="n"/>
      <c r="AS449" s="2" t="inlineStr">
        <is>
          <t>regla</t>
        </is>
      </c>
      <c r="AT449" s="2" t="n">
        <v>4200</v>
      </c>
      <c r="AU449" s="2" t="n">
        <v>7</v>
      </c>
      <c r="AV449" s="2" t="inlineStr">
        <is>
          <t>modelo+año+km</t>
        </is>
      </c>
      <c r="AW449" s="2" t="n"/>
      <c r="AX449" s="2" t="inlineStr">
        <is>
          <t>por encima del presupuesto (5154 €),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449" s="2" t="inlineStr">
        <is>
          <t xml:space="preserve">Se vende Mini One D del año 2007 automático. 205000km . El coche tiene asientos de cuero , navegador , techo solar ,faros xenon etc. Revisiones completas recién pasadas .Solo atiendo por teléfono </t>
        </is>
      </c>
      <c r="AZ449" s="2" t="inlineStr">
        <is>
          <t>https://www.coches.net/mini-mini-diesel-2007-en-valencia-71599977-covo.aspx (window.__INITIAL_PROPS__.ad) /home/user/Alopecia/buscador-coches/raw/cochesnet/0706470ade8ca14c.json</t>
        </is>
      </c>
      <c r="BA449" s="3">
        <f>MAX(ANIO_ACTUAL-M449,0)</f>
        <v/>
      </c>
      <c r="BB449" s="4">
        <f>N449/MAX(BA449,0.5)</f>
        <v/>
      </c>
      <c r="BC449" s="4">
        <f>F449</f>
        <v/>
      </c>
      <c r="BD449" s="3">
        <f>BC449&amp;"|"&amp;INT(M449/SEG_ANIO)*SEG_ANIO</f>
        <v/>
      </c>
      <c r="BE449" s="3">
        <f>BD449&amp;"|"&amp;INT(N449/SEG_KM)*SEG_KM</f>
        <v/>
      </c>
      <c r="BF449" s="4">
        <f>COUNTIF($BC$2:$BC$545,BC449)</f>
        <v/>
      </c>
      <c r="BG449" s="4">
        <f>COUNTIF($BD$2:$BD$545,BD449)</f>
        <v/>
      </c>
      <c r="BH449" s="4">
        <f>COUNTIF($BE$2:$BE$545,BE449)</f>
        <v/>
      </c>
      <c r="BI449" s="3">
        <f t="array" ref="BI449">IF(N(AU449)&gt;=MIN_N,AT449,IF(BH449&gt;=MIN_N,MEDIAN(IF($BE$2:$BE$545=BE449,$O$2:$O$545)),IF(BG449&gt;=MIN_N,MEDIAN(IF($BD$2:$BD$545=BD449,$O$2:$O$545)),MEDIAN(IF($BC$2:$BC$545=BC449,$O$2:$O$545)))))</f>
        <v/>
      </c>
      <c r="BJ449" s="3">
        <f>IF(N(AU449)&gt;=MIN_N,"mercado "&amp;AV449,IF(BH449&gt;=MIN_N,"modelo+año+km",IF(BG449&gt;=MIN_N,"modelo+año","modelo")))</f>
        <v/>
      </c>
      <c r="BK449" s="4">
        <f>(BI449-O449)/BI449</f>
        <v/>
      </c>
      <c r="BL449" s="3">
        <f>IF(COUNTIFS(FR_FUEL,K449,FR_YEAR,AP449)&gt;0,1,0)</f>
        <v/>
      </c>
      <c r="BM449" s="3">
        <f>IF(COUNTIFS(FR_FUEL,K449,FR_YEAR,AP449-1)&gt;0,1,0)</f>
        <v/>
      </c>
      <c r="BN449" s="4">
        <f>IF(N(AQ449)&gt;0,AP449*100+AQ449,IF(AND(BL449=1,BM449=1),(AP449-1)*100+1,AP449*100+1))</f>
        <v/>
      </c>
      <c r="BO449" s="3">
        <f>IF(OR(K449="hibrido",K449="glp",K449="gnc",K449="phev"),"ECO",IF(K449="electrico","CERO",IF(K449="gasolina",IF(BN449&gt;=GAS_C_YM,"C",IF(BN449&gt;=GAS_B_YM,"B","A")),IF(K449="diesel",IF(BN449&gt;=DIE_C_YM,"C",IF(BN449&gt;=DIE_B_YM,"B","A")),""))))</f>
        <v/>
      </c>
      <c r="BP449" s="4">
        <f>BO449</f>
        <v/>
      </c>
      <c r="BQ449" s="4">
        <f>IF(AS449="regla",IF(AND(N(AQ449)=0,BL449=1),"sí","no"),"no")</f>
        <v/>
      </c>
      <c r="BR449" s="3">
        <f>IFERROR(VLOOKUP(F449,MOD_TBL,11,0),IFERROR(VLOOKUP(E449,OCU_TBL,2,0),NEUTRO))</f>
        <v/>
      </c>
      <c r="BS449" s="3">
        <f>SUMIFS(MOT_AJUSTE,MOT_MOTOR,G449,MOT_MARCA,E449,MOT_DESDE,"&lt;="&amp;M449,MOT_HASTA,"&gt;="&amp;M449)+SUMIFS(MOT_AJUSTE,MOT_MOTOR,G449,MOT_MARCA,"(todas)",MOT_DESDE,"&lt;="&amp;M449,MOT_HASTA,"&gt;="&amp;M449)</f>
        <v/>
      </c>
      <c r="BT449" s="3">
        <f>SUMIFS(COMB_AJUSTE,COMB_COMB,K449)</f>
        <v/>
      </c>
      <c r="BU449" s="3">
        <f>COUNTIFS(MOT_MOTOR,G449,MOT_MARCA,E449,MOT_DESDE,"&lt;="&amp;M449,MOT_HASTA,"&gt;="&amp;M449)+COUNTIFS(MOT_MOTOR,G449,MOT_MARCA,"(todas)",MOT_DESDE,"&lt;="&amp;M449,MOT_HASTA,"&gt;="&amp;M449)</f>
        <v/>
      </c>
      <c r="BV449" s="3">
        <f>IF(AND(K449="diesel",BU449=0),MIN(BR449,NEUTRO),BR449)</f>
        <v/>
      </c>
      <c r="BW449" s="4">
        <f>MAX(0,MIN(100,BV449+BS449+BT449))</f>
        <v/>
      </c>
      <c r="BX449" s="3">
        <f>MAX(0,MIN(100,50+BK449*PRECIO_PEND))</f>
        <v/>
      </c>
      <c r="BY449" s="3">
        <f>MAX(0,100*(1-N449/KM_MAX))</f>
        <v/>
      </c>
      <c r="BZ449" s="3">
        <f>IF(BB449&lt;KMA_SOSP,IF(AA449="sí",100,KMA_PEN),IF(BB449&lt;=KMA_IDEAL_MAX,100,MAX(0,100*(KMA_CERO-BB449)/(KMA_CERO-KMA_IDEAL_MAX))))</f>
        <v/>
      </c>
      <c r="CA449" s="3">
        <f>MAX(0,MIN(100,100*(M449-ANIO_MIN)/(ANIO_ACTUAL-ANIO_MIN)))</f>
        <v/>
      </c>
      <c r="CB449" s="3">
        <f>W_KMT*BY449+W_KMA*BZ449+W_EDAD*CA449</f>
        <v/>
      </c>
      <c r="CC449" s="3">
        <f>P_ITV*(V449="sí")+P_LIBRO*(W449="sí")+P_CORREA*(X449="sí")+P_PROP*(Y449=1)+P_GAR*(Z449="sí")+P_FOTOS*MIN(1,N(U449)/FOTOS_OBJ)</f>
        <v/>
      </c>
      <c r="CD449" s="3">
        <f>MAX(0,MIN(100,IFERROR(VLOOKUP(BP449,ETQ_TBL,2,0),0)-IF(BQ449="sí",ETQ_PEN_DUD,IF(AS449="regla",ETQ_PEN_REGLA,0))))</f>
        <v/>
      </c>
      <c r="CE449" s="3">
        <f>NEUTRO</f>
        <v/>
      </c>
      <c r="CF449" s="3">
        <f>IFERROR(VLOOKUP(L449,SEGURO_TBL,3,0),"")</f>
        <v/>
      </c>
      <c r="CG449" s="3">
        <f>IF(CF449="",NEUTRO,MAX(0,MIN(100,100*(SEG_REF_MAX-CF449)/(SEG_REF_MAX-SEG_REF_MIN))))</f>
        <v/>
      </c>
      <c r="CH449" s="3">
        <f>W_CONS*CE449+W_SEG*CG449</f>
        <v/>
      </c>
      <c r="CI449" s="3">
        <f>IF(N(AB449)&gt;0,AB449,IF(AND(R449="profesional",SG_LEGAL_ON=1),GAR_LEGAL,0))</f>
        <v/>
      </c>
      <c r="CJ449" s="3">
        <f>SG_GAR*MIN(1,CI449/SG_GAR_FULL)+SG_AMPL*(AC449="sí")+SG_KMC*(AF449="sí")+SG_REV*(N(AE449)&gt;0)+SG_DEV*MIN(1,N(AG449)/SG_DEV_FULL)+SG_HIST*(W449="sí")</f>
        <v/>
      </c>
      <c r="CK449" s="3">
        <f>IFERROR(VLOOKUP(L449,CARR_PEN_TBL,2,0),0)</f>
        <v/>
      </c>
      <c r="CL449" s="3">
        <f>W_FIAB*BW449+W_PRECIO*BX449+W_KMEDAD*CB449+W_ANUNCIO*CC449+W_USO*CH449+W_SEGURIDAD*CJ449+W_ETIQUETA*CD449-CK449</f>
        <v/>
      </c>
      <c r="CM449" s="4">
        <f>IF(N(I449)&gt;0,I449,IFERROR(ROUND(_xlfn.NUMBERVALUE(LEFT(G449,FIND(" ",G449&amp;" ")-1),".")*1000,0),99999))</f>
        <v/>
      </c>
      <c r="CN449" s="3">
        <f>IF(R449="profesional",0,IF(O449&lt;CUOTA_VALOR_MAX,IF(BA449&gt;ITP_TRAMO_ALTO,SUMIFS(CF_CUOTA,CF_MAS,ITP_TRAMO_ALTO,CF_CCMIN,"&lt;="&amp;CM449,CF_CCMAX,"&gt;="&amp;CM449),IF(BA449&gt;ITP_TRAMO_BAJO,SUMIFS(CF_CUOTA,CF_MAS,ITP_TRAMO_BAJO,CF_CCMIN,"&lt;="&amp;CM449,CF_CCMAX,"&gt;="&amp;CM449),O449*ITP_TIPO)),O449*ITP_TIPO))</f>
        <v/>
      </c>
      <c r="CO449" s="4">
        <f>IF(R449="profesional",N(AK449),0)</f>
        <v/>
      </c>
      <c r="CP449" s="3">
        <f>IF(AND(R449="profesional",ISNUMBER(AK449),AL449="sí"),0,TASA_DGT)</f>
        <v/>
      </c>
      <c r="CQ449" s="3">
        <f>INFORME_DGT</f>
        <v/>
      </c>
      <c r="CR449" s="4">
        <f>O449+CO449+CN449+CP449+CQ449</f>
        <v/>
      </c>
      <c r="CS449" s="4">
        <f>CR449+N(CF449)</f>
        <v/>
      </c>
      <c r="CT449" s="3">
        <f>IF(CR449&lt;=TOTAL_MAX,"sí",IF(CR449&lt;=TOTAL_MAX+MARGEN_NEG,"negociar","no"))</f>
        <v/>
      </c>
      <c r="CU449" s="4">
        <f>IF(CT449&lt;&gt;"no",COUNTIFS($CT$2:$CT$545,"&lt;&gt;no",$CL$2:$CL$545,"&gt;"&amp;CL449)+COUNTIFS($CT$2:CT449,"&lt;&gt;no",$CL$2:CL449,CL449),"")</f>
        <v/>
      </c>
    </row>
    <row r="450">
      <c r="A450" s="2" t="inlineStr">
        <is>
          <t>cochesnet:71570664</t>
        </is>
      </c>
      <c r="B450" s="2" t="inlineStr">
        <is>
          <t>cochesnet</t>
        </is>
      </c>
      <c r="C450" s="2" t="inlineStr">
        <is>
          <t>https://www.coches.net/mini-mini-gasolina-2006-en-valencia-71570664-covo.aspx</t>
        </is>
      </c>
      <c r="D450" s="2" t="inlineStr">
        <is>
          <t>MINI MINI</t>
        </is>
      </c>
      <c r="E450" s="2" t="inlineStr">
        <is>
          <t>MINI</t>
        </is>
      </c>
      <c r="F450" s="2" t="inlineStr">
        <is>
          <t>MINI MINI</t>
        </is>
      </c>
      <c r="G450" s="2" t="n"/>
      <c r="H450" s="2" t="n"/>
      <c r="I450" s="2" t="n"/>
      <c r="J450" s="2" t="n"/>
      <c r="K450" s="2" t="inlineStr">
        <is>
          <t>gasolina</t>
        </is>
      </c>
      <c r="L450" s="2" t="inlineStr">
        <is>
          <t>utilitario</t>
        </is>
      </c>
      <c r="M450" s="2" t="n">
        <v>2006</v>
      </c>
      <c r="N450" s="2" t="n">
        <v>140000</v>
      </c>
      <c r="O450" s="2" t="n">
        <v>5100</v>
      </c>
      <c r="P450" s="2" t="inlineStr">
        <is>
          <t>manual</t>
        </is>
      </c>
      <c r="Q450" s="2" t="inlineStr">
        <is>
          <t>no</t>
        </is>
      </c>
      <c r="R450" s="2" t="inlineStr">
        <is>
          <t>particular</t>
        </is>
      </c>
      <c r="S450" s="2" t="inlineStr">
        <is>
          <t>Paterna</t>
        </is>
      </c>
      <c r="T450" s="2" t="inlineStr">
        <is>
          <t>2026-09-22T10:39:55Z</t>
        </is>
      </c>
      <c r="U450" s="2" t="n">
        <v>9</v>
      </c>
      <c r="V450" s="2" t="inlineStr">
        <is>
          <t>sí</t>
        </is>
      </c>
      <c r="W450" s="2" t="n"/>
      <c r="X450" s="2" t="n"/>
      <c r="Y450" s="2" t="n">
        <v>2</v>
      </c>
      <c r="Z450" s="2" t="inlineStr">
        <is>
          <t>no</t>
        </is>
      </c>
      <c r="AA450" s="2" t="n"/>
      <c r="AB450" s="2" t="n"/>
      <c r="AC450" s="2" t="n"/>
      <c r="AD450" s="2" t="n"/>
      <c r="AE450" s="2" t="n"/>
      <c r="AF450" s="2" t="n"/>
      <c r="AG450" s="2" t="n"/>
      <c r="AH450" s="2" t="n">
        <v>5100</v>
      </c>
      <c r="AI450" s="2" t="n"/>
      <c r="AJ450" s="2" t="n"/>
      <c r="AK450" s="2" t="n"/>
      <c r="AL450" s="2" t="n"/>
      <c r="AM450" s="2" t="n">
        <v>6.8</v>
      </c>
      <c r="AN450" s="2" t="n"/>
      <c r="AO450" s="2" t="inlineStr">
        <is>
          <t>2006</t>
        </is>
      </c>
      <c r="AP450" s="2" t="n">
        <v>2006</v>
      </c>
      <c r="AQ450" s="2" t="n"/>
      <c r="AR450" s="2" t="n"/>
      <c r="AS450" s="2" t="inlineStr">
        <is>
          <t>regla</t>
        </is>
      </c>
      <c r="AT450" s="2" t="n">
        <v>4990</v>
      </c>
      <c r="AU450" s="2" t="n">
        <v>5</v>
      </c>
      <c r="AV450" s="2" t="inlineStr">
        <is>
          <t>modelo+año+km</t>
        </is>
      </c>
      <c r="AW450" s="2" t="n"/>
      <c r="AX450" s="2" t="inlineStr">
        <is>
          <t>cilindrada desconocida: se aplica el tramo de cuota fija más alto; cuota fija ITP: &gt;12 años, más de 2.000 cc; fiabilidad del modelo PENDIENTE de fuente (puntuación neutra)</t>
        </is>
      </c>
      <c r="AY450" s="2" t="inlineStr">
        <is>
          <t>Mini One Seven Limited Edition 1.6 gasolina 90cv.
Año 2006.
156.000 km.
Solo 2 propietarios.
ITV recién pasada 2026.
Revisión completa hecha hace 1 mes.
2 neumáticos nuevos.
Coche muy cuidado, interior y exterior en buen estado.
Motor fiable y económico.
Aire acondicionado, elevalunas eléctricos, cierre centralizado, llantas, etc.
Se puede ver y probar sin compromiso</t>
        </is>
      </c>
      <c r="AZ450" s="2" t="inlineStr">
        <is>
          <t>https://www.coches.net/mini-mini-gasolina-2006-en-valencia-71570664-covo.aspx (window.__INITIAL_PROPS__.ad) /home/user/Alopecia/buscador-coches/raw/cochesnet/bccfe5310de41cd7.json</t>
        </is>
      </c>
      <c r="BA450" s="3">
        <f>MAX(ANIO_ACTUAL-M450,0)</f>
        <v/>
      </c>
      <c r="BB450" s="4">
        <f>N450/MAX(BA450,0.5)</f>
        <v/>
      </c>
      <c r="BC450" s="4">
        <f>F450</f>
        <v/>
      </c>
      <c r="BD450" s="3">
        <f>BC450&amp;"|"&amp;INT(M450/SEG_ANIO)*SEG_ANIO</f>
        <v/>
      </c>
      <c r="BE450" s="3">
        <f>BD450&amp;"|"&amp;INT(N450/SEG_KM)*SEG_KM</f>
        <v/>
      </c>
      <c r="BF450" s="4">
        <f>COUNTIF($BC$2:$BC$545,BC450)</f>
        <v/>
      </c>
      <c r="BG450" s="4">
        <f>COUNTIF($BD$2:$BD$545,BD450)</f>
        <v/>
      </c>
      <c r="BH450" s="4">
        <f>COUNTIF($BE$2:$BE$545,BE450)</f>
        <v/>
      </c>
      <c r="BI450" s="3">
        <f t="array" ref="BI450">IF(N(AU450)&gt;=MIN_N,AT450,IF(BH450&gt;=MIN_N,MEDIAN(IF($BE$2:$BE$545=BE450,$O$2:$O$545)),IF(BG450&gt;=MIN_N,MEDIAN(IF($BD$2:$BD$545=BD450,$O$2:$O$545)),MEDIAN(IF($BC$2:$BC$545=BC450,$O$2:$O$545)))))</f>
        <v/>
      </c>
      <c r="BJ450" s="3">
        <f>IF(N(AU450)&gt;=MIN_N,"mercado "&amp;AV450,IF(BH450&gt;=MIN_N,"modelo+año+km",IF(BG450&gt;=MIN_N,"modelo+año","modelo")))</f>
        <v/>
      </c>
      <c r="BK450" s="4">
        <f>(BI450-O450)/BI450</f>
        <v/>
      </c>
      <c r="BL450" s="3">
        <f>IF(COUNTIFS(FR_FUEL,K450,FR_YEAR,AP450)&gt;0,1,0)</f>
        <v/>
      </c>
      <c r="BM450" s="3">
        <f>IF(COUNTIFS(FR_FUEL,K450,FR_YEAR,AP450-1)&gt;0,1,0)</f>
        <v/>
      </c>
      <c r="BN450" s="4">
        <f>IF(N(AQ450)&gt;0,AP450*100+AQ450,IF(AND(BL450=1,BM450=1),(AP450-1)*100+1,AP450*100+1))</f>
        <v/>
      </c>
      <c r="BO450" s="3">
        <f>IF(OR(K450="hibrido",K450="glp",K450="gnc",K450="phev"),"ECO",IF(K450="electrico","CERO",IF(K450="gasolina",IF(BN450&gt;=GAS_C_YM,"C",IF(BN450&gt;=GAS_B_YM,"B","A")),IF(K450="diesel",IF(BN450&gt;=DIE_C_YM,"C",IF(BN450&gt;=DIE_B_YM,"B","A")),""))))</f>
        <v/>
      </c>
      <c r="BP450" s="4">
        <f>BO450</f>
        <v/>
      </c>
      <c r="BQ450" s="4">
        <f>IF(AS450="regla",IF(AND(N(AQ450)=0,BL450=1),"sí","no"),"no")</f>
        <v/>
      </c>
      <c r="BR450" s="3">
        <f>IFERROR(VLOOKUP(F450,MOD_TBL,11,0),IFERROR(VLOOKUP(E450,OCU_TBL,2,0),NEUTRO))</f>
        <v/>
      </c>
      <c r="BS450" s="3">
        <f>SUMIFS(MOT_AJUSTE,MOT_MOTOR,G450,MOT_MARCA,E450,MOT_DESDE,"&lt;="&amp;M450,MOT_HASTA,"&gt;="&amp;M450)+SUMIFS(MOT_AJUSTE,MOT_MOTOR,G450,MOT_MARCA,"(todas)",MOT_DESDE,"&lt;="&amp;M450,MOT_HASTA,"&gt;="&amp;M450)</f>
        <v/>
      </c>
      <c r="BT450" s="3">
        <f>SUMIFS(COMB_AJUSTE,COMB_COMB,K450)</f>
        <v/>
      </c>
      <c r="BU450" s="3">
        <f>COUNTIFS(MOT_MOTOR,G450,MOT_MARCA,E450,MOT_DESDE,"&lt;="&amp;M450,MOT_HASTA,"&gt;="&amp;M450)+COUNTIFS(MOT_MOTOR,G450,MOT_MARCA,"(todas)",MOT_DESDE,"&lt;="&amp;M450,MOT_HASTA,"&gt;="&amp;M450)</f>
        <v/>
      </c>
      <c r="BV450" s="3">
        <f>IF(AND(K450="diesel",BU450=0),MIN(BR450,NEUTRO),BR450)</f>
        <v/>
      </c>
      <c r="BW450" s="4">
        <f>MAX(0,MIN(100,BV450+BS450+BT450))</f>
        <v/>
      </c>
      <c r="BX450" s="3">
        <f>MAX(0,MIN(100,50+BK450*PRECIO_PEND))</f>
        <v/>
      </c>
      <c r="BY450" s="3">
        <f>MAX(0,100*(1-N450/KM_MAX))</f>
        <v/>
      </c>
      <c r="BZ450" s="3">
        <f>IF(BB450&lt;KMA_SOSP,IF(AA450="sí",100,KMA_PEN),IF(BB450&lt;=KMA_IDEAL_MAX,100,MAX(0,100*(KMA_CERO-BB450)/(KMA_CERO-KMA_IDEAL_MAX))))</f>
        <v/>
      </c>
      <c r="CA450" s="3">
        <f>MAX(0,MIN(100,100*(M450-ANIO_MIN)/(ANIO_ACTUAL-ANIO_MIN)))</f>
        <v/>
      </c>
      <c r="CB450" s="3">
        <f>W_KMT*BY450+W_KMA*BZ450+W_EDAD*CA450</f>
        <v/>
      </c>
      <c r="CC450" s="3">
        <f>P_ITV*(V450="sí")+P_LIBRO*(W450="sí")+P_CORREA*(X450="sí")+P_PROP*(Y450=1)+P_GAR*(Z450="sí")+P_FOTOS*MIN(1,N(U450)/FOTOS_OBJ)</f>
        <v/>
      </c>
      <c r="CD450" s="3">
        <f>MAX(0,MIN(100,IFERROR(VLOOKUP(BP450,ETQ_TBL,2,0),0)-IF(BQ450="sí",ETQ_PEN_DUD,IF(AS450="regla",ETQ_PEN_REGLA,0))))</f>
        <v/>
      </c>
      <c r="CE450" s="3">
        <f>NEUTRO</f>
        <v/>
      </c>
      <c r="CF450" s="3">
        <f>IFERROR(VLOOKUP(L450,SEGURO_TBL,3,0),"")</f>
        <v/>
      </c>
      <c r="CG450" s="3">
        <f>IF(CF450="",NEUTRO,MAX(0,MIN(100,100*(SEG_REF_MAX-CF450)/(SEG_REF_MAX-SEG_REF_MIN))))</f>
        <v/>
      </c>
      <c r="CH450" s="3">
        <f>W_CONS*CE450+W_SEG*CG450</f>
        <v/>
      </c>
      <c r="CI450" s="3">
        <f>IF(N(AB450)&gt;0,AB450,IF(AND(R450="profesional",SG_LEGAL_ON=1),GAR_LEGAL,0))</f>
        <v/>
      </c>
      <c r="CJ450" s="3">
        <f>SG_GAR*MIN(1,CI450/SG_GAR_FULL)+SG_AMPL*(AC450="sí")+SG_KMC*(AF450="sí")+SG_REV*(N(AE450)&gt;0)+SG_DEV*MIN(1,N(AG450)/SG_DEV_FULL)+SG_HIST*(W450="sí")</f>
        <v/>
      </c>
      <c r="CK450" s="3">
        <f>IFERROR(VLOOKUP(L450,CARR_PEN_TBL,2,0),0)</f>
        <v/>
      </c>
      <c r="CL450" s="3">
        <f>W_FIAB*BW450+W_PRECIO*BX450+W_KMEDAD*CB450+W_ANUNCIO*CC450+W_USO*CH450+W_SEGURIDAD*CJ450+W_ETIQUETA*CD450-CK450</f>
        <v/>
      </c>
      <c r="CM450" s="4">
        <f>IF(N(I450)&gt;0,I450,IFERROR(ROUND(_xlfn.NUMBERVALUE(LEFT(G450,FIND(" ",G450&amp;" ")-1),".")*1000,0),99999))</f>
        <v/>
      </c>
      <c r="CN450" s="3">
        <f>IF(R450="profesional",0,IF(O450&lt;CUOTA_VALOR_MAX,IF(BA450&gt;ITP_TRAMO_ALTO,SUMIFS(CF_CUOTA,CF_MAS,ITP_TRAMO_ALTO,CF_CCMIN,"&lt;="&amp;CM450,CF_CCMAX,"&gt;="&amp;CM450),IF(BA450&gt;ITP_TRAMO_BAJO,SUMIFS(CF_CUOTA,CF_MAS,ITP_TRAMO_BAJO,CF_CCMIN,"&lt;="&amp;CM450,CF_CCMAX,"&gt;="&amp;CM450),O450*ITP_TIPO)),O450*ITP_TIPO))</f>
        <v/>
      </c>
      <c r="CO450" s="4">
        <f>IF(R450="profesional",N(AK450),0)</f>
        <v/>
      </c>
      <c r="CP450" s="3">
        <f>IF(AND(R450="profesional",ISNUMBER(AK450),AL450="sí"),0,TASA_DGT)</f>
        <v/>
      </c>
      <c r="CQ450" s="3">
        <f>INFORME_DGT</f>
        <v/>
      </c>
      <c r="CR450" s="4">
        <f>O450+CO450+CN450+CP450+CQ450</f>
        <v/>
      </c>
      <c r="CS450" s="4">
        <f>CR450+N(CF450)</f>
        <v/>
      </c>
      <c r="CT450" s="3">
        <f>IF(CR450&lt;=TOTAL_MAX,"sí",IF(CR450&lt;=TOTAL_MAX+MARGEN_NEG,"negociar","no"))</f>
        <v/>
      </c>
      <c r="CU450" s="4">
        <f>IF(CT450&lt;&gt;"no",COUNTIFS($CT$2:$CT$545,"&lt;&gt;no",$CL$2:$CL$545,"&gt;"&amp;CL450)+COUNTIFS($CT$2:CT450,"&lt;&gt;no",$CL$2:CL450,CL450),"")</f>
        <v/>
      </c>
    </row>
    <row r="451">
      <c r="A451" s="2" t="inlineStr">
        <is>
          <t>cochesnet:71445782</t>
        </is>
      </c>
      <c r="B451" s="2" t="inlineStr">
        <is>
          <t>cochesnet</t>
        </is>
      </c>
      <c r="C451" s="2" t="inlineStr">
        <is>
          <t>https://www.coches.net/mini-mini-one-3p-gasolina-2009-en-valencia-71445782-covo.aspx</t>
        </is>
      </c>
      <c r="D451" s="2" t="inlineStr">
        <is>
          <t>MINI MINI One</t>
        </is>
      </c>
      <c r="E451" s="2" t="inlineStr">
        <is>
          <t>MINI</t>
        </is>
      </c>
      <c r="F451" s="2" t="inlineStr">
        <is>
          <t>MINI MINI</t>
        </is>
      </c>
      <c r="G451" s="2" t="n"/>
      <c r="H451" s="2" t="inlineStr">
        <is>
          <t>One</t>
        </is>
      </c>
      <c r="I451" s="2" t="n"/>
      <c r="J451" s="2" t="n"/>
      <c r="K451" s="2" t="inlineStr">
        <is>
          <t>gasolina</t>
        </is>
      </c>
      <c r="L451" s="2" t="inlineStr">
        <is>
          <t>utilitario</t>
        </is>
      </c>
      <c r="M451" s="2" t="n">
        <v>2009</v>
      </c>
      <c r="N451" s="2" t="n">
        <v>154000</v>
      </c>
      <c r="O451" s="2" t="n">
        <v>4900</v>
      </c>
      <c r="P451" s="2" t="inlineStr">
        <is>
          <t>manual</t>
        </is>
      </c>
      <c r="Q451" s="2" t="inlineStr">
        <is>
          <t>no</t>
        </is>
      </c>
      <c r="R451" s="2" t="inlineStr">
        <is>
          <t>particular</t>
        </is>
      </c>
      <c r="S451" s="2" t="inlineStr">
        <is>
          <t>Torrent</t>
        </is>
      </c>
      <c r="T451" s="2" t="inlineStr">
        <is>
          <t>2026-09-05T08:26:45Z</t>
        </is>
      </c>
      <c r="U451" s="2" t="n">
        <v>11</v>
      </c>
      <c r="V451" s="2" t="n"/>
      <c r="W451" s="2" t="n"/>
      <c r="X451" s="2" t="n"/>
      <c r="Y451" s="2" t="n"/>
      <c r="Z451" s="2" t="inlineStr">
        <is>
          <t>no</t>
        </is>
      </c>
      <c r="AA451" s="2" t="n"/>
      <c r="AB451" s="2" t="n"/>
      <c r="AC451" s="2" t="n"/>
      <c r="AD451" s="2" t="n"/>
      <c r="AE451" s="2" t="n"/>
      <c r="AF451" s="2" t="n"/>
      <c r="AG451" s="2" t="n"/>
      <c r="AH451" s="2" t="n">
        <v>4900</v>
      </c>
      <c r="AI451" s="2" t="n"/>
      <c r="AJ451" s="2" t="n"/>
      <c r="AK451" s="2" t="n"/>
      <c r="AL451" s="2" t="n"/>
      <c r="AM451" s="2" t="n">
        <v>8.800000000000001</v>
      </c>
      <c r="AN451" s="2" t="inlineStr">
        <is>
          <t>DE1598CC</t>
        </is>
      </c>
      <c r="AO451" s="2" t="inlineStr">
        <is>
          <t>02/2009</t>
        </is>
      </c>
      <c r="AP451" s="2" t="n">
        <v>2009</v>
      </c>
      <c r="AQ451" s="2" t="n">
        <v>2</v>
      </c>
      <c r="AR451" s="2" t="n"/>
      <c r="AS451" s="2" t="inlineStr">
        <is>
          <t>regla</t>
        </is>
      </c>
      <c r="AT451" s="2" t="n">
        <v>6000</v>
      </c>
      <c r="AU451" s="2" t="n">
        <v>9</v>
      </c>
      <c r="AV451" s="2" t="inlineStr">
        <is>
          <t>modelo+año+km</t>
        </is>
      </c>
      <c r="AW451" s="2" t="n"/>
      <c r="AX451" s="2" t="inlineStr">
        <is>
          <t>por encima del presupuesto (5104 €), negociar; cilindrada desconocida: se aplica el tramo de cuota fija más alto; cuota fija ITP: &gt;12 años, más de 2.000 cc; fiabilidad del modelo PENDIENTE de fuente (puntuación neutra)</t>
        </is>
      </c>
      <c r="AY451" s="2" t="inlineStr">
        <is>
          <t>Vendo mi MINI One, un coche perfecto para quien busca un vehículo ágil, eficiente y con ese toque de personalidad que caracteriza a esta marca. Con un motor de 1598 cc y 98 CV, ofrece una conducción dinámica ideal tanto para la ciudad como para desplazamientos más largos, manteniendo un consumo contenido que te permitirá ahorrar en gasolina.
El estado general es bueno, tanto en el interior como en el exterior. Se trata de un berlina de tres puertas y cuatro plazas que ha sido cuidado y se mantiene en perfectas condiciones de funcionamiento. La transmisión manual te proporciona un control total de la conducción, algo que muchos conductores valoran especialmente.
Este MINI es una solución inteligente si necesitas un coche versátil, manejable y con ese carácter británico que la marca es capaz de transmitir. Su tamaño compacto facilita los aparcamientos en zonas urbanas, mientras que su potencia suficiente garantiza seguridad en carretera. Además, el color azul le da un aspecto atractivo y diferenciador.
Es un vehículo que sigue funcionando de forma fiable y que está listo para seguir dando muchos kilómetros más. Perfecto para quien busca un coche con personalidad sin renunciar a la practicidad.
Si tienes cualquier duda sobre aspectos específicos del vehículo o deseas conocer más detalles, no dudes en contactarme. Estoy disponible tanto por chat como por teléfono para resolver todas tus preguntas.
Contacta hoy mismo y ven a verlo. No lo dejes escapar.</t>
        </is>
      </c>
      <c r="AZ451" s="2" t="inlineStr">
        <is>
          <t>https://www.coches.net/mini-mini-one-3p-gasolina-2009-en-valencia-71445782-covo.aspx (window.__INITIAL_PROPS__.ad) /home/user/Alopecia/buscador-coches/raw/cochesnet/6a28af587f21dbef.json</t>
        </is>
      </c>
      <c r="BA451" s="3">
        <f>MAX(ANIO_ACTUAL-M451,0)</f>
        <v/>
      </c>
      <c r="BB451" s="4">
        <f>N451/MAX(BA451,0.5)</f>
        <v/>
      </c>
      <c r="BC451" s="4">
        <f>F451</f>
        <v/>
      </c>
      <c r="BD451" s="3">
        <f>BC451&amp;"|"&amp;INT(M451/SEG_ANIO)*SEG_ANIO</f>
        <v/>
      </c>
      <c r="BE451" s="3">
        <f>BD451&amp;"|"&amp;INT(N451/SEG_KM)*SEG_KM</f>
        <v/>
      </c>
      <c r="BF451" s="4">
        <f>COUNTIF($BC$2:$BC$545,BC451)</f>
        <v/>
      </c>
      <c r="BG451" s="4">
        <f>COUNTIF($BD$2:$BD$545,BD451)</f>
        <v/>
      </c>
      <c r="BH451" s="4">
        <f>COUNTIF($BE$2:$BE$545,BE451)</f>
        <v/>
      </c>
      <c r="BI451" s="3">
        <f t="array" ref="BI451">IF(N(AU451)&gt;=MIN_N,AT451,IF(BH451&gt;=MIN_N,MEDIAN(IF($BE$2:$BE$545=BE451,$O$2:$O$545)),IF(BG451&gt;=MIN_N,MEDIAN(IF($BD$2:$BD$545=BD451,$O$2:$O$545)),MEDIAN(IF($BC$2:$BC$545=BC451,$O$2:$O$545)))))</f>
        <v/>
      </c>
      <c r="BJ451" s="3">
        <f>IF(N(AU451)&gt;=MIN_N,"mercado "&amp;AV451,IF(BH451&gt;=MIN_N,"modelo+año+km",IF(BG451&gt;=MIN_N,"modelo+año","modelo")))</f>
        <v/>
      </c>
      <c r="BK451" s="4">
        <f>(BI451-O451)/BI451</f>
        <v/>
      </c>
      <c r="BL451" s="3">
        <f>IF(COUNTIFS(FR_FUEL,K451,FR_YEAR,AP451)&gt;0,1,0)</f>
        <v/>
      </c>
      <c r="BM451" s="3">
        <f>IF(COUNTIFS(FR_FUEL,K451,FR_YEAR,AP451-1)&gt;0,1,0)</f>
        <v/>
      </c>
      <c r="BN451" s="4">
        <f>IF(N(AQ451)&gt;0,AP451*100+AQ451,IF(AND(BL451=1,BM451=1),(AP451-1)*100+1,AP451*100+1))</f>
        <v/>
      </c>
      <c r="BO451" s="3">
        <f>IF(OR(K451="hibrido",K451="glp",K451="gnc",K451="phev"),"ECO",IF(K451="electrico","CERO",IF(K451="gasolina",IF(BN451&gt;=GAS_C_YM,"C",IF(BN451&gt;=GAS_B_YM,"B","A")),IF(K451="diesel",IF(BN451&gt;=DIE_C_YM,"C",IF(BN451&gt;=DIE_B_YM,"B","A")),""))))</f>
        <v/>
      </c>
      <c r="BP451" s="4">
        <f>BO451</f>
        <v/>
      </c>
      <c r="BQ451" s="4">
        <f>IF(AS451="regla",IF(AND(N(AQ451)=0,BL451=1),"sí","no"),"no")</f>
        <v/>
      </c>
      <c r="BR451" s="3">
        <f>IFERROR(VLOOKUP(F451,MOD_TBL,11,0),IFERROR(VLOOKUP(E451,OCU_TBL,2,0),NEUTRO))</f>
        <v/>
      </c>
      <c r="BS451" s="3">
        <f>SUMIFS(MOT_AJUSTE,MOT_MOTOR,G451,MOT_MARCA,E451,MOT_DESDE,"&lt;="&amp;M451,MOT_HASTA,"&gt;="&amp;M451)+SUMIFS(MOT_AJUSTE,MOT_MOTOR,G451,MOT_MARCA,"(todas)",MOT_DESDE,"&lt;="&amp;M451,MOT_HASTA,"&gt;="&amp;M451)</f>
        <v/>
      </c>
      <c r="BT451" s="3">
        <f>SUMIFS(COMB_AJUSTE,COMB_COMB,K451)</f>
        <v/>
      </c>
      <c r="BU451" s="3">
        <f>COUNTIFS(MOT_MOTOR,G451,MOT_MARCA,E451,MOT_DESDE,"&lt;="&amp;M451,MOT_HASTA,"&gt;="&amp;M451)+COUNTIFS(MOT_MOTOR,G451,MOT_MARCA,"(todas)",MOT_DESDE,"&lt;="&amp;M451,MOT_HASTA,"&gt;="&amp;M451)</f>
        <v/>
      </c>
      <c r="BV451" s="3">
        <f>IF(AND(K451="diesel",BU451=0),MIN(BR451,NEUTRO),BR451)</f>
        <v/>
      </c>
      <c r="BW451" s="4">
        <f>MAX(0,MIN(100,BV451+BS451+BT451))</f>
        <v/>
      </c>
      <c r="BX451" s="3">
        <f>MAX(0,MIN(100,50+BK451*PRECIO_PEND))</f>
        <v/>
      </c>
      <c r="BY451" s="3">
        <f>MAX(0,100*(1-N451/KM_MAX))</f>
        <v/>
      </c>
      <c r="BZ451" s="3">
        <f>IF(BB451&lt;KMA_SOSP,IF(AA451="sí",100,KMA_PEN),IF(BB451&lt;=KMA_IDEAL_MAX,100,MAX(0,100*(KMA_CERO-BB451)/(KMA_CERO-KMA_IDEAL_MAX))))</f>
        <v/>
      </c>
      <c r="CA451" s="3">
        <f>MAX(0,MIN(100,100*(M451-ANIO_MIN)/(ANIO_ACTUAL-ANIO_MIN)))</f>
        <v/>
      </c>
      <c r="CB451" s="3">
        <f>W_KMT*BY451+W_KMA*BZ451+W_EDAD*CA451</f>
        <v/>
      </c>
      <c r="CC451" s="3">
        <f>P_ITV*(V451="sí")+P_LIBRO*(W451="sí")+P_CORREA*(X451="sí")+P_PROP*(Y451=1)+P_GAR*(Z451="sí")+P_FOTOS*MIN(1,N(U451)/FOTOS_OBJ)</f>
        <v/>
      </c>
      <c r="CD451" s="3">
        <f>MAX(0,MIN(100,IFERROR(VLOOKUP(BP451,ETQ_TBL,2,0),0)-IF(BQ451="sí",ETQ_PEN_DUD,IF(AS451="regla",ETQ_PEN_REGLA,0))))</f>
        <v/>
      </c>
      <c r="CE451" s="3">
        <f>NEUTRO</f>
        <v/>
      </c>
      <c r="CF451" s="3">
        <f>IFERROR(VLOOKUP(L451,SEGURO_TBL,3,0),"")</f>
        <v/>
      </c>
      <c r="CG451" s="3">
        <f>IF(CF451="",NEUTRO,MAX(0,MIN(100,100*(SEG_REF_MAX-CF451)/(SEG_REF_MAX-SEG_REF_MIN))))</f>
        <v/>
      </c>
      <c r="CH451" s="3">
        <f>W_CONS*CE451+W_SEG*CG451</f>
        <v/>
      </c>
      <c r="CI451" s="3">
        <f>IF(N(AB451)&gt;0,AB451,IF(AND(R451="profesional",SG_LEGAL_ON=1),GAR_LEGAL,0))</f>
        <v/>
      </c>
      <c r="CJ451" s="3">
        <f>SG_GAR*MIN(1,CI451/SG_GAR_FULL)+SG_AMPL*(AC451="sí")+SG_KMC*(AF451="sí")+SG_REV*(N(AE451)&gt;0)+SG_DEV*MIN(1,N(AG451)/SG_DEV_FULL)+SG_HIST*(W451="sí")</f>
        <v/>
      </c>
      <c r="CK451" s="3">
        <f>IFERROR(VLOOKUP(L451,CARR_PEN_TBL,2,0),0)</f>
        <v/>
      </c>
      <c r="CL451" s="3">
        <f>W_FIAB*BW451+W_PRECIO*BX451+W_KMEDAD*CB451+W_ANUNCIO*CC451+W_USO*CH451+W_SEGURIDAD*CJ451+W_ETIQUETA*CD451-CK451</f>
        <v/>
      </c>
      <c r="CM451" s="4">
        <f>IF(N(I451)&gt;0,I451,IFERROR(ROUND(_xlfn.NUMBERVALUE(LEFT(G451,FIND(" ",G451&amp;" ")-1),".")*1000,0),99999))</f>
        <v/>
      </c>
      <c r="CN451" s="3">
        <f>IF(R451="profesional",0,IF(O451&lt;CUOTA_VALOR_MAX,IF(BA451&gt;ITP_TRAMO_ALTO,SUMIFS(CF_CUOTA,CF_MAS,ITP_TRAMO_ALTO,CF_CCMIN,"&lt;="&amp;CM451,CF_CCMAX,"&gt;="&amp;CM451),IF(BA451&gt;ITP_TRAMO_BAJO,SUMIFS(CF_CUOTA,CF_MAS,ITP_TRAMO_BAJO,CF_CCMIN,"&lt;="&amp;CM451,CF_CCMAX,"&gt;="&amp;CM451),O451*ITP_TIPO)),O451*ITP_TIPO))</f>
        <v/>
      </c>
      <c r="CO451" s="4">
        <f>IF(R451="profesional",N(AK451),0)</f>
        <v/>
      </c>
      <c r="CP451" s="3">
        <f>IF(AND(R451="profesional",ISNUMBER(AK451),AL451="sí"),0,TASA_DGT)</f>
        <v/>
      </c>
      <c r="CQ451" s="3">
        <f>INFORME_DGT</f>
        <v/>
      </c>
      <c r="CR451" s="4">
        <f>O451+CO451+CN451+CP451+CQ451</f>
        <v/>
      </c>
      <c r="CS451" s="4">
        <f>CR451+N(CF451)</f>
        <v/>
      </c>
      <c r="CT451" s="3">
        <f>IF(CR451&lt;=TOTAL_MAX,"sí",IF(CR451&lt;=TOTAL_MAX+MARGEN_NEG,"negociar","no"))</f>
        <v/>
      </c>
      <c r="CU451" s="4">
        <f>IF(CT451&lt;&gt;"no",COUNTIFS($CT$2:$CT$545,"&lt;&gt;no",$CL$2:$CL$545,"&gt;"&amp;CL451)+COUNTIFS($CT$2:CT451,"&lt;&gt;no",$CL$2:CL451,CL451),"")</f>
        <v/>
      </c>
    </row>
    <row r="452">
      <c r="A452" s="2" t="inlineStr">
        <is>
          <t>cochesnet:71332504</t>
        </is>
      </c>
      <c r="B452" s="2" t="inlineStr">
        <is>
          <t>cochesnet</t>
        </is>
      </c>
      <c r="C452" s="2" t="inlineStr">
        <is>
          <t>https://www.coches.net/mini-mini-one-3p-gasolina-2009-en-valencia-71332504-covo.aspx</t>
        </is>
      </c>
      <c r="D452" s="2" t="inlineStr">
        <is>
          <t>MINI MINI One</t>
        </is>
      </c>
      <c r="E452" s="2" t="inlineStr">
        <is>
          <t>MINI</t>
        </is>
      </c>
      <c r="F452" s="2" t="inlineStr">
        <is>
          <t>MINI MINI</t>
        </is>
      </c>
      <c r="G452" s="2" t="n"/>
      <c r="H452" s="2" t="inlineStr">
        <is>
          <t>One</t>
        </is>
      </c>
      <c r="I452" s="2" t="n"/>
      <c r="J452" s="2" t="n"/>
      <c r="K452" s="2" t="inlineStr">
        <is>
          <t>gasolina</t>
        </is>
      </c>
      <c r="L452" s="2" t="inlineStr">
        <is>
          <t>utilitario</t>
        </is>
      </c>
      <c r="M452" s="2" t="n">
        <v>2009</v>
      </c>
      <c r="N452" s="2" t="n">
        <v>116000</v>
      </c>
      <c r="O452" s="2" t="n">
        <v>4990</v>
      </c>
      <c r="P452" s="2" t="inlineStr">
        <is>
          <t>manual</t>
        </is>
      </c>
      <c r="Q452" s="2" t="inlineStr">
        <is>
          <t>no</t>
        </is>
      </c>
      <c r="R452" s="2" t="inlineStr">
        <is>
          <t>profesional</t>
        </is>
      </c>
      <c r="S452" s="2" t="inlineStr">
        <is>
          <t>Asatryan Motors Godelleta</t>
        </is>
      </c>
      <c r="T452" s="2" t="inlineStr">
        <is>
          <t>2026-08-20T16:10:22Z</t>
        </is>
      </c>
      <c r="U452" s="2" t="n">
        <v>8</v>
      </c>
      <c r="V452" s="2" t="inlineStr">
        <is>
          <t>sí</t>
        </is>
      </c>
      <c r="W452" s="2" t="n"/>
      <c r="X452" s="2" t="n"/>
      <c r="Y452" s="2" t="n"/>
      <c r="Z452" s="2" t="inlineStr">
        <is>
          <t>sí</t>
        </is>
      </c>
      <c r="AA452" s="2" t="n"/>
      <c r="AB452" s="2" t="n">
        <v>12</v>
      </c>
      <c r="AC452" s="2" t="n"/>
      <c r="AD452" s="2" t="n"/>
      <c r="AE452" s="2" t="n"/>
      <c r="AF452" s="2" t="n"/>
      <c r="AG452" s="2" t="n"/>
      <c r="AH452" s="2" t="n">
        <v>4990</v>
      </c>
      <c r="AI452" s="2" t="n"/>
      <c r="AJ452" s="2" t="n"/>
      <c r="AK452" s="2" t="n"/>
      <c r="AL452" s="2" t="n"/>
      <c r="AM452" s="2" t="n">
        <v>27.2</v>
      </c>
      <c r="AN452" s="2" t="n"/>
      <c r="AO452" s="2" t="inlineStr">
        <is>
          <t>2009</t>
        </is>
      </c>
      <c r="AP452" s="2" t="n">
        <v>2009</v>
      </c>
      <c r="AQ452" s="2" t="n"/>
      <c r="AR452" s="2" t="inlineStr">
        <is>
          <t>C</t>
        </is>
      </c>
      <c r="AS452" s="2" t="inlineStr">
        <is>
          <t>anuncio</t>
        </is>
      </c>
      <c r="AT452" s="2" t="n">
        <v>6300</v>
      </c>
      <c r="AU452" s="2" t="n">
        <v>19</v>
      </c>
      <c r="AV452" s="2" t="inlineStr">
        <is>
          <t>modelo+año+km</t>
        </is>
      </c>
      <c r="AW452" s="2" t="n"/>
      <c r="AX452"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452" s="2" t="inlineStr">
        <is>
          <t>MINI One | Año 2009 | 119.000 km | 75 CV
Vehículo en buen estado tanto interior como exterior, con 119.000 km e ITV recién pasada.
Equipa motor de 75 CV, una configuración ideal para el uso diario, especialmente en ciudad, gracias a su tamaño compacto, facilidad de conducción y consumo contenido.
Un MINI práctico, ágil y con el diseño característico de la marca, perfecto para quienes buscan un vehículo pequeño, cómodo y fácil de manejar.
Se aceptan cualquier tipo de pruebas mecánicas.
Solo para personas seriamente interesadas!
Instagram: @Asatryan_motors
TikTok: @AsatryanMotors</t>
        </is>
      </c>
      <c r="AZ452" s="2" t="inlineStr">
        <is>
          <t>https://www.coches.net/mini-mini-one-3p-gasolina-2009-en-valencia-71332504-covo.aspx (window.__INITIAL_PROPS__.ad) /home/user/Alopecia/buscador-coches/raw/cochesnet/31604d79e7744ebf.json</t>
        </is>
      </c>
      <c r="BA452" s="3">
        <f>MAX(ANIO_ACTUAL-M452,0)</f>
        <v/>
      </c>
      <c r="BB452" s="4">
        <f>N452/MAX(BA452,0.5)</f>
        <v/>
      </c>
      <c r="BC452" s="4">
        <f>F452</f>
        <v/>
      </c>
      <c r="BD452" s="3">
        <f>BC452&amp;"|"&amp;INT(M452/SEG_ANIO)*SEG_ANIO</f>
        <v/>
      </c>
      <c r="BE452" s="3">
        <f>BD452&amp;"|"&amp;INT(N452/SEG_KM)*SEG_KM</f>
        <v/>
      </c>
      <c r="BF452" s="4">
        <f>COUNTIF($BC$2:$BC$545,BC452)</f>
        <v/>
      </c>
      <c r="BG452" s="4">
        <f>COUNTIF($BD$2:$BD$545,BD452)</f>
        <v/>
      </c>
      <c r="BH452" s="4">
        <f>COUNTIF($BE$2:$BE$545,BE452)</f>
        <v/>
      </c>
      <c r="BI452" s="3">
        <f t="array" ref="BI452">IF(N(AU452)&gt;=MIN_N,AT452,IF(BH452&gt;=MIN_N,MEDIAN(IF($BE$2:$BE$545=BE452,$O$2:$O$545)),IF(BG452&gt;=MIN_N,MEDIAN(IF($BD$2:$BD$545=BD452,$O$2:$O$545)),MEDIAN(IF($BC$2:$BC$545=BC452,$O$2:$O$545)))))</f>
        <v/>
      </c>
      <c r="BJ452" s="3">
        <f>IF(N(AU452)&gt;=MIN_N,"mercado "&amp;AV452,IF(BH452&gt;=MIN_N,"modelo+año+km",IF(BG452&gt;=MIN_N,"modelo+año","modelo")))</f>
        <v/>
      </c>
      <c r="BK452" s="4">
        <f>(BI452-O452)/BI452</f>
        <v/>
      </c>
      <c r="BL452" s="3">
        <f>IF(COUNTIFS(FR_FUEL,K452,FR_YEAR,AP452)&gt;0,1,0)</f>
        <v/>
      </c>
      <c r="BM452" s="3">
        <f>IF(COUNTIFS(FR_FUEL,K452,FR_YEAR,AP452-1)&gt;0,1,0)</f>
        <v/>
      </c>
      <c r="BN452" s="4">
        <f>IF(N(AQ452)&gt;0,AP452*100+AQ452,IF(AND(BL452=1,BM452=1),(AP452-1)*100+1,AP452*100+1))</f>
        <v/>
      </c>
      <c r="BO452" s="3">
        <f>IF(OR(K452="hibrido",K452="glp",K452="gnc",K452="phev"),"ECO",IF(K452="electrico","CERO",IF(K452="gasolina",IF(BN452&gt;=GAS_C_YM,"C",IF(BN452&gt;=GAS_B_YM,"B","A")),IF(K452="diesel",IF(BN452&gt;=DIE_C_YM,"C",IF(BN452&gt;=DIE_B_YM,"B","A")),""))))</f>
        <v/>
      </c>
      <c r="BP452" s="2" t="inlineStr">
        <is>
          <t>C</t>
        </is>
      </c>
      <c r="BQ452" s="4">
        <f>IF(AS452="regla",IF(AND(N(AQ452)=0,BL452=1),"sí","no"),"no")</f>
        <v/>
      </c>
      <c r="BR452" s="3">
        <f>IFERROR(VLOOKUP(F452,MOD_TBL,11,0),IFERROR(VLOOKUP(E452,OCU_TBL,2,0),NEUTRO))</f>
        <v/>
      </c>
      <c r="BS452" s="3">
        <f>SUMIFS(MOT_AJUSTE,MOT_MOTOR,G452,MOT_MARCA,E452,MOT_DESDE,"&lt;="&amp;M452,MOT_HASTA,"&gt;="&amp;M452)+SUMIFS(MOT_AJUSTE,MOT_MOTOR,G452,MOT_MARCA,"(todas)",MOT_DESDE,"&lt;="&amp;M452,MOT_HASTA,"&gt;="&amp;M452)</f>
        <v/>
      </c>
      <c r="BT452" s="3">
        <f>SUMIFS(COMB_AJUSTE,COMB_COMB,K452)</f>
        <v/>
      </c>
      <c r="BU452" s="3">
        <f>COUNTIFS(MOT_MOTOR,G452,MOT_MARCA,E452,MOT_DESDE,"&lt;="&amp;M452,MOT_HASTA,"&gt;="&amp;M452)+COUNTIFS(MOT_MOTOR,G452,MOT_MARCA,"(todas)",MOT_DESDE,"&lt;="&amp;M452,MOT_HASTA,"&gt;="&amp;M452)</f>
        <v/>
      </c>
      <c r="BV452" s="3">
        <f>IF(AND(K452="diesel",BU452=0),MIN(BR452,NEUTRO),BR452)</f>
        <v/>
      </c>
      <c r="BW452" s="4">
        <f>MAX(0,MIN(100,BV452+BS452+BT452))</f>
        <v/>
      </c>
      <c r="BX452" s="3">
        <f>MAX(0,MIN(100,50+BK452*PRECIO_PEND))</f>
        <v/>
      </c>
      <c r="BY452" s="3">
        <f>MAX(0,100*(1-N452/KM_MAX))</f>
        <v/>
      </c>
      <c r="BZ452" s="3">
        <f>IF(BB452&lt;KMA_SOSP,IF(AA452="sí",100,KMA_PEN),IF(BB452&lt;=KMA_IDEAL_MAX,100,MAX(0,100*(KMA_CERO-BB452)/(KMA_CERO-KMA_IDEAL_MAX))))</f>
        <v/>
      </c>
      <c r="CA452" s="3">
        <f>MAX(0,MIN(100,100*(M452-ANIO_MIN)/(ANIO_ACTUAL-ANIO_MIN)))</f>
        <v/>
      </c>
      <c r="CB452" s="3">
        <f>W_KMT*BY452+W_KMA*BZ452+W_EDAD*CA452</f>
        <v/>
      </c>
      <c r="CC452" s="3">
        <f>P_ITV*(V452="sí")+P_LIBRO*(W452="sí")+P_CORREA*(X452="sí")+P_PROP*(Y452=1)+P_GAR*(Z452="sí")+P_FOTOS*MIN(1,N(U452)/FOTOS_OBJ)</f>
        <v/>
      </c>
      <c r="CD452" s="3">
        <f>MAX(0,MIN(100,IFERROR(VLOOKUP(BP452,ETQ_TBL,2,0),0)-IF(BQ452="sí",ETQ_PEN_DUD,IF(AS452="regla",ETQ_PEN_REGLA,0))))</f>
        <v/>
      </c>
      <c r="CE452" s="3">
        <f>NEUTRO</f>
        <v/>
      </c>
      <c r="CF452" s="3">
        <f>IFERROR(VLOOKUP(L452,SEGURO_TBL,3,0),"")</f>
        <v/>
      </c>
      <c r="CG452" s="3">
        <f>IF(CF452="",NEUTRO,MAX(0,MIN(100,100*(SEG_REF_MAX-CF452)/(SEG_REF_MAX-SEG_REF_MIN))))</f>
        <v/>
      </c>
      <c r="CH452" s="3">
        <f>W_CONS*CE452+W_SEG*CG452</f>
        <v/>
      </c>
      <c r="CI452" s="3">
        <f>IF(N(AB452)&gt;0,AB452,IF(AND(R452="profesional",SG_LEGAL_ON=1),GAR_LEGAL,0))</f>
        <v/>
      </c>
      <c r="CJ452" s="3">
        <f>SG_GAR*MIN(1,CI452/SG_GAR_FULL)+SG_AMPL*(AC452="sí")+SG_KMC*(AF452="sí")+SG_REV*(N(AE452)&gt;0)+SG_DEV*MIN(1,N(AG452)/SG_DEV_FULL)+SG_HIST*(W452="sí")</f>
        <v/>
      </c>
      <c r="CK452" s="3">
        <f>IFERROR(VLOOKUP(L452,CARR_PEN_TBL,2,0),0)</f>
        <v/>
      </c>
      <c r="CL452" s="3">
        <f>W_FIAB*BW452+W_PRECIO*BX452+W_KMEDAD*CB452+W_ANUNCIO*CC452+W_USO*CH452+W_SEGURIDAD*CJ452+W_ETIQUETA*CD452-CK452</f>
        <v/>
      </c>
      <c r="CM452" s="4">
        <f>IF(N(I452)&gt;0,I452,IFERROR(ROUND(_xlfn.NUMBERVALUE(LEFT(G452,FIND(" ",G452&amp;" ")-1),".")*1000,0),99999))</f>
        <v/>
      </c>
      <c r="CN452" s="3">
        <f>IF(R452="profesional",0,IF(O452&lt;CUOTA_VALOR_MAX,IF(BA452&gt;ITP_TRAMO_ALTO,SUMIFS(CF_CUOTA,CF_MAS,ITP_TRAMO_ALTO,CF_CCMIN,"&lt;="&amp;CM452,CF_CCMAX,"&gt;="&amp;CM452),IF(BA452&gt;ITP_TRAMO_BAJO,SUMIFS(CF_CUOTA,CF_MAS,ITP_TRAMO_BAJO,CF_CCMIN,"&lt;="&amp;CM452,CF_CCMAX,"&gt;="&amp;CM452),O452*ITP_TIPO)),O452*ITP_TIPO))</f>
        <v/>
      </c>
      <c r="CO452" s="4">
        <f>IF(R452="profesional",N(AK452),0)</f>
        <v/>
      </c>
      <c r="CP452" s="3">
        <f>IF(AND(R452="profesional",ISNUMBER(AK452),AL452="sí"),0,TASA_DGT)</f>
        <v/>
      </c>
      <c r="CQ452" s="3">
        <f>INFORME_DGT</f>
        <v/>
      </c>
      <c r="CR452" s="4">
        <f>O452+CO452+CN452+CP452+CQ452</f>
        <v/>
      </c>
      <c r="CS452" s="4">
        <f>CR452+N(CF452)</f>
        <v/>
      </c>
      <c r="CT452" s="3">
        <f>IF(CR452&lt;=TOTAL_MAX,"sí",IF(CR452&lt;=TOTAL_MAX+MARGEN_NEG,"negociar","no"))</f>
        <v/>
      </c>
      <c r="CU452" s="4">
        <f>IF(CT452&lt;&gt;"no",COUNTIFS($CT$2:$CT$545,"&lt;&gt;no",$CL$2:$CL$545,"&gt;"&amp;CL452)+COUNTIFS($CT$2:CT452,"&lt;&gt;no",$CL$2:CL452,CL452),"")</f>
        <v/>
      </c>
    </row>
    <row r="453">
      <c r="A453" s="2" t="inlineStr">
        <is>
          <t>cochesnet:71026453</t>
        </is>
      </c>
      <c r="B453" s="2" t="inlineStr">
        <is>
          <t>cochesnet</t>
        </is>
      </c>
      <c r="C453" s="2" t="inlineStr">
        <is>
          <t>https://www.coches.net/mini-mini-gasolina-2007-en-valencia-71026453-covo.aspx</t>
        </is>
      </c>
      <c r="D453" s="2" t="inlineStr">
        <is>
          <t>MINI MINI</t>
        </is>
      </c>
      <c r="E453" s="2" t="inlineStr">
        <is>
          <t>MINI</t>
        </is>
      </c>
      <c r="F453" s="2" t="inlineStr">
        <is>
          <t>MINI MINI</t>
        </is>
      </c>
      <c r="G453" s="2" t="n"/>
      <c r="H453" s="2" t="n"/>
      <c r="I453" s="2" t="n"/>
      <c r="J453" s="2" t="n"/>
      <c r="K453" s="2" t="inlineStr">
        <is>
          <t>gasolina</t>
        </is>
      </c>
      <c r="L453" s="2" t="inlineStr">
        <is>
          <t>utilitario</t>
        </is>
      </c>
      <c r="M453" s="2" t="n">
        <v>2007</v>
      </c>
      <c r="N453" s="2" t="n">
        <v>200000</v>
      </c>
      <c r="O453" s="2" t="n">
        <v>3200</v>
      </c>
      <c r="P453" s="2" t="inlineStr">
        <is>
          <t>manual</t>
        </is>
      </c>
      <c r="Q453" s="2" t="inlineStr">
        <is>
          <t>no</t>
        </is>
      </c>
      <c r="R453" s="2" t="inlineStr">
        <is>
          <t>particular</t>
        </is>
      </c>
      <c r="S453" s="2" t="n"/>
      <c r="T453" s="2" t="inlineStr">
        <is>
          <t>2026-07-08T19:01:10Z</t>
        </is>
      </c>
      <c r="U453" s="2" t="n">
        <v>4</v>
      </c>
      <c r="V453" s="2" t="n"/>
      <c r="W453" s="2" t="n"/>
      <c r="X453" s="2" t="n"/>
      <c r="Y453" s="2" t="n"/>
      <c r="Z453" s="2" t="inlineStr">
        <is>
          <t>no</t>
        </is>
      </c>
      <c r="AA453" s="2" t="n"/>
      <c r="AB453" s="2" t="n"/>
      <c r="AC453" s="2" t="n"/>
      <c r="AD453" s="2" t="n"/>
      <c r="AE453" s="2" t="n"/>
      <c r="AF453" s="2" t="n"/>
      <c r="AG453" s="2" t="n"/>
      <c r="AH453" s="2" t="n">
        <v>3200</v>
      </c>
      <c r="AI453" s="2" t="n"/>
      <c r="AJ453" s="2" t="n"/>
      <c r="AK453" s="2" t="n"/>
      <c r="AL453" s="2" t="n"/>
      <c r="AM453" s="2" t="n"/>
      <c r="AN453" s="2" t="n"/>
      <c r="AO453" s="2" t="inlineStr">
        <is>
          <t>2007</t>
        </is>
      </c>
      <c r="AP453" s="2" t="n">
        <v>2007</v>
      </c>
      <c r="AQ453" s="2" t="n"/>
      <c r="AR453" s="2" t="n"/>
      <c r="AS453" s="2" t="inlineStr">
        <is>
          <t>regla</t>
        </is>
      </c>
      <c r="AT453" s="2" t="n">
        <v>4200</v>
      </c>
      <c r="AU453" s="2" t="n">
        <v>7</v>
      </c>
      <c r="AV453" s="2" t="inlineStr">
        <is>
          <t>modelo+año+km</t>
        </is>
      </c>
      <c r="AW453" s="2" t="n"/>
      <c r="AX453"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53" s="2" t="inlineStr">
        <is>
          <t>Todo en regla perfecto para uso diario.</t>
        </is>
      </c>
      <c r="AZ453" s="2" t="inlineStr">
        <is>
          <t>https://www.coches.net/mini-mini-gasolina-2007-en-valencia-71026453-covo.aspx (window.__INITIAL_PROPS__.ad) /home/user/Alopecia/buscador-coches/raw/cochesnet/06d1dce821b56be1.json</t>
        </is>
      </c>
      <c r="BA453" s="3">
        <f>MAX(ANIO_ACTUAL-M453,0)</f>
        <v/>
      </c>
      <c r="BB453" s="4">
        <f>N453/MAX(BA453,0.5)</f>
        <v/>
      </c>
      <c r="BC453" s="4">
        <f>F453</f>
        <v/>
      </c>
      <c r="BD453" s="3">
        <f>BC453&amp;"|"&amp;INT(M453/SEG_ANIO)*SEG_ANIO</f>
        <v/>
      </c>
      <c r="BE453" s="3">
        <f>BD453&amp;"|"&amp;INT(N453/SEG_KM)*SEG_KM</f>
        <v/>
      </c>
      <c r="BF453" s="4">
        <f>COUNTIF($BC$2:$BC$545,BC453)</f>
        <v/>
      </c>
      <c r="BG453" s="4">
        <f>COUNTIF($BD$2:$BD$545,BD453)</f>
        <v/>
      </c>
      <c r="BH453" s="4">
        <f>COUNTIF($BE$2:$BE$545,BE453)</f>
        <v/>
      </c>
      <c r="BI453" s="3">
        <f t="array" ref="BI453">IF(N(AU453)&gt;=MIN_N,AT453,IF(BH453&gt;=MIN_N,MEDIAN(IF($BE$2:$BE$545=BE453,$O$2:$O$545)),IF(BG453&gt;=MIN_N,MEDIAN(IF($BD$2:$BD$545=BD453,$O$2:$O$545)),MEDIAN(IF($BC$2:$BC$545=BC453,$O$2:$O$545)))))</f>
        <v/>
      </c>
      <c r="BJ453" s="3">
        <f>IF(N(AU453)&gt;=MIN_N,"mercado "&amp;AV453,IF(BH453&gt;=MIN_N,"modelo+año+km",IF(BG453&gt;=MIN_N,"modelo+año","modelo")))</f>
        <v/>
      </c>
      <c r="BK453" s="4">
        <f>(BI453-O453)/BI453</f>
        <v/>
      </c>
      <c r="BL453" s="3">
        <f>IF(COUNTIFS(FR_FUEL,K453,FR_YEAR,AP453)&gt;0,1,0)</f>
        <v/>
      </c>
      <c r="BM453" s="3">
        <f>IF(COUNTIFS(FR_FUEL,K453,FR_YEAR,AP453-1)&gt;0,1,0)</f>
        <v/>
      </c>
      <c r="BN453" s="4">
        <f>IF(N(AQ453)&gt;0,AP453*100+AQ453,IF(AND(BL453=1,BM453=1),(AP453-1)*100+1,AP453*100+1))</f>
        <v/>
      </c>
      <c r="BO453" s="3">
        <f>IF(OR(K453="hibrido",K453="glp",K453="gnc",K453="phev"),"ECO",IF(K453="electrico","CERO",IF(K453="gasolina",IF(BN453&gt;=GAS_C_YM,"C",IF(BN453&gt;=GAS_B_YM,"B","A")),IF(K453="diesel",IF(BN453&gt;=DIE_C_YM,"C",IF(BN453&gt;=DIE_B_YM,"B","A")),""))))</f>
        <v/>
      </c>
      <c r="BP453" s="4">
        <f>BO453</f>
        <v/>
      </c>
      <c r="BQ453" s="4">
        <f>IF(AS453="regla",IF(AND(N(AQ453)=0,BL453=1),"sí","no"),"no")</f>
        <v/>
      </c>
      <c r="BR453" s="3">
        <f>IFERROR(VLOOKUP(F453,MOD_TBL,11,0),IFERROR(VLOOKUP(E453,OCU_TBL,2,0),NEUTRO))</f>
        <v/>
      </c>
      <c r="BS453" s="3">
        <f>SUMIFS(MOT_AJUSTE,MOT_MOTOR,G453,MOT_MARCA,E453,MOT_DESDE,"&lt;="&amp;M453,MOT_HASTA,"&gt;="&amp;M453)+SUMIFS(MOT_AJUSTE,MOT_MOTOR,G453,MOT_MARCA,"(todas)",MOT_DESDE,"&lt;="&amp;M453,MOT_HASTA,"&gt;="&amp;M453)</f>
        <v/>
      </c>
      <c r="BT453" s="3">
        <f>SUMIFS(COMB_AJUSTE,COMB_COMB,K453)</f>
        <v/>
      </c>
      <c r="BU453" s="3">
        <f>COUNTIFS(MOT_MOTOR,G453,MOT_MARCA,E453,MOT_DESDE,"&lt;="&amp;M453,MOT_HASTA,"&gt;="&amp;M453)+COUNTIFS(MOT_MOTOR,G453,MOT_MARCA,"(todas)",MOT_DESDE,"&lt;="&amp;M453,MOT_HASTA,"&gt;="&amp;M453)</f>
        <v/>
      </c>
      <c r="BV453" s="3">
        <f>IF(AND(K453="diesel",BU453=0),MIN(BR453,NEUTRO),BR453)</f>
        <v/>
      </c>
      <c r="BW453" s="4">
        <f>MAX(0,MIN(100,BV453+BS453+BT453))</f>
        <v/>
      </c>
      <c r="BX453" s="3">
        <f>MAX(0,MIN(100,50+BK453*PRECIO_PEND))</f>
        <v/>
      </c>
      <c r="BY453" s="3">
        <f>MAX(0,100*(1-N453/KM_MAX))</f>
        <v/>
      </c>
      <c r="BZ453" s="3">
        <f>IF(BB453&lt;KMA_SOSP,IF(AA453="sí",100,KMA_PEN),IF(BB453&lt;=KMA_IDEAL_MAX,100,MAX(0,100*(KMA_CERO-BB453)/(KMA_CERO-KMA_IDEAL_MAX))))</f>
        <v/>
      </c>
      <c r="CA453" s="3">
        <f>MAX(0,MIN(100,100*(M453-ANIO_MIN)/(ANIO_ACTUAL-ANIO_MIN)))</f>
        <v/>
      </c>
      <c r="CB453" s="3">
        <f>W_KMT*BY453+W_KMA*BZ453+W_EDAD*CA453</f>
        <v/>
      </c>
      <c r="CC453" s="3">
        <f>P_ITV*(V453="sí")+P_LIBRO*(W453="sí")+P_CORREA*(X453="sí")+P_PROP*(Y453=1)+P_GAR*(Z453="sí")+P_FOTOS*MIN(1,N(U453)/FOTOS_OBJ)</f>
        <v/>
      </c>
      <c r="CD453" s="3">
        <f>MAX(0,MIN(100,IFERROR(VLOOKUP(BP453,ETQ_TBL,2,0),0)-IF(BQ453="sí",ETQ_PEN_DUD,IF(AS453="regla",ETQ_PEN_REGLA,0))))</f>
        <v/>
      </c>
      <c r="CE453" s="3">
        <f>NEUTRO</f>
        <v/>
      </c>
      <c r="CF453" s="3">
        <f>IFERROR(VLOOKUP(L453,SEGURO_TBL,3,0),"")</f>
        <v/>
      </c>
      <c r="CG453" s="3">
        <f>IF(CF453="",NEUTRO,MAX(0,MIN(100,100*(SEG_REF_MAX-CF453)/(SEG_REF_MAX-SEG_REF_MIN))))</f>
        <v/>
      </c>
      <c r="CH453" s="3">
        <f>W_CONS*CE453+W_SEG*CG453</f>
        <v/>
      </c>
      <c r="CI453" s="3">
        <f>IF(N(AB453)&gt;0,AB453,IF(AND(R453="profesional",SG_LEGAL_ON=1),GAR_LEGAL,0))</f>
        <v/>
      </c>
      <c r="CJ453" s="3">
        <f>SG_GAR*MIN(1,CI453/SG_GAR_FULL)+SG_AMPL*(AC453="sí")+SG_KMC*(AF453="sí")+SG_REV*(N(AE453)&gt;0)+SG_DEV*MIN(1,N(AG453)/SG_DEV_FULL)+SG_HIST*(W453="sí")</f>
        <v/>
      </c>
      <c r="CK453" s="3">
        <f>IFERROR(VLOOKUP(L453,CARR_PEN_TBL,2,0),0)</f>
        <v/>
      </c>
      <c r="CL453" s="3">
        <f>W_FIAB*BW453+W_PRECIO*BX453+W_KMEDAD*CB453+W_ANUNCIO*CC453+W_USO*CH453+W_SEGURIDAD*CJ453+W_ETIQUETA*CD453-CK453</f>
        <v/>
      </c>
      <c r="CM453" s="4">
        <f>IF(N(I453)&gt;0,I453,IFERROR(ROUND(_xlfn.NUMBERVALUE(LEFT(G453,FIND(" ",G453&amp;" ")-1),".")*1000,0),99999))</f>
        <v/>
      </c>
      <c r="CN453" s="3">
        <f>IF(R453="profesional",0,IF(O453&lt;CUOTA_VALOR_MAX,IF(BA453&gt;ITP_TRAMO_ALTO,SUMIFS(CF_CUOTA,CF_MAS,ITP_TRAMO_ALTO,CF_CCMIN,"&lt;="&amp;CM453,CF_CCMAX,"&gt;="&amp;CM453),IF(BA453&gt;ITP_TRAMO_BAJO,SUMIFS(CF_CUOTA,CF_MAS,ITP_TRAMO_BAJO,CF_CCMIN,"&lt;="&amp;CM453,CF_CCMAX,"&gt;="&amp;CM453),O453*ITP_TIPO)),O453*ITP_TIPO))</f>
        <v/>
      </c>
      <c r="CO453" s="4">
        <f>IF(R453="profesional",N(AK453),0)</f>
        <v/>
      </c>
      <c r="CP453" s="3">
        <f>IF(AND(R453="profesional",ISNUMBER(AK453),AL453="sí"),0,TASA_DGT)</f>
        <v/>
      </c>
      <c r="CQ453" s="3">
        <f>INFORME_DGT</f>
        <v/>
      </c>
      <c r="CR453" s="4">
        <f>O453+CO453+CN453+CP453+CQ453</f>
        <v/>
      </c>
      <c r="CS453" s="4">
        <f>CR453+N(CF453)</f>
        <v/>
      </c>
      <c r="CT453" s="3">
        <f>IF(CR453&lt;=TOTAL_MAX,"sí",IF(CR453&lt;=TOTAL_MAX+MARGEN_NEG,"negociar","no"))</f>
        <v/>
      </c>
      <c r="CU453" s="4">
        <f>IF(CT453&lt;&gt;"no",COUNTIFS($CT$2:$CT$545,"&lt;&gt;no",$CL$2:$CL$545,"&gt;"&amp;CL453)+COUNTIFS($CT$2:CT453,"&lt;&gt;no",$CL$2:CL453,CL453),"")</f>
        <v/>
      </c>
    </row>
    <row r="454">
      <c r="A454" s="2" t="inlineStr">
        <is>
          <t>cochesnet:71527060</t>
        </is>
      </c>
      <c r="B454" s="2" t="inlineStr">
        <is>
          <t>cochesnet</t>
        </is>
      </c>
      <c r="C454" s="2" t="inlineStr">
        <is>
          <t>https://www.coches.net/chevrolet-aveo-12-16v-ls-5p-gasolina-2010-en-valencia-71527060-covo.aspx</t>
        </is>
      </c>
      <c r="D454" s="2" t="inlineStr">
        <is>
          <t>CHEVROLET Aveo 1.2 16v LS</t>
        </is>
      </c>
      <c r="E454" s="2" t="inlineStr">
        <is>
          <t>Chevrolet</t>
        </is>
      </c>
      <c r="F454" s="2" t="inlineStr">
        <is>
          <t>Chevrolet Aveo</t>
        </is>
      </c>
      <c r="G454" s="2" t="inlineStr">
        <is>
          <t>1.2</t>
        </is>
      </c>
      <c r="H454" s="2" t="inlineStr">
        <is>
          <t>1.2 16v LS</t>
        </is>
      </c>
      <c r="I454" s="2" t="n"/>
      <c r="J454" s="2" t="n"/>
      <c r="K454" s="2" t="inlineStr">
        <is>
          <t>gasolina</t>
        </is>
      </c>
      <c r="L454" s="2" t="inlineStr">
        <is>
          <t>utilitario</t>
        </is>
      </c>
      <c r="M454" s="2" t="n">
        <v>2010</v>
      </c>
      <c r="N454" s="2" t="n">
        <v>68000</v>
      </c>
      <c r="O454" s="2" t="n">
        <v>4990</v>
      </c>
      <c r="P454" s="2" t="inlineStr">
        <is>
          <t>manual</t>
        </is>
      </c>
      <c r="Q454" s="2" t="inlineStr">
        <is>
          <t>no</t>
        </is>
      </c>
      <c r="R454" s="2" t="inlineStr">
        <is>
          <t>profesional</t>
        </is>
      </c>
      <c r="S454" s="2" t="inlineStr">
        <is>
          <t>JM Automóviles Alboraya</t>
        </is>
      </c>
      <c r="T454" s="2" t="inlineStr">
        <is>
          <t>2026-09-16T13:30:54Z</t>
        </is>
      </c>
      <c r="U454" s="2" t="n">
        <v>11</v>
      </c>
      <c r="V454" s="2" t="n"/>
      <c r="W454" s="2" t="n"/>
      <c r="X454" s="2" t="n"/>
      <c r="Y454" s="2" t="n"/>
      <c r="Z454" s="2" t="inlineStr">
        <is>
          <t>sí</t>
        </is>
      </c>
      <c r="AA454" s="2" t="n"/>
      <c r="AB454" s="2" t="n">
        <v>12</v>
      </c>
      <c r="AC454" s="2" t="n"/>
      <c r="AD454" s="2" t="n"/>
      <c r="AE454" s="2" t="n"/>
      <c r="AF454" s="2" t="n"/>
      <c r="AG454" s="2" t="n"/>
      <c r="AH454" s="2" t="n">
        <v>4990</v>
      </c>
      <c r="AI454" s="2" t="n">
        <v>4990</v>
      </c>
      <c r="AJ454" s="2" t="n"/>
      <c r="AK454" s="2" t="n"/>
      <c r="AL454" s="2" t="n"/>
      <c r="AM454" s="2" t="n">
        <v>4</v>
      </c>
      <c r="AN454" s="2" t="n"/>
      <c r="AO454" s="2" t="inlineStr">
        <is>
          <t>2010</t>
        </is>
      </c>
      <c r="AP454" s="2" t="n">
        <v>2010</v>
      </c>
      <c r="AQ454" s="2" t="n"/>
      <c r="AR454" s="2" t="inlineStr">
        <is>
          <t>C</t>
        </is>
      </c>
      <c r="AS454" s="2" t="inlineStr">
        <is>
          <t>anuncio</t>
        </is>
      </c>
      <c r="AT454" s="2" t="n">
        <v>4990</v>
      </c>
      <c r="AU454" s="2" t="n">
        <v>5</v>
      </c>
      <c r="AV454" s="2" t="inlineStr">
        <is>
          <t>modelo+año+km</t>
        </is>
      </c>
      <c r="AW454" s="2" t="n"/>
      <c r="AX454"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454" s="2" t="inlineStr">
        <is>
          <t>CHEVROLET AVEO 1.2 LS – 2010 – 68.000 KM
Chevrolet Aveo del 2010, con motor 1.2 gasolina y tan solo 68.000 km. Un utilitario práctico, económico y sencillo, ideal para el día a día y especialmente cómodo para moverse por ciudad.
DATOS PRINCIPALES
* Año: 2010
* Combustible: Gasolina
* Motor: 1.2
* Kilómetros: 68.000 km
* Acabado: LS
* Cambio: Manual
* Listo para entregar
EQUIPAMIENTO DESTACADO
* Aire acondicionado
* Radio CD
* Volante multifunción
* Elevalunas eléctricos
* Cierre centralizado
* Dirección asistida
* Faros antiniebla
* ABS
* ISOFIX
LO MEJOR
* Solo 68.000 km
* Motor 1.2 gasolina
* Acabado LS
* Año 2010
* Utilitario práctico y económico
* Ideal para ciudad
* Bajo coste de mantenimiento
Vehículo en buen estado general, cuidado y listo para su entrega.</t>
        </is>
      </c>
      <c r="AZ454" s="2" t="inlineStr">
        <is>
          <t>https://www.coches.net/chevrolet-aveo-12-16v-ls-5p-gasolina-2010-en-valencia-71527060-covo.aspx (window.__INITIAL_PROPS__.ad) /home/user/Alopecia/buscador-coches/raw/cochesnet/4458a67ba758ba74.json</t>
        </is>
      </c>
      <c r="BA454" s="3">
        <f>MAX(ANIO_ACTUAL-M454,0)</f>
        <v/>
      </c>
      <c r="BB454" s="4">
        <f>N454/MAX(BA454,0.5)</f>
        <v/>
      </c>
      <c r="BC454" s="4">
        <f>F454</f>
        <v/>
      </c>
      <c r="BD454" s="3">
        <f>BC454&amp;"|"&amp;INT(M454/SEG_ANIO)*SEG_ANIO</f>
        <v/>
      </c>
      <c r="BE454" s="3">
        <f>BD454&amp;"|"&amp;INT(N454/SEG_KM)*SEG_KM</f>
        <v/>
      </c>
      <c r="BF454" s="4">
        <f>COUNTIF($BC$2:$BC$545,BC454)</f>
        <v/>
      </c>
      <c r="BG454" s="4">
        <f>COUNTIF($BD$2:$BD$545,BD454)</f>
        <v/>
      </c>
      <c r="BH454" s="4">
        <f>COUNTIF($BE$2:$BE$545,BE454)</f>
        <v/>
      </c>
      <c r="BI454" s="3">
        <f t="array" ref="BI454">IF(N(AU454)&gt;=MIN_N,AT454,IF(BH454&gt;=MIN_N,MEDIAN(IF($BE$2:$BE$545=BE454,$O$2:$O$545)),IF(BG454&gt;=MIN_N,MEDIAN(IF($BD$2:$BD$545=BD454,$O$2:$O$545)),MEDIAN(IF($BC$2:$BC$545=BC454,$O$2:$O$545)))))</f>
        <v/>
      </c>
      <c r="BJ454" s="3">
        <f>IF(N(AU454)&gt;=MIN_N,"mercado "&amp;AV454,IF(BH454&gt;=MIN_N,"modelo+año+km",IF(BG454&gt;=MIN_N,"modelo+año","modelo")))</f>
        <v/>
      </c>
      <c r="BK454" s="4">
        <f>(BI454-O454)/BI454</f>
        <v/>
      </c>
      <c r="BL454" s="3">
        <f>IF(COUNTIFS(FR_FUEL,K454,FR_YEAR,AP454)&gt;0,1,0)</f>
        <v/>
      </c>
      <c r="BM454" s="3">
        <f>IF(COUNTIFS(FR_FUEL,K454,FR_YEAR,AP454-1)&gt;0,1,0)</f>
        <v/>
      </c>
      <c r="BN454" s="4">
        <f>IF(N(AQ454)&gt;0,AP454*100+AQ454,IF(AND(BL454=1,BM454=1),(AP454-1)*100+1,AP454*100+1))</f>
        <v/>
      </c>
      <c r="BO454" s="3">
        <f>IF(OR(K454="hibrido",K454="glp",K454="gnc",K454="phev"),"ECO",IF(K454="electrico","CERO",IF(K454="gasolina",IF(BN454&gt;=GAS_C_YM,"C",IF(BN454&gt;=GAS_B_YM,"B","A")),IF(K454="diesel",IF(BN454&gt;=DIE_C_YM,"C",IF(BN454&gt;=DIE_B_YM,"B","A")),""))))</f>
        <v/>
      </c>
      <c r="BP454" s="2" t="inlineStr">
        <is>
          <t>C</t>
        </is>
      </c>
      <c r="BQ454" s="4">
        <f>IF(AS454="regla",IF(AND(N(AQ454)=0,BL454=1),"sí","no"),"no")</f>
        <v/>
      </c>
      <c r="BR454" s="3">
        <f>IFERROR(VLOOKUP(F454,MOD_TBL,11,0),IFERROR(VLOOKUP(E454,OCU_TBL,2,0),NEUTRO))</f>
        <v/>
      </c>
      <c r="BS454" s="3">
        <f>SUMIFS(MOT_AJUSTE,MOT_MOTOR,G454,MOT_MARCA,E454,MOT_DESDE,"&lt;="&amp;M454,MOT_HASTA,"&gt;="&amp;M454)+SUMIFS(MOT_AJUSTE,MOT_MOTOR,G454,MOT_MARCA,"(todas)",MOT_DESDE,"&lt;="&amp;M454,MOT_HASTA,"&gt;="&amp;M454)</f>
        <v/>
      </c>
      <c r="BT454" s="3">
        <f>SUMIFS(COMB_AJUSTE,COMB_COMB,K454)</f>
        <v/>
      </c>
      <c r="BU454" s="3">
        <f>COUNTIFS(MOT_MOTOR,G454,MOT_MARCA,E454,MOT_DESDE,"&lt;="&amp;M454,MOT_HASTA,"&gt;="&amp;M454)+COUNTIFS(MOT_MOTOR,G454,MOT_MARCA,"(todas)",MOT_DESDE,"&lt;="&amp;M454,MOT_HASTA,"&gt;="&amp;M454)</f>
        <v/>
      </c>
      <c r="BV454" s="3">
        <f>IF(AND(K454="diesel",BU454=0),MIN(BR454,NEUTRO),BR454)</f>
        <v/>
      </c>
      <c r="BW454" s="4">
        <f>MAX(0,MIN(100,BV454+BS454+BT454))</f>
        <v/>
      </c>
      <c r="BX454" s="3">
        <f>MAX(0,MIN(100,50+BK454*PRECIO_PEND))</f>
        <v/>
      </c>
      <c r="BY454" s="3">
        <f>MAX(0,100*(1-N454/KM_MAX))</f>
        <v/>
      </c>
      <c r="BZ454" s="3">
        <f>IF(BB454&lt;KMA_SOSP,IF(AA454="sí",100,KMA_PEN),IF(BB454&lt;=KMA_IDEAL_MAX,100,MAX(0,100*(KMA_CERO-BB454)/(KMA_CERO-KMA_IDEAL_MAX))))</f>
        <v/>
      </c>
      <c r="CA454" s="3">
        <f>MAX(0,MIN(100,100*(M454-ANIO_MIN)/(ANIO_ACTUAL-ANIO_MIN)))</f>
        <v/>
      </c>
      <c r="CB454" s="3">
        <f>W_KMT*BY454+W_KMA*BZ454+W_EDAD*CA454</f>
        <v/>
      </c>
      <c r="CC454" s="3">
        <f>P_ITV*(V454="sí")+P_LIBRO*(W454="sí")+P_CORREA*(X454="sí")+P_PROP*(Y454=1)+P_GAR*(Z454="sí")+P_FOTOS*MIN(1,N(U454)/FOTOS_OBJ)</f>
        <v/>
      </c>
      <c r="CD454" s="3">
        <f>MAX(0,MIN(100,IFERROR(VLOOKUP(BP454,ETQ_TBL,2,0),0)-IF(BQ454="sí",ETQ_PEN_DUD,IF(AS454="regla",ETQ_PEN_REGLA,0))))</f>
        <v/>
      </c>
      <c r="CE454" s="3">
        <f>NEUTRO</f>
        <v/>
      </c>
      <c r="CF454" s="3">
        <f>IFERROR(VLOOKUP(L454,SEGURO_TBL,3,0),"")</f>
        <v/>
      </c>
      <c r="CG454" s="3">
        <f>IF(CF454="",NEUTRO,MAX(0,MIN(100,100*(SEG_REF_MAX-CF454)/(SEG_REF_MAX-SEG_REF_MIN))))</f>
        <v/>
      </c>
      <c r="CH454" s="3">
        <f>W_CONS*CE454+W_SEG*CG454</f>
        <v/>
      </c>
      <c r="CI454" s="3">
        <f>IF(N(AB454)&gt;0,AB454,IF(AND(R454="profesional",SG_LEGAL_ON=1),GAR_LEGAL,0))</f>
        <v/>
      </c>
      <c r="CJ454" s="3">
        <f>SG_GAR*MIN(1,CI454/SG_GAR_FULL)+SG_AMPL*(AC454="sí")+SG_KMC*(AF454="sí")+SG_REV*(N(AE454)&gt;0)+SG_DEV*MIN(1,N(AG454)/SG_DEV_FULL)+SG_HIST*(W454="sí")</f>
        <v/>
      </c>
      <c r="CK454" s="3">
        <f>IFERROR(VLOOKUP(L454,CARR_PEN_TBL,2,0),0)</f>
        <v/>
      </c>
      <c r="CL454" s="3">
        <f>W_FIAB*BW454+W_PRECIO*BX454+W_KMEDAD*CB454+W_ANUNCIO*CC454+W_USO*CH454+W_SEGURIDAD*CJ454+W_ETIQUETA*CD454-CK454</f>
        <v/>
      </c>
      <c r="CM454" s="4">
        <f>IF(N(I454)&gt;0,I454,IFERROR(ROUND(_xlfn.NUMBERVALUE(LEFT(G454,FIND(" ",G454&amp;" ")-1),".")*1000,0),99999))</f>
        <v/>
      </c>
      <c r="CN454" s="3">
        <f>IF(R454="profesional",0,IF(O454&lt;CUOTA_VALOR_MAX,IF(BA454&gt;ITP_TRAMO_ALTO,SUMIFS(CF_CUOTA,CF_MAS,ITP_TRAMO_ALTO,CF_CCMIN,"&lt;="&amp;CM454,CF_CCMAX,"&gt;="&amp;CM454),IF(BA454&gt;ITP_TRAMO_BAJO,SUMIFS(CF_CUOTA,CF_MAS,ITP_TRAMO_BAJO,CF_CCMIN,"&lt;="&amp;CM454,CF_CCMAX,"&gt;="&amp;CM454),O454*ITP_TIPO)),O454*ITP_TIPO))</f>
        <v/>
      </c>
      <c r="CO454" s="4">
        <f>IF(R454="profesional",N(AK454),0)</f>
        <v/>
      </c>
      <c r="CP454" s="3">
        <f>IF(AND(R454="profesional",ISNUMBER(AK454),AL454="sí"),0,TASA_DGT)</f>
        <v/>
      </c>
      <c r="CQ454" s="3">
        <f>INFORME_DGT</f>
        <v/>
      </c>
      <c r="CR454" s="4">
        <f>O454+CO454+CN454+CP454+CQ454</f>
        <v/>
      </c>
      <c r="CS454" s="4">
        <f>CR454+N(CF454)</f>
        <v/>
      </c>
      <c r="CT454" s="3">
        <f>IF(CR454&lt;=TOTAL_MAX,"sí",IF(CR454&lt;=TOTAL_MAX+MARGEN_NEG,"negociar","no"))</f>
        <v/>
      </c>
      <c r="CU454" s="4">
        <f>IF(CT454&lt;&gt;"no",COUNTIFS($CT$2:$CT$545,"&lt;&gt;no",$CL$2:$CL$545,"&gt;"&amp;CL454)+COUNTIFS($CT$2:CT454,"&lt;&gt;no",$CL$2:CL454,CL454),"")</f>
        <v/>
      </c>
    </row>
    <row r="455">
      <c r="A455" s="2" t="inlineStr">
        <is>
          <t>cochesnet:71536876</t>
        </is>
      </c>
      <c r="B455" s="2" t="inlineStr">
        <is>
          <t>cochesnet</t>
        </is>
      </c>
      <c r="C455" s="2" t="inlineStr">
        <is>
          <t>https://www.coches.net/chevrolet-epica-20-vcdi-16v-lt-4p-diesel-2008-en-valencia-71536876-covo.aspx</t>
        </is>
      </c>
      <c r="D455" s="2" t="inlineStr">
        <is>
          <t>CHEVROLET Epica 2.0 VCDI 16v LT</t>
        </is>
      </c>
      <c r="E455" s="2" t="inlineStr">
        <is>
          <t>Chevrolet</t>
        </is>
      </c>
      <c r="F455" s="2" t="inlineStr">
        <is>
          <t>Chevrolet Epica</t>
        </is>
      </c>
      <c r="G455" s="2" t="inlineStr">
        <is>
          <t>2.0</t>
        </is>
      </c>
      <c r="H455" s="2" t="inlineStr">
        <is>
          <t>2.0 VCDI 16v LT</t>
        </is>
      </c>
      <c r="I455" s="2" t="n"/>
      <c r="J455" s="2" t="n"/>
      <c r="K455" s="2" t="inlineStr">
        <is>
          <t>diesel</t>
        </is>
      </c>
      <c r="L455" s="2" t="inlineStr">
        <is>
          <t>berlina</t>
        </is>
      </c>
      <c r="M455" s="2" t="n">
        <v>2009</v>
      </c>
      <c r="N455" s="2" t="n">
        <v>83000</v>
      </c>
      <c r="O455" s="2" t="n">
        <v>3500</v>
      </c>
      <c r="P455" s="2" t="inlineStr">
        <is>
          <t>manual</t>
        </is>
      </c>
      <c r="Q455" s="2" t="inlineStr">
        <is>
          <t>no</t>
        </is>
      </c>
      <c r="R455" s="2" t="inlineStr">
        <is>
          <t>profesional</t>
        </is>
      </c>
      <c r="S455" s="2" t="inlineStr">
        <is>
          <t>Automoción Valencia Albal</t>
        </is>
      </c>
      <c r="T455" s="2" t="inlineStr">
        <is>
          <t>2026-09-17T15:17:03Z</t>
        </is>
      </c>
      <c r="U455" s="2" t="n">
        <v>12</v>
      </c>
      <c r="V455" s="2" t="n"/>
      <c r="W455" s="2" t="n"/>
      <c r="X455" s="2" t="n"/>
      <c r="Y455" s="2" t="n"/>
      <c r="Z455" s="2" t="inlineStr">
        <is>
          <t>no</t>
        </is>
      </c>
      <c r="AA455" s="2" t="n"/>
      <c r="AB455" s="2" t="n"/>
      <c r="AC455" s="2" t="n"/>
      <c r="AD455" s="2" t="n"/>
      <c r="AE455" s="2" t="n"/>
      <c r="AF455" s="2" t="n"/>
      <c r="AG455" s="2" t="n"/>
      <c r="AH455" s="2" t="n">
        <v>3500</v>
      </c>
      <c r="AI455" s="2" t="n">
        <v>3500</v>
      </c>
      <c r="AJ455" s="2" t="n"/>
      <c r="AK455" s="2" t="n"/>
      <c r="AL455" s="2" t="n"/>
      <c r="AM455" s="2" t="n">
        <v>8.699999999999999</v>
      </c>
      <c r="AN455" s="2" t="n"/>
      <c r="AO455" s="2" t="inlineStr">
        <is>
          <t>2009</t>
        </is>
      </c>
      <c r="AP455" s="2" t="n">
        <v>2009</v>
      </c>
      <c r="AQ455" s="2" t="n"/>
      <c r="AR455" s="2" t="inlineStr">
        <is>
          <t>B</t>
        </is>
      </c>
      <c r="AS455" s="2" t="inlineStr">
        <is>
          <t>anuncio</t>
        </is>
      </c>
      <c r="AT455" s="2" t="n">
        <v>3600</v>
      </c>
      <c r="AU455" s="2" t="n">
        <v>8</v>
      </c>
      <c r="AV455" s="2" t="inlineStr">
        <is>
          <t>modelo+año</t>
        </is>
      </c>
      <c r="AW455" s="2" t="n"/>
      <c r="AX455"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Y455" s="2" t="inlineStr">
        <is>
          <t>Chevrolet Epica 2.0 VCDI  150CVdestaca por su completo equipamiento multimedia con ocho altavoces, radio AM/FM, reproductor de CD y mandos en el volante para máximo confort al conducir. Dispone de dirección asistida progresiva, climatizador automático, limpiaparabrisas con sensor de lluvia y control de crucero. Los asientos térmicos del conductor con ajuste lumbar, volante multifuncional de cuero ajustable y retrovisores eléctricos desempañables garantizan una experiencia versátil. Incluye ordenador de viaje, protección antirrobo perimétrica, cierre centralizado con mando a distancia y apertura remota del maletero. Llantas de aleación de dieciséis pulgadas, cristales tintados y etiqueta medioambiental B completan este sedán familiar práctico y bien equipado.</t>
        </is>
      </c>
      <c r="AZ455" s="2" t="inlineStr">
        <is>
          <t>https://www.coches.net/chevrolet-epica-20-vcdi-16v-lt-4p-diesel-2008-en-valencia-71536876-covo.aspx (window.__INITIAL_PROPS__.ad) /home/user/Alopecia/buscador-coches/raw/cochesnet/d843838227c2907f.json</t>
        </is>
      </c>
      <c r="BA455" s="3">
        <f>MAX(ANIO_ACTUAL-M455,0)</f>
        <v/>
      </c>
      <c r="BB455" s="4">
        <f>N455/MAX(BA455,0.5)</f>
        <v/>
      </c>
      <c r="BC455" s="4">
        <f>F455</f>
        <v/>
      </c>
      <c r="BD455" s="3">
        <f>BC455&amp;"|"&amp;INT(M455/SEG_ANIO)*SEG_ANIO</f>
        <v/>
      </c>
      <c r="BE455" s="3">
        <f>BD455&amp;"|"&amp;INT(N455/SEG_KM)*SEG_KM</f>
        <v/>
      </c>
      <c r="BF455" s="4">
        <f>COUNTIF($BC$2:$BC$545,BC455)</f>
        <v/>
      </c>
      <c r="BG455" s="4">
        <f>COUNTIF($BD$2:$BD$545,BD455)</f>
        <v/>
      </c>
      <c r="BH455" s="4">
        <f>COUNTIF($BE$2:$BE$545,BE455)</f>
        <v/>
      </c>
      <c r="BI455" s="3">
        <f t="array" ref="BI455">IF(N(AU455)&gt;=MIN_N,AT455,IF(BH455&gt;=MIN_N,MEDIAN(IF($BE$2:$BE$545=BE455,$O$2:$O$545)),IF(BG455&gt;=MIN_N,MEDIAN(IF($BD$2:$BD$545=BD455,$O$2:$O$545)),MEDIAN(IF($BC$2:$BC$545=BC455,$O$2:$O$545)))))</f>
        <v/>
      </c>
      <c r="BJ455" s="3">
        <f>IF(N(AU455)&gt;=MIN_N,"mercado "&amp;AV455,IF(BH455&gt;=MIN_N,"modelo+año+km",IF(BG455&gt;=MIN_N,"modelo+año","modelo")))</f>
        <v/>
      </c>
      <c r="BK455" s="4">
        <f>(BI455-O455)/BI455</f>
        <v/>
      </c>
      <c r="BL455" s="3">
        <f>IF(COUNTIFS(FR_FUEL,K455,FR_YEAR,AP455)&gt;0,1,0)</f>
        <v/>
      </c>
      <c r="BM455" s="3">
        <f>IF(COUNTIFS(FR_FUEL,K455,FR_YEAR,AP455-1)&gt;0,1,0)</f>
        <v/>
      </c>
      <c r="BN455" s="4">
        <f>IF(N(AQ455)&gt;0,AP455*100+AQ455,IF(AND(BL455=1,BM455=1),(AP455-1)*100+1,AP455*100+1))</f>
        <v/>
      </c>
      <c r="BO455" s="3">
        <f>IF(OR(K455="hibrido",K455="glp",K455="gnc",K455="phev"),"ECO",IF(K455="electrico","CERO",IF(K455="gasolina",IF(BN455&gt;=GAS_C_YM,"C",IF(BN455&gt;=GAS_B_YM,"B","A")),IF(K455="diesel",IF(BN455&gt;=DIE_C_YM,"C",IF(BN455&gt;=DIE_B_YM,"B","A")),""))))</f>
        <v/>
      </c>
      <c r="BP455" s="2" t="inlineStr">
        <is>
          <t>B</t>
        </is>
      </c>
      <c r="BQ455" s="4">
        <f>IF(AS455="regla",IF(AND(N(AQ455)=0,BL455=1),"sí","no"),"no")</f>
        <v/>
      </c>
      <c r="BR455" s="3">
        <f>IFERROR(VLOOKUP(F455,MOD_TBL,11,0),IFERROR(VLOOKUP(E455,OCU_TBL,2,0),NEUTRO))</f>
        <v/>
      </c>
      <c r="BS455" s="3">
        <f>SUMIFS(MOT_AJUSTE,MOT_MOTOR,G455,MOT_MARCA,E455,MOT_DESDE,"&lt;="&amp;M455,MOT_HASTA,"&gt;="&amp;M455)+SUMIFS(MOT_AJUSTE,MOT_MOTOR,G455,MOT_MARCA,"(todas)",MOT_DESDE,"&lt;="&amp;M455,MOT_HASTA,"&gt;="&amp;M455)</f>
        <v/>
      </c>
      <c r="BT455" s="3">
        <f>SUMIFS(COMB_AJUSTE,COMB_COMB,K455)</f>
        <v/>
      </c>
      <c r="BU455" s="3">
        <f>COUNTIFS(MOT_MOTOR,G455,MOT_MARCA,E455,MOT_DESDE,"&lt;="&amp;M455,MOT_HASTA,"&gt;="&amp;M455)+COUNTIFS(MOT_MOTOR,G455,MOT_MARCA,"(todas)",MOT_DESDE,"&lt;="&amp;M455,MOT_HASTA,"&gt;="&amp;M455)</f>
        <v/>
      </c>
      <c r="BV455" s="3">
        <f>IF(AND(K455="diesel",BU455=0),MIN(BR455,NEUTRO),BR455)</f>
        <v/>
      </c>
      <c r="BW455" s="4">
        <f>MAX(0,MIN(100,BV455+BS455+BT455))</f>
        <v/>
      </c>
      <c r="BX455" s="3">
        <f>MAX(0,MIN(100,50+BK455*PRECIO_PEND))</f>
        <v/>
      </c>
      <c r="BY455" s="3">
        <f>MAX(0,100*(1-N455/KM_MAX))</f>
        <v/>
      </c>
      <c r="BZ455" s="3">
        <f>IF(BB455&lt;KMA_SOSP,IF(AA455="sí",100,KMA_PEN),IF(BB455&lt;=KMA_IDEAL_MAX,100,MAX(0,100*(KMA_CERO-BB455)/(KMA_CERO-KMA_IDEAL_MAX))))</f>
        <v/>
      </c>
      <c r="CA455" s="3">
        <f>MAX(0,MIN(100,100*(M455-ANIO_MIN)/(ANIO_ACTUAL-ANIO_MIN)))</f>
        <v/>
      </c>
      <c r="CB455" s="3">
        <f>W_KMT*BY455+W_KMA*BZ455+W_EDAD*CA455</f>
        <v/>
      </c>
      <c r="CC455" s="3">
        <f>P_ITV*(V455="sí")+P_LIBRO*(W455="sí")+P_CORREA*(X455="sí")+P_PROP*(Y455=1)+P_GAR*(Z455="sí")+P_FOTOS*MIN(1,N(U455)/FOTOS_OBJ)</f>
        <v/>
      </c>
      <c r="CD455" s="3">
        <f>MAX(0,MIN(100,IFERROR(VLOOKUP(BP455,ETQ_TBL,2,0),0)-IF(BQ455="sí",ETQ_PEN_DUD,IF(AS455="regla",ETQ_PEN_REGLA,0))))</f>
        <v/>
      </c>
      <c r="CE455" s="3">
        <f>NEUTRO</f>
        <v/>
      </c>
      <c r="CF455" s="3">
        <f>IFERROR(VLOOKUP(L455,SEGURO_TBL,3,0),"")</f>
        <v/>
      </c>
      <c r="CG455" s="3">
        <f>IF(CF455="",NEUTRO,MAX(0,MIN(100,100*(SEG_REF_MAX-CF455)/(SEG_REF_MAX-SEG_REF_MIN))))</f>
        <v/>
      </c>
      <c r="CH455" s="3">
        <f>W_CONS*CE455+W_SEG*CG455</f>
        <v/>
      </c>
      <c r="CI455" s="3">
        <f>IF(N(AB455)&gt;0,AB455,IF(AND(R455="profesional",SG_LEGAL_ON=1),GAR_LEGAL,0))</f>
        <v/>
      </c>
      <c r="CJ455" s="3">
        <f>SG_GAR*MIN(1,CI455/SG_GAR_FULL)+SG_AMPL*(AC455="sí")+SG_KMC*(AF455="sí")+SG_REV*(N(AE455)&gt;0)+SG_DEV*MIN(1,N(AG455)/SG_DEV_FULL)+SG_HIST*(W455="sí")</f>
        <v/>
      </c>
      <c r="CK455" s="3">
        <f>IFERROR(VLOOKUP(L455,CARR_PEN_TBL,2,0),0)</f>
        <v/>
      </c>
      <c r="CL455" s="3">
        <f>W_FIAB*BW455+W_PRECIO*BX455+W_KMEDAD*CB455+W_ANUNCIO*CC455+W_USO*CH455+W_SEGURIDAD*CJ455+W_ETIQUETA*CD455-CK455</f>
        <v/>
      </c>
      <c r="CM455" s="4">
        <f>IF(N(I455)&gt;0,I455,IFERROR(ROUND(_xlfn.NUMBERVALUE(LEFT(G455,FIND(" ",G455&amp;" ")-1),".")*1000,0),99999))</f>
        <v/>
      </c>
      <c r="CN455" s="3">
        <f>IF(R455="profesional",0,IF(O455&lt;CUOTA_VALOR_MAX,IF(BA455&gt;ITP_TRAMO_ALTO,SUMIFS(CF_CUOTA,CF_MAS,ITP_TRAMO_ALTO,CF_CCMIN,"&lt;="&amp;CM455,CF_CCMAX,"&gt;="&amp;CM455),IF(BA455&gt;ITP_TRAMO_BAJO,SUMIFS(CF_CUOTA,CF_MAS,ITP_TRAMO_BAJO,CF_CCMIN,"&lt;="&amp;CM455,CF_CCMAX,"&gt;="&amp;CM455),O455*ITP_TIPO)),O455*ITP_TIPO))</f>
        <v/>
      </c>
      <c r="CO455" s="4">
        <f>IF(R455="profesional",N(AK455),0)</f>
        <v/>
      </c>
      <c r="CP455" s="3">
        <f>IF(AND(R455="profesional",ISNUMBER(AK455),AL455="sí"),0,TASA_DGT)</f>
        <v/>
      </c>
      <c r="CQ455" s="3">
        <f>INFORME_DGT</f>
        <v/>
      </c>
      <c r="CR455" s="4">
        <f>O455+CO455+CN455+CP455+CQ455</f>
        <v/>
      </c>
      <c r="CS455" s="4">
        <f>CR455+N(CF455)</f>
        <v/>
      </c>
      <c r="CT455" s="3">
        <f>IF(CR455&lt;=TOTAL_MAX,"sí",IF(CR455&lt;=TOTAL_MAX+MARGEN_NEG,"negociar","no"))</f>
        <v/>
      </c>
      <c r="CU455" s="4">
        <f>IF(CT455&lt;&gt;"no",COUNTIFS($CT$2:$CT$545,"&lt;&gt;no",$CL$2:$CL$545,"&gt;"&amp;CL455)+COUNTIFS($CT$2:CT455,"&lt;&gt;no",$CL$2:CL455,CL455),"")</f>
        <v/>
      </c>
    </row>
    <row r="456">
      <c r="A456" s="2" t="inlineStr">
        <is>
          <t>cochesnet:71677537</t>
        </is>
      </c>
      <c r="B456" s="2" t="inlineStr">
        <is>
          <t>cochesnet</t>
        </is>
      </c>
      <c r="C456" s="2" t="inlineStr">
        <is>
          <t>https://www.coches.net/chevrolet-nubira-gasolina-2006-en-valencia-71677537-covo.aspx</t>
        </is>
      </c>
      <c r="D456" s="2" t="inlineStr">
        <is>
          <t>CHEVROLET Nubira 1.6 SX</t>
        </is>
      </c>
      <c r="E456" s="2" t="inlineStr">
        <is>
          <t>Chevrolet</t>
        </is>
      </c>
      <c r="F456" s="2" t="inlineStr">
        <is>
          <t>Chevrolet Nubira</t>
        </is>
      </c>
      <c r="G456" s="2" t="inlineStr">
        <is>
          <t>1.6</t>
        </is>
      </c>
      <c r="H456" s="2" t="inlineStr">
        <is>
          <t>1.6 SX</t>
        </is>
      </c>
      <c r="I456" s="2" t="n"/>
      <c r="J456" s="2" t="n"/>
      <c r="K456" s="2" t="inlineStr">
        <is>
          <t>gasolina</t>
        </is>
      </c>
      <c r="L456" s="2" t="inlineStr">
        <is>
          <t>compacto</t>
        </is>
      </c>
      <c r="M456" s="2" t="n">
        <v>2006</v>
      </c>
      <c r="N456" s="2" t="n">
        <v>149000</v>
      </c>
      <c r="O456" s="2" t="n">
        <v>2299</v>
      </c>
      <c r="P456" s="2" t="inlineStr">
        <is>
          <t>manual</t>
        </is>
      </c>
      <c r="Q456" s="2" t="inlineStr">
        <is>
          <t>no</t>
        </is>
      </c>
      <c r="R456" s="2" t="inlineStr">
        <is>
          <t>particular</t>
        </is>
      </c>
      <c r="S456" s="2" t="inlineStr">
        <is>
          <t>Albal</t>
        </is>
      </c>
      <c r="T456" s="2" t="inlineStr">
        <is>
          <t>2026-10-05T13:39:58Z</t>
        </is>
      </c>
      <c r="U456" s="2" t="n">
        <v>9</v>
      </c>
      <c r="V456" s="2" t="inlineStr">
        <is>
          <t>sí</t>
        </is>
      </c>
      <c r="W456" s="2" t="n"/>
      <c r="X456" s="2" t="inlineStr">
        <is>
          <t>sí</t>
        </is>
      </c>
      <c r="Y456" s="2" t="n"/>
      <c r="Z456" s="2" t="inlineStr">
        <is>
          <t>no</t>
        </is>
      </c>
      <c r="AA456" s="2" t="n"/>
      <c r="AB456" s="2" t="n"/>
      <c r="AC456" s="2" t="n"/>
      <c r="AD456" s="2" t="n"/>
      <c r="AE456" s="2" t="n"/>
      <c r="AF456" s="2" t="n"/>
      <c r="AG456" s="2" t="n"/>
      <c r="AH456" s="2" t="n">
        <v>2299</v>
      </c>
      <c r="AI456" s="2" t="n"/>
      <c r="AJ456" s="2" t="n"/>
      <c r="AK456" s="2" t="n"/>
      <c r="AL456" s="2" t="n"/>
      <c r="AM456" s="2" t="n">
        <v>8.699999999999999</v>
      </c>
      <c r="AN456" s="2" t="n"/>
      <c r="AO456" s="2" t="inlineStr">
        <is>
          <t>2006</t>
        </is>
      </c>
      <c r="AP456" s="2" t="n">
        <v>2006</v>
      </c>
      <c r="AQ456" s="2" t="n"/>
      <c r="AR456" s="2" t="n"/>
      <c r="AS456" s="2" t="inlineStr">
        <is>
          <t>regla</t>
        </is>
      </c>
      <c r="AT456" s="2" t="n">
        <v>3099.5</v>
      </c>
      <c r="AU456" s="2" t="n">
        <v>4</v>
      </c>
      <c r="AV456" s="2" t="inlineStr">
        <is>
          <t>modelo+año+km</t>
        </is>
      </c>
      <c r="AW456" s="2" t="n"/>
      <c r="AX456" s="2" t="inlineStr">
        <is>
          <t>cuota fija ITP: &gt;12 años, 1.501-2.000 cc; fiabilidad del modelo PENDIENTE de fuente (puntuación neutra)</t>
        </is>
      </c>
      <c r="AY456" s="2" t="inlineStr">
        <is>
          <t xml:space="preserve">? 149.000 km
? Motor 1.6 gasolina de 109 CV
? Cambio manual de 5 velocidades
? 5 plazas
? ITV recién pasada, válida hasta octubre de 2027
? Revisión recién hecha
? Cambio de aceite realizado a los 143.700 km
? Correa de distribución cambiada a los 80.000 km
? Neumáticos delanteros nuevos
? Buen estado mecánico
? Motor y cambio funcionando correctamente
? Coche cómodo, amplio y con buen maletero
? Aire/calefacción funcionando correctamente para caliente
?? El aire acondicionado para frío necesita reparación
?? Algunos detalles de chapa y pintura propios del uso y los años
CONTACTO: 
</t>
        </is>
      </c>
      <c r="AZ456" s="2" t="inlineStr">
        <is>
          <t>https://www.coches.net/chevrolet-nubira-gasolina-2006-en-valencia-71677537-covo.aspx (window.__INITIAL_PROPS__.ad) /home/user/Alopecia/buscador-coches/raw/cochesnet/b78216e8fb10e5bd.json</t>
        </is>
      </c>
      <c r="BA456" s="3">
        <f>MAX(ANIO_ACTUAL-M456,0)</f>
        <v/>
      </c>
      <c r="BB456" s="4">
        <f>N456/MAX(BA456,0.5)</f>
        <v/>
      </c>
      <c r="BC456" s="4">
        <f>F456</f>
        <v/>
      </c>
      <c r="BD456" s="3">
        <f>BC456&amp;"|"&amp;INT(M456/SEG_ANIO)*SEG_ANIO</f>
        <v/>
      </c>
      <c r="BE456" s="3">
        <f>BD456&amp;"|"&amp;INT(N456/SEG_KM)*SEG_KM</f>
        <v/>
      </c>
      <c r="BF456" s="4">
        <f>COUNTIF($BC$2:$BC$545,BC456)</f>
        <v/>
      </c>
      <c r="BG456" s="4">
        <f>COUNTIF($BD$2:$BD$545,BD456)</f>
        <v/>
      </c>
      <c r="BH456" s="4">
        <f>COUNTIF($BE$2:$BE$545,BE456)</f>
        <v/>
      </c>
      <c r="BI456" s="3">
        <f t="array" ref="BI456">IF(N(AU456)&gt;=MIN_N,AT456,IF(BH456&gt;=MIN_N,MEDIAN(IF($BE$2:$BE$545=BE456,$O$2:$O$545)),IF(BG456&gt;=MIN_N,MEDIAN(IF($BD$2:$BD$545=BD456,$O$2:$O$545)),MEDIAN(IF($BC$2:$BC$545=BC456,$O$2:$O$545)))))</f>
        <v/>
      </c>
      <c r="BJ456" s="3">
        <f>IF(N(AU456)&gt;=MIN_N,"mercado "&amp;AV456,IF(BH456&gt;=MIN_N,"modelo+año+km",IF(BG456&gt;=MIN_N,"modelo+año","modelo")))</f>
        <v/>
      </c>
      <c r="BK456" s="4">
        <f>(BI456-O456)/BI456</f>
        <v/>
      </c>
      <c r="BL456" s="3">
        <f>IF(COUNTIFS(FR_FUEL,K456,FR_YEAR,AP456)&gt;0,1,0)</f>
        <v/>
      </c>
      <c r="BM456" s="3">
        <f>IF(COUNTIFS(FR_FUEL,K456,FR_YEAR,AP456-1)&gt;0,1,0)</f>
        <v/>
      </c>
      <c r="BN456" s="4">
        <f>IF(N(AQ456)&gt;0,AP456*100+AQ456,IF(AND(BL456=1,BM456=1),(AP456-1)*100+1,AP456*100+1))</f>
        <v/>
      </c>
      <c r="BO456" s="3">
        <f>IF(OR(K456="hibrido",K456="glp",K456="gnc",K456="phev"),"ECO",IF(K456="electrico","CERO",IF(K456="gasolina",IF(BN456&gt;=GAS_C_YM,"C",IF(BN456&gt;=GAS_B_YM,"B","A")),IF(K456="diesel",IF(BN456&gt;=DIE_C_YM,"C",IF(BN456&gt;=DIE_B_YM,"B","A")),""))))</f>
        <v/>
      </c>
      <c r="BP456" s="4">
        <f>BO456</f>
        <v/>
      </c>
      <c r="BQ456" s="4">
        <f>IF(AS456="regla",IF(AND(N(AQ456)=0,BL456=1),"sí","no"),"no")</f>
        <v/>
      </c>
      <c r="BR456" s="3">
        <f>IFERROR(VLOOKUP(F456,MOD_TBL,11,0),IFERROR(VLOOKUP(E456,OCU_TBL,2,0),NEUTRO))</f>
        <v/>
      </c>
      <c r="BS456" s="3">
        <f>SUMIFS(MOT_AJUSTE,MOT_MOTOR,G456,MOT_MARCA,E456,MOT_DESDE,"&lt;="&amp;M456,MOT_HASTA,"&gt;="&amp;M456)+SUMIFS(MOT_AJUSTE,MOT_MOTOR,G456,MOT_MARCA,"(todas)",MOT_DESDE,"&lt;="&amp;M456,MOT_HASTA,"&gt;="&amp;M456)</f>
        <v/>
      </c>
      <c r="BT456" s="3">
        <f>SUMIFS(COMB_AJUSTE,COMB_COMB,K456)</f>
        <v/>
      </c>
      <c r="BU456" s="3">
        <f>COUNTIFS(MOT_MOTOR,G456,MOT_MARCA,E456,MOT_DESDE,"&lt;="&amp;M456,MOT_HASTA,"&gt;="&amp;M456)+COUNTIFS(MOT_MOTOR,G456,MOT_MARCA,"(todas)",MOT_DESDE,"&lt;="&amp;M456,MOT_HASTA,"&gt;="&amp;M456)</f>
        <v/>
      </c>
      <c r="BV456" s="3">
        <f>IF(AND(K456="diesel",BU456=0),MIN(BR456,NEUTRO),BR456)</f>
        <v/>
      </c>
      <c r="BW456" s="4">
        <f>MAX(0,MIN(100,BV456+BS456+BT456))</f>
        <v/>
      </c>
      <c r="BX456" s="3">
        <f>MAX(0,MIN(100,50+BK456*PRECIO_PEND))</f>
        <v/>
      </c>
      <c r="BY456" s="3">
        <f>MAX(0,100*(1-N456/KM_MAX))</f>
        <v/>
      </c>
      <c r="BZ456" s="3">
        <f>IF(BB456&lt;KMA_SOSP,IF(AA456="sí",100,KMA_PEN),IF(BB456&lt;=KMA_IDEAL_MAX,100,MAX(0,100*(KMA_CERO-BB456)/(KMA_CERO-KMA_IDEAL_MAX))))</f>
        <v/>
      </c>
      <c r="CA456" s="3">
        <f>MAX(0,MIN(100,100*(M456-ANIO_MIN)/(ANIO_ACTUAL-ANIO_MIN)))</f>
        <v/>
      </c>
      <c r="CB456" s="3">
        <f>W_KMT*BY456+W_KMA*BZ456+W_EDAD*CA456</f>
        <v/>
      </c>
      <c r="CC456" s="3">
        <f>P_ITV*(V456="sí")+P_LIBRO*(W456="sí")+P_CORREA*(X456="sí")+P_PROP*(Y456=1)+P_GAR*(Z456="sí")+P_FOTOS*MIN(1,N(U456)/FOTOS_OBJ)</f>
        <v/>
      </c>
      <c r="CD456" s="3">
        <f>MAX(0,MIN(100,IFERROR(VLOOKUP(BP456,ETQ_TBL,2,0),0)-IF(BQ456="sí",ETQ_PEN_DUD,IF(AS456="regla",ETQ_PEN_REGLA,0))))</f>
        <v/>
      </c>
      <c r="CE456" s="3">
        <f>NEUTRO</f>
        <v/>
      </c>
      <c r="CF456" s="3">
        <f>IFERROR(VLOOKUP(L456,SEGURO_TBL,3,0),"")</f>
        <v/>
      </c>
      <c r="CG456" s="3">
        <f>IF(CF456="",NEUTRO,MAX(0,MIN(100,100*(SEG_REF_MAX-CF456)/(SEG_REF_MAX-SEG_REF_MIN))))</f>
        <v/>
      </c>
      <c r="CH456" s="3">
        <f>W_CONS*CE456+W_SEG*CG456</f>
        <v/>
      </c>
      <c r="CI456" s="3">
        <f>IF(N(AB456)&gt;0,AB456,IF(AND(R456="profesional",SG_LEGAL_ON=1),GAR_LEGAL,0))</f>
        <v/>
      </c>
      <c r="CJ456" s="3">
        <f>SG_GAR*MIN(1,CI456/SG_GAR_FULL)+SG_AMPL*(AC456="sí")+SG_KMC*(AF456="sí")+SG_REV*(N(AE456)&gt;0)+SG_DEV*MIN(1,N(AG456)/SG_DEV_FULL)+SG_HIST*(W456="sí")</f>
        <v/>
      </c>
      <c r="CK456" s="3">
        <f>IFERROR(VLOOKUP(L456,CARR_PEN_TBL,2,0),0)</f>
        <v/>
      </c>
      <c r="CL456" s="3">
        <f>W_FIAB*BW456+W_PRECIO*BX456+W_KMEDAD*CB456+W_ANUNCIO*CC456+W_USO*CH456+W_SEGURIDAD*CJ456+W_ETIQUETA*CD456-CK456</f>
        <v/>
      </c>
      <c r="CM456" s="4">
        <f>IF(N(I456)&gt;0,I456,IFERROR(ROUND(_xlfn.NUMBERVALUE(LEFT(G456,FIND(" ",G456&amp;" ")-1),".")*1000,0),99999))</f>
        <v/>
      </c>
      <c r="CN456" s="3">
        <f>IF(R456="profesional",0,IF(O456&lt;CUOTA_VALOR_MAX,IF(BA456&gt;ITP_TRAMO_ALTO,SUMIFS(CF_CUOTA,CF_MAS,ITP_TRAMO_ALTO,CF_CCMIN,"&lt;="&amp;CM456,CF_CCMAX,"&gt;="&amp;CM456),IF(BA456&gt;ITP_TRAMO_BAJO,SUMIFS(CF_CUOTA,CF_MAS,ITP_TRAMO_BAJO,CF_CCMIN,"&lt;="&amp;CM456,CF_CCMAX,"&gt;="&amp;CM456),O456*ITP_TIPO)),O456*ITP_TIPO))</f>
        <v/>
      </c>
      <c r="CO456" s="4">
        <f>IF(R456="profesional",N(AK456),0)</f>
        <v/>
      </c>
      <c r="CP456" s="3">
        <f>IF(AND(R456="profesional",ISNUMBER(AK456),AL456="sí"),0,TASA_DGT)</f>
        <v/>
      </c>
      <c r="CQ456" s="3">
        <f>INFORME_DGT</f>
        <v/>
      </c>
      <c r="CR456" s="4">
        <f>O456+CO456+CN456+CP456+CQ456</f>
        <v/>
      </c>
      <c r="CS456" s="4">
        <f>CR456+N(CF456)</f>
        <v/>
      </c>
      <c r="CT456" s="3">
        <f>IF(CR456&lt;=TOTAL_MAX,"sí",IF(CR456&lt;=TOTAL_MAX+MARGEN_NEG,"negociar","no"))</f>
        <v/>
      </c>
      <c r="CU456" s="4">
        <f>IF(CT456&lt;&gt;"no",COUNTIFS($CT$2:$CT$545,"&lt;&gt;no",$CL$2:$CL$545,"&gt;"&amp;CL456)+COUNTIFS($CT$2:CT456,"&lt;&gt;no",$CL$2:CL456,CL456),"")</f>
        <v/>
      </c>
    </row>
    <row r="457">
      <c r="A457" s="2" t="inlineStr">
        <is>
          <t>cochesnet:71593732</t>
        </is>
      </c>
      <c r="B457" s="2" t="inlineStr">
        <is>
          <t>cochesnet</t>
        </is>
      </c>
      <c r="C457" s="2" t="inlineStr">
        <is>
          <t>https://www.coches.net/chevrolet-matiz-gasolina-2009-en-valencia-71593732-covo.aspx</t>
        </is>
      </c>
      <c r="D457" s="2" t="inlineStr">
        <is>
          <t>CHEVROLET Matiz</t>
        </is>
      </c>
      <c r="E457" s="2" t="inlineStr">
        <is>
          <t>Chevrolet</t>
        </is>
      </c>
      <c r="F457" s="2" t="inlineStr">
        <is>
          <t>Chevrolet Matiz</t>
        </is>
      </c>
      <c r="G457" s="2" t="n"/>
      <c r="H457" s="2" t="n"/>
      <c r="I457" s="2" t="n"/>
      <c r="J457" s="2" t="n"/>
      <c r="K457" s="2" t="inlineStr">
        <is>
          <t>gasolina</t>
        </is>
      </c>
      <c r="L457" s="2" t="inlineStr">
        <is>
          <t>utilitario</t>
        </is>
      </c>
      <c r="M457" s="2" t="n">
        <v>2009</v>
      </c>
      <c r="N457" s="2" t="n">
        <v>151000</v>
      </c>
      <c r="O457" s="2" t="n">
        <v>1890</v>
      </c>
      <c r="P457" s="2" t="inlineStr">
        <is>
          <t>manual</t>
        </is>
      </c>
      <c r="Q457" s="2" t="inlineStr">
        <is>
          <t>no</t>
        </is>
      </c>
      <c r="R457" s="2" t="inlineStr">
        <is>
          <t>particular</t>
        </is>
      </c>
      <c r="S457" s="2" t="n"/>
      <c r="T457" s="2" t="inlineStr">
        <is>
          <t>2026-09-24T19:10:34Z</t>
        </is>
      </c>
      <c r="U457" s="2" t="n">
        <v>5</v>
      </c>
      <c r="V457" s="2" t="inlineStr">
        <is>
          <t>sí</t>
        </is>
      </c>
      <c r="W457" s="2" t="n"/>
      <c r="X457" s="2" t="n"/>
      <c r="Y457" s="2" t="n"/>
      <c r="Z457" s="2" t="inlineStr">
        <is>
          <t>no</t>
        </is>
      </c>
      <c r="AA457" s="2" t="n"/>
      <c r="AB457" s="2" t="n"/>
      <c r="AC457" s="2" t="n"/>
      <c r="AD457" s="2" t="n"/>
      <c r="AE457" s="2" t="n"/>
      <c r="AF457" s="2" t="n"/>
      <c r="AG457" s="2" t="n"/>
      <c r="AH457" s="2" t="n">
        <v>1890</v>
      </c>
      <c r="AI457" s="2" t="n"/>
      <c r="AJ457" s="2" t="n"/>
      <c r="AK457" s="2" t="n"/>
      <c r="AL457" s="2" t="n"/>
      <c r="AM457" s="2" t="n"/>
      <c r="AN457" s="2" t="n"/>
      <c r="AO457" s="2" t="inlineStr">
        <is>
          <t>2009</t>
        </is>
      </c>
      <c r="AP457" s="2" t="n">
        <v>2009</v>
      </c>
      <c r="AQ457" s="2" t="n"/>
      <c r="AR457" s="2" t="n"/>
      <c r="AS457" s="2" t="inlineStr">
        <is>
          <t>regla</t>
        </is>
      </c>
      <c r="AT457" s="2" t="n"/>
      <c r="AU457" s="2" t="n"/>
      <c r="AV457" s="2" t="n"/>
      <c r="AW457" s="2" t="n"/>
      <c r="AX457"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57" s="2" t="inlineStr">
        <is>
          <t>coche en perfecto estado....ITV pasada hasta marzo del 2027. ideal para la ciudad .poco consumo y minimo mantenimiento......mejor ver ....se Vende con SEGURO HASTA MARZO 2027.....</t>
        </is>
      </c>
      <c r="AZ457" s="2" t="inlineStr">
        <is>
          <t>https://www.coches.net/chevrolet-matiz-gasolina-2009-en-valencia-71593732-covo.aspx (window.__INITIAL_PROPS__.ad) /home/user/Alopecia/buscador-coches/raw/cochesnet/8a2f3b023af69b20.json</t>
        </is>
      </c>
      <c r="BA457" s="3">
        <f>MAX(ANIO_ACTUAL-M457,0)</f>
        <v/>
      </c>
      <c r="BB457" s="4">
        <f>N457/MAX(BA457,0.5)</f>
        <v/>
      </c>
      <c r="BC457" s="4">
        <f>F457</f>
        <v/>
      </c>
      <c r="BD457" s="3">
        <f>BC457&amp;"|"&amp;INT(M457/SEG_ANIO)*SEG_ANIO</f>
        <v/>
      </c>
      <c r="BE457" s="3">
        <f>BD457&amp;"|"&amp;INT(N457/SEG_KM)*SEG_KM</f>
        <v/>
      </c>
      <c r="BF457" s="4">
        <f>COUNTIF($BC$2:$BC$545,BC457)</f>
        <v/>
      </c>
      <c r="BG457" s="4">
        <f>COUNTIF($BD$2:$BD$545,BD457)</f>
        <v/>
      </c>
      <c r="BH457" s="4">
        <f>COUNTIF($BE$2:$BE$545,BE457)</f>
        <v/>
      </c>
      <c r="BI457" s="3">
        <f t="array" ref="BI457">IF(N(AU457)&gt;=MIN_N,AT457,IF(BH457&gt;=MIN_N,MEDIAN(IF($BE$2:$BE$545=BE457,$O$2:$O$545)),IF(BG457&gt;=MIN_N,MEDIAN(IF($BD$2:$BD$545=BD457,$O$2:$O$545)),MEDIAN(IF($BC$2:$BC$545=BC457,$O$2:$O$545)))))</f>
        <v/>
      </c>
      <c r="BJ457" s="3">
        <f>IF(N(AU457)&gt;=MIN_N,"mercado "&amp;AV457,IF(BH457&gt;=MIN_N,"modelo+año+km",IF(BG457&gt;=MIN_N,"modelo+año","modelo")))</f>
        <v/>
      </c>
      <c r="BK457" s="4">
        <f>(BI457-O457)/BI457</f>
        <v/>
      </c>
      <c r="BL457" s="3">
        <f>IF(COUNTIFS(FR_FUEL,K457,FR_YEAR,AP457)&gt;0,1,0)</f>
        <v/>
      </c>
      <c r="BM457" s="3">
        <f>IF(COUNTIFS(FR_FUEL,K457,FR_YEAR,AP457-1)&gt;0,1,0)</f>
        <v/>
      </c>
      <c r="BN457" s="4">
        <f>IF(N(AQ457)&gt;0,AP457*100+AQ457,IF(AND(BL457=1,BM457=1),(AP457-1)*100+1,AP457*100+1))</f>
        <v/>
      </c>
      <c r="BO457" s="3">
        <f>IF(OR(K457="hibrido",K457="glp",K457="gnc",K457="phev"),"ECO",IF(K457="electrico","CERO",IF(K457="gasolina",IF(BN457&gt;=GAS_C_YM,"C",IF(BN457&gt;=GAS_B_YM,"B","A")),IF(K457="diesel",IF(BN457&gt;=DIE_C_YM,"C",IF(BN457&gt;=DIE_B_YM,"B","A")),""))))</f>
        <v/>
      </c>
      <c r="BP457" s="4">
        <f>BO457</f>
        <v/>
      </c>
      <c r="BQ457" s="4">
        <f>IF(AS457="regla",IF(AND(N(AQ457)=0,BL457=1),"sí","no"),"no")</f>
        <v/>
      </c>
      <c r="BR457" s="3">
        <f>IFERROR(VLOOKUP(F457,MOD_TBL,11,0),IFERROR(VLOOKUP(E457,OCU_TBL,2,0),NEUTRO))</f>
        <v/>
      </c>
      <c r="BS457" s="3">
        <f>SUMIFS(MOT_AJUSTE,MOT_MOTOR,G457,MOT_MARCA,E457,MOT_DESDE,"&lt;="&amp;M457,MOT_HASTA,"&gt;="&amp;M457)+SUMIFS(MOT_AJUSTE,MOT_MOTOR,G457,MOT_MARCA,"(todas)",MOT_DESDE,"&lt;="&amp;M457,MOT_HASTA,"&gt;="&amp;M457)</f>
        <v/>
      </c>
      <c r="BT457" s="3">
        <f>SUMIFS(COMB_AJUSTE,COMB_COMB,K457)</f>
        <v/>
      </c>
      <c r="BU457" s="3">
        <f>COUNTIFS(MOT_MOTOR,G457,MOT_MARCA,E457,MOT_DESDE,"&lt;="&amp;M457,MOT_HASTA,"&gt;="&amp;M457)+COUNTIFS(MOT_MOTOR,G457,MOT_MARCA,"(todas)",MOT_DESDE,"&lt;="&amp;M457,MOT_HASTA,"&gt;="&amp;M457)</f>
        <v/>
      </c>
      <c r="BV457" s="3">
        <f>IF(AND(K457="diesel",BU457=0),MIN(BR457,NEUTRO),BR457)</f>
        <v/>
      </c>
      <c r="BW457" s="4">
        <f>MAX(0,MIN(100,BV457+BS457+BT457))</f>
        <v/>
      </c>
      <c r="BX457" s="3">
        <f>MAX(0,MIN(100,50+BK457*PRECIO_PEND))</f>
        <v/>
      </c>
      <c r="BY457" s="3">
        <f>MAX(0,100*(1-N457/KM_MAX))</f>
        <v/>
      </c>
      <c r="BZ457" s="3">
        <f>IF(BB457&lt;KMA_SOSP,IF(AA457="sí",100,KMA_PEN),IF(BB457&lt;=KMA_IDEAL_MAX,100,MAX(0,100*(KMA_CERO-BB457)/(KMA_CERO-KMA_IDEAL_MAX))))</f>
        <v/>
      </c>
      <c r="CA457" s="3">
        <f>MAX(0,MIN(100,100*(M457-ANIO_MIN)/(ANIO_ACTUAL-ANIO_MIN)))</f>
        <v/>
      </c>
      <c r="CB457" s="3">
        <f>W_KMT*BY457+W_KMA*BZ457+W_EDAD*CA457</f>
        <v/>
      </c>
      <c r="CC457" s="3">
        <f>P_ITV*(V457="sí")+P_LIBRO*(W457="sí")+P_CORREA*(X457="sí")+P_PROP*(Y457=1)+P_GAR*(Z457="sí")+P_FOTOS*MIN(1,N(U457)/FOTOS_OBJ)</f>
        <v/>
      </c>
      <c r="CD457" s="3">
        <f>MAX(0,MIN(100,IFERROR(VLOOKUP(BP457,ETQ_TBL,2,0),0)-IF(BQ457="sí",ETQ_PEN_DUD,IF(AS457="regla",ETQ_PEN_REGLA,0))))</f>
        <v/>
      </c>
      <c r="CE457" s="3">
        <f>NEUTRO</f>
        <v/>
      </c>
      <c r="CF457" s="3">
        <f>IFERROR(VLOOKUP(L457,SEGURO_TBL,3,0),"")</f>
        <v/>
      </c>
      <c r="CG457" s="3">
        <f>IF(CF457="",NEUTRO,MAX(0,MIN(100,100*(SEG_REF_MAX-CF457)/(SEG_REF_MAX-SEG_REF_MIN))))</f>
        <v/>
      </c>
      <c r="CH457" s="3">
        <f>W_CONS*CE457+W_SEG*CG457</f>
        <v/>
      </c>
      <c r="CI457" s="3">
        <f>IF(N(AB457)&gt;0,AB457,IF(AND(R457="profesional",SG_LEGAL_ON=1),GAR_LEGAL,0))</f>
        <v/>
      </c>
      <c r="CJ457" s="3">
        <f>SG_GAR*MIN(1,CI457/SG_GAR_FULL)+SG_AMPL*(AC457="sí")+SG_KMC*(AF457="sí")+SG_REV*(N(AE457)&gt;0)+SG_DEV*MIN(1,N(AG457)/SG_DEV_FULL)+SG_HIST*(W457="sí")</f>
        <v/>
      </c>
      <c r="CK457" s="3">
        <f>IFERROR(VLOOKUP(L457,CARR_PEN_TBL,2,0),0)</f>
        <v/>
      </c>
      <c r="CL457" s="3">
        <f>W_FIAB*BW457+W_PRECIO*BX457+W_KMEDAD*CB457+W_ANUNCIO*CC457+W_USO*CH457+W_SEGURIDAD*CJ457+W_ETIQUETA*CD457-CK457</f>
        <v/>
      </c>
      <c r="CM457" s="4">
        <f>IF(N(I457)&gt;0,I457,IFERROR(ROUND(_xlfn.NUMBERVALUE(LEFT(G457,FIND(" ",G457&amp;" ")-1),".")*1000,0),99999))</f>
        <v/>
      </c>
      <c r="CN457" s="3">
        <f>IF(R457="profesional",0,IF(O457&lt;CUOTA_VALOR_MAX,IF(BA457&gt;ITP_TRAMO_ALTO,SUMIFS(CF_CUOTA,CF_MAS,ITP_TRAMO_ALTO,CF_CCMIN,"&lt;="&amp;CM457,CF_CCMAX,"&gt;="&amp;CM457),IF(BA457&gt;ITP_TRAMO_BAJO,SUMIFS(CF_CUOTA,CF_MAS,ITP_TRAMO_BAJO,CF_CCMIN,"&lt;="&amp;CM457,CF_CCMAX,"&gt;="&amp;CM457),O457*ITP_TIPO)),O457*ITP_TIPO))</f>
        <v/>
      </c>
      <c r="CO457" s="4">
        <f>IF(R457="profesional",N(AK457),0)</f>
        <v/>
      </c>
      <c r="CP457" s="3">
        <f>IF(AND(R457="profesional",ISNUMBER(AK457),AL457="sí"),0,TASA_DGT)</f>
        <v/>
      </c>
      <c r="CQ457" s="3">
        <f>INFORME_DGT</f>
        <v/>
      </c>
      <c r="CR457" s="4">
        <f>O457+CO457+CN457+CP457+CQ457</f>
        <v/>
      </c>
      <c r="CS457" s="4">
        <f>CR457+N(CF457)</f>
        <v/>
      </c>
      <c r="CT457" s="3">
        <f>IF(CR457&lt;=TOTAL_MAX,"sí",IF(CR457&lt;=TOTAL_MAX+MARGEN_NEG,"negociar","no"))</f>
        <v/>
      </c>
      <c r="CU457" s="4">
        <f>IF(CT457&lt;&gt;"no",COUNTIFS($CT$2:$CT$545,"&lt;&gt;no",$CL$2:$CL$545,"&gt;"&amp;CL457)+COUNTIFS($CT$2:CT457,"&lt;&gt;no",$CL$2:CL457,CL457),"")</f>
        <v/>
      </c>
    </row>
    <row r="458">
      <c r="A458" s="2" t="inlineStr">
        <is>
          <t>cochesnet:71463242</t>
        </is>
      </c>
      <c r="B458" s="2" t="inlineStr">
        <is>
          <t>cochesnet</t>
        </is>
      </c>
      <c r="C458" s="2" t="inlineStr">
        <is>
          <t>https://www.coches.net/chevrolet-matiz-gasolina-2008-en-valencia-71463242-covo.aspx</t>
        </is>
      </c>
      <c r="D458" s="2" t="inlineStr">
        <is>
          <t>CHEVROLET Matiz 0.8 S</t>
        </is>
      </c>
      <c r="E458" s="2" t="inlineStr">
        <is>
          <t>Chevrolet</t>
        </is>
      </c>
      <c r="F458" s="2" t="inlineStr">
        <is>
          <t>Chevrolet Matiz</t>
        </is>
      </c>
      <c r="G458" s="2" t="inlineStr">
        <is>
          <t>0.8</t>
        </is>
      </c>
      <c r="H458" s="2" t="inlineStr">
        <is>
          <t>0.8 S</t>
        </is>
      </c>
      <c r="I458" s="2" t="n"/>
      <c r="J458" s="2" t="n"/>
      <c r="K458" s="2" t="inlineStr">
        <is>
          <t>gasolina</t>
        </is>
      </c>
      <c r="L458" s="2" t="inlineStr">
        <is>
          <t>utilitario</t>
        </is>
      </c>
      <c r="M458" s="2" t="n">
        <v>2008</v>
      </c>
      <c r="N458" s="2" t="n">
        <v>114182</v>
      </c>
      <c r="O458" s="2" t="n">
        <v>2800</v>
      </c>
      <c r="P458" s="2" t="inlineStr">
        <is>
          <t>manual</t>
        </is>
      </c>
      <c r="Q458" s="2" t="inlineStr">
        <is>
          <t>no</t>
        </is>
      </c>
      <c r="R458" s="2" t="inlineStr">
        <is>
          <t>particular</t>
        </is>
      </c>
      <c r="S458" s="2" t="n"/>
      <c r="T458" s="2" t="inlineStr">
        <is>
          <t>2026-09-07T21:12:06Z</t>
        </is>
      </c>
      <c r="U458" s="2" t="n">
        <v>7</v>
      </c>
      <c r="V458" s="2" t="inlineStr">
        <is>
          <t>sí</t>
        </is>
      </c>
      <c r="W458" s="2" t="n"/>
      <c r="X458" s="2" t="n"/>
      <c r="Y458" s="2" t="n"/>
      <c r="Z458" s="2" t="inlineStr">
        <is>
          <t>no</t>
        </is>
      </c>
      <c r="AA458" s="2" t="n"/>
      <c r="AB458" s="2" t="n"/>
      <c r="AC458" s="2" t="n"/>
      <c r="AD458" s="2" t="n"/>
      <c r="AE458" s="2" t="n"/>
      <c r="AF458" s="2" t="n"/>
      <c r="AG458" s="2" t="n"/>
      <c r="AH458" s="2" t="n">
        <v>2800</v>
      </c>
      <c r="AI458" s="2" t="n"/>
      <c r="AJ458" s="2" t="n"/>
      <c r="AK458" s="2" t="n"/>
      <c r="AL458" s="2" t="n"/>
      <c r="AM458" s="2" t="n"/>
      <c r="AN458" s="2" t="n"/>
      <c r="AO458" s="2" t="inlineStr">
        <is>
          <t>2008</t>
        </is>
      </c>
      <c r="AP458" s="2" t="n">
        <v>2008</v>
      </c>
      <c r="AQ458" s="2" t="n"/>
      <c r="AR458" s="2" t="n"/>
      <c r="AS458" s="2" t="inlineStr">
        <is>
          <t>regla</t>
        </is>
      </c>
      <c r="AT458" s="2" t="n"/>
      <c r="AU458" s="2" t="n"/>
      <c r="AV458" s="2" t="n"/>
      <c r="AW458" s="2" t="n"/>
      <c r="AX458" s="2" t="inlineStr">
        <is>
          <t>cuota fija ITP: &gt;12 años, hasta 1.500 cc; distancia no verificable (el anuncio solo indica la provincia): confirmar que está a &lt;= 70 km; fiabilidad del modelo PENDIENTE de fuente (puntuación neutra)</t>
        </is>
      </c>
      <c r="AY458" s="2" t="inlineStr">
        <is>
          <t xml:space="preserve">CHEVROLET Matiz S (2008) | 114.182 km | ITV 2027 e Impecable. 
?? El Coche Funciona muy bien cambio de aceite y filtro recién Hecho y tiene la ITV recién pasada. (Abril 2027).
Motor: Gasolina, (gasto mínimo de combustible).
Kilómetros: 114.182 km reales.
Estado: Interior impecable y mecánica al día.
Uso ideal: Por su tamaño reducido, bajo consumo y mantenimiento muy asequible, es la opción ideal como primer coche, vehículo de uso diario o segundo coche para la familia. ¡Perfecto para ciudad!
CONDICIONES DE VENTA (Leer por favor):
? Precio: Ya está ajustado al excelente estado del coche y mantenimiento recién hecho.
?? Seguridad: Abstenerse estafas de Bizum inverso, falsos transportistas o mensajes sospechosos. Solo gente seria.
?? Se puede ver en persona sin compromiso.
</t>
        </is>
      </c>
      <c r="AZ458" s="2" t="inlineStr">
        <is>
          <t>https://www.coches.net/chevrolet-matiz-gasolina-2008-en-valencia-71463242-covo.aspx (window.__INITIAL_PROPS__.ad) /home/user/Alopecia/buscador-coches/raw/cochesnet/963a8f79bff53934.json</t>
        </is>
      </c>
      <c r="BA458" s="3">
        <f>MAX(ANIO_ACTUAL-M458,0)</f>
        <v/>
      </c>
      <c r="BB458" s="4">
        <f>N458/MAX(BA458,0.5)</f>
        <v/>
      </c>
      <c r="BC458" s="4">
        <f>F458</f>
        <v/>
      </c>
      <c r="BD458" s="3">
        <f>BC458&amp;"|"&amp;INT(M458/SEG_ANIO)*SEG_ANIO</f>
        <v/>
      </c>
      <c r="BE458" s="3">
        <f>BD458&amp;"|"&amp;INT(N458/SEG_KM)*SEG_KM</f>
        <v/>
      </c>
      <c r="BF458" s="4">
        <f>COUNTIF($BC$2:$BC$545,BC458)</f>
        <v/>
      </c>
      <c r="BG458" s="4">
        <f>COUNTIF($BD$2:$BD$545,BD458)</f>
        <v/>
      </c>
      <c r="BH458" s="4">
        <f>COUNTIF($BE$2:$BE$545,BE458)</f>
        <v/>
      </c>
      <c r="BI458" s="3">
        <f t="array" ref="BI458">IF(N(AU458)&gt;=MIN_N,AT458,IF(BH458&gt;=MIN_N,MEDIAN(IF($BE$2:$BE$545=BE458,$O$2:$O$545)),IF(BG458&gt;=MIN_N,MEDIAN(IF($BD$2:$BD$545=BD458,$O$2:$O$545)),MEDIAN(IF($BC$2:$BC$545=BC458,$O$2:$O$545)))))</f>
        <v/>
      </c>
      <c r="BJ458" s="3">
        <f>IF(N(AU458)&gt;=MIN_N,"mercado "&amp;AV458,IF(BH458&gt;=MIN_N,"modelo+año+km",IF(BG458&gt;=MIN_N,"modelo+año","modelo")))</f>
        <v/>
      </c>
      <c r="BK458" s="4">
        <f>(BI458-O458)/BI458</f>
        <v/>
      </c>
      <c r="BL458" s="3">
        <f>IF(COUNTIFS(FR_FUEL,K458,FR_YEAR,AP458)&gt;0,1,0)</f>
        <v/>
      </c>
      <c r="BM458" s="3">
        <f>IF(COUNTIFS(FR_FUEL,K458,FR_YEAR,AP458-1)&gt;0,1,0)</f>
        <v/>
      </c>
      <c r="BN458" s="4">
        <f>IF(N(AQ458)&gt;0,AP458*100+AQ458,IF(AND(BL458=1,BM458=1),(AP458-1)*100+1,AP458*100+1))</f>
        <v/>
      </c>
      <c r="BO458" s="3">
        <f>IF(OR(K458="hibrido",K458="glp",K458="gnc",K458="phev"),"ECO",IF(K458="electrico","CERO",IF(K458="gasolina",IF(BN458&gt;=GAS_C_YM,"C",IF(BN458&gt;=GAS_B_YM,"B","A")),IF(K458="diesel",IF(BN458&gt;=DIE_C_YM,"C",IF(BN458&gt;=DIE_B_YM,"B","A")),""))))</f>
        <v/>
      </c>
      <c r="BP458" s="4">
        <f>BO458</f>
        <v/>
      </c>
      <c r="BQ458" s="4">
        <f>IF(AS458="regla",IF(AND(N(AQ458)=0,BL458=1),"sí","no"),"no")</f>
        <v/>
      </c>
      <c r="BR458" s="3">
        <f>IFERROR(VLOOKUP(F458,MOD_TBL,11,0),IFERROR(VLOOKUP(E458,OCU_TBL,2,0),NEUTRO))</f>
        <v/>
      </c>
      <c r="BS458" s="3">
        <f>SUMIFS(MOT_AJUSTE,MOT_MOTOR,G458,MOT_MARCA,E458,MOT_DESDE,"&lt;="&amp;M458,MOT_HASTA,"&gt;="&amp;M458)+SUMIFS(MOT_AJUSTE,MOT_MOTOR,G458,MOT_MARCA,"(todas)",MOT_DESDE,"&lt;="&amp;M458,MOT_HASTA,"&gt;="&amp;M458)</f>
        <v/>
      </c>
      <c r="BT458" s="3">
        <f>SUMIFS(COMB_AJUSTE,COMB_COMB,K458)</f>
        <v/>
      </c>
      <c r="BU458" s="3">
        <f>COUNTIFS(MOT_MOTOR,G458,MOT_MARCA,E458,MOT_DESDE,"&lt;="&amp;M458,MOT_HASTA,"&gt;="&amp;M458)+COUNTIFS(MOT_MOTOR,G458,MOT_MARCA,"(todas)",MOT_DESDE,"&lt;="&amp;M458,MOT_HASTA,"&gt;="&amp;M458)</f>
        <v/>
      </c>
      <c r="BV458" s="3">
        <f>IF(AND(K458="diesel",BU458=0),MIN(BR458,NEUTRO),BR458)</f>
        <v/>
      </c>
      <c r="BW458" s="4">
        <f>MAX(0,MIN(100,BV458+BS458+BT458))</f>
        <v/>
      </c>
      <c r="BX458" s="3">
        <f>MAX(0,MIN(100,50+BK458*PRECIO_PEND))</f>
        <v/>
      </c>
      <c r="BY458" s="3">
        <f>MAX(0,100*(1-N458/KM_MAX))</f>
        <v/>
      </c>
      <c r="BZ458" s="3">
        <f>IF(BB458&lt;KMA_SOSP,IF(AA458="sí",100,KMA_PEN),IF(BB458&lt;=KMA_IDEAL_MAX,100,MAX(0,100*(KMA_CERO-BB458)/(KMA_CERO-KMA_IDEAL_MAX))))</f>
        <v/>
      </c>
      <c r="CA458" s="3">
        <f>MAX(0,MIN(100,100*(M458-ANIO_MIN)/(ANIO_ACTUAL-ANIO_MIN)))</f>
        <v/>
      </c>
      <c r="CB458" s="3">
        <f>W_KMT*BY458+W_KMA*BZ458+W_EDAD*CA458</f>
        <v/>
      </c>
      <c r="CC458" s="3">
        <f>P_ITV*(V458="sí")+P_LIBRO*(W458="sí")+P_CORREA*(X458="sí")+P_PROP*(Y458=1)+P_GAR*(Z458="sí")+P_FOTOS*MIN(1,N(U458)/FOTOS_OBJ)</f>
        <v/>
      </c>
      <c r="CD458" s="3">
        <f>MAX(0,MIN(100,IFERROR(VLOOKUP(BP458,ETQ_TBL,2,0),0)-IF(BQ458="sí",ETQ_PEN_DUD,IF(AS458="regla",ETQ_PEN_REGLA,0))))</f>
        <v/>
      </c>
      <c r="CE458" s="3">
        <f>NEUTRO</f>
        <v/>
      </c>
      <c r="CF458" s="3">
        <f>IFERROR(VLOOKUP(L458,SEGURO_TBL,3,0),"")</f>
        <v/>
      </c>
      <c r="CG458" s="3">
        <f>IF(CF458="",NEUTRO,MAX(0,MIN(100,100*(SEG_REF_MAX-CF458)/(SEG_REF_MAX-SEG_REF_MIN))))</f>
        <v/>
      </c>
      <c r="CH458" s="3">
        <f>W_CONS*CE458+W_SEG*CG458</f>
        <v/>
      </c>
      <c r="CI458" s="3">
        <f>IF(N(AB458)&gt;0,AB458,IF(AND(R458="profesional",SG_LEGAL_ON=1),GAR_LEGAL,0))</f>
        <v/>
      </c>
      <c r="CJ458" s="3">
        <f>SG_GAR*MIN(1,CI458/SG_GAR_FULL)+SG_AMPL*(AC458="sí")+SG_KMC*(AF458="sí")+SG_REV*(N(AE458)&gt;0)+SG_DEV*MIN(1,N(AG458)/SG_DEV_FULL)+SG_HIST*(W458="sí")</f>
        <v/>
      </c>
      <c r="CK458" s="3">
        <f>IFERROR(VLOOKUP(L458,CARR_PEN_TBL,2,0),0)</f>
        <v/>
      </c>
      <c r="CL458" s="3">
        <f>W_FIAB*BW458+W_PRECIO*BX458+W_KMEDAD*CB458+W_ANUNCIO*CC458+W_USO*CH458+W_SEGURIDAD*CJ458+W_ETIQUETA*CD458-CK458</f>
        <v/>
      </c>
      <c r="CM458" s="4">
        <f>IF(N(I458)&gt;0,I458,IFERROR(ROUND(_xlfn.NUMBERVALUE(LEFT(G458,FIND(" ",G458&amp;" ")-1),".")*1000,0),99999))</f>
        <v/>
      </c>
      <c r="CN458" s="3">
        <f>IF(R458="profesional",0,IF(O458&lt;CUOTA_VALOR_MAX,IF(BA458&gt;ITP_TRAMO_ALTO,SUMIFS(CF_CUOTA,CF_MAS,ITP_TRAMO_ALTO,CF_CCMIN,"&lt;="&amp;CM458,CF_CCMAX,"&gt;="&amp;CM458),IF(BA458&gt;ITP_TRAMO_BAJO,SUMIFS(CF_CUOTA,CF_MAS,ITP_TRAMO_BAJO,CF_CCMIN,"&lt;="&amp;CM458,CF_CCMAX,"&gt;="&amp;CM458),O458*ITP_TIPO)),O458*ITP_TIPO))</f>
        <v/>
      </c>
      <c r="CO458" s="4">
        <f>IF(R458="profesional",N(AK458),0)</f>
        <v/>
      </c>
      <c r="CP458" s="3">
        <f>IF(AND(R458="profesional",ISNUMBER(AK458),AL458="sí"),0,TASA_DGT)</f>
        <v/>
      </c>
      <c r="CQ458" s="3">
        <f>INFORME_DGT</f>
        <v/>
      </c>
      <c r="CR458" s="4">
        <f>O458+CO458+CN458+CP458+CQ458</f>
        <v/>
      </c>
      <c r="CS458" s="4">
        <f>CR458+N(CF458)</f>
        <v/>
      </c>
      <c r="CT458" s="3">
        <f>IF(CR458&lt;=TOTAL_MAX,"sí",IF(CR458&lt;=TOTAL_MAX+MARGEN_NEG,"negociar","no"))</f>
        <v/>
      </c>
      <c r="CU458" s="4">
        <f>IF(CT458&lt;&gt;"no",COUNTIFS($CT$2:$CT$545,"&lt;&gt;no",$CL$2:$CL$545,"&gt;"&amp;CL458)+COUNTIFS($CT$2:CT458,"&lt;&gt;no",$CL$2:CL458,CL458),"")</f>
        <v/>
      </c>
    </row>
    <row r="459">
      <c r="A459" s="2" t="inlineStr">
        <is>
          <t>cochesnet:71265158</t>
        </is>
      </c>
      <c r="B459" s="2" t="inlineStr">
        <is>
          <t>cochesnet</t>
        </is>
      </c>
      <c r="C459" s="2" t="inlineStr">
        <is>
          <t>https://www.coches.net/chevrolet-nubira-gasolina-2010-en-valencia-71265158-covo.aspx</t>
        </is>
      </c>
      <c r="D459" s="2" t="inlineStr">
        <is>
          <t>CHEVROLET Nubira</t>
        </is>
      </c>
      <c r="E459" s="2" t="inlineStr">
        <is>
          <t>Chevrolet</t>
        </is>
      </c>
      <c r="F459" s="2" t="inlineStr">
        <is>
          <t>Chevrolet Nubira</t>
        </is>
      </c>
      <c r="G459" s="2" t="n"/>
      <c r="H459" s="2" t="n"/>
      <c r="I459" s="2" t="n"/>
      <c r="J459" s="2" t="n"/>
      <c r="K459" s="2" t="inlineStr">
        <is>
          <t>gasolina</t>
        </is>
      </c>
      <c r="L459" s="2" t="inlineStr">
        <is>
          <t>compacto</t>
        </is>
      </c>
      <c r="M459" s="2" t="n">
        <v>2010</v>
      </c>
      <c r="N459" s="2" t="n">
        <v>99700</v>
      </c>
      <c r="O459" s="2" t="n">
        <v>3800</v>
      </c>
      <c r="P459" s="2" t="inlineStr">
        <is>
          <t>manual</t>
        </is>
      </c>
      <c r="Q459" s="2" t="inlineStr">
        <is>
          <t>no</t>
        </is>
      </c>
      <c r="R459" s="2" t="inlineStr">
        <is>
          <t>particular</t>
        </is>
      </c>
      <c r="S459" s="2" t="n"/>
      <c r="T459" s="2" t="inlineStr">
        <is>
          <t>2026-08-10T12:13:36Z</t>
        </is>
      </c>
      <c r="U459" s="2" t="n">
        <v>3</v>
      </c>
      <c r="V459" s="2" t="n"/>
      <c r="W459" s="2" t="inlineStr">
        <is>
          <t>sí</t>
        </is>
      </c>
      <c r="X459" s="2" t="n"/>
      <c r="Y459" s="2" t="n">
        <v>1</v>
      </c>
      <c r="Z459" s="2" t="inlineStr">
        <is>
          <t>no</t>
        </is>
      </c>
      <c r="AA459" s="2" t="n"/>
      <c r="AB459" s="2" t="n"/>
      <c r="AC459" s="2" t="n"/>
      <c r="AD459" s="2" t="n"/>
      <c r="AE459" s="2" t="n"/>
      <c r="AF459" s="2" t="n"/>
      <c r="AG459" s="2" t="n"/>
      <c r="AH459" s="2" t="n">
        <v>3800</v>
      </c>
      <c r="AI459" s="2" t="n"/>
      <c r="AJ459" s="2" t="n"/>
      <c r="AK459" s="2" t="n"/>
      <c r="AL459" s="2" t="n"/>
      <c r="AM459" s="2" t="n"/>
      <c r="AN459" s="2" t="n"/>
      <c r="AO459" s="2" t="inlineStr">
        <is>
          <t>2010</t>
        </is>
      </c>
      <c r="AP459" s="2" t="n">
        <v>2010</v>
      </c>
      <c r="AQ459" s="2" t="n"/>
      <c r="AR459" s="2" t="n"/>
      <c r="AS459" s="2" t="inlineStr">
        <is>
          <t>regla</t>
        </is>
      </c>
      <c r="AT459" s="2" t="n"/>
      <c r="AU459" s="2" t="n"/>
      <c r="AV459" s="2" t="n"/>
      <c r="AW459" s="2" t="n"/>
      <c r="AX459" s="2" t="inlineStr">
        <is>
          <t>cilindrada desconocida: se aplica el tramo de cuota fija más alto; cuota fija ITP: &gt;12 años, más de 2.000 cc; distancia no verificable (el anuncio solo indica la provincia): confirmar que está a &lt;= 70 km; fiabilidad del modelo PENDIENTE de fuente (puntuación neutra); mediana con solo 2 anuncio(s)</t>
        </is>
      </c>
      <c r="AY459" s="2" t="inlineStr">
        <is>
          <t>Hola,coche en buen estado.Con llantas de aleación.Ruedas al 90%.Unico propietario.Mantenimiento al día.</t>
        </is>
      </c>
      <c r="AZ459" s="2" t="inlineStr">
        <is>
          <t>https://www.coches.net/chevrolet-nubira-gasolina-2010-en-valencia-71265158-covo.aspx (window.__INITIAL_PROPS__.ad) /home/user/Alopecia/buscador-coches/raw/cochesnet/a7f74551eab52f37.json</t>
        </is>
      </c>
      <c r="BA459" s="3">
        <f>MAX(ANIO_ACTUAL-M459,0)</f>
        <v/>
      </c>
      <c r="BB459" s="4">
        <f>N459/MAX(BA459,0.5)</f>
        <v/>
      </c>
      <c r="BC459" s="4">
        <f>F459</f>
        <v/>
      </c>
      <c r="BD459" s="3">
        <f>BC459&amp;"|"&amp;INT(M459/SEG_ANIO)*SEG_ANIO</f>
        <v/>
      </c>
      <c r="BE459" s="3">
        <f>BD459&amp;"|"&amp;INT(N459/SEG_KM)*SEG_KM</f>
        <v/>
      </c>
      <c r="BF459" s="4">
        <f>COUNTIF($BC$2:$BC$545,BC459)</f>
        <v/>
      </c>
      <c r="BG459" s="4">
        <f>COUNTIF($BD$2:$BD$545,BD459)</f>
        <v/>
      </c>
      <c r="BH459" s="4">
        <f>COUNTIF($BE$2:$BE$545,BE459)</f>
        <v/>
      </c>
      <c r="BI459" s="3">
        <f t="array" ref="BI459">IF(N(AU459)&gt;=MIN_N,AT459,IF(BH459&gt;=MIN_N,MEDIAN(IF($BE$2:$BE$545=BE459,$O$2:$O$545)),IF(BG459&gt;=MIN_N,MEDIAN(IF($BD$2:$BD$545=BD459,$O$2:$O$545)),MEDIAN(IF($BC$2:$BC$545=BC459,$O$2:$O$545)))))</f>
        <v/>
      </c>
      <c r="BJ459" s="3">
        <f>IF(N(AU459)&gt;=MIN_N,"mercado "&amp;AV459,IF(BH459&gt;=MIN_N,"modelo+año+km",IF(BG459&gt;=MIN_N,"modelo+año","modelo")))</f>
        <v/>
      </c>
      <c r="BK459" s="4">
        <f>(BI459-O459)/BI459</f>
        <v/>
      </c>
      <c r="BL459" s="3">
        <f>IF(COUNTIFS(FR_FUEL,K459,FR_YEAR,AP459)&gt;0,1,0)</f>
        <v/>
      </c>
      <c r="BM459" s="3">
        <f>IF(COUNTIFS(FR_FUEL,K459,FR_YEAR,AP459-1)&gt;0,1,0)</f>
        <v/>
      </c>
      <c r="BN459" s="4">
        <f>IF(N(AQ459)&gt;0,AP459*100+AQ459,IF(AND(BL459=1,BM459=1),(AP459-1)*100+1,AP459*100+1))</f>
        <v/>
      </c>
      <c r="BO459" s="3">
        <f>IF(OR(K459="hibrido",K459="glp",K459="gnc",K459="phev"),"ECO",IF(K459="electrico","CERO",IF(K459="gasolina",IF(BN459&gt;=GAS_C_YM,"C",IF(BN459&gt;=GAS_B_YM,"B","A")),IF(K459="diesel",IF(BN459&gt;=DIE_C_YM,"C",IF(BN459&gt;=DIE_B_YM,"B","A")),""))))</f>
        <v/>
      </c>
      <c r="BP459" s="4">
        <f>BO459</f>
        <v/>
      </c>
      <c r="BQ459" s="4">
        <f>IF(AS459="regla",IF(AND(N(AQ459)=0,BL459=1),"sí","no"),"no")</f>
        <v/>
      </c>
      <c r="BR459" s="3">
        <f>IFERROR(VLOOKUP(F459,MOD_TBL,11,0),IFERROR(VLOOKUP(E459,OCU_TBL,2,0),NEUTRO))</f>
        <v/>
      </c>
      <c r="BS459" s="3">
        <f>SUMIFS(MOT_AJUSTE,MOT_MOTOR,G459,MOT_MARCA,E459,MOT_DESDE,"&lt;="&amp;M459,MOT_HASTA,"&gt;="&amp;M459)+SUMIFS(MOT_AJUSTE,MOT_MOTOR,G459,MOT_MARCA,"(todas)",MOT_DESDE,"&lt;="&amp;M459,MOT_HASTA,"&gt;="&amp;M459)</f>
        <v/>
      </c>
      <c r="BT459" s="3">
        <f>SUMIFS(COMB_AJUSTE,COMB_COMB,K459)</f>
        <v/>
      </c>
      <c r="BU459" s="3">
        <f>COUNTIFS(MOT_MOTOR,G459,MOT_MARCA,E459,MOT_DESDE,"&lt;="&amp;M459,MOT_HASTA,"&gt;="&amp;M459)+COUNTIFS(MOT_MOTOR,G459,MOT_MARCA,"(todas)",MOT_DESDE,"&lt;="&amp;M459,MOT_HASTA,"&gt;="&amp;M459)</f>
        <v/>
      </c>
      <c r="BV459" s="3">
        <f>IF(AND(K459="diesel",BU459=0),MIN(BR459,NEUTRO),BR459)</f>
        <v/>
      </c>
      <c r="BW459" s="4">
        <f>MAX(0,MIN(100,BV459+BS459+BT459))</f>
        <v/>
      </c>
      <c r="BX459" s="3">
        <f>MAX(0,MIN(100,50+BK459*PRECIO_PEND))</f>
        <v/>
      </c>
      <c r="BY459" s="3">
        <f>MAX(0,100*(1-N459/KM_MAX))</f>
        <v/>
      </c>
      <c r="BZ459" s="3">
        <f>IF(BB459&lt;KMA_SOSP,IF(AA459="sí",100,KMA_PEN),IF(BB459&lt;=KMA_IDEAL_MAX,100,MAX(0,100*(KMA_CERO-BB459)/(KMA_CERO-KMA_IDEAL_MAX))))</f>
        <v/>
      </c>
      <c r="CA459" s="3">
        <f>MAX(0,MIN(100,100*(M459-ANIO_MIN)/(ANIO_ACTUAL-ANIO_MIN)))</f>
        <v/>
      </c>
      <c r="CB459" s="3">
        <f>W_KMT*BY459+W_KMA*BZ459+W_EDAD*CA459</f>
        <v/>
      </c>
      <c r="CC459" s="3">
        <f>P_ITV*(V459="sí")+P_LIBRO*(W459="sí")+P_CORREA*(X459="sí")+P_PROP*(Y459=1)+P_GAR*(Z459="sí")+P_FOTOS*MIN(1,N(U459)/FOTOS_OBJ)</f>
        <v/>
      </c>
      <c r="CD459" s="3">
        <f>MAX(0,MIN(100,IFERROR(VLOOKUP(BP459,ETQ_TBL,2,0),0)-IF(BQ459="sí",ETQ_PEN_DUD,IF(AS459="regla",ETQ_PEN_REGLA,0))))</f>
        <v/>
      </c>
      <c r="CE459" s="3">
        <f>NEUTRO</f>
        <v/>
      </c>
      <c r="CF459" s="3">
        <f>IFERROR(VLOOKUP(L459,SEGURO_TBL,3,0),"")</f>
        <v/>
      </c>
      <c r="CG459" s="3">
        <f>IF(CF459="",NEUTRO,MAX(0,MIN(100,100*(SEG_REF_MAX-CF459)/(SEG_REF_MAX-SEG_REF_MIN))))</f>
        <v/>
      </c>
      <c r="CH459" s="3">
        <f>W_CONS*CE459+W_SEG*CG459</f>
        <v/>
      </c>
      <c r="CI459" s="3">
        <f>IF(N(AB459)&gt;0,AB459,IF(AND(R459="profesional",SG_LEGAL_ON=1),GAR_LEGAL,0))</f>
        <v/>
      </c>
      <c r="CJ459" s="3">
        <f>SG_GAR*MIN(1,CI459/SG_GAR_FULL)+SG_AMPL*(AC459="sí")+SG_KMC*(AF459="sí")+SG_REV*(N(AE459)&gt;0)+SG_DEV*MIN(1,N(AG459)/SG_DEV_FULL)+SG_HIST*(W459="sí")</f>
        <v/>
      </c>
      <c r="CK459" s="3">
        <f>IFERROR(VLOOKUP(L459,CARR_PEN_TBL,2,0),0)</f>
        <v/>
      </c>
      <c r="CL459" s="3">
        <f>W_FIAB*BW459+W_PRECIO*BX459+W_KMEDAD*CB459+W_ANUNCIO*CC459+W_USO*CH459+W_SEGURIDAD*CJ459+W_ETIQUETA*CD459-CK459</f>
        <v/>
      </c>
      <c r="CM459" s="4">
        <f>IF(N(I459)&gt;0,I459,IFERROR(ROUND(_xlfn.NUMBERVALUE(LEFT(G459,FIND(" ",G459&amp;" ")-1),".")*1000,0),99999))</f>
        <v/>
      </c>
      <c r="CN459" s="3">
        <f>IF(R459="profesional",0,IF(O459&lt;CUOTA_VALOR_MAX,IF(BA459&gt;ITP_TRAMO_ALTO,SUMIFS(CF_CUOTA,CF_MAS,ITP_TRAMO_ALTO,CF_CCMIN,"&lt;="&amp;CM459,CF_CCMAX,"&gt;="&amp;CM459),IF(BA459&gt;ITP_TRAMO_BAJO,SUMIFS(CF_CUOTA,CF_MAS,ITP_TRAMO_BAJO,CF_CCMIN,"&lt;="&amp;CM459,CF_CCMAX,"&gt;="&amp;CM459),O459*ITP_TIPO)),O459*ITP_TIPO))</f>
        <v/>
      </c>
      <c r="CO459" s="4">
        <f>IF(R459="profesional",N(AK459),0)</f>
        <v/>
      </c>
      <c r="CP459" s="3">
        <f>IF(AND(R459="profesional",ISNUMBER(AK459),AL459="sí"),0,TASA_DGT)</f>
        <v/>
      </c>
      <c r="CQ459" s="3">
        <f>INFORME_DGT</f>
        <v/>
      </c>
      <c r="CR459" s="4">
        <f>O459+CO459+CN459+CP459+CQ459</f>
        <v/>
      </c>
      <c r="CS459" s="4">
        <f>CR459+N(CF459)</f>
        <v/>
      </c>
      <c r="CT459" s="3">
        <f>IF(CR459&lt;=TOTAL_MAX,"sí",IF(CR459&lt;=TOTAL_MAX+MARGEN_NEG,"negociar","no"))</f>
        <v/>
      </c>
      <c r="CU459" s="4">
        <f>IF(CT459&lt;&gt;"no",COUNTIFS($CT$2:$CT$545,"&lt;&gt;no",$CL$2:$CL$545,"&gt;"&amp;CL459)+COUNTIFS($CT$2:CT459,"&lt;&gt;no",$CL$2:CL459,CL459),"")</f>
        <v/>
      </c>
    </row>
    <row r="460">
      <c r="A460" s="2" t="inlineStr">
        <is>
          <t>cochesnet:71109870</t>
        </is>
      </c>
      <c r="B460" s="2" t="inlineStr">
        <is>
          <t>cochesnet</t>
        </is>
      </c>
      <c r="C460" s="2" t="inlineStr">
        <is>
          <t>https://www.coches.net/chevrolet-aveo-gasolina-2006-en-valencia-71109870-covo.aspx</t>
        </is>
      </c>
      <c r="D460" s="2" t="inlineStr">
        <is>
          <t>CHEVROLET Aveo</t>
        </is>
      </c>
      <c r="E460" s="2" t="inlineStr">
        <is>
          <t>Chevrolet</t>
        </is>
      </c>
      <c r="F460" s="2" t="inlineStr">
        <is>
          <t>Chevrolet Aveo</t>
        </is>
      </c>
      <c r="G460" s="2" t="n"/>
      <c r="H460" s="2" t="n"/>
      <c r="I460" s="2" t="n"/>
      <c r="J460" s="2" t="n"/>
      <c r="K460" s="2" t="inlineStr">
        <is>
          <t>gasolina</t>
        </is>
      </c>
      <c r="L460" s="2" t="inlineStr">
        <is>
          <t>utilitario</t>
        </is>
      </c>
      <c r="M460" s="2" t="n">
        <v>2006</v>
      </c>
      <c r="N460" s="2" t="n">
        <v>135000</v>
      </c>
      <c r="O460" s="2" t="n">
        <v>2800</v>
      </c>
      <c r="P460" s="2" t="inlineStr">
        <is>
          <t>manual</t>
        </is>
      </c>
      <c r="Q460" s="2" t="inlineStr">
        <is>
          <t>no</t>
        </is>
      </c>
      <c r="R460" s="2" t="inlineStr">
        <is>
          <t>particular</t>
        </is>
      </c>
      <c r="S460" s="2" t="n"/>
      <c r="T460" s="2" t="inlineStr">
        <is>
          <t>2026-07-17T19:59:39Z</t>
        </is>
      </c>
      <c r="U460" s="2" t="n">
        <v>7</v>
      </c>
      <c r="V460" s="2" t="n"/>
      <c r="W460" s="2" t="n"/>
      <c r="X460" s="2" t="n"/>
      <c r="Y460" s="2" t="n"/>
      <c r="Z460" s="2" t="inlineStr">
        <is>
          <t>no</t>
        </is>
      </c>
      <c r="AA460" s="2" t="n"/>
      <c r="AB460" s="2" t="n"/>
      <c r="AC460" s="2" t="n"/>
      <c r="AD460" s="2" t="n"/>
      <c r="AE460" s="2" t="n"/>
      <c r="AF460" s="2" t="n"/>
      <c r="AG460" s="2" t="n"/>
      <c r="AH460" s="2" t="n">
        <v>2800</v>
      </c>
      <c r="AI460" s="2" t="n"/>
      <c r="AJ460" s="2" t="n"/>
      <c r="AK460" s="2" t="n"/>
      <c r="AL460" s="2" t="n"/>
      <c r="AM460" s="2" t="n"/>
      <c r="AN460" s="2" t="n"/>
      <c r="AO460" s="2" t="inlineStr">
        <is>
          <t>2006</t>
        </is>
      </c>
      <c r="AP460" s="2" t="n">
        <v>2006</v>
      </c>
      <c r="AQ460" s="2" t="n"/>
      <c r="AR460" s="2" t="n"/>
      <c r="AS460" s="2" t="inlineStr">
        <is>
          <t>regla</t>
        </is>
      </c>
      <c r="AT460" s="2" t="n"/>
      <c r="AU460" s="2" t="n"/>
      <c r="AV460" s="2" t="n"/>
      <c r="AW460" s="2" t="n"/>
      <c r="AX460"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60" s="2" t="inlineStr">
        <is>
          <t xml:space="preserve">sólo detalles de chapa rasguños por el año, lo demás impecable </t>
        </is>
      </c>
      <c r="AZ460" s="2" t="inlineStr">
        <is>
          <t>https://www.coches.net/chevrolet-aveo-gasolina-2006-en-valencia-71109870-covo.aspx (window.__INITIAL_PROPS__.ad) /home/user/Alopecia/buscador-coches/raw/cochesnet/1e04c6e52775e860.json</t>
        </is>
      </c>
      <c r="BA460" s="3">
        <f>MAX(ANIO_ACTUAL-M460,0)</f>
        <v/>
      </c>
      <c r="BB460" s="4">
        <f>N460/MAX(BA460,0.5)</f>
        <v/>
      </c>
      <c r="BC460" s="4">
        <f>F460</f>
        <v/>
      </c>
      <c r="BD460" s="3">
        <f>BC460&amp;"|"&amp;INT(M460/SEG_ANIO)*SEG_ANIO</f>
        <v/>
      </c>
      <c r="BE460" s="3">
        <f>BD460&amp;"|"&amp;INT(N460/SEG_KM)*SEG_KM</f>
        <v/>
      </c>
      <c r="BF460" s="4">
        <f>COUNTIF($BC$2:$BC$545,BC460)</f>
        <v/>
      </c>
      <c r="BG460" s="4">
        <f>COUNTIF($BD$2:$BD$545,BD460)</f>
        <v/>
      </c>
      <c r="BH460" s="4">
        <f>COUNTIF($BE$2:$BE$545,BE460)</f>
        <v/>
      </c>
      <c r="BI460" s="3">
        <f t="array" ref="BI460">IF(N(AU460)&gt;=MIN_N,AT460,IF(BH460&gt;=MIN_N,MEDIAN(IF($BE$2:$BE$545=BE460,$O$2:$O$545)),IF(BG460&gt;=MIN_N,MEDIAN(IF($BD$2:$BD$545=BD460,$O$2:$O$545)),MEDIAN(IF($BC$2:$BC$545=BC460,$O$2:$O$545)))))</f>
        <v/>
      </c>
      <c r="BJ460" s="3">
        <f>IF(N(AU460)&gt;=MIN_N,"mercado "&amp;AV460,IF(BH460&gt;=MIN_N,"modelo+año+km",IF(BG460&gt;=MIN_N,"modelo+año","modelo")))</f>
        <v/>
      </c>
      <c r="BK460" s="4">
        <f>(BI460-O460)/BI460</f>
        <v/>
      </c>
      <c r="BL460" s="3">
        <f>IF(COUNTIFS(FR_FUEL,K460,FR_YEAR,AP460)&gt;0,1,0)</f>
        <v/>
      </c>
      <c r="BM460" s="3">
        <f>IF(COUNTIFS(FR_FUEL,K460,FR_YEAR,AP460-1)&gt;0,1,0)</f>
        <v/>
      </c>
      <c r="BN460" s="4">
        <f>IF(N(AQ460)&gt;0,AP460*100+AQ460,IF(AND(BL460=1,BM460=1),(AP460-1)*100+1,AP460*100+1))</f>
        <v/>
      </c>
      <c r="BO460" s="3">
        <f>IF(OR(K460="hibrido",K460="glp",K460="gnc",K460="phev"),"ECO",IF(K460="electrico","CERO",IF(K460="gasolina",IF(BN460&gt;=GAS_C_YM,"C",IF(BN460&gt;=GAS_B_YM,"B","A")),IF(K460="diesel",IF(BN460&gt;=DIE_C_YM,"C",IF(BN460&gt;=DIE_B_YM,"B","A")),""))))</f>
        <v/>
      </c>
      <c r="BP460" s="4">
        <f>BO460</f>
        <v/>
      </c>
      <c r="BQ460" s="4">
        <f>IF(AS460="regla",IF(AND(N(AQ460)=0,BL460=1),"sí","no"),"no")</f>
        <v/>
      </c>
      <c r="BR460" s="3">
        <f>IFERROR(VLOOKUP(F460,MOD_TBL,11,0),IFERROR(VLOOKUP(E460,OCU_TBL,2,0),NEUTRO))</f>
        <v/>
      </c>
      <c r="BS460" s="3">
        <f>SUMIFS(MOT_AJUSTE,MOT_MOTOR,G460,MOT_MARCA,E460,MOT_DESDE,"&lt;="&amp;M460,MOT_HASTA,"&gt;="&amp;M460)+SUMIFS(MOT_AJUSTE,MOT_MOTOR,G460,MOT_MARCA,"(todas)",MOT_DESDE,"&lt;="&amp;M460,MOT_HASTA,"&gt;="&amp;M460)</f>
        <v/>
      </c>
      <c r="BT460" s="3">
        <f>SUMIFS(COMB_AJUSTE,COMB_COMB,K460)</f>
        <v/>
      </c>
      <c r="BU460" s="3">
        <f>COUNTIFS(MOT_MOTOR,G460,MOT_MARCA,E460,MOT_DESDE,"&lt;="&amp;M460,MOT_HASTA,"&gt;="&amp;M460)+COUNTIFS(MOT_MOTOR,G460,MOT_MARCA,"(todas)",MOT_DESDE,"&lt;="&amp;M460,MOT_HASTA,"&gt;="&amp;M460)</f>
        <v/>
      </c>
      <c r="BV460" s="3">
        <f>IF(AND(K460="diesel",BU460=0),MIN(BR460,NEUTRO),BR460)</f>
        <v/>
      </c>
      <c r="BW460" s="4">
        <f>MAX(0,MIN(100,BV460+BS460+BT460))</f>
        <v/>
      </c>
      <c r="BX460" s="3">
        <f>MAX(0,MIN(100,50+BK460*PRECIO_PEND))</f>
        <v/>
      </c>
      <c r="BY460" s="3">
        <f>MAX(0,100*(1-N460/KM_MAX))</f>
        <v/>
      </c>
      <c r="BZ460" s="3">
        <f>IF(BB460&lt;KMA_SOSP,IF(AA460="sí",100,KMA_PEN),IF(BB460&lt;=KMA_IDEAL_MAX,100,MAX(0,100*(KMA_CERO-BB460)/(KMA_CERO-KMA_IDEAL_MAX))))</f>
        <v/>
      </c>
      <c r="CA460" s="3">
        <f>MAX(0,MIN(100,100*(M460-ANIO_MIN)/(ANIO_ACTUAL-ANIO_MIN)))</f>
        <v/>
      </c>
      <c r="CB460" s="3">
        <f>W_KMT*BY460+W_KMA*BZ460+W_EDAD*CA460</f>
        <v/>
      </c>
      <c r="CC460" s="3">
        <f>P_ITV*(V460="sí")+P_LIBRO*(W460="sí")+P_CORREA*(X460="sí")+P_PROP*(Y460=1)+P_GAR*(Z460="sí")+P_FOTOS*MIN(1,N(U460)/FOTOS_OBJ)</f>
        <v/>
      </c>
      <c r="CD460" s="3">
        <f>MAX(0,MIN(100,IFERROR(VLOOKUP(BP460,ETQ_TBL,2,0),0)-IF(BQ460="sí",ETQ_PEN_DUD,IF(AS460="regla",ETQ_PEN_REGLA,0))))</f>
        <v/>
      </c>
      <c r="CE460" s="3">
        <f>NEUTRO</f>
        <v/>
      </c>
      <c r="CF460" s="3">
        <f>IFERROR(VLOOKUP(L460,SEGURO_TBL,3,0),"")</f>
        <v/>
      </c>
      <c r="CG460" s="3">
        <f>IF(CF460="",NEUTRO,MAX(0,MIN(100,100*(SEG_REF_MAX-CF460)/(SEG_REF_MAX-SEG_REF_MIN))))</f>
        <v/>
      </c>
      <c r="CH460" s="3">
        <f>W_CONS*CE460+W_SEG*CG460</f>
        <v/>
      </c>
      <c r="CI460" s="3">
        <f>IF(N(AB460)&gt;0,AB460,IF(AND(R460="profesional",SG_LEGAL_ON=1),GAR_LEGAL,0))</f>
        <v/>
      </c>
      <c r="CJ460" s="3">
        <f>SG_GAR*MIN(1,CI460/SG_GAR_FULL)+SG_AMPL*(AC460="sí")+SG_KMC*(AF460="sí")+SG_REV*(N(AE460)&gt;0)+SG_DEV*MIN(1,N(AG460)/SG_DEV_FULL)+SG_HIST*(W460="sí")</f>
        <v/>
      </c>
      <c r="CK460" s="3">
        <f>IFERROR(VLOOKUP(L460,CARR_PEN_TBL,2,0),0)</f>
        <v/>
      </c>
      <c r="CL460" s="3">
        <f>W_FIAB*BW460+W_PRECIO*BX460+W_KMEDAD*CB460+W_ANUNCIO*CC460+W_USO*CH460+W_SEGURIDAD*CJ460+W_ETIQUETA*CD460-CK460</f>
        <v/>
      </c>
      <c r="CM460" s="4">
        <f>IF(N(I460)&gt;0,I460,IFERROR(ROUND(_xlfn.NUMBERVALUE(LEFT(G460,FIND(" ",G460&amp;" ")-1),".")*1000,0),99999))</f>
        <v/>
      </c>
      <c r="CN460" s="3">
        <f>IF(R460="profesional",0,IF(O460&lt;CUOTA_VALOR_MAX,IF(BA460&gt;ITP_TRAMO_ALTO,SUMIFS(CF_CUOTA,CF_MAS,ITP_TRAMO_ALTO,CF_CCMIN,"&lt;="&amp;CM460,CF_CCMAX,"&gt;="&amp;CM460),IF(BA460&gt;ITP_TRAMO_BAJO,SUMIFS(CF_CUOTA,CF_MAS,ITP_TRAMO_BAJO,CF_CCMIN,"&lt;="&amp;CM460,CF_CCMAX,"&gt;="&amp;CM460),O460*ITP_TIPO)),O460*ITP_TIPO))</f>
        <v/>
      </c>
      <c r="CO460" s="4">
        <f>IF(R460="profesional",N(AK460),0)</f>
        <v/>
      </c>
      <c r="CP460" s="3">
        <f>IF(AND(R460="profesional",ISNUMBER(AK460),AL460="sí"),0,TASA_DGT)</f>
        <v/>
      </c>
      <c r="CQ460" s="3">
        <f>INFORME_DGT</f>
        <v/>
      </c>
      <c r="CR460" s="4">
        <f>O460+CO460+CN460+CP460+CQ460</f>
        <v/>
      </c>
      <c r="CS460" s="4">
        <f>CR460+N(CF460)</f>
        <v/>
      </c>
      <c r="CT460" s="3">
        <f>IF(CR460&lt;=TOTAL_MAX,"sí",IF(CR460&lt;=TOTAL_MAX+MARGEN_NEG,"negociar","no"))</f>
        <v/>
      </c>
      <c r="CU460" s="4">
        <f>IF(CT460&lt;&gt;"no",COUNTIFS($CT$2:$CT$545,"&lt;&gt;no",$CL$2:$CL$545,"&gt;"&amp;CL460)+COUNTIFS($CT$2:CT460,"&lt;&gt;no",$CL$2:CL460,CL460),"")</f>
        <v/>
      </c>
    </row>
    <row r="461">
      <c r="A461" s="2" t="inlineStr">
        <is>
          <t>cochesnet:70954238</t>
        </is>
      </c>
      <c r="B461" s="2" t="inlineStr">
        <is>
          <t>cochesnet</t>
        </is>
      </c>
      <c r="C461" s="2" t="inlineStr">
        <is>
          <t>https://www.coches.net/chevrolet-epica-gasolina-2009-en-valencia-70954238-covo.aspx</t>
        </is>
      </c>
      <c r="D461" s="2" t="inlineStr">
        <is>
          <t>CHEVROLET Epica</t>
        </is>
      </c>
      <c r="E461" s="2" t="inlineStr">
        <is>
          <t>Chevrolet</t>
        </is>
      </c>
      <c r="F461" s="2" t="inlineStr">
        <is>
          <t>Chevrolet Epica</t>
        </is>
      </c>
      <c r="G461" s="2" t="n"/>
      <c r="H461" s="2" t="n"/>
      <c r="I461" s="2" t="n"/>
      <c r="J461" s="2" t="n"/>
      <c r="K461" s="2" t="inlineStr">
        <is>
          <t>gasolina</t>
        </is>
      </c>
      <c r="L461" s="2" t="inlineStr">
        <is>
          <t>berlina</t>
        </is>
      </c>
      <c r="M461" s="2" t="n">
        <v>2009</v>
      </c>
      <c r="N461" s="2" t="n">
        <v>107000</v>
      </c>
      <c r="O461" s="2" t="n">
        <v>3700</v>
      </c>
      <c r="P461" s="2" t="inlineStr">
        <is>
          <t>manual</t>
        </is>
      </c>
      <c r="Q461" s="2" t="inlineStr">
        <is>
          <t>no</t>
        </is>
      </c>
      <c r="R461" s="2" t="inlineStr">
        <is>
          <t>particular</t>
        </is>
      </c>
      <c r="S461" s="2" t="inlineStr">
        <is>
          <t>Alboraya</t>
        </is>
      </c>
      <c r="T461" s="2" t="inlineStr">
        <is>
          <t>2026-06-29T19:34:50Z</t>
        </is>
      </c>
      <c r="U461" s="2" t="n">
        <v>7</v>
      </c>
      <c r="V461" s="2" t="n"/>
      <c r="W461" s="2" t="n"/>
      <c r="X461" s="2" t="n"/>
      <c r="Y461" s="2" t="n"/>
      <c r="Z461" s="2" t="inlineStr">
        <is>
          <t>no</t>
        </is>
      </c>
      <c r="AA461" s="2" t="n"/>
      <c r="AB461" s="2" t="n"/>
      <c r="AC461" s="2" t="n"/>
      <c r="AD461" s="2" t="n"/>
      <c r="AE461" s="2" t="n"/>
      <c r="AF461" s="2" t="n"/>
      <c r="AG461" s="2" t="n"/>
      <c r="AH461" s="2" t="n">
        <v>3700</v>
      </c>
      <c r="AI461" s="2" t="n"/>
      <c r="AJ461" s="2" t="n"/>
      <c r="AK461" s="2" t="n"/>
      <c r="AL461" s="2" t="n"/>
      <c r="AM461" s="2" t="n">
        <v>4</v>
      </c>
      <c r="AN461" s="2" t="n"/>
      <c r="AO461" s="2" t="inlineStr">
        <is>
          <t>2009</t>
        </is>
      </c>
      <c r="AP461" s="2" t="n">
        <v>2009</v>
      </c>
      <c r="AQ461" s="2" t="n"/>
      <c r="AR461" s="2" t="n"/>
      <c r="AS461" s="2" t="inlineStr">
        <is>
          <t>regla</t>
        </is>
      </c>
      <c r="AT461" s="2" t="n">
        <v>3600</v>
      </c>
      <c r="AU461" s="2" t="n">
        <v>8</v>
      </c>
      <c r="AV461" s="2" t="inlineStr">
        <is>
          <t>modelo+año</t>
        </is>
      </c>
      <c r="AW461" s="2" t="inlineStr">
        <is>
          <t>cochesnet:70953986 (https://www.coches.net/chevrolet-epica-20-24v-ltx-4p-gasolina-2009-en-valencia-70953986-covo.aspx)</t>
        </is>
      </c>
      <c r="AX461" s="2" t="inlineStr">
        <is>
          <t>cilindrada desconocida: se aplica el tramo de cuota fija más alto; cuota fija ITP: &gt;12 años, más de 2.000 cc; carrocería berlina: -4 puntos; fiabilidad del modelo PENDIENTE de fuente (puntuación neutra)</t>
        </is>
      </c>
      <c r="AY461" s="2" t="inlineStr">
        <is>
          <t>Está en muy buen estado, le hicimos la última revisión hace unos meses y los filtros de combustible y de aceite del aire acondicionado son nuevos.</t>
        </is>
      </c>
      <c r="AZ461" s="2" t="inlineStr">
        <is>
          <t>https://www.coches.net/chevrolet-epica-gasolina-2009-en-valencia-70954238-covo.aspx (window.__INITIAL_PROPS__.ad) /home/user/Alopecia/buscador-coches/raw/cochesnet/3cc19e55f0dedaf0.json</t>
        </is>
      </c>
      <c r="BA461" s="3">
        <f>MAX(ANIO_ACTUAL-M461,0)</f>
        <v/>
      </c>
      <c r="BB461" s="4">
        <f>N461/MAX(BA461,0.5)</f>
        <v/>
      </c>
      <c r="BC461" s="4">
        <f>F461</f>
        <v/>
      </c>
      <c r="BD461" s="3">
        <f>BC461&amp;"|"&amp;INT(M461/SEG_ANIO)*SEG_ANIO</f>
        <v/>
      </c>
      <c r="BE461" s="3">
        <f>BD461&amp;"|"&amp;INT(N461/SEG_KM)*SEG_KM</f>
        <v/>
      </c>
      <c r="BF461" s="4">
        <f>COUNTIF($BC$2:$BC$545,BC461)</f>
        <v/>
      </c>
      <c r="BG461" s="4">
        <f>COUNTIF($BD$2:$BD$545,BD461)</f>
        <v/>
      </c>
      <c r="BH461" s="4">
        <f>COUNTIF($BE$2:$BE$545,BE461)</f>
        <v/>
      </c>
      <c r="BI461" s="3">
        <f t="array" ref="BI461">IF(N(AU461)&gt;=MIN_N,AT461,IF(BH461&gt;=MIN_N,MEDIAN(IF($BE$2:$BE$545=BE461,$O$2:$O$545)),IF(BG461&gt;=MIN_N,MEDIAN(IF($BD$2:$BD$545=BD461,$O$2:$O$545)),MEDIAN(IF($BC$2:$BC$545=BC461,$O$2:$O$545)))))</f>
        <v/>
      </c>
      <c r="BJ461" s="3">
        <f>IF(N(AU461)&gt;=MIN_N,"mercado "&amp;AV461,IF(BH461&gt;=MIN_N,"modelo+año+km",IF(BG461&gt;=MIN_N,"modelo+año","modelo")))</f>
        <v/>
      </c>
      <c r="BK461" s="4">
        <f>(BI461-O461)/BI461</f>
        <v/>
      </c>
      <c r="BL461" s="3">
        <f>IF(COUNTIFS(FR_FUEL,K461,FR_YEAR,AP461)&gt;0,1,0)</f>
        <v/>
      </c>
      <c r="BM461" s="3">
        <f>IF(COUNTIFS(FR_FUEL,K461,FR_YEAR,AP461-1)&gt;0,1,0)</f>
        <v/>
      </c>
      <c r="BN461" s="4">
        <f>IF(N(AQ461)&gt;0,AP461*100+AQ461,IF(AND(BL461=1,BM461=1),(AP461-1)*100+1,AP461*100+1))</f>
        <v/>
      </c>
      <c r="BO461" s="3">
        <f>IF(OR(K461="hibrido",K461="glp",K461="gnc",K461="phev"),"ECO",IF(K461="electrico","CERO",IF(K461="gasolina",IF(BN461&gt;=GAS_C_YM,"C",IF(BN461&gt;=GAS_B_YM,"B","A")),IF(K461="diesel",IF(BN461&gt;=DIE_C_YM,"C",IF(BN461&gt;=DIE_B_YM,"B","A")),""))))</f>
        <v/>
      </c>
      <c r="BP461" s="4">
        <f>BO461</f>
        <v/>
      </c>
      <c r="BQ461" s="4">
        <f>IF(AS461="regla",IF(AND(N(AQ461)=0,BL461=1),"sí","no"),"no")</f>
        <v/>
      </c>
      <c r="BR461" s="3">
        <f>IFERROR(VLOOKUP(F461,MOD_TBL,11,0),IFERROR(VLOOKUP(E461,OCU_TBL,2,0),NEUTRO))</f>
        <v/>
      </c>
      <c r="BS461" s="3">
        <f>SUMIFS(MOT_AJUSTE,MOT_MOTOR,G461,MOT_MARCA,E461,MOT_DESDE,"&lt;="&amp;M461,MOT_HASTA,"&gt;="&amp;M461)+SUMIFS(MOT_AJUSTE,MOT_MOTOR,G461,MOT_MARCA,"(todas)",MOT_DESDE,"&lt;="&amp;M461,MOT_HASTA,"&gt;="&amp;M461)</f>
        <v/>
      </c>
      <c r="BT461" s="3">
        <f>SUMIFS(COMB_AJUSTE,COMB_COMB,K461)</f>
        <v/>
      </c>
      <c r="BU461" s="3">
        <f>COUNTIFS(MOT_MOTOR,G461,MOT_MARCA,E461,MOT_DESDE,"&lt;="&amp;M461,MOT_HASTA,"&gt;="&amp;M461)+COUNTIFS(MOT_MOTOR,G461,MOT_MARCA,"(todas)",MOT_DESDE,"&lt;="&amp;M461,MOT_HASTA,"&gt;="&amp;M461)</f>
        <v/>
      </c>
      <c r="BV461" s="3">
        <f>IF(AND(K461="diesel",BU461=0),MIN(BR461,NEUTRO),BR461)</f>
        <v/>
      </c>
      <c r="BW461" s="4">
        <f>MAX(0,MIN(100,BV461+BS461+BT461))</f>
        <v/>
      </c>
      <c r="BX461" s="3">
        <f>MAX(0,MIN(100,50+BK461*PRECIO_PEND))</f>
        <v/>
      </c>
      <c r="BY461" s="3">
        <f>MAX(0,100*(1-N461/KM_MAX))</f>
        <v/>
      </c>
      <c r="BZ461" s="3">
        <f>IF(BB461&lt;KMA_SOSP,IF(AA461="sí",100,KMA_PEN),IF(BB461&lt;=KMA_IDEAL_MAX,100,MAX(0,100*(KMA_CERO-BB461)/(KMA_CERO-KMA_IDEAL_MAX))))</f>
        <v/>
      </c>
      <c r="CA461" s="3">
        <f>MAX(0,MIN(100,100*(M461-ANIO_MIN)/(ANIO_ACTUAL-ANIO_MIN)))</f>
        <v/>
      </c>
      <c r="CB461" s="3">
        <f>W_KMT*BY461+W_KMA*BZ461+W_EDAD*CA461</f>
        <v/>
      </c>
      <c r="CC461" s="3">
        <f>P_ITV*(V461="sí")+P_LIBRO*(W461="sí")+P_CORREA*(X461="sí")+P_PROP*(Y461=1)+P_GAR*(Z461="sí")+P_FOTOS*MIN(1,N(U461)/FOTOS_OBJ)</f>
        <v/>
      </c>
      <c r="CD461" s="3">
        <f>MAX(0,MIN(100,IFERROR(VLOOKUP(BP461,ETQ_TBL,2,0),0)-IF(BQ461="sí",ETQ_PEN_DUD,IF(AS461="regla",ETQ_PEN_REGLA,0))))</f>
        <v/>
      </c>
      <c r="CE461" s="3">
        <f>NEUTRO</f>
        <v/>
      </c>
      <c r="CF461" s="3">
        <f>IFERROR(VLOOKUP(L461,SEGURO_TBL,3,0),"")</f>
        <v/>
      </c>
      <c r="CG461" s="3">
        <f>IF(CF461="",NEUTRO,MAX(0,MIN(100,100*(SEG_REF_MAX-CF461)/(SEG_REF_MAX-SEG_REF_MIN))))</f>
        <v/>
      </c>
      <c r="CH461" s="3">
        <f>W_CONS*CE461+W_SEG*CG461</f>
        <v/>
      </c>
      <c r="CI461" s="3">
        <f>IF(N(AB461)&gt;0,AB461,IF(AND(R461="profesional",SG_LEGAL_ON=1),GAR_LEGAL,0))</f>
        <v/>
      </c>
      <c r="CJ461" s="3">
        <f>SG_GAR*MIN(1,CI461/SG_GAR_FULL)+SG_AMPL*(AC461="sí")+SG_KMC*(AF461="sí")+SG_REV*(N(AE461)&gt;0)+SG_DEV*MIN(1,N(AG461)/SG_DEV_FULL)+SG_HIST*(W461="sí")</f>
        <v/>
      </c>
      <c r="CK461" s="3">
        <f>IFERROR(VLOOKUP(L461,CARR_PEN_TBL,2,0),0)</f>
        <v/>
      </c>
      <c r="CL461" s="3">
        <f>W_FIAB*BW461+W_PRECIO*BX461+W_KMEDAD*CB461+W_ANUNCIO*CC461+W_USO*CH461+W_SEGURIDAD*CJ461+W_ETIQUETA*CD461-CK461</f>
        <v/>
      </c>
      <c r="CM461" s="4">
        <f>IF(N(I461)&gt;0,I461,IFERROR(ROUND(_xlfn.NUMBERVALUE(LEFT(G461,FIND(" ",G461&amp;" ")-1),".")*1000,0),99999))</f>
        <v/>
      </c>
      <c r="CN461" s="3">
        <f>IF(R461="profesional",0,IF(O461&lt;CUOTA_VALOR_MAX,IF(BA461&gt;ITP_TRAMO_ALTO,SUMIFS(CF_CUOTA,CF_MAS,ITP_TRAMO_ALTO,CF_CCMIN,"&lt;="&amp;CM461,CF_CCMAX,"&gt;="&amp;CM461),IF(BA461&gt;ITP_TRAMO_BAJO,SUMIFS(CF_CUOTA,CF_MAS,ITP_TRAMO_BAJO,CF_CCMIN,"&lt;="&amp;CM461,CF_CCMAX,"&gt;="&amp;CM461),O461*ITP_TIPO)),O461*ITP_TIPO))</f>
        <v/>
      </c>
      <c r="CO461" s="4">
        <f>IF(R461="profesional",N(AK461),0)</f>
        <v/>
      </c>
      <c r="CP461" s="3">
        <f>IF(AND(R461="profesional",ISNUMBER(AK461),AL461="sí"),0,TASA_DGT)</f>
        <v/>
      </c>
      <c r="CQ461" s="3">
        <f>INFORME_DGT</f>
        <v/>
      </c>
      <c r="CR461" s="4">
        <f>O461+CO461+CN461+CP461+CQ461</f>
        <v/>
      </c>
      <c r="CS461" s="4">
        <f>CR461+N(CF461)</f>
        <v/>
      </c>
      <c r="CT461" s="3">
        <f>IF(CR461&lt;=TOTAL_MAX,"sí",IF(CR461&lt;=TOTAL_MAX+MARGEN_NEG,"negociar","no"))</f>
        <v/>
      </c>
      <c r="CU461" s="4">
        <f>IF(CT461&lt;&gt;"no",COUNTIFS($CT$2:$CT$545,"&lt;&gt;no",$CL$2:$CL$545,"&gt;"&amp;CL461)+COUNTIFS($CT$2:CT461,"&lt;&gt;no",$CL$2:CL461,CL461),"")</f>
        <v/>
      </c>
    </row>
    <row r="462">
      <c r="A462" s="2" t="inlineStr">
        <is>
          <t>cochesnet:61193809</t>
        </is>
      </c>
      <c r="B462" s="2" t="inlineStr">
        <is>
          <t>cochesnet</t>
        </is>
      </c>
      <c r="C462" s="2" t="inlineStr">
        <is>
          <t>https://www.coches.net/chevrolet-matiz-gasolina-2007-en-valencia-61193809-covo.aspx</t>
        </is>
      </c>
      <c r="D462" s="2" t="inlineStr">
        <is>
          <t>CHEVROLET Matiz 0.8 SE Auto</t>
        </is>
      </c>
      <c r="E462" s="2" t="inlineStr">
        <is>
          <t>Chevrolet</t>
        </is>
      </c>
      <c r="F462" s="2" t="inlineStr">
        <is>
          <t>Chevrolet Matiz</t>
        </is>
      </c>
      <c r="G462" s="2" t="inlineStr">
        <is>
          <t>0.8</t>
        </is>
      </c>
      <c r="H462" s="2" t="inlineStr">
        <is>
          <t>0.8 SE Auto</t>
        </is>
      </c>
      <c r="I462" s="2" t="n"/>
      <c r="J462" s="2" t="n"/>
      <c r="K462" s="2" t="inlineStr">
        <is>
          <t>gasolina</t>
        </is>
      </c>
      <c r="L462" s="2" t="inlineStr">
        <is>
          <t>utilitario</t>
        </is>
      </c>
      <c r="M462" s="2" t="n">
        <v>2007</v>
      </c>
      <c r="N462" s="2" t="n">
        <v>131000</v>
      </c>
      <c r="O462" s="2" t="n">
        <v>2200</v>
      </c>
      <c r="P462" s="2" t="inlineStr">
        <is>
          <t>manual</t>
        </is>
      </c>
      <c r="Q462" s="2" t="inlineStr">
        <is>
          <t>no</t>
        </is>
      </c>
      <c r="R462" s="2" t="inlineStr">
        <is>
          <t>particular</t>
        </is>
      </c>
      <c r="S462" s="2" t="n"/>
      <c r="T462" s="2" t="inlineStr">
        <is>
          <t>2025-08-05T10:44:19Z</t>
        </is>
      </c>
      <c r="U462" s="2" t="n">
        <v>7</v>
      </c>
      <c r="V462" s="2" t="inlineStr">
        <is>
          <t>sí</t>
        </is>
      </c>
      <c r="W462" s="2" t="n"/>
      <c r="X462" s="2" t="n"/>
      <c r="Y462" s="2" t="n">
        <v>1</v>
      </c>
      <c r="Z462" s="2" t="inlineStr">
        <is>
          <t>no</t>
        </is>
      </c>
      <c r="AA462" s="2" t="n"/>
      <c r="AB462" s="2" t="n"/>
      <c r="AC462" s="2" t="n"/>
      <c r="AD462" s="2" t="n"/>
      <c r="AE462" s="2" t="n"/>
      <c r="AF462" s="2" t="n"/>
      <c r="AG462" s="2" t="n"/>
      <c r="AH462" s="2" t="n">
        <v>2200</v>
      </c>
      <c r="AI462" s="2" t="n"/>
      <c r="AJ462" s="2" t="n"/>
      <c r="AK462" s="2" t="n"/>
      <c r="AL462" s="2" t="n"/>
      <c r="AM462" s="2" t="n"/>
      <c r="AN462" s="2" t="n"/>
      <c r="AO462" s="2" t="inlineStr">
        <is>
          <t>2007</t>
        </is>
      </c>
      <c r="AP462" s="2" t="n">
        <v>2007</v>
      </c>
      <c r="AQ462" s="2" t="n"/>
      <c r="AR462" s="2" t="n"/>
      <c r="AS462" s="2" t="inlineStr">
        <is>
          <t>regla</t>
        </is>
      </c>
      <c r="AT462" s="2" t="n"/>
      <c r="AU462" s="2" t="n"/>
      <c r="AV462" s="2" t="n"/>
      <c r="AW462" s="2" t="n"/>
      <c r="AX462" s="2" t="inlineStr">
        <is>
          <t>cuota fija ITP: &gt;12 años, hasta 1.500 cc; distancia no verificable (el anuncio solo indica la provincia): confirmar que está a &lt;= 70 km; fiabilidad del modelo PENDIENTE de fuente (puntuación neutra)</t>
        </is>
      </c>
      <c r="AY462" s="2" t="inlineStr">
        <is>
          <t>todo al dia itv recien pasada todos los estras un solo dueño</t>
        </is>
      </c>
      <c r="AZ462" s="2" t="inlineStr">
        <is>
          <t>https://www.coches.net/chevrolet-matiz-gasolina-2007-en-valencia-61193809-covo.aspx (window.__INITIAL_PROPS__.ad) /home/user/Alopecia/buscador-coches/raw/cochesnet/398722698ce8f184.json</t>
        </is>
      </c>
      <c r="BA462" s="3">
        <f>MAX(ANIO_ACTUAL-M462,0)</f>
        <v/>
      </c>
      <c r="BB462" s="4">
        <f>N462/MAX(BA462,0.5)</f>
        <v/>
      </c>
      <c r="BC462" s="4">
        <f>F462</f>
        <v/>
      </c>
      <c r="BD462" s="3">
        <f>BC462&amp;"|"&amp;INT(M462/SEG_ANIO)*SEG_ANIO</f>
        <v/>
      </c>
      <c r="BE462" s="3">
        <f>BD462&amp;"|"&amp;INT(N462/SEG_KM)*SEG_KM</f>
        <v/>
      </c>
      <c r="BF462" s="4">
        <f>COUNTIF($BC$2:$BC$545,BC462)</f>
        <v/>
      </c>
      <c r="BG462" s="4">
        <f>COUNTIF($BD$2:$BD$545,BD462)</f>
        <v/>
      </c>
      <c r="BH462" s="4">
        <f>COUNTIF($BE$2:$BE$545,BE462)</f>
        <v/>
      </c>
      <c r="BI462" s="3">
        <f t="array" ref="BI462">IF(N(AU462)&gt;=MIN_N,AT462,IF(BH462&gt;=MIN_N,MEDIAN(IF($BE$2:$BE$545=BE462,$O$2:$O$545)),IF(BG462&gt;=MIN_N,MEDIAN(IF($BD$2:$BD$545=BD462,$O$2:$O$545)),MEDIAN(IF($BC$2:$BC$545=BC462,$O$2:$O$545)))))</f>
        <v/>
      </c>
      <c r="BJ462" s="3">
        <f>IF(N(AU462)&gt;=MIN_N,"mercado "&amp;AV462,IF(BH462&gt;=MIN_N,"modelo+año+km",IF(BG462&gt;=MIN_N,"modelo+año","modelo")))</f>
        <v/>
      </c>
      <c r="BK462" s="4">
        <f>(BI462-O462)/BI462</f>
        <v/>
      </c>
      <c r="BL462" s="3">
        <f>IF(COUNTIFS(FR_FUEL,K462,FR_YEAR,AP462)&gt;0,1,0)</f>
        <v/>
      </c>
      <c r="BM462" s="3">
        <f>IF(COUNTIFS(FR_FUEL,K462,FR_YEAR,AP462-1)&gt;0,1,0)</f>
        <v/>
      </c>
      <c r="BN462" s="4">
        <f>IF(N(AQ462)&gt;0,AP462*100+AQ462,IF(AND(BL462=1,BM462=1),(AP462-1)*100+1,AP462*100+1))</f>
        <v/>
      </c>
      <c r="BO462" s="3">
        <f>IF(OR(K462="hibrido",K462="glp",K462="gnc",K462="phev"),"ECO",IF(K462="electrico","CERO",IF(K462="gasolina",IF(BN462&gt;=GAS_C_YM,"C",IF(BN462&gt;=GAS_B_YM,"B","A")),IF(K462="diesel",IF(BN462&gt;=DIE_C_YM,"C",IF(BN462&gt;=DIE_B_YM,"B","A")),""))))</f>
        <v/>
      </c>
      <c r="BP462" s="4">
        <f>BO462</f>
        <v/>
      </c>
      <c r="BQ462" s="4">
        <f>IF(AS462="regla",IF(AND(N(AQ462)=0,BL462=1),"sí","no"),"no")</f>
        <v/>
      </c>
      <c r="BR462" s="3">
        <f>IFERROR(VLOOKUP(F462,MOD_TBL,11,0),IFERROR(VLOOKUP(E462,OCU_TBL,2,0),NEUTRO))</f>
        <v/>
      </c>
      <c r="BS462" s="3">
        <f>SUMIFS(MOT_AJUSTE,MOT_MOTOR,G462,MOT_MARCA,E462,MOT_DESDE,"&lt;="&amp;M462,MOT_HASTA,"&gt;="&amp;M462)+SUMIFS(MOT_AJUSTE,MOT_MOTOR,G462,MOT_MARCA,"(todas)",MOT_DESDE,"&lt;="&amp;M462,MOT_HASTA,"&gt;="&amp;M462)</f>
        <v/>
      </c>
      <c r="BT462" s="3">
        <f>SUMIFS(COMB_AJUSTE,COMB_COMB,K462)</f>
        <v/>
      </c>
      <c r="BU462" s="3">
        <f>COUNTIFS(MOT_MOTOR,G462,MOT_MARCA,E462,MOT_DESDE,"&lt;="&amp;M462,MOT_HASTA,"&gt;="&amp;M462)+COUNTIFS(MOT_MOTOR,G462,MOT_MARCA,"(todas)",MOT_DESDE,"&lt;="&amp;M462,MOT_HASTA,"&gt;="&amp;M462)</f>
        <v/>
      </c>
      <c r="BV462" s="3">
        <f>IF(AND(K462="diesel",BU462=0),MIN(BR462,NEUTRO),BR462)</f>
        <v/>
      </c>
      <c r="BW462" s="4">
        <f>MAX(0,MIN(100,BV462+BS462+BT462))</f>
        <v/>
      </c>
      <c r="BX462" s="3">
        <f>MAX(0,MIN(100,50+BK462*PRECIO_PEND))</f>
        <v/>
      </c>
      <c r="BY462" s="3">
        <f>MAX(0,100*(1-N462/KM_MAX))</f>
        <v/>
      </c>
      <c r="BZ462" s="3">
        <f>IF(BB462&lt;KMA_SOSP,IF(AA462="sí",100,KMA_PEN),IF(BB462&lt;=KMA_IDEAL_MAX,100,MAX(0,100*(KMA_CERO-BB462)/(KMA_CERO-KMA_IDEAL_MAX))))</f>
        <v/>
      </c>
      <c r="CA462" s="3">
        <f>MAX(0,MIN(100,100*(M462-ANIO_MIN)/(ANIO_ACTUAL-ANIO_MIN)))</f>
        <v/>
      </c>
      <c r="CB462" s="3">
        <f>W_KMT*BY462+W_KMA*BZ462+W_EDAD*CA462</f>
        <v/>
      </c>
      <c r="CC462" s="3">
        <f>P_ITV*(V462="sí")+P_LIBRO*(W462="sí")+P_CORREA*(X462="sí")+P_PROP*(Y462=1)+P_GAR*(Z462="sí")+P_FOTOS*MIN(1,N(U462)/FOTOS_OBJ)</f>
        <v/>
      </c>
      <c r="CD462" s="3">
        <f>MAX(0,MIN(100,IFERROR(VLOOKUP(BP462,ETQ_TBL,2,0),0)-IF(BQ462="sí",ETQ_PEN_DUD,IF(AS462="regla",ETQ_PEN_REGLA,0))))</f>
        <v/>
      </c>
      <c r="CE462" s="3">
        <f>NEUTRO</f>
        <v/>
      </c>
      <c r="CF462" s="3">
        <f>IFERROR(VLOOKUP(L462,SEGURO_TBL,3,0),"")</f>
        <v/>
      </c>
      <c r="CG462" s="3">
        <f>IF(CF462="",NEUTRO,MAX(0,MIN(100,100*(SEG_REF_MAX-CF462)/(SEG_REF_MAX-SEG_REF_MIN))))</f>
        <v/>
      </c>
      <c r="CH462" s="3">
        <f>W_CONS*CE462+W_SEG*CG462</f>
        <v/>
      </c>
      <c r="CI462" s="3">
        <f>IF(N(AB462)&gt;0,AB462,IF(AND(R462="profesional",SG_LEGAL_ON=1),GAR_LEGAL,0))</f>
        <v/>
      </c>
      <c r="CJ462" s="3">
        <f>SG_GAR*MIN(1,CI462/SG_GAR_FULL)+SG_AMPL*(AC462="sí")+SG_KMC*(AF462="sí")+SG_REV*(N(AE462)&gt;0)+SG_DEV*MIN(1,N(AG462)/SG_DEV_FULL)+SG_HIST*(W462="sí")</f>
        <v/>
      </c>
      <c r="CK462" s="3">
        <f>IFERROR(VLOOKUP(L462,CARR_PEN_TBL,2,0),0)</f>
        <v/>
      </c>
      <c r="CL462" s="3">
        <f>W_FIAB*BW462+W_PRECIO*BX462+W_KMEDAD*CB462+W_ANUNCIO*CC462+W_USO*CH462+W_SEGURIDAD*CJ462+W_ETIQUETA*CD462-CK462</f>
        <v/>
      </c>
      <c r="CM462" s="4">
        <f>IF(N(I462)&gt;0,I462,IFERROR(ROUND(_xlfn.NUMBERVALUE(LEFT(G462,FIND(" ",G462&amp;" ")-1),".")*1000,0),99999))</f>
        <v/>
      </c>
      <c r="CN462" s="3">
        <f>IF(R462="profesional",0,IF(O462&lt;CUOTA_VALOR_MAX,IF(BA462&gt;ITP_TRAMO_ALTO,SUMIFS(CF_CUOTA,CF_MAS,ITP_TRAMO_ALTO,CF_CCMIN,"&lt;="&amp;CM462,CF_CCMAX,"&gt;="&amp;CM462),IF(BA462&gt;ITP_TRAMO_BAJO,SUMIFS(CF_CUOTA,CF_MAS,ITP_TRAMO_BAJO,CF_CCMIN,"&lt;="&amp;CM462,CF_CCMAX,"&gt;="&amp;CM462),O462*ITP_TIPO)),O462*ITP_TIPO))</f>
        <v/>
      </c>
      <c r="CO462" s="4">
        <f>IF(R462="profesional",N(AK462),0)</f>
        <v/>
      </c>
      <c r="CP462" s="3">
        <f>IF(AND(R462="profesional",ISNUMBER(AK462),AL462="sí"),0,TASA_DGT)</f>
        <v/>
      </c>
      <c r="CQ462" s="3">
        <f>INFORME_DGT</f>
        <v/>
      </c>
      <c r="CR462" s="4">
        <f>O462+CO462+CN462+CP462+CQ462</f>
        <v/>
      </c>
      <c r="CS462" s="4">
        <f>CR462+N(CF462)</f>
        <v/>
      </c>
      <c r="CT462" s="3">
        <f>IF(CR462&lt;=TOTAL_MAX,"sí",IF(CR462&lt;=TOTAL_MAX+MARGEN_NEG,"negociar","no"))</f>
        <v/>
      </c>
      <c r="CU462" s="4">
        <f>IF(CT462&lt;&gt;"no",COUNTIFS($CT$2:$CT$545,"&lt;&gt;no",$CL$2:$CL$545,"&gt;"&amp;CL462)+COUNTIFS($CT$2:CT462,"&lt;&gt;no",$CL$2:CL462,CL462),"")</f>
        <v/>
      </c>
    </row>
    <row r="463">
      <c r="A463" s="2" t="inlineStr">
        <is>
          <t>cochesnet:71821051</t>
        </is>
      </c>
      <c r="B463" s="2" t="inlineStr">
        <is>
          <t>cochesnet</t>
        </is>
      </c>
      <c r="C463" s="2" t="inlineStr">
        <is>
          <t>https://www.coches.net/toyota-aygo-10-vvti-aygo-5p-gasolina-2008-en-castellon-71821051-covo.aspx</t>
        </is>
      </c>
      <c r="D463" s="2" t="inlineStr">
        <is>
          <t>TOYOTA Aygo 1.0 VVTi Aygo</t>
        </is>
      </c>
      <c r="E463" s="2" t="inlineStr">
        <is>
          <t>Toyota</t>
        </is>
      </c>
      <c r="F463" s="2" t="inlineStr">
        <is>
          <t>Toyota Aygo</t>
        </is>
      </c>
      <c r="G463" s="2" t="inlineStr">
        <is>
          <t>1.0 VVT-i</t>
        </is>
      </c>
      <c r="H463" s="2" t="inlineStr">
        <is>
          <t>1.0 VVTi Aygo</t>
        </is>
      </c>
      <c r="I463" s="2" t="n"/>
      <c r="J463" s="2" t="n"/>
      <c r="K463" s="2" t="inlineStr">
        <is>
          <t>gasolina</t>
        </is>
      </c>
      <c r="L463" s="2" t="inlineStr">
        <is>
          <t>utilitario</t>
        </is>
      </c>
      <c r="M463" s="2" t="n">
        <v>2008</v>
      </c>
      <c r="N463" s="2" t="n">
        <v>126000</v>
      </c>
      <c r="O463" s="2" t="n">
        <v>4290</v>
      </c>
      <c r="P463" s="2" t="inlineStr">
        <is>
          <t>manual</t>
        </is>
      </c>
      <c r="Q463" s="2" t="inlineStr">
        <is>
          <t>no</t>
        </is>
      </c>
      <c r="R463" s="2" t="inlineStr">
        <is>
          <t>particular</t>
        </is>
      </c>
      <c r="S463" s="2" t="n"/>
      <c r="T463" s="2" t="inlineStr">
        <is>
          <t>2026-10-23T18:41:31Z</t>
        </is>
      </c>
      <c r="U463" s="2" t="n">
        <v>9</v>
      </c>
      <c r="V463" s="2" t="inlineStr">
        <is>
          <t>sí</t>
        </is>
      </c>
      <c r="W463" s="2" t="n"/>
      <c r="X463" s="2" t="n"/>
      <c r="Y463" s="2" t="n"/>
      <c r="Z463" s="2" t="inlineStr">
        <is>
          <t>no</t>
        </is>
      </c>
      <c r="AA463" s="2" t="n"/>
      <c r="AB463" s="2" t="n"/>
      <c r="AC463" s="2" t="n"/>
      <c r="AD463" s="2" t="n"/>
      <c r="AE463" s="2" t="n"/>
      <c r="AF463" s="2" t="n"/>
      <c r="AG463" s="2" t="n"/>
      <c r="AH463" s="2" t="n">
        <v>4290</v>
      </c>
      <c r="AI463" s="2" t="n"/>
      <c r="AJ463" s="2" t="n"/>
      <c r="AK463" s="2" t="n"/>
      <c r="AL463" s="2" t="n"/>
      <c r="AM463" s="2" t="n"/>
      <c r="AN463" s="2" t="n"/>
      <c r="AO463" s="2" t="inlineStr">
        <is>
          <t>2008</t>
        </is>
      </c>
      <c r="AP463" s="2" t="n">
        <v>2008</v>
      </c>
      <c r="AQ463" s="2" t="n"/>
      <c r="AR463" s="2" t="n"/>
      <c r="AS463" s="2" t="inlineStr">
        <is>
          <t>regla</t>
        </is>
      </c>
      <c r="AT463" s="2" t="n">
        <v>3795</v>
      </c>
      <c r="AU463" s="2" t="n">
        <v>4</v>
      </c>
      <c r="AV463" s="2" t="inlineStr">
        <is>
          <t>modelo+año</t>
        </is>
      </c>
      <c r="AW463" s="2" t="n"/>
      <c r="AX463" s="2" t="inlineStr">
        <is>
          <t>cuota fija ITP: &gt;12 años, hasta 1.500 cc; distancia no verificable (el anuncio solo indica la provincia): confirmar que está a &lt;= 70 km</t>
        </is>
      </c>
      <c r="AY463" s="2" t="inlineStr">
        <is>
          <t>Toyota Aygo 1.0 VVT-i gasolina, año 2008, con 126.000 km.
Buen estado general para sus años, con las señales normales de uso que se pueden apreciar en las fotos. Color rosa, muy llamativo y poco habitual.
Coche compacto y práctico para el día a día.
Se entrega con ITV pasada.
Disponible para ver. Para cualquier duda o más información, contactar por mensaje.</t>
        </is>
      </c>
      <c r="AZ463" s="2" t="inlineStr">
        <is>
          <t>https://www.coches.net/toyota-aygo-10-vvti-aygo-5p-gasolina-2008-en-castellon-71821051-covo.aspx (window.__INITIAL_PROPS__.ad) /home/user/Alopecia/buscador-coches/raw/cochesnet/49450a3a9bbe8039.json</t>
        </is>
      </c>
      <c r="BA463" s="3">
        <f>MAX(ANIO_ACTUAL-M463,0)</f>
        <v/>
      </c>
      <c r="BB463" s="4">
        <f>N463/MAX(BA463,0.5)</f>
        <v/>
      </c>
      <c r="BC463" s="4">
        <f>F463</f>
        <v/>
      </c>
      <c r="BD463" s="3">
        <f>BC463&amp;"|"&amp;INT(M463/SEG_ANIO)*SEG_ANIO</f>
        <v/>
      </c>
      <c r="BE463" s="3">
        <f>BD463&amp;"|"&amp;INT(N463/SEG_KM)*SEG_KM</f>
        <v/>
      </c>
      <c r="BF463" s="4">
        <f>COUNTIF($BC$2:$BC$545,BC463)</f>
        <v/>
      </c>
      <c r="BG463" s="4">
        <f>COUNTIF($BD$2:$BD$545,BD463)</f>
        <v/>
      </c>
      <c r="BH463" s="4">
        <f>COUNTIF($BE$2:$BE$545,BE463)</f>
        <v/>
      </c>
      <c r="BI463" s="3">
        <f t="array" ref="BI463">IF(N(AU463)&gt;=MIN_N,AT463,IF(BH463&gt;=MIN_N,MEDIAN(IF($BE$2:$BE$545=BE463,$O$2:$O$545)),IF(BG463&gt;=MIN_N,MEDIAN(IF($BD$2:$BD$545=BD463,$O$2:$O$545)),MEDIAN(IF($BC$2:$BC$545=BC463,$O$2:$O$545)))))</f>
        <v/>
      </c>
      <c r="BJ463" s="3">
        <f>IF(N(AU463)&gt;=MIN_N,"mercado "&amp;AV463,IF(BH463&gt;=MIN_N,"modelo+año+km",IF(BG463&gt;=MIN_N,"modelo+año","modelo")))</f>
        <v/>
      </c>
      <c r="BK463" s="4">
        <f>(BI463-O463)/BI463</f>
        <v/>
      </c>
      <c r="BL463" s="3">
        <f>IF(COUNTIFS(FR_FUEL,K463,FR_YEAR,AP463)&gt;0,1,0)</f>
        <v/>
      </c>
      <c r="BM463" s="3">
        <f>IF(COUNTIFS(FR_FUEL,K463,FR_YEAR,AP463-1)&gt;0,1,0)</f>
        <v/>
      </c>
      <c r="BN463" s="4">
        <f>IF(N(AQ463)&gt;0,AP463*100+AQ463,IF(AND(BL463=1,BM463=1),(AP463-1)*100+1,AP463*100+1))</f>
        <v/>
      </c>
      <c r="BO463" s="3">
        <f>IF(OR(K463="hibrido",K463="glp",K463="gnc",K463="phev"),"ECO",IF(K463="electrico","CERO",IF(K463="gasolina",IF(BN463&gt;=GAS_C_YM,"C",IF(BN463&gt;=GAS_B_YM,"B","A")),IF(K463="diesel",IF(BN463&gt;=DIE_C_YM,"C",IF(BN463&gt;=DIE_B_YM,"B","A")),""))))</f>
        <v/>
      </c>
      <c r="BP463" s="4">
        <f>BO463</f>
        <v/>
      </c>
      <c r="BQ463" s="4">
        <f>IF(AS463="regla",IF(AND(N(AQ463)=0,BL463=1),"sí","no"),"no")</f>
        <v/>
      </c>
      <c r="BR463" s="3">
        <f>IFERROR(VLOOKUP(F463,MOD_TBL,11,0),IFERROR(VLOOKUP(E463,OCU_TBL,2,0),NEUTRO))</f>
        <v/>
      </c>
      <c r="BS463" s="3">
        <f>SUMIFS(MOT_AJUSTE,MOT_MOTOR,G463,MOT_MARCA,E463,MOT_DESDE,"&lt;="&amp;M463,MOT_HASTA,"&gt;="&amp;M463)+SUMIFS(MOT_AJUSTE,MOT_MOTOR,G463,MOT_MARCA,"(todas)",MOT_DESDE,"&lt;="&amp;M463,MOT_HASTA,"&gt;="&amp;M463)</f>
        <v/>
      </c>
      <c r="BT463" s="3">
        <f>SUMIFS(COMB_AJUSTE,COMB_COMB,K463)</f>
        <v/>
      </c>
      <c r="BU463" s="3">
        <f>COUNTIFS(MOT_MOTOR,G463,MOT_MARCA,E463,MOT_DESDE,"&lt;="&amp;M463,MOT_HASTA,"&gt;="&amp;M463)+COUNTIFS(MOT_MOTOR,G463,MOT_MARCA,"(todas)",MOT_DESDE,"&lt;="&amp;M463,MOT_HASTA,"&gt;="&amp;M463)</f>
        <v/>
      </c>
      <c r="BV463" s="3">
        <f>IF(AND(K463="diesel",BU463=0),MIN(BR463,NEUTRO),BR463)</f>
        <v/>
      </c>
      <c r="BW463" s="4">
        <f>MAX(0,MIN(100,BV463+BS463+BT463))</f>
        <v/>
      </c>
      <c r="BX463" s="3">
        <f>MAX(0,MIN(100,50+BK463*PRECIO_PEND))</f>
        <v/>
      </c>
      <c r="BY463" s="3">
        <f>MAX(0,100*(1-N463/KM_MAX))</f>
        <v/>
      </c>
      <c r="BZ463" s="3">
        <f>IF(BB463&lt;KMA_SOSP,IF(AA463="sí",100,KMA_PEN),IF(BB463&lt;=KMA_IDEAL_MAX,100,MAX(0,100*(KMA_CERO-BB463)/(KMA_CERO-KMA_IDEAL_MAX))))</f>
        <v/>
      </c>
      <c r="CA463" s="3">
        <f>MAX(0,MIN(100,100*(M463-ANIO_MIN)/(ANIO_ACTUAL-ANIO_MIN)))</f>
        <v/>
      </c>
      <c r="CB463" s="3">
        <f>W_KMT*BY463+W_KMA*BZ463+W_EDAD*CA463</f>
        <v/>
      </c>
      <c r="CC463" s="3">
        <f>P_ITV*(V463="sí")+P_LIBRO*(W463="sí")+P_CORREA*(X463="sí")+P_PROP*(Y463=1)+P_GAR*(Z463="sí")+P_FOTOS*MIN(1,N(U463)/FOTOS_OBJ)</f>
        <v/>
      </c>
      <c r="CD463" s="3">
        <f>MAX(0,MIN(100,IFERROR(VLOOKUP(BP463,ETQ_TBL,2,0),0)-IF(BQ463="sí",ETQ_PEN_DUD,IF(AS463="regla",ETQ_PEN_REGLA,0))))</f>
        <v/>
      </c>
      <c r="CE463" s="3">
        <f>NEUTRO</f>
        <v/>
      </c>
      <c r="CF463" s="3">
        <f>IFERROR(VLOOKUP(L463,SEGURO_TBL,3,0),"")</f>
        <v/>
      </c>
      <c r="CG463" s="3">
        <f>IF(CF463="",NEUTRO,MAX(0,MIN(100,100*(SEG_REF_MAX-CF463)/(SEG_REF_MAX-SEG_REF_MIN))))</f>
        <v/>
      </c>
      <c r="CH463" s="3">
        <f>W_CONS*CE463+W_SEG*CG463</f>
        <v/>
      </c>
      <c r="CI463" s="3">
        <f>IF(N(AB463)&gt;0,AB463,IF(AND(R463="profesional",SG_LEGAL_ON=1),GAR_LEGAL,0))</f>
        <v/>
      </c>
      <c r="CJ463" s="3">
        <f>SG_GAR*MIN(1,CI463/SG_GAR_FULL)+SG_AMPL*(AC463="sí")+SG_KMC*(AF463="sí")+SG_REV*(N(AE463)&gt;0)+SG_DEV*MIN(1,N(AG463)/SG_DEV_FULL)+SG_HIST*(W463="sí")</f>
        <v/>
      </c>
      <c r="CK463" s="3">
        <f>IFERROR(VLOOKUP(L463,CARR_PEN_TBL,2,0),0)</f>
        <v/>
      </c>
      <c r="CL463" s="3">
        <f>W_FIAB*BW463+W_PRECIO*BX463+W_KMEDAD*CB463+W_ANUNCIO*CC463+W_USO*CH463+W_SEGURIDAD*CJ463+W_ETIQUETA*CD463-CK463</f>
        <v/>
      </c>
      <c r="CM463" s="4">
        <f>IF(N(I463)&gt;0,I463,IFERROR(ROUND(_xlfn.NUMBERVALUE(LEFT(G463,FIND(" ",G463&amp;" ")-1),".")*1000,0),99999))</f>
        <v/>
      </c>
      <c r="CN463" s="3">
        <f>IF(R463="profesional",0,IF(O463&lt;CUOTA_VALOR_MAX,IF(BA463&gt;ITP_TRAMO_ALTO,SUMIFS(CF_CUOTA,CF_MAS,ITP_TRAMO_ALTO,CF_CCMIN,"&lt;="&amp;CM463,CF_CCMAX,"&gt;="&amp;CM463),IF(BA463&gt;ITP_TRAMO_BAJO,SUMIFS(CF_CUOTA,CF_MAS,ITP_TRAMO_BAJO,CF_CCMIN,"&lt;="&amp;CM463,CF_CCMAX,"&gt;="&amp;CM463),O463*ITP_TIPO)),O463*ITP_TIPO))</f>
        <v/>
      </c>
      <c r="CO463" s="4">
        <f>IF(R463="profesional",N(AK463),0)</f>
        <v/>
      </c>
      <c r="CP463" s="3">
        <f>IF(AND(R463="profesional",ISNUMBER(AK463),AL463="sí"),0,TASA_DGT)</f>
        <v/>
      </c>
      <c r="CQ463" s="3">
        <f>INFORME_DGT</f>
        <v/>
      </c>
      <c r="CR463" s="4">
        <f>O463+CO463+CN463+CP463+CQ463</f>
        <v/>
      </c>
      <c r="CS463" s="4">
        <f>CR463+N(CF463)</f>
        <v/>
      </c>
      <c r="CT463" s="3">
        <f>IF(CR463&lt;=TOTAL_MAX,"sí",IF(CR463&lt;=TOTAL_MAX+MARGEN_NEG,"negociar","no"))</f>
        <v/>
      </c>
      <c r="CU463" s="4">
        <f>IF(CT463&lt;&gt;"no",COUNTIFS($CT$2:$CT$545,"&lt;&gt;no",$CL$2:$CL$545,"&gt;"&amp;CL463)+COUNTIFS($CT$2:CT463,"&lt;&gt;no",$CL$2:CL463,CL463),"")</f>
        <v/>
      </c>
    </row>
    <row r="464">
      <c r="A464" s="2" t="inlineStr">
        <is>
          <t>cochesnet:71307943</t>
        </is>
      </c>
      <c r="B464" s="2" t="inlineStr">
        <is>
          <t>cochesnet</t>
        </is>
      </c>
      <c r="C464" s="2" t="inlineStr">
        <is>
          <t>https://www.coches.net/toyota-corolla-diesel-2006-en-castellon-71307943-covo.aspx</t>
        </is>
      </c>
      <c r="D464" s="2" t="inlineStr">
        <is>
          <t>TOYOTA Corolla</t>
        </is>
      </c>
      <c r="E464" s="2" t="inlineStr">
        <is>
          <t>Toyota</t>
        </is>
      </c>
      <c r="F464" s="2" t="inlineStr">
        <is>
          <t>Toyota Corolla</t>
        </is>
      </c>
      <c r="G464" s="2" t="n"/>
      <c r="H464" s="2" t="n"/>
      <c r="I464" s="2" t="n"/>
      <c r="J464" s="2" t="n"/>
      <c r="K464" s="2" t="inlineStr">
        <is>
          <t>diesel</t>
        </is>
      </c>
      <c r="L464" s="2" t="inlineStr">
        <is>
          <t>compacto</t>
        </is>
      </c>
      <c r="M464" s="2" t="n">
        <v>2006</v>
      </c>
      <c r="N464" s="2" t="n">
        <v>183000</v>
      </c>
      <c r="O464" s="2" t="n">
        <v>4000</v>
      </c>
      <c r="P464" s="2" t="inlineStr">
        <is>
          <t>manual</t>
        </is>
      </c>
      <c r="Q464" s="2" t="inlineStr">
        <is>
          <t>no</t>
        </is>
      </c>
      <c r="R464" s="2" t="inlineStr">
        <is>
          <t>particular</t>
        </is>
      </c>
      <c r="S464" s="2" t="inlineStr">
        <is>
          <t>Vila-real</t>
        </is>
      </c>
      <c r="T464" s="2" t="inlineStr">
        <is>
          <t>2026-08-17T14:39:24Z</t>
        </is>
      </c>
      <c r="U464" s="2" t="n">
        <v>7</v>
      </c>
      <c r="V464" s="2" t="n"/>
      <c r="W464" s="2" t="n"/>
      <c r="X464" s="2" t="n"/>
      <c r="Y464" s="2" t="n"/>
      <c r="Z464" s="2" t="inlineStr">
        <is>
          <t>no</t>
        </is>
      </c>
      <c r="AA464" s="2" t="n"/>
      <c r="AB464" s="2" t="n"/>
      <c r="AC464" s="2" t="n"/>
      <c r="AD464" s="2" t="n"/>
      <c r="AE464" s="2" t="n"/>
      <c r="AF464" s="2" t="n"/>
      <c r="AG464" s="2" t="n"/>
      <c r="AH464" s="2" t="n">
        <v>4000</v>
      </c>
      <c r="AI464" s="2" t="n"/>
      <c r="AJ464" s="2" t="n"/>
      <c r="AK464" s="2" t="n"/>
      <c r="AL464" s="2" t="n"/>
      <c r="AM464" s="2" t="n"/>
      <c r="AN464" s="2" t="n"/>
      <c r="AO464" s="2" t="inlineStr">
        <is>
          <t>2006</t>
        </is>
      </c>
      <c r="AP464" s="2" t="n">
        <v>2006</v>
      </c>
      <c r="AQ464" s="2" t="n"/>
      <c r="AR464" s="2" t="n"/>
      <c r="AS464" s="2" t="inlineStr">
        <is>
          <t>regla</t>
        </is>
      </c>
      <c r="AT464" s="2" t="n">
        <v>4200</v>
      </c>
      <c r="AU464" s="2" t="n">
        <v>4</v>
      </c>
      <c r="AV464" s="2" t="inlineStr">
        <is>
          <t>modelo+año+km</t>
        </is>
      </c>
      <c r="AW464" s="2" t="n"/>
      <c r="AX464"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64" s="2" t="inlineStr">
        <is>
          <t>Un coche conocido por su fiabilidad , bajo consumo y durabilidad extrema en su motor diesel. Es perfecto para el día a día , con una mecánica muy robusta que aún tiene mucha vida por delante. Ha pasado la ITV en Julio 2026 y la revisión de los 180.000km . A tener en cuenta : Chapa y pintura , presenta algunas rozaduras y roces propios del uso diario . Nada estructural, solo estética. Mecánica: el motor funciona bien .Ventaja importante ! De cara al precio final con los interesados se valorará una rebaja para compensar la reparación de los desperfectos. Se puede ver y probar sin compromiso. Escribeme ante cualquier duda o concertar una cita.</t>
        </is>
      </c>
      <c r="AZ464" s="2" t="inlineStr">
        <is>
          <t>https://www.coches.net/toyota-corolla-diesel-2006-en-castellon-71307943-covo.aspx (window.__INITIAL_PROPS__.ad) /home/user/Alopecia/buscador-coches/raw/cochesnet/1f6529668784c820.json</t>
        </is>
      </c>
      <c r="BA464" s="3">
        <f>MAX(ANIO_ACTUAL-M464,0)</f>
        <v/>
      </c>
      <c r="BB464" s="4">
        <f>N464/MAX(BA464,0.5)</f>
        <v/>
      </c>
      <c r="BC464" s="4">
        <f>F464</f>
        <v/>
      </c>
      <c r="BD464" s="3">
        <f>BC464&amp;"|"&amp;INT(M464/SEG_ANIO)*SEG_ANIO</f>
        <v/>
      </c>
      <c r="BE464" s="3">
        <f>BD464&amp;"|"&amp;INT(N464/SEG_KM)*SEG_KM</f>
        <v/>
      </c>
      <c r="BF464" s="4">
        <f>COUNTIF($BC$2:$BC$545,BC464)</f>
        <v/>
      </c>
      <c r="BG464" s="4">
        <f>COUNTIF($BD$2:$BD$545,BD464)</f>
        <v/>
      </c>
      <c r="BH464" s="4">
        <f>COUNTIF($BE$2:$BE$545,BE464)</f>
        <v/>
      </c>
      <c r="BI464" s="3">
        <f t="array" ref="BI464">IF(N(AU464)&gt;=MIN_N,AT464,IF(BH464&gt;=MIN_N,MEDIAN(IF($BE$2:$BE$545=BE464,$O$2:$O$545)),IF(BG464&gt;=MIN_N,MEDIAN(IF($BD$2:$BD$545=BD464,$O$2:$O$545)),MEDIAN(IF($BC$2:$BC$545=BC464,$O$2:$O$545)))))</f>
        <v/>
      </c>
      <c r="BJ464" s="3">
        <f>IF(N(AU464)&gt;=MIN_N,"mercado "&amp;AV464,IF(BH464&gt;=MIN_N,"modelo+año+km",IF(BG464&gt;=MIN_N,"modelo+año","modelo")))</f>
        <v/>
      </c>
      <c r="BK464" s="4">
        <f>(BI464-O464)/BI464</f>
        <v/>
      </c>
      <c r="BL464" s="3">
        <f>IF(COUNTIFS(FR_FUEL,K464,FR_YEAR,AP464)&gt;0,1,0)</f>
        <v/>
      </c>
      <c r="BM464" s="3">
        <f>IF(COUNTIFS(FR_FUEL,K464,FR_YEAR,AP464-1)&gt;0,1,0)</f>
        <v/>
      </c>
      <c r="BN464" s="4">
        <f>IF(N(AQ464)&gt;0,AP464*100+AQ464,IF(AND(BL464=1,BM464=1),(AP464-1)*100+1,AP464*100+1))</f>
        <v/>
      </c>
      <c r="BO464" s="3">
        <f>IF(OR(K464="hibrido",K464="glp",K464="gnc",K464="phev"),"ECO",IF(K464="electrico","CERO",IF(K464="gasolina",IF(BN464&gt;=GAS_C_YM,"C",IF(BN464&gt;=GAS_B_YM,"B","A")),IF(K464="diesel",IF(BN464&gt;=DIE_C_YM,"C",IF(BN464&gt;=DIE_B_YM,"B","A")),""))))</f>
        <v/>
      </c>
      <c r="BP464" s="4">
        <f>BO464</f>
        <v/>
      </c>
      <c r="BQ464" s="4">
        <f>IF(AS464="regla",IF(AND(N(AQ464)=0,BL464=1),"sí","no"),"no")</f>
        <v/>
      </c>
      <c r="BR464" s="3">
        <f>IFERROR(VLOOKUP(F464,MOD_TBL,11,0),IFERROR(VLOOKUP(E464,OCU_TBL,2,0),NEUTRO))</f>
        <v/>
      </c>
      <c r="BS464" s="3">
        <f>SUMIFS(MOT_AJUSTE,MOT_MOTOR,G464,MOT_MARCA,E464,MOT_DESDE,"&lt;="&amp;M464,MOT_HASTA,"&gt;="&amp;M464)+SUMIFS(MOT_AJUSTE,MOT_MOTOR,G464,MOT_MARCA,"(todas)",MOT_DESDE,"&lt;="&amp;M464,MOT_HASTA,"&gt;="&amp;M464)</f>
        <v/>
      </c>
      <c r="BT464" s="3">
        <f>SUMIFS(COMB_AJUSTE,COMB_COMB,K464)</f>
        <v/>
      </c>
      <c r="BU464" s="3">
        <f>COUNTIFS(MOT_MOTOR,G464,MOT_MARCA,E464,MOT_DESDE,"&lt;="&amp;M464,MOT_HASTA,"&gt;="&amp;M464)+COUNTIFS(MOT_MOTOR,G464,MOT_MARCA,"(todas)",MOT_DESDE,"&lt;="&amp;M464,MOT_HASTA,"&gt;="&amp;M464)</f>
        <v/>
      </c>
      <c r="BV464" s="3">
        <f>IF(AND(K464="diesel",BU464=0),MIN(BR464,NEUTRO),BR464)</f>
        <v/>
      </c>
      <c r="BW464" s="4">
        <f>MAX(0,MIN(100,BV464+BS464+BT464))</f>
        <v/>
      </c>
      <c r="BX464" s="3">
        <f>MAX(0,MIN(100,50+BK464*PRECIO_PEND))</f>
        <v/>
      </c>
      <c r="BY464" s="3">
        <f>MAX(0,100*(1-N464/KM_MAX))</f>
        <v/>
      </c>
      <c r="BZ464" s="3">
        <f>IF(BB464&lt;KMA_SOSP,IF(AA464="sí",100,KMA_PEN),IF(BB464&lt;=KMA_IDEAL_MAX,100,MAX(0,100*(KMA_CERO-BB464)/(KMA_CERO-KMA_IDEAL_MAX))))</f>
        <v/>
      </c>
      <c r="CA464" s="3">
        <f>MAX(0,MIN(100,100*(M464-ANIO_MIN)/(ANIO_ACTUAL-ANIO_MIN)))</f>
        <v/>
      </c>
      <c r="CB464" s="3">
        <f>W_KMT*BY464+W_KMA*BZ464+W_EDAD*CA464</f>
        <v/>
      </c>
      <c r="CC464" s="3">
        <f>P_ITV*(V464="sí")+P_LIBRO*(W464="sí")+P_CORREA*(X464="sí")+P_PROP*(Y464=1)+P_GAR*(Z464="sí")+P_FOTOS*MIN(1,N(U464)/FOTOS_OBJ)</f>
        <v/>
      </c>
      <c r="CD464" s="3">
        <f>MAX(0,MIN(100,IFERROR(VLOOKUP(BP464,ETQ_TBL,2,0),0)-IF(BQ464="sí",ETQ_PEN_DUD,IF(AS464="regla",ETQ_PEN_REGLA,0))))</f>
        <v/>
      </c>
      <c r="CE464" s="3">
        <f>NEUTRO</f>
        <v/>
      </c>
      <c r="CF464" s="3">
        <f>IFERROR(VLOOKUP(L464,SEGURO_TBL,3,0),"")</f>
        <v/>
      </c>
      <c r="CG464" s="3">
        <f>IF(CF464="",NEUTRO,MAX(0,MIN(100,100*(SEG_REF_MAX-CF464)/(SEG_REF_MAX-SEG_REF_MIN))))</f>
        <v/>
      </c>
      <c r="CH464" s="3">
        <f>W_CONS*CE464+W_SEG*CG464</f>
        <v/>
      </c>
      <c r="CI464" s="3">
        <f>IF(N(AB464)&gt;0,AB464,IF(AND(R464="profesional",SG_LEGAL_ON=1),GAR_LEGAL,0))</f>
        <v/>
      </c>
      <c r="CJ464" s="3">
        <f>SG_GAR*MIN(1,CI464/SG_GAR_FULL)+SG_AMPL*(AC464="sí")+SG_KMC*(AF464="sí")+SG_REV*(N(AE464)&gt;0)+SG_DEV*MIN(1,N(AG464)/SG_DEV_FULL)+SG_HIST*(W464="sí")</f>
        <v/>
      </c>
      <c r="CK464" s="3">
        <f>IFERROR(VLOOKUP(L464,CARR_PEN_TBL,2,0),0)</f>
        <v/>
      </c>
      <c r="CL464" s="3">
        <f>W_FIAB*BW464+W_PRECIO*BX464+W_KMEDAD*CB464+W_ANUNCIO*CC464+W_USO*CH464+W_SEGURIDAD*CJ464+W_ETIQUETA*CD464-CK464</f>
        <v/>
      </c>
      <c r="CM464" s="4">
        <f>IF(N(I464)&gt;0,I464,IFERROR(ROUND(_xlfn.NUMBERVALUE(LEFT(G464,FIND(" ",G464&amp;" ")-1),".")*1000,0),99999))</f>
        <v/>
      </c>
      <c r="CN464" s="3">
        <f>IF(R464="profesional",0,IF(O464&lt;CUOTA_VALOR_MAX,IF(BA464&gt;ITP_TRAMO_ALTO,SUMIFS(CF_CUOTA,CF_MAS,ITP_TRAMO_ALTO,CF_CCMIN,"&lt;="&amp;CM464,CF_CCMAX,"&gt;="&amp;CM464),IF(BA464&gt;ITP_TRAMO_BAJO,SUMIFS(CF_CUOTA,CF_MAS,ITP_TRAMO_BAJO,CF_CCMIN,"&lt;="&amp;CM464,CF_CCMAX,"&gt;="&amp;CM464),O464*ITP_TIPO)),O464*ITP_TIPO))</f>
        <v/>
      </c>
      <c r="CO464" s="4">
        <f>IF(R464="profesional",N(AK464),0)</f>
        <v/>
      </c>
      <c r="CP464" s="3">
        <f>IF(AND(R464="profesional",ISNUMBER(AK464),AL464="sí"),0,TASA_DGT)</f>
        <v/>
      </c>
      <c r="CQ464" s="3">
        <f>INFORME_DGT</f>
        <v/>
      </c>
      <c r="CR464" s="4">
        <f>O464+CO464+CN464+CP464+CQ464</f>
        <v/>
      </c>
      <c r="CS464" s="4">
        <f>CR464+N(CF464)</f>
        <v/>
      </c>
      <c r="CT464" s="3">
        <f>IF(CR464&lt;=TOTAL_MAX,"sí",IF(CR464&lt;=TOTAL_MAX+MARGEN_NEG,"negociar","no"))</f>
        <v/>
      </c>
      <c r="CU464" s="4">
        <f>IF(CT464&lt;&gt;"no",COUNTIFS($CT$2:$CT$545,"&lt;&gt;no",$CL$2:$CL$545,"&gt;"&amp;CL464)+COUNTIFS($CT$2:CT464,"&lt;&gt;no",$CL$2:CL464,CL464),"")</f>
        <v/>
      </c>
    </row>
    <row r="465">
      <c r="A465" s="2" t="inlineStr">
        <is>
          <t>cochesnet:71285724</t>
        </is>
      </c>
      <c r="B465" s="2" t="inlineStr">
        <is>
          <t>cochesnet</t>
        </is>
      </c>
      <c r="C465" s="2" t="inlineStr">
        <is>
          <t>https://www.coches.net/toyota-corolla-14-d4d-90cv-luna-5p-diesel-2006-en-castellon-71285724-covo.aspx</t>
        </is>
      </c>
      <c r="D465" s="2" t="inlineStr">
        <is>
          <t>TOYOTA Corolla 1.4 D4D Luna</t>
        </is>
      </c>
      <c r="E465" s="2" t="inlineStr">
        <is>
          <t>Toyota</t>
        </is>
      </c>
      <c r="F465" s="2" t="inlineStr">
        <is>
          <t>Toyota Corolla</t>
        </is>
      </c>
      <c r="G465" s="2" t="inlineStr">
        <is>
          <t>1.4 D-4D</t>
        </is>
      </c>
      <c r="H465" s="2" t="inlineStr">
        <is>
          <t>1.4 D4D 90cv Luna</t>
        </is>
      </c>
      <c r="I465" s="2" t="n"/>
      <c r="J465" s="2" t="n">
        <v>90</v>
      </c>
      <c r="K465" s="2" t="inlineStr">
        <is>
          <t>diesel</t>
        </is>
      </c>
      <c r="L465" s="2" t="inlineStr">
        <is>
          <t>compacto</t>
        </is>
      </c>
      <c r="M465" s="2" t="n">
        <v>2006</v>
      </c>
      <c r="N465" s="2" t="n">
        <v>183000</v>
      </c>
      <c r="O465" s="2" t="n">
        <v>4400</v>
      </c>
      <c r="P465" s="2" t="inlineStr">
        <is>
          <t>manual</t>
        </is>
      </c>
      <c r="Q465" s="2" t="inlineStr">
        <is>
          <t>no</t>
        </is>
      </c>
      <c r="R465" s="2" t="inlineStr">
        <is>
          <t>particular</t>
        </is>
      </c>
      <c r="S465" s="2" t="inlineStr">
        <is>
          <t>Vila-real</t>
        </is>
      </c>
      <c r="T465" s="2" t="inlineStr">
        <is>
          <t>2026-08-13T13:56:47Z</t>
        </is>
      </c>
      <c r="U465" s="2" t="n"/>
      <c r="V465" s="2" t="inlineStr">
        <is>
          <t>sí</t>
        </is>
      </c>
      <c r="W465" s="2" t="n"/>
      <c r="X465" s="2" t="n"/>
      <c r="Y465" s="2" t="n"/>
      <c r="Z465" s="2" t="inlineStr">
        <is>
          <t>no</t>
        </is>
      </c>
      <c r="AA465" s="2" t="n"/>
      <c r="AB465" s="2" t="n"/>
      <c r="AC465" s="2" t="n"/>
      <c r="AD465" s="2" t="n"/>
      <c r="AE465" s="2" t="n"/>
      <c r="AF465" s="2" t="n"/>
      <c r="AG465" s="2" t="n"/>
      <c r="AH465" s="2" t="n">
        <v>4400</v>
      </c>
      <c r="AI465" s="2" t="n"/>
      <c r="AJ465" s="2" t="n"/>
      <c r="AK465" s="2" t="n"/>
      <c r="AL465" s="2" t="n"/>
      <c r="AM465" s="2" t="n"/>
      <c r="AN465" s="2" t="n"/>
      <c r="AO465" s="2" t="inlineStr">
        <is>
          <t>2006</t>
        </is>
      </c>
      <c r="AP465" s="2" t="n">
        <v>2006</v>
      </c>
      <c r="AQ465" s="2" t="n"/>
      <c r="AR465" s="2" t="inlineStr">
        <is>
          <t>C</t>
        </is>
      </c>
      <c r="AS465" s="2" t="inlineStr">
        <is>
          <t>anuncio</t>
        </is>
      </c>
      <c r="AT465" s="2" t="n">
        <v>4200</v>
      </c>
      <c r="AU465" s="2" t="n">
        <v>4</v>
      </c>
      <c r="AV465" s="2" t="inlineStr">
        <is>
          <t>modelo+año+km</t>
        </is>
      </c>
      <c r="AW465" s="2" t="n"/>
      <c r="AX465" s="2" t="inlineStr">
        <is>
          <t>cuota fija ITP: &gt;12 años, hasta 1.500 cc; diésel: motor sin fuente de fiabilidad (fiabilidad limitada a neutra); distancia no verificable (el anuncio solo indica la provincia): confirmar que está a &lt;= 70 km</t>
        </is>
      </c>
      <c r="AY465" s="2" t="inlineStr">
        <is>
          <t>ITV pasada en julio 2026. Cambio de batería Agosto 2026 . Con alguna ralladura y me han dicho que patina algo el embrague por lo que rebajaría un poco el precio.</t>
        </is>
      </c>
      <c r="AZ465" s="2" t="inlineStr">
        <is>
          <t>https://www.coches.net/toyota-corolla-14-d4d-90cv-luna-5p-diesel-2006-en-castellon-71285724-covo.aspx (window.__INITIAL_PROPS__.ad) /home/user/Alopecia/buscador-coches/raw/cochesnet/67ff1808e55dab82.json</t>
        </is>
      </c>
      <c r="BA465" s="3">
        <f>MAX(ANIO_ACTUAL-M465,0)</f>
        <v/>
      </c>
      <c r="BB465" s="4">
        <f>N465/MAX(BA465,0.5)</f>
        <v/>
      </c>
      <c r="BC465" s="4">
        <f>F465</f>
        <v/>
      </c>
      <c r="BD465" s="3">
        <f>BC465&amp;"|"&amp;INT(M465/SEG_ANIO)*SEG_ANIO</f>
        <v/>
      </c>
      <c r="BE465" s="3">
        <f>BD465&amp;"|"&amp;INT(N465/SEG_KM)*SEG_KM</f>
        <v/>
      </c>
      <c r="BF465" s="4">
        <f>COUNTIF($BC$2:$BC$545,BC465)</f>
        <v/>
      </c>
      <c r="BG465" s="4">
        <f>COUNTIF($BD$2:$BD$545,BD465)</f>
        <v/>
      </c>
      <c r="BH465" s="4">
        <f>COUNTIF($BE$2:$BE$545,BE465)</f>
        <v/>
      </c>
      <c r="BI465" s="3">
        <f t="array" ref="BI465">IF(N(AU465)&gt;=MIN_N,AT465,IF(BH465&gt;=MIN_N,MEDIAN(IF($BE$2:$BE$545=BE465,$O$2:$O$545)),IF(BG465&gt;=MIN_N,MEDIAN(IF($BD$2:$BD$545=BD465,$O$2:$O$545)),MEDIAN(IF($BC$2:$BC$545=BC465,$O$2:$O$545)))))</f>
        <v/>
      </c>
      <c r="BJ465" s="3">
        <f>IF(N(AU465)&gt;=MIN_N,"mercado "&amp;AV465,IF(BH465&gt;=MIN_N,"modelo+año+km",IF(BG465&gt;=MIN_N,"modelo+año","modelo")))</f>
        <v/>
      </c>
      <c r="BK465" s="4">
        <f>(BI465-O465)/BI465</f>
        <v/>
      </c>
      <c r="BL465" s="3">
        <f>IF(COUNTIFS(FR_FUEL,K465,FR_YEAR,AP465)&gt;0,1,0)</f>
        <v/>
      </c>
      <c r="BM465" s="3">
        <f>IF(COUNTIFS(FR_FUEL,K465,FR_YEAR,AP465-1)&gt;0,1,0)</f>
        <v/>
      </c>
      <c r="BN465" s="4">
        <f>IF(N(AQ465)&gt;0,AP465*100+AQ465,IF(AND(BL465=1,BM465=1),(AP465-1)*100+1,AP465*100+1))</f>
        <v/>
      </c>
      <c r="BO465" s="3">
        <f>IF(OR(K465="hibrido",K465="glp",K465="gnc",K465="phev"),"ECO",IF(K465="electrico","CERO",IF(K465="gasolina",IF(BN465&gt;=GAS_C_YM,"C",IF(BN465&gt;=GAS_B_YM,"B","A")),IF(K465="diesel",IF(BN465&gt;=DIE_C_YM,"C",IF(BN465&gt;=DIE_B_YM,"B","A")),""))))</f>
        <v/>
      </c>
      <c r="BP465" s="2" t="inlineStr">
        <is>
          <t>C</t>
        </is>
      </c>
      <c r="BQ465" s="4">
        <f>IF(AS465="regla",IF(AND(N(AQ465)=0,BL465=1),"sí","no"),"no")</f>
        <v/>
      </c>
      <c r="BR465" s="3">
        <f>IFERROR(VLOOKUP(F465,MOD_TBL,11,0),IFERROR(VLOOKUP(E465,OCU_TBL,2,0),NEUTRO))</f>
        <v/>
      </c>
      <c r="BS465" s="3">
        <f>SUMIFS(MOT_AJUSTE,MOT_MOTOR,G465,MOT_MARCA,E465,MOT_DESDE,"&lt;="&amp;M465,MOT_HASTA,"&gt;="&amp;M465)+SUMIFS(MOT_AJUSTE,MOT_MOTOR,G465,MOT_MARCA,"(todas)",MOT_DESDE,"&lt;="&amp;M465,MOT_HASTA,"&gt;="&amp;M465)</f>
        <v/>
      </c>
      <c r="BT465" s="3">
        <f>SUMIFS(COMB_AJUSTE,COMB_COMB,K465)</f>
        <v/>
      </c>
      <c r="BU465" s="3">
        <f>COUNTIFS(MOT_MOTOR,G465,MOT_MARCA,E465,MOT_DESDE,"&lt;="&amp;M465,MOT_HASTA,"&gt;="&amp;M465)+COUNTIFS(MOT_MOTOR,G465,MOT_MARCA,"(todas)",MOT_DESDE,"&lt;="&amp;M465,MOT_HASTA,"&gt;="&amp;M465)</f>
        <v/>
      </c>
      <c r="BV465" s="3">
        <f>IF(AND(K465="diesel",BU465=0),MIN(BR465,NEUTRO),BR465)</f>
        <v/>
      </c>
      <c r="BW465" s="4">
        <f>MAX(0,MIN(100,BV465+BS465+BT465))</f>
        <v/>
      </c>
      <c r="BX465" s="3">
        <f>MAX(0,MIN(100,50+BK465*PRECIO_PEND))</f>
        <v/>
      </c>
      <c r="BY465" s="3">
        <f>MAX(0,100*(1-N465/KM_MAX))</f>
        <v/>
      </c>
      <c r="BZ465" s="3">
        <f>IF(BB465&lt;KMA_SOSP,IF(AA465="sí",100,KMA_PEN),IF(BB465&lt;=KMA_IDEAL_MAX,100,MAX(0,100*(KMA_CERO-BB465)/(KMA_CERO-KMA_IDEAL_MAX))))</f>
        <v/>
      </c>
      <c r="CA465" s="3">
        <f>MAX(0,MIN(100,100*(M465-ANIO_MIN)/(ANIO_ACTUAL-ANIO_MIN)))</f>
        <v/>
      </c>
      <c r="CB465" s="3">
        <f>W_KMT*BY465+W_KMA*BZ465+W_EDAD*CA465</f>
        <v/>
      </c>
      <c r="CC465" s="3">
        <f>P_ITV*(V465="sí")+P_LIBRO*(W465="sí")+P_CORREA*(X465="sí")+P_PROP*(Y465=1)+P_GAR*(Z465="sí")+P_FOTOS*MIN(1,N(U465)/FOTOS_OBJ)</f>
        <v/>
      </c>
      <c r="CD465" s="3">
        <f>MAX(0,MIN(100,IFERROR(VLOOKUP(BP465,ETQ_TBL,2,0),0)-IF(BQ465="sí",ETQ_PEN_DUD,IF(AS465="regla",ETQ_PEN_REGLA,0))))</f>
        <v/>
      </c>
      <c r="CE465" s="3">
        <f>NEUTRO</f>
        <v/>
      </c>
      <c r="CF465" s="3">
        <f>IFERROR(VLOOKUP(L465,SEGURO_TBL,3,0),"")</f>
        <v/>
      </c>
      <c r="CG465" s="3">
        <f>IF(CF465="",NEUTRO,MAX(0,MIN(100,100*(SEG_REF_MAX-CF465)/(SEG_REF_MAX-SEG_REF_MIN))))</f>
        <v/>
      </c>
      <c r="CH465" s="3">
        <f>W_CONS*CE465+W_SEG*CG465</f>
        <v/>
      </c>
      <c r="CI465" s="3">
        <f>IF(N(AB465)&gt;0,AB465,IF(AND(R465="profesional",SG_LEGAL_ON=1),GAR_LEGAL,0))</f>
        <v/>
      </c>
      <c r="CJ465" s="3">
        <f>SG_GAR*MIN(1,CI465/SG_GAR_FULL)+SG_AMPL*(AC465="sí")+SG_KMC*(AF465="sí")+SG_REV*(N(AE465)&gt;0)+SG_DEV*MIN(1,N(AG465)/SG_DEV_FULL)+SG_HIST*(W465="sí")</f>
        <v/>
      </c>
      <c r="CK465" s="3">
        <f>IFERROR(VLOOKUP(L465,CARR_PEN_TBL,2,0),0)</f>
        <v/>
      </c>
      <c r="CL465" s="3">
        <f>W_FIAB*BW465+W_PRECIO*BX465+W_KMEDAD*CB465+W_ANUNCIO*CC465+W_USO*CH465+W_SEGURIDAD*CJ465+W_ETIQUETA*CD465-CK465</f>
        <v/>
      </c>
      <c r="CM465" s="4">
        <f>IF(N(I465)&gt;0,I465,IFERROR(ROUND(_xlfn.NUMBERVALUE(LEFT(G465,FIND(" ",G465&amp;" ")-1),".")*1000,0),99999))</f>
        <v/>
      </c>
      <c r="CN465" s="3">
        <f>IF(R465="profesional",0,IF(O465&lt;CUOTA_VALOR_MAX,IF(BA465&gt;ITP_TRAMO_ALTO,SUMIFS(CF_CUOTA,CF_MAS,ITP_TRAMO_ALTO,CF_CCMIN,"&lt;="&amp;CM465,CF_CCMAX,"&gt;="&amp;CM465),IF(BA465&gt;ITP_TRAMO_BAJO,SUMIFS(CF_CUOTA,CF_MAS,ITP_TRAMO_BAJO,CF_CCMIN,"&lt;="&amp;CM465,CF_CCMAX,"&gt;="&amp;CM465),O465*ITP_TIPO)),O465*ITP_TIPO))</f>
        <v/>
      </c>
      <c r="CO465" s="4">
        <f>IF(R465="profesional",N(AK465),0)</f>
        <v/>
      </c>
      <c r="CP465" s="3">
        <f>IF(AND(R465="profesional",ISNUMBER(AK465),AL465="sí"),0,TASA_DGT)</f>
        <v/>
      </c>
      <c r="CQ465" s="3">
        <f>INFORME_DGT</f>
        <v/>
      </c>
      <c r="CR465" s="4">
        <f>O465+CO465+CN465+CP465+CQ465</f>
        <v/>
      </c>
      <c r="CS465" s="4">
        <f>CR465+N(CF465)</f>
        <v/>
      </c>
      <c r="CT465" s="3">
        <f>IF(CR465&lt;=TOTAL_MAX,"sí",IF(CR465&lt;=TOTAL_MAX+MARGEN_NEG,"negociar","no"))</f>
        <v/>
      </c>
      <c r="CU465" s="4">
        <f>IF(CT465&lt;&gt;"no",COUNTIFS($CT$2:$CT$545,"&lt;&gt;no",$CL$2:$CL$545,"&gt;"&amp;CL465)+COUNTIFS($CT$2:CT465,"&lt;&gt;no",$CL$2:CL465,CL465),"")</f>
        <v/>
      </c>
    </row>
    <row r="466">
      <c r="A466" s="2" t="inlineStr">
        <is>
          <t>cochesnet:70981692</t>
        </is>
      </c>
      <c r="B466" s="2" t="inlineStr">
        <is>
          <t>cochesnet</t>
        </is>
      </c>
      <c r="C466" s="2" t="inlineStr">
        <is>
          <t>https://www.coches.net/honda-civic-22-ictdi-sport-5p-diesel-2006-en-castellon-70981692-covo.aspx</t>
        </is>
      </c>
      <c r="D466" s="2" t="inlineStr">
        <is>
          <t>HONDA Civic 2.2 iCTDi Sport</t>
        </is>
      </c>
      <c r="E466" s="2" t="inlineStr">
        <is>
          <t>Honda</t>
        </is>
      </c>
      <c r="F466" s="2" t="inlineStr">
        <is>
          <t>Honda Civic</t>
        </is>
      </c>
      <c r="G466" s="2" t="inlineStr">
        <is>
          <t>2.2 i-DTEC</t>
        </is>
      </c>
      <c r="H466" s="2" t="inlineStr">
        <is>
          <t>2.2 iCTDi Sport</t>
        </is>
      </c>
      <c r="I466" s="2" t="n"/>
      <c r="J466" s="2" t="n"/>
      <c r="K466" s="2" t="inlineStr">
        <is>
          <t>diesel</t>
        </is>
      </c>
      <c r="L466" s="2" t="inlineStr">
        <is>
          <t>compacto</t>
        </is>
      </c>
      <c r="M466" s="2" t="n">
        <v>2006</v>
      </c>
      <c r="N466" s="2" t="n">
        <v>220000</v>
      </c>
      <c r="O466" s="2" t="n">
        <v>4000</v>
      </c>
      <c r="P466" s="2" t="inlineStr">
        <is>
          <t>manual</t>
        </is>
      </c>
      <c r="Q466" s="2" t="inlineStr">
        <is>
          <t>no</t>
        </is>
      </c>
      <c r="R466" s="2" t="inlineStr">
        <is>
          <t>particular</t>
        </is>
      </c>
      <c r="S466" s="2" t="inlineStr">
        <is>
          <t>Castellón de la Plana / Castelló de la Plana</t>
        </is>
      </c>
      <c r="T466" s="2" t="inlineStr">
        <is>
          <t>2026-07-03T00:35:13Z</t>
        </is>
      </c>
      <c r="U466" s="2" t="n">
        <v>7</v>
      </c>
      <c r="V466" s="2" t="inlineStr">
        <is>
          <t>sí</t>
        </is>
      </c>
      <c r="W466" s="2" t="n"/>
      <c r="X466" s="2" t="n"/>
      <c r="Y466" s="2" t="n"/>
      <c r="Z466" s="2" t="inlineStr">
        <is>
          <t>no</t>
        </is>
      </c>
      <c r="AA466" s="2" t="n"/>
      <c r="AB466" s="2" t="n"/>
      <c r="AC466" s="2" t="n"/>
      <c r="AD466" s="2" t="n"/>
      <c r="AE466" s="2" t="n"/>
      <c r="AF466" s="2" t="n"/>
      <c r="AG466" s="2" t="n"/>
      <c r="AH466" s="2" t="n">
        <v>4000</v>
      </c>
      <c r="AI466" s="2" t="n"/>
      <c r="AJ466" s="2" t="n"/>
      <c r="AK466" s="2" t="n"/>
      <c r="AL466" s="2" t="n"/>
      <c r="AM466" s="2" t="n"/>
      <c r="AN466" s="2" t="n"/>
      <c r="AO466" s="2" t="inlineStr">
        <is>
          <t>10/2006</t>
        </is>
      </c>
      <c r="AP466" s="2" t="n">
        <v>2006</v>
      </c>
      <c r="AQ466" s="2" t="n">
        <v>10</v>
      </c>
      <c r="AR466" s="2" t="n"/>
      <c r="AS466" s="2" t="inlineStr">
        <is>
          <t>regla</t>
        </is>
      </c>
      <c r="AT466" s="2" t="n">
        <v>6150</v>
      </c>
      <c r="AU466" s="2" t="n">
        <v>12</v>
      </c>
      <c r="AV466" s="2" t="inlineStr">
        <is>
          <t>modelo+año</t>
        </is>
      </c>
      <c r="AW466" s="2" t="n"/>
      <c r="AX466" s="2" t="inlineStr">
        <is>
          <t>cuota fija ITP: &gt;12 años, más de 2.000 cc; diésel: motor sin fuente de fiabilidad (fiabilidad limitada a neutra); distancia no verificable (el anuncio solo indica la provincia): confirmar que está a &lt;= 70 km; fiabilidad del modelo PENDIENTE de fuente (puntuación neutra)</t>
        </is>
      </c>
      <c r="AY466" s="2" t="inlineStr">
        <is>
          <t>Se vende honda civic 2008 2.2 diesel motor N22A2, una roca, al que se le ha cambiado embrague, colector de escape por el reforzado ya que estos motores el original es de chapa y se fisura, es un arreglo caro del que ya no hay que preocuparse.
ITV al día.
Alternador y batería nuevos.
Turbo revisado con nada de juego en frio del eje.
Filtro aceite, aceite Castrol, filtro aire y filtro habitáculo cambiados hace 3000km a excepción del de gasoil que se cambio la revision anterior.
Discos y pastillas traseras cambiadas.
Falta por ajustar parachoques, se aparco en un bordillo muy alto y se doblo hacia abajo, afectando el parachoques
 es si, que esta descuadrado, los faros,paso de rueda izquierdo y derecho y plásticos carter.
Tiene detalles en la chapa también de roces.
Todos los defectos pendientes son estéticos.
Mecánica perfecta y puesta a punto para rodar.</t>
        </is>
      </c>
      <c r="AZ466" s="2" t="inlineStr">
        <is>
          <t>https://www.coches.net/honda-civic-22-ictdi-sport-5p-diesel-2006-en-castellon-70981692-covo.aspx (window.__INITIAL_PROPS__.ad) /home/user/Alopecia/buscador-coches/raw/cochesnet/65c6fa7ea689a232.json</t>
        </is>
      </c>
      <c r="BA466" s="3">
        <f>MAX(ANIO_ACTUAL-M466,0)</f>
        <v/>
      </c>
      <c r="BB466" s="4">
        <f>N466/MAX(BA466,0.5)</f>
        <v/>
      </c>
      <c r="BC466" s="4">
        <f>F466</f>
        <v/>
      </c>
      <c r="BD466" s="3">
        <f>BC466&amp;"|"&amp;INT(M466/SEG_ANIO)*SEG_ANIO</f>
        <v/>
      </c>
      <c r="BE466" s="3">
        <f>BD466&amp;"|"&amp;INT(N466/SEG_KM)*SEG_KM</f>
        <v/>
      </c>
      <c r="BF466" s="4">
        <f>COUNTIF($BC$2:$BC$545,BC466)</f>
        <v/>
      </c>
      <c r="BG466" s="4">
        <f>COUNTIF($BD$2:$BD$545,BD466)</f>
        <v/>
      </c>
      <c r="BH466" s="4">
        <f>COUNTIF($BE$2:$BE$545,BE466)</f>
        <v/>
      </c>
      <c r="BI466" s="3">
        <f t="array" ref="BI466">IF(N(AU466)&gt;=MIN_N,AT466,IF(BH466&gt;=MIN_N,MEDIAN(IF($BE$2:$BE$545=BE466,$O$2:$O$545)),IF(BG466&gt;=MIN_N,MEDIAN(IF($BD$2:$BD$545=BD466,$O$2:$O$545)),MEDIAN(IF($BC$2:$BC$545=BC466,$O$2:$O$545)))))</f>
        <v/>
      </c>
      <c r="BJ466" s="3">
        <f>IF(N(AU466)&gt;=MIN_N,"mercado "&amp;AV466,IF(BH466&gt;=MIN_N,"modelo+año+km",IF(BG466&gt;=MIN_N,"modelo+año","modelo")))</f>
        <v/>
      </c>
      <c r="BK466" s="4">
        <f>(BI466-O466)/BI466</f>
        <v/>
      </c>
      <c r="BL466" s="3">
        <f>IF(COUNTIFS(FR_FUEL,K466,FR_YEAR,AP466)&gt;0,1,0)</f>
        <v/>
      </c>
      <c r="BM466" s="3">
        <f>IF(COUNTIFS(FR_FUEL,K466,FR_YEAR,AP466-1)&gt;0,1,0)</f>
        <v/>
      </c>
      <c r="BN466" s="4">
        <f>IF(N(AQ466)&gt;0,AP466*100+AQ466,IF(AND(BL466=1,BM466=1),(AP466-1)*100+1,AP466*100+1))</f>
        <v/>
      </c>
      <c r="BO466" s="3">
        <f>IF(OR(K466="hibrido",K466="glp",K466="gnc",K466="phev"),"ECO",IF(K466="electrico","CERO",IF(K466="gasolina",IF(BN466&gt;=GAS_C_YM,"C",IF(BN466&gt;=GAS_B_YM,"B","A")),IF(K466="diesel",IF(BN466&gt;=DIE_C_YM,"C",IF(BN466&gt;=DIE_B_YM,"B","A")),""))))</f>
        <v/>
      </c>
      <c r="BP466" s="4">
        <f>BO466</f>
        <v/>
      </c>
      <c r="BQ466" s="4">
        <f>IF(AS466="regla",IF(AND(N(AQ466)=0,BL466=1),"sí","no"),"no")</f>
        <v/>
      </c>
      <c r="BR466" s="3">
        <f>IFERROR(VLOOKUP(F466,MOD_TBL,11,0),IFERROR(VLOOKUP(E466,OCU_TBL,2,0),NEUTRO))</f>
        <v/>
      </c>
      <c r="BS466" s="3">
        <f>SUMIFS(MOT_AJUSTE,MOT_MOTOR,G466,MOT_MARCA,E466,MOT_DESDE,"&lt;="&amp;M466,MOT_HASTA,"&gt;="&amp;M466)+SUMIFS(MOT_AJUSTE,MOT_MOTOR,G466,MOT_MARCA,"(todas)",MOT_DESDE,"&lt;="&amp;M466,MOT_HASTA,"&gt;="&amp;M466)</f>
        <v/>
      </c>
      <c r="BT466" s="3">
        <f>SUMIFS(COMB_AJUSTE,COMB_COMB,K466)</f>
        <v/>
      </c>
      <c r="BU466" s="3">
        <f>COUNTIFS(MOT_MOTOR,G466,MOT_MARCA,E466,MOT_DESDE,"&lt;="&amp;M466,MOT_HASTA,"&gt;="&amp;M466)+COUNTIFS(MOT_MOTOR,G466,MOT_MARCA,"(todas)",MOT_DESDE,"&lt;="&amp;M466,MOT_HASTA,"&gt;="&amp;M466)</f>
        <v/>
      </c>
      <c r="BV466" s="3">
        <f>IF(AND(K466="diesel",BU466=0),MIN(BR466,NEUTRO),BR466)</f>
        <v/>
      </c>
      <c r="BW466" s="4">
        <f>MAX(0,MIN(100,BV466+BS466+BT466))</f>
        <v/>
      </c>
      <c r="BX466" s="3">
        <f>MAX(0,MIN(100,50+BK466*PRECIO_PEND))</f>
        <v/>
      </c>
      <c r="BY466" s="3">
        <f>MAX(0,100*(1-N466/KM_MAX))</f>
        <v/>
      </c>
      <c r="BZ466" s="3">
        <f>IF(BB466&lt;KMA_SOSP,IF(AA466="sí",100,KMA_PEN),IF(BB466&lt;=KMA_IDEAL_MAX,100,MAX(0,100*(KMA_CERO-BB466)/(KMA_CERO-KMA_IDEAL_MAX))))</f>
        <v/>
      </c>
      <c r="CA466" s="3">
        <f>MAX(0,MIN(100,100*(M466-ANIO_MIN)/(ANIO_ACTUAL-ANIO_MIN)))</f>
        <v/>
      </c>
      <c r="CB466" s="3">
        <f>W_KMT*BY466+W_KMA*BZ466+W_EDAD*CA466</f>
        <v/>
      </c>
      <c r="CC466" s="3">
        <f>P_ITV*(V466="sí")+P_LIBRO*(W466="sí")+P_CORREA*(X466="sí")+P_PROP*(Y466=1)+P_GAR*(Z466="sí")+P_FOTOS*MIN(1,N(U466)/FOTOS_OBJ)</f>
        <v/>
      </c>
      <c r="CD466" s="3">
        <f>MAX(0,MIN(100,IFERROR(VLOOKUP(BP466,ETQ_TBL,2,0),0)-IF(BQ466="sí",ETQ_PEN_DUD,IF(AS466="regla",ETQ_PEN_REGLA,0))))</f>
        <v/>
      </c>
      <c r="CE466" s="3">
        <f>NEUTRO</f>
        <v/>
      </c>
      <c r="CF466" s="3">
        <f>IFERROR(VLOOKUP(L466,SEGURO_TBL,3,0),"")</f>
        <v/>
      </c>
      <c r="CG466" s="3">
        <f>IF(CF466="",NEUTRO,MAX(0,MIN(100,100*(SEG_REF_MAX-CF466)/(SEG_REF_MAX-SEG_REF_MIN))))</f>
        <v/>
      </c>
      <c r="CH466" s="3">
        <f>W_CONS*CE466+W_SEG*CG466</f>
        <v/>
      </c>
      <c r="CI466" s="3">
        <f>IF(N(AB466)&gt;0,AB466,IF(AND(R466="profesional",SG_LEGAL_ON=1),GAR_LEGAL,0))</f>
        <v/>
      </c>
      <c r="CJ466" s="3">
        <f>SG_GAR*MIN(1,CI466/SG_GAR_FULL)+SG_AMPL*(AC466="sí")+SG_KMC*(AF466="sí")+SG_REV*(N(AE466)&gt;0)+SG_DEV*MIN(1,N(AG466)/SG_DEV_FULL)+SG_HIST*(W466="sí")</f>
        <v/>
      </c>
      <c r="CK466" s="3">
        <f>IFERROR(VLOOKUP(L466,CARR_PEN_TBL,2,0),0)</f>
        <v/>
      </c>
      <c r="CL466" s="3">
        <f>W_FIAB*BW466+W_PRECIO*BX466+W_KMEDAD*CB466+W_ANUNCIO*CC466+W_USO*CH466+W_SEGURIDAD*CJ466+W_ETIQUETA*CD466-CK466</f>
        <v/>
      </c>
      <c r="CM466" s="4">
        <f>IF(N(I466)&gt;0,I466,IFERROR(ROUND(_xlfn.NUMBERVALUE(LEFT(G466,FIND(" ",G466&amp;" ")-1),".")*1000,0),99999))</f>
        <v/>
      </c>
      <c r="CN466" s="3">
        <f>IF(R466="profesional",0,IF(O466&lt;CUOTA_VALOR_MAX,IF(BA466&gt;ITP_TRAMO_ALTO,SUMIFS(CF_CUOTA,CF_MAS,ITP_TRAMO_ALTO,CF_CCMIN,"&lt;="&amp;CM466,CF_CCMAX,"&gt;="&amp;CM466),IF(BA466&gt;ITP_TRAMO_BAJO,SUMIFS(CF_CUOTA,CF_MAS,ITP_TRAMO_BAJO,CF_CCMIN,"&lt;="&amp;CM466,CF_CCMAX,"&gt;="&amp;CM466),O466*ITP_TIPO)),O466*ITP_TIPO))</f>
        <v/>
      </c>
      <c r="CO466" s="4">
        <f>IF(R466="profesional",N(AK466),0)</f>
        <v/>
      </c>
      <c r="CP466" s="3">
        <f>IF(AND(R466="profesional",ISNUMBER(AK466),AL466="sí"),0,TASA_DGT)</f>
        <v/>
      </c>
      <c r="CQ466" s="3">
        <f>INFORME_DGT</f>
        <v/>
      </c>
      <c r="CR466" s="4">
        <f>O466+CO466+CN466+CP466+CQ466</f>
        <v/>
      </c>
      <c r="CS466" s="4">
        <f>CR466+N(CF466)</f>
        <v/>
      </c>
      <c r="CT466" s="3">
        <f>IF(CR466&lt;=TOTAL_MAX,"sí",IF(CR466&lt;=TOTAL_MAX+MARGEN_NEG,"negociar","no"))</f>
        <v/>
      </c>
      <c r="CU466" s="4">
        <f>IF(CT466&lt;&gt;"no",COUNTIFS($CT$2:$CT$545,"&lt;&gt;no",$CL$2:$CL$545,"&gt;"&amp;CL466)+COUNTIFS($CT$2:CT466,"&lt;&gt;no",$CL$2:CL466,CL466),"")</f>
        <v/>
      </c>
    </row>
    <row r="467">
      <c r="A467" s="2" t="inlineStr">
        <is>
          <t>cochesnet:71743921</t>
        </is>
      </c>
      <c r="B467" s="2" t="inlineStr">
        <is>
          <t>cochesnet</t>
        </is>
      </c>
      <c r="C467" s="2" t="inlineStr">
        <is>
          <t>https://www.coches.net/mazda-mazda2-active-14-crtd-5p-diesel-2007-en-castellon-71743921-covo.aspx</t>
        </is>
      </c>
      <c r="D467" s="2" t="inlineStr">
        <is>
          <t>MAZDA Mazda2 Active 1.4 CRTD</t>
        </is>
      </c>
      <c r="E467" s="2" t="inlineStr">
        <is>
          <t>Mazda</t>
        </is>
      </c>
      <c r="F467" s="2" t="inlineStr">
        <is>
          <t>Mazda 2</t>
        </is>
      </c>
      <c r="G467" s="2" t="inlineStr">
        <is>
          <t>1.4</t>
        </is>
      </c>
      <c r="H467" s="2" t="inlineStr">
        <is>
          <t>Active 1.4 CRTD</t>
        </is>
      </c>
      <c r="I467" s="2" t="n"/>
      <c r="J467" s="2" t="n"/>
      <c r="K467" s="2" t="inlineStr">
        <is>
          <t>diesel</t>
        </is>
      </c>
      <c r="L467" s="2" t="inlineStr">
        <is>
          <t>utilitario</t>
        </is>
      </c>
      <c r="M467" s="2" t="n">
        <v>2008</v>
      </c>
      <c r="N467" s="2" t="n">
        <v>209000</v>
      </c>
      <c r="O467" s="2" t="n">
        <v>3900</v>
      </c>
      <c r="P467" s="2" t="inlineStr">
        <is>
          <t>manual</t>
        </is>
      </c>
      <c r="Q467" s="2" t="inlineStr">
        <is>
          <t>no</t>
        </is>
      </c>
      <c r="R467" s="2" t="inlineStr">
        <is>
          <t>profesional</t>
        </is>
      </c>
      <c r="S467" s="2" t="inlineStr">
        <is>
          <t>Castellón de la Plana / Castelló de la Plana</t>
        </is>
      </c>
      <c r="T467" s="2" t="inlineStr">
        <is>
          <t>2026-10-14T15:25:45Z</t>
        </is>
      </c>
      <c r="U467" s="2" t="n">
        <v>10</v>
      </c>
      <c r="V467" s="2" t="inlineStr">
        <is>
          <t>sí</t>
        </is>
      </c>
      <c r="W467" s="2" t="n"/>
      <c r="X467" s="2" t="n"/>
      <c r="Y467" s="2" t="n"/>
      <c r="Z467" s="2" t="inlineStr">
        <is>
          <t>sí</t>
        </is>
      </c>
      <c r="AA467" s="2" t="n"/>
      <c r="AB467" s="2" t="n">
        <v>12</v>
      </c>
      <c r="AC467" s="2" t="n"/>
      <c r="AD467" s="2" t="n"/>
      <c r="AE467" s="2" t="n"/>
      <c r="AF467" s="2" t="n"/>
      <c r="AG467" s="2" t="n"/>
      <c r="AH467" s="2" t="n">
        <v>3900</v>
      </c>
      <c r="AI467" s="2" t="n"/>
      <c r="AJ467" s="2" t="n"/>
      <c r="AK467" s="2" t="n"/>
      <c r="AL467" s="2" t="n"/>
      <c r="AM467" s="2" t="n"/>
      <c r="AN467" s="2" t="n"/>
      <c r="AO467" s="2" t="inlineStr">
        <is>
          <t>2008</t>
        </is>
      </c>
      <c r="AP467" s="2" t="n">
        <v>2008</v>
      </c>
      <c r="AQ467" s="2" t="n"/>
      <c r="AR467" s="2" t="n"/>
      <c r="AS467" s="2" t="inlineStr">
        <is>
          <t>regla</t>
        </is>
      </c>
      <c r="AT467" s="2" t="n">
        <v>5000</v>
      </c>
      <c r="AU467" s="2" t="n">
        <v>12</v>
      </c>
      <c r="AV467" s="2" t="inlineStr">
        <is>
          <t>modelo+año</t>
        </is>
      </c>
      <c r="AW467" s="2" t="n"/>
      <c r="AX467"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AY467" s="2" t="inlineStr">
        <is>
          <t>Se vende Mazda 2 con motor 1.4  HDI Diesel ,70CV  Radio -CD , siempre en garaje,  elevalunas eléctricos, ruedas nuevas , espejos con regulación ,Abs, airbag, económico y ideal para el día a día,  se entrega totalmente revisado  de mecánica con   Itv al dia , aceite y filtros  recién cambiados ,  mejor verlo sin compromiso.  Sólo se atienden llamadas.</t>
        </is>
      </c>
      <c r="AZ467" s="2" t="inlineStr">
        <is>
          <t>https://www.coches.net/mazda-mazda2-active-14-crtd-5p-diesel-2007-en-castellon-71743921-covo.aspx (window.__INITIAL_PROPS__.ad) /home/user/Alopecia/buscador-coches/raw/cochesnet/4124e3bfc255e1c8.json</t>
        </is>
      </c>
      <c r="BA467" s="3">
        <f>MAX(ANIO_ACTUAL-M467,0)</f>
        <v/>
      </c>
      <c r="BB467" s="4">
        <f>N467/MAX(BA467,0.5)</f>
        <v/>
      </c>
      <c r="BC467" s="4">
        <f>F467</f>
        <v/>
      </c>
      <c r="BD467" s="3">
        <f>BC467&amp;"|"&amp;INT(M467/SEG_ANIO)*SEG_ANIO</f>
        <v/>
      </c>
      <c r="BE467" s="3">
        <f>BD467&amp;"|"&amp;INT(N467/SEG_KM)*SEG_KM</f>
        <v/>
      </c>
      <c r="BF467" s="4">
        <f>COUNTIF($BC$2:$BC$545,BC467)</f>
        <v/>
      </c>
      <c r="BG467" s="4">
        <f>COUNTIF($BD$2:$BD$545,BD467)</f>
        <v/>
      </c>
      <c r="BH467" s="4">
        <f>COUNTIF($BE$2:$BE$545,BE467)</f>
        <v/>
      </c>
      <c r="BI467" s="3">
        <f t="array" ref="BI467">IF(N(AU467)&gt;=MIN_N,AT467,IF(BH467&gt;=MIN_N,MEDIAN(IF($BE$2:$BE$545=BE467,$O$2:$O$545)),IF(BG467&gt;=MIN_N,MEDIAN(IF($BD$2:$BD$545=BD467,$O$2:$O$545)),MEDIAN(IF($BC$2:$BC$545=BC467,$O$2:$O$545)))))</f>
        <v/>
      </c>
      <c r="BJ467" s="3">
        <f>IF(N(AU467)&gt;=MIN_N,"mercado "&amp;AV467,IF(BH467&gt;=MIN_N,"modelo+año+km",IF(BG467&gt;=MIN_N,"modelo+año","modelo")))</f>
        <v/>
      </c>
      <c r="BK467" s="4">
        <f>(BI467-O467)/BI467</f>
        <v/>
      </c>
      <c r="BL467" s="3">
        <f>IF(COUNTIFS(FR_FUEL,K467,FR_YEAR,AP467)&gt;0,1,0)</f>
        <v/>
      </c>
      <c r="BM467" s="3">
        <f>IF(COUNTIFS(FR_FUEL,K467,FR_YEAR,AP467-1)&gt;0,1,0)</f>
        <v/>
      </c>
      <c r="BN467" s="4">
        <f>IF(N(AQ467)&gt;0,AP467*100+AQ467,IF(AND(BL467=1,BM467=1),(AP467-1)*100+1,AP467*100+1))</f>
        <v/>
      </c>
      <c r="BO467" s="3">
        <f>IF(OR(K467="hibrido",K467="glp",K467="gnc",K467="phev"),"ECO",IF(K467="electrico","CERO",IF(K467="gasolina",IF(BN467&gt;=GAS_C_YM,"C",IF(BN467&gt;=GAS_B_YM,"B","A")),IF(K467="diesel",IF(BN467&gt;=DIE_C_YM,"C",IF(BN467&gt;=DIE_B_YM,"B","A")),""))))</f>
        <v/>
      </c>
      <c r="BP467" s="4">
        <f>BO467</f>
        <v/>
      </c>
      <c r="BQ467" s="4">
        <f>IF(AS467="regla",IF(AND(N(AQ467)=0,BL467=1),"sí","no"),"no")</f>
        <v/>
      </c>
      <c r="BR467" s="3">
        <f>IFERROR(VLOOKUP(F467,MOD_TBL,11,0),IFERROR(VLOOKUP(E467,OCU_TBL,2,0),NEUTRO))</f>
        <v/>
      </c>
      <c r="BS467" s="3">
        <f>SUMIFS(MOT_AJUSTE,MOT_MOTOR,G467,MOT_MARCA,E467,MOT_DESDE,"&lt;="&amp;M467,MOT_HASTA,"&gt;="&amp;M467)+SUMIFS(MOT_AJUSTE,MOT_MOTOR,G467,MOT_MARCA,"(todas)",MOT_DESDE,"&lt;="&amp;M467,MOT_HASTA,"&gt;="&amp;M467)</f>
        <v/>
      </c>
      <c r="BT467" s="3">
        <f>SUMIFS(COMB_AJUSTE,COMB_COMB,K467)</f>
        <v/>
      </c>
      <c r="BU467" s="3">
        <f>COUNTIFS(MOT_MOTOR,G467,MOT_MARCA,E467,MOT_DESDE,"&lt;="&amp;M467,MOT_HASTA,"&gt;="&amp;M467)+COUNTIFS(MOT_MOTOR,G467,MOT_MARCA,"(todas)",MOT_DESDE,"&lt;="&amp;M467,MOT_HASTA,"&gt;="&amp;M467)</f>
        <v/>
      </c>
      <c r="BV467" s="3">
        <f>IF(AND(K467="diesel",BU467=0),MIN(BR467,NEUTRO),BR467)</f>
        <v/>
      </c>
      <c r="BW467" s="4">
        <f>MAX(0,MIN(100,BV467+BS467+BT467))</f>
        <v/>
      </c>
      <c r="BX467" s="3">
        <f>MAX(0,MIN(100,50+BK467*PRECIO_PEND))</f>
        <v/>
      </c>
      <c r="BY467" s="3">
        <f>MAX(0,100*(1-N467/KM_MAX))</f>
        <v/>
      </c>
      <c r="BZ467" s="3">
        <f>IF(BB467&lt;KMA_SOSP,IF(AA467="sí",100,KMA_PEN),IF(BB467&lt;=KMA_IDEAL_MAX,100,MAX(0,100*(KMA_CERO-BB467)/(KMA_CERO-KMA_IDEAL_MAX))))</f>
        <v/>
      </c>
      <c r="CA467" s="3">
        <f>MAX(0,MIN(100,100*(M467-ANIO_MIN)/(ANIO_ACTUAL-ANIO_MIN)))</f>
        <v/>
      </c>
      <c r="CB467" s="3">
        <f>W_KMT*BY467+W_KMA*BZ467+W_EDAD*CA467</f>
        <v/>
      </c>
      <c r="CC467" s="3">
        <f>P_ITV*(V467="sí")+P_LIBRO*(W467="sí")+P_CORREA*(X467="sí")+P_PROP*(Y467=1)+P_GAR*(Z467="sí")+P_FOTOS*MIN(1,N(U467)/FOTOS_OBJ)</f>
        <v/>
      </c>
      <c r="CD467" s="3">
        <f>MAX(0,MIN(100,IFERROR(VLOOKUP(BP467,ETQ_TBL,2,0),0)-IF(BQ467="sí",ETQ_PEN_DUD,IF(AS467="regla",ETQ_PEN_REGLA,0))))</f>
        <v/>
      </c>
      <c r="CE467" s="3">
        <f>NEUTRO</f>
        <v/>
      </c>
      <c r="CF467" s="3">
        <f>IFERROR(VLOOKUP(L467,SEGURO_TBL,3,0),"")</f>
        <v/>
      </c>
      <c r="CG467" s="3">
        <f>IF(CF467="",NEUTRO,MAX(0,MIN(100,100*(SEG_REF_MAX-CF467)/(SEG_REF_MAX-SEG_REF_MIN))))</f>
        <v/>
      </c>
      <c r="CH467" s="3">
        <f>W_CONS*CE467+W_SEG*CG467</f>
        <v/>
      </c>
      <c r="CI467" s="3">
        <f>IF(N(AB467)&gt;0,AB467,IF(AND(R467="profesional",SG_LEGAL_ON=1),GAR_LEGAL,0))</f>
        <v/>
      </c>
      <c r="CJ467" s="3">
        <f>SG_GAR*MIN(1,CI467/SG_GAR_FULL)+SG_AMPL*(AC467="sí")+SG_KMC*(AF467="sí")+SG_REV*(N(AE467)&gt;0)+SG_DEV*MIN(1,N(AG467)/SG_DEV_FULL)+SG_HIST*(W467="sí")</f>
        <v/>
      </c>
      <c r="CK467" s="3">
        <f>IFERROR(VLOOKUP(L467,CARR_PEN_TBL,2,0),0)</f>
        <v/>
      </c>
      <c r="CL467" s="3">
        <f>W_FIAB*BW467+W_PRECIO*BX467+W_KMEDAD*CB467+W_ANUNCIO*CC467+W_USO*CH467+W_SEGURIDAD*CJ467+W_ETIQUETA*CD467-CK467</f>
        <v/>
      </c>
      <c r="CM467" s="4">
        <f>IF(N(I467)&gt;0,I467,IFERROR(ROUND(_xlfn.NUMBERVALUE(LEFT(G467,FIND(" ",G467&amp;" ")-1),".")*1000,0),99999))</f>
        <v/>
      </c>
      <c r="CN467" s="3">
        <f>IF(R467="profesional",0,IF(O467&lt;CUOTA_VALOR_MAX,IF(BA467&gt;ITP_TRAMO_ALTO,SUMIFS(CF_CUOTA,CF_MAS,ITP_TRAMO_ALTO,CF_CCMIN,"&lt;="&amp;CM467,CF_CCMAX,"&gt;="&amp;CM467),IF(BA467&gt;ITP_TRAMO_BAJO,SUMIFS(CF_CUOTA,CF_MAS,ITP_TRAMO_BAJO,CF_CCMIN,"&lt;="&amp;CM467,CF_CCMAX,"&gt;="&amp;CM467),O467*ITP_TIPO)),O467*ITP_TIPO))</f>
        <v/>
      </c>
      <c r="CO467" s="4">
        <f>IF(R467="profesional",N(AK467),0)</f>
        <v/>
      </c>
      <c r="CP467" s="3">
        <f>IF(AND(R467="profesional",ISNUMBER(AK467),AL467="sí"),0,TASA_DGT)</f>
        <v/>
      </c>
      <c r="CQ467" s="3">
        <f>INFORME_DGT</f>
        <v/>
      </c>
      <c r="CR467" s="4">
        <f>O467+CO467+CN467+CP467+CQ467</f>
        <v/>
      </c>
      <c r="CS467" s="4">
        <f>CR467+N(CF467)</f>
        <v/>
      </c>
      <c r="CT467" s="3">
        <f>IF(CR467&lt;=TOTAL_MAX,"sí",IF(CR467&lt;=TOTAL_MAX+MARGEN_NEG,"negociar","no"))</f>
        <v/>
      </c>
      <c r="CU467" s="4">
        <f>IF(CT467&lt;&gt;"no",COUNTIFS($CT$2:$CT$545,"&lt;&gt;no",$CL$2:$CL$545,"&gt;"&amp;CL467)+COUNTIFS($CT$2:CT467,"&lt;&gt;no",$CL$2:CL467,CL467),"")</f>
        <v/>
      </c>
    </row>
    <row r="468">
      <c r="A468" s="2" t="inlineStr">
        <is>
          <t>cochesnet:70963914</t>
        </is>
      </c>
      <c r="B468" s="2" t="inlineStr">
        <is>
          <t>cochesnet</t>
        </is>
      </c>
      <c r="C468" s="2" t="inlineStr">
        <is>
          <t>https://www.coches.net/kia-ceed-diesel-2009-en-castellon-70963914-covo.aspx</t>
        </is>
      </c>
      <c r="D468" s="2" t="inlineStr">
        <is>
          <t>KIA ceed 1.6 CRDi Active</t>
        </is>
      </c>
      <c r="E468" s="2" t="inlineStr">
        <is>
          <t>Kia</t>
        </is>
      </c>
      <c r="F468" s="2" t="inlineStr">
        <is>
          <t>Kia Ceed</t>
        </is>
      </c>
      <c r="G468" s="2" t="inlineStr">
        <is>
          <t>1.6 CRDi</t>
        </is>
      </c>
      <c r="H468" s="2" t="inlineStr">
        <is>
          <t>1.6 CRDi 115cv Active</t>
        </is>
      </c>
      <c r="I468" s="2" t="n"/>
      <c r="J468" s="2" t="n">
        <v>115</v>
      </c>
      <c r="K468" s="2" t="inlineStr">
        <is>
          <t>diesel</t>
        </is>
      </c>
      <c r="L468" s="2" t="inlineStr">
        <is>
          <t>compacto</t>
        </is>
      </c>
      <c r="M468" s="2" t="n">
        <v>2009</v>
      </c>
      <c r="N468" s="2" t="n">
        <v>198720</v>
      </c>
      <c r="O468" s="2" t="n">
        <v>3950</v>
      </c>
      <c r="P468" s="2" t="inlineStr">
        <is>
          <t>manual</t>
        </is>
      </c>
      <c r="Q468" s="2" t="inlineStr">
        <is>
          <t>no</t>
        </is>
      </c>
      <c r="R468" s="2" t="inlineStr">
        <is>
          <t>particular</t>
        </is>
      </c>
      <c r="S468" s="2" t="inlineStr">
        <is>
          <t>Castellón de la Plana / Castelló de la Plana</t>
        </is>
      </c>
      <c r="T468" s="2" t="inlineStr">
        <is>
          <t>2026-06-30T18:10:24Z</t>
        </is>
      </c>
      <c r="U468" s="2" t="n">
        <v>9</v>
      </c>
      <c r="V468" s="2" t="n"/>
      <c r="W468" s="2" t="n"/>
      <c r="X468" s="2" t="n"/>
      <c r="Y468" s="2" t="n"/>
      <c r="Z468" s="2" t="inlineStr">
        <is>
          <t>no</t>
        </is>
      </c>
      <c r="AA468" s="2" t="n"/>
      <c r="AB468" s="2" t="n"/>
      <c r="AC468" s="2" t="n"/>
      <c r="AD468" s="2" t="n"/>
      <c r="AE468" s="2" t="n"/>
      <c r="AF468" s="2" t="n"/>
      <c r="AG468" s="2" t="n"/>
      <c r="AH468" s="2" t="n">
        <v>3950</v>
      </c>
      <c r="AI468" s="2" t="n"/>
      <c r="AJ468" s="2" t="n"/>
      <c r="AK468" s="2" t="n"/>
      <c r="AL468" s="2" t="n"/>
      <c r="AM468" s="2" t="n"/>
      <c r="AN468" s="2" t="n"/>
      <c r="AO468" s="2" t="inlineStr">
        <is>
          <t>2009</t>
        </is>
      </c>
      <c r="AP468" s="2" t="n">
        <v>2009</v>
      </c>
      <c r="AQ468" s="2" t="n"/>
      <c r="AR468" s="2" t="n"/>
      <c r="AS468" s="2" t="inlineStr">
        <is>
          <t>regla</t>
        </is>
      </c>
      <c r="AT468" s="2" t="n"/>
      <c r="AU468" s="2" t="n"/>
      <c r="AV468" s="2" t="n"/>
      <c r="AW468" s="2" t="n"/>
      <c r="AX468" s="2" t="inlineStr">
        <is>
          <t>cuota fija ITP: &gt;12 años, 1.501-2.000 cc; diésel: motor sin fuente de fiabilidad (fiabilidad limitada a neutra); distancia no verificable (el anuncio solo indica la provincia): confirmar que está a &lt;= 70 km; mediana con solo 2 anuncio(s)</t>
        </is>
      </c>
      <c r="AY468" s="2" t="inlineStr">
        <is>
          <t xml:space="preserve">Tel  .Se vende Kia Cee'd 115 CV ,siempre garaje. año 2009, con cambio manual. Coche fiable, cómodo .acepto prueba mecánica.Tel </t>
        </is>
      </c>
      <c r="AZ468" s="2" t="inlineStr">
        <is>
          <t>https://www.coches.net/kia-ceed-diesel-2009-en-castellon-70963914-covo.aspx (window.__INITIAL_PROPS__.ad) /home/user/Alopecia/buscador-coches/raw/cochesnet/faf834b5e671a975.json</t>
        </is>
      </c>
      <c r="BA468" s="3">
        <f>MAX(ANIO_ACTUAL-M468,0)</f>
        <v/>
      </c>
      <c r="BB468" s="4">
        <f>N468/MAX(BA468,0.5)</f>
        <v/>
      </c>
      <c r="BC468" s="4">
        <f>F468</f>
        <v/>
      </c>
      <c r="BD468" s="3">
        <f>BC468&amp;"|"&amp;INT(M468/SEG_ANIO)*SEG_ANIO</f>
        <v/>
      </c>
      <c r="BE468" s="3">
        <f>BD468&amp;"|"&amp;INT(N468/SEG_KM)*SEG_KM</f>
        <v/>
      </c>
      <c r="BF468" s="4">
        <f>COUNTIF($BC$2:$BC$545,BC468)</f>
        <v/>
      </c>
      <c r="BG468" s="4">
        <f>COUNTIF($BD$2:$BD$545,BD468)</f>
        <v/>
      </c>
      <c r="BH468" s="4">
        <f>COUNTIF($BE$2:$BE$545,BE468)</f>
        <v/>
      </c>
      <c r="BI468" s="3">
        <f t="array" ref="BI468">IF(N(AU468)&gt;=MIN_N,AT468,IF(BH468&gt;=MIN_N,MEDIAN(IF($BE$2:$BE$545=BE468,$O$2:$O$545)),IF(BG468&gt;=MIN_N,MEDIAN(IF($BD$2:$BD$545=BD468,$O$2:$O$545)),MEDIAN(IF($BC$2:$BC$545=BC468,$O$2:$O$545)))))</f>
        <v/>
      </c>
      <c r="BJ468" s="3">
        <f>IF(N(AU468)&gt;=MIN_N,"mercado "&amp;AV468,IF(BH468&gt;=MIN_N,"modelo+año+km",IF(BG468&gt;=MIN_N,"modelo+año","modelo")))</f>
        <v/>
      </c>
      <c r="BK468" s="4">
        <f>(BI468-O468)/BI468</f>
        <v/>
      </c>
      <c r="BL468" s="3">
        <f>IF(COUNTIFS(FR_FUEL,K468,FR_YEAR,AP468)&gt;0,1,0)</f>
        <v/>
      </c>
      <c r="BM468" s="3">
        <f>IF(COUNTIFS(FR_FUEL,K468,FR_YEAR,AP468-1)&gt;0,1,0)</f>
        <v/>
      </c>
      <c r="BN468" s="4">
        <f>IF(N(AQ468)&gt;0,AP468*100+AQ468,IF(AND(BL468=1,BM468=1),(AP468-1)*100+1,AP468*100+1))</f>
        <v/>
      </c>
      <c r="BO468" s="3">
        <f>IF(OR(K468="hibrido",K468="glp",K468="gnc",K468="phev"),"ECO",IF(K468="electrico","CERO",IF(K468="gasolina",IF(BN468&gt;=GAS_C_YM,"C",IF(BN468&gt;=GAS_B_YM,"B","A")),IF(K468="diesel",IF(BN468&gt;=DIE_C_YM,"C",IF(BN468&gt;=DIE_B_YM,"B","A")),""))))</f>
        <v/>
      </c>
      <c r="BP468" s="4">
        <f>BO468</f>
        <v/>
      </c>
      <c r="BQ468" s="4">
        <f>IF(AS468="regla",IF(AND(N(AQ468)=0,BL468=1),"sí","no"),"no")</f>
        <v/>
      </c>
      <c r="BR468" s="3">
        <f>IFERROR(VLOOKUP(F468,MOD_TBL,11,0),IFERROR(VLOOKUP(E468,OCU_TBL,2,0),NEUTRO))</f>
        <v/>
      </c>
      <c r="BS468" s="3">
        <f>SUMIFS(MOT_AJUSTE,MOT_MOTOR,G468,MOT_MARCA,E468,MOT_DESDE,"&lt;="&amp;M468,MOT_HASTA,"&gt;="&amp;M468)+SUMIFS(MOT_AJUSTE,MOT_MOTOR,G468,MOT_MARCA,"(todas)",MOT_DESDE,"&lt;="&amp;M468,MOT_HASTA,"&gt;="&amp;M468)</f>
        <v/>
      </c>
      <c r="BT468" s="3">
        <f>SUMIFS(COMB_AJUSTE,COMB_COMB,K468)</f>
        <v/>
      </c>
      <c r="BU468" s="3">
        <f>COUNTIFS(MOT_MOTOR,G468,MOT_MARCA,E468,MOT_DESDE,"&lt;="&amp;M468,MOT_HASTA,"&gt;="&amp;M468)+COUNTIFS(MOT_MOTOR,G468,MOT_MARCA,"(todas)",MOT_DESDE,"&lt;="&amp;M468,MOT_HASTA,"&gt;="&amp;M468)</f>
        <v/>
      </c>
      <c r="BV468" s="3">
        <f>IF(AND(K468="diesel",BU468=0),MIN(BR468,NEUTRO),BR468)</f>
        <v/>
      </c>
      <c r="BW468" s="4">
        <f>MAX(0,MIN(100,BV468+BS468+BT468))</f>
        <v/>
      </c>
      <c r="BX468" s="3">
        <f>MAX(0,MIN(100,50+BK468*PRECIO_PEND))</f>
        <v/>
      </c>
      <c r="BY468" s="3">
        <f>MAX(0,100*(1-N468/KM_MAX))</f>
        <v/>
      </c>
      <c r="BZ468" s="3">
        <f>IF(BB468&lt;KMA_SOSP,IF(AA468="sí",100,KMA_PEN),IF(BB468&lt;=KMA_IDEAL_MAX,100,MAX(0,100*(KMA_CERO-BB468)/(KMA_CERO-KMA_IDEAL_MAX))))</f>
        <v/>
      </c>
      <c r="CA468" s="3">
        <f>MAX(0,MIN(100,100*(M468-ANIO_MIN)/(ANIO_ACTUAL-ANIO_MIN)))</f>
        <v/>
      </c>
      <c r="CB468" s="3">
        <f>W_KMT*BY468+W_KMA*BZ468+W_EDAD*CA468</f>
        <v/>
      </c>
      <c r="CC468" s="3">
        <f>P_ITV*(V468="sí")+P_LIBRO*(W468="sí")+P_CORREA*(X468="sí")+P_PROP*(Y468=1)+P_GAR*(Z468="sí")+P_FOTOS*MIN(1,N(U468)/FOTOS_OBJ)</f>
        <v/>
      </c>
      <c r="CD468" s="3">
        <f>MAX(0,MIN(100,IFERROR(VLOOKUP(BP468,ETQ_TBL,2,0),0)-IF(BQ468="sí",ETQ_PEN_DUD,IF(AS468="regla",ETQ_PEN_REGLA,0))))</f>
        <v/>
      </c>
      <c r="CE468" s="3">
        <f>NEUTRO</f>
        <v/>
      </c>
      <c r="CF468" s="3">
        <f>IFERROR(VLOOKUP(L468,SEGURO_TBL,3,0),"")</f>
        <v/>
      </c>
      <c r="CG468" s="3">
        <f>IF(CF468="",NEUTRO,MAX(0,MIN(100,100*(SEG_REF_MAX-CF468)/(SEG_REF_MAX-SEG_REF_MIN))))</f>
        <v/>
      </c>
      <c r="CH468" s="3">
        <f>W_CONS*CE468+W_SEG*CG468</f>
        <v/>
      </c>
      <c r="CI468" s="3">
        <f>IF(N(AB468)&gt;0,AB468,IF(AND(R468="profesional",SG_LEGAL_ON=1),GAR_LEGAL,0))</f>
        <v/>
      </c>
      <c r="CJ468" s="3">
        <f>SG_GAR*MIN(1,CI468/SG_GAR_FULL)+SG_AMPL*(AC468="sí")+SG_KMC*(AF468="sí")+SG_REV*(N(AE468)&gt;0)+SG_DEV*MIN(1,N(AG468)/SG_DEV_FULL)+SG_HIST*(W468="sí")</f>
        <v/>
      </c>
      <c r="CK468" s="3">
        <f>IFERROR(VLOOKUP(L468,CARR_PEN_TBL,2,0),0)</f>
        <v/>
      </c>
      <c r="CL468" s="3">
        <f>W_FIAB*BW468+W_PRECIO*BX468+W_KMEDAD*CB468+W_ANUNCIO*CC468+W_USO*CH468+W_SEGURIDAD*CJ468+W_ETIQUETA*CD468-CK468</f>
        <v/>
      </c>
      <c r="CM468" s="4">
        <f>IF(N(I468)&gt;0,I468,IFERROR(ROUND(_xlfn.NUMBERVALUE(LEFT(G468,FIND(" ",G468&amp;" ")-1),".")*1000,0),99999))</f>
        <v/>
      </c>
      <c r="CN468" s="3">
        <f>IF(R468="profesional",0,IF(O468&lt;CUOTA_VALOR_MAX,IF(BA468&gt;ITP_TRAMO_ALTO,SUMIFS(CF_CUOTA,CF_MAS,ITP_TRAMO_ALTO,CF_CCMIN,"&lt;="&amp;CM468,CF_CCMAX,"&gt;="&amp;CM468),IF(BA468&gt;ITP_TRAMO_BAJO,SUMIFS(CF_CUOTA,CF_MAS,ITP_TRAMO_BAJO,CF_CCMIN,"&lt;="&amp;CM468,CF_CCMAX,"&gt;="&amp;CM468),O468*ITP_TIPO)),O468*ITP_TIPO))</f>
        <v/>
      </c>
      <c r="CO468" s="4">
        <f>IF(R468="profesional",N(AK468),0)</f>
        <v/>
      </c>
      <c r="CP468" s="3">
        <f>IF(AND(R468="profesional",ISNUMBER(AK468),AL468="sí"),0,TASA_DGT)</f>
        <v/>
      </c>
      <c r="CQ468" s="3">
        <f>INFORME_DGT</f>
        <v/>
      </c>
      <c r="CR468" s="4">
        <f>O468+CO468+CN468+CP468+CQ468</f>
        <v/>
      </c>
      <c r="CS468" s="4">
        <f>CR468+N(CF468)</f>
        <v/>
      </c>
      <c r="CT468" s="3">
        <f>IF(CR468&lt;=TOTAL_MAX,"sí",IF(CR468&lt;=TOTAL_MAX+MARGEN_NEG,"negociar","no"))</f>
        <v/>
      </c>
      <c r="CU468" s="4">
        <f>IF(CT468&lt;&gt;"no",COUNTIFS($CT$2:$CT$545,"&lt;&gt;no",$CL$2:$CL$545,"&gt;"&amp;CL468)+COUNTIFS($CT$2:CT468,"&lt;&gt;no",$CL$2:CL468,CL468),"")</f>
        <v/>
      </c>
    </row>
    <row r="469">
      <c r="A469" s="2" t="inlineStr">
        <is>
          <t>cochesnet:71754825</t>
        </is>
      </c>
      <c r="B469" s="2" t="inlineStr">
        <is>
          <t>cochesnet</t>
        </is>
      </c>
      <c r="C469" s="2" t="inlineStr">
        <is>
          <t>https://www.coches.net/hyundai-matrix-16-gls-5p-gasolina-2007-en-castellon-71754825-covo.aspx</t>
        </is>
      </c>
      <c r="D469" s="2" t="inlineStr">
        <is>
          <t>HYUNDAI Matrix 1.6 GLS</t>
        </is>
      </c>
      <c r="E469" s="2" t="inlineStr">
        <is>
          <t>Hyundai</t>
        </is>
      </c>
      <c r="F469" s="2" t="inlineStr">
        <is>
          <t>Hyundai Matrix</t>
        </is>
      </c>
      <c r="G469" s="2" t="inlineStr">
        <is>
          <t>1.6</t>
        </is>
      </c>
      <c r="H469" s="2" t="inlineStr">
        <is>
          <t>1.6 GLS</t>
        </is>
      </c>
      <c r="I469" s="2" t="n"/>
      <c r="J469" s="2" t="n"/>
      <c r="K469" s="2" t="inlineStr">
        <is>
          <t>gasolina</t>
        </is>
      </c>
      <c r="L469" s="2" t="inlineStr">
        <is>
          <t>monovolumen_pequeno</t>
        </is>
      </c>
      <c r="M469" s="2" t="n">
        <v>2007</v>
      </c>
      <c r="N469" s="2" t="n">
        <v>158000</v>
      </c>
      <c r="O469" s="2" t="n">
        <v>1800</v>
      </c>
      <c r="P469" s="2" t="inlineStr">
        <is>
          <t>manual</t>
        </is>
      </c>
      <c r="Q469" s="2" t="inlineStr">
        <is>
          <t>no</t>
        </is>
      </c>
      <c r="R469" s="2" t="inlineStr">
        <is>
          <t>particular</t>
        </is>
      </c>
      <c r="S469" s="2" t="n"/>
      <c r="T469" s="2" t="inlineStr">
        <is>
          <t>2026-10-15T14:46:52Z</t>
        </is>
      </c>
      <c r="U469" s="2" t="n">
        <v>5</v>
      </c>
      <c r="V469" s="2" t="inlineStr">
        <is>
          <t>sí</t>
        </is>
      </c>
      <c r="W469" s="2" t="n"/>
      <c r="X469" s="2" t="inlineStr">
        <is>
          <t>sí</t>
        </is>
      </c>
      <c r="Y469" s="2" t="n"/>
      <c r="Z469" s="2" t="inlineStr">
        <is>
          <t>no</t>
        </is>
      </c>
      <c r="AA469" s="2" t="n"/>
      <c r="AB469" s="2" t="n"/>
      <c r="AC469" s="2" t="n"/>
      <c r="AD469" s="2" t="n"/>
      <c r="AE469" s="2" t="n"/>
      <c r="AF469" s="2" t="n"/>
      <c r="AG469" s="2" t="n"/>
      <c r="AH469" s="2" t="n">
        <v>1800</v>
      </c>
      <c r="AI469" s="2" t="n"/>
      <c r="AJ469" s="2" t="n"/>
      <c r="AK469" s="2" t="n"/>
      <c r="AL469" s="2" t="n"/>
      <c r="AM469" s="2" t="n"/>
      <c r="AN469" s="2" t="n"/>
      <c r="AO469" s="2" t="inlineStr">
        <is>
          <t>2007</t>
        </is>
      </c>
      <c r="AP469" s="2" t="n">
        <v>2007</v>
      </c>
      <c r="AQ469" s="2" t="n"/>
      <c r="AR469" s="2" t="n"/>
      <c r="AS469" s="2" t="inlineStr">
        <is>
          <t>regla</t>
        </is>
      </c>
      <c r="AT469" s="2" t="n"/>
      <c r="AU469" s="2" t="n"/>
      <c r="AV469" s="2" t="n"/>
      <c r="AW469" s="2" t="n"/>
      <c r="AX469" s="2" t="inlineStr">
        <is>
          <t>cuota fija ITP: &gt;12 años, 1.501-2.000 cc; carrocería monovolumen_pequeno: -6 puntos; distancia no verificable (el anuncio solo indica la provincia): confirmar que está a &lt;= 70 km; fiabilidad del modelo PENDIENTE de fuente (puntuación neutra); mediana con solo 3 anuncio(s)</t>
        </is>
      </c>
      <c r="AY469" s="2" t="inlineStr">
        <is>
          <t xml:space="preserve">ITV hasta 29 /04/2027 todo está al día Correa cambiada ruedas nuevas batería recién cambiada frenos cambiado </t>
        </is>
      </c>
      <c r="AZ469" s="2" t="inlineStr">
        <is>
          <t>https://www.coches.net/hyundai-matrix-16-gls-5p-gasolina-2007-en-castellon-71754825-covo.aspx (window.__INITIAL_PROPS__.ad) /home/user/Alopecia/buscador-coches/raw/cochesnet/1b02fd84ecc68b8a.json</t>
        </is>
      </c>
      <c r="BA469" s="3">
        <f>MAX(ANIO_ACTUAL-M469,0)</f>
        <v/>
      </c>
      <c r="BB469" s="4">
        <f>N469/MAX(BA469,0.5)</f>
        <v/>
      </c>
      <c r="BC469" s="4">
        <f>F469</f>
        <v/>
      </c>
      <c r="BD469" s="3">
        <f>BC469&amp;"|"&amp;INT(M469/SEG_ANIO)*SEG_ANIO</f>
        <v/>
      </c>
      <c r="BE469" s="3">
        <f>BD469&amp;"|"&amp;INT(N469/SEG_KM)*SEG_KM</f>
        <v/>
      </c>
      <c r="BF469" s="4">
        <f>COUNTIF($BC$2:$BC$545,BC469)</f>
        <v/>
      </c>
      <c r="BG469" s="4">
        <f>COUNTIF($BD$2:$BD$545,BD469)</f>
        <v/>
      </c>
      <c r="BH469" s="4">
        <f>COUNTIF($BE$2:$BE$545,BE469)</f>
        <v/>
      </c>
      <c r="BI469" s="3">
        <f t="array" ref="BI469">IF(N(AU469)&gt;=MIN_N,AT469,IF(BH469&gt;=MIN_N,MEDIAN(IF($BE$2:$BE$545=BE469,$O$2:$O$545)),IF(BG469&gt;=MIN_N,MEDIAN(IF($BD$2:$BD$545=BD469,$O$2:$O$545)),MEDIAN(IF($BC$2:$BC$545=BC469,$O$2:$O$545)))))</f>
        <v/>
      </c>
      <c r="BJ469" s="3">
        <f>IF(N(AU469)&gt;=MIN_N,"mercado "&amp;AV469,IF(BH469&gt;=MIN_N,"modelo+año+km",IF(BG469&gt;=MIN_N,"modelo+año","modelo")))</f>
        <v/>
      </c>
      <c r="BK469" s="4">
        <f>(BI469-O469)/BI469</f>
        <v/>
      </c>
      <c r="BL469" s="3">
        <f>IF(COUNTIFS(FR_FUEL,K469,FR_YEAR,AP469)&gt;0,1,0)</f>
        <v/>
      </c>
      <c r="BM469" s="3">
        <f>IF(COUNTIFS(FR_FUEL,K469,FR_YEAR,AP469-1)&gt;0,1,0)</f>
        <v/>
      </c>
      <c r="BN469" s="4">
        <f>IF(N(AQ469)&gt;0,AP469*100+AQ469,IF(AND(BL469=1,BM469=1),(AP469-1)*100+1,AP469*100+1))</f>
        <v/>
      </c>
      <c r="BO469" s="3">
        <f>IF(OR(K469="hibrido",K469="glp",K469="gnc",K469="phev"),"ECO",IF(K469="electrico","CERO",IF(K469="gasolina",IF(BN469&gt;=GAS_C_YM,"C",IF(BN469&gt;=GAS_B_YM,"B","A")),IF(K469="diesel",IF(BN469&gt;=DIE_C_YM,"C",IF(BN469&gt;=DIE_B_YM,"B","A")),""))))</f>
        <v/>
      </c>
      <c r="BP469" s="4">
        <f>BO469</f>
        <v/>
      </c>
      <c r="BQ469" s="4">
        <f>IF(AS469="regla",IF(AND(N(AQ469)=0,BL469=1),"sí","no"),"no")</f>
        <v/>
      </c>
      <c r="BR469" s="3">
        <f>IFERROR(VLOOKUP(F469,MOD_TBL,11,0),IFERROR(VLOOKUP(E469,OCU_TBL,2,0),NEUTRO))</f>
        <v/>
      </c>
      <c r="BS469" s="3">
        <f>SUMIFS(MOT_AJUSTE,MOT_MOTOR,G469,MOT_MARCA,E469,MOT_DESDE,"&lt;="&amp;M469,MOT_HASTA,"&gt;="&amp;M469)+SUMIFS(MOT_AJUSTE,MOT_MOTOR,G469,MOT_MARCA,"(todas)",MOT_DESDE,"&lt;="&amp;M469,MOT_HASTA,"&gt;="&amp;M469)</f>
        <v/>
      </c>
      <c r="BT469" s="3">
        <f>SUMIFS(COMB_AJUSTE,COMB_COMB,K469)</f>
        <v/>
      </c>
      <c r="BU469" s="3">
        <f>COUNTIFS(MOT_MOTOR,G469,MOT_MARCA,E469,MOT_DESDE,"&lt;="&amp;M469,MOT_HASTA,"&gt;="&amp;M469)+COUNTIFS(MOT_MOTOR,G469,MOT_MARCA,"(todas)",MOT_DESDE,"&lt;="&amp;M469,MOT_HASTA,"&gt;="&amp;M469)</f>
        <v/>
      </c>
      <c r="BV469" s="3">
        <f>IF(AND(K469="diesel",BU469=0),MIN(BR469,NEUTRO),BR469)</f>
        <v/>
      </c>
      <c r="BW469" s="4">
        <f>MAX(0,MIN(100,BV469+BS469+BT469))</f>
        <v/>
      </c>
      <c r="BX469" s="3">
        <f>MAX(0,MIN(100,50+BK469*PRECIO_PEND))</f>
        <v/>
      </c>
      <c r="BY469" s="3">
        <f>MAX(0,100*(1-N469/KM_MAX))</f>
        <v/>
      </c>
      <c r="BZ469" s="3">
        <f>IF(BB469&lt;KMA_SOSP,IF(AA469="sí",100,KMA_PEN),IF(BB469&lt;=KMA_IDEAL_MAX,100,MAX(0,100*(KMA_CERO-BB469)/(KMA_CERO-KMA_IDEAL_MAX))))</f>
        <v/>
      </c>
      <c r="CA469" s="3">
        <f>MAX(0,MIN(100,100*(M469-ANIO_MIN)/(ANIO_ACTUAL-ANIO_MIN)))</f>
        <v/>
      </c>
      <c r="CB469" s="3">
        <f>W_KMT*BY469+W_KMA*BZ469+W_EDAD*CA469</f>
        <v/>
      </c>
      <c r="CC469" s="3">
        <f>P_ITV*(V469="sí")+P_LIBRO*(W469="sí")+P_CORREA*(X469="sí")+P_PROP*(Y469=1)+P_GAR*(Z469="sí")+P_FOTOS*MIN(1,N(U469)/FOTOS_OBJ)</f>
        <v/>
      </c>
      <c r="CD469" s="3">
        <f>MAX(0,MIN(100,IFERROR(VLOOKUP(BP469,ETQ_TBL,2,0),0)-IF(BQ469="sí",ETQ_PEN_DUD,IF(AS469="regla",ETQ_PEN_REGLA,0))))</f>
        <v/>
      </c>
      <c r="CE469" s="3">
        <f>NEUTRO</f>
        <v/>
      </c>
      <c r="CF469" s="3">
        <f>IFERROR(VLOOKUP(L469,SEGURO_TBL,3,0),"")</f>
        <v/>
      </c>
      <c r="CG469" s="3">
        <f>IF(CF469="",NEUTRO,MAX(0,MIN(100,100*(SEG_REF_MAX-CF469)/(SEG_REF_MAX-SEG_REF_MIN))))</f>
        <v/>
      </c>
      <c r="CH469" s="3">
        <f>W_CONS*CE469+W_SEG*CG469</f>
        <v/>
      </c>
      <c r="CI469" s="3">
        <f>IF(N(AB469)&gt;0,AB469,IF(AND(R469="profesional",SG_LEGAL_ON=1),GAR_LEGAL,0))</f>
        <v/>
      </c>
      <c r="CJ469" s="3">
        <f>SG_GAR*MIN(1,CI469/SG_GAR_FULL)+SG_AMPL*(AC469="sí")+SG_KMC*(AF469="sí")+SG_REV*(N(AE469)&gt;0)+SG_DEV*MIN(1,N(AG469)/SG_DEV_FULL)+SG_HIST*(W469="sí")</f>
        <v/>
      </c>
      <c r="CK469" s="3">
        <f>IFERROR(VLOOKUP(L469,CARR_PEN_TBL,2,0),0)</f>
        <v/>
      </c>
      <c r="CL469" s="3">
        <f>W_FIAB*BW469+W_PRECIO*BX469+W_KMEDAD*CB469+W_ANUNCIO*CC469+W_USO*CH469+W_SEGURIDAD*CJ469+W_ETIQUETA*CD469-CK469</f>
        <v/>
      </c>
      <c r="CM469" s="4">
        <f>IF(N(I469)&gt;0,I469,IFERROR(ROUND(_xlfn.NUMBERVALUE(LEFT(G469,FIND(" ",G469&amp;" ")-1),".")*1000,0),99999))</f>
        <v/>
      </c>
      <c r="CN469" s="3">
        <f>IF(R469="profesional",0,IF(O469&lt;CUOTA_VALOR_MAX,IF(BA469&gt;ITP_TRAMO_ALTO,SUMIFS(CF_CUOTA,CF_MAS,ITP_TRAMO_ALTO,CF_CCMIN,"&lt;="&amp;CM469,CF_CCMAX,"&gt;="&amp;CM469),IF(BA469&gt;ITP_TRAMO_BAJO,SUMIFS(CF_CUOTA,CF_MAS,ITP_TRAMO_BAJO,CF_CCMIN,"&lt;="&amp;CM469,CF_CCMAX,"&gt;="&amp;CM469),O469*ITP_TIPO)),O469*ITP_TIPO))</f>
        <v/>
      </c>
      <c r="CO469" s="4">
        <f>IF(R469="profesional",N(AK469),0)</f>
        <v/>
      </c>
      <c r="CP469" s="3">
        <f>IF(AND(R469="profesional",ISNUMBER(AK469),AL469="sí"),0,TASA_DGT)</f>
        <v/>
      </c>
      <c r="CQ469" s="3">
        <f>INFORME_DGT</f>
        <v/>
      </c>
      <c r="CR469" s="4">
        <f>O469+CO469+CN469+CP469+CQ469</f>
        <v/>
      </c>
      <c r="CS469" s="4">
        <f>CR469+N(CF469)</f>
        <v/>
      </c>
      <c r="CT469" s="3">
        <f>IF(CR469&lt;=TOTAL_MAX,"sí",IF(CR469&lt;=TOTAL_MAX+MARGEN_NEG,"negociar","no"))</f>
        <v/>
      </c>
      <c r="CU469" s="4">
        <f>IF(CT469&lt;&gt;"no",COUNTIFS($CT$2:$CT$545,"&lt;&gt;no",$CL$2:$CL$545,"&gt;"&amp;CL469)+COUNTIFS($CT$2:CT469,"&lt;&gt;no",$CL$2:CL469,CL469),"")</f>
        <v/>
      </c>
    </row>
    <row r="470">
      <c r="A470" s="2" t="inlineStr">
        <is>
          <t>cochesnet:70497853</t>
        </is>
      </c>
      <c r="B470" s="2" t="inlineStr">
        <is>
          <t>cochesnet</t>
        </is>
      </c>
      <c r="C470" s="2" t="inlineStr">
        <is>
          <t>https://www.coches.net/hyundai-i30-16-cvvt-style-5p-gasolina-2008-en-castellon-70497853-covo.aspx</t>
        </is>
      </c>
      <c r="D470" s="2" t="inlineStr">
        <is>
          <t>HYUNDAI i30 1.6 CVVT Style</t>
        </is>
      </c>
      <c r="E470" s="2" t="inlineStr">
        <is>
          <t>Hyundai</t>
        </is>
      </c>
      <c r="F470" s="2" t="inlineStr">
        <is>
          <t>Hyundai i30</t>
        </is>
      </c>
      <c r="G470" s="2" t="inlineStr">
        <is>
          <t>1.6</t>
        </is>
      </c>
      <c r="H470" s="2" t="inlineStr">
        <is>
          <t>1.6 CVVT Style</t>
        </is>
      </c>
      <c r="I470" s="2" t="n"/>
      <c r="J470" s="2" t="n"/>
      <c r="K470" s="2" t="inlineStr">
        <is>
          <t>gasolina</t>
        </is>
      </c>
      <c r="L470" s="2" t="inlineStr">
        <is>
          <t>compacto</t>
        </is>
      </c>
      <c r="M470" s="2" t="n">
        <v>2008</v>
      </c>
      <c r="N470" s="2" t="n">
        <v>198000</v>
      </c>
      <c r="O470" s="2" t="n">
        <v>4900</v>
      </c>
      <c r="P470" s="2" t="inlineStr">
        <is>
          <t>manual</t>
        </is>
      </c>
      <c r="Q470" s="2" t="inlineStr">
        <is>
          <t>no</t>
        </is>
      </c>
      <c r="R470" s="2" t="inlineStr">
        <is>
          <t>particular</t>
        </is>
      </c>
      <c r="S470" s="2" t="inlineStr">
        <is>
          <t>Ribesalbes</t>
        </is>
      </c>
      <c r="T470" s="2" t="inlineStr">
        <is>
          <t>2026-08-04T14:52:18Z</t>
        </is>
      </c>
      <c r="U470" s="2" t="n">
        <v>11</v>
      </c>
      <c r="V470" s="2" t="n"/>
      <c r="W470" s="2" t="n"/>
      <c r="X470" s="2" t="n"/>
      <c r="Y470" s="2" t="n"/>
      <c r="Z470" s="2" t="inlineStr">
        <is>
          <t>no</t>
        </is>
      </c>
      <c r="AA470" s="2" t="n"/>
      <c r="AB470" s="2" t="n"/>
      <c r="AC470" s="2" t="n"/>
      <c r="AD470" s="2" t="n"/>
      <c r="AE470" s="2" t="n"/>
      <c r="AF470" s="2" t="n"/>
      <c r="AG470" s="2" t="n"/>
      <c r="AH470" s="2" t="n">
        <v>4900</v>
      </c>
      <c r="AI470" s="2" t="n"/>
      <c r="AJ470" s="2" t="n"/>
      <c r="AK470" s="2" t="n"/>
      <c r="AL470" s="2" t="n"/>
      <c r="AM470" s="2" t="n">
        <v>62</v>
      </c>
      <c r="AN470" s="2" t="n"/>
      <c r="AO470" s="2" t="inlineStr">
        <is>
          <t>2008</t>
        </is>
      </c>
      <c r="AP470" s="2" t="n">
        <v>2008</v>
      </c>
      <c r="AQ470" s="2" t="n"/>
      <c r="AR470" s="2" t="inlineStr">
        <is>
          <t>C</t>
        </is>
      </c>
      <c r="AS470" s="2" t="inlineStr">
        <is>
          <t>anuncio</t>
        </is>
      </c>
      <c r="AT470" s="2" t="n">
        <v>5850</v>
      </c>
      <c r="AU470" s="2" t="n">
        <v>7</v>
      </c>
      <c r="AV470" s="2" t="inlineStr">
        <is>
          <t>modelo+año</t>
        </is>
      </c>
      <c r="AW470" s="2" t="n"/>
      <c r="AX470" s="2" t="inlineStr">
        <is>
          <t>por encima del presupuesto (5024 €), negociar; cuota fija ITP: &gt;12 años, 1.501-2.000 cc</t>
        </is>
      </c>
      <c r="AY470" s="2" t="inlineStr"/>
      <c r="AZ470" s="2" t="inlineStr">
        <is>
          <t>https://www.coches.net/hyundai-i30-16-cvvt-style-5p-gasolina-2008-en-castellon-70497853-covo.aspx (window.__INITIAL_PROPS__.ad) /home/user/Alopecia/buscador-coches/raw/cochesnet/11ca9581990778a3.json</t>
        </is>
      </c>
      <c r="BA470" s="3">
        <f>MAX(ANIO_ACTUAL-M470,0)</f>
        <v/>
      </c>
      <c r="BB470" s="4">
        <f>N470/MAX(BA470,0.5)</f>
        <v/>
      </c>
      <c r="BC470" s="4">
        <f>F470</f>
        <v/>
      </c>
      <c r="BD470" s="3">
        <f>BC470&amp;"|"&amp;INT(M470/SEG_ANIO)*SEG_ANIO</f>
        <v/>
      </c>
      <c r="BE470" s="3">
        <f>BD470&amp;"|"&amp;INT(N470/SEG_KM)*SEG_KM</f>
        <v/>
      </c>
      <c r="BF470" s="4">
        <f>COUNTIF($BC$2:$BC$545,BC470)</f>
        <v/>
      </c>
      <c r="BG470" s="4">
        <f>COUNTIF($BD$2:$BD$545,BD470)</f>
        <v/>
      </c>
      <c r="BH470" s="4">
        <f>COUNTIF($BE$2:$BE$545,BE470)</f>
        <v/>
      </c>
      <c r="BI470" s="3">
        <f t="array" ref="BI470">IF(N(AU470)&gt;=MIN_N,AT470,IF(BH470&gt;=MIN_N,MEDIAN(IF($BE$2:$BE$545=BE470,$O$2:$O$545)),IF(BG470&gt;=MIN_N,MEDIAN(IF($BD$2:$BD$545=BD470,$O$2:$O$545)),MEDIAN(IF($BC$2:$BC$545=BC470,$O$2:$O$545)))))</f>
        <v/>
      </c>
      <c r="BJ470" s="3">
        <f>IF(N(AU470)&gt;=MIN_N,"mercado "&amp;AV470,IF(BH470&gt;=MIN_N,"modelo+año+km",IF(BG470&gt;=MIN_N,"modelo+año","modelo")))</f>
        <v/>
      </c>
      <c r="BK470" s="4">
        <f>(BI470-O470)/BI470</f>
        <v/>
      </c>
      <c r="BL470" s="3">
        <f>IF(COUNTIFS(FR_FUEL,K470,FR_YEAR,AP470)&gt;0,1,0)</f>
        <v/>
      </c>
      <c r="BM470" s="3">
        <f>IF(COUNTIFS(FR_FUEL,K470,FR_YEAR,AP470-1)&gt;0,1,0)</f>
        <v/>
      </c>
      <c r="BN470" s="4">
        <f>IF(N(AQ470)&gt;0,AP470*100+AQ470,IF(AND(BL470=1,BM470=1),(AP470-1)*100+1,AP470*100+1))</f>
        <v/>
      </c>
      <c r="BO470" s="3">
        <f>IF(OR(K470="hibrido",K470="glp",K470="gnc",K470="phev"),"ECO",IF(K470="electrico","CERO",IF(K470="gasolina",IF(BN470&gt;=GAS_C_YM,"C",IF(BN470&gt;=GAS_B_YM,"B","A")),IF(K470="diesel",IF(BN470&gt;=DIE_C_YM,"C",IF(BN470&gt;=DIE_B_YM,"B","A")),""))))</f>
        <v/>
      </c>
      <c r="BP470" s="2" t="inlineStr">
        <is>
          <t>C</t>
        </is>
      </c>
      <c r="BQ470" s="4">
        <f>IF(AS470="regla",IF(AND(N(AQ470)=0,BL470=1),"sí","no"),"no")</f>
        <v/>
      </c>
      <c r="BR470" s="3">
        <f>IFERROR(VLOOKUP(F470,MOD_TBL,11,0),IFERROR(VLOOKUP(E470,OCU_TBL,2,0),NEUTRO))</f>
        <v/>
      </c>
      <c r="BS470" s="3">
        <f>SUMIFS(MOT_AJUSTE,MOT_MOTOR,G470,MOT_MARCA,E470,MOT_DESDE,"&lt;="&amp;M470,MOT_HASTA,"&gt;="&amp;M470)+SUMIFS(MOT_AJUSTE,MOT_MOTOR,G470,MOT_MARCA,"(todas)",MOT_DESDE,"&lt;="&amp;M470,MOT_HASTA,"&gt;="&amp;M470)</f>
        <v/>
      </c>
      <c r="BT470" s="3">
        <f>SUMIFS(COMB_AJUSTE,COMB_COMB,K470)</f>
        <v/>
      </c>
      <c r="BU470" s="3">
        <f>COUNTIFS(MOT_MOTOR,G470,MOT_MARCA,E470,MOT_DESDE,"&lt;="&amp;M470,MOT_HASTA,"&gt;="&amp;M470)+COUNTIFS(MOT_MOTOR,G470,MOT_MARCA,"(todas)",MOT_DESDE,"&lt;="&amp;M470,MOT_HASTA,"&gt;="&amp;M470)</f>
        <v/>
      </c>
      <c r="BV470" s="3">
        <f>IF(AND(K470="diesel",BU470=0),MIN(BR470,NEUTRO),BR470)</f>
        <v/>
      </c>
      <c r="BW470" s="4">
        <f>MAX(0,MIN(100,BV470+BS470+BT470))</f>
        <v/>
      </c>
      <c r="BX470" s="3">
        <f>MAX(0,MIN(100,50+BK470*PRECIO_PEND))</f>
        <v/>
      </c>
      <c r="BY470" s="3">
        <f>MAX(0,100*(1-N470/KM_MAX))</f>
        <v/>
      </c>
      <c r="BZ470" s="3">
        <f>IF(BB470&lt;KMA_SOSP,IF(AA470="sí",100,KMA_PEN),IF(BB470&lt;=KMA_IDEAL_MAX,100,MAX(0,100*(KMA_CERO-BB470)/(KMA_CERO-KMA_IDEAL_MAX))))</f>
        <v/>
      </c>
      <c r="CA470" s="3">
        <f>MAX(0,MIN(100,100*(M470-ANIO_MIN)/(ANIO_ACTUAL-ANIO_MIN)))</f>
        <v/>
      </c>
      <c r="CB470" s="3">
        <f>W_KMT*BY470+W_KMA*BZ470+W_EDAD*CA470</f>
        <v/>
      </c>
      <c r="CC470" s="3">
        <f>P_ITV*(V470="sí")+P_LIBRO*(W470="sí")+P_CORREA*(X470="sí")+P_PROP*(Y470=1)+P_GAR*(Z470="sí")+P_FOTOS*MIN(1,N(U470)/FOTOS_OBJ)</f>
        <v/>
      </c>
      <c r="CD470" s="3">
        <f>MAX(0,MIN(100,IFERROR(VLOOKUP(BP470,ETQ_TBL,2,0),0)-IF(BQ470="sí",ETQ_PEN_DUD,IF(AS470="regla",ETQ_PEN_REGLA,0))))</f>
        <v/>
      </c>
      <c r="CE470" s="3">
        <f>NEUTRO</f>
        <v/>
      </c>
      <c r="CF470" s="3">
        <f>IFERROR(VLOOKUP(L470,SEGURO_TBL,3,0),"")</f>
        <v/>
      </c>
      <c r="CG470" s="3">
        <f>IF(CF470="",NEUTRO,MAX(0,MIN(100,100*(SEG_REF_MAX-CF470)/(SEG_REF_MAX-SEG_REF_MIN))))</f>
        <v/>
      </c>
      <c r="CH470" s="3">
        <f>W_CONS*CE470+W_SEG*CG470</f>
        <v/>
      </c>
      <c r="CI470" s="3">
        <f>IF(N(AB470)&gt;0,AB470,IF(AND(R470="profesional",SG_LEGAL_ON=1),GAR_LEGAL,0))</f>
        <v/>
      </c>
      <c r="CJ470" s="3">
        <f>SG_GAR*MIN(1,CI470/SG_GAR_FULL)+SG_AMPL*(AC470="sí")+SG_KMC*(AF470="sí")+SG_REV*(N(AE470)&gt;0)+SG_DEV*MIN(1,N(AG470)/SG_DEV_FULL)+SG_HIST*(W470="sí")</f>
        <v/>
      </c>
      <c r="CK470" s="3">
        <f>IFERROR(VLOOKUP(L470,CARR_PEN_TBL,2,0),0)</f>
        <v/>
      </c>
      <c r="CL470" s="3">
        <f>W_FIAB*BW470+W_PRECIO*BX470+W_KMEDAD*CB470+W_ANUNCIO*CC470+W_USO*CH470+W_SEGURIDAD*CJ470+W_ETIQUETA*CD470-CK470</f>
        <v/>
      </c>
      <c r="CM470" s="4">
        <f>IF(N(I470)&gt;0,I470,IFERROR(ROUND(_xlfn.NUMBERVALUE(LEFT(G470,FIND(" ",G470&amp;" ")-1),".")*1000,0),99999))</f>
        <v/>
      </c>
      <c r="CN470" s="3">
        <f>IF(R470="profesional",0,IF(O470&lt;CUOTA_VALOR_MAX,IF(BA470&gt;ITP_TRAMO_ALTO,SUMIFS(CF_CUOTA,CF_MAS,ITP_TRAMO_ALTO,CF_CCMIN,"&lt;="&amp;CM470,CF_CCMAX,"&gt;="&amp;CM470),IF(BA470&gt;ITP_TRAMO_BAJO,SUMIFS(CF_CUOTA,CF_MAS,ITP_TRAMO_BAJO,CF_CCMIN,"&lt;="&amp;CM470,CF_CCMAX,"&gt;="&amp;CM470),O470*ITP_TIPO)),O470*ITP_TIPO))</f>
        <v/>
      </c>
      <c r="CO470" s="4">
        <f>IF(R470="profesional",N(AK470),0)</f>
        <v/>
      </c>
      <c r="CP470" s="3">
        <f>IF(AND(R470="profesional",ISNUMBER(AK470),AL470="sí"),0,TASA_DGT)</f>
        <v/>
      </c>
      <c r="CQ470" s="3">
        <f>INFORME_DGT</f>
        <v/>
      </c>
      <c r="CR470" s="4">
        <f>O470+CO470+CN470+CP470+CQ470</f>
        <v/>
      </c>
      <c r="CS470" s="4">
        <f>CR470+N(CF470)</f>
        <v/>
      </c>
      <c r="CT470" s="3">
        <f>IF(CR470&lt;=TOTAL_MAX,"sí",IF(CR470&lt;=TOTAL_MAX+MARGEN_NEG,"negociar","no"))</f>
        <v/>
      </c>
      <c r="CU470" s="4">
        <f>IF(CT470&lt;&gt;"no",COUNTIFS($CT$2:$CT$545,"&lt;&gt;no",$CL$2:$CL$545,"&gt;"&amp;CL470)+COUNTIFS($CT$2:CT470,"&lt;&gt;no",$CL$2:CL470,CL470),"")</f>
        <v/>
      </c>
    </row>
    <row r="471">
      <c r="A471" s="2" t="inlineStr">
        <is>
          <t>cochesnet:71735711</t>
        </is>
      </c>
      <c r="B471" s="2" t="inlineStr">
        <is>
          <t>cochesnet</t>
        </is>
      </c>
      <c r="C471" s="2" t="inlineStr">
        <is>
          <t>https://www.coches.net/skoda-fabia-combi-14-16v-75cv-young-5p-gasolina-2006-en-castellon-71735711-covo.aspx</t>
        </is>
      </c>
      <c r="D471" s="2" t="inlineStr">
        <is>
          <t>SKODA Fabia Combi 1.4 16v Young</t>
        </is>
      </c>
      <c r="E471" s="2" t="inlineStr">
        <is>
          <t>Skoda</t>
        </is>
      </c>
      <c r="F471" s="2" t="inlineStr">
        <is>
          <t>Skoda Fabia</t>
        </is>
      </c>
      <c r="G471" s="2" t="inlineStr">
        <is>
          <t>1.4</t>
        </is>
      </c>
      <c r="H471" s="2" t="inlineStr">
        <is>
          <t>Combi 1.4 16v 75CV Young</t>
        </is>
      </c>
      <c r="I471" s="2" t="n"/>
      <c r="J471" s="2" t="n">
        <v>75</v>
      </c>
      <c r="K471" s="2" t="inlineStr">
        <is>
          <t>gasolina</t>
        </is>
      </c>
      <c r="L471" s="2" t="inlineStr">
        <is>
          <t>familiar</t>
        </is>
      </c>
      <c r="M471" s="2" t="n">
        <v>2006</v>
      </c>
      <c r="N471" s="2" t="n">
        <v>91000</v>
      </c>
      <c r="O471" s="2" t="n">
        <v>3000</v>
      </c>
      <c r="P471" s="2" t="inlineStr">
        <is>
          <t>manual</t>
        </is>
      </c>
      <c r="Q471" s="2" t="inlineStr">
        <is>
          <t>no</t>
        </is>
      </c>
      <c r="R471" s="2" t="inlineStr">
        <is>
          <t>particular</t>
        </is>
      </c>
      <c r="S471" s="2" t="n"/>
      <c r="T471" s="2" t="inlineStr">
        <is>
          <t>2026-10-13T14:37:21Z</t>
        </is>
      </c>
      <c r="U471" s="2" t="n">
        <v>5</v>
      </c>
      <c r="V471" s="2" t="inlineStr">
        <is>
          <t>sí</t>
        </is>
      </c>
      <c r="W471" s="2" t="n"/>
      <c r="X471" s="2" t="n"/>
      <c r="Y471" s="2" t="n"/>
      <c r="Z471" s="2" t="inlineStr">
        <is>
          <t>no</t>
        </is>
      </c>
      <c r="AA471" s="2" t="n"/>
      <c r="AB471" s="2" t="n"/>
      <c r="AC471" s="2" t="n"/>
      <c r="AD471" s="2" t="n"/>
      <c r="AE471" s="2" t="n"/>
      <c r="AF471" s="2" t="n"/>
      <c r="AG471" s="2" t="n"/>
      <c r="AH471" s="2" t="n">
        <v>3000</v>
      </c>
      <c r="AI471" s="2" t="n"/>
      <c r="AJ471" s="2" t="n"/>
      <c r="AK471" s="2" t="n"/>
      <c r="AL471" s="2" t="n"/>
      <c r="AM471" s="2" t="n"/>
      <c r="AN471" s="2" t="n"/>
      <c r="AO471" s="2" t="inlineStr">
        <is>
          <t>2006</t>
        </is>
      </c>
      <c r="AP471" s="2" t="n">
        <v>2006</v>
      </c>
      <c r="AQ471" s="2" t="n"/>
      <c r="AR471" s="2" t="n"/>
      <c r="AS471" s="2" t="inlineStr">
        <is>
          <t>regla</t>
        </is>
      </c>
      <c r="AT471" s="2" t="n">
        <v>3000</v>
      </c>
      <c r="AU471" s="2" t="n">
        <v>5</v>
      </c>
      <c r="AV471" s="2" t="inlineStr">
        <is>
          <t>modelo+año</t>
        </is>
      </c>
      <c r="AW471" s="2" t="n"/>
      <c r="AX471" s="2" t="inlineStr">
        <is>
          <t>cuota fija ITP: &gt;12 años, hasta 1.500 cc; carrocería familiar: -3 puntos; distancia no verificable (el anuncio solo indica la provincia): confirmar que está a &lt;= 70 km</t>
        </is>
      </c>
      <c r="AY471" s="2" t="inlineStr">
        <is>
          <t xml:space="preserve">Muy bien cuidado en interior y exterior. Todas las revisiones a tiempo. ITV hasta Octubre de 2027. </t>
        </is>
      </c>
      <c r="AZ471" s="2" t="inlineStr">
        <is>
          <t>https://www.coches.net/skoda-fabia-combi-14-16v-75cv-young-5p-gasolina-2006-en-castellon-71735711-covo.aspx (window.__INITIAL_PROPS__.ad) /home/user/Alopecia/buscador-coches/raw/cochesnet/c8a7d8c6515ccf4e.json</t>
        </is>
      </c>
      <c r="BA471" s="3">
        <f>MAX(ANIO_ACTUAL-M471,0)</f>
        <v/>
      </c>
      <c r="BB471" s="4">
        <f>N471/MAX(BA471,0.5)</f>
        <v/>
      </c>
      <c r="BC471" s="4">
        <f>F471</f>
        <v/>
      </c>
      <c r="BD471" s="3">
        <f>BC471&amp;"|"&amp;INT(M471/SEG_ANIO)*SEG_ANIO</f>
        <v/>
      </c>
      <c r="BE471" s="3">
        <f>BD471&amp;"|"&amp;INT(N471/SEG_KM)*SEG_KM</f>
        <v/>
      </c>
      <c r="BF471" s="4">
        <f>COUNTIF($BC$2:$BC$545,BC471)</f>
        <v/>
      </c>
      <c r="BG471" s="4">
        <f>COUNTIF($BD$2:$BD$545,BD471)</f>
        <v/>
      </c>
      <c r="BH471" s="4">
        <f>COUNTIF($BE$2:$BE$545,BE471)</f>
        <v/>
      </c>
      <c r="BI471" s="3">
        <f t="array" ref="BI471">IF(N(AU471)&gt;=MIN_N,AT471,IF(BH471&gt;=MIN_N,MEDIAN(IF($BE$2:$BE$545=BE471,$O$2:$O$545)),IF(BG471&gt;=MIN_N,MEDIAN(IF($BD$2:$BD$545=BD471,$O$2:$O$545)),MEDIAN(IF($BC$2:$BC$545=BC471,$O$2:$O$545)))))</f>
        <v/>
      </c>
      <c r="BJ471" s="3">
        <f>IF(N(AU471)&gt;=MIN_N,"mercado "&amp;AV471,IF(BH471&gt;=MIN_N,"modelo+año+km",IF(BG471&gt;=MIN_N,"modelo+año","modelo")))</f>
        <v/>
      </c>
      <c r="BK471" s="4">
        <f>(BI471-O471)/BI471</f>
        <v/>
      </c>
      <c r="BL471" s="3">
        <f>IF(COUNTIFS(FR_FUEL,K471,FR_YEAR,AP471)&gt;0,1,0)</f>
        <v/>
      </c>
      <c r="BM471" s="3">
        <f>IF(COUNTIFS(FR_FUEL,K471,FR_YEAR,AP471-1)&gt;0,1,0)</f>
        <v/>
      </c>
      <c r="BN471" s="4">
        <f>IF(N(AQ471)&gt;0,AP471*100+AQ471,IF(AND(BL471=1,BM471=1),(AP471-1)*100+1,AP471*100+1))</f>
        <v/>
      </c>
      <c r="BO471" s="3">
        <f>IF(OR(K471="hibrido",K471="glp",K471="gnc",K471="phev"),"ECO",IF(K471="electrico","CERO",IF(K471="gasolina",IF(BN471&gt;=GAS_C_YM,"C",IF(BN471&gt;=GAS_B_YM,"B","A")),IF(K471="diesel",IF(BN471&gt;=DIE_C_YM,"C",IF(BN471&gt;=DIE_B_YM,"B","A")),""))))</f>
        <v/>
      </c>
      <c r="BP471" s="4">
        <f>BO471</f>
        <v/>
      </c>
      <c r="BQ471" s="4">
        <f>IF(AS471="regla",IF(AND(N(AQ471)=0,BL471=1),"sí","no"),"no")</f>
        <v/>
      </c>
      <c r="BR471" s="3">
        <f>IFERROR(VLOOKUP(F471,MOD_TBL,11,0),IFERROR(VLOOKUP(E471,OCU_TBL,2,0),NEUTRO))</f>
        <v/>
      </c>
      <c r="BS471" s="3">
        <f>SUMIFS(MOT_AJUSTE,MOT_MOTOR,G471,MOT_MARCA,E471,MOT_DESDE,"&lt;="&amp;M471,MOT_HASTA,"&gt;="&amp;M471)+SUMIFS(MOT_AJUSTE,MOT_MOTOR,G471,MOT_MARCA,"(todas)",MOT_DESDE,"&lt;="&amp;M471,MOT_HASTA,"&gt;="&amp;M471)</f>
        <v/>
      </c>
      <c r="BT471" s="3">
        <f>SUMIFS(COMB_AJUSTE,COMB_COMB,K471)</f>
        <v/>
      </c>
      <c r="BU471" s="3">
        <f>COUNTIFS(MOT_MOTOR,G471,MOT_MARCA,E471,MOT_DESDE,"&lt;="&amp;M471,MOT_HASTA,"&gt;="&amp;M471)+COUNTIFS(MOT_MOTOR,G471,MOT_MARCA,"(todas)",MOT_DESDE,"&lt;="&amp;M471,MOT_HASTA,"&gt;="&amp;M471)</f>
        <v/>
      </c>
      <c r="BV471" s="3">
        <f>IF(AND(K471="diesel",BU471=0),MIN(BR471,NEUTRO),BR471)</f>
        <v/>
      </c>
      <c r="BW471" s="4">
        <f>MAX(0,MIN(100,BV471+BS471+BT471))</f>
        <v/>
      </c>
      <c r="BX471" s="3">
        <f>MAX(0,MIN(100,50+BK471*PRECIO_PEND))</f>
        <v/>
      </c>
      <c r="BY471" s="3">
        <f>MAX(0,100*(1-N471/KM_MAX))</f>
        <v/>
      </c>
      <c r="BZ471" s="3">
        <f>IF(BB471&lt;KMA_SOSP,IF(AA471="sí",100,KMA_PEN),IF(BB471&lt;=KMA_IDEAL_MAX,100,MAX(0,100*(KMA_CERO-BB471)/(KMA_CERO-KMA_IDEAL_MAX))))</f>
        <v/>
      </c>
      <c r="CA471" s="3">
        <f>MAX(0,MIN(100,100*(M471-ANIO_MIN)/(ANIO_ACTUAL-ANIO_MIN)))</f>
        <v/>
      </c>
      <c r="CB471" s="3">
        <f>W_KMT*BY471+W_KMA*BZ471+W_EDAD*CA471</f>
        <v/>
      </c>
      <c r="CC471" s="3">
        <f>P_ITV*(V471="sí")+P_LIBRO*(W471="sí")+P_CORREA*(X471="sí")+P_PROP*(Y471=1)+P_GAR*(Z471="sí")+P_FOTOS*MIN(1,N(U471)/FOTOS_OBJ)</f>
        <v/>
      </c>
      <c r="CD471" s="3">
        <f>MAX(0,MIN(100,IFERROR(VLOOKUP(BP471,ETQ_TBL,2,0),0)-IF(BQ471="sí",ETQ_PEN_DUD,IF(AS471="regla",ETQ_PEN_REGLA,0))))</f>
        <v/>
      </c>
      <c r="CE471" s="3">
        <f>NEUTRO</f>
        <v/>
      </c>
      <c r="CF471" s="3">
        <f>IFERROR(VLOOKUP(L471,SEGURO_TBL,3,0),"")</f>
        <v/>
      </c>
      <c r="CG471" s="3">
        <f>IF(CF471="",NEUTRO,MAX(0,MIN(100,100*(SEG_REF_MAX-CF471)/(SEG_REF_MAX-SEG_REF_MIN))))</f>
        <v/>
      </c>
      <c r="CH471" s="3">
        <f>W_CONS*CE471+W_SEG*CG471</f>
        <v/>
      </c>
      <c r="CI471" s="3">
        <f>IF(N(AB471)&gt;0,AB471,IF(AND(R471="profesional",SG_LEGAL_ON=1),GAR_LEGAL,0))</f>
        <v/>
      </c>
      <c r="CJ471" s="3">
        <f>SG_GAR*MIN(1,CI471/SG_GAR_FULL)+SG_AMPL*(AC471="sí")+SG_KMC*(AF471="sí")+SG_REV*(N(AE471)&gt;0)+SG_DEV*MIN(1,N(AG471)/SG_DEV_FULL)+SG_HIST*(W471="sí")</f>
        <v/>
      </c>
      <c r="CK471" s="3">
        <f>IFERROR(VLOOKUP(L471,CARR_PEN_TBL,2,0),0)</f>
        <v/>
      </c>
      <c r="CL471" s="3">
        <f>W_FIAB*BW471+W_PRECIO*BX471+W_KMEDAD*CB471+W_ANUNCIO*CC471+W_USO*CH471+W_SEGURIDAD*CJ471+W_ETIQUETA*CD471-CK471</f>
        <v/>
      </c>
      <c r="CM471" s="4">
        <f>IF(N(I471)&gt;0,I471,IFERROR(ROUND(_xlfn.NUMBERVALUE(LEFT(G471,FIND(" ",G471&amp;" ")-1),".")*1000,0),99999))</f>
        <v/>
      </c>
      <c r="CN471" s="3">
        <f>IF(R471="profesional",0,IF(O471&lt;CUOTA_VALOR_MAX,IF(BA471&gt;ITP_TRAMO_ALTO,SUMIFS(CF_CUOTA,CF_MAS,ITP_TRAMO_ALTO,CF_CCMIN,"&lt;="&amp;CM471,CF_CCMAX,"&gt;="&amp;CM471),IF(BA471&gt;ITP_TRAMO_BAJO,SUMIFS(CF_CUOTA,CF_MAS,ITP_TRAMO_BAJO,CF_CCMIN,"&lt;="&amp;CM471,CF_CCMAX,"&gt;="&amp;CM471),O471*ITP_TIPO)),O471*ITP_TIPO))</f>
        <v/>
      </c>
      <c r="CO471" s="4">
        <f>IF(R471="profesional",N(AK471),0)</f>
        <v/>
      </c>
      <c r="CP471" s="3">
        <f>IF(AND(R471="profesional",ISNUMBER(AK471),AL471="sí"),0,TASA_DGT)</f>
        <v/>
      </c>
      <c r="CQ471" s="3">
        <f>INFORME_DGT</f>
        <v/>
      </c>
      <c r="CR471" s="4">
        <f>O471+CO471+CN471+CP471+CQ471</f>
        <v/>
      </c>
      <c r="CS471" s="4">
        <f>CR471+N(CF471)</f>
        <v/>
      </c>
      <c r="CT471" s="3">
        <f>IF(CR471&lt;=TOTAL_MAX,"sí",IF(CR471&lt;=TOTAL_MAX+MARGEN_NEG,"negociar","no"))</f>
        <v/>
      </c>
      <c r="CU471" s="4">
        <f>IF(CT471&lt;&gt;"no",COUNTIFS($CT$2:$CT$545,"&lt;&gt;no",$CL$2:$CL$545,"&gt;"&amp;CL471)+COUNTIFS($CT$2:CT471,"&lt;&gt;no",$CL$2:CL471,CL471),"")</f>
        <v/>
      </c>
    </row>
    <row r="472">
      <c r="A472" s="2" t="inlineStr">
        <is>
          <t>cochesnet:71112200</t>
        </is>
      </c>
      <c r="B472" s="2" t="inlineStr">
        <is>
          <t>cochesnet</t>
        </is>
      </c>
      <c r="C472" s="2" t="inlineStr">
        <is>
          <t>https://www.coches.net/skoda-fabia-12-12v-60cv-young-5p-gasolina-2011-en-castellon-71112200-covo.aspx</t>
        </is>
      </c>
      <c r="D472" s="2" t="inlineStr">
        <is>
          <t>SKODA Fabia 1.2 12v Young</t>
        </is>
      </c>
      <c r="E472" s="2" t="inlineStr">
        <is>
          <t>Skoda</t>
        </is>
      </c>
      <c r="F472" s="2" t="inlineStr">
        <is>
          <t>Skoda Fabia</t>
        </is>
      </c>
      <c r="G472" s="2" t="inlineStr">
        <is>
          <t>1.2</t>
        </is>
      </c>
      <c r="H472" s="2" t="inlineStr">
        <is>
          <t>1.2 12v 60cv Young</t>
        </is>
      </c>
      <c r="I472" s="2" t="n"/>
      <c r="J472" s="2" t="n">
        <v>60</v>
      </c>
      <c r="K472" s="2" t="inlineStr">
        <is>
          <t>gasolina</t>
        </is>
      </c>
      <c r="L472" s="2" t="inlineStr">
        <is>
          <t>utilitario</t>
        </is>
      </c>
      <c r="M472" s="2" t="n">
        <v>2011</v>
      </c>
      <c r="N472" s="2" t="n">
        <v>144000</v>
      </c>
      <c r="O472" s="2" t="n">
        <v>3950</v>
      </c>
      <c r="P472" s="2" t="inlineStr">
        <is>
          <t>manual</t>
        </is>
      </c>
      <c r="Q472" s="2" t="inlineStr">
        <is>
          <t>no</t>
        </is>
      </c>
      <c r="R472" s="2" t="inlineStr">
        <is>
          <t>particular</t>
        </is>
      </c>
      <c r="S472" s="2" t="inlineStr">
        <is>
          <t>Vila-real</t>
        </is>
      </c>
      <c r="T472" s="2" t="inlineStr">
        <is>
          <t>2026-10-02T22:31:24Z</t>
        </is>
      </c>
      <c r="U472" s="2" t="n">
        <v>10</v>
      </c>
      <c r="V472" s="2" t="n"/>
      <c r="W472" s="2" t="n"/>
      <c r="X472" s="2" t="n"/>
      <c r="Y472" s="2" t="n"/>
      <c r="Z472" s="2" t="inlineStr">
        <is>
          <t>no</t>
        </is>
      </c>
      <c r="AA472" s="2" t="n"/>
      <c r="AB472" s="2" t="n"/>
      <c r="AC472" s="2" t="n"/>
      <c r="AD472" s="2" t="n"/>
      <c r="AE472" s="2" t="n"/>
      <c r="AF472" s="2" t="n"/>
      <c r="AG472" s="2" t="n"/>
      <c r="AH472" s="2" t="n">
        <v>3950</v>
      </c>
      <c r="AI472" s="2" t="n"/>
      <c r="AJ472" s="2" t="n"/>
      <c r="AK472" s="2" t="n"/>
      <c r="AL472" s="2" t="n"/>
      <c r="AM472" s="2" t="n"/>
      <c r="AN472" s="2" t="n"/>
      <c r="AO472" s="2" t="inlineStr">
        <is>
          <t>2011</t>
        </is>
      </c>
      <c r="AP472" s="2" t="n">
        <v>2011</v>
      </c>
      <c r="AQ472" s="2" t="n"/>
      <c r="AR472" s="2" t="inlineStr">
        <is>
          <t>C</t>
        </is>
      </c>
      <c r="AS472" s="2" t="inlineStr">
        <is>
          <t>anuncio</t>
        </is>
      </c>
      <c r="AT472" s="2" t="n">
        <v>4999</v>
      </c>
      <c r="AU472" s="2" t="n">
        <v>5</v>
      </c>
      <c r="AV472" s="2" t="inlineStr">
        <is>
          <t>modelo+año</t>
        </is>
      </c>
      <c r="AW472" s="2" t="n"/>
      <c r="AX472" s="2" t="inlineStr">
        <is>
          <t>cuota fija ITP: &gt;12 años, hasta 1.500 cc; distancia no verificable (el anuncio solo indica la provincia): confirmar que está a &lt;= 70 km</t>
        </is>
      </c>
      <c r="AY472" s="2" t="inlineStr">
        <is>
          <t>Vendo mi Skoda Fabia 1.2 en estado de uso habitual, un berlina de cinco puertas práctico y versátil que ha sido mi compañero de viajes durante estos años. Se trata de un vehículo fiable y económico, perfecto para quien busca un coche funcional sin complicaciones.
Este Fabia destaca por su motor de 1.2 litros de 60 CV, que ofrece un consumo muy ajustado ideal para el día a día, tanto en ciudad como en carretera. La transmisión manual proporciona una conducción directa y controlada, mientras que el cambio de marchas es suave y responde bien en cualquier situación.
Con cinco plazas y una carrocería bien dimensionada, es perfecto para familias o para quien necesita espacio sin sacrificar maniobrabilidad en espacios urbanos. El color negro le da un aspecto limpio y elegante que se mantiene bien con el paso del tiempo.
El vehículo se encuentra en condiciones de uso habitual, tanto en el interior como en el exterior, lo que significa que tiene el desgaste natural propio de un coche con estos años de circulación, pero completamente funcional y listo para continuar prestando servicio sin problemas.
Si buscas un coche económico, resistente y sin pretensiones que te lleve de un lado a otro de forma segura y eficiente, este Fabia es una opción muy interesante. Su tamaño compacto, bajo consumo y fiabilidad característica de la marca lo convierten en una inversión sensata.
Estoy disponible para responder cualquier duda específica que tengas sobre el vehículo. Puedes contactarme a trav</t>
        </is>
      </c>
      <c r="AZ472" s="2" t="inlineStr">
        <is>
          <t>https://www.coches.net/skoda-fabia-12-12v-60cv-young-5p-gasolina-2011-en-castellon-71112200-covo.aspx (window.__INITIAL_PROPS__.ad) /home/user/Alopecia/buscador-coches/raw/cochesnet/e64fd7e10b55499f.json</t>
        </is>
      </c>
      <c r="BA472" s="3">
        <f>MAX(ANIO_ACTUAL-M472,0)</f>
        <v/>
      </c>
      <c r="BB472" s="4">
        <f>N472/MAX(BA472,0.5)</f>
        <v/>
      </c>
      <c r="BC472" s="4">
        <f>F472</f>
        <v/>
      </c>
      <c r="BD472" s="3">
        <f>BC472&amp;"|"&amp;INT(M472/SEG_ANIO)*SEG_ANIO</f>
        <v/>
      </c>
      <c r="BE472" s="3">
        <f>BD472&amp;"|"&amp;INT(N472/SEG_KM)*SEG_KM</f>
        <v/>
      </c>
      <c r="BF472" s="4">
        <f>COUNTIF($BC$2:$BC$545,BC472)</f>
        <v/>
      </c>
      <c r="BG472" s="4">
        <f>COUNTIF($BD$2:$BD$545,BD472)</f>
        <v/>
      </c>
      <c r="BH472" s="4">
        <f>COUNTIF($BE$2:$BE$545,BE472)</f>
        <v/>
      </c>
      <c r="BI472" s="3">
        <f t="array" ref="BI472">IF(N(AU472)&gt;=MIN_N,AT472,IF(BH472&gt;=MIN_N,MEDIAN(IF($BE$2:$BE$545=BE472,$O$2:$O$545)),IF(BG472&gt;=MIN_N,MEDIAN(IF($BD$2:$BD$545=BD472,$O$2:$O$545)),MEDIAN(IF($BC$2:$BC$545=BC472,$O$2:$O$545)))))</f>
        <v/>
      </c>
      <c r="BJ472" s="3">
        <f>IF(N(AU472)&gt;=MIN_N,"mercado "&amp;AV472,IF(BH472&gt;=MIN_N,"modelo+año+km",IF(BG472&gt;=MIN_N,"modelo+año","modelo")))</f>
        <v/>
      </c>
      <c r="BK472" s="4">
        <f>(BI472-O472)/BI472</f>
        <v/>
      </c>
      <c r="BL472" s="3">
        <f>IF(COUNTIFS(FR_FUEL,K472,FR_YEAR,AP472)&gt;0,1,0)</f>
        <v/>
      </c>
      <c r="BM472" s="3">
        <f>IF(COUNTIFS(FR_FUEL,K472,FR_YEAR,AP472-1)&gt;0,1,0)</f>
        <v/>
      </c>
      <c r="BN472" s="4">
        <f>IF(N(AQ472)&gt;0,AP472*100+AQ472,IF(AND(BL472=1,BM472=1),(AP472-1)*100+1,AP472*100+1))</f>
        <v/>
      </c>
      <c r="BO472" s="3">
        <f>IF(OR(K472="hibrido",K472="glp",K472="gnc",K472="phev"),"ECO",IF(K472="electrico","CERO",IF(K472="gasolina",IF(BN472&gt;=GAS_C_YM,"C",IF(BN472&gt;=GAS_B_YM,"B","A")),IF(K472="diesel",IF(BN472&gt;=DIE_C_YM,"C",IF(BN472&gt;=DIE_B_YM,"B","A")),""))))</f>
        <v/>
      </c>
      <c r="BP472" s="2" t="inlineStr">
        <is>
          <t>C</t>
        </is>
      </c>
      <c r="BQ472" s="4">
        <f>IF(AS472="regla",IF(AND(N(AQ472)=0,BL472=1),"sí","no"),"no")</f>
        <v/>
      </c>
      <c r="BR472" s="3">
        <f>IFERROR(VLOOKUP(F472,MOD_TBL,11,0),IFERROR(VLOOKUP(E472,OCU_TBL,2,0),NEUTRO))</f>
        <v/>
      </c>
      <c r="BS472" s="3">
        <f>SUMIFS(MOT_AJUSTE,MOT_MOTOR,G472,MOT_MARCA,E472,MOT_DESDE,"&lt;="&amp;M472,MOT_HASTA,"&gt;="&amp;M472)+SUMIFS(MOT_AJUSTE,MOT_MOTOR,G472,MOT_MARCA,"(todas)",MOT_DESDE,"&lt;="&amp;M472,MOT_HASTA,"&gt;="&amp;M472)</f>
        <v/>
      </c>
      <c r="BT472" s="3">
        <f>SUMIFS(COMB_AJUSTE,COMB_COMB,K472)</f>
        <v/>
      </c>
      <c r="BU472" s="3">
        <f>COUNTIFS(MOT_MOTOR,G472,MOT_MARCA,E472,MOT_DESDE,"&lt;="&amp;M472,MOT_HASTA,"&gt;="&amp;M472)+COUNTIFS(MOT_MOTOR,G472,MOT_MARCA,"(todas)",MOT_DESDE,"&lt;="&amp;M472,MOT_HASTA,"&gt;="&amp;M472)</f>
        <v/>
      </c>
      <c r="BV472" s="3">
        <f>IF(AND(K472="diesel",BU472=0),MIN(BR472,NEUTRO),BR472)</f>
        <v/>
      </c>
      <c r="BW472" s="4">
        <f>MAX(0,MIN(100,BV472+BS472+BT472))</f>
        <v/>
      </c>
      <c r="BX472" s="3">
        <f>MAX(0,MIN(100,50+BK472*PRECIO_PEND))</f>
        <v/>
      </c>
      <c r="BY472" s="3">
        <f>MAX(0,100*(1-N472/KM_MAX))</f>
        <v/>
      </c>
      <c r="BZ472" s="3">
        <f>IF(BB472&lt;KMA_SOSP,IF(AA472="sí",100,KMA_PEN),IF(BB472&lt;=KMA_IDEAL_MAX,100,MAX(0,100*(KMA_CERO-BB472)/(KMA_CERO-KMA_IDEAL_MAX))))</f>
        <v/>
      </c>
      <c r="CA472" s="3">
        <f>MAX(0,MIN(100,100*(M472-ANIO_MIN)/(ANIO_ACTUAL-ANIO_MIN)))</f>
        <v/>
      </c>
      <c r="CB472" s="3">
        <f>W_KMT*BY472+W_KMA*BZ472+W_EDAD*CA472</f>
        <v/>
      </c>
      <c r="CC472" s="3">
        <f>P_ITV*(V472="sí")+P_LIBRO*(W472="sí")+P_CORREA*(X472="sí")+P_PROP*(Y472=1)+P_GAR*(Z472="sí")+P_FOTOS*MIN(1,N(U472)/FOTOS_OBJ)</f>
        <v/>
      </c>
      <c r="CD472" s="3">
        <f>MAX(0,MIN(100,IFERROR(VLOOKUP(BP472,ETQ_TBL,2,0),0)-IF(BQ472="sí",ETQ_PEN_DUD,IF(AS472="regla",ETQ_PEN_REGLA,0))))</f>
        <v/>
      </c>
      <c r="CE472" s="3">
        <f>NEUTRO</f>
        <v/>
      </c>
      <c r="CF472" s="3">
        <f>IFERROR(VLOOKUP(L472,SEGURO_TBL,3,0),"")</f>
        <v/>
      </c>
      <c r="CG472" s="3">
        <f>IF(CF472="",NEUTRO,MAX(0,MIN(100,100*(SEG_REF_MAX-CF472)/(SEG_REF_MAX-SEG_REF_MIN))))</f>
        <v/>
      </c>
      <c r="CH472" s="3">
        <f>W_CONS*CE472+W_SEG*CG472</f>
        <v/>
      </c>
      <c r="CI472" s="3">
        <f>IF(N(AB472)&gt;0,AB472,IF(AND(R472="profesional",SG_LEGAL_ON=1),GAR_LEGAL,0))</f>
        <v/>
      </c>
      <c r="CJ472" s="3">
        <f>SG_GAR*MIN(1,CI472/SG_GAR_FULL)+SG_AMPL*(AC472="sí")+SG_KMC*(AF472="sí")+SG_REV*(N(AE472)&gt;0)+SG_DEV*MIN(1,N(AG472)/SG_DEV_FULL)+SG_HIST*(W472="sí")</f>
        <v/>
      </c>
      <c r="CK472" s="3">
        <f>IFERROR(VLOOKUP(L472,CARR_PEN_TBL,2,0),0)</f>
        <v/>
      </c>
      <c r="CL472" s="3">
        <f>W_FIAB*BW472+W_PRECIO*BX472+W_KMEDAD*CB472+W_ANUNCIO*CC472+W_USO*CH472+W_SEGURIDAD*CJ472+W_ETIQUETA*CD472-CK472</f>
        <v/>
      </c>
      <c r="CM472" s="4">
        <f>IF(N(I472)&gt;0,I472,IFERROR(ROUND(_xlfn.NUMBERVALUE(LEFT(G472,FIND(" ",G472&amp;" ")-1),".")*1000,0),99999))</f>
        <v/>
      </c>
      <c r="CN472" s="3">
        <f>IF(R472="profesional",0,IF(O472&lt;CUOTA_VALOR_MAX,IF(BA472&gt;ITP_TRAMO_ALTO,SUMIFS(CF_CUOTA,CF_MAS,ITP_TRAMO_ALTO,CF_CCMIN,"&lt;="&amp;CM472,CF_CCMAX,"&gt;="&amp;CM472),IF(BA472&gt;ITP_TRAMO_BAJO,SUMIFS(CF_CUOTA,CF_MAS,ITP_TRAMO_BAJO,CF_CCMIN,"&lt;="&amp;CM472,CF_CCMAX,"&gt;="&amp;CM472),O472*ITP_TIPO)),O472*ITP_TIPO))</f>
        <v/>
      </c>
      <c r="CO472" s="4">
        <f>IF(R472="profesional",N(AK472),0)</f>
        <v/>
      </c>
      <c r="CP472" s="3">
        <f>IF(AND(R472="profesional",ISNUMBER(AK472),AL472="sí"),0,TASA_DGT)</f>
        <v/>
      </c>
      <c r="CQ472" s="3">
        <f>INFORME_DGT</f>
        <v/>
      </c>
      <c r="CR472" s="4">
        <f>O472+CO472+CN472+CP472+CQ472</f>
        <v/>
      </c>
      <c r="CS472" s="4">
        <f>CR472+N(CF472)</f>
        <v/>
      </c>
      <c r="CT472" s="3">
        <f>IF(CR472&lt;=TOTAL_MAX,"sí",IF(CR472&lt;=TOTAL_MAX+MARGEN_NEG,"negociar","no"))</f>
        <v/>
      </c>
      <c r="CU472" s="4">
        <f>IF(CT472&lt;&gt;"no",COUNTIFS($CT$2:$CT$545,"&lt;&gt;no",$CL$2:$CL$545,"&gt;"&amp;CL472)+COUNTIFS($CT$2:CT472,"&lt;&gt;no",$CL$2:CL472,CL472),"")</f>
        <v/>
      </c>
    </row>
    <row r="473">
      <c r="A473" s="2" t="inlineStr">
        <is>
          <t>cochesnet:62641273</t>
        </is>
      </c>
      <c r="B473" s="2" t="inlineStr">
        <is>
          <t>cochesnet</t>
        </is>
      </c>
      <c r="C473" s="2" t="inlineStr">
        <is>
          <t>https://www.coches.net/seat-ibiza-19-tdi-100cv-hit-5p-diesel-2007-en-castellon-62641273-covo.aspx</t>
        </is>
      </c>
      <c r="D473" s="2" t="inlineStr">
        <is>
          <t>SEAT Ibiza 1.9 TDI Hit</t>
        </is>
      </c>
      <c r="E473" s="2" t="inlineStr">
        <is>
          <t>Seat</t>
        </is>
      </c>
      <c r="F473" s="2" t="inlineStr">
        <is>
          <t>Seat Ibiza</t>
        </is>
      </c>
      <c r="G473" s="2" t="inlineStr">
        <is>
          <t>1.9 TDI</t>
        </is>
      </c>
      <c r="H473" s="2" t="inlineStr">
        <is>
          <t>1.9 TDI 100cv Hit</t>
        </is>
      </c>
      <c r="I473" s="2" t="n"/>
      <c r="J473" s="2" t="n">
        <v>100</v>
      </c>
      <c r="K473" s="2" t="inlineStr">
        <is>
          <t>diesel</t>
        </is>
      </c>
      <c r="L473" s="2" t="inlineStr">
        <is>
          <t>utilitario</t>
        </is>
      </c>
      <c r="M473" s="2" t="n">
        <v>2006</v>
      </c>
      <c r="N473" s="2" t="n">
        <v>151600</v>
      </c>
      <c r="O473" s="2" t="n">
        <v>4500</v>
      </c>
      <c r="P473" s="2" t="inlineStr">
        <is>
          <t>manual</t>
        </is>
      </c>
      <c r="Q473" s="2" t="inlineStr">
        <is>
          <t>no</t>
        </is>
      </c>
      <c r="R473" s="2" t="inlineStr">
        <is>
          <t>profesional</t>
        </is>
      </c>
      <c r="S473" s="2" t="inlineStr">
        <is>
          <t>Comprartuauto.com Vila-real</t>
        </is>
      </c>
      <c r="T473" s="2" t="inlineStr">
        <is>
          <t>2026-08-10T20:41:38Z</t>
        </is>
      </c>
      <c r="U473" s="2" t="n">
        <v>13</v>
      </c>
      <c r="V473" s="2" t="n"/>
      <c r="W473" s="2" t="n"/>
      <c r="X473" s="2" t="n"/>
      <c r="Y473" s="2" t="n">
        <v>2</v>
      </c>
      <c r="Z473" s="2" t="inlineStr">
        <is>
          <t>no</t>
        </is>
      </c>
      <c r="AA473" s="2" t="n"/>
      <c r="AB473" s="2" t="n"/>
      <c r="AC473" s="2" t="n"/>
      <c r="AD473" s="2" t="n"/>
      <c r="AE473" s="2" t="n"/>
      <c r="AF473" s="2" t="n"/>
      <c r="AG473" s="2" t="n"/>
      <c r="AH473" s="2" t="n">
        <v>4500</v>
      </c>
      <c r="AI473" s="2" t="n">
        <v>4500</v>
      </c>
      <c r="AJ473" s="2" t="n"/>
      <c r="AK473" s="2" t="n"/>
      <c r="AL473" s="2" t="n"/>
      <c r="AM473" s="2" t="n"/>
      <c r="AN473" s="2" t="n"/>
      <c r="AO473" s="2" t="inlineStr">
        <is>
          <t>2006</t>
        </is>
      </c>
      <c r="AP473" s="2" t="n">
        <v>2006</v>
      </c>
      <c r="AQ473" s="2" t="n"/>
      <c r="AR473" s="2" t="inlineStr">
        <is>
          <t>B</t>
        </is>
      </c>
      <c r="AS473" s="2" t="inlineStr">
        <is>
          <t>anuncio</t>
        </is>
      </c>
      <c r="AT473" s="2" t="n">
        <v>3750</v>
      </c>
      <c r="AU473" s="2" t="n">
        <v>8</v>
      </c>
      <c r="AV473" s="2" t="inlineStr">
        <is>
          <t>modelo+año+km</t>
        </is>
      </c>
      <c r="AW473" s="2" t="n"/>
      <c r="AX473"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AY473" s="2" t="inlineStr">
        <is>
          <t>Seat Ibiza motor 1.9cc 100cv Diesel, manual 5 velocidades, año 3/2006, 151.600kms, solo 2 propietarios, etiqueta medioambiental B.
Extras: Cierre centralizado a distancia, cristales eléctricos, climatizador, Radio/CD/Mp3, manos libres Parrot, llantas de aleación, ABS, control de tracción y estabilidad, airbags, etc. 
Se entrega con ITV, niveles y fluidos correctos, neumáticos correctos, batería nueva. 
El vehículo esta en perfectas condiciones.
El cambio de nombre se cobra a parte y son 200 Euros.
Aceptamos su vehículo como parte de pago.
Mas vehículos en comprartuauto,com 
Estamos en Villareal, Av. Francesc Tarrega 263. 
Horarios de Lunes a Viernes de 10 a 14 y de 17 a 20. 
Sábados mediante cita previa de 10 a 13.
Se habla Español, Ingles, Ucraniano y Ruso.</t>
        </is>
      </c>
      <c r="AZ473" s="2" t="inlineStr">
        <is>
          <t>https://www.coches.net/seat-ibiza-19-tdi-100cv-hit-5p-diesel-2007-en-castellon-62641273-covo.aspx (window.__INITIAL_PROPS__.ad) /home/user/Alopecia/buscador-coches/raw/cochesnet/a6721eecf8725f18.json</t>
        </is>
      </c>
      <c r="BA473" s="3">
        <f>MAX(ANIO_ACTUAL-M473,0)</f>
        <v/>
      </c>
      <c r="BB473" s="4">
        <f>N473/MAX(BA473,0.5)</f>
        <v/>
      </c>
      <c r="BC473" s="4">
        <f>F473</f>
        <v/>
      </c>
      <c r="BD473" s="3">
        <f>BC473&amp;"|"&amp;INT(M473/SEG_ANIO)*SEG_ANIO</f>
        <v/>
      </c>
      <c r="BE473" s="3">
        <f>BD473&amp;"|"&amp;INT(N473/SEG_KM)*SEG_KM</f>
        <v/>
      </c>
      <c r="BF473" s="4">
        <f>COUNTIF($BC$2:$BC$545,BC473)</f>
        <v/>
      </c>
      <c r="BG473" s="4">
        <f>COUNTIF($BD$2:$BD$545,BD473)</f>
        <v/>
      </c>
      <c r="BH473" s="4">
        <f>COUNTIF($BE$2:$BE$545,BE473)</f>
        <v/>
      </c>
      <c r="BI473" s="3">
        <f t="array" ref="BI473">IF(N(AU473)&gt;=MIN_N,AT473,IF(BH473&gt;=MIN_N,MEDIAN(IF($BE$2:$BE$545=BE473,$O$2:$O$545)),IF(BG473&gt;=MIN_N,MEDIAN(IF($BD$2:$BD$545=BD473,$O$2:$O$545)),MEDIAN(IF($BC$2:$BC$545=BC473,$O$2:$O$545)))))</f>
        <v/>
      </c>
      <c r="BJ473" s="3">
        <f>IF(N(AU473)&gt;=MIN_N,"mercado "&amp;AV473,IF(BH473&gt;=MIN_N,"modelo+año+km",IF(BG473&gt;=MIN_N,"modelo+año","modelo")))</f>
        <v/>
      </c>
      <c r="BK473" s="4">
        <f>(BI473-O473)/BI473</f>
        <v/>
      </c>
      <c r="BL473" s="3">
        <f>IF(COUNTIFS(FR_FUEL,K473,FR_YEAR,AP473)&gt;0,1,0)</f>
        <v/>
      </c>
      <c r="BM473" s="3">
        <f>IF(COUNTIFS(FR_FUEL,K473,FR_YEAR,AP473-1)&gt;0,1,0)</f>
        <v/>
      </c>
      <c r="BN473" s="4">
        <f>IF(N(AQ473)&gt;0,AP473*100+AQ473,IF(AND(BL473=1,BM473=1),(AP473-1)*100+1,AP473*100+1))</f>
        <v/>
      </c>
      <c r="BO473" s="3">
        <f>IF(OR(K473="hibrido",K473="glp",K473="gnc",K473="phev"),"ECO",IF(K473="electrico","CERO",IF(K473="gasolina",IF(BN473&gt;=GAS_C_YM,"C",IF(BN473&gt;=GAS_B_YM,"B","A")),IF(K473="diesel",IF(BN473&gt;=DIE_C_YM,"C",IF(BN473&gt;=DIE_B_YM,"B","A")),""))))</f>
        <v/>
      </c>
      <c r="BP473" s="2" t="inlineStr">
        <is>
          <t>B</t>
        </is>
      </c>
      <c r="BQ473" s="4">
        <f>IF(AS473="regla",IF(AND(N(AQ473)=0,BL473=1),"sí","no"),"no")</f>
        <v/>
      </c>
      <c r="BR473" s="3">
        <f>IFERROR(VLOOKUP(F473,MOD_TBL,11,0),IFERROR(VLOOKUP(E473,OCU_TBL,2,0),NEUTRO))</f>
        <v/>
      </c>
      <c r="BS473" s="3">
        <f>SUMIFS(MOT_AJUSTE,MOT_MOTOR,G473,MOT_MARCA,E473,MOT_DESDE,"&lt;="&amp;M473,MOT_HASTA,"&gt;="&amp;M473)+SUMIFS(MOT_AJUSTE,MOT_MOTOR,G473,MOT_MARCA,"(todas)",MOT_DESDE,"&lt;="&amp;M473,MOT_HASTA,"&gt;="&amp;M473)</f>
        <v/>
      </c>
      <c r="BT473" s="3">
        <f>SUMIFS(COMB_AJUSTE,COMB_COMB,K473)</f>
        <v/>
      </c>
      <c r="BU473" s="3">
        <f>COUNTIFS(MOT_MOTOR,G473,MOT_MARCA,E473,MOT_DESDE,"&lt;="&amp;M473,MOT_HASTA,"&gt;="&amp;M473)+COUNTIFS(MOT_MOTOR,G473,MOT_MARCA,"(todas)",MOT_DESDE,"&lt;="&amp;M473,MOT_HASTA,"&gt;="&amp;M473)</f>
        <v/>
      </c>
      <c r="BV473" s="3">
        <f>IF(AND(K473="diesel",BU473=0),MIN(BR473,NEUTRO),BR473)</f>
        <v/>
      </c>
      <c r="BW473" s="4">
        <f>MAX(0,MIN(100,BV473+BS473+BT473))</f>
        <v/>
      </c>
      <c r="BX473" s="3">
        <f>MAX(0,MIN(100,50+BK473*PRECIO_PEND))</f>
        <v/>
      </c>
      <c r="BY473" s="3">
        <f>MAX(0,100*(1-N473/KM_MAX))</f>
        <v/>
      </c>
      <c r="BZ473" s="3">
        <f>IF(BB473&lt;KMA_SOSP,IF(AA473="sí",100,KMA_PEN),IF(BB473&lt;=KMA_IDEAL_MAX,100,MAX(0,100*(KMA_CERO-BB473)/(KMA_CERO-KMA_IDEAL_MAX))))</f>
        <v/>
      </c>
      <c r="CA473" s="3">
        <f>MAX(0,MIN(100,100*(M473-ANIO_MIN)/(ANIO_ACTUAL-ANIO_MIN)))</f>
        <v/>
      </c>
      <c r="CB473" s="3">
        <f>W_KMT*BY473+W_KMA*BZ473+W_EDAD*CA473</f>
        <v/>
      </c>
      <c r="CC473" s="3">
        <f>P_ITV*(V473="sí")+P_LIBRO*(W473="sí")+P_CORREA*(X473="sí")+P_PROP*(Y473=1)+P_GAR*(Z473="sí")+P_FOTOS*MIN(1,N(U473)/FOTOS_OBJ)</f>
        <v/>
      </c>
      <c r="CD473" s="3">
        <f>MAX(0,MIN(100,IFERROR(VLOOKUP(BP473,ETQ_TBL,2,0),0)-IF(BQ473="sí",ETQ_PEN_DUD,IF(AS473="regla",ETQ_PEN_REGLA,0))))</f>
        <v/>
      </c>
      <c r="CE473" s="3">
        <f>NEUTRO</f>
        <v/>
      </c>
      <c r="CF473" s="3">
        <f>IFERROR(VLOOKUP(L473,SEGURO_TBL,3,0),"")</f>
        <v/>
      </c>
      <c r="CG473" s="3">
        <f>IF(CF473="",NEUTRO,MAX(0,MIN(100,100*(SEG_REF_MAX-CF473)/(SEG_REF_MAX-SEG_REF_MIN))))</f>
        <v/>
      </c>
      <c r="CH473" s="3">
        <f>W_CONS*CE473+W_SEG*CG473</f>
        <v/>
      </c>
      <c r="CI473" s="3">
        <f>IF(N(AB473)&gt;0,AB473,IF(AND(R473="profesional",SG_LEGAL_ON=1),GAR_LEGAL,0))</f>
        <v/>
      </c>
      <c r="CJ473" s="3">
        <f>SG_GAR*MIN(1,CI473/SG_GAR_FULL)+SG_AMPL*(AC473="sí")+SG_KMC*(AF473="sí")+SG_REV*(N(AE473)&gt;0)+SG_DEV*MIN(1,N(AG473)/SG_DEV_FULL)+SG_HIST*(W473="sí")</f>
        <v/>
      </c>
      <c r="CK473" s="3">
        <f>IFERROR(VLOOKUP(L473,CARR_PEN_TBL,2,0),0)</f>
        <v/>
      </c>
      <c r="CL473" s="3">
        <f>W_FIAB*BW473+W_PRECIO*BX473+W_KMEDAD*CB473+W_ANUNCIO*CC473+W_USO*CH473+W_SEGURIDAD*CJ473+W_ETIQUETA*CD473-CK473</f>
        <v/>
      </c>
      <c r="CM473" s="4">
        <f>IF(N(I473)&gt;0,I473,IFERROR(ROUND(_xlfn.NUMBERVALUE(LEFT(G473,FIND(" ",G473&amp;" ")-1),".")*1000,0),99999))</f>
        <v/>
      </c>
      <c r="CN473" s="3">
        <f>IF(R473="profesional",0,IF(O473&lt;CUOTA_VALOR_MAX,IF(BA473&gt;ITP_TRAMO_ALTO,SUMIFS(CF_CUOTA,CF_MAS,ITP_TRAMO_ALTO,CF_CCMIN,"&lt;="&amp;CM473,CF_CCMAX,"&gt;="&amp;CM473),IF(BA473&gt;ITP_TRAMO_BAJO,SUMIFS(CF_CUOTA,CF_MAS,ITP_TRAMO_BAJO,CF_CCMIN,"&lt;="&amp;CM473,CF_CCMAX,"&gt;="&amp;CM473),O473*ITP_TIPO)),O473*ITP_TIPO))</f>
        <v/>
      </c>
      <c r="CO473" s="4">
        <f>IF(R473="profesional",N(AK473),0)</f>
        <v/>
      </c>
      <c r="CP473" s="3">
        <f>IF(AND(R473="profesional",ISNUMBER(AK473),AL473="sí"),0,TASA_DGT)</f>
        <v/>
      </c>
      <c r="CQ473" s="3">
        <f>INFORME_DGT</f>
        <v/>
      </c>
      <c r="CR473" s="4">
        <f>O473+CO473+CN473+CP473+CQ473</f>
        <v/>
      </c>
      <c r="CS473" s="4">
        <f>CR473+N(CF473)</f>
        <v/>
      </c>
      <c r="CT473" s="3">
        <f>IF(CR473&lt;=TOTAL_MAX,"sí",IF(CR473&lt;=TOTAL_MAX+MARGEN_NEG,"negociar","no"))</f>
        <v/>
      </c>
      <c r="CU473" s="4">
        <f>IF(CT473&lt;&gt;"no",COUNTIFS($CT$2:$CT$545,"&lt;&gt;no",$CL$2:$CL$545,"&gt;"&amp;CL473)+COUNTIFS($CT$2:CT473,"&lt;&gt;no",$CL$2:CL473,CL473),"")</f>
        <v/>
      </c>
    </row>
    <row r="474">
      <c r="A474" s="2" t="inlineStr">
        <is>
          <t>cochesnet:71827782</t>
        </is>
      </c>
      <c r="B474" s="2" t="inlineStr">
        <is>
          <t>cochesnet</t>
        </is>
      </c>
      <c r="C474" s="2" t="inlineStr">
        <is>
          <t>https://www.coches.net/seat-ibiza-14-tdi-80cv-reference-5p-diesel-2007-en-castellon-71827782-covo.aspx</t>
        </is>
      </c>
      <c r="D474" s="2" t="inlineStr">
        <is>
          <t>SEAT Ibiza 1.4 TDI Reference</t>
        </is>
      </c>
      <c r="E474" s="2" t="inlineStr">
        <is>
          <t>Seat</t>
        </is>
      </c>
      <c r="F474" s="2" t="inlineStr">
        <is>
          <t>Seat Ibiza</t>
        </is>
      </c>
      <c r="G474" s="2" t="inlineStr">
        <is>
          <t>1.4 TDI</t>
        </is>
      </c>
      <c r="H474" s="2" t="inlineStr">
        <is>
          <t>1.4 TDI 80cv Reference</t>
        </is>
      </c>
      <c r="I474" s="2" t="n"/>
      <c r="J474" s="2" t="n">
        <v>80</v>
      </c>
      <c r="K474" s="2" t="inlineStr">
        <is>
          <t>diesel</t>
        </is>
      </c>
      <c r="L474" s="2" t="inlineStr">
        <is>
          <t>utilitario</t>
        </is>
      </c>
      <c r="M474" s="2" t="n">
        <v>2007</v>
      </c>
      <c r="N474" s="2" t="n">
        <v>159100</v>
      </c>
      <c r="O474" s="2" t="n">
        <v>4800</v>
      </c>
      <c r="P474" s="2" t="inlineStr">
        <is>
          <t>manual</t>
        </is>
      </c>
      <c r="Q474" s="2" t="inlineStr">
        <is>
          <t>no</t>
        </is>
      </c>
      <c r="R474" s="2" t="inlineStr">
        <is>
          <t>particular</t>
        </is>
      </c>
      <c r="S474" s="2" t="inlineStr">
        <is>
          <t>Vila-real</t>
        </is>
      </c>
      <c r="T474" s="2" t="inlineStr">
        <is>
          <t>2026-10-25T13:00:23Z</t>
        </is>
      </c>
      <c r="U474" s="2" t="n">
        <v>12</v>
      </c>
      <c r="V474" s="2" t="inlineStr">
        <is>
          <t>sí</t>
        </is>
      </c>
      <c r="W474" s="2" t="inlineStr">
        <is>
          <t>sí</t>
        </is>
      </c>
      <c r="X474" s="2" t="n"/>
      <c r="Y474" s="2" t="n"/>
      <c r="Z474" s="2" t="inlineStr">
        <is>
          <t>no</t>
        </is>
      </c>
      <c r="AA474" s="2" t="n"/>
      <c r="AB474" s="2" t="n"/>
      <c r="AC474" s="2" t="n"/>
      <c r="AD474" s="2" t="n"/>
      <c r="AE474" s="2" t="n"/>
      <c r="AF474" s="2" t="n"/>
      <c r="AG474" s="2" t="n"/>
      <c r="AH474" s="2" t="n">
        <v>4800</v>
      </c>
      <c r="AI474" s="2" t="n"/>
      <c r="AJ474" s="2" t="n"/>
      <c r="AK474" s="2" t="n"/>
      <c r="AL474" s="2" t="n"/>
      <c r="AM474" s="2" t="n"/>
      <c r="AN474" s="2" t="n"/>
      <c r="AO474" s="2" t="inlineStr">
        <is>
          <t>01/2007</t>
        </is>
      </c>
      <c r="AP474" s="2" t="n">
        <v>2007</v>
      </c>
      <c r="AQ474" s="2" t="n">
        <v>1</v>
      </c>
      <c r="AR474" s="2" t="inlineStr">
        <is>
          <t>B</t>
        </is>
      </c>
      <c r="AS474" s="2" t="inlineStr">
        <is>
          <t>anuncio</t>
        </is>
      </c>
      <c r="AT474" s="2" t="n">
        <v>4750</v>
      </c>
      <c r="AU474" s="2" t="n">
        <v>4</v>
      </c>
      <c r="AV474" s="2" t="inlineStr">
        <is>
          <t>modelo+año+km</t>
        </is>
      </c>
      <c r="AW474" s="2" t="n"/>
      <c r="AX474" s="2" t="inlineStr">
        <is>
          <t>cuota fija ITP: &gt;12 años, hasta 1.500 cc; diésel: motor sin fuente de fiabilidad (fiabilidad limitada a neutra); distancia no verificable (el anuncio solo indica la provincia): confirmar que está a &lt;= 70 km</t>
        </is>
      </c>
      <c r="AY474" s="2" t="inlineStr">
        <is>
          <t xml:space="preserve">Seat Ibiza, 14TDI 80CV, 01/2007, 5 puertas, 159100km.
Elevalunas eléctricos, aire acondicionado, cierre centralizado con mando a distancia, lunas traseras tintadas, ITV en vigor hasta 08/27, todo en funcionamiento y buen estado. 
Mantenimiento al día en taller de confianza </t>
        </is>
      </c>
      <c r="AZ474" s="2" t="inlineStr">
        <is>
          <t>https://www.coches.net/seat-ibiza-14-tdi-80cv-reference-5p-diesel-2007-en-castellon-71827782-covo.aspx (window.__INITIAL_PROPS__.ad) /home/user/Alopecia/buscador-coches/raw/cochesnet/8404b2caf5460088.json</t>
        </is>
      </c>
      <c r="BA474" s="3">
        <f>MAX(ANIO_ACTUAL-M474,0)</f>
        <v/>
      </c>
      <c r="BB474" s="4">
        <f>N474/MAX(BA474,0.5)</f>
        <v/>
      </c>
      <c r="BC474" s="4">
        <f>F474</f>
        <v/>
      </c>
      <c r="BD474" s="3">
        <f>BC474&amp;"|"&amp;INT(M474/SEG_ANIO)*SEG_ANIO</f>
        <v/>
      </c>
      <c r="BE474" s="3">
        <f>BD474&amp;"|"&amp;INT(N474/SEG_KM)*SEG_KM</f>
        <v/>
      </c>
      <c r="BF474" s="4">
        <f>COUNTIF($BC$2:$BC$545,BC474)</f>
        <v/>
      </c>
      <c r="BG474" s="4">
        <f>COUNTIF($BD$2:$BD$545,BD474)</f>
        <v/>
      </c>
      <c r="BH474" s="4">
        <f>COUNTIF($BE$2:$BE$545,BE474)</f>
        <v/>
      </c>
      <c r="BI474" s="3">
        <f t="array" ref="BI474">IF(N(AU474)&gt;=MIN_N,AT474,IF(BH474&gt;=MIN_N,MEDIAN(IF($BE$2:$BE$545=BE474,$O$2:$O$545)),IF(BG474&gt;=MIN_N,MEDIAN(IF($BD$2:$BD$545=BD474,$O$2:$O$545)),MEDIAN(IF($BC$2:$BC$545=BC474,$O$2:$O$545)))))</f>
        <v/>
      </c>
      <c r="BJ474" s="3">
        <f>IF(N(AU474)&gt;=MIN_N,"mercado "&amp;AV474,IF(BH474&gt;=MIN_N,"modelo+año+km",IF(BG474&gt;=MIN_N,"modelo+año","modelo")))</f>
        <v/>
      </c>
      <c r="BK474" s="4">
        <f>(BI474-O474)/BI474</f>
        <v/>
      </c>
      <c r="BL474" s="3">
        <f>IF(COUNTIFS(FR_FUEL,K474,FR_YEAR,AP474)&gt;0,1,0)</f>
        <v/>
      </c>
      <c r="BM474" s="3">
        <f>IF(COUNTIFS(FR_FUEL,K474,FR_YEAR,AP474-1)&gt;0,1,0)</f>
        <v/>
      </c>
      <c r="BN474" s="4">
        <f>IF(N(AQ474)&gt;0,AP474*100+AQ474,IF(AND(BL474=1,BM474=1),(AP474-1)*100+1,AP474*100+1))</f>
        <v/>
      </c>
      <c r="BO474" s="3">
        <f>IF(OR(K474="hibrido",K474="glp",K474="gnc",K474="phev"),"ECO",IF(K474="electrico","CERO",IF(K474="gasolina",IF(BN474&gt;=GAS_C_YM,"C",IF(BN474&gt;=GAS_B_YM,"B","A")),IF(K474="diesel",IF(BN474&gt;=DIE_C_YM,"C",IF(BN474&gt;=DIE_B_YM,"B","A")),""))))</f>
        <v/>
      </c>
      <c r="BP474" s="2" t="inlineStr">
        <is>
          <t>B</t>
        </is>
      </c>
      <c r="BQ474" s="4">
        <f>IF(AS474="regla",IF(AND(N(AQ474)=0,BL474=1),"sí","no"),"no")</f>
        <v/>
      </c>
      <c r="BR474" s="3">
        <f>IFERROR(VLOOKUP(F474,MOD_TBL,11,0),IFERROR(VLOOKUP(E474,OCU_TBL,2,0),NEUTRO))</f>
        <v/>
      </c>
      <c r="BS474" s="3">
        <f>SUMIFS(MOT_AJUSTE,MOT_MOTOR,G474,MOT_MARCA,E474,MOT_DESDE,"&lt;="&amp;M474,MOT_HASTA,"&gt;="&amp;M474)+SUMIFS(MOT_AJUSTE,MOT_MOTOR,G474,MOT_MARCA,"(todas)",MOT_DESDE,"&lt;="&amp;M474,MOT_HASTA,"&gt;="&amp;M474)</f>
        <v/>
      </c>
      <c r="BT474" s="3">
        <f>SUMIFS(COMB_AJUSTE,COMB_COMB,K474)</f>
        <v/>
      </c>
      <c r="BU474" s="3">
        <f>COUNTIFS(MOT_MOTOR,G474,MOT_MARCA,E474,MOT_DESDE,"&lt;="&amp;M474,MOT_HASTA,"&gt;="&amp;M474)+COUNTIFS(MOT_MOTOR,G474,MOT_MARCA,"(todas)",MOT_DESDE,"&lt;="&amp;M474,MOT_HASTA,"&gt;="&amp;M474)</f>
        <v/>
      </c>
      <c r="BV474" s="3">
        <f>IF(AND(K474="diesel",BU474=0),MIN(BR474,NEUTRO),BR474)</f>
        <v/>
      </c>
      <c r="BW474" s="4">
        <f>MAX(0,MIN(100,BV474+BS474+BT474))</f>
        <v/>
      </c>
      <c r="BX474" s="3">
        <f>MAX(0,MIN(100,50+BK474*PRECIO_PEND))</f>
        <v/>
      </c>
      <c r="BY474" s="3">
        <f>MAX(0,100*(1-N474/KM_MAX))</f>
        <v/>
      </c>
      <c r="BZ474" s="3">
        <f>IF(BB474&lt;KMA_SOSP,IF(AA474="sí",100,KMA_PEN),IF(BB474&lt;=KMA_IDEAL_MAX,100,MAX(0,100*(KMA_CERO-BB474)/(KMA_CERO-KMA_IDEAL_MAX))))</f>
        <v/>
      </c>
      <c r="CA474" s="3">
        <f>MAX(0,MIN(100,100*(M474-ANIO_MIN)/(ANIO_ACTUAL-ANIO_MIN)))</f>
        <v/>
      </c>
      <c r="CB474" s="3">
        <f>W_KMT*BY474+W_KMA*BZ474+W_EDAD*CA474</f>
        <v/>
      </c>
      <c r="CC474" s="3">
        <f>P_ITV*(V474="sí")+P_LIBRO*(W474="sí")+P_CORREA*(X474="sí")+P_PROP*(Y474=1)+P_GAR*(Z474="sí")+P_FOTOS*MIN(1,N(U474)/FOTOS_OBJ)</f>
        <v/>
      </c>
      <c r="CD474" s="3">
        <f>MAX(0,MIN(100,IFERROR(VLOOKUP(BP474,ETQ_TBL,2,0),0)-IF(BQ474="sí",ETQ_PEN_DUD,IF(AS474="regla",ETQ_PEN_REGLA,0))))</f>
        <v/>
      </c>
      <c r="CE474" s="3">
        <f>NEUTRO</f>
        <v/>
      </c>
      <c r="CF474" s="3">
        <f>IFERROR(VLOOKUP(L474,SEGURO_TBL,3,0),"")</f>
        <v/>
      </c>
      <c r="CG474" s="3">
        <f>IF(CF474="",NEUTRO,MAX(0,MIN(100,100*(SEG_REF_MAX-CF474)/(SEG_REF_MAX-SEG_REF_MIN))))</f>
        <v/>
      </c>
      <c r="CH474" s="3">
        <f>W_CONS*CE474+W_SEG*CG474</f>
        <v/>
      </c>
      <c r="CI474" s="3">
        <f>IF(N(AB474)&gt;0,AB474,IF(AND(R474="profesional",SG_LEGAL_ON=1),GAR_LEGAL,0))</f>
        <v/>
      </c>
      <c r="CJ474" s="3">
        <f>SG_GAR*MIN(1,CI474/SG_GAR_FULL)+SG_AMPL*(AC474="sí")+SG_KMC*(AF474="sí")+SG_REV*(N(AE474)&gt;0)+SG_DEV*MIN(1,N(AG474)/SG_DEV_FULL)+SG_HIST*(W474="sí")</f>
        <v/>
      </c>
      <c r="CK474" s="3">
        <f>IFERROR(VLOOKUP(L474,CARR_PEN_TBL,2,0),0)</f>
        <v/>
      </c>
      <c r="CL474" s="3">
        <f>W_FIAB*BW474+W_PRECIO*BX474+W_KMEDAD*CB474+W_ANUNCIO*CC474+W_USO*CH474+W_SEGURIDAD*CJ474+W_ETIQUETA*CD474-CK474</f>
        <v/>
      </c>
      <c r="CM474" s="4">
        <f>IF(N(I474)&gt;0,I474,IFERROR(ROUND(_xlfn.NUMBERVALUE(LEFT(G474,FIND(" ",G474&amp;" ")-1),".")*1000,0),99999))</f>
        <v/>
      </c>
      <c r="CN474" s="3">
        <f>IF(R474="profesional",0,IF(O474&lt;CUOTA_VALOR_MAX,IF(BA474&gt;ITP_TRAMO_ALTO,SUMIFS(CF_CUOTA,CF_MAS,ITP_TRAMO_ALTO,CF_CCMIN,"&lt;="&amp;CM474,CF_CCMAX,"&gt;="&amp;CM474),IF(BA474&gt;ITP_TRAMO_BAJO,SUMIFS(CF_CUOTA,CF_MAS,ITP_TRAMO_BAJO,CF_CCMIN,"&lt;="&amp;CM474,CF_CCMAX,"&gt;="&amp;CM474),O474*ITP_TIPO)),O474*ITP_TIPO))</f>
        <v/>
      </c>
      <c r="CO474" s="4">
        <f>IF(R474="profesional",N(AK474),0)</f>
        <v/>
      </c>
      <c r="CP474" s="3">
        <f>IF(AND(R474="profesional",ISNUMBER(AK474),AL474="sí"),0,TASA_DGT)</f>
        <v/>
      </c>
      <c r="CQ474" s="3">
        <f>INFORME_DGT</f>
        <v/>
      </c>
      <c r="CR474" s="4">
        <f>O474+CO474+CN474+CP474+CQ474</f>
        <v/>
      </c>
      <c r="CS474" s="4">
        <f>CR474+N(CF474)</f>
        <v/>
      </c>
      <c r="CT474" s="3">
        <f>IF(CR474&lt;=TOTAL_MAX,"sí",IF(CR474&lt;=TOTAL_MAX+MARGEN_NEG,"negociar","no"))</f>
        <v/>
      </c>
      <c r="CU474" s="4">
        <f>IF(CT474&lt;&gt;"no",COUNTIFS($CT$2:$CT$545,"&lt;&gt;no",$CL$2:$CL$545,"&gt;"&amp;CL474)+COUNTIFS($CT$2:CT474,"&lt;&gt;no",$CL$2:CL474,CL474),"")</f>
        <v/>
      </c>
    </row>
    <row r="475">
      <c r="A475" s="2" t="inlineStr">
        <is>
          <t>cochesnet:71479587</t>
        </is>
      </c>
      <c r="B475" s="2" t="inlineStr">
        <is>
          <t>cochesnet</t>
        </is>
      </c>
      <c r="C475" s="2" t="inlineStr">
        <is>
          <t>https://www.coches.net/seat-ibiza-diesel-2009-en-castellon-71479587-covo.aspx</t>
        </is>
      </c>
      <c r="D475" s="2" t="inlineStr">
        <is>
          <t>SEAT Ibiza</t>
        </is>
      </c>
      <c r="E475" s="2" t="inlineStr">
        <is>
          <t>Seat</t>
        </is>
      </c>
      <c r="F475" s="2" t="inlineStr">
        <is>
          <t>Seat Ibiza</t>
        </is>
      </c>
      <c r="G475" s="2" t="n"/>
      <c r="H475" s="2" t="n"/>
      <c r="I475" s="2" t="n"/>
      <c r="J475" s="2" t="n"/>
      <c r="K475" s="2" t="inlineStr">
        <is>
          <t>diesel</t>
        </is>
      </c>
      <c r="L475" s="2" t="inlineStr">
        <is>
          <t>utilitario</t>
        </is>
      </c>
      <c r="M475" s="2" t="n">
        <v>2009</v>
      </c>
      <c r="N475" s="2" t="n">
        <v>215000</v>
      </c>
      <c r="O475" s="2" t="n">
        <v>3300</v>
      </c>
      <c r="P475" s="2" t="inlineStr">
        <is>
          <t>manual</t>
        </is>
      </c>
      <c r="Q475" s="2" t="inlineStr">
        <is>
          <t>no</t>
        </is>
      </c>
      <c r="R475" s="2" t="inlineStr">
        <is>
          <t>particular</t>
        </is>
      </c>
      <c r="S475" s="2" t="n"/>
      <c r="T475" s="2" t="inlineStr">
        <is>
          <t>2026-09-09T16:47:52Z</t>
        </is>
      </c>
      <c r="U475" s="2" t="n">
        <v>9</v>
      </c>
      <c r="V475" s="2" t="inlineStr">
        <is>
          <t>sí</t>
        </is>
      </c>
      <c r="W475" s="2" t="n"/>
      <c r="X475" s="2" t="n"/>
      <c r="Y475" s="2" t="n"/>
      <c r="Z475" s="2" t="inlineStr">
        <is>
          <t>no</t>
        </is>
      </c>
      <c r="AA475" s="2" t="n"/>
      <c r="AB475" s="2" t="n"/>
      <c r="AC475" s="2" t="n"/>
      <c r="AD475" s="2" t="n"/>
      <c r="AE475" s="2" t="n"/>
      <c r="AF475" s="2" t="n"/>
      <c r="AG475" s="2" t="n"/>
      <c r="AH475" s="2" t="n">
        <v>3300</v>
      </c>
      <c r="AI475" s="2" t="n"/>
      <c r="AJ475" s="2" t="n"/>
      <c r="AK475" s="2" t="n"/>
      <c r="AL475" s="2" t="n"/>
      <c r="AM475" s="2" t="n"/>
      <c r="AN475" s="2" t="n"/>
      <c r="AO475" s="2" t="inlineStr">
        <is>
          <t>2009</t>
        </is>
      </c>
      <c r="AP475" s="2" t="n">
        <v>2009</v>
      </c>
      <c r="AQ475" s="2" t="n"/>
      <c r="AR475" s="2" t="n"/>
      <c r="AS475" s="2" t="inlineStr">
        <is>
          <t>regla</t>
        </is>
      </c>
      <c r="AT475" s="2" t="n">
        <v>3100</v>
      </c>
      <c r="AU475" s="2" t="n">
        <v>10</v>
      </c>
      <c r="AV475" s="2" t="inlineStr">
        <is>
          <t>modelo+año+km</t>
        </is>
      </c>
      <c r="AW475" s="2" t="n"/>
      <c r="AX47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75" s="2" t="inlineStr">
        <is>
          <t>se vende hermoso seat ibiza diesel motor 1.400  80 cv.  El coche tiene 215 mil kilómetros, itv hasta septiembre del 2027. cuenta con aire acondicionado calefacción vidrios eléctricos llantas al 80 de vida, techo panoramico esta en buen estado su precio es de 3.300 € negociable.</t>
        </is>
      </c>
      <c r="AZ475" s="2" t="inlineStr">
        <is>
          <t>https://www.coches.net/seat-ibiza-diesel-2009-en-castellon-71479587-covo.aspx (window.__INITIAL_PROPS__.ad) /home/user/Alopecia/buscador-coches/raw/cochesnet/b8940896965fbcd5.json</t>
        </is>
      </c>
      <c r="BA475" s="3">
        <f>MAX(ANIO_ACTUAL-M475,0)</f>
        <v/>
      </c>
      <c r="BB475" s="4">
        <f>N475/MAX(BA475,0.5)</f>
        <v/>
      </c>
      <c r="BC475" s="4">
        <f>F475</f>
        <v/>
      </c>
      <c r="BD475" s="3">
        <f>BC475&amp;"|"&amp;INT(M475/SEG_ANIO)*SEG_ANIO</f>
        <v/>
      </c>
      <c r="BE475" s="3">
        <f>BD475&amp;"|"&amp;INT(N475/SEG_KM)*SEG_KM</f>
        <v/>
      </c>
      <c r="BF475" s="4">
        <f>COUNTIF($BC$2:$BC$545,BC475)</f>
        <v/>
      </c>
      <c r="BG475" s="4">
        <f>COUNTIF($BD$2:$BD$545,BD475)</f>
        <v/>
      </c>
      <c r="BH475" s="4">
        <f>COUNTIF($BE$2:$BE$545,BE475)</f>
        <v/>
      </c>
      <c r="BI475" s="3">
        <f t="array" ref="BI475">IF(N(AU475)&gt;=MIN_N,AT475,IF(BH475&gt;=MIN_N,MEDIAN(IF($BE$2:$BE$545=BE475,$O$2:$O$545)),IF(BG475&gt;=MIN_N,MEDIAN(IF($BD$2:$BD$545=BD475,$O$2:$O$545)),MEDIAN(IF($BC$2:$BC$545=BC475,$O$2:$O$545)))))</f>
        <v/>
      </c>
      <c r="BJ475" s="3">
        <f>IF(N(AU475)&gt;=MIN_N,"mercado "&amp;AV475,IF(BH475&gt;=MIN_N,"modelo+año+km",IF(BG475&gt;=MIN_N,"modelo+año","modelo")))</f>
        <v/>
      </c>
      <c r="BK475" s="4">
        <f>(BI475-O475)/BI475</f>
        <v/>
      </c>
      <c r="BL475" s="3">
        <f>IF(COUNTIFS(FR_FUEL,K475,FR_YEAR,AP475)&gt;0,1,0)</f>
        <v/>
      </c>
      <c r="BM475" s="3">
        <f>IF(COUNTIFS(FR_FUEL,K475,FR_YEAR,AP475-1)&gt;0,1,0)</f>
        <v/>
      </c>
      <c r="BN475" s="4">
        <f>IF(N(AQ475)&gt;0,AP475*100+AQ475,IF(AND(BL475=1,BM475=1),(AP475-1)*100+1,AP475*100+1))</f>
        <v/>
      </c>
      <c r="BO475" s="3">
        <f>IF(OR(K475="hibrido",K475="glp",K475="gnc",K475="phev"),"ECO",IF(K475="electrico","CERO",IF(K475="gasolina",IF(BN475&gt;=GAS_C_YM,"C",IF(BN475&gt;=GAS_B_YM,"B","A")),IF(K475="diesel",IF(BN475&gt;=DIE_C_YM,"C",IF(BN475&gt;=DIE_B_YM,"B","A")),""))))</f>
        <v/>
      </c>
      <c r="BP475" s="4">
        <f>BO475</f>
        <v/>
      </c>
      <c r="BQ475" s="4">
        <f>IF(AS475="regla",IF(AND(N(AQ475)=0,BL475=1),"sí","no"),"no")</f>
        <v/>
      </c>
      <c r="BR475" s="3">
        <f>IFERROR(VLOOKUP(F475,MOD_TBL,11,0),IFERROR(VLOOKUP(E475,OCU_TBL,2,0),NEUTRO))</f>
        <v/>
      </c>
      <c r="BS475" s="3">
        <f>SUMIFS(MOT_AJUSTE,MOT_MOTOR,G475,MOT_MARCA,E475,MOT_DESDE,"&lt;="&amp;M475,MOT_HASTA,"&gt;="&amp;M475)+SUMIFS(MOT_AJUSTE,MOT_MOTOR,G475,MOT_MARCA,"(todas)",MOT_DESDE,"&lt;="&amp;M475,MOT_HASTA,"&gt;="&amp;M475)</f>
        <v/>
      </c>
      <c r="BT475" s="3">
        <f>SUMIFS(COMB_AJUSTE,COMB_COMB,K475)</f>
        <v/>
      </c>
      <c r="BU475" s="3">
        <f>COUNTIFS(MOT_MOTOR,G475,MOT_MARCA,E475,MOT_DESDE,"&lt;="&amp;M475,MOT_HASTA,"&gt;="&amp;M475)+COUNTIFS(MOT_MOTOR,G475,MOT_MARCA,"(todas)",MOT_DESDE,"&lt;="&amp;M475,MOT_HASTA,"&gt;="&amp;M475)</f>
        <v/>
      </c>
      <c r="BV475" s="3">
        <f>IF(AND(K475="diesel",BU475=0),MIN(BR475,NEUTRO),BR475)</f>
        <v/>
      </c>
      <c r="BW475" s="4">
        <f>MAX(0,MIN(100,BV475+BS475+BT475))</f>
        <v/>
      </c>
      <c r="BX475" s="3">
        <f>MAX(0,MIN(100,50+BK475*PRECIO_PEND))</f>
        <v/>
      </c>
      <c r="BY475" s="3">
        <f>MAX(0,100*(1-N475/KM_MAX))</f>
        <v/>
      </c>
      <c r="BZ475" s="3">
        <f>IF(BB475&lt;KMA_SOSP,IF(AA475="sí",100,KMA_PEN),IF(BB475&lt;=KMA_IDEAL_MAX,100,MAX(0,100*(KMA_CERO-BB475)/(KMA_CERO-KMA_IDEAL_MAX))))</f>
        <v/>
      </c>
      <c r="CA475" s="3">
        <f>MAX(0,MIN(100,100*(M475-ANIO_MIN)/(ANIO_ACTUAL-ANIO_MIN)))</f>
        <v/>
      </c>
      <c r="CB475" s="3">
        <f>W_KMT*BY475+W_KMA*BZ475+W_EDAD*CA475</f>
        <v/>
      </c>
      <c r="CC475" s="3">
        <f>P_ITV*(V475="sí")+P_LIBRO*(W475="sí")+P_CORREA*(X475="sí")+P_PROP*(Y475=1)+P_GAR*(Z475="sí")+P_FOTOS*MIN(1,N(U475)/FOTOS_OBJ)</f>
        <v/>
      </c>
      <c r="CD475" s="3">
        <f>MAX(0,MIN(100,IFERROR(VLOOKUP(BP475,ETQ_TBL,2,0),0)-IF(BQ475="sí",ETQ_PEN_DUD,IF(AS475="regla",ETQ_PEN_REGLA,0))))</f>
        <v/>
      </c>
      <c r="CE475" s="3">
        <f>NEUTRO</f>
        <v/>
      </c>
      <c r="CF475" s="3">
        <f>IFERROR(VLOOKUP(L475,SEGURO_TBL,3,0),"")</f>
        <v/>
      </c>
      <c r="CG475" s="3">
        <f>IF(CF475="",NEUTRO,MAX(0,MIN(100,100*(SEG_REF_MAX-CF475)/(SEG_REF_MAX-SEG_REF_MIN))))</f>
        <v/>
      </c>
      <c r="CH475" s="3">
        <f>W_CONS*CE475+W_SEG*CG475</f>
        <v/>
      </c>
      <c r="CI475" s="3">
        <f>IF(N(AB475)&gt;0,AB475,IF(AND(R475="profesional",SG_LEGAL_ON=1),GAR_LEGAL,0))</f>
        <v/>
      </c>
      <c r="CJ475" s="3">
        <f>SG_GAR*MIN(1,CI475/SG_GAR_FULL)+SG_AMPL*(AC475="sí")+SG_KMC*(AF475="sí")+SG_REV*(N(AE475)&gt;0)+SG_DEV*MIN(1,N(AG475)/SG_DEV_FULL)+SG_HIST*(W475="sí")</f>
        <v/>
      </c>
      <c r="CK475" s="3">
        <f>IFERROR(VLOOKUP(L475,CARR_PEN_TBL,2,0),0)</f>
        <v/>
      </c>
      <c r="CL475" s="3">
        <f>W_FIAB*BW475+W_PRECIO*BX475+W_KMEDAD*CB475+W_ANUNCIO*CC475+W_USO*CH475+W_SEGURIDAD*CJ475+W_ETIQUETA*CD475-CK475</f>
        <v/>
      </c>
      <c r="CM475" s="4">
        <f>IF(N(I475)&gt;0,I475,IFERROR(ROUND(_xlfn.NUMBERVALUE(LEFT(G475,FIND(" ",G475&amp;" ")-1),".")*1000,0),99999))</f>
        <v/>
      </c>
      <c r="CN475" s="3">
        <f>IF(R475="profesional",0,IF(O475&lt;CUOTA_VALOR_MAX,IF(BA475&gt;ITP_TRAMO_ALTO,SUMIFS(CF_CUOTA,CF_MAS,ITP_TRAMO_ALTO,CF_CCMIN,"&lt;="&amp;CM475,CF_CCMAX,"&gt;="&amp;CM475),IF(BA475&gt;ITP_TRAMO_BAJO,SUMIFS(CF_CUOTA,CF_MAS,ITP_TRAMO_BAJO,CF_CCMIN,"&lt;="&amp;CM475,CF_CCMAX,"&gt;="&amp;CM475),O475*ITP_TIPO)),O475*ITP_TIPO))</f>
        <v/>
      </c>
      <c r="CO475" s="4">
        <f>IF(R475="profesional",N(AK475),0)</f>
        <v/>
      </c>
      <c r="CP475" s="3">
        <f>IF(AND(R475="profesional",ISNUMBER(AK475),AL475="sí"),0,TASA_DGT)</f>
        <v/>
      </c>
      <c r="CQ475" s="3">
        <f>INFORME_DGT</f>
        <v/>
      </c>
      <c r="CR475" s="4">
        <f>O475+CO475+CN475+CP475+CQ475</f>
        <v/>
      </c>
      <c r="CS475" s="4">
        <f>CR475+N(CF475)</f>
        <v/>
      </c>
      <c r="CT475" s="3">
        <f>IF(CR475&lt;=TOTAL_MAX,"sí",IF(CR475&lt;=TOTAL_MAX+MARGEN_NEG,"negociar","no"))</f>
        <v/>
      </c>
      <c r="CU475" s="4">
        <f>IF(CT475&lt;&gt;"no",COUNTIFS($CT$2:$CT$545,"&lt;&gt;no",$CL$2:$CL$545,"&gt;"&amp;CL475)+COUNTIFS($CT$2:CT475,"&lt;&gt;no",$CL$2:CL475,CL475),"")</f>
        <v/>
      </c>
    </row>
    <row r="476">
      <c r="A476" s="2" t="inlineStr">
        <is>
          <t>cochesnet:71450904</t>
        </is>
      </c>
      <c r="B476" s="2" t="inlineStr">
        <is>
          <t>cochesnet</t>
        </is>
      </c>
      <c r="C476" s="2" t="inlineStr">
        <is>
          <t>https://www.coches.net/seat-cordoba-diesel-2007-en-castellon-71450904-covo.aspx</t>
        </is>
      </c>
      <c r="D476" s="2" t="inlineStr">
        <is>
          <t>SEAT Cordoba</t>
        </is>
      </c>
      <c r="E476" s="2" t="inlineStr">
        <is>
          <t>Seat</t>
        </is>
      </c>
      <c r="F476" s="2" t="inlineStr">
        <is>
          <t>Seat Córdoba</t>
        </is>
      </c>
      <c r="G476" s="2" t="n"/>
      <c r="H476" s="2" t="n"/>
      <c r="I476" s="2" t="n"/>
      <c r="J476" s="2" t="n"/>
      <c r="K476" s="2" t="inlineStr">
        <is>
          <t>diesel</t>
        </is>
      </c>
      <c r="L476" s="2" t="inlineStr">
        <is>
          <t>berlina</t>
        </is>
      </c>
      <c r="M476" s="2" t="n">
        <v>2007</v>
      </c>
      <c r="N476" s="2" t="n">
        <v>214000</v>
      </c>
      <c r="O476" s="2" t="n">
        <v>3500</v>
      </c>
      <c r="P476" s="2" t="inlineStr">
        <is>
          <t>manual</t>
        </is>
      </c>
      <c r="Q476" s="2" t="inlineStr">
        <is>
          <t>no</t>
        </is>
      </c>
      <c r="R476" s="2" t="inlineStr">
        <is>
          <t>particular</t>
        </is>
      </c>
      <c r="S476" s="2" t="n"/>
      <c r="T476" s="2" t="inlineStr">
        <is>
          <t>2026-09-06T06:42:46Z</t>
        </is>
      </c>
      <c r="U476" s="2" t="n">
        <v>9</v>
      </c>
      <c r="V476" s="2" t="n"/>
      <c r="W476" s="2" t="n"/>
      <c r="X476" s="2" t="n"/>
      <c r="Y476" s="2" t="n"/>
      <c r="Z476" s="2" t="inlineStr">
        <is>
          <t>no</t>
        </is>
      </c>
      <c r="AA476" s="2" t="n"/>
      <c r="AB476" s="2" t="n"/>
      <c r="AC476" s="2" t="n"/>
      <c r="AD476" s="2" t="n"/>
      <c r="AE476" s="2" t="n"/>
      <c r="AF476" s="2" t="n"/>
      <c r="AG476" s="2" t="n"/>
      <c r="AH476" s="2" t="n">
        <v>3500</v>
      </c>
      <c r="AI476" s="2" t="n"/>
      <c r="AJ476" s="2" t="n"/>
      <c r="AK476" s="2" t="n"/>
      <c r="AL476" s="2" t="n"/>
      <c r="AM476" s="2" t="n"/>
      <c r="AN476" s="2" t="n"/>
      <c r="AO476" s="2" t="inlineStr">
        <is>
          <t>2007</t>
        </is>
      </c>
      <c r="AP476" s="2" t="n">
        <v>2007</v>
      </c>
      <c r="AQ476" s="2" t="n"/>
      <c r="AR476" s="2" t="n"/>
      <c r="AS476" s="2" t="inlineStr">
        <is>
          <t>regla</t>
        </is>
      </c>
      <c r="AT476" s="2" t="n"/>
      <c r="AU476" s="2" t="n"/>
      <c r="AV476" s="2" t="n"/>
      <c r="AW476" s="2" t="n"/>
      <c r="AX476" s="2" t="inlineStr">
        <is>
          <t>cilindrada desconocida: se aplica el tramo de cuota fija más alto; cuota fija ITP: &gt;12 años, más de 2.000 cc; diésel: motor sin fuente de fiabilidad (fiabilidad limitada a neutra); carrocería berlina: -4 puntos; distancia no verificable (el anuncio solo indica la provincia): confirmar que está a &lt;= 70 km; fiabilidad del modelo PENDIENTE de fuente (puntuación neutra); mediana con solo 1 anuncio(s)</t>
        </is>
      </c>
      <c r="AY476" s="2" t="inlineStr">
        <is>
          <t>?? ¡SE VENDE SEAT CÓRDOBA 1.9 TDI (2007)! ??
Un coche ideal para el día a día, famoso por su motor indestructible y su consumo mínimo. ? ¡Máxima fiabilidad a bajo coste!
? EQUIPAMIENTO COMPLETO
• ?? Anclajes ISOFIX en los asientos traseros para sillas infantiles.
• ?? Elevalunas eléctricos delanteros.
• ?? Cierre centralizado con mando a distancia.
• ?? Climatizador automático para viajar cómodo en cualquier época.
• ?? Radio CD/MP3 con mandos en la columna de dirección.
• ??? Seguridad: Sistema de frenos ABS y múltiples Airbags.
• ?? Gran maletero de casi 500 litros de capacidad.
?? DETALLES DE CARROCERÍA (Precio ajustado por estética)
Mecánicamente funciona muy bien, pero estéticamente tiene los desperfectos típicos de dormir en la calle:
• ?? Pintura con el barniz levantado en algunas zonas debido al sol.
• ?? Daños por granizo en la chapa (techo y capó).
* Perfecto para quien busque un coche eterno y económico, sin dar prioridad a la estética exterior.
?? DATOS DEL VEHÍCULO Y CONDICIONES
• ??? Año: 2007
• ??? Kilometraje: 214.403 km
• ? Motor: 1.9 TDI (Diésel - El bloque más duro del grupo VAG)
• ??? Distintivo ambiental: Etiqueta B ??
• ?? Condiciones de venta: Vehículo de particular en ?? gestión de venta. Se vende en estado actual y sin garantía.
?? PRECIO: 3.500€
• ?? ¡Cambio de nombre INCLUIDO en el precio! Sin sorpresas ni gastos extra de gestoría.
¡Un motor para hacerle otros 200.000 km sin pestañear! ???</t>
        </is>
      </c>
      <c r="AZ476" s="2" t="inlineStr">
        <is>
          <t>https://www.coches.net/seat-cordoba-diesel-2007-en-castellon-71450904-covo.aspx (window.__INITIAL_PROPS__.ad) /home/user/Alopecia/buscador-coches/raw/cochesnet/82b6807d7e3742ba.json</t>
        </is>
      </c>
      <c r="BA476" s="3">
        <f>MAX(ANIO_ACTUAL-M476,0)</f>
        <v/>
      </c>
      <c r="BB476" s="4">
        <f>N476/MAX(BA476,0.5)</f>
        <v/>
      </c>
      <c r="BC476" s="4">
        <f>F476</f>
        <v/>
      </c>
      <c r="BD476" s="3">
        <f>BC476&amp;"|"&amp;INT(M476/SEG_ANIO)*SEG_ANIO</f>
        <v/>
      </c>
      <c r="BE476" s="3">
        <f>BD476&amp;"|"&amp;INT(N476/SEG_KM)*SEG_KM</f>
        <v/>
      </c>
      <c r="BF476" s="4">
        <f>COUNTIF($BC$2:$BC$545,BC476)</f>
        <v/>
      </c>
      <c r="BG476" s="4">
        <f>COUNTIF($BD$2:$BD$545,BD476)</f>
        <v/>
      </c>
      <c r="BH476" s="4">
        <f>COUNTIF($BE$2:$BE$545,BE476)</f>
        <v/>
      </c>
      <c r="BI476" s="3">
        <f t="array" ref="BI476">IF(N(AU476)&gt;=MIN_N,AT476,IF(BH476&gt;=MIN_N,MEDIAN(IF($BE$2:$BE$545=BE476,$O$2:$O$545)),IF(BG476&gt;=MIN_N,MEDIAN(IF($BD$2:$BD$545=BD476,$O$2:$O$545)),MEDIAN(IF($BC$2:$BC$545=BC476,$O$2:$O$545)))))</f>
        <v/>
      </c>
      <c r="BJ476" s="3">
        <f>IF(N(AU476)&gt;=MIN_N,"mercado "&amp;AV476,IF(BH476&gt;=MIN_N,"modelo+año+km",IF(BG476&gt;=MIN_N,"modelo+año","modelo")))</f>
        <v/>
      </c>
      <c r="BK476" s="4">
        <f>(BI476-O476)/BI476</f>
        <v/>
      </c>
      <c r="BL476" s="3">
        <f>IF(COUNTIFS(FR_FUEL,K476,FR_YEAR,AP476)&gt;0,1,0)</f>
        <v/>
      </c>
      <c r="BM476" s="3">
        <f>IF(COUNTIFS(FR_FUEL,K476,FR_YEAR,AP476-1)&gt;0,1,0)</f>
        <v/>
      </c>
      <c r="BN476" s="4">
        <f>IF(N(AQ476)&gt;0,AP476*100+AQ476,IF(AND(BL476=1,BM476=1),(AP476-1)*100+1,AP476*100+1))</f>
        <v/>
      </c>
      <c r="BO476" s="3">
        <f>IF(OR(K476="hibrido",K476="glp",K476="gnc",K476="phev"),"ECO",IF(K476="electrico","CERO",IF(K476="gasolina",IF(BN476&gt;=GAS_C_YM,"C",IF(BN476&gt;=GAS_B_YM,"B","A")),IF(K476="diesel",IF(BN476&gt;=DIE_C_YM,"C",IF(BN476&gt;=DIE_B_YM,"B","A")),""))))</f>
        <v/>
      </c>
      <c r="BP476" s="4">
        <f>BO476</f>
        <v/>
      </c>
      <c r="BQ476" s="4">
        <f>IF(AS476="regla",IF(AND(N(AQ476)=0,BL476=1),"sí","no"),"no")</f>
        <v/>
      </c>
      <c r="BR476" s="3">
        <f>IFERROR(VLOOKUP(F476,MOD_TBL,11,0),IFERROR(VLOOKUP(E476,OCU_TBL,2,0),NEUTRO))</f>
        <v/>
      </c>
      <c r="BS476" s="3">
        <f>SUMIFS(MOT_AJUSTE,MOT_MOTOR,G476,MOT_MARCA,E476,MOT_DESDE,"&lt;="&amp;M476,MOT_HASTA,"&gt;="&amp;M476)+SUMIFS(MOT_AJUSTE,MOT_MOTOR,G476,MOT_MARCA,"(todas)",MOT_DESDE,"&lt;="&amp;M476,MOT_HASTA,"&gt;="&amp;M476)</f>
        <v/>
      </c>
      <c r="BT476" s="3">
        <f>SUMIFS(COMB_AJUSTE,COMB_COMB,K476)</f>
        <v/>
      </c>
      <c r="BU476" s="3">
        <f>COUNTIFS(MOT_MOTOR,G476,MOT_MARCA,E476,MOT_DESDE,"&lt;="&amp;M476,MOT_HASTA,"&gt;="&amp;M476)+COUNTIFS(MOT_MOTOR,G476,MOT_MARCA,"(todas)",MOT_DESDE,"&lt;="&amp;M476,MOT_HASTA,"&gt;="&amp;M476)</f>
        <v/>
      </c>
      <c r="BV476" s="3">
        <f>IF(AND(K476="diesel",BU476=0),MIN(BR476,NEUTRO),BR476)</f>
        <v/>
      </c>
      <c r="BW476" s="4">
        <f>MAX(0,MIN(100,BV476+BS476+BT476))</f>
        <v/>
      </c>
      <c r="BX476" s="3">
        <f>MAX(0,MIN(100,50+BK476*PRECIO_PEND))</f>
        <v/>
      </c>
      <c r="BY476" s="3">
        <f>MAX(0,100*(1-N476/KM_MAX))</f>
        <v/>
      </c>
      <c r="BZ476" s="3">
        <f>IF(BB476&lt;KMA_SOSP,IF(AA476="sí",100,KMA_PEN),IF(BB476&lt;=KMA_IDEAL_MAX,100,MAX(0,100*(KMA_CERO-BB476)/(KMA_CERO-KMA_IDEAL_MAX))))</f>
        <v/>
      </c>
      <c r="CA476" s="3">
        <f>MAX(0,MIN(100,100*(M476-ANIO_MIN)/(ANIO_ACTUAL-ANIO_MIN)))</f>
        <v/>
      </c>
      <c r="CB476" s="3">
        <f>W_KMT*BY476+W_KMA*BZ476+W_EDAD*CA476</f>
        <v/>
      </c>
      <c r="CC476" s="3">
        <f>P_ITV*(V476="sí")+P_LIBRO*(W476="sí")+P_CORREA*(X476="sí")+P_PROP*(Y476=1)+P_GAR*(Z476="sí")+P_FOTOS*MIN(1,N(U476)/FOTOS_OBJ)</f>
        <v/>
      </c>
      <c r="CD476" s="3">
        <f>MAX(0,MIN(100,IFERROR(VLOOKUP(BP476,ETQ_TBL,2,0),0)-IF(BQ476="sí",ETQ_PEN_DUD,IF(AS476="regla",ETQ_PEN_REGLA,0))))</f>
        <v/>
      </c>
      <c r="CE476" s="3">
        <f>NEUTRO</f>
        <v/>
      </c>
      <c r="CF476" s="3">
        <f>IFERROR(VLOOKUP(L476,SEGURO_TBL,3,0),"")</f>
        <v/>
      </c>
      <c r="CG476" s="3">
        <f>IF(CF476="",NEUTRO,MAX(0,MIN(100,100*(SEG_REF_MAX-CF476)/(SEG_REF_MAX-SEG_REF_MIN))))</f>
        <v/>
      </c>
      <c r="CH476" s="3">
        <f>W_CONS*CE476+W_SEG*CG476</f>
        <v/>
      </c>
      <c r="CI476" s="3">
        <f>IF(N(AB476)&gt;0,AB476,IF(AND(R476="profesional",SG_LEGAL_ON=1),GAR_LEGAL,0))</f>
        <v/>
      </c>
      <c r="CJ476" s="3">
        <f>SG_GAR*MIN(1,CI476/SG_GAR_FULL)+SG_AMPL*(AC476="sí")+SG_KMC*(AF476="sí")+SG_REV*(N(AE476)&gt;0)+SG_DEV*MIN(1,N(AG476)/SG_DEV_FULL)+SG_HIST*(W476="sí")</f>
        <v/>
      </c>
      <c r="CK476" s="3">
        <f>IFERROR(VLOOKUP(L476,CARR_PEN_TBL,2,0),0)</f>
        <v/>
      </c>
      <c r="CL476" s="3">
        <f>W_FIAB*BW476+W_PRECIO*BX476+W_KMEDAD*CB476+W_ANUNCIO*CC476+W_USO*CH476+W_SEGURIDAD*CJ476+W_ETIQUETA*CD476-CK476</f>
        <v/>
      </c>
      <c r="CM476" s="4">
        <f>IF(N(I476)&gt;0,I476,IFERROR(ROUND(_xlfn.NUMBERVALUE(LEFT(G476,FIND(" ",G476&amp;" ")-1),".")*1000,0),99999))</f>
        <v/>
      </c>
      <c r="CN476" s="3">
        <f>IF(R476="profesional",0,IF(O476&lt;CUOTA_VALOR_MAX,IF(BA476&gt;ITP_TRAMO_ALTO,SUMIFS(CF_CUOTA,CF_MAS,ITP_TRAMO_ALTO,CF_CCMIN,"&lt;="&amp;CM476,CF_CCMAX,"&gt;="&amp;CM476),IF(BA476&gt;ITP_TRAMO_BAJO,SUMIFS(CF_CUOTA,CF_MAS,ITP_TRAMO_BAJO,CF_CCMIN,"&lt;="&amp;CM476,CF_CCMAX,"&gt;="&amp;CM476),O476*ITP_TIPO)),O476*ITP_TIPO))</f>
        <v/>
      </c>
      <c r="CO476" s="4">
        <f>IF(R476="profesional",N(AK476),0)</f>
        <v/>
      </c>
      <c r="CP476" s="3">
        <f>IF(AND(R476="profesional",ISNUMBER(AK476),AL476="sí"),0,TASA_DGT)</f>
        <v/>
      </c>
      <c r="CQ476" s="3">
        <f>INFORME_DGT</f>
        <v/>
      </c>
      <c r="CR476" s="4">
        <f>O476+CO476+CN476+CP476+CQ476</f>
        <v/>
      </c>
      <c r="CS476" s="4">
        <f>CR476+N(CF476)</f>
        <v/>
      </c>
      <c r="CT476" s="3">
        <f>IF(CR476&lt;=TOTAL_MAX,"sí",IF(CR476&lt;=TOTAL_MAX+MARGEN_NEG,"negociar","no"))</f>
        <v/>
      </c>
      <c r="CU476" s="4">
        <f>IF(CT476&lt;&gt;"no",COUNTIFS($CT$2:$CT$545,"&lt;&gt;no",$CL$2:$CL$545,"&gt;"&amp;CL476)+COUNTIFS($CT$2:CT476,"&lt;&gt;no",$CL$2:CL476,CL476),"")</f>
        <v/>
      </c>
    </row>
    <row r="477">
      <c r="A477" s="2" t="inlineStr">
        <is>
          <t>cochesnet:71374977</t>
        </is>
      </c>
      <c r="B477" s="2" t="inlineStr">
        <is>
          <t>cochesnet</t>
        </is>
      </c>
      <c r="C477" s="2" t="inlineStr">
        <is>
          <t>https://www.coches.net/seat-leon-gasolina-2007-en-castellon-71374977-covo.aspx</t>
        </is>
      </c>
      <c r="D477" s="2" t="inlineStr">
        <is>
          <t>SEAT Leon</t>
        </is>
      </c>
      <c r="E477" s="2" t="inlineStr">
        <is>
          <t>Seat</t>
        </is>
      </c>
      <c r="F477" s="2" t="inlineStr">
        <is>
          <t>Seat León</t>
        </is>
      </c>
      <c r="G477" s="2" t="n"/>
      <c r="H477" s="2" t="n"/>
      <c r="I477" s="2" t="n"/>
      <c r="J477" s="2" t="n"/>
      <c r="K477" s="2" t="inlineStr">
        <is>
          <t>gasolina</t>
        </is>
      </c>
      <c r="L477" s="2" t="inlineStr">
        <is>
          <t>compacto</t>
        </is>
      </c>
      <c r="M477" s="2" t="n">
        <v>2007</v>
      </c>
      <c r="N477" s="2" t="n">
        <v>192000</v>
      </c>
      <c r="O477" s="2" t="n">
        <v>4500</v>
      </c>
      <c r="P477" s="2" t="inlineStr">
        <is>
          <t>manual</t>
        </is>
      </c>
      <c r="Q477" s="2" t="inlineStr">
        <is>
          <t>no</t>
        </is>
      </c>
      <c r="R477" s="2" t="inlineStr">
        <is>
          <t>particular</t>
        </is>
      </c>
      <c r="S477" s="2" t="n"/>
      <c r="T477" s="2" t="inlineStr">
        <is>
          <t>2026-08-27T07:26:13Z</t>
        </is>
      </c>
      <c r="U477" s="2" t="n">
        <v>5</v>
      </c>
      <c r="V477" s="2" t="n"/>
      <c r="W477" s="2" t="n"/>
      <c r="X477" s="2" t="n"/>
      <c r="Y477" s="2" t="n"/>
      <c r="Z477" s="2" t="inlineStr">
        <is>
          <t>no</t>
        </is>
      </c>
      <c r="AA477" s="2" t="n"/>
      <c r="AB477" s="2" t="n"/>
      <c r="AC477" s="2" t="n"/>
      <c r="AD477" s="2" t="n"/>
      <c r="AE477" s="2" t="n"/>
      <c r="AF477" s="2" t="n"/>
      <c r="AG477" s="2" t="n"/>
      <c r="AH477" s="2" t="n">
        <v>4500</v>
      </c>
      <c r="AI477" s="2" t="n"/>
      <c r="AJ477" s="2" t="n"/>
      <c r="AK477" s="2" t="n"/>
      <c r="AL477" s="2" t="n"/>
      <c r="AM477" s="2" t="n"/>
      <c r="AN477" s="2" t="n"/>
      <c r="AO477" s="2" t="inlineStr">
        <is>
          <t>2007</t>
        </is>
      </c>
      <c r="AP477" s="2" t="n">
        <v>2007</v>
      </c>
      <c r="AQ477" s="2" t="n"/>
      <c r="AR477" s="2" t="n"/>
      <c r="AS477" s="2" t="inlineStr">
        <is>
          <t>regla</t>
        </is>
      </c>
      <c r="AT477" s="2" t="n">
        <v>5345</v>
      </c>
      <c r="AU477" s="2" t="n">
        <v>4</v>
      </c>
      <c r="AV477" s="2" t="inlineStr">
        <is>
          <t>modelo+año+km</t>
        </is>
      </c>
      <c r="AW477" s="2" t="n"/>
      <c r="AX477" s="2" t="inlineStr">
        <is>
          <t>cilindrada desconocida: se aplica el tramo de cuota fija más alto; cuota fija ITP: &gt;12 años, más de 2.000 cc; distancia no verificable (el anuncio solo indica la provincia): confirmar que está a &lt;= 70 km</t>
        </is>
      </c>
      <c r="AY477" s="2" t="inlineStr">
        <is>
          <t>Vheiculo demasiado cuidado, Reciente pasada la ITV Y esta al dia el vheiculo
precio negociable mas informacion al numero:
EXTRAS:
Camara trasera,control crucero, Aire condicionado nuevo, retrovisores aletricos</t>
        </is>
      </c>
      <c r="AZ477" s="2" t="inlineStr">
        <is>
          <t>https://www.coches.net/seat-leon-gasolina-2007-en-castellon-71374977-covo.aspx (window.__INITIAL_PROPS__.ad) /home/user/Alopecia/buscador-coches/raw/cochesnet/442e8f387728f7f9.json</t>
        </is>
      </c>
      <c r="BA477" s="3">
        <f>MAX(ANIO_ACTUAL-M477,0)</f>
        <v/>
      </c>
      <c r="BB477" s="4">
        <f>N477/MAX(BA477,0.5)</f>
        <v/>
      </c>
      <c r="BC477" s="4">
        <f>F477</f>
        <v/>
      </c>
      <c r="BD477" s="3">
        <f>BC477&amp;"|"&amp;INT(M477/SEG_ANIO)*SEG_ANIO</f>
        <v/>
      </c>
      <c r="BE477" s="3">
        <f>BD477&amp;"|"&amp;INT(N477/SEG_KM)*SEG_KM</f>
        <v/>
      </c>
      <c r="BF477" s="4">
        <f>COUNTIF($BC$2:$BC$545,BC477)</f>
        <v/>
      </c>
      <c r="BG477" s="4">
        <f>COUNTIF($BD$2:$BD$545,BD477)</f>
        <v/>
      </c>
      <c r="BH477" s="4">
        <f>COUNTIF($BE$2:$BE$545,BE477)</f>
        <v/>
      </c>
      <c r="BI477" s="3">
        <f t="array" ref="BI477">IF(N(AU477)&gt;=MIN_N,AT477,IF(BH477&gt;=MIN_N,MEDIAN(IF($BE$2:$BE$545=BE477,$O$2:$O$545)),IF(BG477&gt;=MIN_N,MEDIAN(IF($BD$2:$BD$545=BD477,$O$2:$O$545)),MEDIAN(IF($BC$2:$BC$545=BC477,$O$2:$O$545)))))</f>
        <v/>
      </c>
      <c r="BJ477" s="3">
        <f>IF(N(AU477)&gt;=MIN_N,"mercado "&amp;AV477,IF(BH477&gt;=MIN_N,"modelo+año+km",IF(BG477&gt;=MIN_N,"modelo+año","modelo")))</f>
        <v/>
      </c>
      <c r="BK477" s="4">
        <f>(BI477-O477)/BI477</f>
        <v/>
      </c>
      <c r="BL477" s="3">
        <f>IF(COUNTIFS(FR_FUEL,K477,FR_YEAR,AP477)&gt;0,1,0)</f>
        <v/>
      </c>
      <c r="BM477" s="3">
        <f>IF(COUNTIFS(FR_FUEL,K477,FR_YEAR,AP477-1)&gt;0,1,0)</f>
        <v/>
      </c>
      <c r="BN477" s="4">
        <f>IF(N(AQ477)&gt;0,AP477*100+AQ477,IF(AND(BL477=1,BM477=1),(AP477-1)*100+1,AP477*100+1))</f>
        <v/>
      </c>
      <c r="BO477" s="3">
        <f>IF(OR(K477="hibrido",K477="glp",K477="gnc",K477="phev"),"ECO",IF(K477="electrico","CERO",IF(K477="gasolina",IF(BN477&gt;=GAS_C_YM,"C",IF(BN477&gt;=GAS_B_YM,"B","A")),IF(K477="diesel",IF(BN477&gt;=DIE_C_YM,"C",IF(BN477&gt;=DIE_B_YM,"B","A")),""))))</f>
        <v/>
      </c>
      <c r="BP477" s="4">
        <f>BO477</f>
        <v/>
      </c>
      <c r="BQ477" s="4">
        <f>IF(AS477="regla",IF(AND(N(AQ477)=0,BL477=1),"sí","no"),"no")</f>
        <v/>
      </c>
      <c r="BR477" s="3">
        <f>IFERROR(VLOOKUP(F477,MOD_TBL,11,0),IFERROR(VLOOKUP(E477,OCU_TBL,2,0),NEUTRO))</f>
        <v/>
      </c>
      <c r="BS477" s="3">
        <f>SUMIFS(MOT_AJUSTE,MOT_MOTOR,G477,MOT_MARCA,E477,MOT_DESDE,"&lt;="&amp;M477,MOT_HASTA,"&gt;="&amp;M477)+SUMIFS(MOT_AJUSTE,MOT_MOTOR,G477,MOT_MARCA,"(todas)",MOT_DESDE,"&lt;="&amp;M477,MOT_HASTA,"&gt;="&amp;M477)</f>
        <v/>
      </c>
      <c r="BT477" s="3">
        <f>SUMIFS(COMB_AJUSTE,COMB_COMB,K477)</f>
        <v/>
      </c>
      <c r="BU477" s="3">
        <f>COUNTIFS(MOT_MOTOR,G477,MOT_MARCA,E477,MOT_DESDE,"&lt;="&amp;M477,MOT_HASTA,"&gt;="&amp;M477)+COUNTIFS(MOT_MOTOR,G477,MOT_MARCA,"(todas)",MOT_DESDE,"&lt;="&amp;M477,MOT_HASTA,"&gt;="&amp;M477)</f>
        <v/>
      </c>
      <c r="BV477" s="3">
        <f>IF(AND(K477="diesel",BU477=0),MIN(BR477,NEUTRO),BR477)</f>
        <v/>
      </c>
      <c r="BW477" s="4">
        <f>MAX(0,MIN(100,BV477+BS477+BT477))</f>
        <v/>
      </c>
      <c r="BX477" s="3">
        <f>MAX(0,MIN(100,50+BK477*PRECIO_PEND))</f>
        <v/>
      </c>
      <c r="BY477" s="3">
        <f>MAX(0,100*(1-N477/KM_MAX))</f>
        <v/>
      </c>
      <c r="BZ477" s="3">
        <f>IF(BB477&lt;KMA_SOSP,IF(AA477="sí",100,KMA_PEN),IF(BB477&lt;=KMA_IDEAL_MAX,100,MAX(0,100*(KMA_CERO-BB477)/(KMA_CERO-KMA_IDEAL_MAX))))</f>
        <v/>
      </c>
      <c r="CA477" s="3">
        <f>MAX(0,MIN(100,100*(M477-ANIO_MIN)/(ANIO_ACTUAL-ANIO_MIN)))</f>
        <v/>
      </c>
      <c r="CB477" s="3">
        <f>W_KMT*BY477+W_KMA*BZ477+W_EDAD*CA477</f>
        <v/>
      </c>
      <c r="CC477" s="3">
        <f>P_ITV*(V477="sí")+P_LIBRO*(W477="sí")+P_CORREA*(X477="sí")+P_PROP*(Y477=1)+P_GAR*(Z477="sí")+P_FOTOS*MIN(1,N(U477)/FOTOS_OBJ)</f>
        <v/>
      </c>
      <c r="CD477" s="3">
        <f>MAX(0,MIN(100,IFERROR(VLOOKUP(BP477,ETQ_TBL,2,0),0)-IF(BQ477="sí",ETQ_PEN_DUD,IF(AS477="regla",ETQ_PEN_REGLA,0))))</f>
        <v/>
      </c>
      <c r="CE477" s="3">
        <f>NEUTRO</f>
        <v/>
      </c>
      <c r="CF477" s="3">
        <f>IFERROR(VLOOKUP(L477,SEGURO_TBL,3,0),"")</f>
        <v/>
      </c>
      <c r="CG477" s="3">
        <f>IF(CF477="",NEUTRO,MAX(0,MIN(100,100*(SEG_REF_MAX-CF477)/(SEG_REF_MAX-SEG_REF_MIN))))</f>
        <v/>
      </c>
      <c r="CH477" s="3">
        <f>W_CONS*CE477+W_SEG*CG477</f>
        <v/>
      </c>
      <c r="CI477" s="3">
        <f>IF(N(AB477)&gt;0,AB477,IF(AND(R477="profesional",SG_LEGAL_ON=1),GAR_LEGAL,0))</f>
        <v/>
      </c>
      <c r="CJ477" s="3">
        <f>SG_GAR*MIN(1,CI477/SG_GAR_FULL)+SG_AMPL*(AC477="sí")+SG_KMC*(AF477="sí")+SG_REV*(N(AE477)&gt;0)+SG_DEV*MIN(1,N(AG477)/SG_DEV_FULL)+SG_HIST*(W477="sí")</f>
        <v/>
      </c>
      <c r="CK477" s="3">
        <f>IFERROR(VLOOKUP(L477,CARR_PEN_TBL,2,0),0)</f>
        <v/>
      </c>
      <c r="CL477" s="3">
        <f>W_FIAB*BW477+W_PRECIO*BX477+W_KMEDAD*CB477+W_ANUNCIO*CC477+W_USO*CH477+W_SEGURIDAD*CJ477+W_ETIQUETA*CD477-CK477</f>
        <v/>
      </c>
      <c r="CM477" s="4">
        <f>IF(N(I477)&gt;0,I477,IFERROR(ROUND(_xlfn.NUMBERVALUE(LEFT(G477,FIND(" ",G477&amp;" ")-1),".")*1000,0),99999))</f>
        <v/>
      </c>
      <c r="CN477" s="3">
        <f>IF(R477="profesional",0,IF(O477&lt;CUOTA_VALOR_MAX,IF(BA477&gt;ITP_TRAMO_ALTO,SUMIFS(CF_CUOTA,CF_MAS,ITP_TRAMO_ALTO,CF_CCMIN,"&lt;="&amp;CM477,CF_CCMAX,"&gt;="&amp;CM477),IF(BA477&gt;ITP_TRAMO_BAJO,SUMIFS(CF_CUOTA,CF_MAS,ITP_TRAMO_BAJO,CF_CCMIN,"&lt;="&amp;CM477,CF_CCMAX,"&gt;="&amp;CM477),O477*ITP_TIPO)),O477*ITP_TIPO))</f>
        <v/>
      </c>
      <c r="CO477" s="4">
        <f>IF(R477="profesional",N(AK477),0)</f>
        <v/>
      </c>
      <c r="CP477" s="3">
        <f>IF(AND(R477="profesional",ISNUMBER(AK477),AL477="sí"),0,TASA_DGT)</f>
        <v/>
      </c>
      <c r="CQ477" s="3">
        <f>INFORME_DGT</f>
        <v/>
      </c>
      <c r="CR477" s="4">
        <f>O477+CO477+CN477+CP477+CQ477</f>
        <v/>
      </c>
      <c r="CS477" s="4">
        <f>CR477+N(CF477)</f>
        <v/>
      </c>
      <c r="CT477" s="3">
        <f>IF(CR477&lt;=TOTAL_MAX,"sí",IF(CR477&lt;=TOTAL_MAX+MARGEN_NEG,"negociar","no"))</f>
        <v/>
      </c>
      <c r="CU477" s="4">
        <f>IF(CT477&lt;&gt;"no",COUNTIFS($CT$2:$CT$545,"&lt;&gt;no",$CL$2:$CL$545,"&gt;"&amp;CL477)+COUNTIFS($CT$2:CT477,"&lt;&gt;no",$CL$2:CL477,CL477),"")</f>
        <v/>
      </c>
    </row>
    <row r="478">
      <c r="A478" s="2" t="inlineStr">
        <is>
          <t>cochesnet:71302646</t>
        </is>
      </c>
      <c r="B478" s="2" t="inlineStr">
        <is>
          <t>cochesnet</t>
        </is>
      </c>
      <c r="C478" s="2" t="inlineStr">
        <is>
          <t>https://www.coches.net/seat-altea-xl-diesel-2006-en-castellon-71302646-covo.aspx</t>
        </is>
      </c>
      <c r="D478" s="2" t="inlineStr">
        <is>
          <t>SEAT Altea XL</t>
        </is>
      </c>
      <c r="E478" s="2" t="inlineStr">
        <is>
          <t>Seat</t>
        </is>
      </c>
      <c r="F478" s="2" t="inlineStr">
        <is>
          <t>Seat Altea</t>
        </is>
      </c>
      <c r="G478" s="2" t="n"/>
      <c r="H478" s="2" t="n"/>
      <c r="I478" s="2" t="n"/>
      <c r="J478" s="2" t="n"/>
      <c r="K478" s="2" t="inlineStr">
        <is>
          <t>diesel</t>
        </is>
      </c>
      <c r="L478" s="2" t="inlineStr">
        <is>
          <t>monovolumen_pequeno</t>
        </is>
      </c>
      <c r="M478" s="2" t="n">
        <v>2006</v>
      </c>
      <c r="N478" s="2" t="n">
        <v>220000</v>
      </c>
      <c r="O478" s="2" t="n">
        <v>3799</v>
      </c>
      <c r="P478" s="2" t="inlineStr">
        <is>
          <t>manual</t>
        </is>
      </c>
      <c r="Q478" s="2" t="inlineStr">
        <is>
          <t>no</t>
        </is>
      </c>
      <c r="R478" s="2" t="inlineStr">
        <is>
          <t>particular</t>
        </is>
      </c>
      <c r="S478" s="2" t="n"/>
      <c r="T478" s="2" t="inlineStr">
        <is>
          <t>2026-08-16T17:44:25Z</t>
        </is>
      </c>
      <c r="U478" s="2" t="n">
        <v>7</v>
      </c>
      <c r="V478" s="2" t="inlineStr">
        <is>
          <t>sí</t>
        </is>
      </c>
      <c r="W478" s="2" t="n"/>
      <c r="X478" s="2" t="n"/>
      <c r="Y478" s="2" t="n"/>
      <c r="Z478" s="2" t="inlineStr">
        <is>
          <t>no</t>
        </is>
      </c>
      <c r="AA478" s="2" t="n"/>
      <c r="AB478" s="2" t="n"/>
      <c r="AC478" s="2" t="n"/>
      <c r="AD478" s="2" t="n"/>
      <c r="AE478" s="2" t="n"/>
      <c r="AF478" s="2" t="n"/>
      <c r="AG478" s="2" t="n"/>
      <c r="AH478" s="2" t="n">
        <v>3799</v>
      </c>
      <c r="AI478" s="2" t="n"/>
      <c r="AJ478" s="2" t="n"/>
      <c r="AK478" s="2" t="n"/>
      <c r="AL478" s="2" t="n"/>
      <c r="AM478" s="2" t="n"/>
      <c r="AN478" s="2" t="n"/>
      <c r="AO478" s="2" t="inlineStr">
        <is>
          <t>2006</t>
        </is>
      </c>
      <c r="AP478" s="2" t="n">
        <v>2006</v>
      </c>
      <c r="AQ478" s="2" t="n"/>
      <c r="AR478" s="2" t="n"/>
      <c r="AS478" s="2" t="inlineStr">
        <is>
          <t>regla</t>
        </is>
      </c>
      <c r="AT478" s="2" t="n">
        <v>3849.5</v>
      </c>
      <c r="AU478" s="2" t="n">
        <v>6</v>
      </c>
      <c r="AV478" s="2" t="inlineStr">
        <is>
          <t>modelo+año+km</t>
        </is>
      </c>
      <c r="AW478" s="2" t="n"/>
      <c r="AX478" s="2" t="inlineStr">
        <is>
          <t>etiqueta A dudosa: confirmar etiqueta con la DGT antes de comprar; cilindrada desconocida: se aplica el tramo de cuota fija más alto; cuota fija ITP: &gt;12 años, más de 2.000 cc; diésel: motor sin fuente de fiabilidad (fiabilidad limitada a neutra); carrocería monovolumen_pequeno: -6 puntos; distancia no verificable (el anuncio solo indica la provincia): confirmar que está a &lt;= 70 km; fiabilidad del modelo PENDIENTE de fuente (puntuación neutra)</t>
        </is>
      </c>
      <c r="AY478" s="2" t="inlineStr">
        <is>
          <t>ITV Hasta 11/08/2027 . mantenamiento todo hecho con facturas. Coche muy bien cuidado y limpio . Ven y probar con tu mecanico . 642 343073 Solo Whatsapp</t>
        </is>
      </c>
      <c r="AZ478" s="2" t="inlineStr">
        <is>
          <t>https://www.coches.net/seat-altea-xl-diesel-2006-en-castellon-71302646-covo.aspx (window.__INITIAL_PROPS__.ad) /home/user/Alopecia/buscador-coches/raw/cochesnet/c4157dec174aaa07.json</t>
        </is>
      </c>
      <c r="BA478" s="3">
        <f>MAX(ANIO_ACTUAL-M478,0)</f>
        <v/>
      </c>
      <c r="BB478" s="4">
        <f>N478/MAX(BA478,0.5)</f>
        <v/>
      </c>
      <c r="BC478" s="4">
        <f>F478</f>
        <v/>
      </c>
      <c r="BD478" s="3">
        <f>BC478&amp;"|"&amp;INT(M478/SEG_ANIO)*SEG_ANIO</f>
        <v/>
      </c>
      <c r="BE478" s="3">
        <f>BD478&amp;"|"&amp;INT(N478/SEG_KM)*SEG_KM</f>
        <v/>
      </c>
      <c r="BF478" s="4">
        <f>COUNTIF($BC$2:$BC$545,BC478)</f>
        <v/>
      </c>
      <c r="BG478" s="4">
        <f>COUNTIF($BD$2:$BD$545,BD478)</f>
        <v/>
      </c>
      <c r="BH478" s="4">
        <f>COUNTIF($BE$2:$BE$545,BE478)</f>
        <v/>
      </c>
      <c r="BI478" s="3">
        <f t="array" ref="BI478">IF(N(AU478)&gt;=MIN_N,AT478,IF(BH478&gt;=MIN_N,MEDIAN(IF($BE$2:$BE$545=BE478,$O$2:$O$545)),IF(BG478&gt;=MIN_N,MEDIAN(IF($BD$2:$BD$545=BD478,$O$2:$O$545)),MEDIAN(IF($BC$2:$BC$545=BC478,$O$2:$O$545)))))</f>
        <v/>
      </c>
      <c r="BJ478" s="3">
        <f>IF(N(AU478)&gt;=MIN_N,"mercado "&amp;AV478,IF(BH478&gt;=MIN_N,"modelo+año+km",IF(BG478&gt;=MIN_N,"modelo+año","modelo")))</f>
        <v/>
      </c>
      <c r="BK478" s="4">
        <f>(BI478-O478)/BI478</f>
        <v/>
      </c>
      <c r="BL478" s="3">
        <f>IF(COUNTIFS(FR_FUEL,K478,FR_YEAR,AP478)&gt;0,1,0)</f>
        <v/>
      </c>
      <c r="BM478" s="3">
        <f>IF(COUNTIFS(FR_FUEL,K478,FR_YEAR,AP478-1)&gt;0,1,0)</f>
        <v/>
      </c>
      <c r="BN478" s="4">
        <f>IF(N(AQ478)&gt;0,AP478*100+AQ478,IF(AND(BL478=1,BM478=1),(AP478-1)*100+1,AP478*100+1))</f>
        <v/>
      </c>
      <c r="BO478" s="3">
        <f>IF(OR(K478="hibrido",K478="glp",K478="gnc",K478="phev"),"ECO",IF(K478="electrico","CERO",IF(K478="gasolina",IF(BN478&gt;=GAS_C_YM,"C",IF(BN478&gt;=GAS_B_YM,"B","A")),IF(K478="diesel",IF(BN478&gt;=DIE_C_YM,"C",IF(BN478&gt;=DIE_B_YM,"B","A")),""))))</f>
        <v/>
      </c>
      <c r="BP478" s="4">
        <f>BO478</f>
        <v/>
      </c>
      <c r="BQ478" s="4">
        <f>IF(AS478="regla",IF(AND(N(AQ478)=0,BL478=1),"sí","no"),"no")</f>
        <v/>
      </c>
      <c r="BR478" s="3">
        <f>IFERROR(VLOOKUP(F478,MOD_TBL,11,0),IFERROR(VLOOKUP(E478,OCU_TBL,2,0),NEUTRO))</f>
        <v/>
      </c>
      <c r="BS478" s="3">
        <f>SUMIFS(MOT_AJUSTE,MOT_MOTOR,G478,MOT_MARCA,E478,MOT_DESDE,"&lt;="&amp;M478,MOT_HASTA,"&gt;="&amp;M478)+SUMIFS(MOT_AJUSTE,MOT_MOTOR,G478,MOT_MARCA,"(todas)",MOT_DESDE,"&lt;="&amp;M478,MOT_HASTA,"&gt;="&amp;M478)</f>
        <v/>
      </c>
      <c r="BT478" s="3">
        <f>SUMIFS(COMB_AJUSTE,COMB_COMB,K478)</f>
        <v/>
      </c>
      <c r="BU478" s="3">
        <f>COUNTIFS(MOT_MOTOR,G478,MOT_MARCA,E478,MOT_DESDE,"&lt;="&amp;M478,MOT_HASTA,"&gt;="&amp;M478)+COUNTIFS(MOT_MOTOR,G478,MOT_MARCA,"(todas)",MOT_DESDE,"&lt;="&amp;M478,MOT_HASTA,"&gt;="&amp;M478)</f>
        <v/>
      </c>
      <c r="BV478" s="3">
        <f>IF(AND(K478="diesel",BU478=0),MIN(BR478,NEUTRO),BR478)</f>
        <v/>
      </c>
      <c r="BW478" s="4">
        <f>MAX(0,MIN(100,BV478+BS478+BT478))</f>
        <v/>
      </c>
      <c r="BX478" s="3">
        <f>MAX(0,MIN(100,50+BK478*PRECIO_PEND))</f>
        <v/>
      </c>
      <c r="BY478" s="3">
        <f>MAX(0,100*(1-N478/KM_MAX))</f>
        <v/>
      </c>
      <c r="BZ478" s="3">
        <f>IF(BB478&lt;KMA_SOSP,IF(AA478="sí",100,KMA_PEN),IF(BB478&lt;=KMA_IDEAL_MAX,100,MAX(0,100*(KMA_CERO-BB478)/(KMA_CERO-KMA_IDEAL_MAX))))</f>
        <v/>
      </c>
      <c r="CA478" s="3">
        <f>MAX(0,MIN(100,100*(M478-ANIO_MIN)/(ANIO_ACTUAL-ANIO_MIN)))</f>
        <v/>
      </c>
      <c r="CB478" s="3">
        <f>W_KMT*BY478+W_KMA*BZ478+W_EDAD*CA478</f>
        <v/>
      </c>
      <c r="CC478" s="3">
        <f>P_ITV*(V478="sí")+P_LIBRO*(W478="sí")+P_CORREA*(X478="sí")+P_PROP*(Y478=1)+P_GAR*(Z478="sí")+P_FOTOS*MIN(1,N(U478)/FOTOS_OBJ)</f>
        <v/>
      </c>
      <c r="CD478" s="3">
        <f>MAX(0,MIN(100,IFERROR(VLOOKUP(BP478,ETQ_TBL,2,0),0)-IF(BQ478="sí",ETQ_PEN_DUD,IF(AS478="regla",ETQ_PEN_REGLA,0))))</f>
        <v/>
      </c>
      <c r="CE478" s="3">
        <f>NEUTRO</f>
        <v/>
      </c>
      <c r="CF478" s="3">
        <f>IFERROR(VLOOKUP(L478,SEGURO_TBL,3,0),"")</f>
        <v/>
      </c>
      <c r="CG478" s="3">
        <f>IF(CF478="",NEUTRO,MAX(0,MIN(100,100*(SEG_REF_MAX-CF478)/(SEG_REF_MAX-SEG_REF_MIN))))</f>
        <v/>
      </c>
      <c r="CH478" s="3">
        <f>W_CONS*CE478+W_SEG*CG478</f>
        <v/>
      </c>
      <c r="CI478" s="3">
        <f>IF(N(AB478)&gt;0,AB478,IF(AND(R478="profesional",SG_LEGAL_ON=1),GAR_LEGAL,0))</f>
        <v/>
      </c>
      <c r="CJ478" s="3">
        <f>SG_GAR*MIN(1,CI478/SG_GAR_FULL)+SG_AMPL*(AC478="sí")+SG_KMC*(AF478="sí")+SG_REV*(N(AE478)&gt;0)+SG_DEV*MIN(1,N(AG478)/SG_DEV_FULL)+SG_HIST*(W478="sí")</f>
        <v/>
      </c>
      <c r="CK478" s="3">
        <f>IFERROR(VLOOKUP(L478,CARR_PEN_TBL,2,0),0)</f>
        <v/>
      </c>
      <c r="CL478" s="3">
        <f>W_FIAB*BW478+W_PRECIO*BX478+W_KMEDAD*CB478+W_ANUNCIO*CC478+W_USO*CH478+W_SEGURIDAD*CJ478+W_ETIQUETA*CD478-CK478</f>
        <v/>
      </c>
      <c r="CM478" s="4">
        <f>IF(N(I478)&gt;0,I478,IFERROR(ROUND(_xlfn.NUMBERVALUE(LEFT(G478,FIND(" ",G478&amp;" ")-1),".")*1000,0),99999))</f>
        <v/>
      </c>
      <c r="CN478" s="3">
        <f>IF(R478="profesional",0,IF(O478&lt;CUOTA_VALOR_MAX,IF(BA478&gt;ITP_TRAMO_ALTO,SUMIFS(CF_CUOTA,CF_MAS,ITP_TRAMO_ALTO,CF_CCMIN,"&lt;="&amp;CM478,CF_CCMAX,"&gt;="&amp;CM478),IF(BA478&gt;ITP_TRAMO_BAJO,SUMIFS(CF_CUOTA,CF_MAS,ITP_TRAMO_BAJO,CF_CCMIN,"&lt;="&amp;CM478,CF_CCMAX,"&gt;="&amp;CM478),O478*ITP_TIPO)),O478*ITP_TIPO))</f>
        <v/>
      </c>
      <c r="CO478" s="4">
        <f>IF(R478="profesional",N(AK478),0)</f>
        <v/>
      </c>
      <c r="CP478" s="3">
        <f>IF(AND(R478="profesional",ISNUMBER(AK478),AL478="sí"),0,TASA_DGT)</f>
        <v/>
      </c>
      <c r="CQ478" s="3">
        <f>INFORME_DGT</f>
        <v/>
      </c>
      <c r="CR478" s="4">
        <f>O478+CO478+CN478+CP478+CQ478</f>
        <v/>
      </c>
      <c r="CS478" s="4">
        <f>CR478+N(CF478)</f>
        <v/>
      </c>
      <c r="CT478" s="3">
        <f>IF(CR478&lt;=TOTAL_MAX,"sí",IF(CR478&lt;=TOTAL_MAX+MARGEN_NEG,"negociar","no"))</f>
        <v/>
      </c>
      <c r="CU478" s="4">
        <f>IF(CT478&lt;&gt;"no",COUNTIFS($CT$2:$CT$545,"&lt;&gt;no",$CL$2:$CL$545,"&gt;"&amp;CL478)+COUNTIFS($CT$2:CT478,"&lt;&gt;no",$CL$2:CL478,CL478),"")</f>
        <v/>
      </c>
    </row>
    <row r="479">
      <c r="A479" s="2" t="inlineStr">
        <is>
          <t>cochesnet:71091125</t>
        </is>
      </c>
      <c r="B479" s="2" t="inlineStr">
        <is>
          <t>cochesnet</t>
        </is>
      </c>
      <c r="C479" s="2" t="inlineStr">
        <is>
          <t>https://www.coches.net/seat-leon-19-tdi-105cv-reference-5p-diesel-2007-en-castellon-71091125-covo.aspx</t>
        </is>
      </c>
      <c r="D479" s="2" t="inlineStr">
        <is>
          <t>SEAT Leon 1.9 TDI Reference</t>
        </is>
      </c>
      <c r="E479" s="2" t="inlineStr">
        <is>
          <t>Seat</t>
        </is>
      </c>
      <c r="F479" s="2" t="inlineStr">
        <is>
          <t>Seat León</t>
        </is>
      </c>
      <c r="G479" s="2" t="inlineStr">
        <is>
          <t>1.9 TDI</t>
        </is>
      </c>
      <c r="H479" s="2" t="inlineStr">
        <is>
          <t>1.9 TDI 105cv Reference</t>
        </is>
      </c>
      <c r="I479" s="2" t="n"/>
      <c r="J479" s="2" t="n">
        <v>105</v>
      </c>
      <c r="K479" s="2" t="inlineStr">
        <is>
          <t>diesel</t>
        </is>
      </c>
      <c r="L479" s="2" t="inlineStr">
        <is>
          <t>compacto</t>
        </is>
      </c>
      <c r="M479" s="2" t="n">
        <v>2007</v>
      </c>
      <c r="N479" s="2" t="n">
        <v>215000</v>
      </c>
      <c r="O479" s="2" t="n">
        <v>4990</v>
      </c>
      <c r="P479" s="2" t="inlineStr">
        <is>
          <t>manual</t>
        </is>
      </c>
      <c r="Q479" s="2" t="inlineStr">
        <is>
          <t>no</t>
        </is>
      </c>
      <c r="R479" s="2" t="inlineStr">
        <is>
          <t>particular</t>
        </is>
      </c>
      <c r="S479" s="2" t="inlineStr">
        <is>
          <t>Vila-real</t>
        </is>
      </c>
      <c r="T479" s="2" t="inlineStr">
        <is>
          <t>2026-10-14T13:37:14Z</t>
        </is>
      </c>
      <c r="U479" s="2" t="n">
        <v>9</v>
      </c>
      <c r="V479" s="2" t="inlineStr">
        <is>
          <t>sí</t>
        </is>
      </c>
      <c r="W479" s="2" t="n"/>
      <c r="X479" s="2" t="n"/>
      <c r="Y479" s="2" t="n"/>
      <c r="Z479" s="2" t="inlineStr">
        <is>
          <t>no</t>
        </is>
      </c>
      <c r="AA479" s="2" t="n"/>
      <c r="AB479" s="2" t="n"/>
      <c r="AC479" s="2" t="n"/>
      <c r="AD479" s="2" t="n"/>
      <c r="AE479" s="2" t="n"/>
      <c r="AF479" s="2" t="n"/>
      <c r="AG479" s="2" t="n"/>
      <c r="AH479" s="2" t="n">
        <v>4990</v>
      </c>
      <c r="AI479" s="2" t="n"/>
      <c r="AJ479" s="2" t="n"/>
      <c r="AK479" s="2" t="n"/>
      <c r="AL479" s="2" t="n"/>
      <c r="AM479" s="2" t="n"/>
      <c r="AN479" s="2" t="n"/>
      <c r="AO479" s="2" t="inlineStr">
        <is>
          <t>04/2007</t>
        </is>
      </c>
      <c r="AP479" s="2" t="n">
        <v>2007</v>
      </c>
      <c r="AQ479" s="2" t="n">
        <v>4</v>
      </c>
      <c r="AR479" s="2" t="n"/>
      <c r="AS479" s="2" t="inlineStr">
        <is>
          <t>regla</t>
        </is>
      </c>
      <c r="AT479" s="2" t="n">
        <v>4500</v>
      </c>
      <c r="AU479" s="2" t="n">
        <v>10</v>
      </c>
      <c r="AV479" s="2" t="inlineStr">
        <is>
          <t>modelo+año+km</t>
        </is>
      </c>
      <c r="AW479" s="2" t="n"/>
      <c r="AX479" s="2" t="inlineStr">
        <is>
          <t>por encima del presupuesto (5114 €), negociar; cuota fija ITP: &gt;12 años, 1.501-2.000 cc; diésel: motor sin fuente de fiabilidad (fiabilidad limitada a neutra); distancia no verificable (el anuncio solo indica la provincia): confirmar que está a &lt;= 70 km</t>
        </is>
      </c>
      <c r="AY479" s="2" t="inlineStr">
        <is>
          <t>Seat leon 1.9TDI en perfecto estado 
Embrague recién hecho 
Mantenimientos recién hechos 
No le falla absolutamente nada 
Itv hasta diciembre 2026</t>
        </is>
      </c>
      <c r="AZ479" s="2" t="inlineStr">
        <is>
          <t>https://www.coches.net/seat-leon-19-tdi-105cv-reference-5p-diesel-2007-en-castellon-71091125-covo.aspx (window.__INITIAL_PROPS__.ad) /home/user/Alopecia/buscador-coches/raw/cochesnet/215e2db7400e8622.json</t>
        </is>
      </c>
      <c r="BA479" s="3">
        <f>MAX(ANIO_ACTUAL-M479,0)</f>
        <v/>
      </c>
      <c r="BB479" s="4">
        <f>N479/MAX(BA479,0.5)</f>
        <v/>
      </c>
      <c r="BC479" s="4">
        <f>F479</f>
        <v/>
      </c>
      <c r="BD479" s="3">
        <f>BC479&amp;"|"&amp;INT(M479/SEG_ANIO)*SEG_ANIO</f>
        <v/>
      </c>
      <c r="BE479" s="3">
        <f>BD479&amp;"|"&amp;INT(N479/SEG_KM)*SEG_KM</f>
        <v/>
      </c>
      <c r="BF479" s="4">
        <f>COUNTIF($BC$2:$BC$545,BC479)</f>
        <v/>
      </c>
      <c r="BG479" s="4">
        <f>COUNTIF($BD$2:$BD$545,BD479)</f>
        <v/>
      </c>
      <c r="BH479" s="4">
        <f>COUNTIF($BE$2:$BE$545,BE479)</f>
        <v/>
      </c>
      <c r="BI479" s="3">
        <f t="array" ref="BI479">IF(N(AU479)&gt;=MIN_N,AT479,IF(BH479&gt;=MIN_N,MEDIAN(IF($BE$2:$BE$545=BE479,$O$2:$O$545)),IF(BG479&gt;=MIN_N,MEDIAN(IF($BD$2:$BD$545=BD479,$O$2:$O$545)),MEDIAN(IF($BC$2:$BC$545=BC479,$O$2:$O$545)))))</f>
        <v/>
      </c>
      <c r="BJ479" s="3">
        <f>IF(N(AU479)&gt;=MIN_N,"mercado "&amp;AV479,IF(BH479&gt;=MIN_N,"modelo+año+km",IF(BG479&gt;=MIN_N,"modelo+año","modelo")))</f>
        <v/>
      </c>
      <c r="BK479" s="4">
        <f>(BI479-O479)/BI479</f>
        <v/>
      </c>
      <c r="BL479" s="3">
        <f>IF(COUNTIFS(FR_FUEL,K479,FR_YEAR,AP479)&gt;0,1,0)</f>
        <v/>
      </c>
      <c r="BM479" s="3">
        <f>IF(COUNTIFS(FR_FUEL,K479,FR_YEAR,AP479-1)&gt;0,1,0)</f>
        <v/>
      </c>
      <c r="BN479" s="4">
        <f>IF(N(AQ479)&gt;0,AP479*100+AQ479,IF(AND(BL479=1,BM479=1),(AP479-1)*100+1,AP479*100+1))</f>
        <v/>
      </c>
      <c r="BO479" s="3">
        <f>IF(OR(K479="hibrido",K479="glp",K479="gnc",K479="phev"),"ECO",IF(K479="electrico","CERO",IF(K479="gasolina",IF(BN479&gt;=GAS_C_YM,"C",IF(BN479&gt;=GAS_B_YM,"B","A")),IF(K479="diesel",IF(BN479&gt;=DIE_C_YM,"C",IF(BN479&gt;=DIE_B_YM,"B","A")),""))))</f>
        <v/>
      </c>
      <c r="BP479" s="4">
        <f>BO479</f>
        <v/>
      </c>
      <c r="BQ479" s="4">
        <f>IF(AS479="regla",IF(AND(N(AQ479)=0,BL479=1),"sí","no"),"no")</f>
        <v/>
      </c>
      <c r="BR479" s="3">
        <f>IFERROR(VLOOKUP(F479,MOD_TBL,11,0),IFERROR(VLOOKUP(E479,OCU_TBL,2,0),NEUTRO))</f>
        <v/>
      </c>
      <c r="BS479" s="3">
        <f>SUMIFS(MOT_AJUSTE,MOT_MOTOR,G479,MOT_MARCA,E479,MOT_DESDE,"&lt;="&amp;M479,MOT_HASTA,"&gt;="&amp;M479)+SUMIFS(MOT_AJUSTE,MOT_MOTOR,G479,MOT_MARCA,"(todas)",MOT_DESDE,"&lt;="&amp;M479,MOT_HASTA,"&gt;="&amp;M479)</f>
        <v/>
      </c>
      <c r="BT479" s="3">
        <f>SUMIFS(COMB_AJUSTE,COMB_COMB,K479)</f>
        <v/>
      </c>
      <c r="BU479" s="3">
        <f>COUNTIFS(MOT_MOTOR,G479,MOT_MARCA,E479,MOT_DESDE,"&lt;="&amp;M479,MOT_HASTA,"&gt;="&amp;M479)+COUNTIFS(MOT_MOTOR,G479,MOT_MARCA,"(todas)",MOT_DESDE,"&lt;="&amp;M479,MOT_HASTA,"&gt;="&amp;M479)</f>
        <v/>
      </c>
      <c r="BV479" s="3">
        <f>IF(AND(K479="diesel",BU479=0),MIN(BR479,NEUTRO),BR479)</f>
        <v/>
      </c>
      <c r="BW479" s="4">
        <f>MAX(0,MIN(100,BV479+BS479+BT479))</f>
        <v/>
      </c>
      <c r="BX479" s="3">
        <f>MAX(0,MIN(100,50+BK479*PRECIO_PEND))</f>
        <v/>
      </c>
      <c r="BY479" s="3">
        <f>MAX(0,100*(1-N479/KM_MAX))</f>
        <v/>
      </c>
      <c r="BZ479" s="3">
        <f>IF(BB479&lt;KMA_SOSP,IF(AA479="sí",100,KMA_PEN),IF(BB479&lt;=KMA_IDEAL_MAX,100,MAX(0,100*(KMA_CERO-BB479)/(KMA_CERO-KMA_IDEAL_MAX))))</f>
        <v/>
      </c>
      <c r="CA479" s="3">
        <f>MAX(0,MIN(100,100*(M479-ANIO_MIN)/(ANIO_ACTUAL-ANIO_MIN)))</f>
        <v/>
      </c>
      <c r="CB479" s="3">
        <f>W_KMT*BY479+W_KMA*BZ479+W_EDAD*CA479</f>
        <v/>
      </c>
      <c r="CC479" s="3">
        <f>P_ITV*(V479="sí")+P_LIBRO*(W479="sí")+P_CORREA*(X479="sí")+P_PROP*(Y479=1)+P_GAR*(Z479="sí")+P_FOTOS*MIN(1,N(U479)/FOTOS_OBJ)</f>
        <v/>
      </c>
      <c r="CD479" s="3">
        <f>MAX(0,MIN(100,IFERROR(VLOOKUP(BP479,ETQ_TBL,2,0),0)-IF(BQ479="sí",ETQ_PEN_DUD,IF(AS479="regla",ETQ_PEN_REGLA,0))))</f>
        <v/>
      </c>
      <c r="CE479" s="3">
        <f>NEUTRO</f>
        <v/>
      </c>
      <c r="CF479" s="3">
        <f>IFERROR(VLOOKUP(L479,SEGURO_TBL,3,0),"")</f>
        <v/>
      </c>
      <c r="CG479" s="3">
        <f>IF(CF479="",NEUTRO,MAX(0,MIN(100,100*(SEG_REF_MAX-CF479)/(SEG_REF_MAX-SEG_REF_MIN))))</f>
        <v/>
      </c>
      <c r="CH479" s="3">
        <f>W_CONS*CE479+W_SEG*CG479</f>
        <v/>
      </c>
      <c r="CI479" s="3">
        <f>IF(N(AB479)&gt;0,AB479,IF(AND(R479="profesional",SG_LEGAL_ON=1),GAR_LEGAL,0))</f>
        <v/>
      </c>
      <c r="CJ479" s="3">
        <f>SG_GAR*MIN(1,CI479/SG_GAR_FULL)+SG_AMPL*(AC479="sí")+SG_KMC*(AF479="sí")+SG_REV*(N(AE479)&gt;0)+SG_DEV*MIN(1,N(AG479)/SG_DEV_FULL)+SG_HIST*(W479="sí")</f>
        <v/>
      </c>
      <c r="CK479" s="3">
        <f>IFERROR(VLOOKUP(L479,CARR_PEN_TBL,2,0),0)</f>
        <v/>
      </c>
      <c r="CL479" s="3">
        <f>W_FIAB*BW479+W_PRECIO*BX479+W_KMEDAD*CB479+W_ANUNCIO*CC479+W_USO*CH479+W_SEGURIDAD*CJ479+W_ETIQUETA*CD479-CK479</f>
        <v/>
      </c>
      <c r="CM479" s="4">
        <f>IF(N(I479)&gt;0,I479,IFERROR(ROUND(_xlfn.NUMBERVALUE(LEFT(G479,FIND(" ",G479&amp;" ")-1),".")*1000,0),99999))</f>
        <v/>
      </c>
      <c r="CN479" s="3">
        <f>IF(R479="profesional",0,IF(O479&lt;CUOTA_VALOR_MAX,IF(BA479&gt;ITP_TRAMO_ALTO,SUMIFS(CF_CUOTA,CF_MAS,ITP_TRAMO_ALTO,CF_CCMIN,"&lt;="&amp;CM479,CF_CCMAX,"&gt;="&amp;CM479),IF(BA479&gt;ITP_TRAMO_BAJO,SUMIFS(CF_CUOTA,CF_MAS,ITP_TRAMO_BAJO,CF_CCMIN,"&lt;="&amp;CM479,CF_CCMAX,"&gt;="&amp;CM479),O479*ITP_TIPO)),O479*ITP_TIPO))</f>
        <v/>
      </c>
      <c r="CO479" s="4">
        <f>IF(R479="profesional",N(AK479),0)</f>
        <v/>
      </c>
      <c r="CP479" s="3">
        <f>IF(AND(R479="profesional",ISNUMBER(AK479),AL479="sí"),0,TASA_DGT)</f>
        <v/>
      </c>
      <c r="CQ479" s="3">
        <f>INFORME_DGT</f>
        <v/>
      </c>
      <c r="CR479" s="4">
        <f>O479+CO479+CN479+CP479+CQ479</f>
        <v/>
      </c>
      <c r="CS479" s="4">
        <f>CR479+N(CF479)</f>
        <v/>
      </c>
      <c r="CT479" s="3">
        <f>IF(CR479&lt;=TOTAL_MAX,"sí",IF(CR479&lt;=TOTAL_MAX+MARGEN_NEG,"negociar","no"))</f>
        <v/>
      </c>
      <c r="CU479" s="4">
        <f>IF(CT479&lt;&gt;"no",COUNTIFS($CT$2:$CT$545,"&lt;&gt;no",$CL$2:$CL$545,"&gt;"&amp;CL479)+COUNTIFS($CT$2:CT479,"&lt;&gt;no",$CL$2:CL479,CL479),"")</f>
        <v/>
      </c>
    </row>
    <row r="480">
      <c r="A480" s="2" t="inlineStr">
        <is>
          <t>cochesnet:71837257</t>
        </is>
      </c>
      <c r="B480" s="2" t="inlineStr">
        <is>
          <t>cochesnet</t>
        </is>
      </c>
      <c r="C480" s="2" t="inlineStr">
        <is>
          <t>https://www.coches.net/volkswagen-fox-14-3p-gasolina-2006-en-castellon-71837257-covo.aspx</t>
        </is>
      </c>
      <c r="D480" s="2" t="inlineStr">
        <is>
          <t>VOLKSWAGEN Fox 1.4</t>
        </is>
      </c>
      <c r="E480" s="2" t="inlineStr">
        <is>
          <t>Volkswagen</t>
        </is>
      </c>
      <c r="F480" s="2" t="inlineStr">
        <is>
          <t>Volkswagen Fox</t>
        </is>
      </c>
      <c r="G480" s="2" t="inlineStr">
        <is>
          <t>1.4</t>
        </is>
      </c>
      <c r="H480" s="2" t="inlineStr">
        <is>
          <t>1.4</t>
        </is>
      </c>
      <c r="I480" s="2" t="n"/>
      <c r="J480" s="2" t="n"/>
      <c r="K480" s="2" t="inlineStr">
        <is>
          <t>gasolina</t>
        </is>
      </c>
      <c r="L480" s="2" t="inlineStr">
        <is>
          <t>utilitario</t>
        </is>
      </c>
      <c r="M480" s="2" t="n">
        <v>2006</v>
      </c>
      <c r="N480" s="2" t="n">
        <v>94000</v>
      </c>
      <c r="O480" s="2" t="n">
        <v>3500</v>
      </c>
      <c r="P480" s="2" t="inlineStr">
        <is>
          <t>manual</t>
        </is>
      </c>
      <c r="Q480" s="2" t="inlineStr">
        <is>
          <t>no</t>
        </is>
      </c>
      <c r="R480" s="2" t="inlineStr">
        <is>
          <t>particular</t>
        </is>
      </c>
      <c r="S480" s="2" t="n"/>
      <c r="T480" s="2" t="inlineStr">
        <is>
          <t>2026-10-26T15:44:55Z</t>
        </is>
      </c>
      <c r="U480" s="2" t="n">
        <v>5</v>
      </c>
      <c r="V480" s="2" t="inlineStr">
        <is>
          <t>sí</t>
        </is>
      </c>
      <c r="W480" s="2" t="n"/>
      <c r="X480" s="2" t="n"/>
      <c r="Y480" s="2" t="n"/>
      <c r="Z480" s="2" t="inlineStr">
        <is>
          <t>no</t>
        </is>
      </c>
      <c r="AA480" s="2" t="n"/>
      <c r="AB480" s="2" t="n"/>
      <c r="AC480" s="2" t="n"/>
      <c r="AD480" s="2" t="n"/>
      <c r="AE480" s="2" t="n"/>
      <c r="AF480" s="2" t="n"/>
      <c r="AG480" s="2" t="n"/>
      <c r="AH480" s="2" t="n">
        <v>3500</v>
      </c>
      <c r="AI480" s="2" t="n"/>
      <c r="AJ480" s="2" t="n"/>
      <c r="AK480" s="2" t="n"/>
      <c r="AL480" s="2" t="n"/>
      <c r="AM480" s="2" t="n"/>
      <c r="AN480" s="2" t="n"/>
      <c r="AO480" s="2" t="inlineStr">
        <is>
          <t>2006</t>
        </is>
      </c>
      <c r="AP480" s="2" t="n">
        <v>2006</v>
      </c>
      <c r="AQ480" s="2" t="n"/>
      <c r="AR480" s="2" t="n"/>
      <c r="AS480" s="2" t="inlineStr">
        <is>
          <t>regla</t>
        </is>
      </c>
      <c r="AT480" s="2" t="n"/>
      <c r="AU480" s="2" t="n"/>
      <c r="AV480" s="2" t="n"/>
      <c r="AW480" s="2" t="n"/>
      <c r="AX480" s="2" t="inlineStr">
        <is>
          <t>cuota fija ITP: &gt;12 años, hasta 1.500 cc; distancia no verificable (el anuncio solo indica la provincia): confirmar que está a &lt;= 70 km; fiabilidad del modelo PENDIENTE de fuente (puntuación neutra); mediana con solo 2 anuncio(s)</t>
        </is>
      </c>
      <c r="AY480" s="2" t="inlineStr">
        <is>
          <t>vehículo en buen estado.
 ITV en vigor 
pocos kilometros
neumáticos en buen estado
plan de revisiones al día</t>
        </is>
      </c>
      <c r="AZ480" s="2" t="inlineStr">
        <is>
          <t>https://www.coches.net/volkswagen-fox-14-3p-gasolina-2006-en-castellon-71837257-covo.aspx (window.__INITIAL_PROPS__.ad) /home/user/Alopecia/buscador-coches/raw/cochesnet/3f13f4e5f51c7110.json</t>
        </is>
      </c>
      <c r="BA480" s="3">
        <f>MAX(ANIO_ACTUAL-M480,0)</f>
        <v/>
      </c>
      <c r="BB480" s="4">
        <f>N480/MAX(BA480,0.5)</f>
        <v/>
      </c>
      <c r="BC480" s="4">
        <f>F480</f>
        <v/>
      </c>
      <c r="BD480" s="3">
        <f>BC480&amp;"|"&amp;INT(M480/SEG_ANIO)*SEG_ANIO</f>
        <v/>
      </c>
      <c r="BE480" s="3">
        <f>BD480&amp;"|"&amp;INT(N480/SEG_KM)*SEG_KM</f>
        <v/>
      </c>
      <c r="BF480" s="4">
        <f>COUNTIF($BC$2:$BC$545,BC480)</f>
        <v/>
      </c>
      <c r="BG480" s="4">
        <f>COUNTIF($BD$2:$BD$545,BD480)</f>
        <v/>
      </c>
      <c r="BH480" s="4">
        <f>COUNTIF($BE$2:$BE$545,BE480)</f>
        <v/>
      </c>
      <c r="BI480" s="3">
        <f t="array" ref="BI480">IF(N(AU480)&gt;=MIN_N,AT480,IF(BH480&gt;=MIN_N,MEDIAN(IF($BE$2:$BE$545=BE480,$O$2:$O$545)),IF(BG480&gt;=MIN_N,MEDIAN(IF($BD$2:$BD$545=BD480,$O$2:$O$545)),MEDIAN(IF($BC$2:$BC$545=BC480,$O$2:$O$545)))))</f>
        <v/>
      </c>
      <c r="BJ480" s="3">
        <f>IF(N(AU480)&gt;=MIN_N,"mercado "&amp;AV480,IF(BH480&gt;=MIN_N,"modelo+año+km",IF(BG480&gt;=MIN_N,"modelo+año","modelo")))</f>
        <v/>
      </c>
      <c r="BK480" s="4">
        <f>(BI480-O480)/BI480</f>
        <v/>
      </c>
      <c r="BL480" s="3">
        <f>IF(COUNTIFS(FR_FUEL,K480,FR_YEAR,AP480)&gt;0,1,0)</f>
        <v/>
      </c>
      <c r="BM480" s="3">
        <f>IF(COUNTIFS(FR_FUEL,K480,FR_YEAR,AP480-1)&gt;0,1,0)</f>
        <v/>
      </c>
      <c r="BN480" s="4">
        <f>IF(N(AQ480)&gt;0,AP480*100+AQ480,IF(AND(BL480=1,BM480=1),(AP480-1)*100+1,AP480*100+1))</f>
        <v/>
      </c>
      <c r="BO480" s="3">
        <f>IF(OR(K480="hibrido",K480="glp",K480="gnc",K480="phev"),"ECO",IF(K480="electrico","CERO",IF(K480="gasolina",IF(BN480&gt;=GAS_C_YM,"C",IF(BN480&gt;=GAS_B_YM,"B","A")),IF(K480="diesel",IF(BN480&gt;=DIE_C_YM,"C",IF(BN480&gt;=DIE_B_YM,"B","A")),""))))</f>
        <v/>
      </c>
      <c r="BP480" s="4">
        <f>BO480</f>
        <v/>
      </c>
      <c r="BQ480" s="4">
        <f>IF(AS480="regla",IF(AND(N(AQ480)=0,BL480=1),"sí","no"),"no")</f>
        <v/>
      </c>
      <c r="BR480" s="3">
        <f>IFERROR(VLOOKUP(F480,MOD_TBL,11,0),IFERROR(VLOOKUP(E480,OCU_TBL,2,0),NEUTRO))</f>
        <v/>
      </c>
      <c r="BS480" s="3">
        <f>SUMIFS(MOT_AJUSTE,MOT_MOTOR,G480,MOT_MARCA,E480,MOT_DESDE,"&lt;="&amp;M480,MOT_HASTA,"&gt;="&amp;M480)+SUMIFS(MOT_AJUSTE,MOT_MOTOR,G480,MOT_MARCA,"(todas)",MOT_DESDE,"&lt;="&amp;M480,MOT_HASTA,"&gt;="&amp;M480)</f>
        <v/>
      </c>
      <c r="BT480" s="3">
        <f>SUMIFS(COMB_AJUSTE,COMB_COMB,K480)</f>
        <v/>
      </c>
      <c r="BU480" s="3">
        <f>COUNTIFS(MOT_MOTOR,G480,MOT_MARCA,E480,MOT_DESDE,"&lt;="&amp;M480,MOT_HASTA,"&gt;="&amp;M480)+COUNTIFS(MOT_MOTOR,G480,MOT_MARCA,"(todas)",MOT_DESDE,"&lt;="&amp;M480,MOT_HASTA,"&gt;="&amp;M480)</f>
        <v/>
      </c>
      <c r="BV480" s="3">
        <f>IF(AND(K480="diesel",BU480=0),MIN(BR480,NEUTRO),BR480)</f>
        <v/>
      </c>
      <c r="BW480" s="4">
        <f>MAX(0,MIN(100,BV480+BS480+BT480))</f>
        <v/>
      </c>
      <c r="BX480" s="3">
        <f>MAX(0,MIN(100,50+BK480*PRECIO_PEND))</f>
        <v/>
      </c>
      <c r="BY480" s="3">
        <f>MAX(0,100*(1-N480/KM_MAX))</f>
        <v/>
      </c>
      <c r="BZ480" s="3">
        <f>IF(BB480&lt;KMA_SOSP,IF(AA480="sí",100,KMA_PEN),IF(BB480&lt;=KMA_IDEAL_MAX,100,MAX(0,100*(KMA_CERO-BB480)/(KMA_CERO-KMA_IDEAL_MAX))))</f>
        <v/>
      </c>
      <c r="CA480" s="3">
        <f>MAX(0,MIN(100,100*(M480-ANIO_MIN)/(ANIO_ACTUAL-ANIO_MIN)))</f>
        <v/>
      </c>
      <c r="CB480" s="3">
        <f>W_KMT*BY480+W_KMA*BZ480+W_EDAD*CA480</f>
        <v/>
      </c>
      <c r="CC480" s="3">
        <f>P_ITV*(V480="sí")+P_LIBRO*(W480="sí")+P_CORREA*(X480="sí")+P_PROP*(Y480=1)+P_GAR*(Z480="sí")+P_FOTOS*MIN(1,N(U480)/FOTOS_OBJ)</f>
        <v/>
      </c>
      <c r="CD480" s="3">
        <f>MAX(0,MIN(100,IFERROR(VLOOKUP(BP480,ETQ_TBL,2,0),0)-IF(BQ480="sí",ETQ_PEN_DUD,IF(AS480="regla",ETQ_PEN_REGLA,0))))</f>
        <v/>
      </c>
      <c r="CE480" s="3">
        <f>NEUTRO</f>
        <v/>
      </c>
      <c r="CF480" s="3">
        <f>IFERROR(VLOOKUP(L480,SEGURO_TBL,3,0),"")</f>
        <v/>
      </c>
      <c r="CG480" s="3">
        <f>IF(CF480="",NEUTRO,MAX(0,MIN(100,100*(SEG_REF_MAX-CF480)/(SEG_REF_MAX-SEG_REF_MIN))))</f>
        <v/>
      </c>
      <c r="CH480" s="3">
        <f>W_CONS*CE480+W_SEG*CG480</f>
        <v/>
      </c>
      <c r="CI480" s="3">
        <f>IF(N(AB480)&gt;0,AB480,IF(AND(R480="profesional",SG_LEGAL_ON=1),GAR_LEGAL,0))</f>
        <v/>
      </c>
      <c r="CJ480" s="3">
        <f>SG_GAR*MIN(1,CI480/SG_GAR_FULL)+SG_AMPL*(AC480="sí")+SG_KMC*(AF480="sí")+SG_REV*(N(AE480)&gt;0)+SG_DEV*MIN(1,N(AG480)/SG_DEV_FULL)+SG_HIST*(W480="sí")</f>
        <v/>
      </c>
      <c r="CK480" s="3">
        <f>IFERROR(VLOOKUP(L480,CARR_PEN_TBL,2,0),0)</f>
        <v/>
      </c>
      <c r="CL480" s="3">
        <f>W_FIAB*BW480+W_PRECIO*BX480+W_KMEDAD*CB480+W_ANUNCIO*CC480+W_USO*CH480+W_SEGURIDAD*CJ480+W_ETIQUETA*CD480-CK480</f>
        <v/>
      </c>
      <c r="CM480" s="4">
        <f>IF(N(I480)&gt;0,I480,IFERROR(ROUND(_xlfn.NUMBERVALUE(LEFT(G480,FIND(" ",G480&amp;" ")-1),".")*1000,0),99999))</f>
        <v/>
      </c>
      <c r="CN480" s="3">
        <f>IF(R480="profesional",0,IF(O480&lt;CUOTA_VALOR_MAX,IF(BA480&gt;ITP_TRAMO_ALTO,SUMIFS(CF_CUOTA,CF_MAS,ITP_TRAMO_ALTO,CF_CCMIN,"&lt;="&amp;CM480,CF_CCMAX,"&gt;="&amp;CM480),IF(BA480&gt;ITP_TRAMO_BAJO,SUMIFS(CF_CUOTA,CF_MAS,ITP_TRAMO_BAJO,CF_CCMIN,"&lt;="&amp;CM480,CF_CCMAX,"&gt;="&amp;CM480),O480*ITP_TIPO)),O480*ITP_TIPO))</f>
        <v/>
      </c>
      <c r="CO480" s="4">
        <f>IF(R480="profesional",N(AK480),0)</f>
        <v/>
      </c>
      <c r="CP480" s="3">
        <f>IF(AND(R480="profesional",ISNUMBER(AK480),AL480="sí"),0,TASA_DGT)</f>
        <v/>
      </c>
      <c r="CQ480" s="3">
        <f>INFORME_DGT</f>
        <v/>
      </c>
      <c r="CR480" s="4">
        <f>O480+CO480+CN480+CP480+CQ480</f>
        <v/>
      </c>
      <c r="CS480" s="4">
        <f>CR480+N(CF480)</f>
        <v/>
      </c>
      <c r="CT480" s="3">
        <f>IF(CR480&lt;=TOTAL_MAX,"sí",IF(CR480&lt;=TOTAL_MAX+MARGEN_NEG,"negociar","no"))</f>
        <v/>
      </c>
      <c r="CU480" s="4">
        <f>IF(CT480&lt;&gt;"no",COUNTIFS($CT$2:$CT$545,"&lt;&gt;no",$CL$2:$CL$545,"&gt;"&amp;CL480)+COUNTIFS($CT$2:CT480,"&lt;&gt;no",$CL$2:CL480,CL480),"")</f>
        <v/>
      </c>
    </row>
    <row r="481">
      <c r="A481" s="2" t="inlineStr">
        <is>
          <t>cochesnet:71807828</t>
        </is>
      </c>
      <c r="B481" s="2" t="inlineStr">
        <is>
          <t>cochesnet</t>
        </is>
      </c>
      <c r="C481" s="2" t="inlineStr">
        <is>
          <t>https://www.coches.net/volkswagen-polo-14-advance-75cv-3p-gasolina-2006-en-castellon-71807828-covo.aspx</t>
        </is>
      </c>
      <c r="D481" s="2" t="inlineStr">
        <is>
          <t>VOLKSWAGEN Polo 1.4 Advance</t>
        </is>
      </c>
      <c r="E481" s="2" t="inlineStr">
        <is>
          <t>Volkswagen</t>
        </is>
      </c>
      <c r="F481" s="2" t="inlineStr">
        <is>
          <t>Volkswagen Polo</t>
        </is>
      </c>
      <c r="G481" s="2" t="inlineStr">
        <is>
          <t>1.4</t>
        </is>
      </c>
      <c r="H481" s="2" t="inlineStr">
        <is>
          <t>1.4 Advance 75cv</t>
        </is>
      </c>
      <c r="I481" s="2" t="n"/>
      <c r="J481" s="2" t="n">
        <v>75</v>
      </c>
      <c r="K481" s="2" t="inlineStr">
        <is>
          <t>gasolina</t>
        </is>
      </c>
      <c r="L481" s="2" t="inlineStr">
        <is>
          <t>utilitario</t>
        </is>
      </c>
      <c r="M481" s="2" t="n">
        <v>2006</v>
      </c>
      <c r="N481" s="2" t="n">
        <v>170000</v>
      </c>
      <c r="O481" s="2" t="n">
        <v>3800</v>
      </c>
      <c r="P481" s="2" t="inlineStr">
        <is>
          <t>manual</t>
        </is>
      </c>
      <c r="Q481" s="2" t="inlineStr">
        <is>
          <t>no</t>
        </is>
      </c>
      <c r="R481" s="2" t="inlineStr">
        <is>
          <t>profesional</t>
        </is>
      </c>
      <c r="S481" s="2" t="inlineStr">
        <is>
          <t>Automoviles Llorens  Almazora</t>
        </is>
      </c>
      <c r="T481" s="2" t="inlineStr">
        <is>
          <t>2026-10-22T12:52:45Z</t>
        </is>
      </c>
      <c r="U481" s="2" t="n">
        <v>14</v>
      </c>
      <c r="V481" s="2" t="inlineStr">
        <is>
          <t>sí</t>
        </is>
      </c>
      <c r="W481" s="2" t="inlineStr">
        <is>
          <t>sí</t>
        </is>
      </c>
      <c r="X481" s="2" t="n"/>
      <c r="Y481" s="2" t="n"/>
      <c r="Z481" s="2" t="inlineStr">
        <is>
          <t>sí</t>
        </is>
      </c>
      <c r="AA481" s="2" t="n"/>
      <c r="AB481" s="2" t="n">
        <v>12</v>
      </c>
      <c r="AC481" s="2" t="n"/>
      <c r="AD481" s="2" t="n"/>
      <c r="AE481" s="2" t="n"/>
      <c r="AF481" s="2" t="n"/>
      <c r="AG481" s="2" t="n"/>
      <c r="AH481" s="2" t="n">
        <v>3800</v>
      </c>
      <c r="AI481" s="2" t="n"/>
      <c r="AJ481" s="2" t="n"/>
      <c r="AK481" s="2" t="n"/>
      <c r="AL481" s="2" t="n"/>
      <c r="AM481" s="2" t="n"/>
      <c r="AN481" s="2" t="n"/>
      <c r="AO481" s="2" t="inlineStr">
        <is>
          <t>2006</t>
        </is>
      </c>
      <c r="AP481" s="2" t="n">
        <v>2006</v>
      </c>
      <c r="AQ481" s="2" t="n"/>
      <c r="AR481" s="2" t="n"/>
      <c r="AS481" s="2" t="inlineStr">
        <is>
          <t>regla</t>
        </is>
      </c>
      <c r="AT481" s="2" t="n">
        <v>3400</v>
      </c>
      <c r="AU481" s="2" t="n">
        <v>23</v>
      </c>
      <c r="AV481" s="2" t="inlineStr">
        <is>
          <t>modelo+año</t>
        </is>
      </c>
      <c r="AW481" s="2" t="n"/>
      <c r="AX481"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481" s="2" t="inlineStr">
        <is>
          <t>VOLKSWAGEN POLO 1.4I.AÑO 2006.
Cierre.elevalunas.A/A.retrovisores electricos.2 juegos de llaves.Itv recien pasada.
Impecable estado.mantenimiento al dia.
Garantia un año.contacte con nosotros para confirmar disponibilidad.
Transferencia/gestoria/no incluido en el precio.
QUIERES VENDER TU COCHE.PONTE EN CONTACTO CON NOSOTROS Y E LO TASAREMOS SIN COMPROMISO.</t>
        </is>
      </c>
      <c r="AZ481" s="2" t="inlineStr">
        <is>
          <t>https://www.coches.net/volkswagen-polo-14-advance-75cv-3p-gasolina-2006-en-castellon-71807828-covo.aspx (window.__INITIAL_PROPS__.ad) /home/user/Alopecia/buscador-coches/raw/cochesnet/414f369d62f886fe.json</t>
        </is>
      </c>
      <c r="BA481" s="3">
        <f>MAX(ANIO_ACTUAL-M481,0)</f>
        <v/>
      </c>
      <c r="BB481" s="4">
        <f>N481/MAX(BA481,0.5)</f>
        <v/>
      </c>
      <c r="BC481" s="4">
        <f>F481</f>
        <v/>
      </c>
      <c r="BD481" s="3">
        <f>BC481&amp;"|"&amp;INT(M481/SEG_ANIO)*SEG_ANIO</f>
        <v/>
      </c>
      <c r="BE481" s="3">
        <f>BD481&amp;"|"&amp;INT(N481/SEG_KM)*SEG_KM</f>
        <v/>
      </c>
      <c r="BF481" s="4">
        <f>COUNTIF($BC$2:$BC$545,BC481)</f>
        <v/>
      </c>
      <c r="BG481" s="4">
        <f>COUNTIF($BD$2:$BD$545,BD481)</f>
        <v/>
      </c>
      <c r="BH481" s="4">
        <f>COUNTIF($BE$2:$BE$545,BE481)</f>
        <v/>
      </c>
      <c r="BI481" s="3">
        <f t="array" ref="BI481">IF(N(AU481)&gt;=MIN_N,AT481,IF(BH481&gt;=MIN_N,MEDIAN(IF($BE$2:$BE$545=BE481,$O$2:$O$545)),IF(BG481&gt;=MIN_N,MEDIAN(IF($BD$2:$BD$545=BD481,$O$2:$O$545)),MEDIAN(IF($BC$2:$BC$545=BC481,$O$2:$O$545)))))</f>
        <v/>
      </c>
      <c r="BJ481" s="3">
        <f>IF(N(AU481)&gt;=MIN_N,"mercado "&amp;AV481,IF(BH481&gt;=MIN_N,"modelo+año+km",IF(BG481&gt;=MIN_N,"modelo+año","modelo")))</f>
        <v/>
      </c>
      <c r="BK481" s="4">
        <f>(BI481-O481)/BI481</f>
        <v/>
      </c>
      <c r="BL481" s="3">
        <f>IF(COUNTIFS(FR_FUEL,K481,FR_YEAR,AP481)&gt;0,1,0)</f>
        <v/>
      </c>
      <c r="BM481" s="3">
        <f>IF(COUNTIFS(FR_FUEL,K481,FR_YEAR,AP481-1)&gt;0,1,0)</f>
        <v/>
      </c>
      <c r="BN481" s="4">
        <f>IF(N(AQ481)&gt;0,AP481*100+AQ481,IF(AND(BL481=1,BM481=1),(AP481-1)*100+1,AP481*100+1))</f>
        <v/>
      </c>
      <c r="BO481" s="3">
        <f>IF(OR(K481="hibrido",K481="glp",K481="gnc",K481="phev"),"ECO",IF(K481="electrico","CERO",IF(K481="gasolina",IF(BN481&gt;=GAS_C_YM,"C",IF(BN481&gt;=GAS_B_YM,"B","A")),IF(K481="diesel",IF(BN481&gt;=DIE_C_YM,"C",IF(BN481&gt;=DIE_B_YM,"B","A")),""))))</f>
        <v/>
      </c>
      <c r="BP481" s="4">
        <f>BO481</f>
        <v/>
      </c>
      <c r="BQ481" s="4">
        <f>IF(AS481="regla",IF(AND(N(AQ481)=0,BL481=1),"sí","no"),"no")</f>
        <v/>
      </c>
      <c r="BR481" s="3">
        <f>IFERROR(VLOOKUP(F481,MOD_TBL,11,0),IFERROR(VLOOKUP(E481,OCU_TBL,2,0),NEUTRO))</f>
        <v/>
      </c>
      <c r="BS481" s="3">
        <f>SUMIFS(MOT_AJUSTE,MOT_MOTOR,G481,MOT_MARCA,E481,MOT_DESDE,"&lt;="&amp;M481,MOT_HASTA,"&gt;="&amp;M481)+SUMIFS(MOT_AJUSTE,MOT_MOTOR,G481,MOT_MARCA,"(todas)",MOT_DESDE,"&lt;="&amp;M481,MOT_HASTA,"&gt;="&amp;M481)</f>
        <v/>
      </c>
      <c r="BT481" s="3">
        <f>SUMIFS(COMB_AJUSTE,COMB_COMB,K481)</f>
        <v/>
      </c>
      <c r="BU481" s="3">
        <f>COUNTIFS(MOT_MOTOR,G481,MOT_MARCA,E481,MOT_DESDE,"&lt;="&amp;M481,MOT_HASTA,"&gt;="&amp;M481)+COUNTIFS(MOT_MOTOR,G481,MOT_MARCA,"(todas)",MOT_DESDE,"&lt;="&amp;M481,MOT_HASTA,"&gt;="&amp;M481)</f>
        <v/>
      </c>
      <c r="BV481" s="3">
        <f>IF(AND(K481="diesel",BU481=0),MIN(BR481,NEUTRO),BR481)</f>
        <v/>
      </c>
      <c r="BW481" s="4">
        <f>MAX(0,MIN(100,BV481+BS481+BT481))</f>
        <v/>
      </c>
      <c r="BX481" s="3">
        <f>MAX(0,MIN(100,50+BK481*PRECIO_PEND))</f>
        <v/>
      </c>
      <c r="BY481" s="3">
        <f>MAX(0,100*(1-N481/KM_MAX))</f>
        <v/>
      </c>
      <c r="BZ481" s="3">
        <f>IF(BB481&lt;KMA_SOSP,IF(AA481="sí",100,KMA_PEN),IF(BB481&lt;=KMA_IDEAL_MAX,100,MAX(0,100*(KMA_CERO-BB481)/(KMA_CERO-KMA_IDEAL_MAX))))</f>
        <v/>
      </c>
      <c r="CA481" s="3">
        <f>MAX(0,MIN(100,100*(M481-ANIO_MIN)/(ANIO_ACTUAL-ANIO_MIN)))</f>
        <v/>
      </c>
      <c r="CB481" s="3">
        <f>W_KMT*BY481+W_KMA*BZ481+W_EDAD*CA481</f>
        <v/>
      </c>
      <c r="CC481" s="3">
        <f>P_ITV*(V481="sí")+P_LIBRO*(W481="sí")+P_CORREA*(X481="sí")+P_PROP*(Y481=1)+P_GAR*(Z481="sí")+P_FOTOS*MIN(1,N(U481)/FOTOS_OBJ)</f>
        <v/>
      </c>
      <c r="CD481" s="3">
        <f>MAX(0,MIN(100,IFERROR(VLOOKUP(BP481,ETQ_TBL,2,0),0)-IF(BQ481="sí",ETQ_PEN_DUD,IF(AS481="regla",ETQ_PEN_REGLA,0))))</f>
        <v/>
      </c>
      <c r="CE481" s="3">
        <f>NEUTRO</f>
        <v/>
      </c>
      <c r="CF481" s="3">
        <f>IFERROR(VLOOKUP(L481,SEGURO_TBL,3,0),"")</f>
        <v/>
      </c>
      <c r="CG481" s="3">
        <f>IF(CF481="",NEUTRO,MAX(0,MIN(100,100*(SEG_REF_MAX-CF481)/(SEG_REF_MAX-SEG_REF_MIN))))</f>
        <v/>
      </c>
      <c r="CH481" s="3">
        <f>W_CONS*CE481+W_SEG*CG481</f>
        <v/>
      </c>
      <c r="CI481" s="3">
        <f>IF(N(AB481)&gt;0,AB481,IF(AND(R481="profesional",SG_LEGAL_ON=1),GAR_LEGAL,0))</f>
        <v/>
      </c>
      <c r="CJ481" s="3">
        <f>SG_GAR*MIN(1,CI481/SG_GAR_FULL)+SG_AMPL*(AC481="sí")+SG_KMC*(AF481="sí")+SG_REV*(N(AE481)&gt;0)+SG_DEV*MIN(1,N(AG481)/SG_DEV_FULL)+SG_HIST*(W481="sí")</f>
        <v/>
      </c>
      <c r="CK481" s="3">
        <f>IFERROR(VLOOKUP(L481,CARR_PEN_TBL,2,0),0)</f>
        <v/>
      </c>
      <c r="CL481" s="3">
        <f>W_FIAB*BW481+W_PRECIO*BX481+W_KMEDAD*CB481+W_ANUNCIO*CC481+W_USO*CH481+W_SEGURIDAD*CJ481+W_ETIQUETA*CD481-CK481</f>
        <v/>
      </c>
      <c r="CM481" s="4">
        <f>IF(N(I481)&gt;0,I481,IFERROR(ROUND(_xlfn.NUMBERVALUE(LEFT(G481,FIND(" ",G481&amp;" ")-1),".")*1000,0),99999))</f>
        <v/>
      </c>
      <c r="CN481" s="3">
        <f>IF(R481="profesional",0,IF(O481&lt;CUOTA_VALOR_MAX,IF(BA481&gt;ITP_TRAMO_ALTO,SUMIFS(CF_CUOTA,CF_MAS,ITP_TRAMO_ALTO,CF_CCMIN,"&lt;="&amp;CM481,CF_CCMAX,"&gt;="&amp;CM481),IF(BA481&gt;ITP_TRAMO_BAJO,SUMIFS(CF_CUOTA,CF_MAS,ITP_TRAMO_BAJO,CF_CCMIN,"&lt;="&amp;CM481,CF_CCMAX,"&gt;="&amp;CM481),O481*ITP_TIPO)),O481*ITP_TIPO))</f>
        <v/>
      </c>
      <c r="CO481" s="4">
        <f>IF(R481="profesional",N(AK481),0)</f>
        <v/>
      </c>
      <c r="CP481" s="3">
        <f>IF(AND(R481="profesional",ISNUMBER(AK481),AL481="sí"),0,TASA_DGT)</f>
        <v/>
      </c>
      <c r="CQ481" s="3">
        <f>INFORME_DGT</f>
        <v/>
      </c>
      <c r="CR481" s="4">
        <f>O481+CO481+CN481+CP481+CQ481</f>
        <v/>
      </c>
      <c r="CS481" s="4">
        <f>CR481+N(CF481)</f>
        <v/>
      </c>
      <c r="CT481" s="3">
        <f>IF(CR481&lt;=TOTAL_MAX,"sí",IF(CR481&lt;=TOTAL_MAX+MARGEN_NEG,"negociar","no"))</f>
        <v/>
      </c>
      <c r="CU481" s="4">
        <f>IF(CT481&lt;&gt;"no",COUNTIFS($CT$2:$CT$545,"&lt;&gt;no",$CL$2:$CL$545,"&gt;"&amp;CL481)+COUNTIFS($CT$2:CT481,"&lt;&gt;no",$CL$2:CL481,CL481),"")</f>
        <v/>
      </c>
    </row>
    <row r="482">
      <c r="A482" s="2" t="inlineStr">
        <is>
          <t>cochesnet:71792798</t>
        </is>
      </c>
      <c r="B482" s="2" t="inlineStr">
        <is>
          <t>cochesnet</t>
        </is>
      </c>
      <c r="C482" s="2" t="inlineStr">
        <is>
          <t>https://www.coches.net/volkswagen-polo-19-tdi-highline-100cv-5p-diesel-2007-en-castellon-71792798-covo.aspx</t>
        </is>
      </c>
      <c r="D482" s="2" t="inlineStr">
        <is>
          <t>VOLKSWAGEN Polo 1.9 TDI Highline</t>
        </is>
      </c>
      <c r="E482" s="2" t="inlineStr">
        <is>
          <t>Volkswagen</t>
        </is>
      </c>
      <c r="F482" s="2" t="inlineStr">
        <is>
          <t>Volkswagen Polo</t>
        </is>
      </c>
      <c r="G482" s="2" t="inlineStr">
        <is>
          <t>1.9 TDI</t>
        </is>
      </c>
      <c r="H482" s="2" t="inlineStr">
        <is>
          <t>1.9 TDI Highline 100CV</t>
        </is>
      </c>
      <c r="I482" s="2" t="n"/>
      <c r="J482" s="2" t="n">
        <v>100</v>
      </c>
      <c r="K482" s="2" t="inlineStr">
        <is>
          <t>diesel</t>
        </is>
      </c>
      <c r="L482" s="2" t="inlineStr">
        <is>
          <t>utilitario</t>
        </is>
      </c>
      <c r="M482" s="2" t="n">
        <v>2007</v>
      </c>
      <c r="N482" s="2" t="n">
        <v>172020</v>
      </c>
      <c r="O482" s="2" t="n">
        <v>4500</v>
      </c>
      <c r="P482" s="2" t="inlineStr">
        <is>
          <t>manual</t>
        </is>
      </c>
      <c r="Q482" s="2" t="inlineStr">
        <is>
          <t>no</t>
        </is>
      </c>
      <c r="R482" s="2" t="inlineStr">
        <is>
          <t>particular</t>
        </is>
      </c>
      <c r="S482" s="2" t="inlineStr">
        <is>
          <t>Castellón de la Plana / Castelló de la Plana</t>
        </is>
      </c>
      <c r="T482" s="2" t="inlineStr">
        <is>
          <t>2026-10-20T17:49:19Z</t>
        </is>
      </c>
      <c r="U482" s="2" t="n">
        <v>8</v>
      </c>
      <c r="V482" s="2" t="n"/>
      <c r="W482" s="2" t="n"/>
      <c r="X482" s="2" t="n"/>
      <c r="Y482" s="2" t="n"/>
      <c r="Z482" s="2" t="inlineStr">
        <is>
          <t>no</t>
        </is>
      </c>
      <c r="AA482" s="2" t="n"/>
      <c r="AB482" s="2" t="n"/>
      <c r="AC482" s="2" t="n"/>
      <c r="AD482" s="2" t="n"/>
      <c r="AE482" s="2" t="n"/>
      <c r="AF482" s="2" t="n"/>
      <c r="AG482" s="2" t="n"/>
      <c r="AH482" s="2" t="n">
        <v>4500</v>
      </c>
      <c r="AI482" s="2" t="n"/>
      <c r="AJ482" s="2" t="n"/>
      <c r="AK482" s="2" t="n"/>
      <c r="AL482" s="2" t="n"/>
      <c r="AM482" s="2" t="n"/>
      <c r="AN482" s="2" t="inlineStr">
        <is>
          <t>DE1896CC</t>
        </is>
      </c>
      <c r="AO482" s="2" t="inlineStr">
        <is>
          <t>05/2007</t>
        </is>
      </c>
      <c r="AP482" s="2" t="n">
        <v>2007</v>
      </c>
      <c r="AQ482" s="2" t="n">
        <v>5</v>
      </c>
      <c r="AR482" s="2" t="n"/>
      <c r="AS482" s="2" t="inlineStr">
        <is>
          <t>regla</t>
        </is>
      </c>
      <c r="AT482" s="2" t="n">
        <v>4850</v>
      </c>
      <c r="AU482" s="2" t="n">
        <v>6</v>
      </c>
      <c r="AV482" s="2" t="inlineStr">
        <is>
          <t>modelo+año+km</t>
        </is>
      </c>
      <c r="AW482" s="2" t="n"/>
      <c r="AX482" s="2" t="inlineStr">
        <is>
          <t>cuota fija ITP: &gt;12 años, 1.501-2.000 cc; diésel: motor sin fuente de fiabilidad (fiabilidad limitada a neutra); distancia no verificable (el anuncio solo indica la provincia): confirmar que está a &lt;= 70 km</t>
        </is>
      </c>
      <c r="AY482" s="2" t="inlineStr">
        <is>
          <t>Vendo mi Volkswagen Polo 1.9 TDI Highline, un berlina compacto que ha sido mi compañero fiable durante estos años. Se trata de un vehículo diesel con motor de 1896 cc y 100 CV, perfecto para quienes buscan eficiencia en consumo sin renunciar a una buena potencia.
Este Polo presenta un estado de uso habitual tanto en interior como en exterior, lo que refleja su día a día en circulación normal. Es un coche versátil, ideal tanto para desplazamientos urbanos como para trayectos por carretera, gracias a su tamaño manejable y su motorización diesel que ofrece un excelente rendimiento combinado con un consumo contenido.
La versión Highline incluye un buen equipamiento que lo hace cómodo y funcional para el día a día. Con cambio manual y capacidad para cinco ocupantes, es una opción práctica para familias o usuarios que necesitan un vehículo confiable y económico en mantenimiento.
Estoy disponible para resolver cualquier duda específica que tengas sobre el vehículo. Puedes contactarme sin problema tanto por chat como por teléfono para obtener más detalles o concertar una cita para verlo en persona.
Si buscas un diesel eficiente, bien equipado y con un precio accesible, no lo dejes escapar. Contacta conmigo hoy mismo para más información.</t>
        </is>
      </c>
      <c r="AZ482" s="2" t="inlineStr">
        <is>
          <t>https://www.coches.net/volkswagen-polo-19-tdi-highline-100cv-5p-diesel-2007-en-castellon-71792798-covo.aspx (window.__INITIAL_PROPS__.ad) /home/user/Alopecia/buscador-coches/raw/cochesnet/a11e0196dcba5007.json</t>
        </is>
      </c>
      <c r="BA482" s="3">
        <f>MAX(ANIO_ACTUAL-M482,0)</f>
        <v/>
      </c>
      <c r="BB482" s="4">
        <f>N482/MAX(BA482,0.5)</f>
        <v/>
      </c>
      <c r="BC482" s="4">
        <f>F482</f>
        <v/>
      </c>
      <c r="BD482" s="3">
        <f>BC482&amp;"|"&amp;INT(M482/SEG_ANIO)*SEG_ANIO</f>
        <v/>
      </c>
      <c r="BE482" s="3">
        <f>BD482&amp;"|"&amp;INT(N482/SEG_KM)*SEG_KM</f>
        <v/>
      </c>
      <c r="BF482" s="4">
        <f>COUNTIF($BC$2:$BC$545,BC482)</f>
        <v/>
      </c>
      <c r="BG482" s="4">
        <f>COUNTIF($BD$2:$BD$545,BD482)</f>
        <v/>
      </c>
      <c r="BH482" s="4">
        <f>COUNTIF($BE$2:$BE$545,BE482)</f>
        <v/>
      </c>
      <c r="BI482" s="3">
        <f t="array" ref="BI482">IF(N(AU482)&gt;=MIN_N,AT482,IF(BH482&gt;=MIN_N,MEDIAN(IF($BE$2:$BE$545=BE482,$O$2:$O$545)),IF(BG482&gt;=MIN_N,MEDIAN(IF($BD$2:$BD$545=BD482,$O$2:$O$545)),MEDIAN(IF($BC$2:$BC$545=BC482,$O$2:$O$545)))))</f>
        <v/>
      </c>
      <c r="BJ482" s="3">
        <f>IF(N(AU482)&gt;=MIN_N,"mercado "&amp;AV482,IF(BH482&gt;=MIN_N,"modelo+año+km",IF(BG482&gt;=MIN_N,"modelo+año","modelo")))</f>
        <v/>
      </c>
      <c r="BK482" s="4">
        <f>(BI482-O482)/BI482</f>
        <v/>
      </c>
      <c r="BL482" s="3">
        <f>IF(COUNTIFS(FR_FUEL,K482,FR_YEAR,AP482)&gt;0,1,0)</f>
        <v/>
      </c>
      <c r="BM482" s="3">
        <f>IF(COUNTIFS(FR_FUEL,K482,FR_YEAR,AP482-1)&gt;0,1,0)</f>
        <v/>
      </c>
      <c r="BN482" s="4">
        <f>IF(N(AQ482)&gt;0,AP482*100+AQ482,IF(AND(BL482=1,BM482=1),(AP482-1)*100+1,AP482*100+1))</f>
        <v/>
      </c>
      <c r="BO482" s="3">
        <f>IF(OR(K482="hibrido",K482="glp",K482="gnc",K482="phev"),"ECO",IF(K482="electrico","CERO",IF(K482="gasolina",IF(BN482&gt;=GAS_C_YM,"C",IF(BN482&gt;=GAS_B_YM,"B","A")),IF(K482="diesel",IF(BN482&gt;=DIE_C_YM,"C",IF(BN482&gt;=DIE_B_YM,"B","A")),""))))</f>
        <v/>
      </c>
      <c r="BP482" s="4">
        <f>BO482</f>
        <v/>
      </c>
      <c r="BQ482" s="4">
        <f>IF(AS482="regla",IF(AND(N(AQ482)=0,BL482=1),"sí","no"),"no")</f>
        <v/>
      </c>
      <c r="BR482" s="3">
        <f>IFERROR(VLOOKUP(F482,MOD_TBL,11,0),IFERROR(VLOOKUP(E482,OCU_TBL,2,0),NEUTRO))</f>
        <v/>
      </c>
      <c r="BS482" s="3">
        <f>SUMIFS(MOT_AJUSTE,MOT_MOTOR,G482,MOT_MARCA,E482,MOT_DESDE,"&lt;="&amp;M482,MOT_HASTA,"&gt;="&amp;M482)+SUMIFS(MOT_AJUSTE,MOT_MOTOR,G482,MOT_MARCA,"(todas)",MOT_DESDE,"&lt;="&amp;M482,MOT_HASTA,"&gt;="&amp;M482)</f>
        <v/>
      </c>
      <c r="BT482" s="3">
        <f>SUMIFS(COMB_AJUSTE,COMB_COMB,K482)</f>
        <v/>
      </c>
      <c r="BU482" s="3">
        <f>COUNTIFS(MOT_MOTOR,G482,MOT_MARCA,E482,MOT_DESDE,"&lt;="&amp;M482,MOT_HASTA,"&gt;="&amp;M482)+COUNTIFS(MOT_MOTOR,G482,MOT_MARCA,"(todas)",MOT_DESDE,"&lt;="&amp;M482,MOT_HASTA,"&gt;="&amp;M482)</f>
        <v/>
      </c>
      <c r="BV482" s="3">
        <f>IF(AND(K482="diesel",BU482=0),MIN(BR482,NEUTRO),BR482)</f>
        <v/>
      </c>
      <c r="BW482" s="4">
        <f>MAX(0,MIN(100,BV482+BS482+BT482))</f>
        <v/>
      </c>
      <c r="BX482" s="3">
        <f>MAX(0,MIN(100,50+BK482*PRECIO_PEND))</f>
        <v/>
      </c>
      <c r="BY482" s="3">
        <f>MAX(0,100*(1-N482/KM_MAX))</f>
        <v/>
      </c>
      <c r="BZ482" s="3">
        <f>IF(BB482&lt;KMA_SOSP,IF(AA482="sí",100,KMA_PEN),IF(BB482&lt;=KMA_IDEAL_MAX,100,MAX(0,100*(KMA_CERO-BB482)/(KMA_CERO-KMA_IDEAL_MAX))))</f>
        <v/>
      </c>
      <c r="CA482" s="3">
        <f>MAX(0,MIN(100,100*(M482-ANIO_MIN)/(ANIO_ACTUAL-ANIO_MIN)))</f>
        <v/>
      </c>
      <c r="CB482" s="3">
        <f>W_KMT*BY482+W_KMA*BZ482+W_EDAD*CA482</f>
        <v/>
      </c>
      <c r="CC482" s="3">
        <f>P_ITV*(V482="sí")+P_LIBRO*(W482="sí")+P_CORREA*(X482="sí")+P_PROP*(Y482=1)+P_GAR*(Z482="sí")+P_FOTOS*MIN(1,N(U482)/FOTOS_OBJ)</f>
        <v/>
      </c>
      <c r="CD482" s="3">
        <f>MAX(0,MIN(100,IFERROR(VLOOKUP(BP482,ETQ_TBL,2,0),0)-IF(BQ482="sí",ETQ_PEN_DUD,IF(AS482="regla",ETQ_PEN_REGLA,0))))</f>
        <v/>
      </c>
      <c r="CE482" s="3">
        <f>NEUTRO</f>
        <v/>
      </c>
      <c r="CF482" s="3">
        <f>IFERROR(VLOOKUP(L482,SEGURO_TBL,3,0),"")</f>
        <v/>
      </c>
      <c r="CG482" s="3">
        <f>IF(CF482="",NEUTRO,MAX(0,MIN(100,100*(SEG_REF_MAX-CF482)/(SEG_REF_MAX-SEG_REF_MIN))))</f>
        <v/>
      </c>
      <c r="CH482" s="3">
        <f>W_CONS*CE482+W_SEG*CG482</f>
        <v/>
      </c>
      <c r="CI482" s="3">
        <f>IF(N(AB482)&gt;0,AB482,IF(AND(R482="profesional",SG_LEGAL_ON=1),GAR_LEGAL,0))</f>
        <v/>
      </c>
      <c r="CJ482" s="3">
        <f>SG_GAR*MIN(1,CI482/SG_GAR_FULL)+SG_AMPL*(AC482="sí")+SG_KMC*(AF482="sí")+SG_REV*(N(AE482)&gt;0)+SG_DEV*MIN(1,N(AG482)/SG_DEV_FULL)+SG_HIST*(W482="sí")</f>
        <v/>
      </c>
      <c r="CK482" s="3">
        <f>IFERROR(VLOOKUP(L482,CARR_PEN_TBL,2,0),0)</f>
        <v/>
      </c>
      <c r="CL482" s="3">
        <f>W_FIAB*BW482+W_PRECIO*BX482+W_KMEDAD*CB482+W_ANUNCIO*CC482+W_USO*CH482+W_SEGURIDAD*CJ482+W_ETIQUETA*CD482-CK482</f>
        <v/>
      </c>
      <c r="CM482" s="4">
        <f>IF(N(I482)&gt;0,I482,IFERROR(ROUND(_xlfn.NUMBERVALUE(LEFT(G482,FIND(" ",G482&amp;" ")-1),".")*1000,0),99999))</f>
        <v/>
      </c>
      <c r="CN482" s="3">
        <f>IF(R482="profesional",0,IF(O482&lt;CUOTA_VALOR_MAX,IF(BA482&gt;ITP_TRAMO_ALTO,SUMIFS(CF_CUOTA,CF_MAS,ITP_TRAMO_ALTO,CF_CCMIN,"&lt;="&amp;CM482,CF_CCMAX,"&gt;="&amp;CM482),IF(BA482&gt;ITP_TRAMO_BAJO,SUMIFS(CF_CUOTA,CF_MAS,ITP_TRAMO_BAJO,CF_CCMIN,"&lt;="&amp;CM482,CF_CCMAX,"&gt;="&amp;CM482),O482*ITP_TIPO)),O482*ITP_TIPO))</f>
        <v/>
      </c>
      <c r="CO482" s="4">
        <f>IF(R482="profesional",N(AK482),0)</f>
        <v/>
      </c>
      <c r="CP482" s="3">
        <f>IF(AND(R482="profesional",ISNUMBER(AK482),AL482="sí"),0,TASA_DGT)</f>
        <v/>
      </c>
      <c r="CQ482" s="3">
        <f>INFORME_DGT</f>
        <v/>
      </c>
      <c r="CR482" s="4">
        <f>O482+CO482+CN482+CP482+CQ482</f>
        <v/>
      </c>
      <c r="CS482" s="4">
        <f>CR482+N(CF482)</f>
        <v/>
      </c>
      <c r="CT482" s="3">
        <f>IF(CR482&lt;=TOTAL_MAX,"sí",IF(CR482&lt;=TOTAL_MAX+MARGEN_NEG,"negociar","no"))</f>
        <v/>
      </c>
      <c r="CU482" s="4">
        <f>IF(CT482&lt;&gt;"no",COUNTIFS($CT$2:$CT$545,"&lt;&gt;no",$CL$2:$CL$545,"&gt;"&amp;CL482)+COUNTIFS($CT$2:CT482,"&lt;&gt;no",$CL$2:CL482,CL482),"")</f>
        <v/>
      </c>
    </row>
    <row r="483">
      <c r="A483" s="2" t="inlineStr">
        <is>
          <t>cochesnet:71850085</t>
        </is>
      </c>
      <c r="B483" s="2" t="inlineStr">
        <is>
          <t>cochesnet</t>
        </is>
      </c>
      <c r="C483" s="2" t="inlineStr">
        <is>
          <t>https://www.coches.net/volkswagen-up-10-60cv-black-up-5p-gasolina-2012-en-castellon-71850085-covo.aspx</t>
        </is>
      </c>
      <c r="D483" s="2" t="inlineStr">
        <is>
          <t>VOLKSWAGEN up 1.0 Black up</t>
        </is>
      </c>
      <c r="E483" s="2" t="inlineStr">
        <is>
          <t>Volkswagen</t>
        </is>
      </c>
      <c r="F483" s="2" t="inlineStr">
        <is>
          <t>Volkswagen up!</t>
        </is>
      </c>
      <c r="G483" s="2" t="inlineStr">
        <is>
          <t>1.0</t>
        </is>
      </c>
      <c r="H483" s="2" t="inlineStr">
        <is>
          <t>1.0 60cv Black up</t>
        </is>
      </c>
      <c r="I483" s="2" t="n"/>
      <c r="J483" s="2" t="n">
        <v>60</v>
      </c>
      <c r="K483" s="2" t="inlineStr">
        <is>
          <t>gasolina</t>
        </is>
      </c>
      <c r="L483" s="2" t="inlineStr">
        <is>
          <t>utilitario</t>
        </is>
      </c>
      <c r="M483" s="2" t="n">
        <v>2012</v>
      </c>
      <c r="N483" s="2" t="n">
        <v>160000</v>
      </c>
      <c r="O483" s="2" t="n">
        <v>4500</v>
      </c>
      <c r="P483" s="2" t="inlineStr">
        <is>
          <t>manual</t>
        </is>
      </c>
      <c r="Q483" s="2" t="inlineStr">
        <is>
          <t>no</t>
        </is>
      </c>
      <c r="R483" s="2" t="inlineStr">
        <is>
          <t>particular</t>
        </is>
      </c>
      <c r="S483" s="2" t="n"/>
      <c r="T483" s="2" t="inlineStr">
        <is>
          <t>2026-10-28T06:23:20Z</t>
        </is>
      </c>
      <c r="U483" s="2" t="n">
        <v>6</v>
      </c>
      <c r="V483" s="2" t="n"/>
      <c r="W483" s="2" t="n"/>
      <c r="X483" s="2" t="n"/>
      <c r="Y483" s="2" t="n"/>
      <c r="Z483" s="2" t="inlineStr">
        <is>
          <t>no</t>
        </is>
      </c>
      <c r="AA483" s="2" t="n"/>
      <c r="AB483" s="2" t="n"/>
      <c r="AC483" s="2" t="n"/>
      <c r="AD483" s="2" t="n"/>
      <c r="AE483" s="2" t="n"/>
      <c r="AF483" s="2" t="n"/>
      <c r="AG483" s="2" t="n"/>
      <c r="AH483" s="2" t="n">
        <v>4500</v>
      </c>
      <c r="AI483" s="2" t="n"/>
      <c r="AJ483" s="2" t="n"/>
      <c r="AK483" s="2" t="n"/>
      <c r="AL483" s="2" t="n"/>
      <c r="AM483" s="2" t="n"/>
      <c r="AN483" s="2" t="n"/>
      <c r="AO483" s="2" t="inlineStr">
        <is>
          <t>2012</t>
        </is>
      </c>
      <c r="AP483" s="2" t="n">
        <v>2012</v>
      </c>
      <c r="AQ483" s="2" t="n"/>
      <c r="AR483" s="2" t="n"/>
      <c r="AS483" s="2" t="inlineStr">
        <is>
          <t>regla</t>
        </is>
      </c>
      <c r="AT483" s="2" t="n"/>
      <c r="AU483" s="2" t="n"/>
      <c r="AV483" s="2" t="n"/>
      <c r="AW483" s="2" t="n"/>
      <c r="AX483" s="2" t="inlineStr">
        <is>
          <t>cuota fija ITP: &gt;12 años, hasta 1.500 cc; distancia no verificable (el anuncio solo indica la provincia): confirmar que está a &lt;= 70 km; fiabilidad del modelo PENDIENTE de fuente (puntuación neutra); mediana con solo 1 anuncio(s)</t>
        </is>
      </c>
      <c r="AY483" s="2" t="inlineStr">
        <is>
          <t xml:space="preserve">Volkswagen Up!
Año 2012
Motor 1.0 Gasolina 
Aire Acondicionado 
Consume muy poco ideal para la ciudad muy cómodo y fácil de aparcar.
</t>
        </is>
      </c>
      <c r="AZ483" s="2" t="inlineStr">
        <is>
          <t>https://www.coches.net/volkswagen-up-10-60cv-black-up-5p-gasolina-2012-en-castellon-71850085-covo.aspx (window.__INITIAL_PROPS__.ad) /home/user/Alopecia/buscador-coches/raw/cochesnet/8c1ddb2ec0553bd8.json</t>
        </is>
      </c>
      <c r="BA483" s="3">
        <f>MAX(ANIO_ACTUAL-M483,0)</f>
        <v/>
      </c>
      <c r="BB483" s="4">
        <f>N483/MAX(BA483,0.5)</f>
        <v/>
      </c>
      <c r="BC483" s="4">
        <f>F483</f>
        <v/>
      </c>
      <c r="BD483" s="3">
        <f>BC483&amp;"|"&amp;INT(M483/SEG_ANIO)*SEG_ANIO</f>
        <v/>
      </c>
      <c r="BE483" s="3">
        <f>BD483&amp;"|"&amp;INT(N483/SEG_KM)*SEG_KM</f>
        <v/>
      </c>
      <c r="BF483" s="4">
        <f>COUNTIF($BC$2:$BC$545,BC483)</f>
        <v/>
      </c>
      <c r="BG483" s="4">
        <f>COUNTIF($BD$2:$BD$545,BD483)</f>
        <v/>
      </c>
      <c r="BH483" s="4">
        <f>COUNTIF($BE$2:$BE$545,BE483)</f>
        <v/>
      </c>
      <c r="BI483" s="3">
        <f t="array" ref="BI483">IF(N(AU483)&gt;=MIN_N,AT483,IF(BH483&gt;=MIN_N,MEDIAN(IF($BE$2:$BE$545=BE483,$O$2:$O$545)),IF(BG483&gt;=MIN_N,MEDIAN(IF($BD$2:$BD$545=BD483,$O$2:$O$545)),MEDIAN(IF($BC$2:$BC$545=BC483,$O$2:$O$545)))))</f>
        <v/>
      </c>
      <c r="BJ483" s="3">
        <f>IF(N(AU483)&gt;=MIN_N,"mercado "&amp;AV483,IF(BH483&gt;=MIN_N,"modelo+año+km",IF(BG483&gt;=MIN_N,"modelo+año","modelo")))</f>
        <v/>
      </c>
      <c r="BK483" s="4">
        <f>(BI483-O483)/BI483</f>
        <v/>
      </c>
      <c r="BL483" s="3">
        <f>IF(COUNTIFS(FR_FUEL,K483,FR_YEAR,AP483)&gt;0,1,0)</f>
        <v/>
      </c>
      <c r="BM483" s="3">
        <f>IF(COUNTIFS(FR_FUEL,K483,FR_YEAR,AP483-1)&gt;0,1,0)</f>
        <v/>
      </c>
      <c r="BN483" s="4">
        <f>IF(N(AQ483)&gt;0,AP483*100+AQ483,IF(AND(BL483=1,BM483=1),(AP483-1)*100+1,AP483*100+1))</f>
        <v/>
      </c>
      <c r="BO483" s="3">
        <f>IF(OR(K483="hibrido",K483="glp",K483="gnc",K483="phev"),"ECO",IF(K483="electrico","CERO",IF(K483="gasolina",IF(BN483&gt;=GAS_C_YM,"C",IF(BN483&gt;=GAS_B_YM,"B","A")),IF(K483="diesel",IF(BN483&gt;=DIE_C_YM,"C",IF(BN483&gt;=DIE_B_YM,"B","A")),""))))</f>
        <v/>
      </c>
      <c r="BP483" s="4">
        <f>BO483</f>
        <v/>
      </c>
      <c r="BQ483" s="4">
        <f>IF(AS483="regla",IF(AND(N(AQ483)=0,BL483=1),"sí","no"),"no")</f>
        <v/>
      </c>
      <c r="BR483" s="3">
        <f>IFERROR(VLOOKUP(F483,MOD_TBL,11,0),IFERROR(VLOOKUP(E483,OCU_TBL,2,0),NEUTRO))</f>
        <v/>
      </c>
      <c r="BS483" s="3">
        <f>SUMIFS(MOT_AJUSTE,MOT_MOTOR,G483,MOT_MARCA,E483,MOT_DESDE,"&lt;="&amp;M483,MOT_HASTA,"&gt;="&amp;M483)+SUMIFS(MOT_AJUSTE,MOT_MOTOR,G483,MOT_MARCA,"(todas)",MOT_DESDE,"&lt;="&amp;M483,MOT_HASTA,"&gt;="&amp;M483)</f>
        <v/>
      </c>
      <c r="BT483" s="3">
        <f>SUMIFS(COMB_AJUSTE,COMB_COMB,K483)</f>
        <v/>
      </c>
      <c r="BU483" s="3">
        <f>COUNTIFS(MOT_MOTOR,G483,MOT_MARCA,E483,MOT_DESDE,"&lt;="&amp;M483,MOT_HASTA,"&gt;="&amp;M483)+COUNTIFS(MOT_MOTOR,G483,MOT_MARCA,"(todas)",MOT_DESDE,"&lt;="&amp;M483,MOT_HASTA,"&gt;="&amp;M483)</f>
        <v/>
      </c>
      <c r="BV483" s="3">
        <f>IF(AND(K483="diesel",BU483=0),MIN(BR483,NEUTRO),BR483)</f>
        <v/>
      </c>
      <c r="BW483" s="4">
        <f>MAX(0,MIN(100,BV483+BS483+BT483))</f>
        <v/>
      </c>
      <c r="BX483" s="3">
        <f>MAX(0,MIN(100,50+BK483*PRECIO_PEND))</f>
        <v/>
      </c>
      <c r="BY483" s="3">
        <f>MAX(0,100*(1-N483/KM_MAX))</f>
        <v/>
      </c>
      <c r="BZ483" s="3">
        <f>IF(BB483&lt;KMA_SOSP,IF(AA483="sí",100,KMA_PEN),IF(BB483&lt;=KMA_IDEAL_MAX,100,MAX(0,100*(KMA_CERO-BB483)/(KMA_CERO-KMA_IDEAL_MAX))))</f>
        <v/>
      </c>
      <c r="CA483" s="3">
        <f>MAX(0,MIN(100,100*(M483-ANIO_MIN)/(ANIO_ACTUAL-ANIO_MIN)))</f>
        <v/>
      </c>
      <c r="CB483" s="3">
        <f>W_KMT*BY483+W_KMA*BZ483+W_EDAD*CA483</f>
        <v/>
      </c>
      <c r="CC483" s="3">
        <f>P_ITV*(V483="sí")+P_LIBRO*(W483="sí")+P_CORREA*(X483="sí")+P_PROP*(Y483=1)+P_GAR*(Z483="sí")+P_FOTOS*MIN(1,N(U483)/FOTOS_OBJ)</f>
        <v/>
      </c>
      <c r="CD483" s="3">
        <f>MAX(0,MIN(100,IFERROR(VLOOKUP(BP483,ETQ_TBL,2,0),0)-IF(BQ483="sí",ETQ_PEN_DUD,IF(AS483="regla",ETQ_PEN_REGLA,0))))</f>
        <v/>
      </c>
      <c r="CE483" s="3">
        <f>NEUTRO</f>
        <v/>
      </c>
      <c r="CF483" s="3">
        <f>IFERROR(VLOOKUP(L483,SEGURO_TBL,3,0),"")</f>
        <v/>
      </c>
      <c r="CG483" s="3">
        <f>IF(CF483="",NEUTRO,MAX(0,MIN(100,100*(SEG_REF_MAX-CF483)/(SEG_REF_MAX-SEG_REF_MIN))))</f>
        <v/>
      </c>
      <c r="CH483" s="3">
        <f>W_CONS*CE483+W_SEG*CG483</f>
        <v/>
      </c>
      <c r="CI483" s="3">
        <f>IF(N(AB483)&gt;0,AB483,IF(AND(R483="profesional",SG_LEGAL_ON=1),GAR_LEGAL,0))</f>
        <v/>
      </c>
      <c r="CJ483" s="3">
        <f>SG_GAR*MIN(1,CI483/SG_GAR_FULL)+SG_AMPL*(AC483="sí")+SG_KMC*(AF483="sí")+SG_REV*(N(AE483)&gt;0)+SG_DEV*MIN(1,N(AG483)/SG_DEV_FULL)+SG_HIST*(W483="sí")</f>
        <v/>
      </c>
      <c r="CK483" s="3">
        <f>IFERROR(VLOOKUP(L483,CARR_PEN_TBL,2,0),0)</f>
        <v/>
      </c>
      <c r="CL483" s="3">
        <f>W_FIAB*BW483+W_PRECIO*BX483+W_KMEDAD*CB483+W_ANUNCIO*CC483+W_USO*CH483+W_SEGURIDAD*CJ483+W_ETIQUETA*CD483-CK483</f>
        <v/>
      </c>
      <c r="CM483" s="4">
        <f>IF(N(I483)&gt;0,I483,IFERROR(ROUND(_xlfn.NUMBERVALUE(LEFT(G483,FIND(" ",G483&amp;" ")-1),".")*1000,0),99999))</f>
        <v/>
      </c>
      <c r="CN483" s="3">
        <f>IF(R483="profesional",0,IF(O483&lt;CUOTA_VALOR_MAX,IF(BA483&gt;ITP_TRAMO_ALTO,SUMIFS(CF_CUOTA,CF_MAS,ITP_TRAMO_ALTO,CF_CCMIN,"&lt;="&amp;CM483,CF_CCMAX,"&gt;="&amp;CM483),IF(BA483&gt;ITP_TRAMO_BAJO,SUMIFS(CF_CUOTA,CF_MAS,ITP_TRAMO_BAJO,CF_CCMIN,"&lt;="&amp;CM483,CF_CCMAX,"&gt;="&amp;CM483),O483*ITP_TIPO)),O483*ITP_TIPO))</f>
        <v/>
      </c>
      <c r="CO483" s="4">
        <f>IF(R483="profesional",N(AK483),0)</f>
        <v/>
      </c>
      <c r="CP483" s="3">
        <f>IF(AND(R483="profesional",ISNUMBER(AK483),AL483="sí"),0,TASA_DGT)</f>
        <v/>
      </c>
      <c r="CQ483" s="3">
        <f>INFORME_DGT</f>
        <v/>
      </c>
      <c r="CR483" s="4">
        <f>O483+CO483+CN483+CP483+CQ483</f>
        <v/>
      </c>
      <c r="CS483" s="4">
        <f>CR483+N(CF483)</f>
        <v/>
      </c>
      <c r="CT483" s="3">
        <f>IF(CR483&lt;=TOTAL_MAX,"sí",IF(CR483&lt;=TOTAL_MAX+MARGEN_NEG,"negociar","no"))</f>
        <v/>
      </c>
      <c r="CU483" s="4">
        <f>IF(CT483&lt;&gt;"no",COUNTIFS($CT$2:$CT$545,"&lt;&gt;no",$CL$2:$CL$545,"&gt;"&amp;CL483)+COUNTIFS($CT$2:CT483,"&lt;&gt;no",$CL$2:CL483,CL483),"")</f>
        <v/>
      </c>
    </row>
    <row r="484">
      <c r="A484" s="2" t="inlineStr">
        <is>
          <t>cochesnet:71720362</t>
        </is>
      </c>
      <c r="B484" s="2" t="inlineStr">
        <is>
          <t>cochesnet</t>
        </is>
      </c>
      <c r="C484" s="2" t="inlineStr">
        <is>
          <t>https://www.coches.net/volkswagen-golf-variant-19-tdi-105cv-advance-5p-diesel-2007-en-castellon-71720362-covo.aspx</t>
        </is>
      </c>
      <c r="D484" s="2" t="inlineStr">
        <is>
          <t>VOLKSWAGEN Golf Variant 1.9 TDI Advance</t>
        </is>
      </c>
      <c r="E484" s="2" t="inlineStr">
        <is>
          <t>Volkswagen</t>
        </is>
      </c>
      <c r="F484" s="2" t="inlineStr">
        <is>
          <t>Volkswagen Golf</t>
        </is>
      </c>
      <c r="G484" s="2" t="inlineStr">
        <is>
          <t>1.9 TDI</t>
        </is>
      </c>
      <c r="H484" s="2" t="inlineStr">
        <is>
          <t>Variant 1.9 TDI 105cv Advance</t>
        </is>
      </c>
      <c r="I484" s="2" t="n"/>
      <c r="J484" s="2" t="n">
        <v>105</v>
      </c>
      <c r="K484" s="2" t="inlineStr">
        <is>
          <t>diesel</t>
        </is>
      </c>
      <c r="L484" s="2" t="inlineStr">
        <is>
          <t>familiar</t>
        </is>
      </c>
      <c r="M484" s="2" t="n">
        <v>2007</v>
      </c>
      <c r="N484" s="2" t="n">
        <v>200112</v>
      </c>
      <c r="O484" s="2" t="n">
        <v>4250</v>
      </c>
      <c r="P484" s="2" t="inlineStr">
        <is>
          <t>manual</t>
        </is>
      </c>
      <c r="Q484" s="2" t="inlineStr">
        <is>
          <t>no</t>
        </is>
      </c>
      <c r="R484" s="2" t="inlineStr">
        <is>
          <t>particular</t>
        </is>
      </c>
      <c r="S484" s="2" t="inlineStr">
        <is>
          <t>Segorbe</t>
        </is>
      </c>
      <c r="T484" s="2" t="inlineStr">
        <is>
          <t>2026-10-10T20:59:56Z</t>
        </is>
      </c>
      <c r="U484" s="2" t="n">
        <v>9</v>
      </c>
      <c r="V484" s="2" t="inlineStr">
        <is>
          <t>sí</t>
        </is>
      </c>
      <c r="W484" s="2" t="n"/>
      <c r="X484" s="2" t="n"/>
      <c r="Y484" s="2" t="n"/>
      <c r="Z484" s="2" t="inlineStr">
        <is>
          <t>no</t>
        </is>
      </c>
      <c r="AA484" s="2" t="n"/>
      <c r="AB484" s="2" t="n"/>
      <c r="AC484" s="2" t="n"/>
      <c r="AD484" s="2" t="n"/>
      <c r="AE484" s="2" t="n"/>
      <c r="AF484" s="2" t="n"/>
      <c r="AG484" s="2" t="n"/>
      <c r="AH484" s="2" t="n">
        <v>4250</v>
      </c>
      <c r="AI484" s="2" t="n"/>
      <c r="AJ484" s="2" t="n"/>
      <c r="AK484" s="2" t="n"/>
      <c r="AL484" s="2" t="n"/>
      <c r="AM484" s="2" t="n">
        <v>43.4</v>
      </c>
      <c r="AN484" s="2" t="n"/>
      <c r="AO484" s="2" t="inlineStr">
        <is>
          <t>2007</t>
        </is>
      </c>
      <c r="AP484" s="2" t="n">
        <v>2007</v>
      </c>
      <c r="AQ484" s="2" t="n"/>
      <c r="AR484" s="2" t="inlineStr">
        <is>
          <t>B</t>
        </is>
      </c>
      <c r="AS484" s="2" t="inlineStr">
        <is>
          <t>anuncio</t>
        </is>
      </c>
      <c r="AT484" s="2" t="n">
        <v>5999</v>
      </c>
      <c r="AU484" s="2" t="n">
        <v>5</v>
      </c>
      <c r="AV484" s="2" t="inlineStr">
        <is>
          <t>modelo+año+km</t>
        </is>
      </c>
      <c r="AW484" s="2" t="n"/>
      <c r="AX484" s="2" t="inlineStr">
        <is>
          <t>cuota fija ITP: &gt;12 años, 1.501-2.000 cc; diésel: motor sin fuente de fiabilidad (fiabilidad limitada a neutra); carrocería familiar: -3 puntos</t>
        </is>
      </c>
      <c r="AY484" s="2" t="inlineStr">
        <is>
          <t>Volkswagen Golf 5 Variant 1.9 TDI
- ITV recién pasada. -Motor y carrocería impecables. 
-Distribución, aceite, todos los filtros cambiados. -Neumáticos en buen estado.
-Navegación android auto/carplay bluetooth.
-Climatizador bi-zona (enfria perfecto)</t>
        </is>
      </c>
      <c r="AZ484" s="2" t="inlineStr">
        <is>
          <t>https://www.coches.net/volkswagen-golf-variant-19-tdi-105cv-advance-5p-diesel-2007-en-castellon-71720362-covo.aspx (window.__INITIAL_PROPS__.ad) /home/user/Alopecia/buscador-coches/raw/cochesnet/a0caa71836c7250c.json</t>
        </is>
      </c>
      <c r="BA484" s="3">
        <f>MAX(ANIO_ACTUAL-M484,0)</f>
        <v/>
      </c>
      <c r="BB484" s="4">
        <f>N484/MAX(BA484,0.5)</f>
        <v/>
      </c>
      <c r="BC484" s="4">
        <f>F484</f>
        <v/>
      </c>
      <c r="BD484" s="3">
        <f>BC484&amp;"|"&amp;INT(M484/SEG_ANIO)*SEG_ANIO</f>
        <v/>
      </c>
      <c r="BE484" s="3">
        <f>BD484&amp;"|"&amp;INT(N484/SEG_KM)*SEG_KM</f>
        <v/>
      </c>
      <c r="BF484" s="4">
        <f>COUNTIF($BC$2:$BC$545,BC484)</f>
        <v/>
      </c>
      <c r="BG484" s="4">
        <f>COUNTIF($BD$2:$BD$545,BD484)</f>
        <v/>
      </c>
      <c r="BH484" s="4">
        <f>COUNTIF($BE$2:$BE$545,BE484)</f>
        <v/>
      </c>
      <c r="BI484" s="3">
        <f t="array" ref="BI484">IF(N(AU484)&gt;=MIN_N,AT484,IF(BH484&gt;=MIN_N,MEDIAN(IF($BE$2:$BE$545=BE484,$O$2:$O$545)),IF(BG484&gt;=MIN_N,MEDIAN(IF($BD$2:$BD$545=BD484,$O$2:$O$545)),MEDIAN(IF($BC$2:$BC$545=BC484,$O$2:$O$545)))))</f>
        <v/>
      </c>
      <c r="BJ484" s="3">
        <f>IF(N(AU484)&gt;=MIN_N,"mercado "&amp;AV484,IF(BH484&gt;=MIN_N,"modelo+año+km",IF(BG484&gt;=MIN_N,"modelo+año","modelo")))</f>
        <v/>
      </c>
      <c r="BK484" s="4">
        <f>(BI484-O484)/BI484</f>
        <v/>
      </c>
      <c r="BL484" s="3">
        <f>IF(COUNTIFS(FR_FUEL,K484,FR_YEAR,AP484)&gt;0,1,0)</f>
        <v/>
      </c>
      <c r="BM484" s="3">
        <f>IF(COUNTIFS(FR_FUEL,K484,FR_YEAR,AP484-1)&gt;0,1,0)</f>
        <v/>
      </c>
      <c r="BN484" s="4">
        <f>IF(N(AQ484)&gt;0,AP484*100+AQ484,IF(AND(BL484=1,BM484=1),(AP484-1)*100+1,AP484*100+1))</f>
        <v/>
      </c>
      <c r="BO484" s="3">
        <f>IF(OR(K484="hibrido",K484="glp",K484="gnc",K484="phev"),"ECO",IF(K484="electrico","CERO",IF(K484="gasolina",IF(BN484&gt;=GAS_C_YM,"C",IF(BN484&gt;=GAS_B_YM,"B","A")),IF(K484="diesel",IF(BN484&gt;=DIE_C_YM,"C",IF(BN484&gt;=DIE_B_YM,"B","A")),""))))</f>
        <v/>
      </c>
      <c r="BP484" s="2" t="inlineStr">
        <is>
          <t>B</t>
        </is>
      </c>
      <c r="BQ484" s="4">
        <f>IF(AS484="regla",IF(AND(N(AQ484)=0,BL484=1),"sí","no"),"no")</f>
        <v/>
      </c>
      <c r="BR484" s="3">
        <f>IFERROR(VLOOKUP(F484,MOD_TBL,11,0),IFERROR(VLOOKUP(E484,OCU_TBL,2,0),NEUTRO))</f>
        <v/>
      </c>
      <c r="BS484" s="3">
        <f>SUMIFS(MOT_AJUSTE,MOT_MOTOR,G484,MOT_MARCA,E484,MOT_DESDE,"&lt;="&amp;M484,MOT_HASTA,"&gt;="&amp;M484)+SUMIFS(MOT_AJUSTE,MOT_MOTOR,G484,MOT_MARCA,"(todas)",MOT_DESDE,"&lt;="&amp;M484,MOT_HASTA,"&gt;="&amp;M484)</f>
        <v/>
      </c>
      <c r="BT484" s="3">
        <f>SUMIFS(COMB_AJUSTE,COMB_COMB,K484)</f>
        <v/>
      </c>
      <c r="BU484" s="3">
        <f>COUNTIFS(MOT_MOTOR,G484,MOT_MARCA,E484,MOT_DESDE,"&lt;="&amp;M484,MOT_HASTA,"&gt;="&amp;M484)+COUNTIFS(MOT_MOTOR,G484,MOT_MARCA,"(todas)",MOT_DESDE,"&lt;="&amp;M484,MOT_HASTA,"&gt;="&amp;M484)</f>
        <v/>
      </c>
      <c r="BV484" s="3">
        <f>IF(AND(K484="diesel",BU484=0),MIN(BR484,NEUTRO),BR484)</f>
        <v/>
      </c>
      <c r="BW484" s="4">
        <f>MAX(0,MIN(100,BV484+BS484+BT484))</f>
        <v/>
      </c>
      <c r="BX484" s="3">
        <f>MAX(0,MIN(100,50+BK484*PRECIO_PEND))</f>
        <v/>
      </c>
      <c r="BY484" s="3">
        <f>MAX(0,100*(1-N484/KM_MAX))</f>
        <v/>
      </c>
      <c r="BZ484" s="3">
        <f>IF(BB484&lt;KMA_SOSP,IF(AA484="sí",100,KMA_PEN),IF(BB484&lt;=KMA_IDEAL_MAX,100,MAX(0,100*(KMA_CERO-BB484)/(KMA_CERO-KMA_IDEAL_MAX))))</f>
        <v/>
      </c>
      <c r="CA484" s="3">
        <f>MAX(0,MIN(100,100*(M484-ANIO_MIN)/(ANIO_ACTUAL-ANIO_MIN)))</f>
        <v/>
      </c>
      <c r="CB484" s="3">
        <f>W_KMT*BY484+W_KMA*BZ484+W_EDAD*CA484</f>
        <v/>
      </c>
      <c r="CC484" s="3">
        <f>P_ITV*(V484="sí")+P_LIBRO*(W484="sí")+P_CORREA*(X484="sí")+P_PROP*(Y484=1)+P_GAR*(Z484="sí")+P_FOTOS*MIN(1,N(U484)/FOTOS_OBJ)</f>
        <v/>
      </c>
      <c r="CD484" s="3">
        <f>MAX(0,MIN(100,IFERROR(VLOOKUP(BP484,ETQ_TBL,2,0),0)-IF(BQ484="sí",ETQ_PEN_DUD,IF(AS484="regla",ETQ_PEN_REGLA,0))))</f>
        <v/>
      </c>
      <c r="CE484" s="3">
        <f>NEUTRO</f>
        <v/>
      </c>
      <c r="CF484" s="3">
        <f>IFERROR(VLOOKUP(L484,SEGURO_TBL,3,0),"")</f>
        <v/>
      </c>
      <c r="CG484" s="3">
        <f>IF(CF484="",NEUTRO,MAX(0,MIN(100,100*(SEG_REF_MAX-CF484)/(SEG_REF_MAX-SEG_REF_MIN))))</f>
        <v/>
      </c>
      <c r="CH484" s="3">
        <f>W_CONS*CE484+W_SEG*CG484</f>
        <v/>
      </c>
      <c r="CI484" s="3">
        <f>IF(N(AB484)&gt;0,AB484,IF(AND(R484="profesional",SG_LEGAL_ON=1),GAR_LEGAL,0))</f>
        <v/>
      </c>
      <c r="CJ484" s="3">
        <f>SG_GAR*MIN(1,CI484/SG_GAR_FULL)+SG_AMPL*(AC484="sí")+SG_KMC*(AF484="sí")+SG_REV*(N(AE484)&gt;0)+SG_DEV*MIN(1,N(AG484)/SG_DEV_FULL)+SG_HIST*(W484="sí")</f>
        <v/>
      </c>
      <c r="CK484" s="3">
        <f>IFERROR(VLOOKUP(L484,CARR_PEN_TBL,2,0),0)</f>
        <v/>
      </c>
      <c r="CL484" s="3">
        <f>W_FIAB*BW484+W_PRECIO*BX484+W_KMEDAD*CB484+W_ANUNCIO*CC484+W_USO*CH484+W_SEGURIDAD*CJ484+W_ETIQUETA*CD484-CK484</f>
        <v/>
      </c>
      <c r="CM484" s="4">
        <f>IF(N(I484)&gt;0,I484,IFERROR(ROUND(_xlfn.NUMBERVALUE(LEFT(G484,FIND(" ",G484&amp;" ")-1),".")*1000,0),99999))</f>
        <v/>
      </c>
      <c r="CN484" s="3">
        <f>IF(R484="profesional",0,IF(O484&lt;CUOTA_VALOR_MAX,IF(BA484&gt;ITP_TRAMO_ALTO,SUMIFS(CF_CUOTA,CF_MAS,ITP_TRAMO_ALTO,CF_CCMIN,"&lt;="&amp;CM484,CF_CCMAX,"&gt;="&amp;CM484),IF(BA484&gt;ITP_TRAMO_BAJO,SUMIFS(CF_CUOTA,CF_MAS,ITP_TRAMO_BAJO,CF_CCMIN,"&lt;="&amp;CM484,CF_CCMAX,"&gt;="&amp;CM484),O484*ITP_TIPO)),O484*ITP_TIPO))</f>
        <v/>
      </c>
      <c r="CO484" s="4">
        <f>IF(R484="profesional",N(AK484),0)</f>
        <v/>
      </c>
      <c r="CP484" s="3">
        <f>IF(AND(R484="profesional",ISNUMBER(AK484),AL484="sí"),0,TASA_DGT)</f>
        <v/>
      </c>
      <c r="CQ484" s="3">
        <f>INFORME_DGT</f>
        <v/>
      </c>
      <c r="CR484" s="4">
        <f>O484+CO484+CN484+CP484+CQ484</f>
        <v/>
      </c>
      <c r="CS484" s="4">
        <f>CR484+N(CF484)</f>
        <v/>
      </c>
      <c r="CT484" s="3">
        <f>IF(CR484&lt;=TOTAL_MAX,"sí",IF(CR484&lt;=TOTAL_MAX+MARGEN_NEG,"negociar","no"))</f>
        <v/>
      </c>
      <c r="CU484" s="4">
        <f>IF(CT484&lt;&gt;"no",COUNTIFS($CT$2:$CT$545,"&lt;&gt;no",$CL$2:$CL$545,"&gt;"&amp;CL484)+COUNTIFS($CT$2:CT484,"&lt;&gt;no",$CL$2:CL484,CL484),"")</f>
        <v/>
      </c>
    </row>
    <row r="485">
      <c r="A485" s="2" t="inlineStr">
        <is>
          <t>cochesnet:71874637</t>
        </is>
      </c>
      <c r="B485" s="2" t="inlineStr">
        <is>
          <t>cochesnet</t>
        </is>
      </c>
      <c r="C485" s="2" t="inlineStr">
        <is>
          <t>https://www.coches.net/opel-astra-17-cdti-110-cv-sport-5p-diesel-2010-en-castellon-71874637-covo.aspx</t>
        </is>
      </c>
      <c r="D485" s="2" t="inlineStr">
        <is>
          <t>OPEL Astra 1.7 CDTi 110 CV Sport</t>
        </is>
      </c>
      <c r="E485" s="2" t="inlineStr">
        <is>
          <t>Opel</t>
        </is>
      </c>
      <c r="F485" s="2" t="inlineStr">
        <is>
          <t>Opel Astra</t>
        </is>
      </c>
      <c r="G485" s="2" t="inlineStr">
        <is>
          <t>1.7 CDTi</t>
        </is>
      </c>
      <c r="H485" s="2" t="inlineStr">
        <is>
          <t>1.7 CDTi 110 CV Sport</t>
        </is>
      </c>
      <c r="I485" s="2" t="n"/>
      <c r="J485" s="2" t="n">
        <v>110</v>
      </c>
      <c r="K485" s="2" t="inlineStr">
        <is>
          <t>diesel</t>
        </is>
      </c>
      <c r="L485" s="2" t="inlineStr">
        <is>
          <t>compacto</t>
        </is>
      </c>
      <c r="M485" s="2" t="n">
        <v>2010</v>
      </c>
      <c r="N485" s="2" t="n">
        <v>199000</v>
      </c>
      <c r="O485" s="2" t="n">
        <v>4500</v>
      </c>
      <c r="P485" s="2" t="inlineStr">
        <is>
          <t>manual</t>
        </is>
      </c>
      <c r="Q485" s="2" t="inlineStr">
        <is>
          <t>no</t>
        </is>
      </c>
      <c r="R485" s="2" t="inlineStr">
        <is>
          <t>particular</t>
        </is>
      </c>
      <c r="S485" s="2" t="inlineStr">
        <is>
          <t>Castellón de la Plana / Castelló de la Plana</t>
        </is>
      </c>
      <c r="T485" s="2" t="inlineStr">
        <is>
          <t>2026-10-30T16:09:45Z</t>
        </is>
      </c>
      <c r="U485" s="2" t="n">
        <v>8</v>
      </c>
      <c r="V485" s="2" t="n"/>
      <c r="W485" s="2" t="n"/>
      <c r="X485" s="2" t="n"/>
      <c r="Y485" s="2" t="n"/>
      <c r="Z485" s="2" t="inlineStr">
        <is>
          <t>no</t>
        </is>
      </c>
      <c r="AA485" s="2" t="n"/>
      <c r="AB485" s="2" t="n"/>
      <c r="AC485" s="2" t="n"/>
      <c r="AD485" s="2" t="n"/>
      <c r="AE485" s="2" t="n"/>
      <c r="AF485" s="2" t="n"/>
      <c r="AG485" s="2" t="n"/>
      <c r="AH485" s="2" t="n">
        <v>4500</v>
      </c>
      <c r="AI485" s="2" t="n"/>
      <c r="AJ485" s="2" t="n"/>
      <c r="AK485" s="2" t="n"/>
      <c r="AL485" s="2" t="n"/>
      <c r="AM485" s="2" t="n"/>
      <c r="AN485" s="2" t="n"/>
      <c r="AO485" s="2" t="inlineStr">
        <is>
          <t>2010</t>
        </is>
      </c>
      <c r="AP485" s="2" t="n">
        <v>2010</v>
      </c>
      <c r="AQ485" s="2" t="n"/>
      <c r="AR485" s="2" t="n"/>
      <c r="AS485" s="2" t="inlineStr">
        <is>
          <t>regla</t>
        </is>
      </c>
      <c r="AT485" s="2" t="n">
        <v>4745</v>
      </c>
      <c r="AU485" s="2" t="n">
        <v>10</v>
      </c>
      <c r="AV485" s="2" t="inlineStr">
        <is>
          <t>modelo+año+km</t>
        </is>
      </c>
      <c r="AW485" s="2" t="n"/>
      <c r="AX485" s="2" t="inlineStr">
        <is>
          <t>cuota fija ITP: &gt;12 años, 1.501-2.000 cc; diésel: motor sin fuente de fiabilidad (fiabilidad limitada a neutra); distancia no verificable (el anuncio solo indica la provincia): confirmar que está a &lt;= 70 km</t>
        </is>
      </c>
      <c r="AY485" s="2" t="inlineStr">
        <is>
          <t xml:space="preserve">Vendo Opel Astra J del año 2010, diésel, color gris, cambio manual, con 199.000 km.
</t>
        </is>
      </c>
      <c r="AZ485" s="2" t="inlineStr">
        <is>
          <t>https://www.coches.net/opel-astra-17-cdti-110-cv-sport-5p-diesel-2010-en-castellon-71874637-covo.aspx (window.__INITIAL_PROPS__.ad) /home/user/Alopecia/buscador-coches/raw/cochesnet/369243678a44fbea.json</t>
        </is>
      </c>
      <c r="BA485" s="3">
        <f>MAX(ANIO_ACTUAL-M485,0)</f>
        <v/>
      </c>
      <c r="BB485" s="4">
        <f>N485/MAX(BA485,0.5)</f>
        <v/>
      </c>
      <c r="BC485" s="4">
        <f>F485</f>
        <v/>
      </c>
      <c r="BD485" s="3">
        <f>BC485&amp;"|"&amp;INT(M485/SEG_ANIO)*SEG_ANIO</f>
        <v/>
      </c>
      <c r="BE485" s="3">
        <f>BD485&amp;"|"&amp;INT(N485/SEG_KM)*SEG_KM</f>
        <v/>
      </c>
      <c r="BF485" s="4">
        <f>COUNTIF($BC$2:$BC$545,BC485)</f>
        <v/>
      </c>
      <c r="BG485" s="4">
        <f>COUNTIF($BD$2:$BD$545,BD485)</f>
        <v/>
      </c>
      <c r="BH485" s="4">
        <f>COUNTIF($BE$2:$BE$545,BE485)</f>
        <v/>
      </c>
      <c r="BI485" s="3">
        <f t="array" ref="BI485">IF(N(AU485)&gt;=MIN_N,AT485,IF(BH485&gt;=MIN_N,MEDIAN(IF($BE$2:$BE$545=BE485,$O$2:$O$545)),IF(BG485&gt;=MIN_N,MEDIAN(IF($BD$2:$BD$545=BD485,$O$2:$O$545)),MEDIAN(IF($BC$2:$BC$545=BC485,$O$2:$O$545)))))</f>
        <v/>
      </c>
      <c r="BJ485" s="3">
        <f>IF(N(AU485)&gt;=MIN_N,"mercado "&amp;AV485,IF(BH485&gt;=MIN_N,"modelo+año+km",IF(BG485&gt;=MIN_N,"modelo+año","modelo")))</f>
        <v/>
      </c>
      <c r="BK485" s="4">
        <f>(BI485-O485)/BI485</f>
        <v/>
      </c>
      <c r="BL485" s="3">
        <f>IF(COUNTIFS(FR_FUEL,K485,FR_YEAR,AP485)&gt;0,1,0)</f>
        <v/>
      </c>
      <c r="BM485" s="3">
        <f>IF(COUNTIFS(FR_FUEL,K485,FR_YEAR,AP485-1)&gt;0,1,0)</f>
        <v/>
      </c>
      <c r="BN485" s="4">
        <f>IF(N(AQ485)&gt;0,AP485*100+AQ485,IF(AND(BL485=1,BM485=1),(AP485-1)*100+1,AP485*100+1))</f>
        <v/>
      </c>
      <c r="BO485" s="3">
        <f>IF(OR(K485="hibrido",K485="glp",K485="gnc",K485="phev"),"ECO",IF(K485="electrico","CERO",IF(K485="gasolina",IF(BN485&gt;=GAS_C_YM,"C",IF(BN485&gt;=GAS_B_YM,"B","A")),IF(K485="diesel",IF(BN485&gt;=DIE_C_YM,"C",IF(BN485&gt;=DIE_B_YM,"B","A")),""))))</f>
        <v/>
      </c>
      <c r="BP485" s="4">
        <f>BO485</f>
        <v/>
      </c>
      <c r="BQ485" s="4">
        <f>IF(AS485="regla",IF(AND(N(AQ485)=0,BL485=1),"sí","no"),"no")</f>
        <v/>
      </c>
      <c r="BR485" s="3">
        <f>IFERROR(VLOOKUP(F485,MOD_TBL,11,0),IFERROR(VLOOKUP(E485,OCU_TBL,2,0),NEUTRO))</f>
        <v/>
      </c>
      <c r="BS485" s="3">
        <f>SUMIFS(MOT_AJUSTE,MOT_MOTOR,G485,MOT_MARCA,E485,MOT_DESDE,"&lt;="&amp;M485,MOT_HASTA,"&gt;="&amp;M485)+SUMIFS(MOT_AJUSTE,MOT_MOTOR,G485,MOT_MARCA,"(todas)",MOT_DESDE,"&lt;="&amp;M485,MOT_HASTA,"&gt;="&amp;M485)</f>
        <v/>
      </c>
      <c r="BT485" s="3">
        <f>SUMIFS(COMB_AJUSTE,COMB_COMB,K485)</f>
        <v/>
      </c>
      <c r="BU485" s="3">
        <f>COUNTIFS(MOT_MOTOR,G485,MOT_MARCA,E485,MOT_DESDE,"&lt;="&amp;M485,MOT_HASTA,"&gt;="&amp;M485)+COUNTIFS(MOT_MOTOR,G485,MOT_MARCA,"(todas)",MOT_DESDE,"&lt;="&amp;M485,MOT_HASTA,"&gt;="&amp;M485)</f>
        <v/>
      </c>
      <c r="BV485" s="3">
        <f>IF(AND(K485="diesel",BU485=0),MIN(BR485,NEUTRO),BR485)</f>
        <v/>
      </c>
      <c r="BW485" s="4">
        <f>MAX(0,MIN(100,BV485+BS485+BT485))</f>
        <v/>
      </c>
      <c r="BX485" s="3">
        <f>MAX(0,MIN(100,50+BK485*PRECIO_PEND))</f>
        <v/>
      </c>
      <c r="BY485" s="3">
        <f>MAX(0,100*(1-N485/KM_MAX))</f>
        <v/>
      </c>
      <c r="BZ485" s="3">
        <f>IF(BB485&lt;KMA_SOSP,IF(AA485="sí",100,KMA_PEN),IF(BB485&lt;=KMA_IDEAL_MAX,100,MAX(0,100*(KMA_CERO-BB485)/(KMA_CERO-KMA_IDEAL_MAX))))</f>
        <v/>
      </c>
      <c r="CA485" s="3">
        <f>MAX(0,MIN(100,100*(M485-ANIO_MIN)/(ANIO_ACTUAL-ANIO_MIN)))</f>
        <v/>
      </c>
      <c r="CB485" s="3">
        <f>W_KMT*BY485+W_KMA*BZ485+W_EDAD*CA485</f>
        <v/>
      </c>
      <c r="CC485" s="3">
        <f>P_ITV*(V485="sí")+P_LIBRO*(W485="sí")+P_CORREA*(X485="sí")+P_PROP*(Y485=1)+P_GAR*(Z485="sí")+P_FOTOS*MIN(1,N(U485)/FOTOS_OBJ)</f>
        <v/>
      </c>
      <c r="CD485" s="3">
        <f>MAX(0,MIN(100,IFERROR(VLOOKUP(BP485,ETQ_TBL,2,0),0)-IF(BQ485="sí",ETQ_PEN_DUD,IF(AS485="regla",ETQ_PEN_REGLA,0))))</f>
        <v/>
      </c>
      <c r="CE485" s="3">
        <f>NEUTRO</f>
        <v/>
      </c>
      <c r="CF485" s="3">
        <f>IFERROR(VLOOKUP(L485,SEGURO_TBL,3,0),"")</f>
        <v/>
      </c>
      <c r="CG485" s="3">
        <f>IF(CF485="",NEUTRO,MAX(0,MIN(100,100*(SEG_REF_MAX-CF485)/(SEG_REF_MAX-SEG_REF_MIN))))</f>
        <v/>
      </c>
      <c r="CH485" s="3">
        <f>W_CONS*CE485+W_SEG*CG485</f>
        <v/>
      </c>
      <c r="CI485" s="3">
        <f>IF(N(AB485)&gt;0,AB485,IF(AND(R485="profesional",SG_LEGAL_ON=1),GAR_LEGAL,0))</f>
        <v/>
      </c>
      <c r="CJ485" s="3">
        <f>SG_GAR*MIN(1,CI485/SG_GAR_FULL)+SG_AMPL*(AC485="sí")+SG_KMC*(AF485="sí")+SG_REV*(N(AE485)&gt;0)+SG_DEV*MIN(1,N(AG485)/SG_DEV_FULL)+SG_HIST*(W485="sí")</f>
        <v/>
      </c>
      <c r="CK485" s="3">
        <f>IFERROR(VLOOKUP(L485,CARR_PEN_TBL,2,0),0)</f>
        <v/>
      </c>
      <c r="CL485" s="3">
        <f>W_FIAB*BW485+W_PRECIO*BX485+W_KMEDAD*CB485+W_ANUNCIO*CC485+W_USO*CH485+W_SEGURIDAD*CJ485+W_ETIQUETA*CD485-CK485</f>
        <v/>
      </c>
      <c r="CM485" s="4">
        <f>IF(N(I485)&gt;0,I485,IFERROR(ROUND(_xlfn.NUMBERVALUE(LEFT(G485,FIND(" ",G485&amp;" ")-1),".")*1000,0),99999))</f>
        <v/>
      </c>
      <c r="CN485" s="3">
        <f>IF(R485="profesional",0,IF(O485&lt;CUOTA_VALOR_MAX,IF(BA485&gt;ITP_TRAMO_ALTO,SUMIFS(CF_CUOTA,CF_MAS,ITP_TRAMO_ALTO,CF_CCMIN,"&lt;="&amp;CM485,CF_CCMAX,"&gt;="&amp;CM485),IF(BA485&gt;ITP_TRAMO_BAJO,SUMIFS(CF_CUOTA,CF_MAS,ITP_TRAMO_BAJO,CF_CCMIN,"&lt;="&amp;CM485,CF_CCMAX,"&gt;="&amp;CM485),O485*ITP_TIPO)),O485*ITP_TIPO))</f>
        <v/>
      </c>
      <c r="CO485" s="4">
        <f>IF(R485="profesional",N(AK485),0)</f>
        <v/>
      </c>
      <c r="CP485" s="3">
        <f>IF(AND(R485="profesional",ISNUMBER(AK485),AL485="sí"),0,TASA_DGT)</f>
        <v/>
      </c>
      <c r="CQ485" s="3">
        <f>INFORME_DGT</f>
        <v/>
      </c>
      <c r="CR485" s="4">
        <f>O485+CO485+CN485+CP485+CQ485</f>
        <v/>
      </c>
      <c r="CS485" s="4">
        <f>CR485+N(CF485)</f>
        <v/>
      </c>
      <c r="CT485" s="3">
        <f>IF(CR485&lt;=TOTAL_MAX,"sí",IF(CR485&lt;=TOTAL_MAX+MARGEN_NEG,"negociar","no"))</f>
        <v/>
      </c>
      <c r="CU485" s="4">
        <f>IF(CT485&lt;&gt;"no",COUNTIFS($CT$2:$CT$545,"&lt;&gt;no",$CL$2:$CL$545,"&gt;"&amp;CL485)+COUNTIFS($CT$2:CT485,"&lt;&gt;no",$CL$2:CL485,CL485),"")</f>
        <v/>
      </c>
    </row>
    <row r="486">
      <c r="A486" s="2" t="inlineStr">
        <is>
          <t>cochesnet:71766461</t>
        </is>
      </c>
      <c r="B486" s="2" t="inlineStr">
        <is>
          <t>cochesnet</t>
        </is>
      </c>
      <c r="C486" s="2" t="inlineStr">
        <is>
          <t>https://www.coches.net/opel-corsa-17-cdti-sport-3p-diesel-2010-en-castellon-71766461-covo.aspx</t>
        </is>
      </c>
      <c r="D486" s="2" t="inlineStr">
        <is>
          <t>OPEL Corsa 1.7 CDTi Sport</t>
        </is>
      </c>
      <c r="E486" s="2" t="inlineStr">
        <is>
          <t>Opel</t>
        </is>
      </c>
      <c r="F486" s="2" t="inlineStr">
        <is>
          <t>Opel Corsa</t>
        </is>
      </c>
      <c r="G486" s="2" t="inlineStr">
        <is>
          <t>1.7 CDTi</t>
        </is>
      </c>
      <c r="H486" s="2" t="inlineStr">
        <is>
          <t>1.7 CDTi Sport</t>
        </is>
      </c>
      <c r="I486" s="2" t="n"/>
      <c r="J486" s="2" t="n"/>
      <c r="K486" s="2" t="inlineStr">
        <is>
          <t>diesel</t>
        </is>
      </c>
      <c r="L486" s="2" t="inlineStr">
        <is>
          <t>utilitario</t>
        </is>
      </c>
      <c r="M486" s="2" t="n">
        <v>2010</v>
      </c>
      <c r="N486" s="2" t="n">
        <v>139000</v>
      </c>
      <c r="O486" s="2" t="n">
        <v>3700</v>
      </c>
      <c r="P486" s="2" t="inlineStr">
        <is>
          <t>manual</t>
        </is>
      </c>
      <c r="Q486" s="2" t="inlineStr">
        <is>
          <t>no</t>
        </is>
      </c>
      <c r="R486" s="2" t="inlineStr">
        <is>
          <t>particular</t>
        </is>
      </c>
      <c r="S486" s="2" t="inlineStr">
        <is>
          <t>Castellón de la Plana / Castelló de la Plana</t>
        </is>
      </c>
      <c r="T486" s="2" t="inlineStr">
        <is>
          <t>2026-10-16T19:51:37Z</t>
        </is>
      </c>
      <c r="U486" s="2" t="n">
        <v>7</v>
      </c>
      <c r="V486" s="2" t="n"/>
      <c r="W486" s="2" t="n"/>
      <c r="X486" s="2" t="n"/>
      <c r="Y486" s="2" t="n"/>
      <c r="Z486" s="2" t="inlineStr">
        <is>
          <t>no</t>
        </is>
      </c>
      <c r="AA486" s="2" t="n"/>
      <c r="AB486" s="2" t="n"/>
      <c r="AC486" s="2" t="n"/>
      <c r="AD486" s="2" t="n"/>
      <c r="AE486" s="2" t="n"/>
      <c r="AF486" s="2" t="n"/>
      <c r="AG486" s="2" t="n"/>
      <c r="AH486" s="2" t="n">
        <v>3700</v>
      </c>
      <c r="AI486" s="2" t="n"/>
      <c r="AJ486" s="2" t="n"/>
      <c r="AK486" s="2" t="n"/>
      <c r="AL486" s="2" t="n"/>
      <c r="AM486" s="2" t="n"/>
      <c r="AN486" s="2" t="n"/>
      <c r="AO486" s="2" t="inlineStr">
        <is>
          <t>10/2010</t>
        </is>
      </c>
      <c r="AP486" s="2" t="n">
        <v>2010</v>
      </c>
      <c r="AQ486" s="2" t="n">
        <v>10</v>
      </c>
      <c r="AR486" s="2" t="n"/>
      <c r="AS486" s="2" t="inlineStr">
        <is>
          <t>regla</t>
        </is>
      </c>
      <c r="AT486" s="2" t="n">
        <v>4625</v>
      </c>
      <c r="AU486" s="2" t="n">
        <v>8</v>
      </c>
      <c r="AV486" s="2" t="inlineStr">
        <is>
          <t>modelo+año+km</t>
        </is>
      </c>
      <c r="AW486" s="2" t="n"/>
      <c r="AX486" s="2" t="inlineStr">
        <is>
          <t>cuota fija ITP: &gt;12 años, 1.501-2.000 cc; diésel: motor sin fuente de fiabilidad (fiabilidad limitada a neutra); distancia no verificable (el anuncio solo indica la provincia): confirmar que está a &lt;= 70 km</t>
        </is>
      </c>
      <c r="AY486" s="2" t="inlineStr">
        <is>
          <t>Vendo mi Opel Corsa 1.7 CDTi Sport, un berlina compacto que ofrece exactamente lo que buscas si valoras la eficiencia sin renunciar a la potencia. Con motor diésel de 130 CV, este coche combina un consumo controlado con una conducción ágil y responsiva, ideal tanto para moverte por ciudad como para disfrutar en carretera.
El vehículo se encuentra en buen estado general, tanto exterior como interior. La carrocería roja mantiene su acabado en buen estado, y el interior refleja un uso habitual cuidadoso. Con esta motorización diésel, obtendrás un rendimiento fiable y económico, lo que lo convierte en una opción inteligente si buscas rentabilidad a largo plazo.
Se trata de una berlina de tres puertas con capacidad para cinco ocupantes, perfecta para quienes necesitan versatilidad sin perder maniobrabilidad. El cambio manual te permite un control total de la conducción, y la configuración Sport le añade ese toque dinámico que hace más agradable cada trayecto.
Este Corsa representa una gran oportunidad si buscas un vehículo con motor potente, consumo ajustado y una relación calidad-precio difícil de encontrar en el mercado actual. No es un coche nuevo, pero es un vehículo que sigue siendo funcional y confiable para quien sepa apreciarlo.
Si tienes dudas sobre aspectos específicos del vehículo o necesitas más información, no dudes en contactarme. Puedo atenderte tanto por teléfono como por chat.
Contacta hoy mismo y no dejes escapar esta oportunidad.</t>
        </is>
      </c>
      <c r="AZ486" s="2" t="inlineStr">
        <is>
          <t>https://www.coches.net/opel-corsa-17-cdti-sport-3p-diesel-2010-en-castellon-71766461-covo.aspx (window.__INITIAL_PROPS__.ad) /home/user/Alopecia/buscador-coches/raw/cochesnet/799707ef31f9879d.json</t>
        </is>
      </c>
      <c r="BA486" s="3">
        <f>MAX(ANIO_ACTUAL-M486,0)</f>
        <v/>
      </c>
      <c r="BB486" s="4">
        <f>N486/MAX(BA486,0.5)</f>
        <v/>
      </c>
      <c r="BC486" s="4">
        <f>F486</f>
        <v/>
      </c>
      <c r="BD486" s="3">
        <f>BC486&amp;"|"&amp;INT(M486/SEG_ANIO)*SEG_ANIO</f>
        <v/>
      </c>
      <c r="BE486" s="3">
        <f>BD486&amp;"|"&amp;INT(N486/SEG_KM)*SEG_KM</f>
        <v/>
      </c>
      <c r="BF486" s="4">
        <f>COUNTIF($BC$2:$BC$545,BC486)</f>
        <v/>
      </c>
      <c r="BG486" s="4">
        <f>COUNTIF($BD$2:$BD$545,BD486)</f>
        <v/>
      </c>
      <c r="BH486" s="4">
        <f>COUNTIF($BE$2:$BE$545,BE486)</f>
        <v/>
      </c>
      <c r="BI486" s="3">
        <f t="array" ref="BI486">IF(N(AU486)&gt;=MIN_N,AT486,IF(BH486&gt;=MIN_N,MEDIAN(IF($BE$2:$BE$545=BE486,$O$2:$O$545)),IF(BG486&gt;=MIN_N,MEDIAN(IF($BD$2:$BD$545=BD486,$O$2:$O$545)),MEDIAN(IF($BC$2:$BC$545=BC486,$O$2:$O$545)))))</f>
        <v/>
      </c>
      <c r="BJ486" s="3">
        <f>IF(N(AU486)&gt;=MIN_N,"mercado "&amp;AV486,IF(BH486&gt;=MIN_N,"modelo+año+km",IF(BG486&gt;=MIN_N,"modelo+año","modelo")))</f>
        <v/>
      </c>
      <c r="BK486" s="4">
        <f>(BI486-O486)/BI486</f>
        <v/>
      </c>
      <c r="BL486" s="3">
        <f>IF(COUNTIFS(FR_FUEL,K486,FR_YEAR,AP486)&gt;0,1,0)</f>
        <v/>
      </c>
      <c r="BM486" s="3">
        <f>IF(COUNTIFS(FR_FUEL,K486,FR_YEAR,AP486-1)&gt;0,1,0)</f>
        <v/>
      </c>
      <c r="BN486" s="4">
        <f>IF(N(AQ486)&gt;0,AP486*100+AQ486,IF(AND(BL486=1,BM486=1),(AP486-1)*100+1,AP486*100+1))</f>
        <v/>
      </c>
      <c r="BO486" s="3">
        <f>IF(OR(K486="hibrido",K486="glp",K486="gnc",K486="phev"),"ECO",IF(K486="electrico","CERO",IF(K486="gasolina",IF(BN486&gt;=GAS_C_YM,"C",IF(BN486&gt;=GAS_B_YM,"B","A")),IF(K486="diesel",IF(BN486&gt;=DIE_C_YM,"C",IF(BN486&gt;=DIE_B_YM,"B","A")),""))))</f>
        <v/>
      </c>
      <c r="BP486" s="4">
        <f>BO486</f>
        <v/>
      </c>
      <c r="BQ486" s="4">
        <f>IF(AS486="regla",IF(AND(N(AQ486)=0,BL486=1),"sí","no"),"no")</f>
        <v/>
      </c>
      <c r="BR486" s="3">
        <f>IFERROR(VLOOKUP(F486,MOD_TBL,11,0),IFERROR(VLOOKUP(E486,OCU_TBL,2,0),NEUTRO))</f>
        <v/>
      </c>
      <c r="BS486" s="3">
        <f>SUMIFS(MOT_AJUSTE,MOT_MOTOR,G486,MOT_MARCA,E486,MOT_DESDE,"&lt;="&amp;M486,MOT_HASTA,"&gt;="&amp;M486)+SUMIFS(MOT_AJUSTE,MOT_MOTOR,G486,MOT_MARCA,"(todas)",MOT_DESDE,"&lt;="&amp;M486,MOT_HASTA,"&gt;="&amp;M486)</f>
        <v/>
      </c>
      <c r="BT486" s="3">
        <f>SUMIFS(COMB_AJUSTE,COMB_COMB,K486)</f>
        <v/>
      </c>
      <c r="BU486" s="3">
        <f>COUNTIFS(MOT_MOTOR,G486,MOT_MARCA,E486,MOT_DESDE,"&lt;="&amp;M486,MOT_HASTA,"&gt;="&amp;M486)+COUNTIFS(MOT_MOTOR,G486,MOT_MARCA,"(todas)",MOT_DESDE,"&lt;="&amp;M486,MOT_HASTA,"&gt;="&amp;M486)</f>
        <v/>
      </c>
      <c r="BV486" s="3">
        <f>IF(AND(K486="diesel",BU486=0),MIN(BR486,NEUTRO),BR486)</f>
        <v/>
      </c>
      <c r="BW486" s="4">
        <f>MAX(0,MIN(100,BV486+BS486+BT486))</f>
        <v/>
      </c>
      <c r="BX486" s="3">
        <f>MAX(0,MIN(100,50+BK486*PRECIO_PEND))</f>
        <v/>
      </c>
      <c r="BY486" s="3">
        <f>MAX(0,100*(1-N486/KM_MAX))</f>
        <v/>
      </c>
      <c r="BZ486" s="3">
        <f>IF(BB486&lt;KMA_SOSP,IF(AA486="sí",100,KMA_PEN),IF(BB486&lt;=KMA_IDEAL_MAX,100,MAX(0,100*(KMA_CERO-BB486)/(KMA_CERO-KMA_IDEAL_MAX))))</f>
        <v/>
      </c>
      <c r="CA486" s="3">
        <f>MAX(0,MIN(100,100*(M486-ANIO_MIN)/(ANIO_ACTUAL-ANIO_MIN)))</f>
        <v/>
      </c>
      <c r="CB486" s="3">
        <f>W_KMT*BY486+W_KMA*BZ486+W_EDAD*CA486</f>
        <v/>
      </c>
      <c r="CC486" s="3">
        <f>P_ITV*(V486="sí")+P_LIBRO*(W486="sí")+P_CORREA*(X486="sí")+P_PROP*(Y486=1)+P_GAR*(Z486="sí")+P_FOTOS*MIN(1,N(U486)/FOTOS_OBJ)</f>
        <v/>
      </c>
      <c r="CD486" s="3">
        <f>MAX(0,MIN(100,IFERROR(VLOOKUP(BP486,ETQ_TBL,2,0),0)-IF(BQ486="sí",ETQ_PEN_DUD,IF(AS486="regla",ETQ_PEN_REGLA,0))))</f>
        <v/>
      </c>
      <c r="CE486" s="3">
        <f>NEUTRO</f>
        <v/>
      </c>
      <c r="CF486" s="3">
        <f>IFERROR(VLOOKUP(L486,SEGURO_TBL,3,0),"")</f>
        <v/>
      </c>
      <c r="CG486" s="3">
        <f>IF(CF486="",NEUTRO,MAX(0,MIN(100,100*(SEG_REF_MAX-CF486)/(SEG_REF_MAX-SEG_REF_MIN))))</f>
        <v/>
      </c>
      <c r="CH486" s="3">
        <f>W_CONS*CE486+W_SEG*CG486</f>
        <v/>
      </c>
      <c r="CI486" s="3">
        <f>IF(N(AB486)&gt;0,AB486,IF(AND(R486="profesional",SG_LEGAL_ON=1),GAR_LEGAL,0))</f>
        <v/>
      </c>
      <c r="CJ486" s="3">
        <f>SG_GAR*MIN(1,CI486/SG_GAR_FULL)+SG_AMPL*(AC486="sí")+SG_KMC*(AF486="sí")+SG_REV*(N(AE486)&gt;0)+SG_DEV*MIN(1,N(AG486)/SG_DEV_FULL)+SG_HIST*(W486="sí")</f>
        <v/>
      </c>
      <c r="CK486" s="3">
        <f>IFERROR(VLOOKUP(L486,CARR_PEN_TBL,2,0),0)</f>
        <v/>
      </c>
      <c r="CL486" s="3">
        <f>W_FIAB*BW486+W_PRECIO*BX486+W_KMEDAD*CB486+W_ANUNCIO*CC486+W_USO*CH486+W_SEGURIDAD*CJ486+W_ETIQUETA*CD486-CK486</f>
        <v/>
      </c>
      <c r="CM486" s="4">
        <f>IF(N(I486)&gt;0,I486,IFERROR(ROUND(_xlfn.NUMBERVALUE(LEFT(G486,FIND(" ",G486&amp;" ")-1),".")*1000,0),99999))</f>
        <v/>
      </c>
      <c r="CN486" s="3">
        <f>IF(R486="profesional",0,IF(O486&lt;CUOTA_VALOR_MAX,IF(BA486&gt;ITP_TRAMO_ALTO,SUMIFS(CF_CUOTA,CF_MAS,ITP_TRAMO_ALTO,CF_CCMIN,"&lt;="&amp;CM486,CF_CCMAX,"&gt;="&amp;CM486),IF(BA486&gt;ITP_TRAMO_BAJO,SUMIFS(CF_CUOTA,CF_MAS,ITP_TRAMO_BAJO,CF_CCMIN,"&lt;="&amp;CM486,CF_CCMAX,"&gt;="&amp;CM486),O486*ITP_TIPO)),O486*ITP_TIPO))</f>
        <v/>
      </c>
      <c r="CO486" s="4">
        <f>IF(R486="profesional",N(AK486),0)</f>
        <v/>
      </c>
      <c r="CP486" s="3">
        <f>IF(AND(R486="profesional",ISNUMBER(AK486),AL486="sí"),0,TASA_DGT)</f>
        <v/>
      </c>
      <c r="CQ486" s="3">
        <f>INFORME_DGT</f>
        <v/>
      </c>
      <c r="CR486" s="4">
        <f>O486+CO486+CN486+CP486+CQ486</f>
        <v/>
      </c>
      <c r="CS486" s="4">
        <f>CR486+N(CF486)</f>
        <v/>
      </c>
      <c r="CT486" s="3">
        <f>IF(CR486&lt;=TOTAL_MAX,"sí",IF(CR486&lt;=TOTAL_MAX+MARGEN_NEG,"negociar","no"))</f>
        <v/>
      </c>
      <c r="CU486" s="4">
        <f>IF(CT486&lt;&gt;"no",COUNTIFS($CT$2:$CT$545,"&lt;&gt;no",$CL$2:$CL$545,"&gt;"&amp;CL486)+COUNTIFS($CT$2:CT486,"&lt;&gt;no",$CL$2:CL486,CL486),"")</f>
        <v/>
      </c>
    </row>
    <row r="487">
      <c r="A487" s="2" t="inlineStr">
        <is>
          <t>cochesnet:71743852</t>
        </is>
      </c>
      <c r="B487" s="2" t="inlineStr">
        <is>
          <t>cochesnet</t>
        </is>
      </c>
      <c r="C487" s="2" t="inlineStr">
        <is>
          <t>https://www.coches.net/opel-corsa-14-expression-75-cv-3p-gasolina-2015-en-castellon-71743852-covo.aspx</t>
        </is>
      </c>
      <c r="D487" s="2" t="inlineStr">
        <is>
          <t>OPEL Corsa 1.4 Expression 75 CV</t>
        </is>
      </c>
      <c r="E487" s="2" t="inlineStr">
        <is>
          <t>Opel</t>
        </is>
      </c>
      <c r="F487" s="2" t="inlineStr">
        <is>
          <t>Opel Corsa</t>
        </is>
      </c>
      <c r="G487" s="2" t="inlineStr">
        <is>
          <t>1.4</t>
        </is>
      </c>
      <c r="H487" s="2" t="inlineStr">
        <is>
          <t>1.4 Expression 75 CV</t>
        </is>
      </c>
      <c r="I487" s="2" t="n"/>
      <c r="J487" s="2" t="n">
        <v>75</v>
      </c>
      <c r="K487" s="2" t="inlineStr">
        <is>
          <t>gasolina</t>
        </is>
      </c>
      <c r="L487" s="2" t="inlineStr">
        <is>
          <t>utilitario</t>
        </is>
      </c>
      <c r="M487" s="2" t="n">
        <v>2015</v>
      </c>
      <c r="N487" s="2" t="n">
        <v>170000</v>
      </c>
      <c r="O487" s="2" t="n">
        <v>4190</v>
      </c>
      <c r="P487" s="2" t="inlineStr">
        <is>
          <t>manual</t>
        </is>
      </c>
      <c r="Q487" s="2" t="inlineStr">
        <is>
          <t>no</t>
        </is>
      </c>
      <c r="R487" s="2" t="inlineStr">
        <is>
          <t>profesional</t>
        </is>
      </c>
      <c r="S487" s="2" t="inlineStr">
        <is>
          <t>Castellón de la Plana / Castelló de la Plana</t>
        </is>
      </c>
      <c r="T487" s="2" t="inlineStr">
        <is>
          <t>2026-10-14T15:13:16Z</t>
        </is>
      </c>
      <c r="U487" s="2" t="n">
        <v>12</v>
      </c>
      <c r="V487" s="2" t="inlineStr">
        <is>
          <t>sí</t>
        </is>
      </c>
      <c r="W487" s="2" t="n"/>
      <c r="X487" s="2" t="n"/>
      <c r="Y487" s="2" t="n"/>
      <c r="Z487" s="2" t="inlineStr">
        <is>
          <t>sí</t>
        </is>
      </c>
      <c r="AA487" s="2" t="n"/>
      <c r="AB487" s="2" t="n">
        <v>12</v>
      </c>
      <c r="AC487" s="2" t="n"/>
      <c r="AD487" s="2" t="n"/>
      <c r="AE487" s="2" t="n"/>
      <c r="AF487" s="2" t="n"/>
      <c r="AG487" s="2" t="n"/>
      <c r="AH487" s="2" t="n">
        <v>4190</v>
      </c>
      <c r="AI487" s="2" t="n"/>
      <c r="AJ487" s="2" t="n"/>
      <c r="AK487" s="2" t="n"/>
      <c r="AL487" s="2" t="n"/>
      <c r="AM487" s="2" t="n"/>
      <c r="AN487" s="2" t="n"/>
      <c r="AO487" s="2" t="inlineStr">
        <is>
          <t>2015</t>
        </is>
      </c>
      <c r="AP487" s="2" t="n">
        <v>2015</v>
      </c>
      <c r="AQ487" s="2" t="n"/>
      <c r="AR487" s="2" t="n"/>
      <c r="AS487" s="2" t="inlineStr">
        <is>
          <t>regla</t>
        </is>
      </c>
      <c r="AT487" s="2" t="n">
        <v>4550</v>
      </c>
      <c r="AU487" s="2" t="n">
        <v>8</v>
      </c>
      <c r="AV487" s="2" t="inlineStr">
        <is>
          <t>modelo+año+km</t>
        </is>
      </c>
      <c r="AW487" s="2" t="n"/>
      <c r="AX487"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487" s="2" t="inlineStr">
        <is>
          <t>Se vende opel Corsa  con motor 1.3Diesel ,95CV  Radio -CD , siempre en garaje,  elevalunas eléctricos, ruedas nuevas , espejos con regulación ,Abs,airbag, económico y ideal para el día a día,  se entrega totalmente revisado con   Itv al dia , aceite y filtros  recién cambiados ,  mejor verlo sin compromiso.  Sólo se atienden llamadas.</t>
        </is>
      </c>
      <c r="AZ487" s="2" t="inlineStr">
        <is>
          <t>https://www.coches.net/opel-corsa-14-expression-75-cv-3p-gasolina-2015-en-castellon-71743852-covo.aspx (window.__INITIAL_PROPS__.ad) /home/user/Alopecia/buscador-coches/raw/cochesnet/da006717dcb87bc5.json</t>
        </is>
      </c>
      <c r="BA487" s="3">
        <f>MAX(ANIO_ACTUAL-M487,0)</f>
        <v/>
      </c>
      <c r="BB487" s="4">
        <f>N487/MAX(BA487,0.5)</f>
        <v/>
      </c>
      <c r="BC487" s="4">
        <f>F487</f>
        <v/>
      </c>
      <c r="BD487" s="3">
        <f>BC487&amp;"|"&amp;INT(M487/SEG_ANIO)*SEG_ANIO</f>
        <v/>
      </c>
      <c r="BE487" s="3">
        <f>BD487&amp;"|"&amp;INT(N487/SEG_KM)*SEG_KM</f>
        <v/>
      </c>
      <c r="BF487" s="4">
        <f>COUNTIF($BC$2:$BC$545,BC487)</f>
        <v/>
      </c>
      <c r="BG487" s="4">
        <f>COUNTIF($BD$2:$BD$545,BD487)</f>
        <v/>
      </c>
      <c r="BH487" s="4">
        <f>COUNTIF($BE$2:$BE$545,BE487)</f>
        <v/>
      </c>
      <c r="BI487" s="3">
        <f t="array" ref="BI487">IF(N(AU487)&gt;=MIN_N,AT487,IF(BH487&gt;=MIN_N,MEDIAN(IF($BE$2:$BE$545=BE487,$O$2:$O$545)),IF(BG487&gt;=MIN_N,MEDIAN(IF($BD$2:$BD$545=BD487,$O$2:$O$545)),MEDIAN(IF($BC$2:$BC$545=BC487,$O$2:$O$545)))))</f>
        <v/>
      </c>
      <c r="BJ487" s="3">
        <f>IF(N(AU487)&gt;=MIN_N,"mercado "&amp;AV487,IF(BH487&gt;=MIN_N,"modelo+año+km",IF(BG487&gt;=MIN_N,"modelo+año","modelo")))</f>
        <v/>
      </c>
      <c r="BK487" s="4">
        <f>(BI487-O487)/BI487</f>
        <v/>
      </c>
      <c r="BL487" s="3">
        <f>IF(COUNTIFS(FR_FUEL,K487,FR_YEAR,AP487)&gt;0,1,0)</f>
        <v/>
      </c>
      <c r="BM487" s="3">
        <f>IF(COUNTIFS(FR_FUEL,K487,FR_YEAR,AP487-1)&gt;0,1,0)</f>
        <v/>
      </c>
      <c r="BN487" s="4">
        <f>IF(N(AQ487)&gt;0,AP487*100+AQ487,IF(AND(BL487=1,BM487=1),(AP487-1)*100+1,AP487*100+1))</f>
        <v/>
      </c>
      <c r="BO487" s="3">
        <f>IF(OR(K487="hibrido",K487="glp",K487="gnc",K487="phev"),"ECO",IF(K487="electrico","CERO",IF(K487="gasolina",IF(BN487&gt;=GAS_C_YM,"C",IF(BN487&gt;=GAS_B_YM,"B","A")),IF(K487="diesel",IF(BN487&gt;=DIE_C_YM,"C",IF(BN487&gt;=DIE_B_YM,"B","A")),""))))</f>
        <v/>
      </c>
      <c r="BP487" s="4">
        <f>BO487</f>
        <v/>
      </c>
      <c r="BQ487" s="4">
        <f>IF(AS487="regla",IF(AND(N(AQ487)=0,BL487=1),"sí","no"),"no")</f>
        <v/>
      </c>
      <c r="BR487" s="3">
        <f>IFERROR(VLOOKUP(F487,MOD_TBL,11,0),IFERROR(VLOOKUP(E487,OCU_TBL,2,0),NEUTRO))</f>
        <v/>
      </c>
      <c r="BS487" s="3">
        <f>SUMIFS(MOT_AJUSTE,MOT_MOTOR,G487,MOT_MARCA,E487,MOT_DESDE,"&lt;="&amp;M487,MOT_HASTA,"&gt;="&amp;M487)+SUMIFS(MOT_AJUSTE,MOT_MOTOR,G487,MOT_MARCA,"(todas)",MOT_DESDE,"&lt;="&amp;M487,MOT_HASTA,"&gt;="&amp;M487)</f>
        <v/>
      </c>
      <c r="BT487" s="3">
        <f>SUMIFS(COMB_AJUSTE,COMB_COMB,K487)</f>
        <v/>
      </c>
      <c r="BU487" s="3">
        <f>COUNTIFS(MOT_MOTOR,G487,MOT_MARCA,E487,MOT_DESDE,"&lt;="&amp;M487,MOT_HASTA,"&gt;="&amp;M487)+COUNTIFS(MOT_MOTOR,G487,MOT_MARCA,"(todas)",MOT_DESDE,"&lt;="&amp;M487,MOT_HASTA,"&gt;="&amp;M487)</f>
        <v/>
      </c>
      <c r="BV487" s="3">
        <f>IF(AND(K487="diesel",BU487=0),MIN(BR487,NEUTRO),BR487)</f>
        <v/>
      </c>
      <c r="BW487" s="4">
        <f>MAX(0,MIN(100,BV487+BS487+BT487))</f>
        <v/>
      </c>
      <c r="BX487" s="3">
        <f>MAX(0,MIN(100,50+BK487*PRECIO_PEND))</f>
        <v/>
      </c>
      <c r="BY487" s="3">
        <f>MAX(0,100*(1-N487/KM_MAX))</f>
        <v/>
      </c>
      <c r="BZ487" s="3">
        <f>IF(BB487&lt;KMA_SOSP,IF(AA487="sí",100,KMA_PEN),IF(BB487&lt;=KMA_IDEAL_MAX,100,MAX(0,100*(KMA_CERO-BB487)/(KMA_CERO-KMA_IDEAL_MAX))))</f>
        <v/>
      </c>
      <c r="CA487" s="3">
        <f>MAX(0,MIN(100,100*(M487-ANIO_MIN)/(ANIO_ACTUAL-ANIO_MIN)))</f>
        <v/>
      </c>
      <c r="CB487" s="3">
        <f>W_KMT*BY487+W_KMA*BZ487+W_EDAD*CA487</f>
        <v/>
      </c>
      <c r="CC487" s="3">
        <f>P_ITV*(V487="sí")+P_LIBRO*(W487="sí")+P_CORREA*(X487="sí")+P_PROP*(Y487=1)+P_GAR*(Z487="sí")+P_FOTOS*MIN(1,N(U487)/FOTOS_OBJ)</f>
        <v/>
      </c>
      <c r="CD487" s="3">
        <f>MAX(0,MIN(100,IFERROR(VLOOKUP(BP487,ETQ_TBL,2,0),0)-IF(BQ487="sí",ETQ_PEN_DUD,IF(AS487="regla",ETQ_PEN_REGLA,0))))</f>
        <v/>
      </c>
      <c r="CE487" s="3">
        <f>NEUTRO</f>
        <v/>
      </c>
      <c r="CF487" s="3">
        <f>IFERROR(VLOOKUP(L487,SEGURO_TBL,3,0),"")</f>
        <v/>
      </c>
      <c r="CG487" s="3">
        <f>IF(CF487="",NEUTRO,MAX(0,MIN(100,100*(SEG_REF_MAX-CF487)/(SEG_REF_MAX-SEG_REF_MIN))))</f>
        <v/>
      </c>
      <c r="CH487" s="3">
        <f>W_CONS*CE487+W_SEG*CG487</f>
        <v/>
      </c>
      <c r="CI487" s="3">
        <f>IF(N(AB487)&gt;0,AB487,IF(AND(R487="profesional",SG_LEGAL_ON=1),GAR_LEGAL,0))</f>
        <v/>
      </c>
      <c r="CJ487" s="3">
        <f>SG_GAR*MIN(1,CI487/SG_GAR_FULL)+SG_AMPL*(AC487="sí")+SG_KMC*(AF487="sí")+SG_REV*(N(AE487)&gt;0)+SG_DEV*MIN(1,N(AG487)/SG_DEV_FULL)+SG_HIST*(W487="sí")</f>
        <v/>
      </c>
      <c r="CK487" s="3">
        <f>IFERROR(VLOOKUP(L487,CARR_PEN_TBL,2,0),0)</f>
        <v/>
      </c>
      <c r="CL487" s="3">
        <f>W_FIAB*BW487+W_PRECIO*BX487+W_KMEDAD*CB487+W_ANUNCIO*CC487+W_USO*CH487+W_SEGURIDAD*CJ487+W_ETIQUETA*CD487-CK487</f>
        <v/>
      </c>
      <c r="CM487" s="4">
        <f>IF(N(I487)&gt;0,I487,IFERROR(ROUND(_xlfn.NUMBERVALUE(LEFT(G487,FIND(" ",G487&amp;" ")-1),".")*1000,0),99999))</f>
        <v/>
      </c>
      <c r="CN487" s="3">
        <f>IF(R487="profesional",0,IF(O487&lt;CUOTA_VALOR_MAX,IF(BA487&gt;ITP_TRAMO_ALTO,SUMIFS(CF_CUOTA,CF_MAS,ITP_TRAMO_ALTO,CF_CCMIN,"&lt;="&amp;CM487,CF_CCMAX,"&gt;="&amp;CM487),IF(BA487&gt;ITP_TRAMO_BAJO,SUMIFS(CF_CUOTA,CF_MAS,ITP_TRAMO_BAJO,CF_CCMIN,"&lt;="&amp;CM487,CF_CCMAX,"&gt;="&amp;CM487),O487*ITP_TIPO)),O487*ITP_TIPO))</f>
        <v/>
      </c>
      <c r="CO487" s="4">
        <f>IF(R487="profesional",N(AK487),0)</f>
        <v/>
      </c>
      <c r="CP487" s="3">
        <f>IF(AND(R487="profesional",ISNUMBER(AK487),AL487="sí"),0,TASA_DGT)</f>
        <v/>
      </c>
      <c r="CQ487" s="3">
        <f>INFORME_DGT</f>
        <v/>
      </c>
      <c r="CR487" s="4">
        <f>O487+CO487+CN487+CP487+CQ487</f>
        <v/>
      </c>
      <c r="CS487" s="4">
        <f>CR487+N(CF487)</f>
        <v/>
      </c>
      <c r="CT487" s="3">
        <f>IF(CR487&lt;=TOTAL_MAX,"sí",IF(CR487&lt;=TOTAL_MAX+MARGEN_NEG,"negociar","no"))</f>
        <v/>
      </c>
      <c r="CU487" s="4">
        <f>IF(CT487&lt;&gt;"no",COUNTIFS($CT$2:$CT$545,"&lt;&gt;no",$CL$2:$CL$545,"&gt;"&amp;CL487)+COUNTIFS($CT$2:CT487,"&lt;&gt;no",$CL$2:CL487,CL487),"")</f>
        <v/>
      </c>
    </row>
    <row r="488">
      <c r="A488" s="2" t="inlineStr">
        <is>
          <t>cochesnet:71641526</t>
        </is>
      </c>
      <c r="B488" s="2" t="inlineStr">
        <is>
          <t>cochesnet</t>
        </is>
      </c>
      <c r="C488" s="2" t="inlineStr">
        <is>
          <t>https://www.coches.net/opel-corsa-diesel-2015-en-castellon-71641526-covo.aspx</t>
        </is>
      </c>
      <c r="D488" s="2" t="inlineStr">
        <is>
          <t>OPEL Corsa 1.3 CDTi Selective Start Stop</t>
        </is>
      </c>
      <c r="E488" s="2" t="inlineStr">
        <is>
          <t>Opel</t>
        </is>
      </c>
      <c r="F488" s="2" t="inlineStr">
        <is>
          <t>Opel Corsa</t>
        </is>
      </c>
      <c r="G488" s="2" t="inlineStr">
        <is>
          <t>1.3 CDTi</t>
        </is>
      </c>
      <c r="H488" s="2" t="inlineStr">
        <is>
          <t>1.3 CDTi Selective Start  Stop</t>
        </is>
      </c>
      <c r="I488" s="2" t="n"/>
      <c r="J488" s="2" t="n"/>
      <c r="K488" s="2" t="inlineStr">
        <is>
          <t>diesel</t>
        </is>
      </c>
      <c r="L488" s="2" t="inlineStr">
        <is>
          <t>utilitario</t>
        </is>
      </c>
      <c r="M488" s="2" t="n">
        <v>2015</v>
      </c>
      <c r="N488" s="2" t="n">
        <v>126250</v>
      </c>
      <c r="O488" s="2" t="n">
        <v>4000</v>
      </c>
      <c r="P488" s="2" t="inlineStr">
        <is>
          <t>manual</t>
        </is>
      </c>
      <c r="Q488" s="2" t="inlineStr">
        <is>
          <t>no</t>
        </is>
      </c>
      <c r="R488" s="2" t="inlineStr">
        <is>
          <t>particular</t>
        </is>
      </c>
      <c r="S488" s="2" t="inlineStr">
        <is>
          <t>Castellón de la Plana / Castelló de la Plana</t>
        </is>
      </c>
      <c r="T488" s="2" t="inlineStr">
        <is>
          <t>2026-09-30T17:39:07Z</t>
        </is>
      </c>
      <c r="U488" s="2" t="n">
        <v>9</v>
      </c>
      <c r="V488" s="2" t="inlineStr">
        <is>
          <t>sí</t>
        </is>
      </c>
      <c r="W488" s="2" t="n"/>
      <c r="X488" s="2" t="n"/>
      <c r="Y488" s="2" t="n"/>
      <c r="Z488" s="2" t="inlineStr">
        <is>
          <t>no</t>
        </is>
      </c>
      <c r="AA488" s="2" t="n"/>
      <c r="AB488" s="2" t="n"/>
      <c r="AC488" s="2" t="n"/>
      <c r="AD488" s="2" t="n"/>
      <c r="AE488" s="2" t="n"/>
      <c r="AF488" s="2" t="n"/>
      <c r="AG488" s="2" t="n"/>
      <c r="AH488" s="2" t="n">
        <v>4000</v>
      </c>
      <c r="AI488" s="2" t="n"/>
      <c r="AJ488" s="2" t="n"/>
      <c r="AK488" s="2" t="n"/>
      <c r="AL488" s="2" t="n"/>
      <c r="AM488" s="2" t="n"/>
      <c r="AN488" s="2" t="n"/>
      <c r="AO488" s="2" t="inlineStr">
        <is>
          <t>2015</t>
        </is>
      </c>
      <c r="AP488" s="2" t="n">
        <v>2015</v>
      </c>
      <c r="AQ488" s="2" t="n"/>
      <c r="AR488" s="2" t="n"/>
      <c r="AS488" s="2" t="inlineStr">
        <is>
          <t>regla</t>
        </is>
      </c>
      <c r="AT488" s="2" t="n">
        <v>5490</v>
      </c>
      <c r="AU488" s="2" t="n">
        <v>7</v>
      </c>
      <c r="AV488" s="2" t="inlineStr">
        <is>
          <t>modelo+año+km</t>
        </is>
      </c>
      <c r="AW488" s="2" t="n"/>
      <c r="AX488" s="2" t="inlineStr">
        <is>
          <t>etiqueta B dudosa: confirmar etiqueta con la DGT antes de comprar; cuota fija ITP: &gt;5 y &lt;=12 años, hasta 1.500 cc; diésel: motor sin fuente de fiabilidad (fiabilidad limitada a neutra); distancia no verificable (el anuncio solo indica la provincia): confirmar que está a &lt;= 70 km</t>
        </is>
      </c>
      <c r="AY488" s="2" t="inlineStr">
        <is>
          <t xml:space="preserve">Oferta..4000 euros.muy bien tanto motor como chapa..ITV pasada en febrero,sin fallós.. motor muy buen estado, sin consum de aceite,o fugas. .siempre al taller de confianza, cambiando recién neumáticos, batería estart stop, discos de frenos, escobillas,muy buen estado.. precio no negociable.. porfa no  regateantes no cambios
</t>
        </is>
      </c>
      <c r="AZ488" s="2" t="inlineStr">
        <is>
          <t>https://www.coches.net/opel-corsa-diesel-2015-en-castellon-71641526-covo.aspx (window.__INITIAL_PROPS__.ad) /home/user/Alopecia/buscador-coches/raw/cochesnet/b38fd4a8f402b035.json</t>
        </is>
      </c>
      <c r="BA488" s="3">
        <f>MAX(ANIO_ACTUAL-M488,0)</f>
        <v/>
      </c>
      <c r="BB488" s="4">
        <f>N488/MAX(BA488,0.5)</f>
        <v/>
      </c>
      <c r="BC488" s="4">
        <f>F488</f>
        <v/>
      </c>
      <c r="BD488" s="3">
        <f>BC488&amp;"|"&amp;INT(M488/SEG_ANIO)*SEG_ANIO</f>
        <v/>
      </c>
      <c r="BE488" s="3">
        <f>BD488&amp;"|"&amp;INT(N488/SEG_KM)*SEG_KM</f>
        <v/>
      </c>
      <c r="BF488" s="4">
        <f>COUNTIF($BC$2:$BC$545,BC488)</f>
        <v/>
      </c>
      <c r="BG488" s="4">
        <f>COUNTIF($BD$2:$BD$545,BD488)</f>
        <v/>
      </c>
      <c r="BH488" s="4">
        <f>COUNTIF($BE$2:$BE$545,BE488)</f>
        <v/>
      </c>
      <c r="BI488" s="3">
        <f t="array" ref="BI488">IF(N(AU488)&gt;=MIN_N,AT488,IF(BH488&gt;=MIN_N,MEDIAN(IF($BE$2:$BE$545=BE488,$O$2:$O$545)),IF(BG488&gt;=MIN_N,MEDIAN(IF($BD$2:$BD$545=BD488,$O$2:$O$545)),MEDIAN(IF($BC$2:$BC$545=BC488,$O$2:$O$545)))))</f>
        <v/>
      </c>
      <c r="BJ488" s="3">
        <f>IF(N(AU488)&gt;=MIN_N,"mercado "&amp;AV488,IF(BH488&gt;=MIN_N,"modelo+año+km",IF(BG488&gt;=MIN_N,"modelo+año","modelo")))</f>
        <v/>
      </c>
      <c r="BK488" s="4">
        <f>(BI488-O488)/BI488</f>
        <v/>
      </c>
      <c r="BL488" s="3">
        <f>IF(COUNTIFS(FR_FUEL,K488,FR_YEAR,AP488)&gt;0,1,0)</f>
        <v/>
      </c>
      <c r="BM488" s="3">
        <f>IF(COUNTIFS(FR_FUEL,K488,FR_YEAR,AP488-1)&gt;0,1,0)</f>
        <v/>
      </c>
      <c r="BN488" s="4">
        <f>IF(N(AQ488)&gt;0,AP488*100+AQ488,IF(AND(BL488=1,BM488=1),(AP488-1)*100+1,AP488*100+1))</f>
        <v/>
      </c>
      <c r="BO488" s="3">
        <f>IF(OR(K488="hibrido",K488="glp",K488="gnc",K488="phev"),"ECO",IF(K488="electrico","CERO",IF(K488="gasolina",IF(BN488&gt;=GAS_C_YM,"C",IF(BN488&gt;=GAS_B_YM,"B","A")),IF(K488="diesel",IF(BN488&gt;=DIE_C_YM,"C",IF(BN488&gt;=DIE_B_YM,"B","A")),""))))</f>
        <v/>
      </c>
      <c r="BP488" s="4">
        <f>BO488</f>
        <v/>
      </c>
      <c r="BQ488" s="4">
        <f>IF(AS488="regla",IF(AND(N(AQ488)=0,BL488=1),"sí","no"),"no")</f>
        <v/>
      </c>
      <c r="BR488" s="3">
        <f>IFERROR(VLOOKUP(F488,MOD_TBL,11,0),IFERROR(VLOOKUP(E488,OCU_TBL,2,0),NEUTRO))</f>
        <v/>
      </c>
      <c r="BS488" s="3">
        <f>SUMIFS(MOT_AJUSTE,MOT_MOTOR,G488,MOT_MARCA,E488,MOT_DESDE,"&lt;="&amp;M488,MOT_HASTA,"&gt;="&amp;M488)+SUMIFS(MOT_AJUSTE,MOT_MOTOR,G488,MOT_MARCA,"(todas)",MOT_DESDE,"&lt;="&amp;M488,MOT_HASTA,"&gt;="&amp;M488)</f>
        <v/>
      </c>
      <c r="BT488" s="3">
        <f>SUMIFS(COMB_AJUSTE,COMB_COMB,K488)</f>
        <v/>
      </c>
      <c r="BU488" s="3">
        <f>COUNTIFS(MOT_MOTOR,G488,MOT_MARCA,E488,MOT_DESDE,"&lt;="&amp;M488,MOT_HASTA,"&gt;="&amp;M488)+COUNTIFS(MOT_MOTOR,G488,MOT_MARCA,"(todas)",MOT_DESDE,"&lt;="&amp;M488,MOT_HASTA,"&gt;="&amp;M488)</f>
        <v/>
      </c>
      <c r="BV488" s="3">
        <f>IF(AND(K488="diesel",BU488=0),MIN(BR488,NEUTRO),BR488)</f>
        <v/>
      </c>
      <c r="BW488" s="4">
        <f>MAX(0,MIN(100,BV488+BS488+BT488))</f>
        <v/>
      </c>
      <c r="BX488" s="3">
        <f>MAX(0,MIN(100,50+BK488*PRECIO_PEND))</f>
        <v/>
      </c>
      <c r="BY488" s="3">
        <f>MAX(0,100*(1-N488/KM_MAX))</f>
        <v/>
      </c>
      <c r="BZ488" s="3">
        <f>IF(BB488&lt;KMA_SOSP,IF(AA488="sí",100,KMA_PEN),IF(BB488&lt;=KMA_IDEAL_MAX,100,MAX(0,100*(KMA_CERO-BB488)/(KMA_CERO-KMA_IDEAL_MAX))))</f>
        <v/>
      </c>
      <c r="CA488" s="3">
        <f>MAX(0,MIN(100,100*(M488-ANIO_MIN)/(ANIO_ACTUAL-ANIO_MIN)))</f>
        <v/>
      </c>
      <c r="CB488" s="3">
        <f>W_KMT*BY488+W_KMA*BZ488+W_EDAD*CA488</f>
        <v/>
      </c>
      <c r="CC488" s="3">
        <f>P_ITV*(V488="sí")+P_LIBRO*(W488="sí")+P_CORREA*(X488="sí")+P_PROP*(Y488=1)+P_GAR*(Z488="sí")+P_FOTOS*MIN(1,N(U488)/FOTOS_OBJ)</f>
        <v/>
      </c>
      <c r="CD488" s="3">
        <f>MAX(0,MIN(100,IFERROR(VLOOKUP(BP488,ETQ_TBL,2,0),0)-IF(BQ488="sí",ETQ_PEN_DUD,IF(AS488="regla",ETQ_PEN_REGLA,0))))</f>
        <v/>
      </c>
      <c r="CE488" s="3">
        <f>NEUTRO</f>
        <v/>
      </c>
      <c r="CF488" s="3">
        <f>IFERROR(VLOOKUP(L488,SEGURO_TBL,3,0),"")</f>
        <v/>
      </c>
      <c r="CG488" s="3">
        <f>IF(CF488="",NEUTRO,MAX(0,MIN(100,100*(SEG_REF_MAX-CF488)/(SEG_REF_MAX-SEG_REF_MIN))))</f>
        <v/>
      </c>
      <c r="CH488" s="3">
        <f>W_CONS*CE488+W_SEG*CG488</f>
        <v/>
      </c>
      <c r="CI488" s="3">
        <f>IF(N(AB488)&gt;0,AB488,IF(AND(R488="profesional",SG_LEGAL_ON=1),GAR_LEGAL,0))</f>
        <v/>
      </c>
      <c r="CJ488" s="3">
        <f>SG_GAR*MIN(1,CI488/SG_GAR_FULL)+SG_AMPL*(AC488="sí")+SG_KMC*(AF488="sí")+SG_REV*(N(AE488)&gt;0)+SG_DEV*MIN(1,N(AG488)/SG_DEV_FULL)+SG_HIST*(W488="sí")</f>
        <v/>
      </c>
      <c r="CK488" s="3">
        <f>IFERROR(VLOOKUP(L488,CARR_PEN_TBL,2,0),0)</f>
        <v/>
      </c>
      <c r="CL488" s="3">
        <f>W_FIAB*BW488+W_PRECIO*BX488+W_KMEDAD*CB488+W_ANUNCIO*CC488+W_USO*CH488+W_SEGURIDAD*CJ488+W_ETIQUETA*CD488-CK488</f>
        <v/>
      </c>
      <c r="CM488" s="4">
        <f>IF(N(I488)&gt;0,I488,IFERROR(ROUND(_xlfn.NUMBERVALUE(LEFT(G488,FIND(" ",G488&amp;" ")-1),".")*1000,0),99999))</f>
        <v/>
      </c>
      <c r="CN488" s="3">
        <f>IF(R488="profesional",0,IF(O488&lt;CUOTA_VALOR_MAX,IF(BA488&gt;ITP_TRAMO_ALTO,SUMIFS(CF_CUOTA,CF_MAS,ITP_TRAMO_ALTO,CF_CCMIN,"&lt;="&amp;CM488,CF_CCMAX,"&gt;="&amp;CM488),IF(BA488&gt;ITP_TRAMO_BAJO,SUMIFS(CF_CUOTA,CF_MAS,ITP_TRAMO_BAJO,CF_CCMIN,"&lt;="&amp;CM488,CF_CCMAX,"&gt;="&amp;CM488),O488*ITP_TIPO)),O488*ITP_TIPO))</f>
        <v/>
      </c>
      <c r="CO488" s="4">
        <f>IF(R488="profesional",N(AK488),0)</f>
        <v/>
      </c>
      <c r="CP488" s="3">
        <f>IF(AND(R488="profesional",ISNUMBER(AK488),AL488="sí"),0,TASA_DGT)</f>
        <v/>
      </c>
      <c r="CQ488" s="3">
        <f>INFORME_DGT</f>
        <v/>
      </c>
      <c r="CR488" s="4">
        <f>O488+CO488+CN488+CP488+CQ488</f>
        <v/>
      </c>
      <c r="CS488" s="4">
        <f>CR488+N(CF488)</f>
        <v/>
      </c>
      <c r="CT488" s="3">
        <f>IF(CR488&lt;=TOTAL_MAX,"sí",IF(CR488&lt;=TOTAL_MAX+MARGEN_NEG,"negociar","no"))</f>
        <v/>
      </c>
      <c r="CU488" s="4">
        <f>IF(CT488&lt;&gt;"no",COUNTIFS($CT$2:$CT$545,"&lt;&gt;no",$CL$2:$CL$545,"&gt;"&amp;CL488)+COUNTIFS($CT$2:CT488,"&lt;&gt;no",$CL$2:CL488,CL488),"")</f>
        <v/>
      </c>
    </row>
    <row r="489">
      <c r="A489" s="2" t="inlineStr">
        <is>
          <t>cochesnet:71626737</t>
        </is>
      </c>
      <c r="B489" s="2" t="inlineStr">
        <is>
          <t>cochesnet</t>
        </is>
      </c>
      <c r="C489" s="2" t="inlineStr">
        <is>
          <t>https://www.coches.net/opel-astra-gtc-17-cdti-sport-3p-diesel-2007-en-castellon-71626737-covo.aspx</t>
        </is>
      </c>
      <c r="D489" s="2" t="inlineStr">
        <is>
          <t>OPEL Astra GTC 1.7 CDTi Sport</t>
        </is>
      </c>
      <c r="E489" s="2" t="inlineStr">
        <is>
          <t>Opel</t>
        </is>
      </c>
      <c r="F489" s="2" t="inlineStr">
        <is>
          <t>Opel Astra</t>
        </is>
      </c>
      <c r="G489" s="2" t="inlineStr">
        <is>
          <t>1.7 CDTi</t>
        </is>
      </c>
      <c r="H489" s="2" t="inlineStr">
        <is>
          <t>GTC 1.7 CDTi Sport</t>
        </is>
      </c>
      <c r="I489" s="2" t="n"/>
      <c r="J489" s="2" t="n"/>
      <c r="K489" s="2" t="inlineStr">
        <is>
          <t>diesel</t>
        </is>
      </c>
      <c r="L489" s="2" t="inlineStr">
        <is>
          <t>compacto</t>
        </is>
      </c>
      <c r="M489" s="2" t="n">
        <v>2007</v>
      </c>
      <c r="N489" s="2" t="n">
        <v>194581</v>
      </c>
      <c r="O489" s="2" t="n">
        <v>3200</v>
      </c>
      <c r="P489" s="2" t="inlineStr">
        <is>
          <t>manual</t>
        </is>
      </c>
      <c r="Q489" s="2" t="inlineStr">
        <is>
          <t>no</t>
        </is>
      </c>
      <c r="R489" s="2" t="inlineStr">
        <is>
          <t>particular</t>
        </is>
      </c>
      <c r="S489" s="2" t="inlineStr">
        <is>
          <t>Vila-real</t>
        </is>
      </c>
      <c r="T489" s="2" t="inlineStr">
        <is>
          <t>2026-09-29T18:16:05Z</t>
        </is>
      </c>
      <c r="U489" s="2" t="n">
        <v>9</v>
      </c>
      <c r="V489" s="2" t="n"/>
      <c r="W489" s="2" t="n"/>
      <c r="X489" s="2" t="n"/>
      <c r="Y489" s="2" t="n"/>
      <c r="Z489" s="2" t="inlineStr">
        <is>
          <t>no</t>
        </is>
      </c>
      <c r="AA489" s="2" t="n"/>
      <c r="AB489" s="2" t="n"/>
      <c r="AC489" s="2" t="n"/>
      <c r="AD489" s="2" t="n"/>
      <c r="AE489" s="2" t="n"/>
      <c r="AF489" s="2" t="n"/>
      <c r="AG489" s="2" t="n"/>
      <c r="AH489" s="2" t="n">
        <v>3200</v>
      </c>
      <c r="AI489" s="2" t="n"/>
      <c r="AJ489" s="2" t="n"/>
      <c r="AK489" s="2" t="n"/>
      <c r="AL489" s="2" t="n"/>
      <c r="AM489" s="2" t="n"/>
      <c r="AN489" s="2" t="n"/>
      <c r="AO489" s="2" t="inlineStr">
        <is>
          <t>05/2007</t>
        </is>
      </c>
      <c r="AP489" s="2" t="n">
        <v>2007</v>
      </c>
      <c r="AQ489" s="2" t="n">
        <v>5</v>
      </c>
      <c r="AR489" s="2" t="inlineStr">
        <is>
          <t>B</t>
        </is>
      </c>
      <c r="AS489" s="2" t="inlineStr">
        <is>
          <t>anuncio</t>
        </is>
      </c>
      <c r="AT489" s="2" t="n">
        <v>4300</v>
      </c>
      <c r="AU489" s="2" t="n">
        <v>17</v>
      </c>
      <c r="AV489" s="2" t="inlineStr">
        <is>
          <t>modelo+año+km</t>
        </is>
      </c>
      <c r="AW489" s="2" t="n"/>
      <c r="AX489" s="2" t="inlineStr">
        <is>
          <t>cuota fija ITP: &gt;12 años, 1.501-2.000 cc; diésel: motor sin fuente de fiabilidad (fiabilidad limitada a neutra); distancia no verificable (el anuncio solo indica la provincia): confirmar que está a &lt;= 70 km</t>
        </is>
      </c>
      <c r="AY489" s="2" t="inlineStr">
        <is>
          <t>Este no es el tipico anuncio y ahora verás porque... prefiero hacer un anuncio claro y contar las cosas como son, antes que poner el típico “impecable, como nuevo”.
Es un coche con 194.581 km, por lo que evidentemente tiene los años y kilómetros que marca, pero se ha conservado bien y sigue teniendo una estética que, personalmente, creo que ha envejecido muy bien. 
El GTC sigue siendo un coche bonito, con una línea deportiva y, al ser 3 puertas, bastante más atractivo que el Astra convencional.
Uno de sus puntos fuertes es precisamente su fiabilidad. No es casualidad que, pese a los años de esta generación, todavía sea muy habitual encontrarse Astra de este modelo circulando todos los días. Es una buena muestra de lo bien que han envejecido estos coches cuando han recibido su mantenimiento. Este tiene ya unos cuantos kilometros y continúa funcionando y cumpliendo perfectamente su función, algo que también habla de su durabilidad.
No lo vendo intentando hacer pasar un coche usado por uno nuevo. Quien venga a verlo encontrará exactamente el coche que aparece en las fotografías.
La carrocería roja mantiene buen aspecto general, las llantas le quedan muy bien y el interior conserva su configuración original. Lleva además instalado manos libres Bluetooth Parrot, muy práctico para utilizar el móvil en el día a día.
Actualmente tiene 194.581 km reales, que pueden aumentar ligeramente mientras siga utilizándolo.
Lo que más me interesa es que quien venga a verlo tenga confianza</t>
        </is>
      </c>
      <c r="AZ489" s="2" t="inlineStr">
        <is>
          <t>https://www.coches.net/opel-astra-gtc-17-cdti-sport-3p-diesel-2007-en-castellon-71626737-covo.aspx (window.__INITIAL_PROPS__.ad) /home/user/Alopecia/buscador-coches/raw/cochesnet/d06fa824bc2eb97f.json</t>
        </is>
      </c>
      <c r="BA489" s="3">
        <f>MAX(ANIO_ACTUAL-M489,0)</f>
        <v/>
      </c>
      <c r="BB489" s="4">
        <f>N489/MAX(BA489,0.5)</f>
        <v/>
      </c>
      <c r="BC489" s="4">
        <f>F489</f>
        <v/>
      </c>
      <c r="BD489" s="3">
        <f>BC489&amp;"|"&amp;INT(M489/SEG_ANIO)*SEG_ANIO</f>
        <v/>
      </c>
      <c r="BE489" s="3">
        <f>BD489&amp;"|"&amp;INT(N489/SEG_KM)*SEG_KM</f>
        <v/>
      </c>
      <c r="BF489" s="4">
        <f>COUNTIF($BC$2:$BC$545,BC489)</f>
        <v/>
      </c>
      <c r="BG489" s="4">
        <f>COUNTIF($BD$2:$BD$545,BD489)</f>
        <v/>
      </c>
      <c r="BH489" s="4">
        <f>COUNTIF($BE$2:$BE$545,BE489)</f>
        <v/>
      </c>
      <c r="BI489" s="3">
        <f t="array" ref="BI489">IF(N(AU489)&gt;=MIN_N,AT489,IF(BH489&gt;=MIN_N,MEDIAN(IF($BE$2:$BE$545=BE489,$O$2:$O$545)),IF(BG489&gt;=MIN_N,MEDIAN(IF($BD$2:$BD$545=BD489,$O$2:$O$545)),MEDIAN(IF($BC$2:$BC$545=BC489,$O$2:$O$545)))))</f>
        <v/>
      </c>
      <c r="BJ489" s="3">
        <f>IF(N(AU489)&gt;=MIN_N,"mercado "&amp;AV489,IF(BH489&gt;=MIN_N,"modelo+año+km",IF(BG489&gt;=MIN_N,"modelo+año","modelo")))</f>
        <v/>
      </c>
      <c r="BK489" s="4">
        <f>(BI489-O489)/BI489</f>
        <v/>
      </c>
      <c r="BL489" s="3">
        <f>IF(COUNTIFS(FR_FUEL,K489,FR_YEAR,AP489)&gt;0,1,0)</f>
        <v/>
      </c>
      <c r="BM489" s="3">
        <f>IF(COUNTIFS(FR_FUEL,K489,FR_YEAR,AP489-1)&gt;0,1,0)</f>
        <v/>
      </c>
      <c r="BN489" s="4">
        <f>IF(N(AQ489)&gt;0,AP489*100+AQ489,IF(AND(BL489=1,BM489=1),(AP489-1)*100+1,AP489*100+1))</f>
        <v/>
      </c>
      <c r="BO489" s="3">
        <f>IF(OR(K489="hibrido",K489="glp",K489="gnc",K489="phev"),"ECO",IF(K489="electrico","CERO",IF(K489="gasolina",IF(BN489&gt;=GAS_C_YM,"C",IF(BN489&gt;=GAS_B_YM,"B","A")),IF(K489="diesel",IF(BN489&gt;=DIE_C_YM,"C",IF(BN489&gt;=DIE_B_YM,"B","A")),""))))</f>
        <v/>
      </c>
      <c r="BP489" s="2" t="inlineStr">
        <is>
          <t>B</t>
        </is>
      </c>
      <c r="BQ489" s="4">
        <f>IF(AS489="regla",IF(AND(N(AQ489)=0,BL489=1),"sí","no"),"no")</f>
        <v/>
      </c>
      <c r="BR489" s="3">
        <f>IFERROR(VLOOKUP(F489,MOD_TBL,11,0),IFERROR(VLOOKUP(E489,OCU_TBL,2,0),NEUTRO))</f>
        <v/>
      </c>
      <c r="BS489" s="3">
        <f>SUMIFS(MOT_AJUSTE,MOT_MOTOR,G489,MOT_MARCA,E489,MOT_DESDE,"&lt;="&amp;M489,MOT_HASTA,"&gt;="&amp;M489)+SUMIFS(MOT_AJUSTE,MOT_MOTOR,G489,MOT_MARCA,"(todas)",MOT_DESDE,"&lt;="&amp;M489,MOT_HASTA,"&gt;="&amp;M489)</f>
        <v/>
      </c>
      <c r="BT489" s="3">
        <f>SUMIFS(COMB_AJUSTE,COMB_COMB,K489)</f>
        <v/>
      </c>
      <c r="BU489" s="3">
        <f>COUNTIFS(MOT_MOTOR,G489,MOT_MARCA,E489,MOT_DESDE,"&lt;="&amp;M489,MOT_HASTA,"&gt;="&amp;M489)+COUNTIFS(MOT_MOTOR,G489,MOT_MARCA,"(todas)",MOT_DESDE,"&lt;="&amp;M489,MOT_HASTA,"&gt;="&amp;M489)</f>
        <v/>
      </c>
      <c r="BV489" s="3">
        <f>IF(AND(K489="diesel",BU489=0),MIN(BR489,NEUTRO),BR489)</f>
        <v/>
      </c>
      <c r="BW489" s="4">
        <f>MAX(0,MIN(100,BV489+BS489+BT489))</f>
        <v/>
      </c>
      <c r="BX489" s="3">
        <f>MAX(0,MIN(100,50+BK489*PRECIO_PEND))</f>
        <v/>
      </c>
      <c r="BY489" s="3">
        <f>MAX(0,100*(1-N489/KM_MAX))</f>
        <v/>
      </c>
      <c r="BZ489" s="3">
        <f>IF(BB489&lt;KMA_SOSP,IF(AA489="sí",100,KMA_PEN),IF(BB489&lt;=KMA_IDEAL_MAX,100,MAX(0,100*(KMA_CERO-BB489)/(KMA_CERO-KMA_IDEAL_MAX))))</f>
        <v/>
      </c>
      <c r="CA489" s="3">
        <f>MAX(0,MIN(100,100*(M489-ANIO_MIN)/(ANIO_ACTUAL-ANIO_MIN)))</f>
        <v/>
      </c>
      <c r="CB489" s="3">
        <f>W_KMT*BY489+W_KMA*BZ489+W_EDAD*CA489</f>
        <v/>
      </c>
      <c r="CC489" s="3">
        <f>P_ITV*(V489="sí")+P_LIBRO*(W489="sí")+P_CORREA*(X489="sí")+P_PROP*(Y489=1)+P_GAR*(Z489="sí")+P_FOTOS*MIN(1,N(U489)/FOTOS_OBJ)</f>
        <v/>
      </c>
      <c r="CD489" s="3">
        <f>MAX(0,MIN(100,IFERROR(VLOOKUP(BP489,ETQ_TBL,2,0),0)-IF(BQ489="sí",ETQ_PEN_DUD,IF(AS489="regla",ETQ_PEN_REGLA,0))))</f>
        <v/>
      </c>
      <c r="CE489" s="3">
        <f>NEUTRO</f>
        <v/>
      </c>
      <c r="CF489" s="3">
        <f>IFERROR(VLOOKUP(L489,SEGURO_TBL,3,0),"")</f>
        <v/>
      </c>
      <c r="CG489" s="3">
        <f>IF(CF489="",NEUTRO,MAX(0,MIN(100,100*(SEG_REF_MAX-CF489)/(SEG_REF_MAX-SEG_REF_MIN))))</f>
        <v/>
      </c>
      <c r="CH489" s="3">
        <f>W_CONS*CE489+W_SEG*CG489</f>
        <v/>
      </c>
      <c r="CI489" s="3">
        <f>IF(N(AB489)&gt;0,AB489,IF(AND(R489="profesional",SG_LEGAL_ON=1),GAR_LEGAL,0))</f>
        <v/>
      </c>
      <c r="CJ489" s="3">
        <f>SG_GAR*MIN(1,CI489/SG_GAR_FULL)+SG_AMPL*(AC489="sí")+SG_KMC*(AF489="sí")+SG_REV*(N(AE489)&gt;0)+SG_DEV*MIN(1,N(AG489)/SG_DEV_FULL)+SG_HIST*(W489="sí")</f>
        <v/>
      </c>
      <c r="CK489" s="3">
        <f>IFERROR(VLOOKUP(L489,CARR_PEN_TBL,2,0),0)</f>
        <v/>
      </c>
      <c r="CL489" s="3">
        <f>W_FIAB*BW489+W_PRECIO*BX489+W_KMEDAD*CB489+W_ANUNCIO*CC489+W_USO*CH489+W_SEGURIDAD*CJ489+W_ETIQUETA*CD489-CK489</f>
        <v/>
      </c>
      <c r="CM489" s="4">
        <f>IF(N(I489)&gt;0,I489,IFERROR(ROUND(_xlfn.NUMBERVALUE(LEFT(G489,FIND(" ",G489&amp;" ")-1),".")*1000,0),99999))</f>
        <v/>
      </c>
      <c r="CN489" s="3">
        <f>IF(R489="profesional",0,IF(O489&lt;CUOTA_VALOR_MAX,IF(BA489&gt;ITP_TRAMO_ALTO,SUMIFS(CF_CUOTA,CF_MAS,ITP_TRAMO_ALTO,CF_CCMIN,"&lt;="&amp;CM489,CF_CCMAX,"&gt;="&amp;CM489),IF(BA489&gt;ITP_TRAMO_BAJO,SUMIFS(CF_CUOTA,CF_MAS,ITP_TRAMO_BAJO,CF_CCMIN,"&lt;="&amp;CM489,CF_CCMAX,"&gt;="&amp;CM489),O489*ITP_TIPO)),O489*ITP_TIPO))</f>
        <v/>
      </c>
      <c r="CO489" s="4">
        <f>IF(R489="profesional",N(AK489),0)</f>
        <v/>
      </c>
      <c r="CP489" s="3">
        <f>IF(AND(R489="profesional",ISNUMBER(AK489),AL489="sí"),0,TASA_DGT)</f>
        <v/>
      </c>
      <c r="CQ489" s="3">
        <f>INFORME_DGT</f>
        <v/>
      </c>
      <c r="CR489" s="4">
        <f>O489+CO489+CN489+CP489+CQ489</f>
        <v/>
      </c>
      <c r="CS489" s="4">
        <f>CR489+N(CF489)</f>
        <v/>
      </c>
      <c r="CT489" s="3">
        <f>IF(CR489&lt;=TOTAL_MAX,"sí",IF(CR489&lt;=TOTAL_MAX+MARGEN_NEG,"negociar","no"))</f>
        <v/>
      </c>
      <c r="CU489" s="4">
        <f>IF(CT489&lt;&gt;"no",COUNTIFS($CT$2:$CT$545,"&lt;&gt;no",$CL$2:$CL$545,"&gt;"&amp;CL489)+COUNTIFS($CT$2:CT489,"&lt;&gt;no",$CL$2:CL489,CL489),"")</f>
        <v/>
      </c>
    </row>
    <row r="490">
      <c r="A490" s="2" t="inlineStr">
        <is>
          <t>cochesnet:71526255</t>
        </is>
      </c>
      <c r="B490" s="2" t="inlineStr">
        <is>
          <t>cochesnet</t>
        </is>
      </c>
      <c r="C490" s="2" t="inlineStr">
        <is>
          <t>https://www.coches.net/opel-corsa-enjoy-12-5p-gasolina-2008-en-castellon-71526255-covo.aspx</t>
        </is>
      </c>
      <c r="D490" s="2" t="inlineStr">
        <is>
          <t>OPEL Corsa Enjoy 1.2</t>
        </is>
      </c>
      <c r="E490" s="2" t="inlineStr">
        <is>
          <t>Opel</t>
        </is>
      </c>
      <c r="F490" s="2" t="inlineStr">
        <is>
          <t>Opel Corsa</t>
        </is>
      </c>
      <c r="G490" s="2" t="inlineStr">
        <is>
          <t>1.2</t>
        </is>
      </c>
      <c r="H490" s="2" t="inlineStr">
        <is>
          <t>Enjoy 1.2</t>
        </is>
      </c>
      <c r="I490" s="2" t="n"/>
      <c r="J490" s="2" t="n"/>
      <c r="K490" s="2" t="inlineStr">
        <is>
          <t>gasolina</t>
        </is>
      </c>
      <c r="L490" s="2" t="inlineStr">
        <is>
          <t>utilitario</t>
        </is>
      </c>
      <c r="M490" s="2" t="n">
        <v>2008</v>
      </c>
      <c r="N490" s="2" t="n">
        <v>170000</v>
      </c>
      <c r="O490" s="2" t="n">
        <v>4350</v>
      </c>
      <c r="P490" s="2" t="inlineStr">
        <is>
          <t>manual</t>
        </is>
      </c>
      <c r="Q490" s="2" t="inlineStr">
        <is>
          <t>no</t>
        </is>
      </c>
      <c r="R490" s="2" t="inlineStr">
        <is>
          <t>profesional</t>
        </is>
      </c>
      <c r="S490" s="2" t="inlineStr">
        <is>
          <t>Andrés Cars Castellón de la Plana / Castelló de la Plana</t>
        </is>
      </c>
      <c r="T490" s="2" t="inlineStr">
        <is>
          <t>2026-09-16T12:12:25Z</t>
        </is>
      </c>
      <c r="U490" s="2" t="n">
        <v>40</v>
      </c>
      <c r="V490" s="2" t="n"/>
      <c r="W490" s="2" t="n"/>
      <c r="X490" s="2" t="n"/>
      <c r="Y490" s="2" t="n">
        <v>1</v>
      </c>
      <c r="Z490" s="2" t="inlineStr">
        <is>
          <t>sí</t>
        </is>
      </c>
      <c r="AA490" s="2" t="n"/>
      <c r="AB490" s="2" t="n">
        <v>12</v>
      </c>
      <c r="AC490" s="2" t="n"/>
      <c r="AD490" s="2" t="n"/>
      <c r="AE490" s="2" t="n"/>
      <c r="AF490" s="2" t="n"/>
      <c r="AG490" s="2" t="n"/>
      <c r="AH490" s="2" t="n">
        <v>4350</v>
      </c>
      <c r="AI490" s="2" t="n"/>
      <c r="AJ490" s="2" t="n"/>
      <c r="AK490" s="2" t="n"/>
      <c r="AL490" s="2" t="n"/>
      <c r="AM490" s="2" t="n"/>
      <c r="AN490" s="2" t="n"/>
      <c r="AO490" s="2" t="inlineStr">
        <is>
          <t>2008</t>
        </is>
      </c>
      <c r="AP490" s="2" t="n">
        <v>2008</v>
      </c>
      <c r="AQ490" s="2" t="n"/>
      <c r="AR490" s="2" t="inlineStr">
        <is>
          <t>C</t>
        </is>
      </c>
      <c r="AS490" s="2" t="inlineStr">
        <is>
          <t>anuncio</t>
        </is>
      </c>
      <c r="AT490" s="2" t="n">
        <v>3150</v>
      </c>
      <c r="AU490" s="2" t="n">
        <v>8</v>
      </c>
      <c r="AV490" s="2" t="inlineStr">
        <is>
          <t>modelo+año+km</t>
        </is>
      </c>
      <c r="AW490" s="2" t="n"/>
      <c r="AX490"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490" s="2" t="inlineStr">
        <is>
          <t xml:space="preserve">Etiqueta medio ambiental C.
Se vende Opel corsa C , vehículo nacional procedente de primera mano
Lleva motor 1,2 ECOTEC gasolina,con 80 CV de potencia y distribución por cadena.
Es el acabado enjoy y cuenta con : 
aire acondicionado, elevalunas eléctricos, control y limitador de velocidad , ordenador al bordo........
Admito prueba de taller.
ITV y documentación al día.
Cambio de nombre aparte 150 euros
Precio No negociable.. 
Anuncio  con titulo informativo y no contractual.
GRACIAS. 
Se puede recibir vehiculo como forma de pago.
</t>
        </is>
      </c>
      <c r="AZ490" s="2" t="inlineStr">
        <is>
          <t>https://www.coches.net/opel-corsa-enjoy-12-5p-gasolina-2008-en-castellon-71526255-covo.aspx (window.__INITIAL_PROPS__.ad) /home/user/Alopecia/buscador-coches/raw/cochesnet/78a790bd19edaa5e.json</t>
        </is>
      </c>
      <c r="BA490" s="3">
        <f>MAX(ANIO_ACTUAL-M490,0)</f>
        <v/>
      </c>
      <c r="BB490" s="4">
        <f>N490/MAX(BA490,0.5)</f>
        <v/>
      </c>
      <c r="BC490" s="4">
        <f>F490</f>
        <v/>
      </c>
      <c r="BD490" s="3">
        <f>BC490&amp;"|"&amp;INT(M490/SEG_ANIO)*SEG_ANIO</f>
        <v/>
      </c>
      <c r="BE490" s="3">
        <f>BD490&amp;"|"&amp;INT(N490/SEG_KM)*SEG_KM</f>
        <v/>
      </c>
      <c r="BF490" s="4">
        <f>COUNTIF($BC$2:$BC$545,BC490)</f>
        <v/>
      </c>
      <c r="BG490" s="4">
        <f>COUNTIF($BD$2:$BD$545,BD490)</f>
        <v/>
      </c>
      <c r="BH490" s="4">
        <f>COUNTIF($BE$2:$BE$545,BE490)</f>
        <v/>
      </c>
      <c r="BI490" s="3">
        <f t="array" ref="BI490">IF(N(AU490)&gt;=MIN_N,AT490,IF(BH490&gt;=MIN_N,MEDIAN(IF($BE$2:$BE$545=BE490,$O$2:$O$545)),IF(BG490&gt;=MIN_N,MEDIAN(IF($BD$2:$BD$545=BD490,$O$2:$O$545)),MEDIAN(IF($BC$2:$BC$545=BC490,$O$2:$O$545)))))</f>
        <v/>
      </c>
      <c r="BJ490" s="3">
        <f>IF(N(AU490)&gt;=MIN_N,"mercado "&amp;AV490,IF(BH490&gt;=MIN_N,"modelo+año+km",IF(BG490&gt;=MIN_N,"modelo+año","modelo")))</f>
        <v/>
      </c>
      <c r="BK490" s="4">
        <f>(BI490-O490)/BI490</f>
        <v/>
      </c>
      <c r="BL490" s="3">
        <f>IF(COUNTIFS(FR_FUEL,K490,FR_YEAR,AP490)&gt;0,1,0)</f>
        <v/>
      </c>
      <c r="BM490" s="3">
        <f>IF(COUNTIFS(FR_FUEL,K490,FR_YEAR,AP490-1)&gt;0,1,0)</f>
        <v/>
      </c>
      <c r="BN490" s="4">
        <f>IF(N(AQ490)&gt;0,AP490*100+AQ490,IF(AND(BL490=1,BM490=1),(AP490-1)*100+1,AP490*100+1))</f>
        <v/>
      </c>
      <c r="BO490" s="3">
        <f>IF(OR(K490="hibrido",K490="glp",K490="gnc",K490="phev"),"ECO",IF(K490="electrico","CERO",IF(K490="gasolina",IF(BN490&gt;=GAS_C_YM,"C",IF(BN490&gt;=GAS_B_YM,"B","A")),IF(K490="diesel",IF(BN490&gt;=DIE_C_YM,"C",IF(BN490&gt;=DIE_B_YM,"B","A")),""))))</f>
        <v/>
      </c>
      <c r="BP490" s="2" t="inlineStr">
        <is>
          <t>C</t>
        </is>
      </c>
      <c r="BQ490" s="4">
        <f>IF(AS490="regla",IF(AND(N(AQ490)=0,BL490=1),"sí","no"),"no")</f>
        <v/>
      </c>
      <c r="BR490" s="3">
        <f>IFERROR(VLOOKUP(F490,MOD_TBL,11,0),IFERROR(VLOOKUP(E490,OCU_TBL,2,0),NEUTRO))</f>
        <v/>
      </c>
      <c r="BS490" s="3">
        <f>SUMIFS(MOT_AJUSTE,MOT_MOTOR,G490,MOT_MARCA,E490,MOT_DESDE,"&lt;="&amp;M490,MOT_HASTA,"&gt;="&amp;M490)+SUMIFS(MOT_AJUSTE,MOT_MOTOR,G490,MOT_MARCA,"(todas)",MOT_DESDE,"&lt;="&amp;M490,MOT_HASTA,"&gt;="&amp;M490)</f>
        <v/>
      </c>
      <c r="BT490" s="3">
        <f>SUMIFS(COMB_AJUSTE,COMB_COMB,K490)</f>
        <v/>
      </c>
      <c r="BU490" s="3">
        <f>COUNTIFS(MOT_MOTOR,G490,MOT_MARCA,E490,MOT_DESDE,"&lt;="&amp;M490,MOT_HASTA,"&gt;="&amp;M490)+COUNTIFS(MOT_MOTOR,G490,MOT_MARCA,"(todas)",MOT_DESDE,"&lt;="&amp;M490,MOT_HASTA,"&gt;="&amp;M490)</f>
        <v/>
      </c>
      <c r="BV490" s="3">
        <f>IF(AND(K490="diesel",BU490=0),MIN(BR490,NEUTRO),BR490)</f>
        <v/>
      </c>
      <c r="BW490" s="4">
        <f>MAX(0,MIN(100,BV490+BS490+BT490))</f>
        <v/>
      </c>
      <c r="BX490" s="3">
        <f>MAX(0,MIN(100,50+BK490*PRECIO_PEND))</f>
        <v/>
      </c>
      <c r="BY490" s="3">
        <f>MAX(0,100*(1-N490/KM_MAX))</f>
        <v/>
      </c>
      <c r="BZ490" s="3">
        <f>IF(BB490&lt;KMA_SOSP,IF(AA490="sí",100,KMA_PEN),IF(BB490&lt;=KMA_IDEAL_MAX,100,MAX(0,100*(KMA_CERO-BB490)/(KMA_CERO-KMA_IDEAL_MAX))))</f>
        <v/>
      </c>
      <c r="CA490" s="3">
        <f>MAX(0,MIN(100,100*(M490-ANIO_MIN)/(ANIO_ACTUAL-ANIO_MIN)))</f>
        <v/>
      </c>
      <c r="CB490" s="3">
        <f>W_KMT*BY490+W_KMA*BZ490+W_EDAD*CA490</f>
        <v/>
      </c>
      <c r="CC490" s="3">
        <f>P_ITV*(V490="sí")+P_LIBRO*(W490="sí")+P_CORREA*(X490="sí")+P_PROP*(Y490=1)+P_GAR*(Z490="sí")+P_FOTOS*MIN(1,N(U490)/FOTOS_OBJ)</f>
        <v/>
      </c>
      <c r="CD490" s="3">
        <f>MAX(0,MIN(100,IFERROR(VLOOKUP(BP490,ETQ_TBL,2,0),0)-IF(BQ490="sí",ETQ_PEN_DUD,IF(AS490="regla",ETQ_PEN_REGLA,0))))</f>
        <v/>
      </c>
      <c r="CE490" s="3">
        <f>NEUTRO</f>
        <v/>
      </c>
      <c r="CF490" s="3">
        <f>IFERROR(VLOOKUP(L490,SEGURO_TBL,3,0),"")</f>
        <v/>
      </c>
      <c r="CG490" s="3">
        <f>IF(CF490="",NEUTRO,MAX(0,MIN(100,100*(SEG_REF_MAX-CF490)/(SEG_REF_MAX-SEG_REF_MIN))))</f>
        <v/>
      </c>
      <c r="CH490" s="3">
        <f>W_CONS*CE490+W_SEG*CG490</f>
        <v/>
      </c>
      <c r="CI490" s="3">
        <f>IF(N(AB490)&gt;0,AB490,IF(AND(R490="profesional",SG_LEGAL_ON=1),GAR_LEGAL,0))</f>
        <v/>
      </c>
      <c r="CJ490" s="3">
        <f>SG_GAR*MIN(1,CI490/SG_GAR_FULL)+SG_AMPL*(AC490="sí")+SG_KMC*(AF490="sí")+SG_REV*(N(AE490)&gt;0)+SG_DEV*MIN(1,N(AG490)/SG_DEV_FULL)+SG_HIST*(W490="sí")</f>
        <v/>
      </c>
      <c r="CK490" s="3">
        <f>IFERROR(VLOOKUP(L490,CARR_PEN_TBL,2,0),0)</f>
        <v/>
      </c>
      <c r="CL490" s="3">
        <f>W_FIAB*BW490+W_PRECIO*BX490+W_KMEDAD*CB490+W_ANUNCIO*CC490+W_USO*CH490+W_SEGURIDAD*CJ490+W_ETIQUETA*CD490-CK490</f>
        <v/>
      </c>
      <c r="CM490" s="4">
        <f>IF(N(I490)&gt;0,I490,IFERROR(ROUND(_xlfn.NUMBERVALUE(LEFT(G490,FIND(" ",G490&amp;" ")-1),".")*1000,0),99999))</f>
        <v/>
      </c>
      <c r="CN490" s="3">
        <f>IF(R490="profesional",0,IF(O490&lt;CUOTA_VALOR_MAX,IF(BA490&gt;ITP_TRAMO_ALTO,SUMIFS(CF_CUOTA,CF_MAS,ITP_TRAMO_ALTO,CF_CCMIN,"&lt;="&amp;CM490,CF_CCMAX,"&gt;="&amp;CM490),IF(BA490&gt;ITP_TRAMO_BAJO,SUMIFS(CF_CUOTA,CF_MAS,ITP_TRAMO_BAJO,CF_CCMIN,"&lt;="&amp;CM490,CF_CCMAX,"&gt;="&amp;CM490),O490*ITP_TIPO)),O490*ITP_TIPO))</f>
        <v/>
      </c>
      <c r="CO490" s="4">
        <f>IF(R490="profesional",N(AK490),0)</f>
        <v/>
      </c>
      <c r="CP490" s="3">
        <f>IF(AND(R490="profesional",ISNUMBER(AK490),AL490="sí"),0,TASA_DGT)</f>
        <v/>
      </c>
      <c r="CQ490" s="3">
        <f>INFORME_DGT</f>
        <v/>
      </c>
      <c r="CR490" s="4">
        <f>O490+CO490+CN490+CP490+CQ490</f>
        <v/>
      </c>
      <c r="CS490" s="4">
        <f>CR490+N(CF490)</f>
        <v/>
      </c>
      <c r="CT490" s="3">
        <f>IF(CR490&lt;=TOTAL_MAX,"sí",IF(CR490&lt;=TOTAL_MAX+MARGEN_NEG,"negociar","no"))</f>
        <v/>
      </c>
      <c r="CU490" s="4">
        <f>IF(CT490&lt;&gt;"no",COUNTIFS($CT$2:$CT$545,"&lt;&gt;no",$CL$2:$CL$545,"&gt;"&amp;CL490)+COUNTIFS($CT$2:CT490,"&lt;&gt;no",$CL$2:CL490,CL490),"")</f>
        <v/>
      </c>
    </row>
    <row r="491">
      <c r="A491" s="2" t="inlineStr">
        <is>
          <t>cochesnet:71365444</t>
        </is>
      </c>
      <c r="B491" s="2" t="inlineStr">
        <is>
          <t>cochesnet</t>
        </is>
      </c>
      <c r="C491" s="2" t="inlineStr">
        <is>
          <t>https://www.coches.net/opel-corsa-cosmo-14-5p-gasolina-2008-en-castellon-71365444-covo.aspx</t>
        </is>
      </c>
      <c r="D491" s="2" t="inlineStr">
        <is>
          <t>OPEL Corsa Cosmo 1.4</t>
        </is>
      </c>
      <c r="E491" s="2" t="inlineStr">
        <is>
          <t>Opel</t>
        </is>
      </c>
      <c r="F491" s="2" t="inlineStr">
        <is>
          <t>Opel Corsa</t>
        </is>
      </c>
      <c r="G491" s="2" t="inlineStr">
        <is>
          <t>1.4</t>
        </is>
      </c>
      <c r="H491" s="2" t="inlineStr">
        <is>
          <t>Cosmo 1.4</t>
        </is>
      </c>
      <c r="I491" s="2" t="n"/>
      <c r="J491" s="2" t="n"/>
      <c r="K491" s="2" t="inlineStr">
        <is>
          <t>gasolina</t>
        </is>
      </c>
      <c r="L491" s="2" t="inlineStr">
        <is>
          <t>utilitario</t>
        </is>
      </c>
      <c r="M491" s="2" t="n">
        <v>2008</v>
      </c>
      <c r="N491" s="2" t="n">
        <v>190000</v>
      </c>
      <c r="O491" s="2" t="n">
        <v>2700</v>
      </c>
      <c r="P491" s="2" t="inlineStr">
        <is>
          <t>manual</t>
        </is>
      </c>
      <c r="Q491" s="2" t="inlineStr">
        <is>
          <t>no</t>
        </is>
      </c>
      <c r="R491" s="2" t="inlineStr">
        <is>
          <t>particular</t>
        </is>
      </c>
      <c r="S491" s="2" t="inlineStr">
        <is>
          <t>Castellón de la Plana / Castelló de la Plana</t>
        </is>
      </c>
      <c r="T491" s="2" t="inlineStr">
        <is>
          <t>2026-08-26T08:16:12Z</t>
        </is>
      </c>
      <c r="U491" s="2" t="n">
        <v>8</v>
      </c>
      <c r="V491" s="2" t="inlineStr">
        <is>
          <t>sí</t>
        </is>
      </c>
      <c r="W491" s="2" t="n"/>
      <c r="X491" s="2" t="inlineStr">
        <is>
          <t>sí</t>
        </is>
      </c>
      <c r="Y491" s="2" t="n"/>
      <c r="Z491" s="2" t="inlineStr">
        <is>
          <t>no</t>
        </is>
      </c>
      <c r="AA491" s="2" t="n"/>
      <c r="AB491" s="2" t="n"/>
      <c r="AC491" s="2" t="n"/>
      <c r="AD491" s="2" t="n"/>
      <c r="AE491" s="2" t="n"/>
      <c r="AF491" s="2" t="n"/>
      <c r="AG491" s="2" t="n"/>
      <c r="AH491" s="2" t="n">
        <v>2700</v>
      </c>
      <c r="AI491" s="2" t="n"/>
      <c r="AJ491" s="2" t="n"/>
      <c r="AK491" s="2" t="n"/>
      <c r="AL491" s="2" t="n"/>
      <c r="AM491" s="2" t="n"/>
      <c r="AN491" s="2" t="n"/>
      <c r="AO491" s="2" t="inlineStr">
        <is>
          <t>2008</t>
        </is>
      </c>
      <c r="AP491" s="2" t="n">
        <v>2008</v>
      </c>
      <c r="AQ491" s="2" t="n"/>
      <c r="AR491" s="2" t="n"/>
      <c r="AS491" s="2" t="inlineStr">
        <is>
          <t>regla</t>
        </is>
      </c>
      <c r="AT491" s="2" t="n">
        <v>3150</v>
      </c>
      <c r="AU491" s="2" t="n">
        <v>8</v>
      </c>
      <c r="AV491" s="2" t="inlineStr">
        <is>
          <t>modelo+año+km</t>
        </is>
      </c>
      <c r="AW491" s="2" t="n"/>
      <c r="AX491" s="2" t="inlineStr">
        <is>
          <t>cuota fija ITP: &gt;12 años, hasta 1.500 cc; distancia no verificable (el anuncio solo indica la provincia): confirmar que está a &lt;= 70 km</t>
        </is>
      </c>
      <c r="AY491" s="2" t="inlineStr">
        <is>
          <t>Opel corsa  1.4 gasolina del 2008, con 197.000 km. ITV en vigor, correa de distribución cambiada, recién pintado y aire acondicionado funcionando perfectamente. Coche en buen estado, cuidado y listo para usar. Se puede ver y probar sin compromiso. Precio negociable</t>
        </is>
      </c>
      <c r="AZ491" s="2" t="inlineStr">
        <is>
          <t>https://www.coches.net/opel-corsa-cosmo-14-5p-gasolina-2008-en-castellon-71365444-covo.aspx (window.__INITIAL_PROPS__.ad) /home/user/Alopecia/buscador-coches/raw/cochesnet/4e41899d9a47b325.json</t>
        </is>
      </c>
      <c r="BA491" s="3">
        <f>MAX(ANIO_ACTUAL-M491,0)</f>
        <v/>
      </c>
      <c r="BB491" s="4">
        <f>N491/MAX(BA491,0.5)</f>
        <v/>
      </c>
      <c r="BC491" s="4">
        <f>F491</f>
        <v/>
      </c>
      <c r="BD491" s="3">
        <f>BC491&amp;"|"&amp;INT(M491/SEG_ANIO)*SEG_ANIO</f>
        <v/>
      </c>
      <c r="BE491" s="3">
        <f>BD491&amp;"|"&amp;INT(N491/SEG_KM)*SEG_KM</f>
        <v/>
      </c>
      <c r="BF491" s="4">
        <f>COUNTIF($BC$2:$BC$545,BC491)</f>
        <v/>
      </c>
      <c r="BG491" s="4">
        <f>COUNTIF($BD$2:$BD$545,BD491)</f>
        <v/>
      </c>
      <c r="BH491" s="4">
        <f>COUNTIF($BE$2:$BE$545,BE491)</f>
        <v/>
      </c>
      <c r="BI491" s="3">
        <f t="array" ref="BI491">IF(N(AU491)&gt;=MIN_N,AT491,IF(BH491&gt;=MIN_N,MEDIAN(IF($BE$2:$BE$545=BE491,$O$2:$O$545)),IF(BG491&gt;=MIN_N,MEDIAN(IF($BD$2:$BD$545=BD491,$O$2:$O$545)),MEDIAN(IF($BC$2:$BC$545=BC491,$O$2:$O$545)))))</f>
        <v/>
      </c>
      <c r="BJ491" s="3">
        <f>IF(N(AU491)&gt;=MIN_N,"mercado "&amp;AV491,IF(BH491&gt;=MIN_N,"modelo+año+km",IF(BG491&gt;=MIN_N,"modelo+año","modelo")))</f>
        <v/>
      </c>
      <c r="BK491" s="4">
        <f>(BI491-O491)/BI491</f>
        <v/>
      </c>
      <c r="BL491" s="3">
        <f>IF(COUNTIFS(FR_FUEL,K491,FR_YEAR,AP491)&gt;0,1,0)</f>
        <v/>
      </c>
      <c r="BM491" s="3">
        <f>IF(COUNTIFS(FR_FUEL,K491,FR_YEAR,AP491-1)&gt;0,1,0)</f>
        <v/>
      </c>
      <c r="BN491" s="4">
        <f>IF(N(AQ491)&gt;0,AP491*100+AQ491,IF(AND(BL491=1,BM491=1),(AP491-1)*100+1,AP491*100+1))</f>
        <v/>
      </c>
      <c r="BO491" s="3">
        <f>IF(OR(K491="hibrido",K491="glp",K491="gnc",K491="phev"),"ECO",IF(K491="electrico","CERO",IF(K491="gasolina",IF(BN491&gt;=GAS_C_YM,"C",IF(BN491&gt;=GAS_B_YM,"B","A")),IF(K491="diesel",IF(BN491&gt;=DIE_C_YM,"C",IF(BN491&gt;=DIE_B_YM,"B","A")),""))))</f>
        <v/>
      </c>
      <c r="BP491" s="4">
        <f>BO491</f>
        <v/>
      </c>
      <c r="BQ491" s="4">
        <f>IF(AS491="regla",IF(AND(N(AQ491)=0,BL491=1),"sí","no"),"no")</f>
        <v/>
      </c>
      <c r="BR491" s="3">
        <f>IFERROR(VLOOKUP(F491,MOD_TBL,11,0),IFERROR(VLOOKUP(E491,OCU_TBL,2,0),NEUTRO))</f>
        <v/>
      </c>
      <c r="BS491" s="3">
        <f>SUMIFS(MOT_AJUSTE,MOT_MOTOR,G491,MOT_MARCA,E491,MOT_DESDE,"&lt;="&amp;M491,MOT_HASTA,"&gt;="&amp;M491)+SUMIFS(MOT_AJUSTE,MOT_MOTOR,G491,MOT_MARCA,"(todas)",MOT_DESDE,"&lt;="&amp;M491,MOT_HASTA,"&gt;="&amp;M491)</f>
        <v/>
      </c>
      <c r="BT491" s="3">
        <f>SUMIFS(COMB_AJUSTE,COMB_COMB,K491)</f>
        <v/>
      </c>
      <c r="BU491" s="3">
        <f>COUNTIFS(MOT_MOTOR,G491,MOT_MARCA,E491,MOT_DESDE,"&lt;="&amp;M491,MOT_HASTA,"&gt;="&amp;M491)+COUNTIFS(MOT_MOTOR,G491,MOT_MARCA,"(todas)",MOT_DESDE,"&lt;="&amp;M491,MOT_HASTA,"&gt;="&amp;M491)</f>
        <v/>
      </c>
      <c r="BV491" s="3">
        <f>IF(AND(K491="diesel",BU491=0),MIN(BR491,NEUTRO),BR491)</f>
        <v/>
      </c>
      <c r="BW491" s="4">
        <f>MAX(0,MIN(100,BV491+BS491+BT491))</f>
        <v/>
      </c>
      <c r="BX491" s="3">
        <f>MAX(0,MIN(100,50+BK491*PRECIO_PEND))</f>
        <v/>
      </c>
      <c r="BY491" s="3">
        <f>MAX(0,100*(1-N491/KM_MAX))</f>
        <v/>
      </c>
      <c r="BZ491" s="3">
        <f>IF(BB491&lt;KMA_SOSP,IF(AA491="sí",100,KMA_PEN),IF(BB491&lt;=KMA_IDEAL_MAX,100,MAX(0,100*(KMA_CERO-BB491)/(KMA_CERO-KMA_IDEAL_MAX))))</f>
        <v/>
      </c>
      <c r="CA491" s="3">
        <f>MAX(0,MIN(100,100*(M491-ANIO_MIN)/(ANIO_ACTUAL-ANIO_MIN)))</f>
        <v/>
      </c>
      <c r="CB491" s="3">
        <f>W_KMT*BY491+W_KMA*BZ491+W_EDAD*CA491</f>
        <v/>
      </c>
      <c r="CC491" s="3">
        <f>P_ITV*(V491="sí")+P_LIBRO*(W491="sí")+P_CORREA*(X491="sí")+P_PROP*(Y491=1)+P_GAR*(Z491="sí")+P_FOTOS*MIN(1,N(U491)/FOTOS_OBJ)</f>
        <v/>
      </c>
      <c r="CD491" s="3">
        <f>MAX(0,MIN(100,IFERROR(VLOOKUP(BP491,ETQ_TBL,2,0),0)-IF(BQ491="sí",ETQ_PEN_DUD,IF(AS491="regla",ETQ_PEN_REGLA,0))))</f>
        <v/>
      </c>
      <c r="CE491" s="3">
        <f>NEUTRO</f>
        <v/>
      </c>
      <c r="CF491" s="3">
        <f>IFERROR(VLOOKUP(L491,SEGURO_TBL,3,0),"")</f>
        <v/>
      </c>
      <c r="CG491" s="3">
        <f>IF(CF491="",NEUTRO,MAX(0,MIN(100,100*(SEG_REF_MAX-CF491)/(SEG_REF_MAX-SEG_REF_MIN))))</f>
        <v/>
      </c>
      <c r="CH491" s="3">
        <f>W_CONS*CE491+W_SEG*CG491</f>
        <v/>
      </c>
      <c r="CI491" s="3">
        <f>IF(N(AB491)&gt;0,AB491,IF(AND(R491="profesional",SG_LEGAL_ON=1),GAR_LEGAL,0))</f>
        <v/>
      </c>
      <c r="CJ491" s="3">
        <f>SG_GAR*MIN(1,CI491/SG_GAR_FULL)+SG_AMPL*(AC491="sí")+SG_KMC*(AF491="sí")+SG_REV*(N(AE491)&gt;0)+SG_DEV*MIN(1,N(AG491)/SG_DEV_FULL)+SG_HIST*(W491="sí")</f>
        <v/>
      </c>
      <c r="CK491" s="3">
        <f>IFERROR(VLOOKUP(L491,CARR_PEN_TBL,2,0),0)</f>
        <v/>
      </c>
      <c r="CL491" s="3">
        <f>W_FIAB*BW491+W_PRECIO*BX491+W_KMEDAD*CB491+W_ANUNCIO*CC491+W_USO*CH491+W_SEGURIDAD*CJ491+W_ETIQUETA*CD491-CK491</f>
        <v/>
      </c>
      <c r="CM491" s="4">
        <f>IF(N(I491)&gt;0,I491,IFERROR(ROUND(_xlfn.NUMBERVALUE(LEFT(G491,FIND(" ",G491&amp;" ")-1),".")*1000,0),99999))</f>
        <v/>
      </c>
      <c r="CN491" s="3">
        <f>IF(R491="profesional",0,IF(O491&lt;CUOTA_VALOR_MAX,IF(BA491&gt;ITP_TRAMO_ALTO,SUMIFS(CF_CUOTA,CF_MAS,ITP_TRAMO_ALTO,CF_CCMIN,"&lt;="&amp;CM491,CF_CCMAX,"&gt;="&amp;CM491),IF(BA491&gt;ITP_TRAMO_BAJO,SUMIFS(CF_CUOTA,CF_MAS,ITP_TRAMO_BAJO,CF_CCMIN,"&lt;="&amp;CM491,CF_CCMAX,"&gt;="&amp;CM491),O491*ITP_TIPO)),O491*ITP_TIPO))</f>
        <v/>
      </c>
      <c r="CO491" s="4">
        <f>IF(R491="profesional",N(AK491),0)</f>
        <v/>
      </c>
      <c r="CP491" s="3">
        <f>IF(AND(R491="profesional",ISNUMBER(AK491),AL491="sí"),0,TASA_DGT)</f>
        <v/>
      </c>
      <c r="CQ491" s="3">
        <f>INFORME_DGT</f>
        <v/>
      </c>
      <c r="CR491" s="4">
        <f>O491+CO491+CN491+CP491+CQ491</f>
        <v/>
      </c>
      <c r="CS491" s="4">
        <f>CR491+N(CF491)</f>
        <v/>
      </c>
      <c r="CT491" s="3">
        <f>IF(CR491&lt;=TOTAL_MAX,"sí",IF(CR491&lt;=TOTAL_MAX+MARGEN_NEG,"negociar","no"))</f>
        <v/>
      </c>
      <c r="CU491" s="4">
        <f>IF(CT491&lt;&gt;"no",COUNTIFS($CT$2:$CT$545,"&lt;&gt;no",$CL$2:$CL$545,"&gt;"&amp;CL491)+COUNTIFS($CT$2:CT491,"&lt;&gt;no",$CL$2:CL491,CL491),"")</f>
        <v/>
      </c>
    </row>
    <row r="492">
      <c r="A492" s="2" t="inlineStr">
        <is>
          <t>cochesnet:71364410</t>
        </is>
      </c>
      <c r="B492" s="2" t="inlineStr">
        <is>
          <t>cochesnet</t>
        </is>
      </c>
      <c r="C492" s="2" t="inlineStr">
        <is>
          <t>https://www.coches.net/opel-astra-gtc-17-cdti-sport-6velocidades-3p-diesel-2006-en-castellon-71364410-covo.aspx</t>
        </is>
      </c>
      <c r="D492" s="2" t="inlineStr">
        <is>
          <t>OPEL Astra GTC 1.7 CDTi Sport 6velocidades</t>
        </is>
      </c>
      <c r="E492" s="2" t="inlineStr">
        <is>
          <t>Opel</t>
        </is>
      </c>
      <c r="F492" s="2" t="inlineStr">
        <is>
          <t>Opel Astra</t>
        </is>
      </c>
      <c r="G492" s="2" t="inlineStr">
        <is>
          <t>1.7 CDTi</t>
        </is>
      </c>
      <c r="H492" s="2" t="inlineStr">
        <is>
          <t>GTC 1.7 CDTi Sport 6velocidades</t>
        </is>
      </c>
      <c r="I492" s="2" t="n"/>
      <c r="J492" s="2" t="n"/>
      <c r="K492" s="2" t="inlineStr">
        <is>
          <t>diesel</t>
        </is>
      </c>
      <c r="L492" s="2" t="inlineStr">
        <is>
          <t>compacto</t>
        </is>
      </c>
      <c r="M492" s="2" t="n">
        <v>2006</v>
      </c>
      <c r="N492" s="2" t="n">
        <v>168000</v>
      </c>
      <c r="O492" s="2" t="n">
        <v>4700</v>
      </c>
      <c r="P492" s="2" t="inlineStr">
        <is>
          <t>manual</t>
        </is>
      </c>
      <c r="Q492" s="2" t="inlineStr">
        <is>
          <t>no</t>
        </is>
      </c>
      <c r="R492" s="2" t="inlineStr">
        <is>
          <t>particular</t>
        </is>
      </c>
      <c r="S492" s="2" t="inlineStr">
        <is>
          <t>Almenara</t>
        </is>
      </c>
      <c r="T492" s="2" t="inlineStr">
        <is>
          <t>2026-08-25T21:04:38Z</t>
        </is>
      </c>
      <c r="U492" s="2" t="n">
        <v>4</v>
      </c>
      <c r="V492" s="2" t="n"/>
      <c r="W492" s="2" t="n"/>
      <c r="X492" s="2" t="n"/>
      <c r="Y492" s="2" t="n"/>
      <c r="Z492" s="2" t="inlineStr">
        <is>
          <t>no</t>
        </is>
      </c>
      <c r="AA492" s="2" t="n"/>
      <c r="AB492" s="2" t="n"/>
      <c r="AC492" s="2" t="n"/>
      <c r="AD492" s="2" t="n"/>
      <c r="AE492" s="2" t="n"/>
      <c r="AF492" s="2" t="n"/>
      <c r="AG492" s="2" t="n"/>
      <c r="AH492" s="2" t="n">
        <v>4700</v>
      </c>
      <c r="AI492" s="2" t="n"/>
      <c r="AJ492" s="2" t="n"/>
      <c r="AK492" s="2" t="n"/>
      <c r="AL492" s="2" t="n"/>
      <c r="AM492" s="2" t="n">
        <v>34.1</v>
      </c>
      <c r="AN492" s="2" t="n"/>
      <c r="AO492" s="2" t="inlineStr">
        <is>
          <t>08/2006</t>
        </is>
      </c>
      <c r="AP492" s="2" t="n">
        <v>2006</v>
      </c>
      <c r="AQ492" s="2" t="n">
        <v>8</v>
      </c>
      <c r="AR492" s="2" t="inlineStr">
        <is>
          <t>B</t>
        </is>
      </c>
      <c r="AS492" s="2" t="inlineStr">
        <is>
          <t>anuncio</t>
        </is>
      </c>
      <c r="AT492" s="2" t="n">
        <v>2850</v>
      </c>
      <c r="AU492" s="2" t="n">
        <v>16</v>
      </c>
      <c r="AV492" s="2" t="inlineStr">
        <is>
          <t>modelo+año+km</t>
        </is>
      </c>
      <c r="AW492" s="2" t="n"/>
      <c r="AX492" s="2" t="inlineStr">
        <is>
          <t>cuota fija ITP: &gt;12 años, 1.501-2.000 cc; diésel: motor sin fuente de fiabilidad (fiabilidad limitada a neutra)</t>
        </is>
      </c>
      <c r="AY492" s="2" t="inlineStr">
        <is>
          <t xml:space="preserve">Mantenimiento todo al día 
Se puede ver y probar cuando se quiera 
Acepto pruebas mecánicas 
</t>
        </is>
      </c>
      <c r="AZ492" s="2" t="inlineStr">
        <is>
          <t>https://www.coches.net/opel-astra-gtc-17-cdti-sport-6velocidades-3p-diesel-2006-en-castellon-71364410-covo.aspx (window.__INITIAL_PROPS__.ad) /home/user/Alopecia/buscador-coches/raw/cochesnet/115f20cd6db9e015.json</t>
        </is>
      </c>
      <c r="BA492" s="3">
        <f>MAX(ANIO_ACTUAL-M492,0)</f>
        <v/>
      </c>
      <c r="BB492" s="4">
        <f>N492/MAX(BA492,0.5)</f>
        <v/>
      </c>
      <c r="BC492" s="4">
        <f>F492</f>
        <v/>
      </c>
      <c r="BD492" s="3">
        <f>BC492&amp;"|"&amp;INT(M492/SEG_ANIO)*SEG_ANIO</f>
        <v/>
      </c>
      <c r="BE492" s="3">
        <f>BD492&amp;"|"&amp;INT(N492/SEG_KM)*SEG_KM</f>
        <v/>
      </c>
      <c r="BF492" s="4">
        <f>COUNTIF($BC$2:$BC$545,BC492)</f>
        <v/>
      </c>
      <c r="BG492" s="4">
        <f>COUNTIF($BD$2:$BD$545,BD492)</f>
        <v/>
      </c>
      <c r="BH492" s="4">
        <f>COUNTIF($BE$2:$BE$545,BE492)</f>
        <v/>
      </c>
      <c r="BI492" s="3">
        <f t="array" ref="BI492">IF(N(AU492)&gt;=MIN_N,AT492,IF(BH492&gt;=MIN_N,MEDIAN(IF($BE$2:$BE$545=BE492,$O$2:$O$545)),IF(BG492&gt;=MIN_N,MEDIAN(IF($BD$2:$BD$545=BD492,$O$2:$O$545)),MEDIAN(IF($BC$2:$BC$545=BC492,$O$2:$O$545)))))</f>
        <v/>
      </c>
      <c r="BJ492" s="3">
        <f>IF(N(AU492)&gt;=MIN_N,"mercado "&amp;AV492,IF(BH492&gt;=MIN_N,"modelo+año+km",IF(BG492&gt;=MIN_N,"modelo+año","modelo")))</f>
        <v/>
      </c>
      <c r="BK492" s="4">
        <f>(BI492-O492)/BI492</f>
        <v/>
      </c>
      <c r="BL492" s="3">
        <f>IF(COUNTIFS(FR_FUEL,K492,FR_YEAR,AP492)&gt;0,1,0)</f>
        <v/>
      </c>
      <c r="BM492" s="3">
        <f>IF(COUNTIFS(FR_FUEL,K492,FR_YEAR,AP492-1)&gt;0,1,0)</f>
        <v/>
      </c>
      <c r="BN492" s="4">
        <f>IF(N(AQ492)&gt;0,AP492*100+AQ492,IF(AND(BL492=1,BM492=1),(AP492-1)*100+1,AP492*100+1))</f>
        <v/>
      </c>
      <c r="BO492" s="3">
        <f>IF(OR(K492="hibrido",K492="glp",K492="gnc",K492="phev"),"ECO",IF(K492="electrico","CERO",IF(K492="gasolina",IF(BN492&gt;=GAS_C_YM,"C",IF(BN492&gt;=GAS_B_YM,"B","A")),IF(K492="diesel",IF(BN492&gt;=DIE_C_YM,"C",IF(BN492&gt;=DIE_B_YM,"B","A")),""))))</f>
        <v/>
      </c>
      <c r="BP492" s="2" t="inlineStr">
        <is>
          <t>B</t>
        </is>
      </c>
      <c r="BQ492" s="4">
        <f>IF(AS492="regla",IF(AND(N(AQ492)=0,BL492=1),"sí","no"),"no")</f>
        <v/>
      </c>
      <c r="BR492" s="3">
        <f>IFERROR(VLOOKUP(F492,MOD_TBL,11,0),IFERROR(VLOOKUP(E492,OCU_TBL,2,0),NEUTRO))</f>
        <v/>
      </c>
      <c r="BS492" s="3">
        <f>SUMIFS(MOT_AJUSTE,MOT_MOTOR,G492,MOT_MARCA,E492,MOT_DESDE,"&lt;="&amp;M492,MOT_HASTA,"&gt;="&amp;M492)+SUMIFS(MOT_AJUSTE,MOT_MOTOR,G492,MOT_MARCA,"(todas)",MOT_DESDE,"&lt;="&amp;M492,MOT_HASTA,"&gt;="&amp;M492)</f>
        <v/>
      </c>
      <c r="BT492" s="3">
        <f>SUMIFS(COMB_AJUSTE,COMB_COMB,K492)</f>
        <v/>
      </c>
      <c r="BU492" s="3">
        <f>COUNTIFS(MOT_MOTOR,G492,MOT_MARCA,E492,MOT_DESDE,"&lt;="&amp;M492,MOT_HASTA,"&gt;="&amp;M492)+COUNTIFS(MOT_MOTOR,G492,MOT_MARCA,"(todas)",MOT_DESDE,"&lt;="&amp;M492,MOT_HASTA,"&gt;="&amp;M492)</f>
        <v/>
      </c>
      <c r="BV492" s="3">
        <f>IF(AND(K492="diesel",BU492=0),MIN(BR492,NEUTRO),BR492)</f>
        <v/>
      </c>
      <c r="BW492" s="4">
        <f>MAX(0,MIN(100,BV492+BS492+BT492))</f>
        <v/>
      </c>
      <c r="BX492" s="3">
        <f>MAX(0,MIN(100,50+BK492*PRECIO_PEND))</f>
        <v/>
      </c>
      <c r="BY492" s="3">
        <f>MAX(0,100*(1-N492/KM_MAX))</f>
        <v/>
      </c>
      <c r="BZ492" s="3">
        <f>IF(BB492&lt;KMA_SOSP,IF(AA492="sí",100,KMA_PEN),IF(BB492&lt;=KMA_IDEAL_MAX,100,MAX(0,100*(KMA_CERO-BB492)/(KMA_CERO-KMA_IDEAL_MAX))))</f>
        <v/>
      </c>
      <c r="CA492" s="3">
        <f>MAX(0,MIN(100,100*(M492-ANIO_MIN)/(ANIO_ACTUAL-ANIO_MIN)))</f>
        <v/>
      </c>
      <c r="CB492" s="3">
        <f>W_KMT*BY492+W_KMA*BZ492+W_EDAD*CA492</f>
        <v/>
      </c>
      <c r="CC492" s="3">
        <f>P_ITV*(V492="sí")+P_LIBRO*(W492="sí")+P_CORREA*(X492="sí")+P_PROP*(Y492=1)+P_GAR*(Z492="sí")+P_FOTOS*MIN(1,N(U492)/FOTOS_OBJ)</f>
        <v/>
      </c>
      <c r="CD492" s="3">
        <f>MAX(0,MIN(100,IFERROR(VLOOKUP(BP492,ETQ_TBL,2,0),0)-IF(BQ492="sí",ETQ_PEN_DUD,IF(AS492="regla",ETQ_PEN_REGLA,0))))</f>
        <v/>
      </c>
      <c r="CE492" s="3">
        <f>NEUTRO</f>
        <v/>
      </c>
      <c r="CF492" s="3">
        <f>IFERROR(VLOOKUP(L492,SEGURO_TBL,3,0),"")</f>
        <v/>
      </c>
      <c r="CG492" s="3">
        <f>IF(CF492="",NEUTRO,MAX(0,MIN(100,100*(SEG_REF_MAX-CF492)/(SEG_REF_MAX-SEG_REF_MIN))))</f>
        <v/>
      </c>
      <c r="CH492" s="3">
        <f>W_CONS*CE492+W_SEG*CG492</f>
        <v/>
      </c>
      <c r="CI492" s="3">
        <f>IF(N(AB492)&gt;0,AB492,IF(AND(R492="profesional",SG_LEGAL_ON=1),GAR_LEGAL,0))</f>
        <v/>
      </c>
      <c r="CJ492" s="3">
        <f>SG_GAR*MIN(1,CI492/SG_GAR_FULL)+SG_AMPL*(AC492="sí")+SG_KMC*(AF492="sí")+SG_REV*(N(AE492)&gt;0)+SG_DEV*MIN(1,N(AG492)/SG_DEV_FULL)+SG_HIST*(W492="sí")</f>
        <v/>
      </c>
      <c r="CK492" s="3">
        <f>IFERROR(VLOOKUP(L492,CARR_PEN_TBL,2,0),0)</f>
        <v/>
      </c>
      <c r="CL492" s="3">
        <f>W_FIAB*BW492+W_PRECIO*BX492+W_KMEDAD*CB492+W_ANUNCIO*CC492+W_USO*CH492+W_SEGURIDAD*CJ492+W_ETIQUETA*CD492-CK492</f>
        <v/>
      </c>
      <c r="CM492" s="4">
        <f>IF(N(I492)&gt;0,I492,IFERROR(ROUND(_xlfn.NUMBERVALUE(LEFT(G492,FIND(" ",G492&amp;" ")-1),".")*1000,0),99999))</f>
        <v/>
      </c>
      <c r="CN492" s="3">
        <f>IF(R492="profesional",0,IF(O492&lt;CUOTA_VALOR_MAX,IF(BA492&gt;ITP_TRAMO_ALTO,SUMIFS(CF_CUOTA,CF_MAS,ITP_TRAMO_ALTO,CF_CCMIN,"&lt;="&amp;CM492,CF_CCMAX,"&gt;="&amp;CM492),IF(BA492&gt;ITP_TRAMO_BAJO,SUMIFS(CF_CUOTA,CF_MAS,ITP_TRAMO_BAJO,CF_CCMIN,"&lt;="&amp;CM492,CF_CCMAX,"&gt;="&amp;CM492),O492*ITP_TIPO)),O492*ITP_TIPO))</f>
        <v/>
      </c>
      <c r="CO492" s="4">
        <f>IF(R492="profesional",N(AK492),0)</f>
        <v/>
      </c>
      <c r="CP492" s="3">
        <f>IF(AND(R492="profesional",ISNUMBER(AK492),AL492="sí"),0,TASA_DGT)</f>
        <v/>
      </c>
      <c r="CQ492" s="3">
        <f>INFORME_DGT</f>
        <v/>
      </c>
      <c r="CR492" s="4">
        <f>O492+CO492+CN492+CP492+CQ492</f>
        <v/>
      </c>
      <c r="CS492" s="4">
        <f>CR492+N(CF492)</f>
        <v/>
      </c>
      <c r="CT492" s="3">
        <f>IF(CR492&lt;=TOTAL_MAX,"sí",IF(CR492&lt;=TOTAL_MAX+MARGEN_NEG,"negociar","no"))</f>
        <v/>
      </c>
      <c r="CU492" s="4">
        <f>IF(CT492&lt;&gt;"no",COUNTIFS($CT$2:$CT$545,"&lt;&gt;no",$CL$2:$CL$545,"&gt;"&amp;CL492)+COUNTIFS($CT$2:CT492,"&lt;&gt;no",$CL$2:CL492,CL492),"")</f>
        <v/>
      </c>
    </row>
    <row r="493">
      <c r="A493" s="2" t="inlineStr">
        <is>
          <t>cochesnet:71357426</t>
        </is>
      </c>
      <c r="B493" s="2" t="inlineStr">
        <is>
          <t>cochesnet</t>
        </is>
      </c>
      <c r="C493" s="2" t="inlineStr">
        <is>
          <t>https://www.coches.net/opel-corsa-gasolina-2008-en-castellon-71357426-covo.aspx</t>
        </is>
      </c>
      <c r="D493" s="2" t="inlineStr">
        <is>
          <t>OPEL Corsa</t>
        </is>
      </c>
      <c r="E493" s="2" t="inlineStr">
        <is>
          <t>Opel</t>
        </is>
      </c>
      <c r="F493" s="2" t="inlineStr">
        <is>
          <t>Opel Corsa</t>
        </is>
      </c>
      <c r="G493" s="2" t="n"/>
      <c r="H493" s="2" t="n"/>
      <c r="I493" s="2" t="n"/>
      <c r="J493" s="2" t="n"/>
      <c r="K493" s="2" t="inlineStr">
        <is>
          <t>gasolina</t>
        </is>
      </c>
      <c r="L493" s="2" t="inlineStr">
        <is>
          <t>utilitario</t>
        </is>
      </c>
      <c r="M493" s="2" t="n">
        <v>2008</v>
      </c>
      <c r="N493" s="2" t="n">
        <v>197000</v>
      </c>
      <c r="O493" s="2" t="n">
        <v>3000</v>
      </c>
      <c r="P493" s="2" t="inlineStr">
        <is>
          <t>manual</t>
        </is>
      </c>
      <c r="Q493" s="2" t="inlineStr">
        <is>
          <t>no</t>
        </is>
      </c>
      <c r="R493" s="2" t="inlineStr">
        <is>
          <t>particular</t>
        </is>
      </c>
      <c r="S493" s="2" t="n"/>
      <c r="T493" s="2" t="inlineStr">
        <is>
          <t>2026-08-25T01:13:01Z</t>
        </is>
      </c>
      <c r="U493" s="2" t="n">
        <v>9</v>
      </c>
      <c r="V493" s="2" t="inlineStr">
        <is>
          <t>sí</t>
        </is>
      </c>
      <c r="W493" s="2" t="n"/>
      <c r="X493" s="2" t="inlineStr">
        <is>
          <t>sí</t>
        </is>
      </c>
      <c r="Y493" s="2" t="n"/>
      <c r="Z493" s="2" t="inlineStr">
        <is>
          <t>no</t>
        </is>
      </c>
      <c r="AA493" s="2" t="n"/>
      <c r="AB493" s="2" t="n"/>
      <c r="AC493" s="2" t="n"/>
      <c r="AD493" s="2" t="n"/>
      <c r="AE493" s="2" t="n"/>
      <c r="AF493" s="2" t="n"/>
      <c r="AG493" s="2" t="n"/>
      <c r="AH493" s="2" t="n">
        <v>3000</v>
      </c>
      <c r="AI493" s="2" t="n"/>
      <c r="AJ493" s="2" t="n"/>
      <c r="AK493" s="2" t="n"/>
      <c r="AL493" s="2" t="n"/>
      <c r="AM493" s="2" t="n"/>
      <c r="AN493" s="2" t="n"/>
      <c r="AO493" s="2" t="inlineStr">
        <is>
          <t>2008</t>
        </is>
      </c>
      <c r="AP493" s="2" t="n">
        <v>2008</v>
      </c>
      <c r="AQ493" s="2" t="n"/>
      <c r="AR493" s="2" t="n"/>
      <c r="AS493" s="2" t="inlineStr">
        <is>
          <t>regla</t>
        </is>
      </c>
      <c r="AT493" s="2" t="n">
        <v>3150</v>
      </c>
      <c r="AU493" s="2" t="n">
        <v>8</v>
      </c>
      <c r="AV493" s="2" t="inlineStr">
        <is>
          <t>modelo+año+km</t>
        </is>
      </c>
      <c r="AW493" s="2" t="n"/>
      <c r="AX493" s="2" t="inlineStr">
        <is>
          <t>cilindrada desconocida: se aplica el tramo de cuota fija más alto; cuota fija ITP: &gt;12 años, más de 2.000 cc; distancia no verificable (el anuncio solo indica la provincia): confirmar que está a &lt;= 70 km</t>
        </is>
      </c>
      <c r="AY493" s="2" t="inlineStr">
        <is>
          <t xml:space="preserve">Opel corsa  1.4 gasolina del 2008, con 197.000 km. ITV en vigor, correa de distribución cambiada, recién pintado y aire acondicionado funcionando perfectamente. Coche en buen estado, cuidado y listo para usar. Se puede ver y probar sin compromiso. Precio negociable
</t>
        </is>
      </c>
      <c r="AZ493" s="2" t="inlineStr">
        <is>
          <t>https://www.coches.net/opel-corsa-gasolina-2008-en-castellon-71357426-covo.aspx (window.__INITIAL_PROPS__.ad) /home/user/Alopecia/buscador-coches/raw/cochesnet/ac9daa71f5433ffc.json</t>
        </is>
      </c>
      <c r="BA493" s="3">
        <f>MAX(ANIO_ACTUAL-M493,0)</f>
        <v/>
      </c>
      <c r="BB493" s="4">
        <f>N493/MAX(BA493,0.5)</f>
        <v/>
      </c>
      <c r="BC493" s="4">
        <f>F493</f>
        <v/>
      </c>
      <c r="BD493" s="3">
        <f>BC493&amp;"|"&amp;INT(M493/SEG_ANIO)*SEG_ANIO</f>
        <v/>
      </c>
      <c r="BE493" s="3">
        <f>BD493&amp;"|"&amp;INT(N493/SEG_KM)*SEG_KM</f>
        <v/>
      </c>
      <c r="BF493" s="4">
        <f>COUNTIF($BC$2:$BC$545,BC493)</f>
        <v/>
      </c>
      <c r="BG493" s="4">
        <f>COUNTIF($BD$2:$BD$545,BD493)</f>
        <v/>
      </c>
      <c r="BH493" s="4">
        <f>COUNTIF($BE$2:$BE$545,BE493)</f>
        <v/>
      </c>
      <c r="BI493" s="3">
        <f t="array" ref="BI493">IF(N(AU493)&gt;=MIN_N,AT493,IF(BH493&gt;=MIN_N,MEDIAN(IF($BE$2:$BE$545=BE493,$O$2:$O$545)),IF(BG493&gt;=MIN_N,MEDIAN(IF($BD$2:$BD$545=BD493,$O$2:$O$545)),MEDIAN(IF($BC$2:$BC$545=BC493,$O$2:$O$545)))))</f>
        <v/>
      </c>
      <c r="BJ493" s="3">
        <f>IF(N(AU493)&gt;=MIN_N,"mercado "&amp;AV493,IF(BH493&gt;=MIN_N,"modelo+año+km",IF(BG493&gt;=MIN_N,"modelo+año","modelo")))</f>
        <v/>
      </c>
      <c r="BK493" s="4">
        <f>(BI493-O493)/BI493</f>
        <v/>
      </c>
      <c r="BL493" s="3">
        <f>IF(COUNTIFS(FR_FUEL,K493,FR_YEAR,AP493)&gt;0,1,0)</f>
        <v/>
      </c>
      <c r="BM493" s="3">
        <f>IF(COUNTIFS(FR_FUEL,K493,FR_YEAR,AP493-1)&gt;0,1,0)</f>
        <v/>
      </c>
      <c r="BN493" s="4">
        <f>IF(N(AQ493)&gt;0,AP493*100+AQ493,IF(AND(BL493=1,BM493=1),(AP493-1)*100+1,AP493*100+1))</f>
        <v/>
      </c>
      <c r="BO493" s="3">
        <f>IF(OR(K493="hibrido",K493="glp",K493="gnc",K493="phev"),"ECO",IF(K493="electrico","CERO",IF(K493="gasolina",IF(BN493&gt;=GAS_C_YM,"C",IF(BN493&gt;=GAS_B_YM,"B","A")),IF(K493="diesel",IF(BN493&gt;=DIE_C_YM,"C",IF(BN493&gt;=DIE_B_YM,"B","A")),""))))</f>
        <v/>
      </c>
      <c r="BP493" s="4">
        <f>BO493</f>
        <v/>
      </c>
      <c r="BQ493" s="4">
        <f>IF(AS493="regla",IF(AND(N(AQ493)=0,BL493=1),"sí","no"),"no")</f>
        <v/>
      </c>
      <c r="BR493" s="3">
        <f>IFERROR(VLOOKUP(F493,MOD_TBL,11,0),IFERROR(VLOOKUP(E493,OCU_TBL,2,0),NEUTRO))</f>
        <v/>
      </c>
      <c r="BS493" s="3">
        <f>SUMIFS(MOT_AJUSTE,MOT_MOTOR,G493,MOT_MARCA,E493,MOT_DESDE,"&lt;="&amp;M493,MOT_HASTA,"&gt;="&amp;M493)+SUMIFS(MOT_AJUSTE,MOT_MOTOR,G493,MOT_MARCA,"(todas)",MOT_DESDE,"&lt;="&amp;M493,MOT_HASTA,"&gt;="&amp;M493)</f>
        <v/>
      </c>
      <c r="BT493" s="3">
        <f>SUMIFS(COMB_AJUSTE,COMB_COMB,K493)</f>
        <v/>
      </c>
      <c r="BU493" s="3">
        <f>COUNTIFS(MOT_MOTOR,G493,MOT_MARCA,E493,MOT_DESDE,"&lt;="&amp;M493,MOT_HASTA,"&gt;="&amp;M493)+COUNTIFS(MOT_MOTOR,G493,MOT_MARCA,"(todas)",MOT_DESDE,"&lt;="&amp;M493,MOT_HASTA,"&gt;="&amp;M493)</f>
        <v/>
      </c>
      <c r="BV493" s="3">
        <f>IF(AND(K493="diesel",BU493=0),MIN(BR493,NEUTRO),BR493)</f>
        <v/>
      </c>
      <c r="BW493" s="4">
        <f>MAX(0,MIN(100,BV493+BS493+BT493))</f>
        <v/>
      </c>
      <c r="BX493" s="3">
        <f>MAX(0,MIN(100,50+BK493*PRECIO_PEND))</f>
        <v/>
      </c>
      <c r="BY493" s="3">
        <f>MAX(0,100*(1-N493/KM_MAX))</f>
        <v/>
      </c>
      <c r="BZ493" s="3">
        <f>IF(BB493&lt;KMA_SOSP,IF(AA493="sí",100,KMA_PEN),IF(BB493&lt;=KMA_IDEAL_MAX,100,MAX(0,100*(KMA_CERO-BB493)/(KMA_CERO-KMA_IDEAL_MAX))))</f>
        <v/>
      </c>
      <c r="CA493" s="3">
        <f>MAX(0,MIN(100,100*(M493-ANIO_MIN)/(ANIO_ACTUAL-ANIO_MIN)))</f>
        <v/>
      </c>
      <c r="CB493" s="3">
        <f>W_KMT*BY493+W_KMA*BZ493+W_EDAD*CA493</f>
        <v/>
      </c>
      <c r="CC493" s="3">
        <f>P_ITV*(V493="sí")+P_LIBRO*(W493="sí")+P_CORREA*(X493="sí")+P_PROP*(Y493=1)+P_GAR*(Z493="sí")+P_FOTOS*MIN(1,N(U493)/FOTOS_OBJ)</f>
        <v/>
      </c>
      <c r="CD493" s="3">
        <f>MAX(0,MIN(100,IFERROR(VLOOKUP(BP493,ETQ_TBL,2,0),0)-IF(BQ493="sí",ETQ_PEN_DUD,IF(AS493="regla",ETQ_PEN_REGLA,0))))</f>
        <v/>
      </c>
      <c r="CE493" s="3">
        <f>NEUTRO</f>
        <v/>
      </c>
      <c r="CF493" s="3">
        <f>IFERROR(VLOOKUP(L493,SEGURO_TBL,3,0),"")</f>
        <v/>
      </c>
      <c r="CG493" s="3">
        <f>IF(CF493="",NEUTRO,MAX(0,MIN(100,100*(SEG_REF_MAX-CF493)/(SEG_REF_MAX-SEG_REF_MIN))))</f>
        <v/>
      </c>
      <c r="CH493" s="3">
        <f>W_CONS*CE493+W_SEG*CG493</f>
        <v/>
      </c>
      <c r="CI493" s="3">
        <f>IF(N(AB493)&gt;0,AB493,IF(AND(R493="profesional",SG_LEGAL_ON=1),GAR_LEGAL,0))</f>
        <v/>
      </c>
      <c r="CJ493" s="3">
        <f>SG_GAR*MIN(1,CI493/SG_GAR_FULL)+SG_AMPL*(AC493="sí")+SG_KMC*(AF493="sí")+SG_REV*(N(AE493)&gt;0)+SG_DEV*MIN(1,N(AG493)/SG_DEV_FULL)+SG_HIST*(W493="sí")</f>
        <v/>
      </c>
      <c r="CK493" s="3">
        <f>IFERROR(VLOOKUP(L493,CARR_PEN_TBL,2,0),0)</f>
        <v/>
      </c>
      <c r="CL493" s="3">
        <f>W_FIAB*BW493+W_PRECIO*BX493+W_KMEDAD*CB493+W_ANUNCIO*CC493+W_USO*CH493+W_SEGURIDAD*CJ493+W_ETIQUETA*CD493-CK493</f>
        <v/>
      </c>
      <c r="CM493" s="4">
        <f>IF(N(I493)&gt;0,I493,IFERROR(ROUND(_xlfn.NUMBERVALUE(LEFT(G493,FIND(" ",G493&amp;" ")-1),".")*1000,0),99999))</f>
        <v/>
      </c>
      <c r="CN493" s="3">
        <f>IF(R493="profesional",0,IF(O493&lt;CUOTA_VALOR_MAX,IF(BA493&gt;ITP_TRAMO_ALTO,SUMIFS(CF_CUOTA,CF_MAS,ITP_TRAMO_ALTO,CF_CCMIN,"&lt;="&amp;CM493,CF_CCMAX,"&gt;="&amp;CM493),IF(BA493&gt;ITP_TRAMO_BAJO,SUMIFS(CF_CUOTA,CF_MAS,ITP_TRAMO_BAJO,CF_CCMIN,"&lt;="&amp;CM493,CF_CCMAX,"&gt;="&amp;CM493),O493*ITP_TIPO)),O493*ITP_TIPO))</f>
        <v/>
      </c>
      <c r="CO493" s="4">
        <f>IF(R493="profesional",N(AK493),0)</f>
        <v/>
      </c>
      <c r="CP493" s="3">
        <f>IF(AND(R493="profesional",ISNUMBER(AK493),AL493="sí"),0,TASA_DGT)</f>
        <v/>
      </c>
      <c r="CQ493" s="3">
        <f>INFORME_DGT</f>
        <v/>
      </c>
      <c r="CR493" s="4">
        <f>O493+CO493+CN493+CP493+CQ493</f>
        <v/>
      </c>
      <c r="CS493" s="4">
        <f>CR493+N(CF493)</f>
        <v/>
      </c>
      <c r="CT493" s="3">
        <f>IF(CR493&lt;=TOTAL_MAX,"sí",IF(CR493&lt;=TOTAL_MAX+MARGEN_NEG,"negociar","no"))</f>
        <v/>
      </c>
      <c r="CU493" s="4">
        <f>IF(CT493&lt;&gt;"no",COUNTIFS($CT$2:$CT$545,"&lt;&gt;no",$CL$2:$CL$545,"&gt;"&amp;CL493)+COUNTIFS($CT$2:CT493,"&lt;&gt;no",$CL$2:CL493,CL493),"")</f>
        <v/>
      </c>
    </row>
    <row r="494">
      <c r="A494" s="2" t="inlineStr">
        <is>
          <t>cochesnet:71309711</t>
        </is>
      </c>
      <c r="B494" s="2" t="inlineStr">
        <is>
          <t>cochesnet</t>
        </is>
      </c>
      <c r="C494" s="2" t="inlineStr">
        <is>
          <t>https://www.coches.net/opel-astra-17-cdti-cosmo-5p-diesel-2010-en-castellon-71309711-covo.aspx</t>
        </is>
      </c>
      <c r="D494" s="2" t="inlineStr">
        <is>
          <t>OPEL Astra 1.7 CDTi Cosmo</t>
        </is>
      </c>
      <c r="E494" s="2" t="inlineStr">
        <is>
          <t>Opel</t>
        </is>
      </c>
      <c r="F494" s="2" t="inlineStr">
        <is>
          <t>Opel Astra</t>
        </is>
      </c>
      <c r="G494" s="2" t="inlineStr">
        <is>
          <t>1.7 CDTi</t>
        </is>
      </c>
      <c r="H494" s="2" t="inlineStr">
        <is>
          <t>1.7 CDTi Cosmo</t>
        </is>
      </c>
      <c r="I494" s="2" t="n"/>
      <c r="J494" s="2" t="n"/>
      <c r="K494" s="2" t="inlineStr">
        <is>
          <t>diesel</t>
        </is>
      </c>
      <c r="L494" s="2" t="inlineStr">
        <is>
          <t>compacto</t>
        </is>
      </c>
      <c r="M494" s="2" t="n">
        <v>2010</v>
      </c>
      <c r="N494" s="2" t="n">
        <v>180000</v>
      </c>
      <c r="O494" s="2" t="n">
        <v>3200</v>
      </c>
      <c r="P494" s="2" t="inlineStr">
        <is>
          <t>manual</t>
        </is>
      </c>
      <c r="Q494" s="2" t="inlineStr">
        <is>
          <t>no</t>
        </is>
      </c>
      <c r="R494" s="2" t="inlineStr">
        <is>
          <t>particular</t>
        </is>
      </c>
      <c r="S494" s="2" t="inlineStr">
        <is>
          <t>Castellón de la Plana / Castelló de la Plana</t>
        </is>
      </c>
      <c r="T494" s="2" t="inlineStr">
        <is>
          <t>2026-08-17T21:05:22Z</t>
        </is>
      </c>
      <c r="U494" s="2" t="n">
        <v>9</v>
      </c>
      <c r="V494" s="2" t="inlineStr">
        <is>
          <t>sí</t>
        </is>
      </c>
      <c r="W494" s="2" t="n"/>
      <c r="X494" s="2" t="n"/>
      <c r="Y494" s="2" t="n"/>
      <c r="Z494" s="2" t="inlineStr">
        <is>
          <t>no</t>
        </is>
      </c>
      <c r="AA494" s="2" t="n"/>
      <c r="AB494" s="2" t="n"/>
      <c r="AC494" s="2" t="n"/>
      <c r="AD494" s="2" t="n"/>
      <c r="AE494" s="2" t="n"/>
      <c r="AF494" s="2" t="n"/>
      <c r="AG494" s="2" t="n"/>
      <c r="AH494" s="2" t="n">
        <v>3200</v>
      </c>
      <c r="AI494" s="2" t="n"/>
      <c r="AJ494" s="2" t="n"/>
      <c r="AK494" s="2" t="n"/>
      <c r="AL494" s="2" t="n"/>
      <c r="AM494" s="2" t="n"/>
      <c r="AN494" s="2" t="n"/>
      <c r="AO494" s="2" t="inlineStr">
        <is>
          <t>04/2010</t>
        </is>
      </c>
      <c r="AP494" s="2" t="n">
        <v>2010</v>
      </c>
      <c r="AQ494" s="2" t="n">
        <v>4</v>
      </c>
      <c r="AR494" s="2" t="inlineStr">
        <is>
          <t>B</t>
        </is>
      </c>
      <c r="AS494" s="2" t="inlineStr">
        <is>
          <t>anuncio</t>
        </is>
      </c>
      <c r="AT494" s="2" t="n">
        <v>4745</v>
      </c>
      <c r="AU494" s="2" t="n">
        <v>10</v>
      </c>
      <c r="AV494" s="2" t="inlineStr">
        <is>
          <t>modelo+año+km</t>
        </is>
      </c>
      <c r="AW494" s="2" t="n"/>
      <c r="AX494" s="2" t="inlineStr">
        <is>
          <t>cuota fija ITP: &gt;12 años, 1.501-2.000 cc; diésel: motor sin fuente de fiabilidad (fiabilidad limitada a neutra); distancia no verificable (el anuncio solo indica la provincia): confirmar que está a &lt;= 70 km</t>
        </is>
      </c>
      <c r="AY494" s="2" t="inlineStr">
        <is>
          <t>coche bien cuidado.Hace poco se le ha cambiado aceite,filtros,discos y pastillas de freno,amortiguadores traseros,neumaticos delanteros.Itv en vigor hasta 11/2026.Color gris plata.Se accepta prueba mecanica</t>
        </is>
      </c>
      <c r="AZ494" s="2" t="inlineStr">
        <is>
          <t>https://www.coches.net/opel-astra-17-cdti-cosmo-5p-diesel-2010-en-castellon-71309711-covo.aspx (window.__INITIAL_PROPS__.ad) /home/user/Alopecia/buscador-coches/raw/cochesnet/89102b9e85c47841.json</t>
        </is>
      </c>
      <c r="BA494" s="3">
        <f>MAX(ANIO_ACTUAL-M494,0)</f>
        <v/>
      </c>
      <c r="BB494" s="4">
        <f>N494/MAX(BA494,0.5)</f>
        <v/>
      </c>
      <c r="BC494" s="4">
        <f>F494</f>
        <v/>
      </c>
      <c r="BD494" s="3">
        <f>BC494&amp;"|"&amp;INT(M494/SEG_ANIO)*SEG_ANIO</f>
        <v/>
      </c>
      <c r="BE494" s="3">
        <f>BD494&amp;"|"&amp;INT(N494/SEG_KM)*SEG_KM</f>
        <v/>
      </c>
      <c r="BF494" s="4">
        <f>COUNTIF($BC$2:$BC$545,BC494)</f>
        <v/>
      </c>
      <c r="BG494" s="4">
        <f>COUNTIF($BD$2:$BD$545,BD494)</f>
        <v/>
      </c>
      <c r="BH494" s="4">
        <f>COUNTIF($BE$2:$BE$545,BE494)</f>
        <v/>
      </c>
      <c r="BI494" s="3">
        <f t="array" ref="BI494">IF(N(AU494)&gt;=MIN_N,AT494,IF(BH494&gt;=MIN_N,MEDIAN(IF($BE$2:$BE$545=BE494,$O$2:$O$545)),IF(BG494&gt;=MIN_N,MEDIAN(IF($BD$2:$BD$545=BD494,$O$2:$O$545)),MEDIAN(IF($BC$2:$BC$545=BC494,$O$2:$O$545)))))</f>
        <v/>
      </c>
      <c r="BJ494" s="3">
        <f>IF(N(AU494)&gt;=MIN_N,"mercado "&amp;AV494,IF(BH494&gt;=MIN_N,"modelo+año+km",IF(BG494&gt;=MIN_N,"modelo+año","modelo")))</f>
        <v/>
      </c>
      <c r="BK494" s="4">
        <f>(BI494-O494)/BI494</f>
        <v/>
      </c>
      <c r="BL494" s="3">
        <f>IF(COUNTIFS(FR_FUEL,K494,FR_YEAR,AP494)&gt;0,1,0)</f>
        <v/>
      </c>
      <c r="BM494" s="3">
        <f>IF(COUNTIFS(FR_FUEL,K494,FR_YEAR,AP494-1)&gt;0,1,0)</f>
        <v/>
      </c>
      <c r="BN494" s="4">
        <f>IF(N(AQ494)&gt;0,AP494*100+AQ494,IF(AND(BL494=1,BM494=1),(AP494-1)*100+1,AP494*100+1))</f>
        <v/>
      </c>
      <c r="BO494" s="3">
        <f>IF(OR(K494="hibrido",K494="glp",K494="gnc",K494="phev"),"ECO",IF(K494="electrico","CERO",IF(K494="gasolina",IF(BN494&gt;=GAS_C_YM,"C",IF(BN494&gt;=GAS_B_YM,"B","A")),IF(K494="diesel",IF(BN494&gt;=DIE_C_YM,"C",IF(BN494&gt;=DIE_B_YM,"B","A")),""))))</f>
        <v/>
      </c>
      <c r="BP494" s="2" t="inlineStr">
        <is>
          <t>B</t>
        </is>
      </c>
      <c r="BQ494" s="4">
        <f>IF(AS494="regla",IF(AND(N(AQ494)=0,BL494=1),"sí","no"),"no")</f>
        <v/>
      </c>
      <c r="BR494" s="3">
        <f>IFERROR(VLOOKUP(F494,MOD_TBL,11,0),IFERROR(VLOOKUP(E494,OCU_TBL,2,0),NEUTRO))</f>
        <v/>
      </c>
      <c r="BS494" s="3">
        <f>SUMIFS(MOT_AJUSTE,MOT_MOTOR,G494,MOT_MARCA,E494,MOT_DESDE,"&lt;="&amp;M494,MOT_HASTA,"&gt;="&amp;M494)+SUMIFS(MOT_AJUSTE,MOT_MOTOR,G494,MOT_MARCA,"(todas)",MOT_DESDE,"&lt;="&amp;M494,MOT_HASTA,"&gt;="&amp;M494)</f>
        <v/>
      </c>
      <c r="BT494" s="3">
        <f>SUMIFS(COMB_AJUSTE,COMB_COMB,K494)</f>
        <v/>
      </c>
      <c r="BU494" s="3">
        <f>COUNTIFS(MOT_MOTOR,G494,MOT_MARCA,E494,MOT_DESDE,"&lt;="&amp;M494,MOT_HASTA,"&gt;="&amp;M494)+COUNTIFS(MOT_MOTOR,G494,MOT_MARCA,"(todas)",MOT_DESDE,"&lt;="&amp;M494,MOT_HASTA,"&gt;="&amp;M494)</f>
        <v/>
      </c>
      <c r="BV494" s="3">
        <f>IF(AND(K494="diesel",BU494=0),MIN(BR494,NEUTRO),BR494)</f>
        <v/>
      </c>
      <c r="BW494" s="4">
        <f>MAX(0,MIN(100,BV494+BS494+BT494))</f>
        <v/>
      </c>
      <c r="BX494" s="3">
        <f>MAX(0,MIN(100,50+BK494*PRECIO_PEND))</f>
        <v/>
      </c>
      <c r="BY494" s="3">
        <f>MAX(0,100*(1-N494/KM_MAX))</f>
        <v/>
      </c>
      <c r="BZ494" s="3">
        <f>IF(BB494&lt;KMA_SOSP,IF(AA494="sí",100,KMA_PEN),IF(BB494&lt;=KMA_IDEAL_MAX,100,MAX(0,100*(KMA_CERO-BB494)/(KMA_CERO-KMA_IDEAL_MAX))))</f>
        <v/>
      </c>
      <c r="CA494" s="3">
        <f>MAX(0,MIN(100,100*(M494-ANIO_MIN)/(ANIO_ACTUAL-ANIO_MIN)))</f>
        <v/>
      </c>
      <c r="CB494" s="3">
        <f>W_KMT*BY494+W_KMA*BZ494+W_EDAD*CA494</f>
        <v/>
      </c>
      <c r="CC494" s="3">
        <f>P_ITV*(V494="sí")+P_LIBRO*(W494="sí")+P_CORREA*(X494="sí")+P_PROP*(Y494=1)+P_GAR*(Z494="sí")+P_FOTOS*MIN(1,N(U494)/FOTOS_OBJ)</f>
        <v/>
      </c>
      <c r="CD494" s="3">
        <f>MAX(0,MIN(100,IFERROR(VLOOKUP(BP494,ETQ_TBL,2,0),0)-IF(BQ494="sí",ETQ_PEN_DUD,IF(AS494="regla",ETQ_PEN_REGLA,0))))</f>
        <v/>
      </c>
      <c r="CE494" s="3">
        <f>NEUTRO</f>
        <v/>
      </c>
      <c r="CF494" s="3">
        <f>IFERROR(VLOOKUP(L494,SEGURO_TBL,3,0),"")</f>
        <v/>
      </c>
      <c r="CG494" s="3">
        <f>IF(CF494="",NEUTRO,MAX(0,MIN(100,100*(SEG_REF_MAX-CF494)/(SEG_REF_MAX-SEG_REF_MIN))))</f>
        <v/>
      </c>
      <c r="CH494" s="3">
        <f>W_CONS*CE494+W_SEG*CG494</f>
        <v/>
      </c>
      <c r="CI494" s="3">
        <f>IF(N(AB494)&gt;0,AB494,IF(AND(R494="profesional",SG_LEGAL_ON=1),GAR_LEGAL,0))</f>
        <v/>
      </c>
      <c r="CJ494" s="3">
        <f>SG_GAR*MIN(1,CI494/SG_GAR_FULL)+SG_AMPL*(AC494="sí")+SG_KMC*(AF494="sí")+SG_REV*(N(AE494)&gt;0)+SG_DEV*MIN(1,N(AG494)/SG_DEV_FULL)+SG_HIST*(W494="sí")</f>
        <v/>
      </c>
      <c r="CK494" s="3">
        <f>IFERROR(VLOOKUP(L494,CARR_PEN_TBL,2,0),0)</f>
        <v/>
      </c>
      <c r="CL494" s="3">
        <f>W_FIAB*BW494+W_PRECIO*BX494+W_KMEDAD*CB494+W_ANUNCIO*CC494+W_USO*CH494+W_SEGURIDAD*CJ494+W_ETIQUETA*CD494-CK494</f>
        <v/>
      </c>
      <c r="CM494" s="4">
        <f>IF(N(I494)&gt;0,I494,IFERROR(ROUND(_xlfn.NUMBERVALUE(LEFT(G494,FIND(" ",G494&amp;" ")-1),".")*1000,0),99999))</f>
        <v/>
      </c>
      <c r="CN494" s="3">
        <f>IF(R494="profesional",0,IF(O494&lt;CUOTA_VALOR_MAX,IF(BA494&gt;ITP_TRAMO_ALTO,SUMIFS(CF_CUOTA,CF_MAS,ITP_TRAMO_ALTO,CF_CCMIN,"&lt;="&amp;CM494,CF_CCMAX,"&gt;="&amp;CM494),IF(BA494&gt;ITP_TRAMO_BAJO,SUMIFS(CF_CUOTA,CF_MAS,ITP_TRAMO_BAJO,CF_CCMIN,"&lt;="&amp;CM494,CF_CCMAX,"&gt;="&amp;CM494),O494*ITP_TIPO)),O494*ITP_TIPO))</f>
        <v/>
      </c>
      <c r="CO494" s="4">
        <f>IF(R494="profesional",N(AK494),0)</f>
        <v/>
      </c>
      <c r="CP494" s="3">
        <f>IF(AND(R494="profesional",ISNUMBER(AK494),AL494="sí"),0,TASA_DGT)</f>
        <v/>
      </c>
      <c r="CQ494" s="3">
        <f>INFORME_DGT</f>
        <v/>
      </c>
      <c r="CR494" s="4">
        <f>O494+CO494+CN494+CP494+CQ494</f>
        <v/>
      </c>
      <c r="CS494" s="4">
        <f>CR494+N(CF494)</f>
        <v/>
      </c>
      <c r="CT494" s="3">
        <f>IF(CR494&lt;=TOTAL_MAX,"sí",IF(CR494&lt;=TOTAL_MAX+MARGEN_NEG,"negociar","no"))</f>
        <v/>
      </c>
      <c r="CU494" s="4">
        <f>IF(CT494&lt;&gt;"no",COUNTIFS($CT$2:$CT$545,"&lt;&gt;no",$CL$2:$CL$545,"&gt;"&amp;CL494)+COUNTIFS($CT$2:CT494,"&lt;&gt;no",$CL$2:CL494,CL494),"")</f>
        <v/>
      </c>
    </row>
    <row r="495">
      <c r="A495" s="2" t="inlineStr">
        <is>
          <t>cochesnet:71431998</t>
        </is>
      </c>
      <c r="B495" s="2" t="inlineStr">
        <is>
          <t>cochesnet</t>
        </is>
      </c>
      <c r="C495" s="2" t="inlineStr">
        <is>
          <t>https://www.coches.net/opel-corsa-diesel-2006-en-castellon-71431998-covo.aspx</t>
        </is>
      </c>
      <c r="D495" s="2" t="inlineStr">
        <is>
          <t>OPEL Corsa</t>
        </is>
      </c>
      <c r="E495" s="2" t="inlineStr">
        <is>
          <t>Opel</t>
        </is>
      </c>
      <c r="F495" s="2" t="inlineStr">
        <is>
          <t>Opel Corsa</t>
        </is>
      </c>
      <c r="G495" s="2" t="n"/>
      <c r="H495" s="2" t="n"/>
      <c r="I495" s="2" t="n"/>
      <c r="J495" s="2" t="n"/>
      <c r="K495" s="2" t="inlineStr">
        <is>
          <t>diesel</t>
        </is>
      </c>
      <c r="L495" s="2" t="inlineStr">
        <is>
          <t>utilitario</t>
        </is>
      </c>
      <c r="M495" s="2" t="n">
        <v>2006</v>
      </c>
      <c r="N495" s="2" t="n">
        <v>157000</v>
      </c>
      <c r="O495" s="2" t="n">
        <v>3900</v>
      </c>
      <c r="P495" s="2" t="inlineStr">
        <is>
          <t>manual</t>
        </is>
      </c>
      <c r="Q495" s="2" t="inlineStr">
        <is>
          <t>no</t>
        </is>
      </c>
      <c r="R495" s="2" t="inlineStr">
        <is>
          <t>particular</t>
        </is>
      </c>
      <c r="S495" s="2" t="n"/>
      <c r="T495" s="2" t="inlineStr">
        <is>
          <t>2026-09-03T08:55:19Z</t>
        </is>
      </c>
      <c r="U495" s="2" t="n"/>
      <c r="V495" s="2" t="n"/>
      <c r="W495" s="2" t="n"/>
      <c r="X495" s="2" t="n"/>
      <c r="Y495" s="2" t="n"/>
      <c r="Z495" s="2" t="inlineStr">
        <is>
          <t>no</t>
        </is>
      </c>
      <c r="AA495" s="2" t="n"/>
      <c r="AB495" s="2" t="n"/>
      <c r="AC495" s="2" t="n"/>
      <c r="AD495" s="2" t="n"/>
      <c r="AE495" s="2" t="n"/>
      <c r="AF495" s="2" t="n"/>
      <c r="AG495" s="2" t="n"/>
      <c r="AH495" s="2" t="n">
        <v>3900</v>
      </c>
      <c r="AI495" s="2" t="n"/>
      <c r="AJ495" s="2" t="n"/>
      <c r="AK495" s="2" t="n"/>
      <c r="AL495" s="2" t="n"/>
      <c r="AM495" s="2" t="n"/>
      <c r="AN495" s="2" t="n"/>
      <c r="AO495" s="2" t="inlineStr">
        <is>
          <t>2006</t>
        </is>
      </c>
      <c r="AP495" s="2" t="n">
        <v>2006</v>
      </c>
      <c r="AQ495" s="2" t="n"/>
      <c r="AR495" s="2" t="n"/>
      <c r="AS495" s="2" t="inlineStr">
        <is>
          <t>regla</t>
        </is>
      </c>
      <c r="AT495" s="2" t="n">
        <v>3100</v>
      </c>
      <c r="AU495" s="2" t="n">
        <v>8</v>
      </c>
      <c r="AV495" s="2" t="inlineStr">
        <is>
          <t>modelo+año+km</t>
        </is>
      </c>
      <c r="AW495" s="2" t="n"/>
      <c r="AX495"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95" s="2" t="inlineStr">
        <is>
          <t>Ha pasado la itv en mayo y esta en perfectas condiciones,precio negociable,urge por traslado.</t>
        </is>
      </c>
      <c r="AZ495" s="2" t="inlineStr">
        <is>
          <t>https://www.coches.net/opel-corsa-diesel-2006-en-castellon-71431998-covo.aspx (window.__INITIAL_PROPS__.ad) /home/user/Alopecia/buscador-coches/raw/cochesnet/ec7b46a2eebfca9d.json</t>
        </is>
      </c>
      <c r="BA495" s="3">
        <f>MAX(ANIO_ACTUAL-M495,0)</f>
        <v/>
      </c>
      <c r="BB495" s="4">
        <f>N495/MAX(BA495,0.5)</f>
        <v/>
      </c>
      <c r="BC495" s="4">
        <f>F495</f>
        <v/>
      </c>
      <c r="BD495" s="3">
        <f>BC495&amp;"|"&amp;INT(M495/SEG_ANIO)*SEG_ANIO</f>
        <v/>
      </c>
      <c r="BE495" s="3">
        <f>BD495&amp;"|"&amp;INT(N495/SEG_KM)*SEG_KM</f>
        <v/>
      </c>
      <c r="BF495" s="4">
        <f>COUNTIF($BC$2:$BC$545,BC495)</f>
        <v/>
      </c>
      <c r="BG495" s="4">
        <f>COUNTIF($BD$2:$BD$545,BD495)</f>
        <v/>
      </c>
      <c r="BH495" s="4">
        <f>COUNTIF($BE$2:$BE$545,BE495)</f>
        <v/>
      </c>
      <c r="BI495" s="3">
        <f t="array" ref="BI495">IF(N(AU495)&gt;=MIN_N,AT495,IF(BH495&gt;=MIN_N,MEDIAN(IF($BE$2:$BE$545=BE495,$O$2:$O$545)),IF(BG495&gt;=MIN_N,MEDIAN(IF($BD$2:$BD$545=BD495,$O$2:$O$545)),MEDIAN(IF($BC$2:$BC$545=BC495,$O$2:$O$545)))))</f>
        <v/>
      </c>
      <c r="BJ495" s="3">
        <f>IF(N(AU495)&gt;=MIN_N,"mercado "&amp;AV495,IF(BH495&gt;=MIN_N,"modelo+año+km",IF(BG495&gt;=MIN_N,"modelo+año","modelo")))</f>
        <v/>
      </c>
      <c r="BK495" s="4">
        <f>(BI495-O495)/BI495</f>
        <v/>
      </c>
      <c r="BL495" s="3">
        <f>IF(COUNTIFS(FR_FUEL,K495,FR_YEAR,AP495)&gt;0,1,0)</f>
        <v/>
      </c>
      <c r="BM495" s="3">
        <f>IF(COUNTIFS(FR_FUEL,K495,FR_YEAR,AP495-1)&gt;0,1,0)</f>
        <v/>
      </c>
      <c r="BN495" s="4">
        <f>IF(N(AQ495)&gt;0,AP495*100+AQ495,IF(AND(BL495=1,BM495=1),(AP495-1)*100+1,AP495*100+1))</f>
        <v/>
      </c>
      <c r="BO495" s="3">
        <f>IF(OR(K495="hibrido",K495="glp",K495="gnc",K495="phev"),"ECO",IF(K495="electrico","CERO",IF(K495="gasolina",IF(BN495&gt;=GAS_C_YM,"C",IF(BN495&gt;=GAS_B_YM,"B","A")),IF(K495="diesel",IF(BN495&gt;=DIE_C_YM,"C",IF(BN495&gt;=DIE_B_YM,"B","A")),""))))</f>
        <v/>
      </c>
      <c r="BP495" s="4">
        <f>BO495</f>
        <v/>
      </c>
      <c r="BQ495" s="4">
        <f>IF(AS495="regla",IF(AND(N(AQ495)=0,BL495=1),"sí","no"),"no")</f>
        <v/>
      </c>
      <c r="BR495" s="3">
        <f>IFERROR(VLOOKUP(F495,MOD_TBL,11,0),IFERROR(VLOOKUP(E495,OCU_TBL,2,0),NEUTRO))</f>
        <v/>
      </c>
      <c r="BS495" s="3">
        <f>SUMIFS(MOT_AJUSTE,MOT_MOTOR,G495,MOT_MARCA,E495,MOT_DESDE,"&lt;="&amp;M495,MOT_HASTA,"&gt;="&amp;M495)+SUMIFS(MOT_AJUSTE,MOT_MOTOR,G495,MOT_MARCA,"(todas)",MOT_DESDE,"&lt;="&amp;M495,MOT_HASTA,"&gt;="&amp;M495)</f>
        <v/>
      </c>
      <c r="BT495" s="3">
        <f>SUMIFS(COMB_AJUSTE,COMB_COMB,K495)</f>
        <v/>
      </c>
      <c r="BU495" s="3">
        <f>COUNTIFS(MOT_MOTOR,G495,MOT_MARCA,E495,MOT_DESDE,"&lt;="&amp;M495,MOT_HASTA,"&gt;="&amp;M495)+COUNTIFS(MOT_MOTOR,G495,MOT_MARCA,"(todas)",MOT_DESDE,"&lt;="&amp;M495,MOT_HASTA,"&gt;="&amp;M495)</f>
        <v/>
      </c>
      <c r="BV495" s="3">
        <f>IF(AND(K495="diesel",BU495=0),MIN(BR495,NEUTRO),BR495)</f>
        <v/>
      </c>
      <c r="BW495" s="4">
        <f>MAX(0,MIN(100,BV495+BS495+BT495))</f>
        <v/>
      </c>
      <c r="BX495" s="3">
        <f>MAX(0,MIN(100,50+BK495*PRECIO_PEND))</f>
        <v/>
      </c>
      <c r="BY495" s="3">
        <f>MAX(0,100*(1-N495/KM_MAX))</f>
        <v/>
      </c>
      <c r="BZ495" s="3">
        <f>IF(BB495&lt;KMA_SOSP,IF(AA495="sí",100,KMA_PEN),IF(BB495&lt;=KMA_IDEAL_MAX,100,MAX(0,100*(KMA_CERO-BB495)/(KMA_CERO-KMA_IDEAL_MAX))))</f>
        <v/>
      </c>
      <c r="CA495" s="3">
        <f>MAX(0,MIN(100,100*(M495-ANIO_MIN)/(ANIO_ACTUAL-ANIO_MIN)))</f>
        <v/>
      </c>
      <c r="CB495" s="3">
        <f>W_KMT*BY495+W_KMA*BZ495+W_EDAD*CA495</f>
        <v/>
      </c>
      <c r="CC495" s="3">
        <f>P_ITV*(V495="sí")+P_LIBRO*(W495="sí")+P_CORREA*(X495="sí")+P_PROP*(Y495=1)+P_GAR*(Z495="sí")+P_FOTOS*MIN(1,N(U495)/FOTOS_OBJ)</f>
        <v/>
      </c>
      <c r="CD495" s="3">
        <f>MAX(0,MIN(100,IFERROR(VLOOKUP(BP495,ETQ_TBL,2,0),0)-IF(BQ495="sí",ETQ_PEN_DUD,IF(AS495="regla",ETQ_PEN_REGLA,0))))</f>
        <v/>
      </c>
      <c r="CE495" s="3">
        <f>NEUTRO</f>
        <v/>
      </c>
      <c r="CF495" s="3">
        <f>IFERROR(VLOOKUP(L495,SEGURO_TBL,3,0),"")</f>
        <v/>
      </c>
      <c r="CG495" s="3">
        <f>IF(CF495="",NEUTRO,MAX(0,MIN(100,100*(SEG_REF_MAX-CF495)/(SEG_REF_MAX-SEG_REF_MIN))))</f>
        <v/>
      </c>
      <c r="CH495" s="3">
        <f>W_CONS*CE495+W_SEG*CG495</f>
        <v/>
      </c>
      <c r="CI495" s="3">
        <f>IF(N(AB495)&gt;0,AB495,IF(AND(R495="profesional",SG_LEGAL_ON=1),GAR_LEGAL,0))</f>
        <v/>
      </c>
      <c r="CJ495" s="3">
        <f>SG_GAR*MIN(1,CI495/SG_GAR_FULL)+SG_AMPL*(AC495="sí")+SG_KMC*(AF495="sí")+SG_REV*(N(AE495)&gt;0)+SG_DEV*MIN(1,N(AG495)/SG_DEV_FULL)+SG_HIST*(W495="sí")</f>
        <v/>
      </c>
      <c r="CK495" s="3">
        <f>IFERROR(VLOOKUP(L495,CARR_PEN_TBL,2,0),0)</f>
        <v/>
      </c>
      <c r="CL495" s="3">
        <f>W_FIAB*BW495+W_PRECIO*BX495+W_KMEDAD*CB495+W_ANUNCIO*CC495+W_USO*CH495+W_SEGURIDAD*CJ495+W_ETIQUETA*CD495-CK495</f>
        <v/>
      </c>
      <c r="CM495" s="4">
        <f>IF(N(I495)&gt;0,I495,IFERROR(ROUND(_xlfn.NUMBERVALUE(LEFT(G495,FIND(" ",G495&amp;" ")-1),".")*1000,0),99999))</f>
        <v/>
      </c>
      <c r="CN495" s="3">
        <f>IF(R495="profesional",0,IF(O495&lt;CUOTA_VALOR_MAX,IF(BA495&gt;ITP_TRAMO_ALTO,SUMIFS(CF_CUOTA,CF_MAS,ITP_TRAMO_ALTO,CF_CCMIN,"&lt;="&amp;CM495,CF_CCMAX,"&gt;="&amp;CM495),IF(BA495&gt;ITP_TRAMO_BAJO,SUMIFS(CF_CUOTA,CF_MAS,ITP_TRAMO_BAJO,CF_CCMIN,"&lt;="&amp;CM495,CF_CCMAX,"&gt;="&amp;CM495),O495*ITP_TIPO)),O495*ITP_TIPO))</f>
        <v/>
      </c>
      <c r="CO495" s="4">
        <f>IF(R495="profesional",N(AK495),0)</f>
        <v/>
      </c>
      <c r="CP495" s="3">
        <f>IF(AND(R495="profesional",ISNUMBER(AK495),AL495="sí"),0,TASA_DGT)</f>
        <v/>
      </c>
      <c r="CQ495" s="3">
        <f>INFORME_DGT</f>
        <v/>
      </c>
      <c r="CR495" s="4">
        <f>O495+CO495+CN495+CP495+CQ495</f>
        <v/>
      </c>
      <c r="CS495" s="4">
        <f>CR495+N(CF495)</f>
        <v/>
      </c>
      <c r="CT495" s="3">
        <f>IF(CR495&lt;=TOTAL_MAX,"sí",IF(CR495&lt;=TOTAL_MAX+MARGEN_NEG,"negociar","no"))</f>
        <v/>
      </c>
      <c r="CU495" s="4">
        <f>IF(CT495&lt;&gt;"no",COUNTIFS($CT$2:$CT$545,"&lt;&gt;no",$CL$2:$CL$545,"&gt;"&amp;CL495)+COUNTIFS($CT$2:CT495,"&lt;&gt;no",$CL$2:CL495,CL495),"")</f>
        <v/>
      </c>
    </row>
    <row r="496">
      <c r="A496" s="2" t="inlineStr">
        <is>
          <t>cochesnet:71829616</t>
        </is>
      </c>
      <c r="B496" s="2" t="inlineStr">
        <is>
          <t>cochesnet</t>
        </is>
      </c>
      <c r="C496" s="2" t="inlineStr">
        <is>
          <t>https://www.coches.net/renault-megane-limited-dci-110-eco2-5p-diesel-2014-en-castellon-71829616-covo.aspx</t>
        </is>
      </c>
      <c r="D496" s="2" t="inlineStr">
        <is>
          <t>RENAULT Megane Limited dCi 110 eco2</t>
        </is>
      </c>
      <c r="E496" s="2" t="inlineStr">
        <is>
          <t>Renault</t>
        </is>
      </c>
      <c r="F496" s="2" t="inlineStr">
        <is>
          <t>Renault Mégane</t>
        </is>
      </c>
      <c r="G496" s="2" t="inlineStr">
        <is>
          <t>? dCi</t>
        </is>
      </c>
      <c r="H496" s="2" t="inlineStr">
        <is>
          <t>Limited dCi 110 eco2</t>
        </is>
      </c>
      <c r="I496" s="2" t="n"/>
      <c r="J496" s="2" t="n"/>
      <c r="K496" s="2" t="inlineStr">
        <is>
          <t>diesel</t>
        </is>
      </c>
      <c r="L496" s="2" t="inlineStr">
        <is>
          <t>compacto</t>
        </is>
      </c>
      <c r="M496" s="2" t="n">
        <v>2014</v>
      </c>
      <c r="N496" s="2" t="n">
        <v>200000</v>
      </c>
      <c r="O496" s="2" t="n">
        <v>4960</v>
      </c>
      <c r="P496" s="2" t="inlineStr">
        <is>
          <t>manual</t>
        </is>
      </c>
      <c r="Q496" s="2" t="inlineStr">
        <is>
          <t>no</t>
        </is>
      </c>
      <c r="R496" s="2" t="inlineStr">
        <is>
          <t>particular</t>
        </is>
      </c>
      <c r="S496" s="2" t="n"/>
      <c r="T496" s="2" t="inlineStr">
        <is>
          <t>2026-10-25T16:38:51Z</t>
        </is>
      </c>
      <c r="U496" s="2" t="n">
        <v>6</v>
      </c>
      <c r="V496" s="2" t="inlineStr">
        <is>
          <t>sí</t>
        </is>
      </c>
      <c r="W496" s="2" t="n"/>
      <c r="X496" s="2" t="n"/>
      <c r="Y496" s="2" t="n"/>
      <c r="Z496" s="2" t="inlineStr">
        <is>
          <t>no</t>
        </is>
      </c>
      <c r="AA496" s="2" t="n"/>
      <c r="AB496" s="2" t="n"/>
      <c r="AC496" s="2" t="n"/>
      <c r="AD496" s="2" t="n"/>
      <c r="AE496" s="2" t="n"/>
      <c r="AF496" s="2" t="n"/>
      <c r="AG496" s="2" t="n"/>
      <c r="AH496" s="2" t="n">
        <v>4960</v>
      </c>
      <c r="AI496" s="2" t="n"/>
      <c r="AJ496" s="2" t="n"/>
      <c r="AK496" s="2" t="n"/>
      <c r="AL496" s="2" t="n"/>
      <c r="AM496" s="2" t="n"/>
      <c r="AN496" s="2" t="n"/>
      <c r="AO496" s="2" t="inlineStr">
        <is>
          <t>2014</t>
        </is>
      </c>
      <c r="AP496" s="2" t="n">
        <v>2014</v>
      </c>
      <c r="AQ496" s="2" t="n"/>
      <c r="AR496" s="2" t="n"/>
      <c r="AS496" s="2" t="inlineStr">
        <is>
          <t>regla</t>
        </is>
      </c>
      <c r="AT496" s="2" t="n">
        <v>4930</v>
      </c>
      <c r="AU496" s="2" t="n">
        <v>4</v>
      </c>
      <c r="AV496" s="2" t="inlineStr">
        <is>
          <t>modelo+año+km</t>
        </is>
      </c>
      <c r="AW496" s="2" t="n"/>
      <c r="AX496" s="2" t="inlineStr">
        <is>
          <t>cilindrada desconocida: se aplica el tramo de cuota fija más alto; cuota fija ITP: &gt;5 y &lt;=12 años, más de 2.000 cc; diésel: motor sin fuente de fiabilidad (fiabilidad limitada a neutra); distancia no verificable (el anuncio solo indica la provincia): confirmar que está a &lt;= 70 km</t>
        </is>
      </c>
      <c r="AY496" s="2" t="inlineStr">
        <is>
          <t>Renault Megane en color gris oscuro con un diseño estilizado y compacto.
Faros delanteros con luces diurnas LED llantas de aleación carrocería de cinco puertas. 1.5dci limited 110dci 
dCi 2014 6 velocidades con 2 llaves 200.000
km ITV hasta agosto 2027 
El Coche funciona bien y se puede probar sin compromiso Precio negociable</t>
        </is>
      </c>
      <c r="AZ496" s="2" t="inlineStr">
        <is>
          <t>https://www.coches.net/renault-megane-limited-dci-110-eco2-5p-diesel-2014-en-castellon-71829616-covo.aspx (window.__INITIAL_PROPS__.ad) /home/user/Alopecia/buscador-coches/raw/cochesnet/73a00d9a5106c70c.json</t>
        </is>
      </c>
      <c r="BA496" s="3">
        <f>MAX(ANIO_ACTUAL-M496,0)</f>
        <v/>
      </c>
      <c r="BB496" s="4">
        <f>N496/MAX(BA496,0.5)</f>
        <v/>
      </c>
      <c r="BC496" s="4">
        <f>F496</f>
        <v/>
      </c>
      <c r="BD496" s="3">
        <f>BC496&amp;"|"&amp;INT(M496/SEG_ANIO)*SEG_ANIO</f>
        <v/>
      </c>
      <c r="BE496" s="3">
        <f>BD496&amp;"|"&amp;INT(N496/SEG_KM)*SEG_KM</f>
        <v/>
      </c>
      <c r="BF496" s="4">
        <f>COUNTIF($BC$2:$BC$545,BC496)</f>
        <v/>
      </c>
      <c r="BG496" s="4">
        <f>COUNTIF($BD$2:$BD$545,BD496)</f>
        <v/>
      </c>
      <c r="BH496" s="4">
        <f>COUNTIF($BE$2:$BE$545,BE496)</f>
        <v/>
      </c>
      <c r="BI496" s="3">
        <f t="array" ref="BI496">IF(N(AU496)&gt;=MIN_N,AT496,IF(BH496&gt;=MIN_N,MEDIAN(IF($BE$2:$BE$545=BE496,$O$2:$O$545)),IF(BG496&gt;=MIN_N,MEDIAN(IF($BD$2:$BD$545=BD496,$O$2:$O$545)),MEDIAN(IF($BC$2:$BC$545=BC496,$O$2:$O$545)))))</f>
        <v/>
      </c>
      <c r="BJ496" s="3">
        <f>IF(N(AU496)&gt;=MIN_N,"mercado "&amp;AV496,IF(BH496&gt;=MIN_N,"modelo+año+km",IF(BG496&gt;=MIN_N,"modelo+año","modelo")))</f>
        <v/>
      </c>
      <c r="BK496" s="4">
        <f>(BI496-O496)/BI496</f>
        <v/>
      </c>
      <c r="BL496" s="3">
        <f>IF(COUNTIFS(FR_FUEL,K496,FR_YEAR,AP496)&gt;0,1,0)</f>
        <v/>
      </c>
      <c r="BM496" s="3">
        <f>IF(COUNTIFS(FR_FUEL,K496,FR_YEAR,AP496-1)&gt;0,1,0)</f>
        <v/>
      </c>
      <c r="BN496" s="4">
        <f>IF(N(AQ496)&gt;0,AP496*100+AQ496,IF(AND(BL496=1,BM496=1),(AP496-1)*100+1,AP496*100+1))</f>
        <v/>
      </c>
      <c r="BO496" s="3">
        <f>IF(OR(K496="hibrido",K496="glp",K496="gnc",K496="phev"),"ECO",IF(K496="electrico","CERO",IF(K496="gasolina",IF(BN496&gt;=GAS_C_YM,"C",IF(BN496&gt;=GAS_B_YM,"B","A")),IF(K496="diesel",IF(BN496&gt;=DIE_C_YM,"C",IF(BN496&gt;=DIE_B_YM,"B","A")),""))))</f>
        <v/>
      </c>
      <c r="BP496" s="4">
        <f>BO496</f>
        <v/>
      </c>
      <c r="BQ496" s="4">
        <f>IF(AS496="regla",IF(AND(N(AQ496)=0,BL496=1),"sí","no"),"no")</f>
        <v/>
      </c>
      <c r="BR496" s="3">
        <f>IFERROR(VLOOKUP(F496,MOD_TBL,11,0),IFERROR(VLOOKUP(E496,OCU_TBL,2,0),NEUTRO))</f>
        <v/>
      </c>
      <c r="BS496" s="3">
        <f>SUMIFS(MOT_AJUSTE,MOT_MOTOR,G496,MOT_MARCA,E496,MOT_DESDE,"&lt;="&amp;M496,MOT_HASTA,"&gt;="&amp;M496)+SUMIFS(MOT_AJUSTE,MOT_MOTOR,G496,MOT_MARCA,"(todas)",MOT_DESDE,"&lt;="&amp;M496,MOT_HASTA,"&gt;="&amp;M496)</f>
        <v/>
      </c>
      <c r="BT496" s="3">
        <f>SUMIFS(COMB_AJUSTE,COMB_COMB,K496)</f>
        <v/>
      </c>
      <c r="BU496" s="3">
        <f>COUNTIFS(MOT_MOTOR,G496,MOT_MARCA,E496,MOT_DESDE,"&lt;="&amp;M496,MOT_HASTA,"&gt;="&amp;M496)+COUNTIFS(MOT_MOTOR,G496,MOT_MARCA,"(todas)",MOT_DESDE,"&lt;="&amp;M496,MOT_HASTA,"&gt;="&amp;M496)</f>
        <v/>
      </c>
      <c r="BV496" s="3">
        <f>IF(AND(K496="diesel",BU496=0),MIN(BR496,NEUTRO),BR496)</f>
        <v/>
      </c>
      <c r="BW496" s="4">
        <f>MAX(0,MIN(100,BV496+BS496+BT496))</f>
        <v/>
      </c>
      <c r="BX496" s="3">
        <f>MAX(0,MIN(100,50+BK496*PRECIO_PEND))</f>
        <v/>
      </c>
      <c r="BY496" s="3">
        <f>MAX(0,100*(1-N496/KM_MAX))</f>
        <v/>
      </c>
      <c r="BZ496" s="3">
        <f>IF(BB496&lt;KMA_SOSP,IF(AA496="sí",100,KMA_PEN),IF(BB496&lt;=KMA_IDEAL_MAX,100,MAX(0,100*(KMA_CERO-BB496)/(KMA_CERO-KMA_IDEAL_MAX))))</f>
        <v/>
      </c>
      <c r="CA496" s="3">
        <f>MAX(0,MIN(100,100*(M496-ANIO_MIN)/(ANIO_ACTUAL-ANIO_MIN)))</f>
        <v/>
      </c>
      <c r="CB496" s="3">
        <f>W_KMT*BY496+W_KMA*BZ496+W_EDAD*CA496</f>
        <v/>
      </c>
      <c r="CC496" s="3">
        <f>P_ITV*(V496="sí")+P_LIBRO*(W496="sí")+P_CORREA*(X496="sí")+P_PROP*(Y496=1)+P_GAR*(Z496="sí")+P_FOTOS*MIN(1,N(U496)/FOTOS_OBJ)</f>
        <v/>
      </c>
      <c r="CD496" s="3">
        <f>MAX(0,MIN(100,IFERROR(VLOOKUP(BP496,ETQ_TBL,2,0),0)-IF(BQ496="sí",ETQ_PEN_DUD,IF(AS496="regla",ETQ_PEN_REGLA,0))))</f>
        <v/>
      </c>
      <c r="CE496" s="3">
        <f>NEUTRO</f>
        <v/>
      </c>
      <c r="CF496" s="3">
        <f>IFERROR(VLOOKUP(L496,SEGURO_TBL,3,0),"")</f>
        <v/>
      </c>
      <c r="CG496" s="3">
        <f>IF(CF496="",NEUTRO,MAX(0,MIN(100,100*(SEG_REF_MAX-CF496)/(SEG_REF_MAX-SEG_REF_MIN))))</f>
        <v/>
      </c>
      <c r="CH496" s="3">
        <f>W_CONS*CE496+W_SEG*CG496</f>
        <v/>
      </c>
      <c r="CI496" s="3">
        <f>IF(N(AB496)&gt;0,AB496,IF(AND(R496="profesional",SG_LEGAL_ON=1),GAR_LEGAL,0))</f>
        <v/>
      </c>
      <c r="CJ496" s="3">
        <f>SG_GAR*MIN(1,CI496/SG_GAR_FULL)+SG_AMPL*(AC496="sí")+SG_KMC*(AF496="sí")+SG_REV*(N(AE496)&gt;0)+SG_DEV*MIN(1,N(AG496)/SG_DEV_FULL)+SG_HIST*(W496="sí")</f>
        <v/>
      </c>
      <c r="CK496" s="3">
        <f>IFERROR(VLOOKUP(L496,CARR_PEN_TBL,2,0),0)</f>
        <v/>
      </c>
      <c r="CL496" s="3">
        <f>W_FIAB*BW496+W_PRECIO*BX496+W_KMEDAD*CB496+W_ANUNCIO*CC496+W_USO*CH496+W_SEGURIDAD*CJ496+W_ETIQUETA*CD496-CK496</f>
        <v/>
      </c>
      <c r="CM496" s="4">
        <f>IF(N(I496)&gt;0,I496,IFERROR(ROUND(_xlfn.NUMBERVALUE(LEFT(G496,FIND(" ",G496&amp;" ")-1),".")*1000,0),99999))</f>
        <v/>
      </c>
      <c r="CN496" s="3">
        <f>IF(R496="profesional",0,IF(O496&lt;CUOTA_VALOR_MAX,IF(BA496&gt;ITP_TRAMO_ALTO,SUMIFS(CF_CUOTA,CF_MAS,ITP_TRAMO_ALTO,CF_CCMIN,"&lt;="&amp;CM496,CF_CCMAX,"&gt;="&amp;CM496),IF(BA496&gt;ITP_TRAMO_BAJO,SUMIFS(CF_CUOTA,CF_MAS,ITP_TRAMO_BAJO,CF_CCMIN,"&lt;="&amp;CM496,CF_CCMAX,"&gt;="&amp;CM496),O496*ITP_TIPO)),O496*ITP_TIPO))</f>
        <v/>
      </c>
      <c r="CO496" s="4">
        <f>IF(R496="profesional",N(AK496),0)</f>
        <v/>
      </c>
      <c r="CP496" s="3">
        <f>IF(AND(R496="profesional",ISNUMBER(AK496),AL496="sí"),0,TASA_DGT)</f>
        <v/>
      </c>
      <c r="CQ496" s="3">
        <f>INFORME_DGT</f>
        <v/>
      </c>
      <c r="CR496" s="4">
        <f>O496+CO496+CN496+CP496+CQ496</f>
        <v/>
      </c>
      <c r="CS496" s="4">
        <f>CR496+N(CF496)</f>
        <v/>
      </c>
      <c r="CT496" s="3">
        <f>IF(CR496&lt;=TOTAL_MAX,"sí",IF(CR496&lt;=TOTAL_MAX+MARGEN_NEG,"negociar","no"))</f>
        <v/>
      </c>
      <c r="CU496" s="4">
        <f>IF(CT496&lt;&gt;"no",COUNTIFS($CT$2:$CT$545,"&lt;&gt;no",$CL$2:$CL$545,"&gt;"&amp;CL496)+COUNTIFS($CT$2:CT496,"&lt;&gt;no",$CL$2:CL496,CL496),"")</f>
        <v/>
      </c>
    </row>
    <row r="497">
      <c r="A497" s="2" t="inlineStr">
        <is>
          <t>cochesnet:71804078</t>
        </is>
      </c>
      <c r="B497" s="2" t="inlineStr">
        <is>
          <t>cochesnet</t>
        </is>
      </c>
      <c r="C497" s="2" t="inlineStr">
        <is>
          <t>https://www.coches.net/renault-megane-dynamique-16-16v-3p-gasolina-2006-en-castellon-71804078-covo.aspx</t>
        </is>
      </c>
      <c r="D497" s="2" t="inlineStr">
        <is>
          <t>RENAULT Megane DYNAMIQUE 1.6 16V</t>
        </is>
      </c>
      <c r="E497" s="2" t="inlineStr">
        <is>
          <t>Renault</t>
        </is>
      </c>
      <c r="F497" s="2" t="inlineStr">
        <is>
          <t>Renault Mégane</t>
        </is>
      </c>
      <c r="G497" s="2" t="inlineStr">
        <is>
          <t>1.6</t>
        </is>
      </c>
      <c r="H497" s="2" t="inlineStr">
        <is>
          <t>DYNAMIQUE 1.6 16V</t>
        </is>
      </c>
      <c r="I497" s="2" t="n"/>
      <c r="J497" s="2" t="n"/>
      <c r="K497" s="2" t="inlineStr">
        <is>
          <t>gasolina</t>
        </is>
      </c>
      <c r="L497" s="2" t="inlineStr">
        <is>
          <t>compacto</t>
        </is>
      </c>
      <c r="M497" s="2" t="n">
        <v>2006</v>
      </c>
      <c r="N497" s="2" t="n">
        <v>205500</v>
      </c>
      <c r="O497" s="2" t="n">
        <v>2400</v>
      </c>
      <c r="P497" s="2" t="inlineStr">
        <is>
          <t>manual</t>
        </is>
      </c>
      <c r="Q497" s="2" t="inlineStr">
        <is>
          <t>no</t>
        </is>
      </c>
      <c r="R497" s="2" t="inlineStr">
        <is>
          <t>particular</t>
        </is>
      </c>
      <c r="S497" s="2" t="n"/>
      <c r="T497" s="2" t="inlineStr">
        <is>
          <t>2026-10-21T18:02:45Z</t>
        </is>
      </c>
      <c r="U497" s="2" t="n">
        <v>7</v>
      </c>
      <c r="V497" s="2" t="n"/>
      <c r="W497" s="2" t="n"/>
      <c r="X497" s="2" t="n"/>
      <c r="Y497" s="2" t="n"/>
      <c r="Z497" s="2" t="inlineStr">
        <is>
          <t>no</t>
        </is>
      </c>
      <c r="AA497" s="2" t="n"/>
      <c r="AB497" s="2" t="n"/>
      <c r="AC497" s="2" t="n"/>
      <c r="AD497" s="2" t="n"/>
      <c r="AE497" s="2" t="n"/>
      <c r="AF497" s="2" t="n"/>
      <c r="AG497" s="2" t="n"/>
      <c r="AH497" s="2" t="n">
        <v>2400</v>
      </c>
      <c r="AI497" s="2" t="n"/>
      <c r="AJ497" s="2" t="n"/>
      <c r="AK497" s="2" t="n"/>
      <c r="AL497" s="2" t="n"/>
      <c r="AM497" s="2" t="n"/>
      <c r="AN497" s="2" t="n"/>
      <c r="AO497" s="2" t="inlineStr">
        <is>
          <t>2006</t>
        </is>
      </c>
      <c r="AP497" s="2" t="n">
        <v>2006</v>
      </c>
      <c r="AQ497" s="2" t="n"/>
      <c r="AR497" s="2" t="n"/>
      <c r="AS497" s="2" t="inlineStr">
        <is>
          <t>regla</t>
        </is>
      </c>
      <c r="AT497" s="2" t="n">
        <v>2300</v>
      </c>
      <c r="AU497" s="2" t="n">
        <v>12</v>
      </c>
      <c r="AV497" s="2" t="inlineStr">
        <is>
          <t>modelo+año+km</t>
        </is>
      </c>
      <c r="AW497" s="2" t="n"/>
      <c r="AX497" s="2" t="inlineStr">
        <is>
          <t>cuota fija ITP: &gt;12 años, 1.501-2.000 cc; distancia no verificable (el anuncio solo indica la provincia): confirmar que está a &lt;= 70 km</t>
        </is>
      </c>
      <c r="AY497" s="2" t="inlineStr">
        <is>
          <t xml:space="preserve">Coche muy bien cuidado, estoy vendendo porque a comprado otro, funciona perfeitamente, tedria que cambiar una polia que esta gasta solo iso.
</t>
        </is>
      </c>
      <c r="AZ497" s="2" t="inlineStr">
        <is>
          <t>https://www.coches.net/renault-megane-dynamique-16-16v-3p-gasolina-2006-en-castellon-71804078-covo.aspx (window.__INITIAL_PROPS__.ad) /home/user/Alopecia/buscador-coches/raw/cochesnet/836642df70707092.json</t>
        </is>
      </c>
      <c r="BA497" s="3">
        <f>MAX(ANIO_ACTUAL-M497,0)</f>
        <v/>
      </c>
      <c r="BB497" s="4">
        <f>N497/MAX(BA497,0.5)</f>
        <v/>
      </c>
      <c r="BC497" s="4">
        <f>F497</f>
        <v/>
      </c>
      <c r="BD497" s="3">
        <f>BC497&amp;"|"&amp;INT(M497/SEG_ANIO)*SEG_ANIO</f>
        <v/>
      </c>
      <c r="BE497" s="3">
        <f>BD497&amp;"|"&amp;INT(N497/SEG_KM)*SEG_KM</f>
        <v/>
      </c>
      <c r="BF497" s="4">
        <f>COUNTIF($BC$2:$BC$545,BC497)</f>
        <v/>
      </c>
      <c r="BG497" s="4">
        <f>COUNTIF($BD$2:$BD$545,BD497)</f>
        <v/>
      </c>
      <c r="BH497" s="4">
        <f>COUNTIF($BE$2:$BE$545,BE497)</f>
        <v/>
      </c>
      <c r="BI497" s="3">
        <f t="array" ref="BI497">IF(N(AU497)&gt;=MIN_N,AT497,IF(BH497&gt;=MIN_N,MEDIAN(IF($BE$2:$BE$545=BE497,$O$2:$O$545)),IF(BG497&gt;=MIN_N,MEDIAN(IF($BD$2:$BD$545=BD497,$O$2:$O$545)),MEDIAN(IF($BC$2:$BC$545=BC497,$O$2:$O$545)))))</f>
        <v/>
      </c>
      <c r="BJ497" s="3">
        <f>IF(N(AU497)&gt;=MIN_N,"mercado "&amp;AV497,IF(BH497&gt;=MIN_N,"modelo+año+km",IF(BG497&gt;=MIN_N,"modelo+año","modelo")))</f>
        <v/>
      </c>
      <c r="BK497" s="4">
        <f>(BI497-O497)/BI497</f>
        <v/>
      </c>
      <c r="BL497" s="3">
        <f>IF(COUNTIFS(FR_FUEL,K497,FR_YEAR,AP497)&gt;0,1,0)</f>
        <v/>
      </c>
      <c r="BM497" s="3">
        <f>IF(COUNTIFS(FR_FUEL,K497,FR_YEAR,AP497-1)&gt;0,1,0)</f>
        <v/>
      </c>
      <c r="BN497" s="4">
        <f>IF(N(AQ497)&gt;0,AP497*100+AQ497,IF(AND(BL497=1,BM497=1),(AP497-1)*100+1,AP497*100+1))</f>
        <v/>
      </c>
      <c r="BO497" s="3">
        <f>IF(OR(K497="hibrido",K497="glp",K497="gnc",K497="phev"),"ECO",IF(K497="electrico","CERO",IF(K497="gasolina",IF(BN497&gt;=GAS_C_YM,"C",IF(BN497&gt;=GAS_B_YM,"B","A")),IF(K497="diesel",IF(BN497&gt;=DIE_C_YM,"C",IF(BN497&gt;=DIE_B_YM,"B","A")),""))))</f>
        <v/>
      </c>
      <c r="BP497" s="4">
        <f>BO497</f>
        <v/>
      </c>
      <c r="BQ497" s="4">
        <f>IF(AS497="regla",IF(AND(N(AQ497)=0,BL497=1),"sí","no"),"no")</f>
        <v/>
      </c>
      <c r="BR497" s="3">
        <f>IFERROR(VLOOKUP(F497,MOD_TBL,11,0),IFERROR(VLOOKUP(E497,OCU_TBL,2,0),NEUTRO))</f>
        <v/>
      </c>
      <c r="BS497" s="3">
        <f>SUMIFS(MOT_AJUSTE,MOT_MOTOR,G497,MOT_MARCA,E497,MOT_DESDE,"&lt;="&amp;M497,MOT_HASTA,"&gt;="&amp;M497)+SUMIFS(MOT_AJUSTE,MOT_MOTOR,G497,MOT_MARCA,"(todas)",MOT_DESDE,"&lt;="&amp;M497,MOT_HASTA,"&gt;="&amp;M497)</f>
        <v/>
      </c>
      <c r="BT497" s="3">
        <f>SUMIFS(COMB_AJUSTE,COMB_COMB,K497)</f>
        <v/>
      </c>
      <c r="BU497" s="3">
        <f>COUNTIFS(MOT_MOTOR,G497,MOT_MARCA,E497,MOT_DESDE,"&lt;="&amp;M497,MOT_HASTA,"&gt;="&amp;M497)+COUNTIFS(MOT_MOTOR,G497,MOT_MARCA,"(todas)",MOT_DESDE,"&lt;="&amp;M497,MOT_HASTA,"&gt;="&amp;M497)</f>
        <v/>
      </c>
      <c r="BV497" s="3">
        <f>IF(AND(K497="diesel",BU497=0),MIN(BR497,NEUTRO),BR497)</f>
        <v/>
      </c>
      <c r="BW497" s="4">
        <f>MAX(0,MIN(100,BV497+BS497+BT497))</f>
        <v/>
      </c>
      <c r="BX497" s="3">
        <f>MAX(0,MIN(100,50+BK497*PRECIO_PEND))</f>
        <v/>
      </c>
      <c r="BY497" s="3">
        <f>MAX(0,100*(1-N497/KM_MAX))</f>
        <v/>
      </c>
      <c r="BZ497" s="3">
        <f>IF(BB497&lt;KMA_SOSP,IF(AA497="sí",100,KMA_PEN),IF(BB497&lt;=KMA_IDEAL_MAX,100,MAX(0,100*(KMA_CERO-BB497)/(KMA_CERO-KMA_IDEAL_MAX))))</f>
        <v/>
      </c>
      <c r="CA497" s="3">
        <f>MAX(0,MIN(100,100*(M497-ANIO_MIN)/(ANIO_ACTUAL-ANIO_MIN)))</f>
        <v/>
      </c>
      <c r="CB497" s="3">
        <f>W_KMT*BY497+W_KMA*BZ497+W_EDAD*CA497</f>
        <v/>
      </c>
      <c r="CC497" s="3">
        <f>P_ITV*(V497="sí")+P_LIBRO*(W497="sí")+P_CORREA*(X497="sí")+P_PROP*(Y497=1)+P_GAR*(Z497="sí")+P_FOTOS*MIN(1,N(U497)/FOTOS_OBJ)</f>
        <v/>
      </c>
      <c r="CD497" s="3">
        <f>MAX(0,MIN(100,IFERROR(VLOOKUP(BP497,ETQ_TBL,2,0),0)-IF(BQ497="sí",ETQ_PEN_DUD,IF(AS497="regla",ETQ_PEN_REGLA,0))))</f>
        <v/>
      </c>
      <c r="CE497" s="3">
        <f>NEUTRO</f>
        <v/>
      </c>
      <c r="CF497" s="3">
        <f>IFERROR(VLOOKUP(L497,SEGURO_TBL,3,0),"")</f>
        <v/>
      </c>
      <c r="CG497" s="3">
        <f>IF(CF497="",NEUTRO,MAX(0,MIN(100,100*(SEG_REF_MAX-CF497)/(SEG_REF_MAX-SEG_REF_MIN))))</f>
        <v/>
      </c>
      <c r="CH497" s="3">
        <f>W_CONS*CE497+W_SEG*CG497</f>
        <v/>
      </c>
      <c r="CI497" s="3">
        <f>IF(N(AB497)&gt;0,AB497,IF(AND(R497="profesional",SG_LEGAL_ON=1),GAR_LEGAL,0))</f>
        <v/>
      </c>
      <c r="CJ497" s="3">
        <f>SG_GAR*MIN(1,CI497/SG_GAR_FULL)+SG_AMPL*(AC497="sí")+SG_KMC*(AF497="sí")+SG_REV*(N(AE497)&gt;0)+SG_DEV*MIN(1,N(AG497)/SG_DEV_FULL)+SG_HIST*(W497="sí")</f>
        <v/>
      </c>
      <c r="CK497" s="3">
        <f>IFERROR(VLOOKUP(L497,CARR_PEN_TBL,2,0),0)</f>
        <v/>
      </c>
      <c r="CL497" s="3">
        <f>W_FIAB*BW497+W_PRECIO*BX497+W_KMEDAD*CB497+W_ANUNCIO*CC497+W_USO*CH497+W_SEGURIDAD*CJ497+W_ETIQUETA*CD497-CK497</f>
        <v/>
      </c>
      <c r="CM497" s="4">
        <f>IF(N(I497)&gt;0,I497,IFERROR(ROUND(_xlfn.NUMBERVALUE(LEFT(G497,FIND(" ",G497&amp;" ")-1),".")*1000,0),99999))</f>
        <v/>
      </c>
      <c r="CN497" s="3">
        <f>IF(R497="profesional",0,IF(O497&lt;CUOTA_VALOR_MAX,IF(BA497&gt;ITP_TRAMO_ALTO,SUMIFS(CF_CUOTA,CF_MAS,ITP_TRAMO_ALTO,CF_CCMIN,"&lt;="&amp;CM497,CF_CCMAX,"&gt;="&amp;CM497),IF(BA497&gt;ITP_TRAMO_BAJO,SUMIFS(CF_CUOTA,CF_MAS,ITP_TRAMO_BAJO,CF_CCMIN,"&lt;="&amp;CM497,CF_CCMAX,"&gt;="&amp;CM497),O497*ITP_TIPO)),O497*ITP_TIPO))</f>
        <v/>
      </c>
      <c r="CO497" s="4">
        <f>IF(R497="profesional",N(AK497),0)</f>
        <v/>
      </c>
      <c r="CP497" s="3">
        <f>IF(AND(R497="profesional",ISNUMBER(AK497),AL497="sí"),0,TASA_DGT)</f>
        <v/>
      </c>
      <c r="CQ497" s="3">
        <f>INFORME_DGT</f>
        <v/>
      </c>
      <c r="CR497" s="4">
        <f>O497+CO497+CN497+CP497+CQ497</f>
        <v/>
      </c>
      <c r="CS497" s="4">
        <f>CR497+N(CF497)</f>
        <v/>
      </c>
      <c r="CT497" s="3">
        <f>IF(CR497&lt;=TOTAL_MAX,"sí",IF(CR497&lt;=TOTAL_MAX+MARGEN_NEG,"negociar","no"))</f>
        <v/>
      </c>
      <c r="CU497" s="4">
        <f>IF(CT497&lt;&gt;"no",COUNTIFS($CT$2:$CT$545,"&lt;&gt;no",$CL$2:$CL$545,"&gt;"&amp;CL497)+COUNTIFS($CT$2:CT497,"&lt;&gt;no",$CL$2:CL497,CL497),"")</f>
        <v/>
      </c>
    </row>
    <row r="498">
      <c r="A498" s="2" t="inlineStr">
        <is>
          <t>cochesnet:71721921</t>
        </is>
      </c>
      <c r="B498" s="2" t="inlineStr">
        <is>
          <t>cochesnet</t>
        </is>
      </c>
      <c r="C498" s="2" t="inlineStr">
        <is>
          <t>https://www.coches.net/renault-laguna-expression-20dci-130cv-5p-diesel-2009-en-castellon-71721921-covo.aspx</t>
        </is>
      </c>
      <c r="D498" s="2" t="inlineStr">
        <is>
          <t>RENAULT Laguna Expression 2.0dCi</t>
        </is>
      </c>
      <c r="E498" s="2" t="inlineStr">
        <is>
          <t>Renault</t>
        </is>
      </c>
      <c r="F498" s="2" t="inlineStr">
        <is>
          <t>Renault Laguna</t>
        </is>
      </c>
      <c r="G498" s="2" t="inlineStr">
        <is>
          <t>2.0</t>
        </is>
      </c>
      <c r="H498" s="2" t="inlineStr">
        <is>
          <t>Expression 2.0dCi 130CV</t>
        </is>
      </c>
      <c r="I498" s="2" t="n"/>
      <c r="J498" s="2" t="n">
        <v>130</v>
      </c>
      <c r="K498" s="2" t="inlineStr">
        <is>
          <t>diesel</t>
        </is>
      </c>
      <c r="L498" s="2" t="inlineStr">
        <is>
          <t>berlina</t>
        </is>
      </c>
      <c r="M498" s="2" t="n">
        <v>2009</v>
      </c>
      <c r="N498" s="2" t="n">
        <v>187000</v>
      </c>
      <c r="O498" s="2" t="n">
        <v>4000</v>
      </c>
      <c r="P498" s="2" t="inlineStr">
        <is>
          <t>manual</t>
        </is>
      </c>
      <c r="Q498" s="2" t="inlineStr">
        <is>
          <t>no</t>
        </is>
      </c>
      <c r="R498" s="2" t="inlineStr">
        <is>
          <t>particular</t>
        </is>
      </c>
      <c r="S498" s="2" t="inlineStr">
        <is>
          <t>Castellón de la Plana / Castelló de la Plana</t>
        </is>
      </c>
      <c r="T498" s="2" t="inlineStr">
        <is>
          <t>2026-10-11T12:16:54Z</t>
        </is>
      </c>
      <c r="U498" s="2" t="n">
        <v>5</v>
      </c>
      <c r="V498" s="2" t="inlineStr">
        <is>
          <t>sí</t>
        </is>
      </c>
      <c r="W498" s="2" t="n"/>
      <c r="X498" s="2" t="n"/>
      <c r="Y498" s="2" t="n"/>
      <c r="Z498" s="2" t="inlineStr">
        <is>
          <t>no</t>
        </is>
      </c>
      <c r="AA498" s="2" t="n"/>
      <c r="AB498" s="2" t="n"/>
      <c r="AC498" s="2" t="n"/>
      <c r="AD498" s="2" t="n"/>
      <c r="AE498" s="2" t="n"/>
      <c r="AF498" s="2" t="n"/>
      <c r="AG498" s="2" t="n"/>
      <c r="AH498" s="2" t="n">
        <v>4000</v>
      </c>
      <c r="AI498" s="2" t="n"/>
      <c r="AJ498" s="2" t="n"/>
      <c r="AK498" s="2" t="n"/>
      <c r="AL498" s="2" t="n"/>
      <c r="AM498" s="2" t="n"/>
      <c r="AN498" s="2" t="n"/>
      <c r="AO498" s="2" t="inlineStr">
        <is>
          <t>10/2009</t>
        </is>
      </c>
      <c r="AP498" s="2" t="n">
        <v>2009</v>
      </c>
      <c r="AQ498" s="2" t="n">
        <v>10</v>
      </c>
      <c r="AR498" s="2" t="n"/>
      <c r="AS498" s="2" t="inlineStr">
        <is>
          <t>regla</t>
        </is>
      </c>
      <c r="AT498" s="2" t="n">
        <v>3500</v>
      </c>
      <c r="AU498" s="2" t="n">
        <v>4</v>
      </c>
      <c r="AV498" s="2" t="inlineStr">
        <is>
          <t>modelo+año</t>
        </is>
      </c>
      <c r="AW498" s="2" t="n"/>
      <c r="AX498" s="2" t="inlineStr">
        <is>
          <t>cuota fija ITP: &gt;12 años, 1.501-2.000 cc; diésel: motor sin fuente de fiabilidad (fiabilidad limitada a neutra); carrocería berlina: -4 puntos; distancia no verificable (el anuncio solo indica la provincia): confirmar que está a &lt;= 70 km; fiabilidad del modelo PENDIENTE de fuente (puntuación neutra)</t>
        </is>
      </c>
      <c r="AY498" s="2" t="inlineStr">
        <is>
          <t>Vendo renault laguna 3 año 2009
2.0 diésel, 6 velocidades 
El coche está en perfecto estado , tiene ITV hasta el junio de 2027, las dos ruedas delanteras nuevas, tiene algunos detalles de pintura pero nada grave, el techo se le ha venido despegando , el coche mecánicamente está perfecto
187 mil KLM 
3.500
Más info al privado</t>
        </is>
      </c>
      <c r="AZ498" s="2" t="inlineStr">
        <is>
          <t>https://www.coches.net/renault-laguna-expression-20dci-130cv-5p-diesel-2009-en-castellon-71721921-covo.aspx (window.__INITIAL_PROPS__.ad) /home/user/Alopecia/buscador-coches/raw/cochesnet/e9900ca347e9a688.json</t>
        </is>
      </c>
      <c r="BA498" s="3">
        <f>MAX(ANIO_ACTUAL-M498,0)</f>
        <v/>
      </c>
      <c r="BB498" s="4">
        <f>N498/MAX(BA498,0.5)</f>
        <v/>
      </c>
      <c r="BC498" s="4">
        <f>F498</f>
        <v/>
      </c>
      <c r="BD498" s="3">
        <f>BC498&amp;"|"&amp;INT(M498/SEG_ANIO)*SEG_ANIO</f>
        <v/>
      </c>
      <c r="BE498" s="3">
        <f>BD498&amp;"|"&amp;INT(N498/SEG_KM)*SEG_KM</f>
        <v/>
      </c>
      <c r="BF498" s="4">
        <f>COUNTIF($BC$2:$BC$545,BC498)</f>
        <v/>
      </c>
      <c r="BG498" s="4">
        <f>COUNTIF($BD$2:$BD$545,BD498)</f>
        <v/>
      </c>
      <c r="BH498" s="4">
        <f>COUNTIF($BE$2:$BE$545,BE498)</f>
        <v/>
      </c>
      <c r="BI498" s="3">
        <f t="array" ref="BI498">IF(N(AU498)&gt;=MIN_N,AT498,IF(BH498&gt;=MIN_N,MEDIAN(IF($BE$2:$BE$545=BE498,$O$2:$O$545)),IF(BG498&gt;=MIN_N,MEDIAN(IF($BD$2:$BD$545=BD498,$O$2:$O$545)),MEDIAN(IF($BC$2:$BC$545=BC498,$O$2:$O$545)))))</f>
        <v/>
      </c>
      <c r="BJ498" s="3">
        <f>IF(N(AU498)&gt;=MIN_N,"mercado "&amp;AV498,IF(BH498&gt;=MIN_N,"modelo+año+km",IF(BG498&gt;=MIN_N,"modelo+año","modelo")))</f>
        <v/>
      </c>
      <c r="BK498" s="4">
        <f>(BI498-O498)/BI498</f>
        <v/>
      </c>
      <c r="BL498" s="3">
        <f>IF(COUNTIFS(FR_FUEL,K498,FR_YEAR,AP498)&gt;0,1,0)</f>
        <v/>
      </c>
      <c r="BM498" s="3">
        <f>IF(COUNTIFS(FR_FUEL,K498,FR_YEAR,AP498-1)&gt;0,1,0)</f>
        <v/>
      </c>
      <c r="BN498" s="4">
        <f>IF(N(AQ498)&gt;0,AP498*100+AQ498,IF(AND(BL498=1,BM498=1),(AP498-1)*100+1,AP498*100+1))</f>
        <v/>
      </c>
      <c r="BO498" s="3">
        <f>IF(OR(K498="hibrido",K498="glp",K498="gnc",K498="phev"),"ECO",IF(K498="electrico","CERO",IF(K498="gasolina",IF(BN498&gt;=GAS_C_YM,"C",IF(BN498&gt;=GAS_B_YM,"B","A")),IF(K498="diesel",IF(BN498&gt;=DIE_C_YM,"C",IF(BN498&gt;=DIE_B_YM,"B","A")),""))))</f>
        <v/>
      </c>
      <c r="BP498" s="4">
        <f>BO498</f>
        <v/>
      </c>
      <c r="BQ498" s="4">
        <f>IF(AS498="regla",IF(AND(N(AQ498)=0,BL498=1),"sí","no"),"no")</f>
        <v/>
      </c>
      <c r="BR498" s="3">
        <f>IFERROR(VLOOKUP(F498,MOD_TBL,11,0),IFERROR(VLOOKUP(E498,OCU_TBL,2,0),NEUTRO))</f>
        <v/>
      </c>
      <c r="BS498" s="3">
        <f>SUMIFS(MOT_AJUSTE,MOT_MOTOR,G498,MOT_MARCA,E498,MOT_DESDE,"&lt;="&amp;M498,MOT_HASTA,"&gt;="&amp;M498)+SUMIFS(MOT_AJUSTE,MOT_MOTOR,G498,MOT_MARCA,"(todas)",MOT_DESDE,"&lt;="&amp;M498,MOT_HASTA,"&gt;="&amp;M498)</f>
        <v/>
      </c>
      <c r="BT498" s="3">
        <f>SUMIFS(COMB_AJUSTE,COMB_COMB,K498)</f>
        <v/>
      </c>
      <c r="BU498" s="3">
        <f>COUNTIFS(MOT_MOTOR,G498,MOT_MARCA,E498,MOT_DESDE,"&lt;="&amp;M498,MOT_HASTA,"&gt;="&amp;M498)+COUNTIFS(MOT_MOTOR,G498,MOT_MARCA,"(todas)",MOT_DESDE,"&lt;="&amp;M498,MOT_HASTA,"&gt;="&amp;M498)</f>
        <v/>
      </c>
      <c r="BV498" s="3">
        <f>IF(AND(K498="diesel",BU498=0),MIN(BR498,NEUTRO),BR498)</f>
        <v/>
      </c>
      <c r="BW498" s="4">
        <f>MAX(0,MIN(100,BV498+BS498+BT498))</f>
        <v/>
      </c>
      <c r="BX498" s="3">
        <f>MAX(0,MIN(100,50+BK498*PRECIO_PEND))</f>
        <v/>
      </c>
      <c r="BY498" s="3">
        <f>MAX(0,100*(1-N498/KM_MAX))</f>
        <v/>
      </c>
      <c r="BZ498" s="3">
        <f>IF(BB498&lt;KMA_SOSP,IF(AA498="sí",100,KMA_PEN),IF(BB498&lt;=KMA_IDEAL_MAX,100,MAX(0,100*(KMA_CERO-BB498)/(KMA_CERO-KMA_IDEAL_MAX))))</f>
        <v/>
      </c>
      <c r="CA498" s="3">
        <f>MAX(0,MIN(100,100*(M498-ANIO_MIN)/(ANIO_ACTUAL-ANIO_MIN)))</f>
        <v/>
      </c>
      <c r="CB498" s="3">
        <f>W_KMT*BY498+W_KMA*BZ498+W_EDAD*CA498</f>
        <v/>
      </c>
      <c r="CC498" s="3">
        <f>P_ITV*(V498="sí")+P_LIBRO*(W498="sí")+P_CORREA*(X498="sí")+P_PROP*(Y498=1)+P_GAR*(Z498="sí")+P_FOTOS*MIN(1,N(U498)/FOTOS_OBJ)</f>
        <v/>
      </c>
      <c r="CD498" s="3">
        <f>MAX(0,MIN(100,IFERROR(VLOOKUP(BP498,ETQ_TBL,2,0),0)-IF(BQ498="sí",ETQ_PEN_DUD,IF(AS498="regla",ETQ_PEN_REGLA,0))))</f>
        <v/>
      </c>
      <c r="CE498" s="3">
        <f>NEUTRO</f>
        <v/>
      </c>
      <c r="CF498" s="3">
        <f>IFERROR(VLOOKUP(L498,SEGURO_TBL,3,0),"")</f>
        <v/>
      </c>
      <c r="CG498" s="3">
        <f>IF(CF498="",NEUTRO,MAX(0,MIN(100,100*(SEG_REF_MAX-CF498)/(SEG_REF_MAX-SEG_REF_MIN))))</f>
        <v/>
      </c>
      <c r="CH498" s="3">
        <f>W_CONS*CE498+W_SEG*CG498</f>
        <v/>
      </c>
      <c r="CI498" s="3">
        <f>IF(N(AB498)&gt;0,AB498,IF(AND(R498="profesional",SG_LEGAL_ON=1),GAR_LEGAL,0))</f>
        <v/>
      </c>
      <c r="CJ498" s="3">
        <f>SG_GAR*MIN(1,CI498/SG_GAR_FULL)+SG_AMPL*(AC498="sí")+SG_KMC*(AF498="sí")+SG_REV*(N(AE498)&gt;0)+SG_DEV*MIN(1,N(AG498)/SG_DEV_FULL)+SG_HIST*(W498="sí")</f>
        <v/>
      </c>
      <c r="CK498" s="3">
        <f>IFERROR(VLOOKUP(L498,CARR_PEN_TBL,2,0),0)</f>
        <v/>
      </c>
      <c r="CL498" s="3">
        <f>W_FIAB*BW498+W_PRECIO*BX498+W_KMEDAD*CB498+W_ANUNCIO*CC498+W_USO*CH498+W_SEGURIDAD*CJ498+W_ETIQUETA*CD498-CK498</f>
        <v/>
      </c>
      <c r="CM498" s="4">
        <f>IF(N(I498)&gt;0,I498,IFERROR(ROUND(_xlfn.NUMBERVALUE(LEFT(G498,FIND(" ",G498&amp;" ")-1),".")*1000,0),99999))</f>
        <v/>
      </c>
      <c r="CN498" s="3">
        <f>IF(R498="profesional",0,IF(O498&lt;CUOTA_VALOR_MAX,IF(BA498&gt;ITP_TRAMO_ALTO,SUMIFS(CF_CUOTA,CF_MAS,ITP_TRAMO_ALTO,CF_CCMIN,"&lt;="&amp;CM498,CF_CCMAX,"&gt;="&amp;CM498),IF(BA498&gt;ITP_TRAMO_BAJO,SUMIFS(CF_CUOTA,CF_MAS,ITP_TRAMO_BAJO,CF_CCMIN,"&lt;="&amp;CM498,CF_CCMAX,"&gt;="&amp;CM498),O498*ITP_TIPO)),O498*ITP_TIPO))</f>
        <v/>
      </c>
      <c r="CO498" s="4">
        <f>IF(R498="profesional",N(AK498),0)</f>
        <v/>
      </c>
      <c r="CP498" s="3">
        <f>IF(AND(R498="profesional",ISNUMBER(AK498),AL498="sí"),0,TASA_DGT)</f>
        <v/>
      </c>
      <c r="CQ498" s="3">
        <f>INFORME_DGT</f>
        <v/>
      </c>
      <c r="CR498" s="4">
        <f>O498+CO498+CN498+CP498+CQ498</f>
        <v/>
      </c>
      <c r="CS498" s="4">
        <f>CR498+N(CF498)</f>
        <v/>
      </c>
      <c r="CT498" s="3">
        <f>IF(CR498&lt;=TOTAL_MAX,"sí",IF(CR498&lt;=TOTAL_MAX+MARGEN_NEG,"negociar","no"))</f>
        <v/>
      </c>
      <c r="CU498" s="4">
        <f>IF(CT498&lt;&gt;"no",COUNTIFS($CT$2:$CT$545,"&lt;&gt;no",$CL$2:$CL$545,"&gt;"&amp;CL498)+COUNTIFS($CT$2:CT498,"&lt;&gt;no",$CL$2:CL498,CL498),"")</f>
        <v/>
      </c>
    </row>
    <row r="499">
      <c r="A499" s="2" t="inlineStr">
        <is>
          <t>cochesnet:71669228</t>
        </is>
      </c>
      <c r="B499" s="2" t="inlineStr">
        <is>
          <t>cochesnet</t>
        </is>
      </c>
      <c r="C499" s="2" t="inlineStr">
        <is>
          <t>https://www.coches.net/renault-megane-gasolina-2009-en-castellon-71669228-covo.aspx</t>
        </is>
      </c>
      <c r="D499" s="2" t="inlineStr">
        <is>
          <t>RENAULT Megane AUTHENTIQUE 1.4 16V</t>
        </is>
      </c>
      <c r="E499" s="2" t="inlineStr">
        <is>
          <t>Renault</t>
        </is>
      </c>
      <c r="F499" s="2" t="inlineStr">
        <is>
          <t>Renault Mégane</t>
        </is>
      </c>
      <c r="G499" s="2" t="inlineStr">
        <is>
          <t>1.4</t>
        </is>
      </c>
      <c r="H499" s="2" t="inlineStr">
        <is>
          <t>AUTHENTIQUE 1.4 16V</t>
        </is>
      </c>
      <c r="I499" s="2" t="n"/>
      <c r="J499" s="2" t="n"/>
      <c r="K499" s="2" t="inlineStr">
        <is>
          <t>gasolina</t>
        </is>
      </c>
      <c r="L499" s="2" t="inlineStr">
        <is>
          <t>compacto</t>
        </is>
      </c>
      <c r="M499" s="2" t="n">
        <v>2009</v>
      </c>
      <c r="N499" s="2" t="n">
        <v>170000</v>
      </c>
      <c r="O499" s="2" t="n">
        <v>3700</v>
      </c>
      <c r="P499" s="2" t="inlineStr">
        <is>
          <t>manual</t>
        </is>
      </c>
      <c r="Q499" s="2" t="inlineStr">
        <is>
          <t>no</t>
        </is>
      </c>
      <c r="R499" s="2" t="inlineStr">
        <is>
          <t>particular</t>
        </is>
      </c>
      <c r="S499" s="2" t="n"/>
      <c r="T499" s="2" t="inlineStr">
        <is>
          <t>2026-10-04T11:44:05Z</t>
        </is>
      </c>
      <c r="U499" s="2" t="n">
        <v>7</v>
      </c>
      <c r="V499" s="2" t="n"/>
      <c r="W499" s="2" t="n"/>
      <c r="X499" s="2" t="n"/>
      <c r="Y499" s="2" t="n"/>
      <c r="Z499" s="2" t="inlineStr">
        <is>
          <t>no</t>
        </is>
      </c>
      <c r="AA499" s="2" t="n"/>
      <c r="AB499" s="2" t="n"/>
      <c r="AC499" s="2" t="n"/>
      <c r="AD499" s="2" t="n"/>
      <c r="AE499" s="2" t="n"/>
      <c r="AF499" s="2" t="n"/>
      <c r="AG499" s="2" t="n"/>
      <c r="AH499" s="2" t="n">
        <v>3700</v>
      </c>
      <c r="AI499" s="2" t="n"/>
      <c r="AJ499" s="2" t="n"/>
      <c r="AK499" s="2" t="n"/>
      <c r="AL499" s="2" t="n"/>
      <c r="AM499" s="2" t="n"/>
      <c r="AN499" s="2" t="n"/>
      <c r="AO499" s="2" t="inlineStr">
        <is>
          <t>2009</t>
        </is>
      </c>
      <c r="AP499" s="2" t="n">
        <v>2009</v>
      </c>
      <c r="AQ499" s="2" t="n"/>
      <c r="AR499" s="2" t="n"/>
      <c r="AS499" s="2" t="inlineStr">
        <is>
          <t>regla</t>
        </is>
      </c>
      <c r="AT499" s="2" t="n">
        <v>3850</v>
      </c>
      <c r="AU499" s="2" t="n">
        <v>6</v>
      </c>
      <c r="AV499" s="2" t="inlineStr">
        <is>
          <t>modelo+año+km</t>
        </is>
      </c>
      <c r="AW499" s="2" t="n"/>
      <c r="AX499" s="2" t="inlineStr">
        <is>
          <t>cuota fija ITP: &gt;12 años, hasta 1.500 cc; distancia no verificable (el anuncio solo indica la provincia): confirmar que está a &lt;= 70 km</t>
        </is>
      </c>
      <c r="AY499" s="2" t="inlineStr">
        <is>
          <t xml:space="preserve">Renault Megane II año 2009 aire acondicionado nuevo listo para rodar sin problema alguno todo revisado </t>
        </is>
      </c>
      <c r="AZ499" s="2" t="inlineStr">
        <is>
          <t>https://www.coches.net/renault-megane-gasolina-2009-en-castellon-71669228-covo.aspx (window.__INITIAL_PROPS__.ad) /home/user/Alopecia/buscador-coches/raw/cochesnet/3a6e2e117f0467c6.json</t>
        </is>
      </c>
      <c r="BA499" s="3">
        <f>MAX(ANIO_ACTUAL-M499,0)</f>
        <v/>
      </c>
      <c r="BB499" s="4">
        <f>N499/MAX(BA499,0.5)</f>
        <v/>
      </c>
      <c r="BC499" s="4">
        <f>F499</f>
        <v/>
      </c>
      <c r="BD499" s="3">
        <f>BC499&amp;"|"&amp;INT(M499/SEG_ANIO)*SEG_ANIO</f>
        <v/>
      </c>
      <c r="BE499" s="3">
        <f>BD499&amp;"|"&amp;INT(N499/SEG_KM)*SEG_KM</f>
        <v/>
      </c>
      <c r="BF499" s="4">
        <f>COUNTIF($BC$2:$BC$545,BC499)</f>
        <v/>
      </c>
      <c r="BG499" s="4">
        <f>COUNTIF($BD$2:$BD$545,BD499)</f>
        <v/>
      </c>
      <c r="BH499" s="4">
        <f>COUNTIF($BE$2:$BE$545,BE499)</f>
        <v/>
      </c>
      <c r="BI499" s="3">
        <f t="array" ref="BI499">IF(N(AU499)&gt;=MIN_N,AT499,IF(BH499&gt;=MIN_N,MEDIAN(IF($BE$2:$BE$545=BE499,$O$2:$O$545)),IF(BG499&gt;=MIN_N,MEDIAN(IF($BD$2:$BD$545=BD499,$O$2:$O$545)),MEDIAN(IF($BC$2:$BC$545=BC499,$O$2:$O$545)))))</f>
        <v/>
      </c>
      <c r="BJ499" s="3">
        <f>IF(N(AU499)&gt;=MIN_N,"mercado "&amp;AV499,IF(BH499&gt;=MIN_N,"modelo+año+km",IF(BG499&gt;=MIN_N,"modelo+año","modelo")))</f>
        <v/>
      </c>
      <c r="BK499" s="4">
        <f>(BI499-O499)/BI499</f>
        <v/>
      </c>
      <c r="BL499" s="3">
        <f>IF(COUNTIFS(FR_FUEL,K499,FR_YEAR,AP499)&gt;0,1,0)</f>
        <v/>
      </c>
      <c r="BM499" s="3">
        <f>IF(COUNTIFS(FR_FUEL,K499,FR_YEAR,AP499-1)&gt;0,1,0)</f>
        <v/>
      </c>
      <c r="BN499" s="4">
        <f>IF(N(AQ499)&gt;0,AP499*100+AQ499,IF(AND(BL499=1,BM499=1),(AP499-1)*100+1,AP499*100+1))</f>
        <v/>
      </c>
      <c r="BO499" s="3">
        <f>IF(OR(K499="hibrido",K499="glp",K499="gnc",K499="phev"),"ECO",IF(K499="electrico","CERO",IF(K499="gasolina",IF(BN499&gt;=GAS_C_YM,"C",IF(BN499&gt;=GAS_B_YM,"B","A")),IF(K499="diesel",IF(BN499&gt;=DIE_C_YM,"C",IF(BN499&gt;=DIE_B_YM,"B","A")),""))))</f>
        <v/>
      </c>
      <c r="BP499" s="4">
        <f>BO499</f>
        <v/>
      </c>
      <c r="BQ499" s="4">
        <f>IF(AS499="regla",IF(AND(N(AQ499)=0,BL499=1),"sí","no"),"no")</f>
        <v/>
      </c>
      <c r="BR499" s="3">
        <f>IFERROR(VLOOKUP(F499,MOD_TBL,11,0),IFERROR(VLOOKUP(E499,OCU_TBL,2,0),NEUTRO))</f>
        <v/>
      </c>
      <c r="BS499" s="3">
        <f>SUMIFS(MOT_AJUSTE,MOT_MOTOR,G499,MOT_MARCA,E499,MOT_DESDE,"&lt;="&amp;M499,MOT_HASTA,"&gt;="&amp;M499)+SUMIFS(MOT_AJUSTE,MOT_MOTOR,G499,MOT_MARCA,"(todas)",MOT_DESDE,"&lt;="&amp;M499,MOT_HASTA,"&gt;="&amp;M499)</f>
        <v/>
      </c>
      <c r="BT499" s="3">
        <f>SUMIFS(COMB_AJUSTE,COMB_COMB,K499)</f>
        <v/>
      </c>
      <c r="BU499" s="3">
        <f>COUNTIFS(MOT_MOTOR,G499,MOT_MARCA,E499,MOT_DESDE,"&lt;="&amp;M499,MOT_HASTA,"&gt;="&amp;M499)+COUNTIFS(MOT_MOTOR,G499,MOT_MARCA,"(todas)",MOT_DESDE,"&lt;="&amp;M499,MOT_HASTA,"&gt;="&amp;M499)</f>
        <v/>
      </c>
      <c r="BV499" s="3">
        <f>IF(AND(K499="diesel",BU499=0),MIN(BR499,NEUTRO),BR499)</f>
        <v/>
      </c>
      <c r="BW499" s="4">
        <f>MAX(0,MIN(100,BV499+BS499+BT499))</f>
        <v/>
      </c>
      <c r="BX499" s="3">
        <f>MAX(0,MIN(100,50+BK499*PRECIO_PEND))</f>
        <v/>
      </c>
      <c r="BY499" s="3">
        <f>MAX(0,100*(1-N499/KM_MAX))</f>
        <v/>
      </c>
      <c r="BZ499" s="3">
        <f>IF(BB499&lt;KMA_SOSP,IF(AA499="sí",100,KMA_PEN),IF(BB499&lt;=KMA_IDEAL_MAX,100,MAX(0,100*(KMA_CERO-BB499)/(KMA_CERO-KMA_IDEAL_MAX))))</f>
        <v/>
      </c>
      <c r="CA499" s="3">
        <f>MAX(0,MIN(100,100*(M499-ANIO_MIN)/(ANIO_ACTUAL-ANIO_MIN)))</f>
        <v/>
      </c>
      <c r="CB499" s="3">
        <f>W_KMT*BY499+W_KMA*BZ499+W_EDAD*CA499</f>
        <v/>
      </c>
      <c r="CC499" s="3">
        <f>P_ITV*(V499="sí")+P_LIBRO*(W499="sí")+P_CORREA*(X499="sí")+P_PROP*(Y499=1)+P_GAR*(Z499="sí")+P_FOTOS*MIN(1,N(U499)/FOTOS_OBJ)</f>
        <v/>
      </c>
      <c r="CD499" s="3">
        <f>MAX(0,MIN(100,IFERROR(VLOOKUP(BP499,ETQ_TBL,2,0),0)-IF(BQ499="sí",ETQ_PEN_DUD,IF(AS499="regla",ETQ_PEN_REGLA,0))))</f>
        <v/>
      </c>
      <c r="CE499" s="3">
        <f>NEUTRO</f>
        <v/>
      </c>
      <c r="CF499" s="3">
        <f>IFERROR(VLOOKUP(L499,SEGURO_TBL,3,0),"")</f>
        <v/>
      </c>
      <c r="CG499" s="3">
        <f>IF(CF499="",NEUTRO,MAX(0,MIN(100,100*(SEG_REF_MAX-CF499)/(SEG_REF_MAX-SEG_REF_MIN))))</f>
        <v/>
      </c>
      <c r="CH499" s="3">
        <f>W_CONS*CE499+W_SEG*CG499</f>
        <v/>
      </c>
      <c r="CI499" s="3">
        <f>IF(N(AB499)&gt;0,AB499,IF(AND(R499="profesional",SG_LEGAL_ON=1),GAR_LEGAL,0))</f>
        <v/>
      </c>
      <c r="CJ499" s="3">
        <f>SG_GAR*MIN(1,CI499/SG_GAR_FULL)+SG_AMPL*(AC499="sí")+SG_KMC*(AF499="sí")+SG_REV*(N(AE499)&gt;0)+SG_DEV*MIN(1,N(AG499)/SG_DEV_FULL)+SG_HIST*(W499="sí")</f>
        <v/>
      </c>
      <c r="CK499" s="3">
        <f>IFERROR(VLOOKUP(L499,CARR_PEN_TBL,2,0),0)</f>
        <v/>
      </c>
      <c r="CL499" s="3">
        <f>W_FIAB*BW499+W_PRECIO*BX499+W_KMEDAD*CB499+W_ANUNCIO*CC499+W_USO*CH499+W_SEGURIDAD*CJ499+W_ETIQUETA*CD499-CK499</f>
        <v/>
      </c>
      <c r="CM499" s="4">
        <f>IF(N(I499)&gt;0,I499,IFERROR(ROUND(_xlfn.NUMBERVALUE(LEFT(G499,FIND(" ",G499&amp;" ")-1),".")*1000,0),99999))</f>
        <v/>
      </c>
      <c r="CN499" s="3">
        <f>IF(R499="profesional",0,IF(O499&lt;CUOTA_VALOR_MAX,IF(BA499&gt;ITP_TRAMO_ALTO,SUMIFS(CF_CUOTA,CF_MAS,ITP_TRAMO_ALTO,CF_CCMIN,"&lt;="&amp;CM499,CF_CCMAX,"&gt;="&amp;CM499),IF(BA499&gt;ITP_TRAMO_BAJO,SUMIFS(CF_CUOTA,CF_MAS,ITP_TRAMO_BAJO,CF_CCMIN,"&lt;="&amp;CM499,CF_CCMAX,"&gt;="&amp;CM499),O499*ITP_TIPO)),O499*ITP_TIPO))</f>
        <v/>
      </c>
      <c r="CO499" s="4">
        <f>IF(R499="profesional",N(AK499),0)</f>
        <v/>
      </c>
      <c r="CP499" s="3">
        <f>IF(AND(R499="profesional",ISNUMBER(AK499),AL499="sí"),0,TASA_DGT)</f>
        <v/>
      </c>
      <c r="CQ499" s="3">
        <f>INFORME_DGT</f>
        <v/>
      </c>
      <c r="CR499" s="4">
        <f>O499+CO499+CN499+CP499+CQ499</f>
        <v/>
      </c>
      <c r="CS499" s="4">
        <f>CR499+N(CF499)</f>
        <v/>
      </c>
      <c r="CT499" s="3">
        <f>IF(CR499&lt;=TOTAL_MAX,"sí",IF(CR499&lt;=TOTAL_MAX+MARGEN_NEG,"negociar","no"))</f>
        <v/>
      </c>
      <c r="CU499" s="4">
        <f>IF(CT499&lt;&gt;"no",COUNTIFS($CT$2:$CT$545,"&lt;&gt;no",$CL$2:$CL$545,"&gt;"&amp;CL499)+COUNTIFS($CT$2:CT499,"&lt;&gt;no",$CL$2:CL499,CL499),"")</f>
        <v/>
      </c>
    </row>
    <row r="500">
      <c r="A500" s="2" t="inlineStr">
        <is>
          <t>cochesnet:71609841</t>
        </is>
      </c>
      <c r="B500" s="2" t="inlineStr">
        <is>
          <t>cochesnet</t>
        </is>
      </c>
      <c r="C500" s="2" t="inlineStr">
        <is>
          <t>https://www.coches.net/renault-megane-sport-tourer-business-dci-110-5p-diesel-2012-en-castellon-71609841-covo.aspx</t>
        </is>
      </c>
      <c r="D500" s="2" t="inlineStr">
        <is>
          <t>RENAULT Megane Sport Tourer Business dCi 110</t>
        </is>
      </c>
      <c r="E500" s="2" t="inlineStr">
        <is>
          <t>Renault</t>
        </is>
      </c>
      <c r="F500" s="2" t="inlineStr">
        <is>
          <t>Renault Mégane</t>
        </is>
      </c>
      <c r="G500" s="2" t="inlineStr">
        <is>
          <t>? dCi</t>
        </is>
      </c>
      <c r="H500" s="2" t="inlineStr">
        <is>
          <t>Sport Tourer Business dCi 110</t>
        </is>
      </c>
      <c r="I500" s="2" t="n"/>
      <c r="J500" s="2" t="n"/>
      <c r="K500" s="2" t="inlineStr">
        <is>
          <t>diesel</t>
        </is>
      </c>
      <c r="L500" s="2" t="inlineStr">
        <is>
          <t>familiar</t>
        </is>
      </c>
      <c r="M500" s="2" t="n">
        <v>2012</v>
      </c>
      <c r="N500" s="2" t="n">
        <v>182000</v>
      </c>
      <c r="O500" s="2" t="n">
        <v>4800</v>
      </c>
      <c r="P500" s="2" t="inlineStr">
        <is>
          <t>manual</t>
        </is>
      </c>
      <c r="Q500" s="2" t="inlineStr">
        <is>
          <t>no</t>
        </is>
      </c>
      <c r="R500" s="2" t="inlineStr">
        <is>
          <t>particular</t>
        </is>
      </c>
      <c r="S500" s="2" t="inlineStr">
        <is>
          <t>Castellón de la Plana / Castelló de la Plana</t>
        </is>
      </c>
      <c r="T500" s="2" t="inlineStr">
        <is>
          <t>2026-09-27T19:25:12Z</t>
        </is>
      </c>
      <c r="U500" s="2" t="n">
        <v>15</v>
      </c>
      <c r="V500" s="2" t="n"/>
      <c r="W500" s="2" t="n"/>
      <c r="X500" s="2" t="n"/>
      <c r="Y500" s="2" t="n"/>
      <c r="Z500" s="2" t="inlineStr">
        <is>
          <t>no</t>
        </is>
      </c>
      <c r="AA500" s="2" t="n"/>
      <c r="AB500" s="2" t="n"/>
      <c r="AC500" s="2" t="n"/>
      <c r="AD500" s="2" t="n"/>
      <c r="AE500" s="2" t="n"/>
      <c r="AF500" s="2" t="n"/>
      <c r="AG500" s="2" t="n"/>
      <c r="AH500" s="2" t="n">
        <v>4800</v>
      </c>
      <c r="AI500" s="2" t="n"/>
      <c r="AJ500" s="2" t="n"/>
      <c r="AK500" s="2" t="n"/>
      <c r="AL500" s="2" t="n"/>
      <c r="AM500" s="2" t="n"/>
      <c r="AN500" s="2" t="n"/>
      <c r="AO500" s="2" t="inlineStr">
        <is>
          <t>2012</t>
        </is>
      </c>
      <c r="AP500" s="2" t="n">
        <v>2012</v>
      </c>
      <c r="AQ500" s="2" t="n"/>
      <c r="AR500" s="2" t="inlineStr">
        <is>
          <t>B</t>
        </is>
      </c>
      <c r="AS500" s="2" t="inlineStr">
        <is>
          <t>anuncio</t>
        </is>
      </c>
      <c r="AT500" s="2" t="n">
        <v>5045</v>
      </c>
      <c r="AU500" s="2" t="n">
        <v>12</v>
      </c>
      <c r="AV500" s="2" t="inlineStr">
        <is>
          <t>modelo+año+km</t>
        </is>
      </c>
      <c r="AW500" s="2" t="inlineStr">
        <is>
          <t>cochesnet:71629893 (https://www.coches.net/renault-megane-diesel-2012-en-castellon-71629893-covo.aspx)</t>
        </is>
      </c>
      <c r="AX500" s="2" t="inlineStr">
        <is>
          <t>por encima del presupuesto (5004 €), negociar; cilindrada desconocida: se aplica el tramo de cuota fija más alto; cuota fija ITP: &gt;12 años, más de 2.000 cc; diésel: motor sin fuente de fiabilidad (fiabilidad limitada a neutra); carrocería familiar: -3 puntos; distancia no verificable (el anuncio solo indica la provincia): confirmar que está a &lt;= 70 km</t>
        </is>
      </c>
      <c r="AY500" s="2" t="inlineStr">
        <is>
          <t xml:space="preserve">Si buscas un coche que combine practicidad, eficiencia y un motor fiable, este Renault Mégane Sport Tourer es una gran oportunidad. Se trata de un familiar versátil con motorización diésel de 110 CV que ofrece un excelente rendimiento en carretera y una gestión inteligente del consumo, ideal para quienes realizan trayectos regulares sin renunciar a la comodidad.
presió negociable 
</t>
        </is>
      </c>
      <c r="AZ500" s="2" t="inlineStr">
        <is>
          <t>https://www.coches.net/renault-megane-sport-tourer-business-dci-110-5p-diesel-2012-en-castellon-71609841-covo.aspx (window.__INITIAL_PROPS__.ad) /home/user/Alopecia/buscador-coches/raw/cochesnet/b905ef498e353b6c.json</t>
        </is>
      </c>
      <c r="BA500" s="3">
        <f>MAX(ANIO_ACTUAL-M500,0)</f>
        <v/>
      </c>
      <c r="BB500" s="4">
        <f>N500/MAX(BA500,0.5)</f>
        <v/>
      </c>
      <c r="BC500" s="4">
        <f>F500</f>
        <v/>
      </c>
      <c r="BD500" s="3">
        <f>BC500&amp;"|"&amp;INT(M500/SEG_ANIO)*SEG_ANIO</f>
        <v/>
      </c>
      <c r="BE500" s="3">
        <f>BD500&amp;"|"&amp;INT(N500/SEG_KM)*SEG_KM</f>
        <v/>
      </c>
      <c r="BF500" s="4">
        <f>COUNTIF($BC$2:$BC$545,BC500)</f>
        <v/>
      </c>
      <c r="BG500" s="4">
        <f>COUNTIF($BD$2:$BD$545,BD500)</f>
        <v/>
      </c>
      <c r="BH500" s="4">
        <f>COUNTIF($BE$2:$BE$545,BE500)</f>
        <v/>
      </c>
      <c r="BI500" s="3">
        <f t="array" ref="BI500">IF(N(AU500)&gt;=MIN_N,AT500,IF(BH500&gt;=MIN_N,MEDIAN(IF($BE$2:$BE$545=BE500,$O$2:$O$545)),IF(BG500&gt;=MIN_N,MEDIAN(IF($BD$2:$BD$545=BD500,$O$2:$O$545)),MEDIAN(IF($BC$2:$BC$545=BC500,$O$2:$O$545)))))</f>
        <v/>
      </c>
      <c r="BJ500" s="3">
        <f>IF(N(AU500)&gt;=MIN_N,"mercado "&amp;AV500,IF(BH500&gt;=MIN_N,"modelo+año+km",IF(BG500&gt;=MIN_N,"modelo+año","modelo")))</f>
        <v/>
      </c>
      <c r="BK500" s="4">
        <f>(BI500-O500)/BI500</f>
        <v/>
      </c>
      <c r="BL500" s="3">
        <f>IF(COUNTIFS(FR_FUEL,K500,FR_YEAR,AP500)&gt;0,1,0)</f>
        <v/>
      </c>
      <c r="BM500" s="3">
        <f>IF(COUNTIFS(FR_FUEL,K500,FR_YEAR,AP500-1)&gt;0,1,0)</f>
        <v/>
      </c>
      <c r="BN500" s="4">
        <f>IF(N(AQ500)&gt;0,AP500*100+AQ500,IF(AND(BL500=1,BM500=1),(AP500-1)*100+1,AP500*100+1))</f>
        <v/>
      </c>
      <c r="BO500" s="3">
        <f>IF(OR(K500="hibrido",K500="glp",K500="gnc",K500="phev"),"ECO",IF(K500="electrico","CERO",IF(K500="gasolina",IF(BN500&gt;=GAS_C_YM,"C",IF(BN500&gt;=GAS_B_YM,"B","A")),IF(K500="diesel",IF(BN500&gt;=DIE_C_YM,"C",IF(BN500&gt;=DIE_B_YM,"B","A")),""))))</f>
        <v/>
      </c>
      <c r="BP500" s="2" t="inlineStr">
        <is>
          <t>B</t>
        </is>
      </c>
      <c r="BQ500" s="4">
        <f>IF(AS500="regla",IF(AND(N(AQ500)=0,BL500=1),"sí","no"),"no")</f>
        <v/>
      </c>
      <c r="BR500" s="3">
        <f>IFERROR(VLOOKUP(F500,MOD_TBL,11,0),IFERROR(VLOOKUP(E500,OCU_TBL,2,0),NEUTRO))</f>
        <v/>
      </c>
      <c r="BS500" s="3">
        <f>SUMIFS(MOT_AJUSTE,MOT_MOTOR,G500,MOT_MARCA,E500,MOT_DESDE,"&lt;="&amp;M500,MOT_HASTA,"&gt;="&amp;M500)+SUMIFS(MOT_AJUSTE,MOT_MOTOR,G500,MOT_MARCA,"(todas)",MOT_DESDE,"&lt;="&amp;M500,MOT_HASTA,"&gt;="&amp;M500)</f>
        <v/>
      </c>
      <c r="BT500" s="3">
        <f>SUMIFS(COMB_AJUSTE,COMB_COMB,K500)</f>
        <v/>
      </c>
      <c r="BU500" s="3">
        <f>COUNTIFS(MOT_MOTOR,G500,MOT_MARCA,E500,MOT_DESDE,"&lt;="&amp;M500,MOT_HASTA,"&gt;="&amp;M500)+COUNTIFS(MOT_MOTOR,G500,MOT_MARCA,"(todas)",MOT_DESDE,"&lt;="&amp;M500,MOT_HASTA,"&gt;="&amp;M500)</f>
        <v/>
      </c>
      <c r="BV500" s="3">
        <f>IF(AND(K500="diesel",BU500=0),MIN(BR500,NEUTRO),BR500)</f>
        <v/>
      </c>
      <c r="BW500" s="4">
        <f>MAX(0,MIN(100,BV500+BS500+BT500))</f>
        <v/>
      </c>
      <c r="BX500" s="3">
        <f>MAX(0,MIN(100,50+BK500*PRECIO_PEND))</f>
        <v/>
      </c>
      <c r="BY500" s="3">
        <f>MAX(0,100*(1-N500/KM_MAX))</f>
        <v/>
      </c>
      <c r="BZ500" s="3">
        <f>IF(BB500&lt;KMA_SOSP,IF(AA500="sí",100,KMA_PEN),IF(BB500&lt;=KMA_IDEAL_MAX,100,MAX(0,100*(KMA_CERO-BB500)/(KMA_CERO-KMA_IDEAL_MAX))))</f>
        <v/>
      </c>
      <c r="CA500" s="3">
        <f>MAX(0,MIN(100,100*(M500-ANIO_MIN)/(ANIO_ACTUAL-ANIO_MIN)))</f>
        <v/>
      </c>
      <c r="CB500" s="3">
        <f>W_KMT*BY500+W_KMA*BZ500+W_EDAD*CA500</f>
        <v/>
      </c>
      <c r="CC500" s="3">
        <f>P_ITV*(V500="sí")+P_LIBRO*(W500="sí")+P_CORREA*(X500="sí")+P_PROP*(Y500=1)+P_GAR*(Z500="sí")+P_FOTOS*MIN(1,N(U500)/FOTOS_OBJ)</f>
        <v/>
      </c>
      <c r="CD500" s="3">
        <f>MAX(0,MIN(100,IFERROR(VLOOKUP(BP500,ETQ_TBL,2,0),0)-IF(BQ500="sí",ETQ_PEN_DUD,IF(AS500="regla",ETQ_PEN_REGLA,0))))</f>
        <v/>
      </c>
      <c r="CE500" s="3">
        <f>NEUTRO</f>
        <v/>
      </c>
      <c r="CF500" s="3">
        <f>IFERROR(VLOOKUP(L500,SEGURO_TBL,3,0),"")</f>
        <v/>
      </c>
      <c r="CG500" s="3">
        <f>IF(CF500="",NEUTRO,MAX(0,MIN(100,100*(SEG_REF_MAX-CF500)/(SEG_REF_MAX-SEG_REF_MIN))))</f>
        <v/>
      </c>
      <c r="CH500" s="3">
        <f>W_CONS*CE500+W_SEG*CG500</f>
        <v/>
      </c>
      <c r="CI500" s="3">
        <f>IF(N(AB500)&gt;0,AB500,IF(AND(R500="profesional",SG_LEGAL_ON=1),GAR_LEGAL,0))</f>
        <v/>
      </c>
      <c r="CJ500" s="3">
        <f>SG_GAR*MIN(1,CI500/SG_GAR_FULL)+SG_AMPL*(AC500="sí")+SG_KMC*(AF500="sí")+SG_REV*(N(AE500)&gt;0)+SG_DEV*MIN(1,N(AG500)/SG_DEV_FULL)+SG_HIST*(W500="sí")</f>
        <v/>
      </c>
      <c r="CK500" s="3">
        <f>IFERROR(VLOOKUP(L500,CARR_PEN_TBL,2,0),0)</f>
        <v/>
      </c>
      <c r="CL500" s="3">
        <f>W_FIAB*BW500+W_PRECIO*BX500+W_KMEDAD*CB500+W_ANUNCIO*CC500+W_USO*CH500+W_SEGURIDAD*CJ500+W_ETIQUETA*CD500-CK500</f>
        <v/>
      </c>
      <c r="CM500" s="4">
        <f>IF(N(I500)&gt;0,I500,IFERROR(ROUND(_xlfn.NUMBERVALUE(LEFT(G500,FIND(" ",G500&amp;" ")-1),".")*1000,0),99999))</f>
        <v/>
      </c>
      <c r="CN500" s="3">
        <f>IF(R500="profesional",0,IF(O500&lt;CUOTA_VALOR_MAX,IF(BA500&gt;ITP_TRAMO_ALTO,SUMIFS(CF_CUOTA,CF_MAS,ITP_TRAMO_ALTO,CF_CCMIN,"&lt;="&amp;CM500,CF_CCMAX,"&gt;="&amp;CM500),IF(BA500&gt;ITP_TRAMO_BAJO,SUMIFS(CF_CUOTA,CF_MAS,ITP_TRAMO_BAJO,CF_CCMIN,"&lt;="&amp;CM500,CF_CCMAX,"&gt;="&amp;CM500),O500*ITP_TIPO)),O500*ITP_TIPO))</f>
        <v/>
      </c>
      <c r="CO500" s="4">
        <f>IF(R500="profesional",N(AK500),0)</f>
        <v/>
      </c>
      <c r="CP500" s="3">
        <f>IF(AND(R500="profesional",ISNUMBER(AK500),AL500="sí"),0,TASA_DGT)</f>
        <v/>
      </c>
      <c r="CQ500" s="3">
        <f>INFORME_DGT</f>
        <v/>
      </c>
      <c r="CR500" s="4">
        <f>O500+CO500+CN500+CP500+CQ500</f>
        <v/>
      </c>
      <c r="CS500" s="4">
        <f>CR500+N(CF500)</f>
        <v/>
      </c>
      <c r="CT500" s="3">
        <f>IF(CR500&lt;=TOTAL_MAX,"sí",IF(CR500&lt;=TOTAL_MAX+MARGEN_NEG,"negociar","no"))</f>
        <v/>
      </c>
      <c r="CU500" s="4">
        <f>IF(CT500&lt;&gt;"no",COUNTIFS($CT$2:$CT$545,"&lt;&gt;no",$CL$2:$CL$545,"&gt;"&amp;CL500)+COUNTIFS($CT$2:CT500,"&lt;&gt;no",$CL$2:CL500,CL500),"")</f>
        <v/>
      </c>
    </row>
    <row r="501">
      <c r="A501" s="2" t="inlineStr">
        <is>
          <t>cochesnet:70895846</t>
        </is>
      </c>
      <c r="B501" s="2" t="inlineStr">
        <is>
          <t>cochesnet</t>
        </is>
      </c>
      <c r="C501" s="2" t="inlineStr">
        <is>
          <t>https://www.coches.net/renault-twingo-authentique-12-eco2-3p-gasolina-2008-en-castellon-70895846-covo.aspx</t>
        </is>
      </c>
      <c r="D501" s="2" t="inlineStr">
        <is>
          <t>RENAULT Twingo Authentique 1.2 eco2</t>
        </is>
      </c>
      <c r="E501" s="2" t="inlineStr">
        <is>
          <t>Renault</t>
        </is>
      </c>
      <c r="F501" s="2" t="inlineStr">
        <is>
          <t>Renault Twingo</t>
        </is>
      </c>
      <c r="G501" s="2" t="inlineStr">
        <is>
          <t>1.2</t>
        </is>
      </c>
      <c r="H501" s="2" t="inlineStr">
        <is>
          <t>Authentique 1.2 eco2</t>
        </is>
      </c>
      <c r="I501" s="2" t="n"/>
      <c r="J501" s="2" t="n"/>
      <c r="K501" s="2" t="inlineStr">
        <is>
          <t>gasolina</t>
        </is>
      </c>
      <c r="L501" s="2" t="inlineStr">
        <is>
          <t>utilitario</t>
        </is>
      </c>
      <c r="M501" s="2" t="n">
        <v>2008</v>
      </c>
      <c r="N501" s="2" t="n">
        <v>34100</v>
      </c>
      <c r="O501" s="2" t="n">
        <v>4900</v>
      </c>
      <c r="P501" s="2" t="inlineStr">
        <is>
          <t>manual</t>
        </is>
      </c>
      <c r="Q501" s="2" t="inlineStr">
        <is>
          <t>no</t>
        </is>
      </c>
      <c r="R501" s="2" t="inlineStr">
        <is>
          <t>profesional</t>
        </is>
      </c>
      <c r="S501" s="2" t="inlineStr">
        <is>
          <t>Comprartuauto.com Vila-real</t>
        </is>
      </c>
      <c r="T501" s="2" t="inlineStr">
        <is>
          <t>2026-09-16T19:33:12Z</t>
        </is>
      </c>
      <c r="U501" s="2" t="n">
        <v>12</v>
      </c>
      <c r="V501" s="2" t="inlineStr">
        <is>
          <t>sí</t>
        </is>
      </c>
      <c r="W501" s="2" t="n"/>
      <c r="X501" s="2" t="n"/>
      <c r="Y501" s="2" t="n">
        <v>1</v>
      </c>
      <c r="Z501" s="2" t="inlineStr">
        <is>
          <t>no</t>
        </is>
      </c>
      <c r="AA501" s="2" t="n"/>
      <c r="AB501" s="2" t="n"/>
      <c r="AC501" s="2" t="n"/>
      <c r="AD501" s="2" t="n"/>
      <c r="AE501" s="2" t="n"/>
      <c r="AF501" s="2" t="n"/>
      <c r="AG501" s="2" t="n"/>
      <c r="AH501" s="2" t="n">
        <v>4900</v>
      </c>
      <c r="AI501" s="2" t="n"/>
      <c r="AJ501" s="2" t="n"/>
      <c r="AK501" s="2" t="n"/>
      <c r="AL501" s="2" t="n"/>
      <c r="AM501" s="2" t="n"/>
      <c r="AN501" s="2" t="n"/>
      <c r="AO501" s="2" t="inlineStr">
        <is>
          <t>2008</t>
        </is>
      </c>
      <c r="AP501" s="2" t="n">
        <v>2008</v>
      </c>
      <c r="AQ501" s="2" t="n"/>
      <c r="AR501" s="2" t="inlineStr">
        <is>
          <t>C</t>
        </is>
      </c>
      <c r="AS501" s="2" t="inlineStr">
        <is>
          <t>anuncio</t>
        </is>
      </c>
      <c r="AT501" s="2" t="n"/>
      <c r="AU501" s="2" t="n"/>
      <c r="AV501" s="2" t="n"/>
      <c r="AW501" s="2" t="n"/>
      <c r="AX501"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3 anuncio(s)</t>
        </is>
      </c>
      <c r="AY501" s="2" t="inlineStr">
        <is>
          <t>Renault Twingo motor 1.2cc 60cv Gasolina, manual 5 velocidades, año 2008, 34.100kms, único propietario, etiqueta medioambiental C.
Extras: Cierre centralizado a distancia, cristales eléctricos, aire acondicionado, ordenador de abordo, Radio/CD/Mp3/USB/Aux/Bluetooth, ABS, control de tracción, control de estabilidad, airbags, etc.
ITV hasta el 9/2026, neumáticos correctos, el ultimo mantenimiento de aceite y filtros se realizo a los 25.000kms.
El vehículo esta en perfectas condiciones.
El cambio de nombre se cobra a parte y son 200 Euros. 
Aceptamos su vehículo como parte de pago. 
Mas vehículos en comprartuauto,com 
Se habla Español, Ingles, Ucraniano y Ruso
Estamos en Villareal, Av. Francesc Tarrega 263. 
Horarios de Lunes a Viernes de 10 a 14 y de 17 a 20. 
Sábados mediante cita previa de 10 a 13.</t>
        </is>
      </c>
      <c r="AZ501" s="2" t="inlineStr">
        <is>
          <t>https://www.coches.net/renault-twingo-authentique-12-eco2-3p-gasolina-2008-en-castellon-70895846-covo.aspx (window.__INITIAL_PROPS__.ad) /home/user/Alopecia/buscador-coches/raw/cochesnet/eec6c7107140ffda.json</t>
        </is>
      </c>
      <c r="BA501" s="3">
        <f>MAX(ANIO_ACTUAL-M501,0)</f>
        <v/>
      </c>
      <c r="BB501" s="4">
        <f>N501/MAX(BA501,0.5)</f>
        <v/>
      </c>
      <c r="BC501" s="4">
        <f>F501</f>
        <v/>
      </c>
      <c r="BD501" s="3">
        <f>BC501&amp;"|"&amp;INT(M501/SEG_ANIO)*SEG_ANIO</f>
        <v/>
      </c>
      <c r="BE501" s="3">
        <f>BD501&amp;"|"&amp;INT(N501/SEG_KM)*SEG_KM</f>
        <v/>
      </c>
      <c r="BF501" s="4">
        <f>COUNTIF($BC$2:$BC$545,BC501)</f>
        <v/>
      </c>
      <c r="BG501" s="4">
        <f>COUNTIF($BD$2:$BD$545,BD501)</f>
        <v/>
      </c>
      <c r="BH501" s="4">
        <f>COUNTIF($BE$2:$BE$545,BE501)</f>
        <v/>
      </c>
      <c r="BI501" s="3">
        <f t="array" ref="BI501">IF(N(AU501)&gt;=MIN_N,AT501,IF(BH501&gt;=MIN_N,MEDIAN(IF($BE$2:$BE$545=BE501,$O$2:$O$545)),IF(BG501&gt;=MIN_N,MEDIAN(IF($BD$2:$BD$545=BD501,$O$2:$O$545)),MEDIAN(IF($BC$2:$BC$545=BC501,$O$2:$O$545)))))</f>
        <v/>
      </c>
      <c r="BJ501" s="3">
        <f>IF(N(AU501)&gt;=MIN_N,"mercado "&amp;AV501,IF(BH501&gt;=MIN_N,"modelo+año+km",IF(BG501&gt;=MIN_N,"modelo+año","modelo")))</f>
        <v/>
      </c>
      <c r="BK501" s="4">
        <f>(BI501-O501)/BI501</f>
        <v/>
      </c>
      <c r="BL501" s="3">
        <f>IF(COUNTIFS(FR_FUEL,K501,FR_YEAR,AP501)&gt;0,1,0)</f>
        <v/>
      </c>
      <c r="BM501" s="3">
        <f>IF(COUNTIFS(FR_FUEL,K501,FR_YEAR,AP501-1)&gt;0,1,0)</f>
        <v/>
      </c>
      <c r="BN501" s="4">
        <f>IF(N(AQ501)&gt;0,AP501*100+AQ501,IF(AND(BL501=1,BM501=1),(AP501-1)*100+1,AP501*100+1))</f>
        <v/>
      </c>
      <c r="BO501" s="3">
        <f>IF(OR(K501="hibrido",K501="glp",K501="gnc",K501="phev"),"ECO",IF(K501="electrico","CERO",IF(K501="gasolina",IF(BN501&gt;=GAS_C_YM,"C",IF(BN501&gt;=GAS_B_YM,"B","A")),IF(K501="diesel",IF(BN501&gt;=DIE_C_YM,"C",IF(BN501&gt;=DIE_B_YM,"B","A")),""))))</f>
        <v/>
      </c>
      <c r="BP501" s="2" t="inlineStr">
        <is>
          <t>C</t>
        </is>
      </c>
      <c r="BQ501" s="4">
        <f>IF(AS501="regla",IF(AND(N(AQ501)=0,BL501=1),"sí","no"),"no")</f>
        <v/>
      </c>
      <c r="BR501" s="3">
        <f>IFERROR(VLOOKUP(F501,MOD_TBL,11,0),IFERROR(VLOOKUP(E501,OCU_TBL,2,0),NEUTRO))</f>
        <v/>
      </c>
      <c r="BS501" s="3">
        <f>SUMIFS(MOT_AJUSTE,MOT_MOTOR,G501,MOT_MARCA,E501,MOT_DESDE,"&lt;="&amp;M501,MOT_HASTA,"&gt;="&amp;M501)+SUMIFS(MOT_AJUSTE,MOT_MOTOR,G501,MOT_MARCA,"(todas)",MOT_DESDE,"&lt;="&amp;M501,MOT_HASTA,"&gt;="&amp;M501)</f>
        <v/>
      </c>
      <c r="BT501" s="3">
        <f>SUMIFS(COMB_AJUSTE,COMB_COMB,K501)</f>
        <v/>
      </c>
      <c r="BU501" s="3">
        <f>COUNTIFS(MOT_MOTOR,G501,MOT_MARCA,E501,MOT_DESDE,"&lt;="&amp;M501,MOT_HASTA,"&gt;="&amp;M501)+COUNTIFS(MOT_MOTOR,G501,MOT_MARCA,"(todas)",MOT_DESDE,"&lt;="&amp;M501,MOT_HASTA,"&gt;="&amp;M501)</f>
        <v/>
      </c>
      <c r="BV501" s="3">
        <f>IF(AND(K501="diesel",BU501=0),MIN(BR501,NEUTRO),BR501)</f>
        <v/>
      </c>
      <c r="BW501" s="4">
        <f>MAX(0,MIN(100,BV501+BS501+BT501))</f>
        <v/>
      </c>
      <c r="BX501" s="3">
        <f>MAX(0,MIN(100,50+BK501*PRECIO_PEND))</f>
        <v/>
      </c>
      <c r="BY501" s="3">
        <f>MAX(0,100*(1-N501/KM_MAX))</f>
        <v/>
      </c>
      <c r="BZ501" s="3">
        <f>IF(BB501&lt;KMA_SOSP,IF(AA501="sí",100,KMA_PEN),IF(BB501&lt;=KMA_IDEAL_MAX,100,MAX(0,100*(KMA_CERO-BB501)/(KMA_CERO-KMA_IDEAL_MAX))))</f>
        <v/>
      </c>
      <c r="CA501" s="3">
        <f>MAX(0,MIN(100,100*(M501-ANIO_MIN)/(ANIO_ACTUAL-ANIO_MIN)))</f>
        <v/>
      </c>
      <c r="CB501" s="3">
        <f>W_KMT*BY501+W_KMA*BZ501+W_EDAD*CA501</f>
        <v/>
      </c>
      <c r="CC501" s="3">
        <f>P_ITV*(V501="sí")+P_LIBRO*(W501="sí")+P_CORREA*(X501="sí")+P_PROP*(Y501=1)+P_GAR*(Z501="sí")+P_FOTOS*MIN(1,N(U501)/FOTOS_OBJ)</f>
        <v/>
      </c>
      <c r="CD501" s="3">
        <f>MAX(0,MIN(100,IFERROR(VLOOKUP(BP501,ETQ_TBL,2,0),0)-IF(BQ501="sí",ETQ_PEN_DUD,IF(AS501="regla",ETQ_PEN_REGLA,0))))</f>
        <v/>
      </c>
      <c r="CE501" s="3">
        <f>NEUTRO</f>
        <v/>
      </c>
      <c r="CF501" s="3">
        <f>IFERROR(VLOOKUP(L501,SEGURO_TBL,3,0),"")</f>
        <v/>
      </c>
      <c r="CG501" s="3">
        <f>IF(CF501="",NEUTRO,MAX(0,MIN(100,100*(SEG_REF_MAX-CF501)/(SEG_REF_MAX-SEG_REF_MIN))))</f>
        <v/>
      </c>
      <c r="CH501" s="3">
        <f>W_CONS*CE501+W_SEG*CG501</f>
        <v/>
      </c>
      <c r="CI501" s="3">
        <f>IF(N(AB501)&gt;0,AB501,IF(AND(R501="profesional",SG_LEGAL_ON=1),GAR_LEGAL,0))</f>
        <v/>
      </c>
      <c r="CJ501" s="3">
        <f>SG_GAR*MIN(1,CI501/SG_GAR_FULL)+SG_AMPL*(AC501="sí")+SG_KMC*(AF501="sí")+SG_REV*(N(AE501)&gt;0)+SG_DEV*MIN(1,N(AG501)/SG_DEV_FULL)+SG_HIST*(W501="sí")</f>
        <v/>
      </c>
      <c r="CK501" s="3">
        <f>IFERROR(VLOOKUP(L501,CARR_PEN_TBL,2,0),0)</f>
        <v/>
      </c>
      <c r="CL501" s="3">
        <f>W_FIAB*BW501+W_PRECIO*BX501+W_KMEDAD*CB501+W_ANUNCIO*CC501+W_USO*CH501+W_SEGURIDAD*CJ501+W_ETIQUETA*CD501-CK501</f>
        <v/>
      </c>
      <c r="CM501" s="4">
        <f>IF(N(I501)&gt;0,I501,IFERROR(ROUND(_xlfn.NUMBERVALUE(LEFT(G501,FIND(" ",G501&amp;" ")-1),".")*1000,0),99999))</f>
        <v/>
      </c>
      <c r="CN501" s="3">
        <f>IF(R501="profesional",0,IF(O501&lt;CUOTA_VALOR_MAX,IF(BA501&gt;ITP_TRAMO_ALTO,SUMIFS(CF_CUOTA,CF_MAS,ITP_TRAMO_ALTO,CF_CCMIN,"&lt;="&amp;CM501,CF_CCMAX,"&gt;="&amp;CM501),IF(BA501&gt;ITP_TRAMO_BAJO,SUMIFS(CF_CUOTA,CF_MAS,ITP_TRAMO_BAJO,CF_CCMIN,"&lt;="&amp;CM501,CF_CCMAX,"&gt;="&amp;CM501),O501*ITP_TIPO)),O501*ITP_TIPO))</f>
        <v/>
      </c>
      <c r="CO501" s="4">
        <f>IF(R501="profesional",N(AK501),0)</f>
        <v/>
      </c>
      <c r="CP501" s="3">
        <f>IF(AND(R501="profesional",ISNUMBER(AK501),AL501="sí"),0,TASA_DGT)</f>
        <v/>
      </c>
      <c r="CQ501" s="3">
        <f>INFORME_DGT</f>
        <v/>
      </c>
      <c r="CR501" s="4">
        <f>O501+CO501+CN501+CP501+CQ501</f>
        <v/>
      </c>
      <c r="CS501" s="4">
        <f>CR501+N(CF501)</f>
        <v/>
      </c>
      <c r="CT501" s="3">
        <f>IF(CR501&lt;=TOTAL_MAX,"sí",IF(CR501&lt;=TOTAL_MAX+MARGEN_NEG,"negociar","no"))</f>
        <v/>
      </c>
      <c r="CU501" s="4">
        <f>IF(CT501&lt;&gt;"no",COUNTIFS($CT$2:$CT$545,"&lt;&gt;no",$CL$2:$CL$545,"&gt;"&amp;CL501)+COUNTIFS($CT$2:CT501,"&lt;&gt;no",$CL$2:CL501,CL501),"")</f>
        <v/>
      </c>
    </row>
    <row r="502">
      <c r="A502" s="2" t="inlineStr">
        <is>
          <t>cochesnet:71539906</t>
        </is>
      </c>
      <c r="B502" s="2" t="inlineStr">
        <is>
          <t>cochesnet</t>
        </is>
      </c>
      <c r="C502" s="2" t="inlineStr">
        <is>
          <t>https://www.coches.net/renault-megane-diesel-2011-en-castellon-71539906-covo.aspx</t>
        </is>
      </c>
      <c r="D502" s="2" t="inlineStr">
        <is>
          <t>RENAULT Megane</t>
        </is>
      </c>
      <c r="E502" s="2" t="inlineStr">
        <is>
          <t>Renault</t>
        </is>
      </c>
      <c r="F502" s="2" t="inlineStr">
        <is>
          <t>Renault Mégane</t>
        </is>
      </c>
      <c r="G502" s="2" t="n"/>
      <c r="H502" s="2" t="n"/>
      <c r="I502" s="2" t="n"/>
      <c r="J502" s="2" t="n"/>
      <c r="K502" s="2" t="inlineStr">
        <is>
          <t>diesel</t>
        </is>
      </c>
      <c r="L502" s="2" t="inlineStr">
        <is>
          <t>compacto</t>
        </is>
      </c>
      <c r="M502" s="2" t="n">
        <v>2011</v>
      </c>
      <c r="N502" s="2" t="n">
        <v>153200</v>
      </c>
      <c r="O502" s="2" t="n">
        <v>4900</v>
      </c>
      <c r="P502" s="2" t="inlineStr">
        <is>
          <t>manual</t>
        </is>
      </c>
      <c r="Q502" s="2" t="inlineStr">
        <is>
          <t>no</t>
        </is>
      </c>
      <c r="R502" s="2" t="inlineStr">
        <is>
          <t>particular</t>
        </is>
      </c>
      <c r="S502" s="2" t="n"/>
      <c r="T502" s="2" t="inlineStr">
        <is>
          <t>2026-09-17T16:51:09Z</t>
        </is>
      </c>
      <c r="U502" s="2" t="n">
        <v>6</v>
      </c>
      <c r="V502" s="2" t="inlineStr">
        <is>
          <t>sí</t>
        </is>
      </c>
      <c r="W502" s="2" t="n"/>
      <c r="X502" s="2" t="n"/>
      <c r="Y502" s="2" t="n">
        <v>1</v>
      </c>
      <c r="Z502" s="2" t="inlineStr">
        <is>
          <t>no</t>
        </is>
      </c>
      <c r="AA502" s="2" t="n"/>
      <c r="AB502" s="2" t="n"/>
      <c r="AC502" s="2" t="n"/>
      <c r="AD502" s="2" t="n"/>
      <c r="AE502" s="2" t="n"/>
      <c r="AF502" s="2" t="n"/>
      <c r="AG502" s="2" t="n"/>
      <c r="AH502" s="2" t="n">
        <v>4900</v>
      </c>
      <c r="AI502" s="2" t="n"/>
      <c r="AJ502" s="2" t="n"/>
      <c r="AK502" s="2" t="n"/>
      <c r="AL502" s="2" t="n"/>
      <c r="AM502" s="2" t="n"/>
      <c r="AN502" s="2" t="n"/>
      <c r="AO502" s="2" t="inlineStr">
        <is>
          <t>2011</t>
        </is>
      </c>
      <c r="AP502" s="2" t="n">
        <v>2011</v>
      </c>
      <c r="AQ502" s="2" t="n"/>
      <c r="AR502" s="2" t="n"/>
      <c r="AS502" s="2" t="inlineStr">
        <is>
          <t>regla</t>
        </is>
      </c>
      <c r="AT502" s="2" t="n">
        <v>5045</v>
      </c>
      <c r="AU502" s="2" t="n">
        <v>12</v>
      </c>
      <c r="AV502" s="2" t="inlineStr">
        <is>
          <t>modelo+año+km</t>
        </is>
      </c>
      <c r="AW502" s="2" t="n"/>
      <c r="AX502" s="2" t="inlineStr">
        <is>
          <t>por encima del presupuesto (5104 €),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502" s="2" t="inlineStr">
        <is>
          <t>vendo Megane 1.5 dci,ITV recién pasada,6 velocidades, volante multifunción,bluetooh,control de velocidad y antiderrapaje,manos libres .llantas de aluminio, climatizador bizona,no hay que hacer nada de mecánica, está todo bien, buenas prestaciones y bajo consumo, cómodo de llevar ,solo a tenido 1 propietario</t>
        </is>
      </c>
      <c r="AZ502" s="2" t="inlineStr">
        <is>
          <t>https://www.coches.net/renault-megane-diesel-2011-en-castellon-71539906-covo.aspx (window.__INITIAL_PROPS__.ad) /home/user/Alopecia/buscador-coches/raw/cochesnet/53a4629eb1040f67.json</t>
        </is>
      </c>
      <c r="BA502" s="3">
        <f>MAX(ANIO_ACTUAL-M502,0)</f>
        <v/>
      </c>
      <c r="BB502" s="4">
        <f>N502/MAX(BA502,0.5)</f>
        <v/>
      </c>
      <c r="BC502" s="4">
        <f>F502</f>
        <v/>
      </c>
      <c r="BD502" s="3">
        <f>BC502&amp;"|"&amp;INT(M502/SEG_ANIO)*SEG_ANIO</f>
        <v/>
      </c>
      <c r="BE502" s="3">
        <f>BD502&amp;"|"&amp;INT(N502/SEG_KM)*SEG_KM</f>
        <v/>
      </c>
      <c r="BF502" s="4">
        <f>COUNTIF($BC$2:$BC$545,BC502)</f>
        <v/>
      </c>
      <c r="BG502" s="4">
        <f>COUNTIF($BD$2:$BD$545,BD502)</f>
        <v/>
      </c>
      <c r="BH502" s="4">
        <f>COUNTIF($BE$2:$BE$545,BE502)</f>
        <v/>
      </c>
      <c r="BI502" s="3">
        <f t="array" ref="BI502">IF(N(AU502)&gt;=MIN_N,AT502,IF(BH502&gt;=MIN_N,MEDIAN(IF($BE$2:$BE$545=BE502,$O$2:$O$545)),IF(BG502&gt;=MIN_N,MEDIAN(IF($BD$2:$BD$545=BD502,$O$2:$O$545)),MEDIAN(IF($BC$2:$BC$545=BC502,$O$2:$O$545)))))</f>
        <v/>
      </c>
      <c r="BJ502" s="3">
        <f>IF(N(AU502)&gt;=MIN_N,"mercado "&amp;AV502,IF(BH502&gt;=MIN_N,"modelo+año+km",IF(BG502&gt;=MIN_N,"modelo+año","modelo")))</f>
        <v/>
      </c>
      <c r="BK502" s="4">
        <f>(BI502-O502)/BI502</f>
        <v/>
      </c>
      <c r="BL502" s="3">
        <f>IF(COUNTIFS(FR_FUEL,K502,FR_YEAR,AP502)&gt;0,1,0)</f>
        <v/>
      </c>
      <c r="BM502" s="3">
        <f>IF(COUNTIFS(FR_FUEL,K502,FR_YEAR,AP502-1)&gt;0,1,0)</f>
        <v/>
      </c>
      <c r="BN502" s="4">
        <f>IF(N(AQ502)&gt;0,AP502*100+AQ502,IF(AND(BL502=1,BM502=1),(AP502-1)*100+1,AP502*100+1))</f>
        <v/>
      </c>
      <c r="BO502" s="3">
        <f>IF(OR(K502="hibrido",K502="glp",K502="gnc",K502="phev"),"ECO",IF(K502="electrico","CERO",IF(K502="gasolina",IF(BN502&gt;=GAS_C_YM,"C",IF(BN502&gt;=GAS_B_YM,"B","A")),IF(K502="diesel",IF(BN502&gt;=DIE_C_YM,"C",IF(BN502&gt;=DIE_B_YM,"B","A")),""))))</f>
        <v/>
      </c>
      <c r="BP502" s="4">
        <f>BO502</f>
        <v/>
      </c>
      <c r="BQ502" s="4">
        <f>IF(AS502="regla",IF(AND(N(AQ502)=0,BL502=1),"sí","no"),"no")</f>
        <v/>
      </c>
      <c r="BR502" s="3">
        <f>IFERROR(VLOOKUP(F502,MOD_TBL,11,0),IFERROR(VLOOKUP(E502,OCU_TBL,2,0),NEUTRO))</f>
        <v/>
      </c>
      <c r="BS502" s="3">
        <f>SUMIFS(MOT_AJUSTE,MOT_MOTOR,G502,MOT_MARCA,E502,MOT_DESDE,"&lt;="&amp;M502,MOT_HASTA,"&gt;="&amp;M502)+SUMIFS(MOT_AJUSTE,MOT_MOTOR,G502,MOT_MARCA,"(todas)",MOT_DESDE,"&lt;="&amp;M502,MOT_HASTA,"&gt;="&amp;M502)</f>
        <v/>
      </c>
      <c r="BT502" s="3">
        <f>SUMIFS(COMB_AJUSTE,COMB_COMB,K502)</f>
        <v/>
      </c>
      <c r="BU502" s="3">
        <f>COUNTIFS(MOT_MOTOR,G502,MOT_MARCA,E502,MOT_DESDE,"&lt;="&amp;M502,MOT_HASTA,"&gt;="&amp;M502)+COUNTIFS(MOT_MOTOR,G502,MOT_MARCA,"(todas)",MOT_DESDE,"&lt;="&amp;M502,MOT_HASTA,"&gt;="&amp;M502)</f>
        <v/>
      </c>
      <c r="BV502" s="3">
        <f>IF(AND(K502="diesel",BU502=0),MIN(BR502,NEUTRO),BR502)</f>
        <v/>
      </c>
      <c r="BW502" s="4">
        <f>MAX(0,MIN(100,BV502+BS502+BT502))</f>
        <v/>
      </c>
      <c r="BX502" s="3">
        <f>MAX(0,MIN(100,50+BK502*PRECIO_PEND))</f>
        <v/>
      </c>
      <c r="BY502" s="3">
        <f>MAX(0,100*(1-N502/KM_MAX))</f>
        <v/>
      </c>
      <c r="BZ502" s="3">
        <f>IF(BB502&lt;KMA_SOSP,IF(AA502="sí",100,KMA_PEN),IF(BB502&lt;=KMA_IDEAL_MAX,100,MAX(0,100*(KMA_CERO-BB502)/(KMA_CERO-KMA_IDEAL_MAX))))</f>
        <v/>
      </c>
      <c r="CA502" s="3">
        <f>MAX(0,MIN(100,100*(M502-ANIO_MIN)/(ANIO_ACTUAL-ANIO_MIN)))</f>
        <v/>
      </c>
      <c r="CB502" s="3">
        <f>W_KMT*BY502+W_KMA*BZ502+W_EDAD*CA502</f>
        <v/>
      </c>
      <c r="CC502" s="3">
        <f>P_ITV*(V502="sí")+P_LIBRO*(W502="sí")+P_CORREA*(X502="sí")+P_PROP*(Y502=1)+P_GAR*(Z502="sí")+P_FOTOS*MIN(1,N(U502)/FOTOS_OBJ)</f>
        <v/>
      </c>
      <c r="CD502" s="3">
        <f>MAX(0,MIN(100,IFERROR(VLOOKUP(BP502,ETQ_TBL,2,0),0)-IF(BQ502="sí",ETQ_PEN_DUD,IF(AS502="regla",ETQ_PEN_REGLA,0))))</f>
        <v/>
      </c>
      <c r="CE502" s="3">
        <f>NEUTRO</f>
        <v/>
      </c>
      <c r="CF502" s="3">
        <f>IFERROR(VLOOKUP(L502,SEGURO_TBL,3,0),"")</f>
        <v/>
      </c>
      <c r="CG502" s="3">
        <f>IF(CF502="",NEUTRO,MAX(0,MIN(100,100*(SEG_REF_MAX-CF502)/(SEG_REF_MAX-SEG_REF_MIN))))</f>
        <v/>
      </c>
      <c r="CH502" s="3">
        <f>W_CONS*CE502+W_SEG*CG502</f>
        <v/>
      </c>
      <c r="CI502" s="3">
        <f>IF(N(AB502)&gt;0,AB502,IF(AND(R502="profesional",SG_LEGAL_ON=1),GAR_LEGAL,0))</f>
        <v/>
      </c>
      <c r="CJ502" s="3">
        <f>SG_GAR*MIN(1,CI502/SG_GAR_FULL)+SG_AMPL*(AC502="sí")+SG_KMC*(AF502="sí")+SG_REV*(N(AE502)&gt;0)+SG_DEV*MIN(1,N(AG502)/SG_DEV_FULL)+SG_HIST*(W502="sí")</f>
        <v/>
      </c>
      <c r="CK502" s="3">
        <f>IFERROR(VLOOKUP(L502,CARR_PEN_TBL,2,0),0)</f>
        <v/>
      </c>
      <c r="CL502" s="3">
        <f>W_FIAB*BW502+W_PRECIO*BX502+W_KMEDAD*CB502+W_ANUNCIO*CC502+W_USO*CH502+W_SEGURIDAD*CJ502+W_ETIQUETA*CD502-CK502</f>
        <v/>
      </c>
      <c r="CM502" s="4">
        <f>IF(N(I502)&gt;0,I502,IFERROR(ROUND(_xlfn.NUMBERVALUE(LEFT(G502,FIND(" ",G502&amp;" ")-1),".")*1000,0),99999))</f>
        <v/>
      </c>
      <c r="CN502" s="3">
        <f>IF(R502="profesional",0,IF(O502&lt;CUOTA_VALOR_MAX,IF(BA502&gt;ITP_TRAMO_ALTO,SUMIFS(CF_CUOTA,CF_MAS,ITP_TRAMO_ALTO,CF_CCMIN,"&lt;="&amp;CM502,CF_CCMAX,"&gt;="&amp;CM502),IF(BA502&gt;ITP_TRAMO_BAJO,SUMIFS(CF_CUOTA,CF_MAS,ITP_TRAMO_BAJO,CF_CCMIN,"&lt;="&amp;CM502,CF_CCMAX,"&gt;="&amp;CM502),O502*ITP_TIPO)),O502*ITP_TIPO))</f>
        <v/>
      </c>
      <c r="CO502" s="4">
        <f>IF(R502="profesional",N(AK502),0)</f>
        <v/>
      </c>
      <c r="CP502" s="3">
        <f>IF(AND(R502="profesional",ISNUMBER(AK502),AL502="sí"),0,TASA_DGT)</f>
        <v/>
      </c>
      <c r="CQ502" s="3">
        <f>INFORME_DGT</f>
        <v/>
      </c>
      <c r="CR502" s="4">
        <f>O502+CO502+CN502+CP502+CQ502</f>
        <v/>
      </c>
      <c r="CS502" s="4">
        <f>CR502+N(CF502)</f>
        <v/>
      </c>
      <c r="CT502" s="3">
        <f>IF(CR502&lt;=TOTAL_MAX,"sí",IF(CR502&lt;=TOTAL_MAX+MARGEN_NEG,"negociar","no"))</f>
        <v/>
      </c>
      <c r="CU502" s="4">
        <f>IF(CT502&lt;&gt;"no",COUNTIFS($CT$2:$CT$545,"&lt;&gt;no",$CL$2:$CL$545,"&gt;"&amp;CL502)+COUNTIFS($CT$2:CT502,"&lt;&gt;no",$CL$2:CL502,CL502),"")</f>
        <v/>
      </c>
    </row>
    <row r="503">
      <c r="A503" s="2" t="inlineStr">
        <is>
          <t>cochesnet:71493075</t>
        </is>
      </c>
      <c r="B503" s="2" t="inlineStr">
        <is>
          <t>cochesnet</t>
        </is>
      </c>
      <c r="C503" s="2" t="inlineStr">
        <is>
          <t>https://www.coches.net/renault-megane-business-energy-dci-110-ss-eco2-5p-diesel-2013-en-castellon-71493075-covo.aspx</t>
        </is>
      </c>
      <c r="D503" s="2" t="inlineStr">
        <is>
          <t>RENAULT Megane Business Energy dCi 110 SS eco2</t>
        </is>
      </c>
      <c r="E503" s="2" t="inlineStr">
        <is>
          <t>Renault</t>
        </is>
      </c>
      <c r="F503" s="2" t="inlineStr">
        <is>
          <t>Renault Mégane</t>
        </is>
      </c>
      <c r="G503" s="2" t="inlineStr">
        <is>
          <t>? dCi</t>
        </is>
      </c>
      <c r="H503" s="2" t="inlineStr">
        <is>
          <t>Business Energy dCi 110 SS eco2</t>
        </is>
      </c>
      <c r="I503" s="2" t="n"/>
      <c r="J503" s="2" t="n"/>
      <c r="K503" s="2" t="inlineStr">
        <is>
          <t>diesel</t>
        </is>
      </c>
      <c r="L503" s="2" t="inlineStr">
        <is>
          <t>compacto</t>
        </is>
      </c>
      <c r="M503" s="2" t="n">
        <v>2013</v>
      </c>
      <c r="N503" s="2" t="n">
        <v>219000</v>
      </c>
      <c r="O503" s="2" t="n">
        <v>4900</v>
      </c>
      <c r="P503" s="2" t="inlineStr">
        <is>
          <t>manual</t>
        </is>
      </c>
      <c r="Q503" s="2" t="inlineStr">
        <is>
          <t>no</t>
        </is>
      </c>
      <c r="R503" s="2" t="inlineStr">
        <is>
          <t>particular</t>
        </is>
      </c>
      <c r="S503" s="2" t="inlineStr">
        <is>
          <t>Castellón de la Plana / Castelló de la Plana</t>
        </is>
      </c>
      <c r="T503" s="2" t="inlineStr">
        <is>
          <t>2026-09-11T13:56:10Z</t>
        </is>
      </c>
      <c r="U503" s="2" t="n">
        <v>6</v>
      </c>
      <c r="V503" s="2" t="inlineStr">
        <is>
          <t>sí</t>
        </is>
      </c>
      <c r="W503" s="2" t="n"/>
      <c r="X503" s="2" t="inlineStr">
        <is>
          <t>sí</t>
        </is>
      </c>
      <c r="Y503" s="2" t="n"/>
      <c r="Z503" s="2" t="inlineStr">
        <is>
          <t>no</t>
        </is>
      </c>
      <c r="AA503" s="2" t="n"/>
      <c r="AB503" s="2" t="n"/>
      <c r="AC503" s="2" t="n"/>
      <c r="AD503" s="2" t="n"/>
      <c r="AE503" s="2" t="n"/>
      <c r="AF503" s="2" t="n"/>
      <c r="AG503" s="2" t="n"/>
      <c r="AH503" s="2" t="n">
        <v>4900</v>
      </c>
      <c r="AI503" s="2" t="n"/>
      <c r="AJ503" s="2" t="n"/>
      <c r="AK503" s="2" t="n"/>
      <c r="AL503" s="2" t="n"/>
      <c r="AM503" s="2" t="n"/>
      <c r="AN503" s="2" t="n"/>
      <c r="AO503" s="2" t="inlineStr">
        <is>
          <t>06/2013</t>
        </is>
      </c>
      <c r="AP503" s="2" t="n">
        <v>2013</v>
      </c>
      <c r="AQ503" s="2" t="n">
        <v>6</v>
      </c>
      <c r="AR503" s="2" t="inlineStr">
        <is>
          <t>C</t>
        </is>
      </c>
      <c r="AS503" s="2" t="inlineStr">
        <is>
          <t>anuncio</t>
        </is>
      </c>
      <c r="AT503" s="2" t="n">
        <v>4930</v>
      </c>
      <c r="AU503" s="2" t="n">
        <v>4</v>
      </c>
      <c r="AV503" s="2" t="inlineStr">
        <is>
          <t>modelo+año+km</t>
        </is>
      </c>
      <c r="AW503" s="2" t="n"/>
      <c r="AX503" s="2" t="inlineStr">
        <is>
          <t>por encima del presupuesto (5104 €), negociar; cilindrada desconocida: se aplica el tramo de cuota fija más alto; antigüedad en el límite del tramo: depende de la fecha exacta de matriculación; cuota fija ITP: &gt;12 años, más de 2.000 cc; diésel: motor sin fuente de fiabilidad (fiabilidad limitada a neutra); distancia no verificable (el anuncio solo indica la provincia): confirmar que está a &lt;= 70 km</t>
        </is>
      </c>
      <c r="AY503" s="2" t="inlineStr">
        <is>
          <t xml:space="preserve">Vehículo en perfectas condiciones de interior, exterior y de motor, cambiada correa de distribución, a toda prueba, climatizador  funciona perfectamente, cierre con mando, elevalunas eléctricos delanteros y traseros, retrovisores eléctricos, control de crucero, limitador de velocidad, bluetooth, ITV recién pasada, CAMBIO DE NOMBRE Y 6 MESES DE GARANTÍA </t>
        </is>
      </c>
      <c r="AZ503" s="2" t="inlineStr">
        <is>
          <t>https://www.coches.net/renault-megane-business-energy-dci-110-ss-eco2-5p-diesel-2013-en-castellon-71493075-covo.aspx (window.__INITIAL_PROPS__.ad) /home/user/Alopecia/buscador-coches/raw/cochesnet/55bba475d994e892.json</t>
        </is>
      </c>
      <c r="BA503" s="3">
        <f>MAX(ANIO_ACTUAL-M503,0)</f>
        <v/>
      </c>
      <c r="BB503" s="4">
        <f>N503/MAX(BA503,0.5)</f>
        <v/>
      </c>
      <c r="BC503" s="4">
        <f>F503</f>
        <v/>
      </c>
      <c r="BD503" s="3">
        <f>BC503&amp;"|"&amp;INT(M503/SEG_ANIO)*SEG_ANIO</f>
        <v/>
      </c>
      <c r="BE503" s="3">
        <f>BD503&amp;"|"&amp;INT(N503/SEG_KM)*SEG_KM</f>
        <v/>
      </c>
      <c r="BF503" s="4">
        <f>COUNTIF($BC$2:$BC$545,BC503)</f>
        <v/>
      </c>
      <c r="BG503" s="4">
        <f>COUNTIF($BD$2:$BD$545,BD503)</f>
        <v/>
      </c>
      <c r="BH503" s="4">
        <f>COUNTIF($BE$2:$BE$545,BE503)</f>
        <v/>
      </c>
      <c r="BI503" s="3">
        <f t="array" ref="BI503">IF(N(AU503)&gt;=MIN_N,AT503,IF(BH503&gt;=MIN_N,MEDIAN(IF($BE$2:$BE$545=BE503,$O$2:$O$545)),IF(BG503&gt;=MIN_N,MEDIAN(IF($BD$2:$BD$545=BD503,$O$2:$O$545)),MEDIAN(IF($BC$2:$BC$545=BC503,$O$2:$O$545)))))</f>
        <v/>
      </c>
      <c r="BJ503" s="3">
        <f>IF(N(AU503)&gt;=MIN_N,"mercado "&amp;AV503,IF(BH503&gt;=MIN_N,"modelo+año+km",IF(BG503&gt;=MIN_N,"modelo+año","modelo")))</f>
        <v/>
      </c>
      <c r="BK503" s="4">
        <f>(BI503-O503)/BI503</f>
        <v/>
      </c>
      <c r="BL503" s="3">
        <f>IF(COUNTIFS(FR_FUEL,K503,FR_YEAR,AP503)&gt;0,1,0)</f>
        <v/>
      </c>
      <c r="BM503" s="3">
        <f>IF(COUNTIFS(FR_FUEL,K503,FR_YEAR,AP503-1)&gt;0,1,0)</f>
        <v/>
      </c>
      <c r="BN503" s="4">
        <f>IF(N(AQ503)&gt;0,AP503*100+AQ503,IF(AND(BL503=1,BM503=1),(AP503-1)*100+1,AP503*100+1))</f>
        <v/>
      </c>
      <c r="BO503" s="3">
        <f>IF(OR(K503="hibrido",K503="glp",K503="gnc",K503="phev"),"ECO",IF(K503="electrico","CERO",IF(K503="gasolina",IF(BN503&gt;=GAS_C_YM,"C",IF(BN503&gt;=GAS_B_YM,"B","A")),IF(K503="diesel",IF(BN503&gt;=DIE_C_YM,"C",IF(BN503&gt;=DIE_B_YM,"B","A")),""))))</f>
        <v/>
      </c>
      <c r="BP503" s="2" t="inlineStr">
        <is>
          <t>C</t>
        </is>
      </c>
      <c r="BQ503" s="4">
        <f>IF(AS503="regla",IF(AND(N(AQ503)=0,BL503=1),"sí","no"),"no")</f>
        <v/>
      </c>
      <c r="BR503" s="3">
        <f>IFERROR(VLOOKUP(F503,MOD_TBL,11,0),IFERROR(VLOOKUP(E503,OCU_TBL,2,0),NEUTRO))</f>
        <v/>
      </c>
      <c r="BS503" s="3">
        <f>SUMIFS(MOT_AJUSTE,MOT_MOTOR,G503,MOT_MARCA,E503,MOT_DESDE,"&lt;="&amp;M503,MOT_HASTA,"&gt;="&amp;M503)+SUMIFS(MOT_AJUSTE,MOT_MOTOR,G503,MOT_MARCA,"(todas)",MOT_DESDE,"&lt;="&amp;M503,MOT_HASTA,"&gt;="&amp;M503)</f>
        <v/>
      </c>
      <c r="BT503" s="3">
        <f>SUMIFS(COMB_AJUSTE,COMB_COMB,K503)</f>
        <v/>
      </c>
      <c r="BU503" s="3">
        <f>COUNTIFS(MOT_MOTOR,G503,MOT_MARCA,E503,MOT_DESDE,"&lt;="&amp;M503,MOT_HASTA,"&gt;="&amp;M503)+COUNTIFS(MOT_MOTOR,G503,MOT_MARCA,"(todas)",MOT_DESDE,"&lt;="&amp;M503,MOT_HASTA,"&gt;="&amp;M503)</f>
        <v/>
      </c>
      <c r="BV503" s="3">
        <f>IF(AND(K503="diesel",BU503=0),MIN(BR503,NEUTRO),BR503)</f>
        <v/>
      </c>
      <c r="BW503" s="4">
        <f>MAX(0,MIN(100,BV503+BS503+BT503))</f>
        <v/>
      </c>
      <c r="BX503" s="3">
        <f>MAX(0,MIN(100,50+BK503*PRECIO_PEND))</f>
        <v/>
      </c>
      <c r="BY503" s="3">
        <f>MAX(0,100*(1-N503/KM_MAX))</f>
        <v/>
      </c>
      <c r="BZ503" s="3">
        <f>IF(BB503&lt;KMA_SOSP,IF(AA503="sí",100,KMA_PEN),IF(BB503&lt;=KMA_IDEAL_MAX,100,MAX(0,100*(KMA_CERO-BB503)/(KMA_CERO-KMA_IDEAL_MAX))))</f>
        <v/>
      </c>
      <c r="CA503" s="3">
        <f>MAX(0,MIN(100,100*(M503-ANIO_MIN)/(ANIO_ACTUAL-ANIO_MIN)))</f>
        <v/>
      </c>
      <c r="CB503" s="3">
        <f>W_KMT*BY503+W_KMA*BZ503+W_EDAD*CA503</f>
        <v/>
      </c>
      <c r="CC503" s="3">
        <f>P_ITV*(V503="sí")+P_LIBRO*(W503="sí")+P_CORREA*(X503="sí")+P_PROP*(Y503=1)+P_GAR*(Z503="sí")+P_FOTOS*MIN(1,N(U503)/FOTOS_OBJ)</f>
        <v/>
      </c>
      <c r="CD503" s="3">
        <f>MAX(0,MIN(100,IFERROR(VLOOKUP(BP503,ETQ_TBL,2,0),0)-IF(BQ503="sí",ETQ_PEN_DUD,IF(AS503="regla",ETQ_PEN_REGLA,0))))</f>
        <v/>
      </c>
      <c r="CE503" s="3">
        <f>NEUTRO</f>
        <v/>
      </c>
      <c r="CF503" s="3">
        <f>IFERROR(VLOOKUP(L503,SEGURO_TBL,3,0),"")</f>
        <v/>
      </c>
      <c r="CG503" s="3">
        <f>IF(CF503="",NEUTRO,MAX(0,MIN(100,100*(SEG_REF_MAX-CF503)/(SEG_REF_MAX-SEG_REF_MIN))))</f>
        <v/>
      </c>
      <c r="CH503" s="3">
        <f>W_CONS*CE503+W_SEG*CG503</f>
        <v/>
      </c>
      <c r="CI503" s="3">
        <f>IF(N(AB503)&gt;0,AB503,IF(AND(R503="profesional",SG_LEGAL_ON=1),GAR_LEGAL,0))</f>
        <v/>
      </c>
      <c r="CJ503" s="3">
        <f>SG_GAR*MIN(1,CI503/SG_GAR_FULL)+SG_AMPL*(AC503="sí")+SG_KMC*(AF503="sí")+SG_REV*(N(AE503)&gt;0)+SG_DEV*MIN(1,N(AG503)/SG_DEV_FULL)+SG_HIST*(W503="sí")</f>
        <v/>
      </c>
      <c r="CK503" s="3">
        <f>IFERROR(VLOOKUP(L503,CARR_PEN_TBL,2,0),0)</f>
        <v/>
      </c>
      <c r="CL503" s="3">
        <f>W_FIAB*BW503+W_PRECIO*BX503+W_KMEDAD*CB503+W_ANUNCIO*CC503+W_USO*CH503+W_SEGURIDAD*CJ503+W_ETIQUETA*CD503-CK503</f>
        <v/>
      </c>
      <c r="CM503" s="4">
        <f>IF(N(I503)&gt;0,I503,IFERROR(ROUND(_xlfn.NUMBERVALUE(LEFT(G503,FIND(" ",G503&amp;" ")-1),".")*1000,0),99999))</f>
        <v/>
      </c>
      <c r="CN503" s="3">
        <f>IF(R503="profesional",0,IF(O503&lt;CUOTA_VALOR_MAX,IF(BA503&gt;ITP_TRAMO_ALTO,SUMIFS(CF_CUOTA,CF_MAS,ITP_TRAMO_ALTO,CF_CCMIN,"&lt;="&amp;CM503,CF_CCMAX,"&gt;="&amp;CM503),IF(BA503&gt;ITP_TRAMO_BAJO,SUMIFS(CF_CUOTA,CF_MAS,ITP_TRAMO_BAJO,CF_CCMIN,"&lt;="&amp;CM503,CF_CCMAX,"&gt;="&amp;CM503),O503*ITP_TIPO)),O503*ITP_TIPO))</f>
        <v/>
      </c>
      <c r="CO503" s="4">
        <f>IF(R503="profesional",N(AK503),0)</f>
        <v/>
      </c>
      <c r="CP503" s="3">
        <f>IF(AND(R503="profesional",ISNUMBER(AK503),AL503="sí"),0,TASA_DGT)</f>
        <v/>
      </c>
      <c r="CQ503" s="3">
        <f>INFORME_DGT</f>
        <v/>
      </c>
      <c r="CR503" s="4">
        <f>O503+CO503+CN503+CP503+CQ503</f>
        <v/>
      </c>
      <c r="CS503" s="4">
        <f>CR503+N(CF503)</f>
        <v/>
      </c>
      <c r="CT503" s="3">
        <f>IF(CR503&lt;=TOTAL_MAX,"sí",IF(CR503&lt;=TOTAL_MAX+MARGEN_NEG,"negociar","no"))</f>
        <v/>
      </c>
      <c r="CU503" s="4">
        <f>IF(CT503&lt;&gt;"no",COUNTIFS($CT$2:$CT$545,"&lt;&gt;no",$CL$2:$CL$545,"&gt;"&amp;CL503)+COUNTIFS($CT$2:CT503,"&lt;&gt;no",$CL$2:CL503,CL503),"")</f>
        <v/>
      </c>
    </row>
    <row r="504">
      <c r="A504" s="2" t="inlineStr">
        <is>
          <t>cochesnet:71583806</t>
        </is>
      </c>
      <c r="B504" s="2" t="inlineStr">
        <is>
          <t>cochesnet</t>
        </is>
      </c>
      <c r="C504" s="2" t="inlineStr">
        <is>
          <t>https://www.coches.net/renault-clio-diesel-2012-en-castellon-71583806-covo.aspx</t>
        </is>
      </c>
      <c r="D504" s="2" t="inlineStr">
        <is>
          <t>RENAULT Clio</t>
        </is>
      </c>
      <c r="E504" s="2" t="inlineStr">
        <is>
          <t>Renault</t>
        </is>
      </c>
      <c r="F504" s="2" t="inlineStr">
        <is>
          <t>Renault Clio</t>
        </is>
      </c>
      <c r="G504" s="2" t="n"/>
      <c r="H504" s="2" t="n"/>
      <c r="I504" s="2" t="n"/>
      <c r="J504" s="2" t="n"/>
      <c r="K504" s="2" t="inlineStr">
        <is>
          <t>diesel</t>
        </is>
      </c>
      <c r="L504" s="2" t="inlineStr">
        <is>
          <t>utilitario</t>
        </is>
      </c>
      <c r="M504" s="2" t="n">
        <v>2012</v>
      </c>
      <c r="N504" s="2" t="n">
        <v>196000</v>
      </c>
      <c r="O504" s="2" t="n">
        <v>4000</v>
      </c>
      <c r="P504" s="2" t="inlineStr">
        <is>
          <t>manual</t>
        </is>
      </c>
      <c r="Q504" s="2" t="inlineStr">
        <is>
          <t>no</t>
        </is>
      </c>
      <c r="R504" s="2" t="inlineStr">
        <is>
          <t>particular</t>
        </is>
      </c>
      <c r="S504" s="2" t="n"/>
      <c r="T504" s="2" t="inlineStr">
        <is>
          <t>2026-09-23T16:40:44Z</t>
        </is>
      </c>
      <c r="U504" s="2" t="n"/>
      <c r="V504" s="2" t="n"/>
      <c r="W504" s="2" t="n"/>
      <c r="X504" s="2" t="n"/>
      <c r="Y504" s="2" t="n"/>
      <c r="Z504" s="2" t="inlineStr">
        <is>
          <t>no</t>
        </is>
      </c>
      <c r="AA504" s="2" t="n"/>
      <c r="AB504" s="2" t="n"/>
      <c r="AC504" s="2" t="n"/>
      <c r="AD504" s="2" t="n"/>
      <c r="AE504" s="2" t="n"/>
      <c r="AF504" s="2" t="n"/>
      <c r="AG504" s="2" t="n"/>
      <c r="AH504" s="2" t="n">
        <v>4000</v>
      </c>
      <c r="AI504" s="2" t="n"/>
      <c r="AJ504" s="2" t="n"/>
      <c r="AK504" s="2" t="n"/>
      <c r="AL504" s="2" t="n"/>
      <c r="AM504" s="2" t="n"/>
      <c r="AN504" s="2" t="n"/>
      <c r="AO504" s="2" t="inlineStr">
        <is>
          <t>2012</t>
        </is>
      </c>
      <c r="AP504" s="2" t="n">
        <v>2012</v>
      </c>
      <c r="AQ504" s="2" t="n"/>
      <c r="AR504" s="2" t="n"/>
      <c r="AS504" s="2" t="inlineStr">
        <is>
          <t>regla</t>
        </is>
      </c>
      <c r="AT504" s="2" t="n">
        <v>4200</v>
      </c>
      <c r="AU504" s="2" t="n">
        <v>7</v>
      </c>
      <c r="AV504" s="2" t="inlineStr">
        <is>
          <t>modelo+año+km</t>
        </is>
      </c>
      <c r="AW504" s="2" t="inlineStr">
        <is>
          <t>cochesnet:71575930 (https://www.coches.net/renault-clio-diesel-2012-en-castellon-71575930-covo.aspx)</t>
        </is>
      </c>
      <c r="AX50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504" s="2" t="inlineStr">
        <is>
          <t>Renault Clio 3 dci 90 caballos 1.5 2012</t>
        </is>
      </c>
      <c r="AZ504" s="2" t="inlineStr">
        <is>
          <t>https://www.coches.net/renault-clio-diesel-2012-en-castellon-71583806-covo.aspx (window.__INITIAL_PROPS__.ad) /home/user/Alopecia/buscador-coches/raw/cochesnet/a6b9db3d3b4fd313.json</t>
        </is>
      </c>
      <c r="BA504" s="3">
        <f>MAX(ANIO_ACTUAL-M504,0)</f>
        <v/>
      </c>
      <c r="BB504" s="4">
        <f>N504/MAX(BA504,0.5)</f>
        <v/>
      </c>
      <c r="BC504" s="4">
        <f>F504</f>
        <v/>
      </c>
      <c r="BD504" s="3">
        <f>BC504&amp;"|"&amp;INT(M504/SEG_ANIO)*SEG_ANIO</f>
        <v/>
      </c>
      <c r="BE504" s="3">
        <f>BD504&amp;"|"&amp;INT(N504/SEG_KM)*SEG_KM</f>
        <v/>
      </c>
      <c r="BF504" s="4">
        <f>COUNTIF($BC$2:$BC$545,BC504)</f>
        <v/>
      </c>
      <c r="BG504" s="4">
        <f>COUNTIF($BD$2:$BD$545,BD504)</f>
        <v/>
      </c>
      <c r="BH504" s="4">
        <f>COUNTIF($BE$2:$BE$545,BE504)</f>
        <v/>
      </c>
      <c r="BI504" s="3">
        <f t="array" ref="BI504">IF(N(AU504)&gt;=MIN_N,AT504,IF(BH504&gt;=MIN_N,MEDIAN(IF($BE$2:$BE$545=BE504,$O$2:$O$545)),IF(BG504&gt;=MIN_N,MEDIAN(IF($BD$2:$BD$545=BD504,$O$2:$O$545)),MEDIAN(IF($BC$2:$BC$545=BC504,$O$2:$O$545)))))</f>
        <v/>
      </c>
      <c r="BJ504" s="3">
        <f>IF(N(AU504)&gt;=MIN_N,"mercado "&amp;AV504,IF(BH504&gt;=MIN_N,"modelo+año+km",IF(BG504&gt;=MIN_N,"modelo+año","modelo")))</f>
        <v/>
      </c>
      <c r="BK504" s="4">
        <f>(BI504-O504)/BI504</f>
        <v/>
      </c>
      <c r="BL504" s="3">
        <f>IF(COUNTIFS(FR_FUEL,K504,FR_YEAR,AP504)&gt;0,1,0)</f>
        <v/>
      </c>
      <c r="BM504" s="3">
        <f>IF(COUNTIFS(FR_FUEL,K504,FR_YEAR,AP504-1)&gt;0,1,0)</f>
        <v/>
      </c>
      <c r="BN504" s="4">
        <f>IF(N(AQ504)&gt;0,AP504*100+AQ504,IF(AND(BL504=1,BM504=1),(AP504-1)*100+1,AP504*100+1))</f>
        <v/>
      </c>
      <c r="BO504" s="3">
        <f>IF(OR(K504="hibrido",K504="glp",K504="gnc",K504="phev"),"ECO",IF(K504="electrico","CERO",IF(K504="gasolina",IF(BN504&gt;=GAS_C_YM,"C",IF(BN504&gt;=GAS_B_YM,"B","A")),IF(K504="diesel",IF(BN504&gt;=DIE_C_YM,"C",IF(BN504&gt;=DIE_B_YM,"B","A")),""))))</f>
        <v/>
      </c>
      <c r="BP504" s="4">
        <f>BO504</f>
        <v/>
      </c>
      <c r="BQ504" s="4">
        <f>IF(AS504="regla",IF(AND(N(AQ504)=0,BL504=1),"sí","no"),"no")</f>
        <v/>
      </c>
      <c r="BR504" s="3">
        <f>IFERROR(VLOOKUP(F504,MOD_TBL,11,0),IFERROR(VLOOKUP(E504,OCU_TBL,2,0),NEUTRO))</f>
        <v/>
      </c>
      <c r="BS504" s="3">
        <f>SUMIFS(MOT_AJUSTE,MOT_MOTOR,G504,MOT_MARCA,E504,MOT_DESDE,"&lt;="&amp;M504,MOT_HASTA,"&gt;="&amp;M504)+SUMIFS(MOT_AJUSTE,MOT_MOTOR,G504,MOT_MARCA,"(todas)",MOT_DESDE,"&lt;="&amp;M504,MOT_HASTA,"&gt;="&amp;M504)</f>
        <v/>
      </c>
      <c r="BT504" s="3">
        <f>SUMIFS(COMB_AJUSTE,COMB_COMB,K504)</f>
        <v/>
      </c>
      <c r="BU504" s="3">
        <f>COUNTIFS(MOT_MOTOR,G504,MOT_MARCA,E504,MOT_DESDE,"&lt;="&amp;M504,MOT_HASTA,"&gt;="&amp;M504)+COUNTIFS(MOT_MOTOR,G504,MOT_MARCA,"(todas)",MOT_DESDE,"&lt;="&amp;M504,MOT_HASTA,"&gt;="&amp;M504)</f>
        <v/>
      </c>
      <c r="BV504" s="3">
        <f>IF(AND(K504="diesel",BU504=0),MIN(BR504,NEUTRO),BR504)</f>
        <v/>
      </c>
      <c r="BW504" s="4">
        <f>MAX(0,MIN(100,BV504+BS504+BT504))</f>
        <v/>
      </c>
      <c r="BX504" s="3">
        <f>MAX(0,MIN(100,50+BK504*PRECIO_PEND))</f>
        <v/>
      </c>
      <c r="BY504" s="3">
        <f>MAX(0,100*(1-N504/KM_MAX))</f>
        <v/>
      </c>
      <c r="BZ504" s="3">
        <f>IF(BB504&lt;KMA_SOSP,IF(AA504="sí",100,KMA_PEN),IF(BB504&lt;=KMA_IDEAL_MAX,100,MAX(0,100*(KMA_CERO-BB504)/(KMA_CERO-KMA_IDEAL_MAX))))</f>
        <v/>
      </c>
      <c r="CA504" s="3">
        <f>MAX(0,MIN(100,100*(M504-ANIO_MIN)/(ANIO_ACTUAL-ANIO_MIN)))</f>
        <v/>
      </c>
      <c r="CB504" s="3">
        <f>W_KMT*BY504+W_KMA*BZ504+W_EDAD*CA504</f>
        <v/>
      </c>
      <c r="CC504" s="3">
        <f>P_ITV*(V504="sí")+P_LIBRO*(W504="sí")+P_CORREA*(X504="sí")+P_PROP*(Y504=1)+P_GAR*(Z504="sí")+P_FOTOS*MIN(1,N(U504)/FOTOS_OBJ)</f>
        <v/>
      </c>
      <c r="CD504" s="3">
        <f>MAX(0,MIN(100,IFERROR(VLOOKUP(BP504,ETQ_TBL,2,0),0)-IF(BQ504="sí",ETQ_PEN_DUD,IF(AS504="regla",ETQ_PEN_REGLA,0))))</f>
        <v/>
      </c>
      <c r="CE504" s="3">
        <f>NEUTRO</f>
        <v/>
      </c>
      <c r="CF504" s="3">
        <f>IFERROR(VLOOKUP(L504,SEGURO_TBL,3,0),"")</f>
        <v/>
      </c>
      <c r="CG504" s="3">
        <f>IF(CF504="",NEUTRO,MAX(0,MIN(100,100*(SEG_REF_MAX-CF504)/(SEG_REF_MAX-SEG_REF_MIN))))</f>
        <v/>
      </c>
      <c r="CH504" s="3">
        <f>W_CONS*CE504+W_SEG*CG504</f>
        <v/>
      </c>
      <c r="CI504" s="3">
        <f>IF(N(AB504)&gt;0,AB504,IF(AND(R504="profesional",SG_LEGAL_ON=1),GAR_LEGAL,0))</f>
        <v/>
      </c>
      <c r="CJ504" s="3">
        <f>SG_GAR*MIN(1,CI504/SG_GAR_FULL)+SG_AMPL*(AC504="sí")+SG_KMC*(AF504="sí")+SG_REV*(N(AE504)&gt;0)+SG_DEV*MIN(1,N(AG504)/SG_DEV_FULL)+SG_HIST*(W504="sí")</f>
        <v/>
      </c>
      <c r="CK504" s="3">
        <f>IFERROR(VLOOKUP(L504,CARR_PEN_TBL,2,0),0)</f>
        <v/>
      </c>
      <c r="CL504" s="3">
        <f>W_FIAB*BW504+W_PRECIO*BX504+W_KMEDAD*CB504+W_ANUNCIO*CC504+W_USO*CH504+W_SEGURIDAD*CJ504+W_ETIQUETA*CD504-CK504</f>
        <v/>
      </c>
      <c r="CM504" s="4">
        <f>IF(N(I504)&gt;0,I504,IFERROR(ROUND(_xlfn.NUMBERVALUE(LEFT(G504,FIND(" ",G504&amp;" ")-1),".")*1000,0),99999))</f>
        <v/>
      </c>
      <c r="CN504" s="3">
        <f>IF(R504="profesional",0,IF(O504&lt;CUOTA_VALOR_MAX,IF(BA504&gt;ITP_TRAMO_ALTO,SUMIFS(CF_CUOTA,CF_MAS,ITP_TRAMO_ALTO,CF_CCMIN,"&lt;="&amp;CM504,CF_CCMAX,"&gt;="&amp;CM504),IF(BA504&gt;ITP_TRAMO_BAJO,SUMIFS(CF_CUOTA,CF_MAS,ITP_TRAMO_BAJO,CF_CCMIN,"&lt;="&amp;CM504,CF_CCMAX,"&gt;="&amp;CM504),O504*ITP_TIPO)),O504*ITP_TIPO))</f>
        <v/>
      </c>
      <c r="CO504" s="4">
        <f>IF(R504="profesional",N(AK504),0)</f>
        <v/>
      </c>
      <c r="CP504" s="3">
        <f>IF(AND(R504="profesional",ISNUMBER(AK504),AL504="sí"),0,TASA_DGT)</f>
        <v/>
      </c>
      <c r="CQ504" s="3">
        <f>INFORME_DGT</f>
        <v/>
      </c>
      <c r="CR504" s="4">
        <f>O504+CO504+CN504+CP504+CQ504</f>
        <v/>
      </c>
      <c r="CS504" s="4">
        <f>CR504+N(CF504)</f>
        <v/>
      </c>
      <c r="CT504" s="3">
        <f>IF(CR504&lt;=TOTAL_MAX,"sí",IF(CR504&lt;=TOTAL_MAX+MARGEN_NEG,"negociar","no"))</f>
        <v/>
      </c>
      <c r="CU504" s="4">
        <f>IF(CT504&lt;&gt;"no",COUNTIFS($CT$2:$CT$545,"&lt;&gt;no",$CL$2:$CL$545,"&gt;"&amp;CL504)+COUNTIFS($CT$2:CT504,"&lt;&gt;no",$CL$2:CL504,CL504),"")</f>
        <v/>
      </c>
    </row>
    <row r="505">
      <c r="A505" s="2" t="inlineStr">
        <is>
          <t>cochesnet:71222696</t>
        </is>
      </c>
      <c r="B505" s="2" t="inlineStr">
        <is>
          <t>cochesnet</t>
        </is>
      </c>
      <c r="C505" s="2" t="inlineStr">
        <is>
          <t>https://www.coches.net/renault-clio-iii-diesel-2012-en-castellon-71222696-covo.aspx</t>
        </is>
      </c>
      <c r="D505" s="2" t="inlineStr">
        <is>
          <t>RENAULT Clio III Collection dCi 75 eco2</t>
        </is>
      </c>
      <c r="E505" s="2" t="inlineStr">
        <is>
          <t>Renault</t>
        </is>
      </c>
      <c r="F505" s="2" t="inlineStr">
        <is>
          <t>Renault Clio</t>
        </is>
      </c>
      <c r="G505" s="2" t="inlineStr">
        <is>
          <t>? dCi</t>
        </is>
      </c>
      <c r="H505" s="2" t="inlineStr">
        <is>
          <t>Collection dCi 75 eco2</t>
        </is>
      </c>
      <c r="I505" s="2" t="n"/>
      <c r="J505" s="2" t="n"/>
      <c r="K505" s="2" t="inlineStr">
        <is>
          <t>diesel</t>
        </is>
      </c>
      <c r="L505" s="2" t="inlineStr">
        <is>
          <t>utilitario</t>
        </is>
      </c>
      <c r="M505" s="2" t="n">
        <v>2012</v>
      </c>
      <c r="N505" s="2" t="n">
        <v>195000</v>
      </c>
      <c r="O505" s="2" t="n">
        <v>4700</v>
      </c>
      <c r="P505" s="2" t="inlineStr">
        <is>
          <t>manual</t>
        </is>
      </c>
      <c r="Q505" s="2" t="inlineStr">
        <is>
          <t>no</t>
        </is>
      </c>
      <c r="R505" s="2" t="inlineStr">
        <is>
          <t>particular</t>
        </is>
      </c>
      <c r="S505" s="2" t="n"/>
      <c r="T505" s="2" t="inlineStr">
        <is>
          <t>2026-08-03T20:47:14Z</t>
        </is>
      </c>
      <c r="U505" s="2" t="n">
        <v>9</v>
      </c>
      <c r="V505" s="2" t="inlineStr">
        <is>
          <t>sí</t>
        </is>
      </c>
      <c r="W505" s="2" t="n"/>
      <c r="X505" s="2" t="inlineStr">
        <is>
          <t>sí</t>
        </is>
      </c>
      <c r="Y505" s="2" t="n"/>
      <c r="Z505" s="2" t="inlineStr">
        <is>
          <t>no</t>
        </is>
      </c>
      <c r="AA505" s="2" t="n"/>
      <c r="AB505" s="2" t="n"/>
      <c r="AC505" s="2" t="n"/>
      <c r="AD505" s="2" t="n"/>
      <c r="AE505" s="2" t="n"/>
      <c r="AF505" s="2" t="n"/>
      <c r="AG505" s="2" t="n"/>
      <c r="AH505" s="2" t="n">
        <v>4700</v>
      </c>
      <c r="AI505" s="2" t="n"/>
      <c r="AJ505" s="2" t="n"/>
      <c r="AK505" s="2" t="n"/>
      <c r="AL505" s="2" t="n"/>
      <c r="AM505" s="2" t="n"/>
      <c r="AN505" s="2" t="n"/>
      <c r="AO505" s="2" t="inlineStr">
        <is>
          <t>2012</t>
        </is>
      </c>
      <c r="AP505" s="2" t="n">
        <v>2012</v>
      </c>
      <c r="AQ505" s="2" t="n"/>
      <c r="AR505" s="2" t="n"/>
      <c r="AS505" s="2" t="inlineStr">
        <is>
          <t>regla</t>
        </is>
      </c>
      <c r="AT505" s="2" t="n">
        <v>4200</v>
      </c>
      <c r="AU505" s="2" t="n">
        <v>7</v>
      </c>
      <c r="AV505" s="2" t="inlineStr">
        <is>
          <t>modelo+año+km</t>
        </is>
      </c>
      <c r="AW505" s="2" t="n"/>
      <c r="AX50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505" s="2" t="inlineStr">
        <is>
          <t>motor 1.5 cdi 75. CV
aíre acondicionado 
elevalunas eléctricos 
itv recién pasada 
kit de distribución recién cambiado
muy económico 
698-718-442</t>
        </is>
      </c>
      <c r="AZ505" s="2" t="inlineStr">
        <is>
          <t>https://www.coches.net/renault-clio-iii-diesel-2012-en-castellon-71222696-covo.aspx (window.__INITIAL_PROPS__.ad) /home/user/Alopecia/buscador-coches/raw/cochesnet/98d0a04e217590d7.json</t>
        </is>
      </c>
      <c r="BA505" s="3">
        <f>MAX(ANIO_ACTUAL-M505,0)</f>
        <v/>
      </c>
      <c r="BB505" s="4">
        <f>N505/MAX(BA505,0.5)</f>
        <v/>
      </c>
      <c r="BC505" s="4">
        <f>F505</f>
        <v/>
      </c>
      <c r="BD505" s="3">
        <f>BC505&amp;"|"&amp;INT(M505/SEG_ANIO)*SEG_ANIO</f>
        <v/>
      </c>
      <c r="BE505" s="3">
        <f>BD505&amp;"|"&amp;INT(N505/SEG_KM)*SEG_KM</f>
        <v/>
      </c>
      <c r="BF505" s="4">
        <f>COUNTIF($BC$2:$BC$545,BC505)</f>
        <v/>
      </c>
      <c r="BG505" s="4">
        <f>COUNTIF($BD$2:$BD$545,BD505)</f>
        <v/>
      </c>
      <c r="BH505" s="4">
        <f>COUNTIF($BE$2:$BE$545,BE505)</f>
        <v/>
      </c>
      <c r="BI505" s="3">
        <f t="array" ref="BI505">IF(N(AU505)&gt;=MIN_N,AT505,IF(BH505&gt;=MIN_N,MEDIAN(IF($BE$2:$BE$545=BE505,$O$2:$O$545)),IF(BG505&gt;=MIN_N,MEDIAN(IF($BD$2:$BD$545=BD505,$O$2:$O$545)),MEDIAN(IF($BC$2:$BC$545=BC505,$O$2:$O$545)))))</f>
        <v/>
      </c>
      <c r="BJ505" s="3">
        <f>IF(N(AU505)&gt;=MIN_N,"mercado "&amp;AV505,IF(BH505&gt;=MIN_N,"modelo+año+km",IF(BG505&gt;=MIN_N,"modelo+año","modelo")))</f>
        <v/>
      </c>
      <c r="BK505" s="4">
        <f>(BI505-O505)/BI505</f>
        <v/>
      </c>
      <c r="BL505" s="3">
        <f>IF(COUNTIFS(FR_FUEL,K505,FR_YEAR,AP505)&gt;0,1,0)</f>
        <v/>
      </c>
      <c r="BM505" s="3">
        <f>IF(COUNTIFS(FR_FUEL,K505,FR_YEAR,AP505-1)&gt;0,1,0)</f>
        <v/>
      </c>
      <c r="BN505" s="4">
        <f>IF(N(AQ505)&gt;0,AP505*100+AQ505,IF(AND(BL505=1,BM505=1),(AP505-1)*100+1,AP505*100+1))</f>
        <v/>
      </c>
      <c r="BO505" s="3">
        <f>IF(OR(K505="hibrido",K505="glp",K505="gnc",K505="phev"),"ECO",IF(K505="electrico","CERO",IF(K505="gasolina",IF(BN505&gt;=GAS_C_YM,"C",IF(BN505&gt;=GAS_B_YM,"B","A")),IF(K505="diesel",IF(BN505&gt;=DIE_C_YM,"C",IF(BN505&gt;=DIE_B_YM,"B","A")),""))))</f>
        <v/>
      </c>
      <c r="BP505" s="4">
        <f>BO505</f>
        <v/>
      </c>
      <c r="BQ505" s="4">
        <f>IF(AS505="regla",IF(AND(N(AQ505)=0,BL505=1),"sí","no"),"no")</f>
        <v/>
      </c>
      <c r="BR505" s="3">
        <f>IFERROR(VLOOKUP(F505,MOD_TBL,11,0),IFERROR(VLOOKUP(E505,OCU_TBL,2,0),NEUTRO))</f>
        <v/>
      </c>
      <c r="BS505" s="3">
        <f>SUMIFS(MOT_AJUSTE,MOT_MOTOR,G505,MOT_MARCA,E505,MOT_DESDE,"&lt;="&amp;M505,MOT_HASTA,"&gt;="&amp;M505)+SUMIFS(MOT_AJUSTE,MOT_MOTOR,G505,MOT_MARCA,"(todas)",MOT_DESDE,"&lt;="&amp;M505,MOT_HASTA,"&gt;="&amp;M505)</f>
        <v/>
      </c>
      <c r="BT505" s="3">
        <f>SUMIFS(COMB_AJUSTE,COMB_COMB,K505)</f>
        <v/>
      </c>
      <c r="BU505" s="3">
        <f>COUNTIFS(MOT_MOTOR,G505,MOT_MARCA,E505,MOT_DESDE,"&lt;="&amp;M505,MOT_HASTA,"&gt;="&amp;M505)+COUNTIFS(MOT_MOTOR,G505,MOT_MARCA,"(todas)",MOT_DESDE,"&lt;="&amp;M505,MOT_HASTA,"&gt;="&amp;M505)</f>
        <v/>
      </c>
      <c r="BV505" s="3">
        <f>IF(AND(K505="diesel",BU505=0),MIN(BR505,NEUTRO),BR505)</f>
        <v/>
      </c>
      <c r="BW505" s="4">
        <f>MAX(0,MIN(100,BV505+BS505+BT505))</f>
        <v/>
      </c>
      <c r="BX505" s="3">
        <f>MAX(0,MIN(100,50+BK505*PRECIO_PEND))</f>
        <v/>
      </c>
      <c r="BY505" s="3">
        <f>MAX(0,100*(1-N505/KM_MAX))</f>
        <v/>
      </c>
      <c r="BZ505" s="3">
        <f>IF(BB505&lt;KMA_SOSP,IF(AA505="sí",100,KMA_PEN),IF(BB505&lt;=KMA_IDEAL_MAX,100,MAX(0,100*(KMA_CERO-BB505)/(KMA_CERO-KMA_IDEAL_MAX))))</f>
        <v/>
      </c>
      <c r="CA505" s="3">
        <f>MAX(0,MIN(100,100*(M505-ANIO_MIN)/(ANIO_ACTUAL-ANIO_MIN)))</f>
        <v/>
      </c>
      <c r="CB505" s="3">
        <f>W_KMT*BY505+W_KMA*BZ505+W_EDAD*CA505</f>
        <v/>
      </c>
      <c r="CC505" s="3">
        <f>P_ITV*(V505="sí")+P_LIBRO*(W505="sí")+P_CORREA*(X505="sí")+P_PROP*(Y505=1)+P_GAR*(Z505="sí")+P_FOTOS*MIN(1,N(U505)/FOTOS_OBJ)</f>
        <v/>
      </c>
      <c r="CD505" s="3">
        <f>MAX(0,MIN(100,IFERROR(VLOOKUP(BP505,ETQ_TBL,2,0),0)-IF(BQ505="sí",ETQ_PEN_DUD,IF(AS505="regla",ETQ_PEN_REGLA,0))))</f>
        <v/>
      </c>
      <c r="CE505" s="3">
        <f>NEUTRO</f>
        <v/>
      </c>
      <c r="CF505" s="3">
        <f>IFERROR(VLOOKUP(L505,SEGURO_TBL,3,0),"")</f>
        <v/>
      </c>
      <c r="CG505" s="3">
        <f>IF(CF505="",NEUTRO,MAX(0,MIN(100,100*(SEG_REF_MAX-CF505)/(SEG_REF_MAX-SEG_REF_MIN))))</f>
        <v/>
      </c>
      <c r="CH505" s="3">
        <f>W_CONS*CE505+W_SEG*CG505</f>
        <v/>
      </c>
      <c r="CI505" s="3">
        <f>IF(N(AB505)&gt;0,AB505,IF(AND(R505="profesional",SG_LEGAL_ON=1),GAR_LEGAL,0))</f>
        <v/>
      </c>
      <c r="CJ505" s="3">
        <f>SG_GAR*MIN(1,CI505/SG_GAR_FULL)+SG_AMPL*(AC505="sí")+SG_KMC*(AF505="sí")+SG_REV*(N(AE505)&gt;0)+SG_DEV*MIN(1,N(AG505)/SG_DEV_FULL)+SG_HIST*(W505="sí")</f>
        <v/>
      </c>
      <c r="CK505" s="3">
        <f>IFERROR(VLOOKUP(L505,CARR_PEN_TBL,2,0),0)</f>
        <v/>
      </c>
      <c r="CL505" s="3">
        <f>W_FIAB*BW505+W_PRECIO*BX505+W_KMEDAD*CB505+W_ANUNCIO*CC505+W_USO*CH505+W_SEGURIDAD*CJ505+W_ETIQUETA*CD505-CK505</f>
        <v/>
      </c>
      <c r="CM505" s="4">
        <f>IF(N(I505)&gt;0,I505,IFERROR(ROUND(_xlfn.NUMBERVALUE(LEFT(G505,FIND(" ",G505&amp;" ")-1),".")*1000,0),99999))</f>
        <v/>
      </c>
      <c r="CN505" s="3">
        <f>IF(R505="profesional",0,IF(O505&lt;CUOTA_VALOR_MAX,IF(BA505&gt;ITP_TRAMO_ALTO,SUMIFS(CF_CUOTA,CF_MAS,ITP_TRAMO_ALTO,CF_CCMIN,"&lt;="&amp;CM505,CF_CCMAX,"&gt;="&amp;CM505),IF(BA505&gt;ITP_TRAMO_BAJO,SUMIFS(CF_CUOTA,CF_MAS,ITP_TRAMO_BAJO,CF_CCMIN,"&lt;="&amp;CM505,CF_CCMAX,"&gt;="&amp;CM505),O505*ITP_TIPO)),O505*ITP_TIPO))</f>
        <v/>
      </c>
      <c r="CO505" s="4">
        <f>IF(R505="profesional",N(AK505),0)</f>
        <v/>
      </c>
      <c r="CP505" s="3">
        <f>IF(AND(R505="profesional",ISNUMBER(AK505),AL505="sí"),0,TASA_DGT)</f>
        <v/>
      </c>
      <c r="CQ505" s="3">
        <f>INFORME_DGT</f>
        <v/>
      </c>
      <c r="CR505" s="4">
        <f>O505+CO505+CN505+CP505+CQ505</f>
        <v/>
      </c>
      <c r="CS505" s="4">
        <f>CR505+N(CF505)</f>
        <v/>
      </c>
      <c r="CT505" s="3">
        <f>IF(CR505&lt;=TOTAL_MAX,"sí",IF(CR505&lt;=TOTAL_MAX+MARGEN_NEG,"negociar","no"))</f>
        <v/>
      </c>
      <c r="CU505" s="4">
        <f>IF(CT505&lt;&gt;"no",COUNTIFS($CT$2:$CT$545,"&lt;&gt;no",$CL$2:$CL$545,"&gt;"&amp;CL505)+COUNTIFS($CT$2:CT505,"&lt;&gt;no",$CL$2:CL505,CL505),"")</f>
        <v/>
      </c>
    </row>
    <row r="506">
      <c r="A506" s="2" t="inlineStr">
        <is>
          <t>cochesnet:71287668</t>
        </is>
      </c>
      <c r="B506" s="2" t="inlineStr">
        <is>
          <t>cochesnet</t>
        </is>
      </c>
      <c r="C506" s="2" t="inlineStr">
        <is>
          <t>https://www.coches.net/renault-clio-campus-campus-authentique-12-5p-gasolina-2006-en-castellon-71287668-covo.aspx</t>
        </is>
      </c>
      <c r="D506" s="2" t="inlineStr">
        <is>
          <t>RENAULT Clio Campus Campus Authentique 1.2</t>
        </is>
      </c>
      <c r="E506" s="2" t="inlineStr">
        <is>
          <t>Renault</t>
        </is>
      </c>
      <c r="F506" s="2" t="inlineStr">
        <is>
          <t>Renault Clio</t>
        </is>
      </c>
      <c r="G506" s="2" t="inlineStr">
        <is>
          <t>1.2</t>
        </is>
      </c>
      <c r="H506" s="2" t="inlineStr">
        <is>
          <t>Campus Authentique 1.2</t>
        </is>
      </c>
      <c r="I506" s="2" t="n"/>
      <c r="J506" s="2" t="n"/>
      <c r="K506" s="2" t="inlineStr">
        <is>
          <t>gasolina</t>
        </is>
      </c>
      <c r="L506" s="2" t="inlineStr">
        <is>
          <t>utilitario</t>
        </is>
      </c>
      <c r="M506" s="2" t="n">
        <v>2006</v>
      </c>
      <c r="N506" s="2" t="n">
        <v>143500</v>
      </c>
      <c r="O506" s="2" t="n">
        <v>2800</v>
      </c>
      <c r="P506" s="2" t="inlineStr">
        <is>
          <t>manual</t>
        </is>
      </c>
      <c r="Q506" s="2" t="inlineStr">
        <is>
          <t>no</t>
        </is>
      </c>
      <c r="R506" s="2" t="inlineStr">
        <is>
          <t>particular</t>
        </is>
      </c>
      <c r="S506" s="2" t="inlineStr">
        <is>
          <t>Vila-real</t>
        </is>
      </c>
      <c r="T506" s="2" t="inlineStr">
        <is>
          <t>2026-08-13T18:27:39Z</t>
        </is>
      </c>
      <c r="U506" s="2" t="n"/>
      <c r="V506" s="2" t="n"/>
      <c r="W506" s="2" t="n"/>
      <c r="X506" s="2" t="n"/>
      <c r="Y506" s="2" t="n"/>
      <c r="Z506" s="2" t="inlineStr">
        <is>
          <t>no</t>
        </is>
      </c>
      <c r="AA506" s="2" t="n"/>
      <c r="AB506" s="2" t="n"/>
      <c r="AC506" s="2" t="n"/>
      <c r="AD506" s="2" t="n"/>
      <c r="AE506" s="2" t="n"/>
      <c r="AF506" s="2" t="n"/>
      <c r="AG506" s="2" t="n"/>
      <c r="AH506" s="2" t="n">
        <v>2800</v>
      </c>
      <c r="AI506" s="2" t="n"/>
      <c r="AJ506" s="2" t="n"/>
      <c r="AK506" s="2" t="n"/>
      <c r="AL506" s="2" t="n"/>
      <c r="AM506" s="2" t="n"/>
      <c r="AN506" s="2" t="n"/>
      <c r="AO506" s="2" t="inlineStr">
        <is>
          <t>2006</t>
        </is>
      </c>
      <c r="AP506" s="2" t="n">
        <v>2006</v>
      </c>
      <c r="AQ506" s="2" t="n"/>
      <c r="AR506" s="2" t="n"/>
      <c r="AS506" s="2" t="inlineStr">
        <is>
          <t>regla</t>
        </is>
      </c>
      <c r="AT506" s="2" t="n">
        <v>2750</v>
      </c>
      <c r="AU506" s="2" t="n">
        <v>18</v>
      </c>
      <c r="AV506" s="2" t="inlineStr">
        <is>
          <t>modelo+año</t>
        </is>
      </c>
      <c r="AW506" s="2" t="n"/>
      <c r="AX506" s="2" t="inlineStr">
        <is>
          <t>cuota fija ITP: &gt;12 años, hasta 1.500 cc; distancia no verificable (el anuncio solo indica la provincia): confirmar que está a &lt;= 70 km</t>
        </is>
      </c>
      <c r="AY506" s="2" t="inlineStr">
        <is>
          <t>Si buscas un coche fiable y económico para moverte por ciudad o realizar trayectos diarios, este Renault Clio Campus es una opción sólida que no debes pasar por alto.
Se trata de un berlina de cinco puertas y cinco plazas con motor de 1.2 litros y 60 CV, perfecto para quien busca eficiencia sin complicaciones. Su cambio manual garantiza una conducción directa y controlada, mientras que su consumo moderado te permitirá ahorrar en combustible día a día.
Este modelo es conocido por su fiabilidad y mantenimiento accesible, características que lo hacen especialmente atractivo para propietarios que valoran la relación calidad-precio. La carrocería de berlina ofrece espacio interior aprovechado y una manejabilidad excelente en entornos urbanos.
A un precio muy competitivo, tienes aquí un vehículo funcional que cumple perfectamente su cometido: llevarte de un lado a otro de manera segura y económica. Ideal si necesitas un segundo coche, un vehículo para aprender a conducir o simplemente una solución de transporte sin pretensiones innecesarias.
Si tienes dudas sobre el estado específico del vehículo o deseas conocer más detalles sobre su historial o cualquier otro aspecto, no dudes en contactarme. Estoy disponible a través del chat para resolver todas tus preguntas.
Contacta hoy mismo y comprueba por ti mismo que es una gran oportunidad.</t>
        </is>
      </c>
      <c r="AZ506" s="2" t="inlineStr">
        <is>
          <t>https://www.coches.net/renault-clio-campus-campus-authentique-12-5p-gasolina-2006-en-castellon-71287668-covo.aspx (window.__INITIAL_PROPS__.ad) /home/user/Alopecia/buscador-coches/raw/cochesnet/bb9f26e19e05562d.json</t>
        </is>
      </c>
      <c r="BA506" s="3">
        <f>MAX(ANIO_ACTUAL-M506,0)</f>
        <v/>
      </c>
      <c r="BB506" s="4">
        <f>N506/MAX(BA506,0.5)</f>
        <v/>
      </c>
      <c r="BC506" s="4">
        <f>F506</f>
        <v/>
      </c>
      <c r="BD506" s="3">
        <f>BC506&amp;"|"&amp;INT(M506/SEG_ANIO)*SEG_ANIO</f>
        <v/>
      </c>
      <c r="BE506" s="3">
        <f>BD506&amp;"|"&amp;INT(N506/SEG_KM)*SEG_KM</f>
        <v/>
      </c>
      <c r="BF506" s="4">
        <f>COUNTIF($BC$2:$BC$545,BC506)</f>
        <v/>
      </c>
      <c r="BG506" s="4">
        <f>COUNTIF($BD$2:$BD$545,BD506)</f>
        <v/>
      </c>
      <c r="BH506" s="4">
        <f>COUNTIF($BE$2:$BE$545,BE506)</f>
        <v/>
      </c>
      <c r="BI506" s="3">
        <f t="array" ref="BI506">IF(N(AU506)&gt;=MIN_N,AT506,IF(BH506&gt;=MIN_N,MEDIAN(IF($BE$2:$BE$545=BE506,$O$2:$O$545)),IF(BG506&gt;=MIN_N,MEDIAN(IF($BD$2:$BD$545=BD506,$O$2:$O$545)),MEDIAN(IF($BC$2:$BC$545=BC506,$O$2:$O$545)))))</f>
        <v/>
      </c>
      <c r="BJ506" s="3">
        <f>IF(N(AU506)&gt;=MIN_N,"mercado "&amp;AV506,IF(BH506&gt;=MIN_N,"modelo+año+km",IF(BG506&gt;=MIN_N,"modelo+año","modelo")))</f>
        <v/>
      </c>
      <c r="BK506" s="4">
        <f>(BI506-O506)/BI506</f>
        <v/>
      </c>
      <c r="BL506" s="3">
        <f>IF(COUNTIFS(FR_FUEL,K506,FR_YEAR,AP506)&gt;0,1,0)</f>
        <v/>
      </c>
      <c r="BM506" s="3">
        <f>IF(COUNTIFS(FR_FUEL,K506,FR_YEAR,AP506-1)&gt;0,1,0)</f>
        <v/>
      </c>
      <c r="BN506" s="4">
        <f>IF(N(AQ506)&gt;0,AP506*100+AQ506,IF(AND(BL506=1,BM506=1),(AP506-1)*100+1,AP506*100+1))</f>
        <v/>
      </c>
      <c r="BO506" s="3">
        <f>IF(OR(K506="hibrido",K506="glp",K506="gnc",K506="phev"),"ECO",IF(K506="electrico","CERO",IF(K506="gasolina",IF(BN506&gt;=GAS_C_YM,"C",IF(BN506&gt;=GAS_B_YM,"B","A")),IF(K506="diesel",IF(BN506&gt;=DIE_C_YM,"C",IF(BN506&gt;=DIE_B_YM,"B","A")),""))))</f>
        <v/>
      </c>
      <c r="BP506" s="4">
        <f>BO506</f>
        <v/>
      </c>
      <c r="BQ506" s="4">
        <f>IF(AS506="regla",IF(AND(N(AQ506)=0,BL506=1),"sí","no"),"no")</f>
        <v/>
      </c>
      <c r="BR506" s="3">
        <f>IFERROR(VLOOKUP(F506,MOD_TBL,11,0),IFERROR(VLOOKUP(E506,OCU_TBL,2,0),NEUTRO))</f>
        <v/>
      </c>
      <c r="BS506" s="3">
        <f>SUMIFS(MOT_AJUSTE,MOT_MOTOR,G506,MOT_MARCA,E506,MOT_DESDE,"&lt;="&amp;M506,MOT_HASTA,"&gt;="&amp;M506)+SUMIFS(MOT_AJUSTE,MOT_MOTOR,G506,MOT_MARCA,"(todas)",MOT_DESDE,"&lt;="&amp;M506,MOT_HASTA,"&gt;="&amp;M506)</f>
        <v/>
      </c>
      <c r="BT506" s="3">
        <f>SUMIFS(COMB_AJUSTE,COMB_COMB,K506)</f>
        <v/>
      </c>
      <c r="BU506" s="3">
        <f>COUNTIFS(MOT_MOTOR,G506,MOT_MARCA,E506,MOT_DESDE,"&lt;="&amp;M506,MOT_HASTA,"&gt;="&amp;M506)+COUNTIFS(MOT_MOTOR,G506,MOT_MARCA,"(todas)",MOT_DESDE,"&lt;="&amp;M506,MOT_HASTA,"&gt;="&amp;M506)</f>
        <v/>
      </c>
      <c r="BV506" s="3">
        <f>IF(AND(K506="diesel",BU506=0),MIN(BR506,NEUTRO),BR506)</f>
        <v/>
      </c>
      <c r="BW506" s="4">
        <f>MAX(0,MIN(100,BV506+BS506+BT506))</f>
        <v/>
      </c>
      <c r="BX506" s="3">
        <f>MAX(0,MIN(100,50+BK506*PRECIO_PEND))</f>
        <v/>
      </c>
      <c r="BY506" s="3">
        <f>MAX(0,100*(1-N506/KM_MAX))</f>
        <v/>
      </c>
      <c r="BZ506" s="3">
        <f>IF(BB506&lt;KMA_SOSP,IF(AA506="sí",100,KMA_PEN),IF(BB506&lt;=KMA_IDEAL_MAX,100,MAX(0,100*(KMA_CERO-BB506)/(KMA_CERO-KMA_IDEAL_MAX))))</f>
        <v/>
      </c>
      <c r="CA506" s="3">
        <f>MAX(0,MIN(100,100*(M506-ANIO_MIN)/(ANIO_ACTUAL-ANIO_MIN)))</f>
        <v/>
      </c>
      <c r="CB506" s="3">
        <f>W_KMT*BY506+W_KMA*BZ506+W_EDAD*CA506</f>
        <v/>
      </c>
      <c r="CC506" s="3">
        <f>P_ITV*(V506="sí")+P_LIBRO*(W506="sí")+P_CORREA*(X506="sí")+P_PROP*(Y506=1)+P_GAR*(Z506="sí")+P_FOTOS*MIN(1,N(U506)/FOTOS_OBJ)</f>
        <v/>
      </c>
      <c r="CD506" s="3">
        <f>MAX(0,MIN(100,IFERROR(VLOOKUP(BP506,ETQ_TBL,2,0),0)-IF(BQ506="sí",ETQ_PEN_DUD,IF(AS506="regla",ETQ_PEN_REGLA,0))))</f>
        <v/>
      </c>
      <c r="CE506" s="3">
        <f>NEUTRO</f>
        <v/>
      </c>
      <c r="CF506" s="3">
        <f>IFERROR(VLOOKUP(L506,SEGURO_TBL,3,0),"")</f>
        <v/>
      </c>
      <c r="CG506" s="3">
        <f>IF(CF506="",NEUTRO,MAX(0,MIN(100,100*(SEG_REF_MAX-CF506)/(SEG_REF_MAX-SEG_REF_MIN))))</f>
        <v/>
      </c>
      <c r="CH506" s="3">
        <f>W_CONS*CE506+W_SEG*CG506</f>
        <v/>
      </c>
      <c r="CI506" s="3">
        <f>IF(N(AB506)&gt;0,AB506,IF(AND(R506="profesional",SG_LEGAL_ON=1),GAR_LEGAL,0))</f>
        <v/>
      </c>
      <c r="CJ506" s="3">
        <f>SG_GAR*MIN(1,CI506/SG_GAR_FULL)+SG_AMPL*(AC506="sí")+SG_KMC*(AF506="sí")+SG_REV*(N(AE506)&gt;0)+SG_DEV*MIN(1,N(AG506)/SG_DEV_FULL)+SG_HIST*(W506="sí")</f>
        <v/>
      </c>
      <c r="CK506" s="3">
        <f>IFERROR(VLOOKUP(L506,CARR_PEN_TBL,2,0),0)</f>
        <v/>
      </c>
      <c r="CL506" s="3">
        <f>W_FIAB*BW506+W_PRECIO*BX506+W_KMEDAD*CB506+W_ANUNCIO*CC506+W_USO*CH506+W_SEGURIDAD*CJ506+W_ETIQUETA*CD506-CK506</f>
        <v/>
      </c>
      <c r="CM506" s="4">
        <f>IF(N(I506)&gt;0,I506,IFERROR(ROUND(_xlfn.NUMBERVALUE(LEFT(G506,FIND(" ",G506&amp;" ")-1),".")*1000,0),99999))</f>
        <v/>
      </c>
      <c r="CN506" s="3">
        <f>IF(R506="profesional",0,IF(O506&lt;CUOTA_VALOR_MAX,IF(BA506&gt;ITP_TRAMO_ALTO,SUMIFS(CF_CUOTA,CF_MAS,ITP_TRAMO_ALTO,CF_CCMIN,"&lt;="&amp;CM506,CF_CCMAX,"&gt;="&amp;CM506),IF(BA506&gt;ITP_TRAMO_BAJO,SUMIFS(CF_CUOTA,CF_MAS,ITP_TRAMO_BAJO,CF_CCMIN,"&lt;="&amp;CM506,CF_CCMAX,"&gt;="&amp;CM506),O506*ITP_TIPO)),O506*ITP_TIPO))</f>
        <v/>
      </c>
      <c r="CO506" s="4">
        <f>IF(R506="profesional",N(AK506),0)</f>
        <v/>
      </c>
      <c r="CP506" s="3">
        <f>IF(AND(R506="profesional",ISNUMBER(AK506),AL506="sí"),0,TASA_DGT)</f>
        <v/>
      </c>
      <c r="CQ506" s="3">
        <f>INFORME_DGT</f>
        <v/>
      </c>
      <c r="CR506" s="4">
        <f>O506+CO506+CN506+CP506+CQ506</f>
        <v/>
      </c>
      <c r="CS506" s="4">
        <f>CR506+N(CF506)</f>
        <v/>
      </c>
      <c r="CT506" s="3">
        <f>IF(CR506&lt;=TOTAL_MAX,"sí",IF(CR506&lt;=TOTAL_MAX+MARGEN_NEG,"negociar","no"))</f>
        <v/>
      </c>
      <c r="CU506" s="4">
        <f>IF(CT506&lt;&gt;"no",COUNTIFS($CT$2:$CT$545,"&lt;&gt;no",$CL$2:$CL$545,"&gt;"&amp;CL506)+COUNTIFS($CT$2:CT506,"&lt;&gt;no",$CL$2:CL506,CL506),"")</f>
        <v/>
      </c>
    </row>
    <row r="507">
      <c r="A507" s="2" t="inlineStr">
        <is>
          <t>cochesnet:71669055</t>
        </is>
      </c>
      <c r="B507" s="2" t="inlineStr">
        <is>
          <t>cochesnet</t>
        </is>
      </c>
      <c r="C507" s="2" t="inlineStr">
        <is>
          <t>https://www.coches.net/dacia-sandero-podium-12-16v-75cv-5p-gasolina-2012-en-castellon-71669055-covo.aspx</t>
        </is>
      </c>
      <c r="D507" s="2" t="inlineStr">
        <is>
          <t>DACIA Sandero Podium 1.2 16v</t>
        </is>
      </c>
      <c r="E507" s="2" t="inlineStr">
        <is>
          <t>Dacia</t>
        </is>
      </c>
      <c r="F507" s="2" t="inlineStr">
        <is>
          <t>Dacia Sandero</t>
        </is>
      </c>
      <c r="G507" s="2" t="inlineStr">
        <is>
          <t>1.2</t>
        </is>
      </c>
      <c r="H507" s="2" t="inlineStr">
        <is>
          <t>Podium 1.2 16v 75cv</t>
        </is>
      </c>
      <c r="I507" s="2" t="n"/>
      <c r="J507" s="2" t="n">
        <v>75</v>
      </c>
      <c r="K507" s="2" t="inlineStr">
        <is>
          <t>gasolina</t>
        </is>
      </c>
      <c r="L507" s="2" t="inlineStr">
        <is>
          <t>utilitario</t>
        </is>
      </c>
      <c r="M507" s="2" t="n">
        <v>2012</v>
      </c>
      <c r="N507" s="2" t="n">
        <v>84406</v>
      </c>
      <c r="O507" s="2" t="n">
        <v>3800</v>
      </c>
      <c r="P507" s="2" t="inlineStr">
        <is>
          <t>manual</t>
        </is>
      </c>
      <c r="Q507" s="2" t="inlineStr">
        <is>
          <t>no</t>
        </is>
      </c>
      <c r="R507" s="2" t="inlineStr">
        <is>
          <t>particular</t>
        </is>
      </c>
      <c r="S507" s="2" t="inlineStr">
        <is>
          <t>Castellón de la Plana / Castelló de la Plana</t>
        </is>
      </c>
      <c r="T507" s="2" t="inlineStr">
        <is>
          <t>2026-10-27T13:10:54Z</t>
        </is>
      </c>
      <c r="U507" s="2" t="n">
        <v>8</v>
      </c>
      <c r="V507" s="2" t="n"/>
      <c r="W507" s="2" t="n"/>
      <c r="X507" s="2" t="n"/>
      <c r="Y507" s="2" t="n"/>
      <c r="Z507" s="2" t="inlineStr">
        <is>
          <t>no</t>
        </is>
      </c>
      <c r="AA507" s="2" t="n"/>
      <c r="AB507" s="2" t="n"/>
      <c r="AC507" s="2" t="n"/>
      <c r="AD507" s="2" t="n"/>
      <c r="AE507" s="2" t="n"/>
      <c r="AF507" s="2" t="n"/>
      <c r="AG507" s="2" t="n"/>
      <c r="AH507" s="2" t="n">
        <v>3800</v>
      </c>
      <c r="AI507" s="2" t="n"/>
      <c r="AJ507" s="2" t="n"/>
      <c r="AK507" s="2" t="n"/>
      <c r="AL507" s="2" t="n"/>
      <c r="AM507" s="2" t="n"/>
      <c r="AN507" s="2" t="n"/>
      <c r="AO507" s="2" t="inlineStr">
        <is>
          <t>2012</t>
        </is>
      </c>
      <c r="AP507" s="2" t="n">
        <v>2012</v>
      </c>
      <c r="AQ507" s="2" t="n"/>
      <c r="AR507" s="2" t="n"/>
      <c r="AS507" s="2" t="inlineStr">
        <is>
          <t>regla</t>
        </is>
      </c>
      <c r="AT507" s="2" t="n">
        <v>3800</v>
      </c>
      <c r="AU507" s="2" t="n">
        <v>4</v>
      </c>
      <c r="AV507" s="2" t="inlineStr">
        <is>
          <t>modelo+año+km</t>
        </is>
      </c>
      <c r="AW507" s="2" t="n"/>
      <c r="AX507" s="2" t="inlineStr">
        <is>
          <t>cuota fija ITP: &gt;12 años, hasta 1.500 cc; distancia no verificable (el anuncio solo indica la provincia): confirmar que está a &lt;= 70 km</t>
        </is>
      </c>
      <c r="AY507" s="2" t="inlineStr">
        <is>
          <t xml:space="preserve">Dacia Sandero 1.2 16V 75 CV Podium – 84.500 km – Bien cuidado
Vendo Dacia Sandero 1.2 16V de 75 CV, acabado Podium, con solo 84.500 km.
Coche de uso particular, bien cuidado y con un funcionamiento correcto. A pesar de sus años, se encuentra en buen estado general, teniendo en cuenta los desgastes propios de la edad y algunos rayones normales en la pintura.
Características:
- Motor gasolina 1.2 16V de 75 CV.
- Acabado Podium.
- 84.500 km.
- Aire acondicionado y compresor funcionando; únicamente necesita una recarga de gas.
- Vehículo cuidado y con kilometraje bajo para su antigüedad.
Es un coche práctico, económico de mantener y fácil de conducir, ideal para el día a día, para ciudad o como primer vehículo.
Se puede ver y probar sin compromiso. Se vende por cambio de planes.
Precio negociable tras verlo.
</t>
        </is>
      </c>
      <c r="AZ507" s="2" t="inlineStr">
        <is>
          <t>https://www.coches.net/dacia-sandero-podium-12-16v-75cv-5p-gasolina-2012-en-castellon-71669055-covo.aspx (window.__INITIAL_PROPS__.ad) /home/user/Alopecia/buscador-coches/raw/cochesnet/3f7284e8ac81a8bb.json</t>
        </is>
      </c>
      <c r="BA507" s="3">
        <f>MAX(ANIO_ACTUAL-M507,0)</f>
        <v/>
      </c>
      <c r="BB507" s="4">
        <f>N507/MAX(BA507,0.5)</f>
        <v/>
      </c>
      <c r="BC507" s="4">
        <f>F507</f>
        <v/>
      </c>
      <c r="BD507" s="3">
        <f>BC507&amp;"|"&amp;INT(M507/SEG_ANIO)*SEG_ANIO</f>
        <v/>
      </c>
      <c r="BE507" s="3">
        <f>BD507&amp;"|"&amp;INT(N507/SEG_KM)*SEG_KM</f>
        <v/>
      </c>
      <c r="BF507" s="4">
        <f>COUNTIF($BC$2:$BC$545,BC507)</f>
        <v/>
      </c>
      <c r="BG507" s="4">
        <f>COUNTIF($BD$2:$BD$545,BD507)</f>
        <v/>
      </c>
      <c r="BH507" s="4">
        <f>COUNTIF($BE$2:$BE$545,BE507)</f>
        <v/>
      </c>
      <c r="BI507" s="3">
        <f t="array" ref="BI507">IF(N(AU507)&gt;=MIN_N,AT507,IF(BH507&gt;=MIN_N,MEDIAN(IF($BE$2:$BE$545=BE507,$O$2:$O$545)),IF(BG507&gt;=MIN_N,MEDIAN(IF($BD$2:$BD$545=BD507,$O$2:$O$545)),MEDIAN(IF($BC$2:$BC$545=BC507,$O$2:$O$545)))))</f>
        <v/>
      </c>
      <c r="BJ507" s="3">
        <f>IF(N(AU507)&gt;=MIN_N,"mercado "&amp;AV507,IF(BH507&gt;=MIN_N,"modelo+año+km",IF(BG507&gt;=MIN_N,"modelo+año","modelo")))</f>
        <v/>
      </c>
      <c r="BK507" s="4">
        <f>(BI507-O507)/BI507</f>
        <v/>
      </c>
      <c r="BL507" s="3">
        <f>IF(COUNTIFS(FR_FUEL,K507,FR_YEAR,AP507)&gt;0,1,0)</f>
        <v/>
      </c>
      <c r="BM507" s="3">
        <f>IF(COUNTIFS(FR_FUEL,K507,FR_YEAR,AP507-1)&gt;0,1,0)</f>
        <v/>
      </c>
      <c r="BN507" s="4">
        <f>IF(N(AQ507)&gt;0,AP507*100+AQ507,IF(AND(BL507=1,BM507=1),(AP507-1)*100+1,AP507*100+1))</f>
        <v/>
      </c>
      <c r="BO507" s="3">
        <f>IF(OR(K507="hibrido",K507="glp",K507="gnc",K507="phev"),"ECO",IF(K507="electrico","CERO",IF(K507="gasolina",IF(BN507&gt;=GAS_C_YM,"C",IF(BN507&gt;=GAS_B_YM,"B","A")),IF(K507="diesel",IF(BN507&gt;=DIE_C_YM,"C",IF(BN507&gt;=DIE_B_YM,"B","A")),""))))</f>
        <v/>
      </c>
      <c r="BP507" s="4">
        <f>BO507</f>
        <v/>
      </c>
      <c r="BQ507" s="4">
        <f>IF(AS507="regla",IF(AND(N(AQ507)=0,BL507=1),"sí","no"),"no")</f>
        <v/>
      </c>
      <c r="BR507" s="3">
        <f>IFERROR(VLOOKUP(F507,MOD_TBL,11,0),IFERROR(VLOOKUP(E507,OCU_TBL,2,0),NEUTRO))</f>
        <v/>
      </c>
      <c r="BS507" s="3">
        <f>SUMIFS(MOT_AJUSTE,MOT_MOTOR,G507,MOT_MARCA,E507,MOT_DESDE,"&lt;="&amp;M507,MOT_HASTA,"&gt;="&amp;M507)+SUMIFS(MOT_AJUSTE,MOT_MOTOR,G507,MOT_MARCA,"(todas)",MOT_DESDE,"&lt;="&amp;M507,MOT_HASTA,"&gt;="&amp;M507)</f>
        <v/>
      </c>
      <c r="BT507" s="3">
        <f>SUMIFS(COMB_AJUSTE,COMB_COMB,K507)</f>
        <v/>
      </c>
      <c r="BU507" s="3">
        <f>COUNTIFS(MOT_MOTOR,G507,MOT_MARCA,E507,MOT_DESDE,"&lt;="&amp;M507,MOT_HASTA,"&gt;="&amp;M507)+COUNTIFS(MOT_MOTOR,G507,MOT_MARCA,"(todas)",MOT_DESDE,"&lt;="&amp;M507,MOT_HASTA,"&gt;="&amp;M507)</f>
        <v/>
      </c>
      <c r="BV507" s="3">
        <f>IF(AND(K507="diesel",BU507=0),MIN(BR507,NEUTRO),BR507)</f>
        <v/>
      </c>
      <c r="BW507" s="4">
        <f>MAX(0,MIN(100,BV507+BS507+BT507))</f>
        <v/>
      </c>
      <c r="BX507" s="3">
        <f>MAX(0,MIN(100,50+BK507*PRECIO_PEND))</f>
        <v/>
      </c>
      <c r="BY507" s="3">
        <f>MAX(0,100*(1-N507/KM_MAX))</f>
        <v/>
      </c>
      <c r="BZ507" s="3">
        <f>IF(BB507&lt;KMA_SOSP,IF(AA507="sí",100,KMA_PEN),IF(BB507&lt;=KMA_IDEAL_MAX,100,MAX(0,100*(KMA_CERO-BB507)/(KMA_CERO-KMA_IDEAL_MAX))))</f>
        <v/>
      </c>
      <c r="CA507" s="3">
        <f>MAX(0,MIN(100,100*(M507-ANIO_MIN)/(ANIO_ACTUAL-ANIO_MIN)))</f>
        <v/>
      </c>
      <c r="CB507" s="3">
        <f>W_KMT*BY507+W_KMA*BZ507+W_EDAD*CA507</f>
        <v/>
      </c>
      <c r="CC507" s="3">
        <f>P_ITV*(V507="sí")+P_LIBRO*(W507="sí")+P_CORREA*(X507="sí")+P_PROP*(Y507=1)+P_GAR*(Z507="sí")+P_FOTOS*MIN(1,N(U507)/FOTOS_OBJ)</f>
        <v/>
      </c>
      <c r="CD507" s="3">
        <f>MAX(0,MIN(100,IFERROR(VLOOKUP(BP507,ETQ_TBL,2,0),0)-IF(BQ507="sí",ETQ_PEN_DUD,IF(AS507="regla",ETQ_PEN_REGLA,0))))</f>
        <v/>
      </c>
      <c r="CE507" s="3">
        <f>NEUTRO</f>
        <v/>
      </c>
      <c r="CF507" s="3">
        <f>IFERROR(VLOOKUP(L507,SEGURO_TBL,3,0),"")</f>
        <v/>
      </c>
      <c r="CG507" s="3">
        <f>IF(CF507="",NEUTRO,MAX(0,MIN(100,100*(SEG_REF_MAX-CF507)/(SEG_REF_MAX-SEG_REF_MIN))))</f>
        <v/>
      </c>
      <c r="CH507" s="3">
        <f>W_CONS*CE507+W_SEG*CG507</f>
        <v/>
      </c>
      <c r="CI507" s="3">
        <f>IF(N(AB507)&gt;0,AB507,IF(AND(R507="profesional",SG_LEGAL_ON=1),GAR_LEGAL,0))</f>
        <v/>
      </c>
      <c r="CJ507" s="3">
        <f>SG_GAR*MIN(1,CI507/SG_GAR_FULL)+SG_AMPL*(AC507="sí")+SG_KMC*(AF507="sí")+SG_REV*(N(AE507)&gt;0)+SG_DEV*MIN(1,N(AG507)/SG_DEV_FULL)+SG_HIST*(W507="sí")</f>
        <v/>
      </c>
      <c r="CK507" s="3">
        <f>IFERROR(VLOOKUP(L507,CARR_PEN_TBL,2,0),0)</f>
        <v/>
      </c>
      <c r="CL507" s="3">
        <f>W_FIAB*BW507+W_PRECIO*BX507+W_KMEDAD*CB507+W_ANUNCIO*CC507+W_USO*CH507+W_SEGURIDAD*CJ507+W_ETIQUETA*CD507-CK507</f>
        <v/>
      </c>
      <c r="CM507" s="4">
        <f>IF(N(I507)&gt;0,I507,IFERROR(ROUND(_xlfn.NUMBERVALUE(LEFT(G507,FIND(" ",G507&amp;" ")-1),".")*1000,0),99999))</f>
        <v/>
      </c>
      <c r="CN507" s="3">
        <f>IF(R507="profesional",0,IF(O507&lt;CUOTA_VALOR_MAX,IF(BA507&gt;ITP_TRAMO_ALTO,SUMIFS(CF_CUOTA,CF_MAS,ITP_TRAMO_ALTO,CF_CCMIN,"&lt;="&amp;CM507,CF_CCMAX,"&gt;="&amp;CM507),IF(BA507&gt;ITP_TRAMO_BAJO,SUMIFS(CF_CUOTA,CF_MAS,ITP_TRAMO_BAJO,CF_CCMIN,"&lt;="&amp;CM507,CF_CCMAX,"&gt;="&amp;CM507),O507*ITP_TIPO)),O507*ITP_TIPO))</f>
        <v/>
      </c>
      <c r="CO507" s="4">
        <f>IF(R507="profesional",N(AK507),0)</f>
        <v/>
      </c>
      <c r="CP507" s="3">
        <f>IF(AND(R507="profesional",ISNUMBER(AK507),AL507="sí"),0,TASA_DGT)</f>
        <v/>
      </c>
      <c r="CQ507" s="3">
        <f>INFORME_DGT</f>
        <v/>
      </c>
      <c r="CR507" s="4">
        <f>O507+CO507+CN507+CP507+CQ507</f>
        <v/>
      </c>
      <c r="CS507" s="4">
        <f>CR507+N(CF507)</f>
        <v/>
      </c>
      <c r="CT507" s="3">
        <f>IF(CR507&lt;=TOTAL_MAX,"sí",IF(CR507&lt;=TOTAL_MAX+MARGEN_NEG,"negociar","no"))</f>
        <v/>
      </c>
      <c r="CU507" s="4">
        <f>IF(CT507&lt;&gt;"no",COUNTIFS($CT$2:$CT$545,"&lt;&gt;no",$CL$2:$CL$545,"&gt;"&amp;CL507)+COUNTIFS($CT$2:CT507,"&lt;&gt;no",$CL$2:CL507,CL507),"")</f>
        <v/>
      </c>
    </row>
    <row r="508">
      <c r="A508" s="2" t="inlineStr">
        <is>
          <t>cochesnet:71800200</t>
        </is>
      </c>
      <c r="B508" s="2" t="inlineStr">
        <is>
          <t>cochesnet</t>
        </is>
      </c>
      <c r="C508" s="2" t="inlineStr">
        <is>
          <t>https://www.coches.net/dacia-sandero-ambiance-12-16v-75cv-5p-gasolina-2010-en-castellon-71800200-covo.aspx</t>
        </is>
      </c>
      <c r="D508" s="2" t="inlineStr">
        <is>
          <t>DACIA Sandero Ambiance 1.2 16v</t>
        </is>
      </c>
      <c r="E508" s="2" t="inlineStr">
        <is>
          <t>Dacia</t>
        </is>
      </c>
      <c r="F508" s="2" t="inlineStr">
        <is>
          <t>Dacia Sandero</t>
        </is>
      </c>
      <c r="G508" s="2" t="inlineStr">
        <is>
          <t>1.2</t>
        </is>
      </c>
      <c r="H508" s="2" t="inlineStr">
        <is>
          <t>Ambiance 1.2 16v 75cv</t>
        </is>
      </c>
      <c r="I508" s="2" t="n"/>
      <c r="J508" s="2" t="n">
        <v>75</v>
      </c>
      <c r="K508" s="2" t="inlineStr">
        <is>
          <t>gasolina</t>
        </is>
      </c>
      <c r="L508" s="2" t="inlineStr">
        <is>
          <t>utilitario</t>
        </is>
      </c>
      <c r="M508" s="2" t="n">
        <v>2010</v>
      </c>
      <c r="N508" s="2" t="n">
        <v>52000</v>
      </c>
      <c r="O508" s="2" t="n">
        <v>3800</v>
      </c>
      <c r="P508" s="2" t="inlineStr">
        <is>
          <t>manual</t>
        </is>
      </c>
      <c r="Q508" s="2" t="inlineStr">
        <is>
          <t>no</t>
        </is>
      </c>
      <c r="R508" s="2" t="inlineStr">
        <is>
          <t>particular</t>
        </is>
      </c>
      <c r="S508" s="2" t="n"/>
      <c r="T508" s="2" t="inlineStr">
        <is>
          <t>2026-10-21T12:04:58Z</t>
        </is>
      </c>
      <c r="U508" s="2" t="n">
        <v>9</v>
      </c>
      <c r="V508" s="2" t="n"/>
      <c r="W508" s="2" t="n"/>
      <c r="X508" s="2" t="n"/>
      <c r="Y508" s="2" t="n">
        <v>1</v>
      </c>
      <c r="Z508" s="2" t="inlineStr">
        <is>
          <t>no</t>
        </is>
      </c>
      <c r="AA508" s="2" t="inlineStr">
        <is>
          <t>sí</t>
        </is>
      </c>
      <c r="AB508" s="2" t="n"/>
      <c r="AC508" s="2" t="n"/>
      <c r="AD508" s="2" t="n"/>
      <c r="AE508" s="2" t="n"/>
      <c r="AF508" s="2" t="n"/>
      <c r="AG508" s="2" t="n"/>
      <c r="AH508" s="2" t="n">
        <v>3800</v>
      </c>
      <c r="AI508" s="2" t="n"/>
      <c r="AJ508" s="2" t="n"/>
      <c r="AK508" s="2" t="n"/>
      <c r="AL508" s="2" t="n"/>
      <c r="AM508" s="2" t="n"/>
      <c r="AN508" s="2" t="n"/>
      <c r="AO508" s="2" t="inlineStr">
        <is>
          <t>2010</t>
        </is>
      </c>
      <c r="AP508" s="2" t="n">
        <v>2010</v>
      </c>
      <c r="AQ508" s="2" t="n"/>
      <c r="AR508" s="2" t="n"/>
      <c r="AS508" s="2" t="inlineStr">
        <is>
          <t>regla</t>
        </is>
      </c>
      <c r="AT508" s="2" t="n">
        <v>3800</v>
      </c>
      <c r="AU508" s="2" t="n">
        <v>4</v>
      </c>
      <c r="AV508" s="2" t="inlineStr">
        <is>
          <t>modelo+año+km</t>
        </is>
      </c>
      <c r="AW508" s="2" t="n"/>
      <c r="AX508" s="2" t="inlineStr">
        <is>
          <t>cuota fija ITP: &gt;12 años, hasta 1.500 cc; distancia no verificable (el anuncio solo indica la provincia): confirmar que está a &lt;= 70 km</t>
        </is>
      </c>
      <c r="AY508" s="2" t="inlineStr">
        <is>
          <t xml:space="preserve">52000 km certificados! Con algunas marcas en la carrocería (miren fotos). Está en estado óptimo y pasa la ITV sin problemas. Un solo dueño.
*Aire acondicionado 
*Elevalunas eléctrico 
*Con ITV 
*Tapicería impecable 
*Neumáticos 80%
*Un solo dueño
Solo gente seria
</t>
        </is>
      </c>
      <c r="AZ508" s="2" t="inlineStr">
        <is>
          <t>https://www.coches.net/dacia-sandero-ambiance-12-16v-75cv-5p-gasolina-2010-en-castellon-71800200-covo.aspx (window.__INITIAL_PROPS__.ad) /home/user/Alopecia/buscador-coches/raw/cochesnet/6a96374de00c5baa.json</t>
        </is>
      </c>
      <c r="BA508" s="3">
        <f>MAX(ANIO_ACTUAL-M508,0)</f>
        <v/>
      </c>
      <c r="BB508" s="4">
        <f>N508/MAX(BA508,0.5)</f>
        <v/>
      </c>
      <c r="BC508" s="4">
        <f>F508</f>
        <v/>
      </c>
      <c r="BD508" s="3">
        <f>BC508&amp;"|"&amp;INT(M508/SEG_ANIO)*SEG_ANIO</f>
        <v/>
      </c>
      <c r="BE508" s="3">
        <f>BD508&amp;"|"&amp;INT(N508/SEG_KM)*SEG_KM</f>
        <v/>
      </c>
      <c r="BF508" s="4">
        <f>COUNTIF($BC$2:$BC$545,BC508)</f>
        <v/>
      </c>
      <c r="BG508" s="4">
        <f>COUNTIF($BD$2:$BD$545,BD508)</f>
        <v/>
      </c>
      <c r="BH508" s="4">
        <f>COUNTIF($BE$2:$BE$545,BE508)</f>
        <v/>
      </c>
      <c r="BI508" s="3">
        <f t="array" ref="BI508">IF(N(AU508)&gt;=MIN_N,AT508,IF(BH508&gt;=MIN_N,MEDIAN(IF($BE$2:$BE$545=BE508,$O$2:$O$545)),IF(BG508&gt;=MIN_N,MEDIAN(IF($BD$2:$BD$545=BD508,$O$2:$O$545)),MEDIAN(IF($BC$2:$BC$545=BC508,$O$2:$O$545)))))</f>
        <v/>
      </c>
      <c r="BJ508" s="3">
        <f>IF(N(AU508)&gt;=MIN_N,"mercado "&amp;AV508,IF(BH508&gt;=MIN_N,"modelo+año+km",IF(BG508&gt;=MIN_N,"modelo+año","modelo")))</f>
        <v/>
      </c>
      <c r="BK508" s="4">
        <f>(BI508-O508)/BI508</f>
        <v/>
      </c>
      <c r="BL508" s="3">
        <f>IF(COUNTIFS(FR_FUEL,K508,FR_YEAR,AP508)&gt;0,1,0)</f>
        <v/>
      </c>
      <c r="BM508" s="3">
        <f>IF(COUNTIFS(FR_FUEL,K508,FR_YEAR,AP508-1)&gt;0,1,0)</f>
        <v/>
      </c>
      <c r="BN508" s="4">
        <f>IF(N(AQ508)&gt;0,AP508*100+AQ508,IF(AND(BL508=1,BM508=1),(AP508-1)*100+1,AP508*100+1))</f>
        <v/>
      </c>
      <c r="BO508" s="3">
        <f>IF(OR(K508="hibrido",K508="glp",K508="gnc",K508="phev"),"ECO",IF(K508="electrico","CERO",IF(K508="gasolina",IF(BN508&gt;=GAS_C_YM,"C",IF(BN508&gt;=GAS_B_YM,"B","A")),IF(K508="diesel",IF(BN508&gt;=DIE_C_YM,"C",IF(BN508&gt;=DIE_B_YM,"B","A")),""))))</f>
        <v/>
      </c>
      <c r="BP508" s="4">
        <f>BO508</f>
        <v/>
      </c>
      <c r="BQ508" s="4">
        <f>IF(AS508="regla",IF(AND(N(AQ508)=0,BL508=1),"sí","no"),"no")</f>
        <v/>
      </c>
      <c r="BR508" s="3">
        <f>IFERROR(VLOOKUP(F508,MOD_TBL,11,0),IFERROR(VLOOKUP(E508,OCU_TBL,2,0),NEUTRO))</f>
        <v/>
      </c>
      <c r="BS508" s="3">
        <f>SUMIFS(MOT_AJUSTE,MOT_MOTOR,G508,MOT_MARCA,E508,MOT_DESDE,"&lt;="&amp;M508,MOT_HASTA,"&gt;="&amp;M508)+SUMIFS(MOT_AJUSTE,MOT_MOTOR,G508,MOT_MARCA,"(todas)",MOT_DESDE,"&lt;="&amp;M508,MOT_HASTA,"&gt;="&amp;M508)</f>
        <v/>
      </c>
      <c r="BT508" s="3">
        <f>SUMIFS(COMB_AJUSTE,COMB_COMB,K508)</f>
        <v/>
      </c>
      <c r="BU508" s="3">
        <f>COUNTIFS(MOT_MOTOR,G508,MOT_MARCA,E508,MOT_DESDE,"&lt;="&amp;M508,MOT_HASTA,"&gt;="&amp;M508)+COUNTIFS(MOT_MOTOR,G508,MOT_MARCA,"(todas)",MOT_DESDE,"&lt;="&amp;M508,MOT_HASTA,"&gt;="&amp;M508)</f>
        <v/>
      </c>
      <c r="BV508" s="3">
        <f>IF(AND(K508="diesel",BU508=0),MIN(BR508,NEUTRO),BR508)</f>
        <v/>
      </c>
      <c r="BW508" s="4">
        <f>MAX(0,MIN(100,BV508+BS508+BT508))</f>
        <v/>
      </c>
      <c r="BX508" s="3">
        <f>MAX(0,MIN(100,50+BK508*PRECIO_PEND))</f>
        <v/>
      </c>
      <c r="BY508" s="3">
        <f>MAX(0,100*(1-N508/KM_MAX))</f>
        <v/>
      </c>
      <c r="BZ508" s="3">
        <f>IF(BB508&lt;KMA_SOSP,IF(AA508="sí",100,KMA_PEN),IF(BB508&lt;=KMA_IDEAL_MAX,100,MAX(0,100*(KMA_CERO-BB508)/(KMA_CERO-KMA_IDEAL_MAX))))</f>
        <v/>
      </c>
      <c r="CA508" s="3">
        <f>MAX(0,MIN(100,100*(M508-ANIO_MIN)/(ANIO_ACTUAL-ANIO_MIN)))</f>
        <v/>
      </c>
      <c r="CB508" s="3">
        <f>W_KMT*BY508+W_KMA*BZ508+W_EDAD*CA508</f>
        <v/>
      </c>
      <c r="CC508" s="3">
        <f>P_ITV*(V508="sí")+P_LIBRO*(W508="sí")+P_CORREA*(X508="sí")+P_PROP*(Y508=1)+P_GAR*(Z508="sí")+P_FOTOS*MIN(1,N(U508)/FOTOS_OBJ)</f>
        <v/>
      </c>
      <c r="CD508" s="3">
        <f>MAX(0,MIN(100,IFERROR(VLOOKUP(BP508,ETQ_TBL,2,0),0)-IF(BQ508="sí",ETQ_PEN_DUD,IF(AS508="regla",ETQ_PEN_REGLA,0))))</f>
        <v/>
      </c>
      <c r="CE508" s="3">
        <f>NEUTRO</f>
        <v/>
      </c>
      <c r="CF508" s="3">
        <f>IFERROR(VLOOKUP(L508,SEGURO_TBL,3,0),"")</f>
        <v/>
      </c>
      <c r="CG508" s="3">
        <f>IF(CF508="",NEUTRO,MAX(0,MIN(100,100*(SEG_REF_MAX-CF508)/(SEG_REF_MAX-SEG_REF_MIN))))</f>
        <v/>
      </c>
      <c r="CH508" s="3">
        <f>W_CONS*CE508+W_SEG*CG508</f>
        <v/>
      </c>
      <c r="CI508" s="3">
        <f>IF(N(AB508)&gt;0,AB508,IF(AND(R508="profesional",SG_LEGAL_ON=1),GAR_LEGAL,0))</f>
        <v/>
      </c>
      <c r="CJ508" s="3">
        <f>SG_GAR*MIN(1,CI508/SG_GAR_FULL)+SG_AMPL*(AC508="sí")+SG_KMC*(AF508="sí")+SG_REV*(N(AE508)&gt;0)+SG_DEV*MIN(1,N(AG508)/SG_DEV_FULL)+SG_HIST*(W508="sí")</f>
        <v/>
      </c>
      <c r="CK508" s="3">
        <f>IFERROR(VLOOKUP(L508,CARR_PEN_TBL,2,0),0)</f>
        <v/>
      </c>
      <c r="CL508" s="3">
        <f>W_FIAB*BW508+W_PRECIO*BX508+W_KMEDAD*CB508+W_ANUNCIO*CC508+W_USO*CH508+W_SEGURIDAD*CJ508+W_ETIQUETA*CD508-CK508</f>
        <v/>
      </c>
      <c r="CM508" s="4">
        <f>IF(N(I508)&gt;0,I508,IFERROR(ROUND(_xlfn.NUMBERVALUE(LEFT(G508,FIND(" ",G508&amp;" ")-1),".")*1000,0),99999))</f>
        <v/>
      </c>
      <c r="CN508" s="3">
        <f>IF(R508="profesional",0,IF(O508&lt;CUOTA_VALOR_MAX,IF(BA508&gt;ITP_TRAMO_ALTO,SUMIFS(CF_CUOTA,CF_MAS,ITP_TRAMO_ALTO,CF_CCMIN,"&lt;="&amp;CM508,CF_CCMAX,"&gt;="&amp;CM508),IF(BA508&gt;ITP_TRAMO_BAJO,SUMIFS(CF_CUOTA,CF_MAS,ITP_TRAMO_BAJO,CF_CCMIN,"&lt;="&amp;CM508,CF_CCMAX,"&gt;="&amp;CM508),O508*ITP_TIPO)),O508*ITP_TIPO))</f>
        <v/>
      </c>
      <c r="CO508" s="4">
        <f>IF(R508="profesional",N(AK508),0)</f>
        <v/>
      </c>
      <c r="CP508" s="3">
        <f>IF(AND(R508="profesional",ISNUMBER(AK508),AL508="sí"),0,TASA_DGT)</f>
        <v/>
      </c>
      <c r="CQ508" s="3">
        <f>INFORME_DGT</f>
        <v/>
      </c>
      <c r="CR508" s="4">
        <f>O508+CO508+CN508+CP508+CQ508</f>
        <v/>
      </c>
      <c r="CS508" s="4">
        <f>CR508+N(CF508)</f>
        <v/>
      </c>
      <c r="CT508" s="3">
        <f>IF(CR508&lt;=TOTAL_MAX,"sí",IF(CR508&lt;=TOTAL_MAX+MARGEN_NEG,"negociar","no"))</f>
        <v/>
      </c>
      <c r="CU508" s="4">
        <f>IF(CT508&lt;&gt;"no",COUNTIFS($CT$2:$CT$545,"&lt;&gt;no",$CL$2:$CL$545,"&gt;"&amp;CL508)+COUNTIFS($CT$2:CT508,"&lt;&gt;no",$CL$2:CL508,CL508),"")</f>
        <v/>
      </c>
    </row>
    <row r="509">
      <c r="A509" s="2" t="inlineStr">
        <is>
          <t>cochesnet:71424773</t>
        </is>
      </c>
      <c r="B509" s="2" t="inlineStr">
        <is>
          <t>cochesnet</t>
        </is>
      </c>
      <c r="C509" s="2" t="inlineStr">
        <is>
          <t>https://www.coches.net/dacia-sandero-gasolina-2010-en-castellon-71424773-covo.aspx</t>
        </is>
      </c>
      <c r="D509" s="2" t="inlineStr">
        <is>
          <t>DACIA Sandero Base 1.2 16v E5</t>
        </is>
      </c>
      <c r="E509" s="2" t="inlineStr">
        <is>
          <t>Dacia</t>
        </is>
      </c>
      <c r="F509" s="2" t="inlineStr">
        <is>
          <t>Dacia Sandero</t>
        </is>
      </c>
      <c r="G509" s="2" t="inlineStr">
        <is>
          <t>1.2</t>
        </is>
      </c>
      <c r="H509" s="2" t="inlineStr">
        <is>
          <t>Base 1.2 16v 75cv E5</t>
        </is>
      </c>
      <c r="I509" s="2" t="n"/>
      <c r="J509" s="2" t="n">
        <v>75</v>
      </c>
      <c r="K509" s="2" t="inlineStr">
        <is>
          <t>gasolina</t>
        </is>
      </c>
      <c r="L509" s="2" t="inlineStr">
        <is>
          <t>utilitario</t>
        </is>
      </c>
      <c r="M509" s="2" t="n">
        <v>2010</v>
      </c>
      <c r="N509" s="2" t="n">
        <v>72000</v>
      </c>
      <c r="O509" s="2" t="n">
        <v>3300</v>
      </c>
      <c r="P509" s="2" t="inlineStr">
        <is>
          <t>manual</t>
        </is>
      </c>
      <c r="Q509" s="2" t="inlineStr">
        <is>
          <t>no</t>
        </is>
      </c>
      <c r="R509" s="2" t="inlineStr">
        <is>
          <t>particular</t>
        </is>
      </c>
      <c r="S509" s="2" t="n"/>
      <c r="T509" s="2" t="inlineStr">
        <is>
          <t>2026-09-02T11:19:30Z</t>
        </is>
      </c>
      <c r="U509" s="2" t="n">
        <v>7</v>
      </c>
      <c r="V509" s="2" t="inlineStr">
        <is>
          <t>sí</t>
        </is>
      </c>
      <c r="W509" s="2" t="n"/>
      <c r="X509" s="2" t="n"/>
      <c r="Y509" s="2" t="n"/>
      <c r="Z509" s="2" t="inlineStr">
        <is>
          <t>no</t>
        </is>
      </c>
      <c r="AA509" s="2" t="n"/>
      <c r="AB509" s="2" t="n"/>
      <c r="AC509" s="2" t="n"/>
      <c r="AD509" s="2" t="n"/>
      <c r="AE509" s="2" t="n"/>
      <c r="AF509" s="2" t="n"/>
      <c r="AG509" s="2" t="n"/>
      <c r="AH509" s="2" t="n">
        <v>3300</v>
      </c>
      <c r="AI509" s="2" t="n"/>
      <c r="AJ509" s="2" t="n"/>
      <c r="AK509" s="2" t="n"/>
      <c r="AL509" s="2" t="n"/>
      <c r="AM509" s="2" t="n"/>
      <c r="AN509" s="2" t="n"/>
      <c r="AO509" s="2" t="inlineStr">
        <is>
          <t>2010</t>
        </is>
      </c>
      <c r="AP509" s="2" t="n">
        <v>2010</v>
      </c>
      <c r="AQ509" s="2" t="n"/>
      <c r="AR509" s="2" t="n"/>
      <c r="AS509" s="2" t="inlineStr">
        <is>
          <t>regla</t>
        </is>
      </c>
      <c r="AT509" s="2" t="n">
        <v>3800</v>
      </c>
      <c r="AU509" s="2" t="n">
        <v>4</v>
      </c>
      <c r="AV509" s="2" t="inlineStr">
        <is>
          <t>modelo+año+km</t>
        </is>
      </c>
      <c r="AW509" s="2" t="n"/>
      <c r="AX509" s="2" t="inlineStr">
        <is>
          <t>cuota fija ITP: &gt;12 años, hasta 1.500 cc; distancia no verificable (el anuncio solo indica la provincia): confirmar que está a &lt;= 70 km</t>
        </is>
      </c>
      <c r="AY509" s="2" t="inlineStr">
        <is>
          <t xml:space="preserve">Excelente coche, motor fiable,económico en todo, 1.2 CC, consumo muy bajo, solo 72.000 klms, ITV hasta el 2027, etiqueta ambiental C, fácil para parquear, sin aíre  poco negociable </t>
        </is>
      </c>
      <c r="AZ509" s="2" t="inlineStr">
        <is>
          <t>https://www.coches.net/dacia-sandero-gasolina-2010-en-castellon-71424773-covo.aspx (window.__INITIAL_PROPS__.ad) /home/user/Alopecia/buscador-coches/raw/cochesnet/9d6d5698e9ff759d.json</t>
        </is>
      </c>
      <c r="BA509" s="3">
        <f>MAX(ANIO_ACTUAL-M509,0)</f>
        <v/>
      </c>
      <c r="BB509" s="4">
        <f>N509/MAX(BA509,0.5)</f>
        <v/>
      </c>
      <c r="BC509" s="4">
        <f>F509</f>
        <v/>
      </c>
      <c r="BD509" s="3">
        <f>BC509&amp;"|"&amp;INT(M509/SEG_ANIO)*SEG_ANIO</f>
        <v/>
      </c>
      <c r="BE509" s="3">
        <f>BD509&amp;"|"&amp;INT(N509/SEG_KM)*SEG_KM</f>
        <v/>
      </c>
      <c r="BF509" s="4">
        <f>COUNTIF($BC$2:$BC$545,BC509)</f>
        <v/>
      </c>
      <c r="BG509" s="4">
        <f>COUNTIF($BD$2:$BD$545,BD509)</f>
        <v/>
      </c>
      <c r="BH509" s="4">
        <f>COUNTIF($BE$2:$BE$545,BE509)</f>
        <v/>
      </c>
      <c r="BI509" s="3">
        <f t="array" ref="BI509">IF(N(AU509)&gt;=MIN_N,AT509,IF(BH509&gt;=MIN_N,MEDIAN(IF($BE$2:$BE$545=BE509,$O$2:$O$545)),IF(BG509&gt;=MIN_N,MEDIAN(IF($BD$2:$BD$545=BD509,$O$2:$O$545)),MEDIAN(IF($BC$2:$BC$545=BC509,$O$2:$O$545)))))</f>
        <v/>
      </c>
      <c r="BJ509" s="3">
        <f>IF(N(AU509)&gt;=MIN_N,"mercado "&amp;AV509,IF(BH509&gt;=MIN_N,"modelo+año+km",IF(BG509&gt;=MIN_N,"modelo+año","modelo")))</f>
        <v/>
      </c>
      <c r="BK509" s="4">
        <f>(BI509-O509)/BI509</f>
        <v/>
      </c>
      <c r="BL509" s="3">
        <f>IF(COUNTIFS(FR_FUEL,K509,FR_YEAR,AP509)&gt;0,1,0)</f>
        <v/>
      </c>
      <c r="BM509" s="3">
        <f>IF(COUNTIFS(FR_FUEL,K509,FR_YEAR,AP509-1)&gt;0,1,0)</f>
        <v/>
      </c>
      <c r="BN509" s="4">
        <f>IF(N(AQ509)&gt;0,AP509*100+AQ509,IF(AND(BL509=1,BM509=1),(AP509-1)*100+1,AP509*100+1))</f>
        <v/>
      </c>
      <c r="BO509" s="3">
        <f>IF(OR(K509="hibrido",K509="glp",K509="gnc",K509="phev"),"ECO",IF(K509="electrico","CERO",IF(K509="gasolina",IF(BN509&gt;=GAS_C_YM,"C",IF(BN509&gt;=GAS_B_YM,"B","A")),IF(K509="diesel",IF(BN509&gt;=DIE_C_YM,"C",IF(BN509&gt;=DIE_B_YM,"B","A")),""))))</f>
        <v/>
      </c>
      <c r="BP509" s="4">
        <f>BO509</f>
        <v/>
      </c>
      <c r="BQ509" s="4">
        <f>IF(AS509="regla",IF(AND(N(AQ509)=0,BL509=1),"sí","no"),"no")</f>
        <v/>
      </c>
      <c r="BR509" s="3">
        <f>IFERROR(VLOOKUP(F509,MOD_TBL,11,0),IFERROR(VLOOKUP(E509,OCU_TBL,2,0),NEUTRO))</f>
        <v/>
      </c>
      <c r="BS509" s="3">
        <f>SUMIFS(MOT_AJUSTE,MOT_MOTOR,G509,MOT_MARCA,E509,MOT_DESDE,"&lt;="&amp;M509,MOT_HASTA,"&gt;="&amp;M509)+SUMIFS(MOT_AJUSTE,MOT_MOTOR,G509,MOT_MARCA,"(todas)",MOT_DESDE,"&lt;="&amp;M509,MOT_HASTA,"&gt;="&amp;M509)</f>
        <v/>
      </c>
      <c r="BT509" s="3">
        <f>SUMIFS(COMB_AJUSTE,COMB_COMB,K509)</f>
        <v/>
      </c>
      <c r="BU509" s="3">
        <f>COUNTIFS(MOT_MOTOR,G509,MOT_MARCA,E509,MOT_DESDE,"&lt;="&amp;M509,MOT_HASTA,"&gt;="&amp;M509)+COUNTIFS(MOT_MOTOR,G509,MOT_MARCA,"(todas)",MOT_DESDE,"&lt;="&amp;M509,MOT_HASTA,"&gt;="&amp;M509)</f>
        <v/>
      </c>
      <c r="BV509" s="3">
        <f>IF(AND(K509="diesel",BU509=0),MIN(BR509,NEUTRO),BR509)</f>
        <v/>
      </c>
      <c r="BW509" s="4">
        <f>MAX(0,MIN(100,BV509+BS509+BT509))</f>
        <v/>
      </c>
      <c r="BX509" s="3">
        <f>MAX(0,MIN(100,50+BK509*PRECIO_PEND))</f>
        <v/>
      </c>
      <c r="BY509" s="3">
        <f>MAX(0,100*(1-N509/KM_MAX))</f>
        <v/>
      </c>
      <c r="BZ509" s="3">
        <f>IF(BB509&lt;KMA_SOSP,IF(AA509="sí",100,KMA_PEN),IF(BB509&lt;=KMA_IDEAL_MAX,100,MAX(0,100*(KMA_CERO-BB509)/(KMA_CERO-KMA_IDEAL_MAX))))</f>
        <v/>
      </c>
      <c r="CA509" s="3">
        <f>MAX(0,MIN(100,100*(M509-ANIO_MIN)/(ANIO_ACTUAL-ANIO_MIN)))</f>
        <v/>
      </c>
      <c r="CB509" s="3">
        <f>W_KMT*BY509+W_KMA*BZ509+W_EDAD*CA509</f>
        <v/>
      </c>
      <c r="CC509" s="3">
        <f>P_ITV*(V509="sí")+P_LIBRO*(W509="sí")+P_CORREA*(X509="sí")+P_PROP*(Y509=1)+P_GAR*(Z509="sí")+P_FOTOS*MIN(1,N(U509)/FOTOS_OBJ)</f>
        <v/>
      </c>
      <c r="CD509" s="3">
        <f>MAX(0,MIN(100,IFERROR(VLOOKUP(BP509,ETQ_TBL,2,0),0)-IF(BQ509="sí",ETQ_PEN_DUD,IF(AS509="regla",ETQ_PEN_REGLA,0))))</f>
        <v/>
      </c>
      <c r="CE509" s="3">
        <f>NEUTRO</f>
        <v/>
      </c>
      <c r="CF509" s="3">
        <f>IFERROR(VLOOKUP(L509,SEGURO_TBL,3,0),"")</f>
        <v/>
      </c>
      <c r="CG509" s="3">
        <f>IF(CF509="",NEUTRO,MAX(0,MIN(100,100*(SEG_REF_MAX-CF509)/(SEG_REF_MAX-SEG_REF_MIN))))</f>
        <v/>
      </c>
      <c r="CH509" s="3">
        <f>W_CONS*CE509+W_SEG*CG509</f>
        <v/>
      </c>
      <c r="CI509" s="3">
        <f>IF(N(AB509)&gt;0,AB509,IF(AND(R509="profesional",SG_LEGAL_ON=1),GAR_LEGAL,0))</f>
        <v/>
      </c>
      <c r="CJ509" s="3">
        <f>SG_GAR*MIN(1,CI509/SG_GAR_FULL)+SG_AMPL*(AC509="sí")+SG_KMC*(AF509="sí")+SG_REV*(N(AE509)&gt;0)+SG_DEV*MIN(1,N(AG509)/SG_DEV_FULL)+SG_HIST*(W509="sí")</f>
        <v/>
      </c>
      <c r="CK509" s="3">
        <f>IFERROR(VLOOKUP(L509,CARR_PEN_TBL,2,0),0)</f>
        <v/>
      </c>
      <c r="CL509" s="3">
        <f>W_FIAB*BW509+W_PRECIO*BX509+W_KMEDAD*CB509+W_ANUNCIO*CC509+W_USO*CH509+W_SEGURIDAD*CJ509+W_ETIQUETA*CD509-CK509</f>
        <v/>
      </c>
      <c r="CM509" s="4">
        <f>IF(N(I509)&gt;0,I509,IFERROR(ROUND(_xlfn.NUMBERVALUE(LEFT(G509,FIND(" ",G509&amp;" ")-1),".")*1000,0),99999))</f>
        <v/>
      </c>
      <c r="CN509" s="3">
        <f>IF(R509="profesional",0,IF(O509&lt;CUOTA_VALOR_MAX,IF(BA509&gt;ITP_TRAMO_ALTO,SUMIFS(CF_CUOTA,CF_MAS,ITP_TRAMO_ALTO,CF_CCMIN,"&lt;="&amp;CM509,CF_CCMAX,"&gt;="&amp;CM509),IF(BA509&gt;ITP_TRAMO_BAJO,SUMIFS(CF_CUOTA,CF_MAS,ITP_TRAMO_BAJO,CF_CCMIN,"&lt;="&amp;CM509,CF_CCMAX,"&gt;="&amp;CM509),O509*ITP_TIPO)),O509*ITP_TIPO))</f>
        <v/>
      </c>
      <c r="CO509" s="4">
        <f>IF(R509="profesional",N(AK509),0)</f>
        <v/>
      </c>
      <c r="CP509" s="3">
        <f>IF(AND(R509="profesional",ISNUMBER(AK509),AL509="sí"),0,TASA_DGT)</f>
        <v/>
      </c>
      <c r="CQ509" s="3">
        <f>INFORME_DGT</f>
        <v/>
      </c>
      <c r="CR509" s="4">
        <f>O509+CO509+CN509+CP509+CQ509</f>
        <v/>
      </c>
      <c r="CS509" s="4">
        <f>CR509+N(CF509)</f>
        <v/>
      </c>
      <c r="CT509" s="3">
        <f>IF(CR509&lt;=TOTAL_MAX,"sí",IF(CR509&lt;=TOTAL_MAX+MARGEN_NEG,"negociar","no"))</f>
        <v/>
      </c>
      <c r="CU509" s="4">
        <f>IF(CT509&lt;&gt;"no",COUNTIFS($CT$2:$CT$545,"&lt;&gt;no",$CL$2:$CL$545,"&gt;"&amp;CL509)+COUNTIFS($CT$2:CT509,"&lt;&gt;no",$CL$2:CL509,CL509),"")</f>
        <v/>
      </c>
    </row>
    <row r="510">
      <c r="A510" s="2" t="inlineStr">
        <is>
          <t>cochesnet:71305630</t>
        </is>
      </c>
      <c r="B510" s="2" t="inlineStr">
        <is>
          <t>cochesnet</t>
        </is>
      </c>
      <c r="C510" s="2" t="inlineStr">
        <is>
          <t>https://www.coches.net/dacia-logan-ambiance-dci-90-eu6-4p-diesel-2016-en-castellon-71305630-covo.aspx</t>
        </is>
      </c>
      <c r="D510" s="2" t="inlineStr">
        <is>
          <t>DACIA Logan Ambiance dCi 90 EU6</t>
        </is>
      </c>
      <c r="E510" s="2" t="inlineStr">
        <is>
          <t>Dacia</t>
        </is>
      </c>
      <c r="F510" s="2" t="inlineStr">
        <is>
          <t>Dacia Logan</t>
        </is>
      </c>
      <c r="G510" s="2" t="inlineStr">
        <is>
          <t>? dCi</t>
        </is>
      </c>
      <c r="H510" s="2" t="inlineStr">
        <is>
          <t>Ambiance dCi 90 EU6</t>
        </is>
      </c>
      <c r="I510" s="2" t="n"/>
      <c r="J510" s="2" t="n"/>
      <c r="K510" s="2" t="inlineStr">
        <is>
          <t>diesel</t>
        </is>
      </c>
      <c r="L510" s="2" t="inlineStr">
        <is>
          <t>berlina</t>
        </is>
      </c>
      <c r="M510" s="2" t="n">
        <v>2016</v>
      </c>
      <c r="N510" s="2" t="n">
        <v>164800</v>
      </c>
      <c r="O510" s="2" t="n">
        <v>5000</v>
      </c>
      <c r="P510" s="2" t="inlineStr">
        <is>
          <t>manual</t>
        </is>
      </c>
      <c r="Q510" s="2" t="inlineStr">
        <is>
          <t>no</t>
        </is>
      </c>
      <c r="R510" s="2" t="inlineStr">
        <is>
          <t>particular</t>
        </is>
      </c>
      <c r="S510" s="2" t="inlineStr">
        <is>
          <t>Segorbe</t>
        </is>
      </c>
      <c r="T510" s="2" t="inlineStr">
        <is>
          <t>2026-08-19T12:31:22Z</t>
        </is>
      </c>
      <c r="U510" s="2" t="n">
        <v>22</v>
      </c>
      <c r="V510" s="2" t="inlineStr">
        <is>
          <t>sí</t>
        </is>
      </c>
      <c r="W510" s="2" t="n"/>
      <c r="X510" s="2" t="n"/>
      <c r="Y510" s="2" t="n">
        <v>1</v>
      </c>
      <c r="Z510" s="2" t="inlineStr">
        <is>
          <t>no</t>
        </is>
      </c>
      <c r="AA510" s="2" t="n"/>
      <c r="AB510" s="2" t="n"/>
      <c r="AC510" s="2" t="n"/>
      <c r="AD510" s="2" t="n"/>
      <c r="AE510" s="2" t="n"/>
      <c r="AF510" s="2" t="n"/>
      <c r="AG510" s="2" t="n"/>
      <c r="AH510" s="2" t="n">
        <v>5000</v>
      </c>
      <c r="AI510" s="2" t="n"/>
      <c r="AJ510" s="2" t="n"/>
      <c r="AK510" s="2" t="n"/>
      <c r="AL510" s="2" t="n"/>
      <c r="AM510" s="2" t="n">
        <v>43.4</v>
      </c>
      <c r="AN510" s="2" t="n"/>
      <c r="AO510" s="2" t="inlineStr">
        <is>
          <t>07/2016</t>
        </is>
      </c>
      <c r="AP510" s="2" t="n">
        <v>2016</v>
      </c>
      <c r="AQ510" s="2" t="n">
        <v>7</v>
      </c>
      <c r="AR510" s="2" t="n"/>
      <c r="AS510" s="2" t="inlineStr">
        <is>
          <t>regla</t>
        </is>
      </c>
      <c r="AT510" s="2" t="n">
        <v>6990</v>
      </c>
      <c r="AU510" s="2" t="n">
        <v>10</v>
      </c>
      <c r="AV510" s="2" t="inlineStr">
        <is>
          <t>modelo+año</t>
        </is>
      </c>
      <c r="AW510" s="2" t="n"/>
      <c r="AX510" s="2" t="inlineStr">
        <is>
          <t>cilindrada desconocida: se aplica el tramo de cuota fija más alto; cuota fija ITP: &gt;5 y &lt;=12 años, más de 2.000 cc; diésel: motor sin fuente de fiabilidad (fiabilidad limitada a neutra); carrocería berlina: -4 puntos</t>
        </is>
      </c>
      <c r="AY510" s="2" t="inlineStr">
        <is>
          <t>Dacia Logan diésel – 2016 – Único propietario
Vendo Dacia Logan diésel, matriculado en 2016. Un solo propietario desde el primer día.
El coche funciona perfectamente, está al día y se encuentra listo para seguir utilizándose. La ITV está recién pasada y en vigor hasta agosto de 2027.
Es un coche muy práctico y económico, con un maletero grande y separado, ideal tanto para el día a día como para viajes.
A nivel estético tiene algún rascón y algún pequeño golpe, propios del uso y de los años, pero no afectan al funcionamiento del vehículo.
Características:
* Año: 2016
* Combustible: Diésel
* Carrocería: Berlina
* Único propietario
* ITV pasada hasta agosto de 2027
* Funciona perfectamente
* Maletero muy amplio
* Algún rascón y pequeño golpe exterior
Coche fiable, práctico y económico. Se puede ver y probar sin compromiso.
Precio: 6.000€</t>
        </is>
      </c>
      <c r="AZ510" s="2" t="inlineStr">
        <is>
          <t>https://www.coches.net/dacia-logan-ambiance-dci-90-eu6-4p-diesel-2016-en-castellon-71305630-covo.aspx (window.__INITIAL_PROPS__.ad) /home/user/Alopecia/buscador-coches/raw/cochesnet/115ef62623d800bf.json</t>
        </is>
      </c>
      <c r="BA510" s="3">
        <f>MAX(ANIO_ACTUAL-M510,0)</f>
        <v/>
      </c>
      <c r="BB510" s="4">
        <f>N510/MAX(BA510,0.5)</f>
        <v/>
      </c>
      <c r="BC510" s="4">
        <f>F510</f>
        <v/>
      </c>
      <c r="BD510" s="3">
        <f>BC510&amp;"|"&amp;INT(M510/SEG_ANIO)*SEG_ANIO</f>
        <v/>
      </c>
      <c r="BE510" s="3">
        <f>BD510&amp;"|"&amp;INT(N510/SEG_KM)*SEG_KM</f>
        <v/>
      </c>
      <c r="BF510" s="4">
        <f>COUNTIF($BC$2:$BC$545,BC510)</f>
        <v/>
      </c>
      <c r="BG510" s="4">
        <f>COUNTIF($BD$2:$BD$545,BD510)</f>
        <v/>
      </c>
      <c r="BH510" s="4">
        <f>COUNTIF($BE$2:$BE$545,BE510)</f>
        <v/>
      </c>
      <c r="BI510" s="3">
        <f t="array" ref="BI510">IF(N(AU510)&gt;=MIN_N,AT510,IF(BH510&gt;=MIN_N,MEDIAN(IF($BE$2:$BE$545=BE510,$O$2:$O$545)),IF(BG510&gt;=MIN_N,MEDIAN(IF($BD$2:$BD$545=BD510,$O$2:$O$545)),MEDIAN(IF($BC$2:$BC$545=BC510,$O$2:$O$545)))))</f>
        <v/>
      </c>
      <c r="BJ510" s="3">
        <f>IF(N(AU510)&gt;=MIN_N,"mercado "&amp;AV510,IF(BH510&gt;=MIN_N,"modelo+año+km",IF(BG510&gt;=MIN_N,"modelo+año","modelo")))</f>
        <v/>
      </c>
      <c r="BK510" s="4">
        <f>(BI510-O510)/BI510</f>
        <v/>
      </c>
      <c r="BL510" s="3">
        <f>IF(COUNTIFS(FR_FUEL,K510,FR_YEAR,AP510)&gt;0,1,0)</f>
        <v/>
      </c>
      <c r="BM510" s="3">
        <f>IF(COUNTIFS(FR_FUEL,K510,FR_YEAR,AP510-1)&gt;0,1,0)</f>
        <v/>
      </c>
      <c r="BN510" s="4">
        <f>IF(N(AQ510)&gt;0,AP510*100+AQ510,IF(AND(BL510=1,BM510=1),(AP510-1)*100+1,AP510*100+1))</f>
        <v/>
      </c>
      <c r="BO510" s="3">
        <f>IF(OR(K510="hibrido",K510="glp",K510="gnc",K510="phev"),"ECO",IF(K510="electrico","CERO",IF(K510="gasolina",IF(BN510&gt;=GAS_C_YM,"C",IF(BN510&gt;=GAS_B_YM,"B","A")),IF(K510="diesel",IF(BN510&gt;=DIE_C_YM,"C",IF(BN510&gt;=DIE_B_YM,"B","A")),""))))</f>
        <v/>
      </c>
      <c r="BP510" s="4">
        <f>BO510</f>
        <v/>
      </c>
      <c r="BQ510" s="4">
        <f>IF(AS510="regla",IF(AND(N(AQ510)=0,BL510=1),"sí","no"),"no")</f>
        <v/>
      </c>
      <c r="BR510" s="3">
        <f>IFERROR(VLOOKUP(F510,MOD_TBL,11,0),IFERROR(VLOOKUP(E510,OCU_TBL,2,0),NEUTRO))</f>
        <v/>
      </c>
      <c r="BS510" s="3">
        <f>SUMIFS(MOT_AJUSTE,MOT_MOTOR,G510,MOT_MARCA,E510,MOT_DESDE,"&lt;="&amp;M510,MOT_HASTA,"&gt;="&amp;M510)+SUMIFS(MOT_AJUSTE,MOT_MOTOR,G510,MOT_MARCA,"(todas)",MOT_DESDE,"&lt;="&amp;M510,MOT_HASTA,"&gt;="&amp;M510)</f>
        <v/>
      </c>
      <c r="BT510" s="3">
        <f>SUMIFS(COMB_AJUSTE,COMB_COMB,K510)</f>
        <v/>
      </c>
      <c r="BU510" s="3">
        <f>COUNTIFS(MOT_MOTOR,G510,MOT_MARCA,E510,MOT_DESDE,"&lt;="&amp;M510,MOT_HASTA,"&gt;="&amp;M510)+COUNTIFS(MOT_MOTOR,G510,MOT_MARCA,"(todas)",MOT_DESDE,"&lt;="&amp;M510,MOT_HASTA,"&gt;="&amp;M510)</f>
        <v/>
      </c>
      <c r="BV510" s="3">
        <f>IF(AND(K510="diesel",BU510=0),MIN(BR510,NEUTRO),BR510)</f>
        <v/>
      </c>
      <c r="BW510" s="4">
        <f>MAX(0,MIN(100,BV510+BS510+BT510))</f>
        <v/>
      </c>
      <c r="BX510" s="3">
        <f>MAX(0,MIN(100,50+BK510*PRECIO_PEND))</f>
        <v/>
      </c>
      <c r="BY510" s="3">
        <f>MAX(0,100*(1-N510/KM_MAX))</f>
        <v/>
      </c>
      <c r="BZ510" s="3">
        <f>IF(BB510&lt;KMA_SOSP,IF(AA510="sí",100,KMA_PEN),IF(BB510&lt;=KMA_IDEAL_MAX,100,MAX(0,100*(KMA_CERO-BB510)/(KMA_CERO-KMA_IDEAL_MAX))))</f>
        <v/>
      </c>
      <c r="CA510" s="3">
        <f>MAX(0,MIN(100,100*(M510-ANIO_MIN)/(ANIO_ACTUAL-ANIO_MIN)))</f>
        <v/>
      </c>
      <c r="CB510" s="3">
        <f>W_KMT*BY510+W_KMA*BZ510+W_EDAD*CA510</f>
        <v/>
      </c>
      <c r="CC510" s="3">
        <f>P_ITV*(V510="sí")+P_LIBRO*(W510="sí")+P_CORREA*(X510="sí")+P_PROP*(Y510=1)+P_GAR*(Z510="sí")+P_FOTOS*MIN(1,N(U510)/FOTOS_OBJ)</f>
        <v/>
      </c>
      <c r="CD510" s="3">
        <f>MAX(0,MIN(100,IFERROR(VLOOKUP(BP510,ETQ_TBL,2,0),0)-IF(BQ510="sí",ETQ_PEN_DUD,IF(AS510="regla",ETQ_PEN_REGLA,0))))</f>
        <v/>
      </c>
      <c r="CE510" s="3">
        <f>NEUTRO</f>
        <v/>
      </c>
      <c r="CF510" s="3">
        <f>IFERROR(VLOOKUP(L510,SEGURO_TBL,3,0),"")</f>
        <v/>
      </c>
      <c r="CG510" s="3">
        <f>IF(CF510="",NEUTRO,MAX(0,MIN(100,100*(SEG_REF_MAX-CF510)/(SEG_REF_MAX-SEG_REF_MIN))))</f>
        <v/>
      </c>
      <c r="CH510" s="3">
        <f>W_CONS*CE510+W_SEG*CG510</f>
        <v/>
      </c>
      <c r="CI510" s="3">
        <f>IF(N(AB510)&gt;0,AB510,IF(AND(R510="profesional",SG_LEGAL_ON=1),GAR_LEGAL,0))</f>
        <v/>
      </c>
      <c r="CJ510" s="3">
        <f>SG_GAR*MIN(1,CI510/SG_GAR_FULL)+SG_AMPL*(AC510="sí")+SG_KMC*(AF510="sí")+SG_REV*(N(AE510)&gt;0)+SG_DEV*MIN(1,N(AG510)/SG_DEV_FULL)+SG_HIST*(W510="sí")</f>
        <v/>
      </c>
      <c r="CK510" s="3">
        <f>IFERROR(VLOOKUP(L510,CARR_PEN_TBL,2,0),0)</f>
        <v/>
      </c>
      <c r="CL510" s="3">
        <f>W_FIAB*BW510+W_PRECIO*BX510+W_KMEDAD*CB510+W_ANUNCIO*CC510+W_USO*CH510+W_SEGURIDAD*CJ510+W_ETIQUETA*CD510-CK510</f>
        <v/>
      </c>
      <c r="CM510" s="4">
        <f>IF(N(I510)&gt;0,I510,IFERROR(ROUND(_xlfn.NUMBERVALUE(LEFT(G510,FIND(" ",G510&amp;" ")-1),".")*1000,0),99999))</f>
        <v/>
      </c>
      <c r="CN510" s="3">
        <f>IF(R510="profesional",0,IF(O510&lt;CUOTA_VALOR_MAX,IF(BA510&gt;ITP_TRAMO_ALTO,SUMIFS(CF_CUOTA,CF_MAS,ITP_TRAMO_ALTO,CF_CCMIN,"&lt;="&amp;CM510,CF_CCMAX,"&gt;="&amp;CM510),IF(BA510&gt;ITP_TRAMO_BAJO,SUMIFS(CF_CUOTA,CF_MAS,ITP_TRAMO_BAJO,CF_CCMIN,"&lt;="&amp;CM510,CF_CCMAX,"&gt;="&amp;CM510),O510*ITP_TIPO)),O510*ITP_TIPO))</f>
        <v/>
      </c>
      <c r="CO510" s="4">
        <f>IF(R510="profesional",N(AK510),0)</f>
        <v/>
      </c>
      <c r="CP510" s="3">
        <f>IF(AND(R510="profesional",ISNUMBER(AK510),AL510="sí"),0,TASA_DGT)</f>
        <v/>
      </c>
      <c r="CQ510" s="3">
        <f>INFORME_DGT</f>
        <v/>
      </c>
      <c r="CR510" s="4">
        <f>O510+CO510+CN510+CP510+CQ510</f>
        <v/>
      </c>
      <c r="CS510" s="4">
        <f>CR510+N(CF510)</f>
        <v/>
      </c>
      <c r="CT510" s="3">
        <f>IF(CR510&lt;=TOTAL_MAX,"sí",IF(CR510&lt;=TOTAL_MAX+MARGEN_NEG,"negociar","no"))</f>
        <v/>
      </c>
      <c r="CU510" s="4">
        <f>IF(CT510&lt;&gt;"no",COUNTIFS($CT$2:$CT$545,"&lt;&gt;no",$CL$2:$CL$545,"&gt;"&amp;CL510)+COUNTIFS($CT$2:CT510,"&lt;&gt;no",$CL$2:CL510,CL510),"")</f>
        <v/>
      </c>
    </row>
    <row r="511">
      <c r="A511" s="2" t="inlineStr">
        <is>
          <t>cochesnet:71299528</t>
        </is>
      </c>
      <c r="B511" s="2" t="inlineStr">
        <is>
          <t>cochesnet</t>
        </is>
      </c>
      <c r="C511" s="2" t="inlineStr">
        <is>
          <t>https://www.coches.net/dacia-sandero-laureate-12-16v-75cv-5p-gasolina-2009-en-castellon-71299528-covo.aspx</t>
        </is>
      </c>
      <c r="D511" s="2" t="inlineStr">
        <is>
          <t>DACIA Sandero Laureate 1.2 16v</t>
        </is>
      </c>
      <c r="E511" s="2" t="inlineStr">
        <is>
          <t>Dacia</t>
        </is>
      </c>
      <c r="F511" s="2" t="inlineStr">
        <is>
          <t>Dacia Sandero</t>
        </is>
      </c>
      <c r="G511" s="2" t="inlineStr">
        <is>
          <t>1.2</t>
        </is>
      </c>
      <c r="H511" s="2" t="inlineStr">
        <is>
          <t>Laureate 1.2 16v 75cv</t>
        </is>
      </c>
      <c r="I511" s="2" t="n"/>
      <c r="J511" s="2" t="n">
        <v>75</v>
      </c>
      <c r="K511" s="2" t="inlineStr">
        <is>
          <t>gasolina</t>
        </is>
      </c>
      <c r="L511" s="2" t="inlineStr">
        <is>
          <t>utilitario</t>
        </is>
      </c>
      <c r="M511" s="2" t="n">
        <v>2009</v>
      </c>
      <c r="N511" s="2" t="n">
        <v>192804</v>
      </c>
      <c r="O511" s="2" t="n">
        <v>2750</v>
      </c>
      <c r="P511" s="2" t="inlineStr">
        <is>
          <t>manual</t>
        </is>
      </c>
      <c r="Q511" s="2" t="inlineStr">
        <is>
          <t>no</t>
        </is>
      </c>
      <c r="R511" s="2" t="inlineStr">
        <is>
          <t>particular</t>
        </is>
      </c>
      <c r="S511" s="2" t="inlineStr">
        <is>
          <t>Castellón de la Plana / Castelló de la Plana</t>
        </is>
      </c>
      <c r="T511" s="2" t="inlineStr">
        <is>
          <t>2026-08-15T21:37:00Z</t>
        </is>
      </c>
      <c r="U511" s="2" t="n">
        <v>7</v>
      </c>
      <c r="V511" s="2" t="n"/>
      <c r="W511" s="2" t="n"/>
      <c r="X511" s="2" t="n"/>
      <c r="Y511" s="2" t="n"/>
      <c r="Z511" s="2" t="inlineStr">
        <is>
          <t>no</t>
        </is>
      </c>
      <c r="AA511" s="2" t="n"/>
      <c r="AB511" s="2" t="n"/>
      <c r="AC511" s="2" t="n"/>
      <c r="AD511" s="2" t="n"/>
      <c r="AE511" s="2" t="n"/>
      <c r="AF511" s="2" t="n"/>
      <c r="AG511" s="2" t="n"/>
      <c r="AH511" s="2" t="n">
        <v>2750</v>
      </c>
      <c r="AI511" s="2" t="n"/>
      <c r="AJ511" s="2" t="n"/>
      <c r="AK511" s="2" t="n"/>
      <c r="AL511" s="2" t="n"/>
      <c r="AM511" s="2" t="n"/>
      <c r="AN511" s="2" t="n"/>
      <c r="AO511" s="2" t="inlineStr">
        <is>
          <t>10/2009</t>
        </is>
      </c>
      <c r="AP511" s="2" t="n">
        <v>2009</v>
      </c>
      <c r="AQ511" s="2" t="n">
        <v>10</v>
      </c>
      <c r="AR511" s="2" t="inlineStr">
        <is>
          <t>C</t>
        </is>
      </c>
      <c r="AS511" s="2" t="inlineStr">
        <is>
          <t>anuncio</t>
        </is>
      </c>
      <c r="AT511" s="2" t="n">
        <v>3225</v>
      </c>
      <c r="AU511" s="2" t="n">
        <v>4</v>
      </c>
      <c r="AV511" s="2" t="inlineStr">
        <is>
          <t>modelo+año+km</t>
        </is>
      </c>
      <c r="AW511" s="2" t="n"/>
      <c r="AX511" s="2" t="inlineStr">
        <is>
          <t>cuota fija ITP: &gt;12 años, hasta 1.500 cc; distancia no verificable (el anuncio solo indica la provincia): confirmar que está a &lt;= 70 km</t>
        </is>
      </c>
      <c r="AY511" s="2" t="inlineStr"/>
      <c r="AZ511" s="2" t="inlineStr">
        <is>
          <t>https://www.coches.net/dacia-sandero-laureate-12-16v-75cv-5p-gasolina-2009-en-castellon-71299528-covo.aspx (window.__INITIAL_PROPS__.ad) /home/user/Alopecia/buscador-coches/raw/cochesnet/0b6df450978104e3.json</t>
        </is>
      </c>
      <c r="BA511" s="3">
        <f>MAX(ANIO_ACTUAL-M511,0)</f>
        <v/>
      </c>
      <c r="BB511" s="4">
        <f>N511/MAX(BA511,0.5)</f>
        <v/>
      </c>
      <c r="BC511" s="4">
        <f>F511</f>
        <v/>
      </c>
      <c r="BD511" s="3">
        <f>BC511&amp;"|"&amp;INT(M511/SEG_ANIO)*SEG_ANIO</f>
        <v/>
      </c>
      <c r="BE511" s="3">
        <f>BD511&amp;"|"&amp;INT(N511/SEG_KM)*SEG_KM</f>
        <v/>
      </c>
      <c r="BF511" s="4">
        <f>COUNTIF($BC$2:$BC$545,BC511)</f>
        <v/>
      </c>
      <c r="BG511" s="4">
        <f>COUNTIF($BD$2:$BD$545,BD511)</f>
        <v/>
      </c>
      <c r="BH511" s="4">
        <f>COUNTIF($BE$2:$BE$545,BE511)</f>
        <v/>
      </c>
      <c r="BI511" s="3">
        <f t="array" ref="BI511">IF(N(AU511)&gt;=MIN_N,AT511,IF(BH511&gt;=MIN_N,MEDIAN(IF($BE$2:$BE$545=BE511,$O$2:$O$545)),IF(BG511&gt;=MIN_N,MEDIAN(IF($BD$2:$BD$545=BD511,$O$2:$O$545)),MEDIAN(IF($BC$2:$BC$545=BC511,$O$2:$O$545)))))</f>
        <v/>
      </c>
      <c r="BJ511" s="3">
        <f>IF(N(AU511)&gt;=MIN_N,"mercado "&amp;AV511,IF(BH511&gt;=MIN_N,"modelo+año+km",IF(BG511&gt;=MIN_N,"modelo+año","modelo")))</f>
        <v/>
      </c>
      <c r="BK511" s="4">
        <f>(BI511-O511)/BI511</f>
        <v/>
      </c>
      <c r="BL511" s="3">
        <f>IF(COUNTIFS(FR_FUEL,K511,FR_YEAR,AP511)&gt;0,1,0)</f>
        <v/>
      </c>
      <c r="BM511" s="3">
        <f>IF(COUNTIFS(FR_FUEL,K511,FR_YEAR,AP511-1)&gt;0,1,0)</f>
        <v/>
      </c>
      <c r="BN511" s="4">
        <f>IF(N(AQ511)&gt;0,AP511*100+AQ511,IF(AND(BL511=1,BM511=1),(AP511-1)*100+1,AP511*100+1))</f>
        <v/>
      </c>
      <c r="BO511" s="3">
        <f>IF(OR(K511="hibrido",K511="glp",K511="gnc",K511="phev"),"ECO",IF(K511="electrico","CERO",IF(K511="gasolina",IF(BN511&gt;=GAS_C_YM,"C",IF(BN511&gt;=GAS_B_YM,"B","A")),IF(K511="diesel",IF(BN511&gt;=DIE_C_YM,"C",IF(BN511&gt;=DIE_B_YM,"B","A")),""))))</f>
        <v/>
      </c>
      <c r="BP511" s="2" t="inlineStr">
        <is>
          <t>C</t>
        </is>
      </c>
      <c r="BQ511" s="4">
        <f>IF(AS511="regla",IF(AND(N(AQ511)=0,BL511=1),"sí","no"),"no")</f>
        <v/>
      </c>
      <c r="BR511" s="3">
        <f>IFERROR(VLOOKUP(F511,MOD_TBL,11,0),IFERROR(VLOOKUP(E511,OCU_TBL,2,0),NEUTRO))</f>
        <v/>
      </c>
      <c r="BS511" s="3">
        <f>SUMIFS(MOT_AJUSTE,MOT_MOTOR,G511,MOT_MARCA,E511,MOT_DESDE,"&lt;="&amp;M511,MOT_HASTA,"&gt;="&amp;M511)+SUMIFS(MOT_AJUSTE,MOT_MOTOR,G511,MOT_MARCA,"(todas)",MOT_DESDE,"&lt;="&amp;M511,MOT_HASTA,"&gt;="&amp;M511)</f>
        <v/>
      </c>
      <c r="BT511" s="3">
        <f>SUMIFS(COMB_AJUSTE,COMB_COMB,K511)</f>
        <v/>
      </c>
      <c r="BU511" s="3">
        <f>COUNTIFS(MOT_MOTOR,G511,MOT_MARCA,E511,MOT_DESDE,"&lt;="&amp;M511,MOT_HASTA,"&gt;="&amp;M511)+COUNTIFS(MOT_MOTOR,G511,MOT_MARCA,"(todas)",MOT_DESDE,"&lt;="&amp;M511,MOT_HASTA,"&gt;="&amp;M511)</f>
        <v/>
      </c>
      <c r="BV511" s="3">
        <f>IF(AND(K511="diesel",BU511=0),MIN(BR511,NEUTRO),BR511)</f>
        <v/>
      </c>
      <c r="BW511" s="4">
        <f>MAX(0,MIN(100,BV511+BS511+BT511))</f>
        <v/>
      </c>
      <c r="BX511" s="3">
        <f>MAX(0,MIN(100,50+BK511*PRECIO_PEND))</f>
        <v/>
      </c>
      <c r="BY511" s="3">
        <f>MAX(0,100*(1-N511/KM_MAX))</f>
        <v/>
      </c>
      <c r="BZ511" s="3">
        <f>IF(BB511&lt;KMA_SOSP,IF(AA511="sí",100,KMA_PEN),IF(BB511&lt;=KMA_IDEAL_MAX,100,MAX(0,100*(KMA_CERO-BB511)/(KMA_CERO-KMA_IDEAL_MAX))))</f>
        <v/>
      </c>
      <c r="CA511" s="3">
        <f>MAX(0,MIN(100,100*(M511-ANIO_MIN)/(ANIO_ACTUAL-ANIO_MIN)))</f>
        <v/>
      </c>
      <c r="CB511" s="3">
        <f>W_KMT*BY511+W_KMA*BZ511+W_EDAD*CA511</f>
        <v/>
      </c>
      <c r="CC511" s="3">
        <f>P_ITV*(V511="sí")+P_LIBRO*(W511="sí")+P_CORREA*(X511="sí")+P_PROP*(Y511=1)+P_GAR*(Z511="sí")+P_FOTOS*MIN(1,N(U511)/FOTOS_OBJ)</f>
        <v/>
      </c>
      <c r="CD511" s="3">
        <f>MAX(0,MIN(100,IFERROR(VLOOKUP(BP511,ETQ_TBL,2,0),0)-IF(BQ511="sí",ETQ_PEN_DUD,IF(AS511="regla",ETQ_PEN_REGLA,0))))</f>
        <v/>
      </c>
      <c r="CE511" s="3">
        <f>NEUTRO</f>
        <v/>
      </c>
      <c r="CF511" s="3">
        <f>IFERROR(VLOOKUP(L511,SEGURO_TBL,3,0),"")</f>
        <v/>
      </c>
      <c r="CG511" s="3">
        <f>IF(CF511="",NEUTRO,MAX(0,MIN(100,100*(SEG_REF_MAX-CF511)/(SEG_REF_MAX-SEG_REF_MIN))))</f>
        <v/>
      </c>
      <c r="CH511" s="3">
        <f>W_CONS*CE511+W_SEG*CG511</f>
        <v/>
      </c>
      <c r="CI511" s="3">
        <f>IF(N(AB511)&gt;0,AB511,IF(AND(R511="profesional",SG_LEGAL_ON=1),GAR_LEGAL,0))</f>
        <v/>
      </c>
      <c r="CJ511" s="3">
        <f>SG_GAR*MIN(1,CI511/SG_GAR_FULL)+SG_AMPL*(AC511="sí")+SG_KMC*(AF511="sí")+SG_REV*(N(AE511)&gt;0)+SG_DEV*MIN(1,N(AG511)/SG_DEV_FULL)+SG_HIST*(W511="sí")</f>
        <v/>
      </c>
      <c r="CK511" s="3">
        <f>IFERROR(VLOOKUP(L511,CARR_PEN_TBL,2,0),0)</f>
        <v/>
      </c>
      <c r="CL511" s="3">
        <f>W_FIAB*BW511+W_PRECIO*BX511+W_KMEDAD*CB511+W_ANUNCIO*CC511+W_USO*CH511+W_SEGURIDAD*CJ511+W_ETIQUETA*CD511-CK511</f>
        <v/>
      </c>
      <c r="CM511" s="4">
        <f>IF(N(I511)&gt;0,I511,IFERROR(ROUND(_xlfn.NUMBERVALUE(LEFT(G511,FIND(" ",G511&amp;" ")-1),".")*1000,0),99999))</f>
        <v/>
      </c>
      <c r="CN511" s="3">
        <f>IF(R511="profesional",0,IF(O511&lt;CUOTA_VALOR_MAX,IF(BA511&gt;ITP_TRAMO_ALTO,SUMIFS(CF_CUOTA,CF_MAS,ITP_TRAMO_ALTO,CF_CCMIN,"&lt;="&amp;CM511,CF_CCMAX,"&gt;="&amp;CM511),IF(BA511&gt;ITP_TRAMO_BAJO,SUMIFS(CF_CUOTA,CF_MAS,ITP_TRAMO_BAJO,CF_CCMIN,"&lt;="&amp;CM511,CF_CCMAX,"&gt;="&amp;CM511),O511*ITP_TIPO)),O511*ITP_TIPO))</f>
        <v/>
      </c>
      <c r="CO511" s="4">
        <f>IF(R511="profesional",N(AK511),0)</f>
        <v/>
      </c>
      <c r="CP511" s="3">
        <f>IF(AND(R511="profesional",ISNUMBER(AK511),AL511="sí"),0,TASA_DGT)</f>
        <v/>
      </c>
      <c r="CQ511" s="3">
        <f>INFORME_DGT</f>
        <v/>
      </c>
      <c r="CR511" s="4">
        <f>O511+CO511+CN511+CP511+CQ511</f>
        <v/>
      </c>
      <c r="CS511" s="4">
        <f>CR511+N(CF511)</f>
        <v/>
      </c>
      <c r="CT511" s="3">
        <f>IF(CR511&lt;=TOTAL_MAX,"sí",IF(CR511&lt;=TOTAL_MAX+MARGEN_NEG,"negociar","no"))</f>
        <v/>
      </c>
      <c r="CU511" s="4">
        <f>IF(CT511&lt;&gt;"no",COUNTIFS($CT$2:$CT$545,"&lt;&gt;no",$CL$2:$CL$545,"&gt;"&amp;CL511)+COUNTIFS($CT$2:CT511,"&lt;&gt;no",$CL$2:CL511,CL511),"")</f>
        <v/>
      </c>
    </row>
    <row r="512">
      <c r="A512" s="2" t="inlineStr">
        <is>
          <t>cochesnet:71576158</t>
        </is>
      </c>
      <c r="B512" s="2" t="inlineStr">
        <is>
          <t>cochesnet</t>
        </is>
      </c>
      <c r="C512" s="2" t="inlineStr">
        <is>
          <t>https://www.coches.net/peugeot-207-confort-14-vti-16v-95-5p-gasolina-2009-en-castellon-71576158-covo.aspx</t>
        </is>
      </c>
      <c r="D512" s="2" t="inlineStr">
        <is>
          <t>PEUGEOT 207 Confort 1.4 VTi 16v 95</t>
        </is>
      </c>
      <c r="E512" s="2" t="inlineStr">
        <is>
          <t>Peugeot</t>
        </is>
      </c>
      <c r="F512" s="2" t="inlineStr">
        <is>
          <t>Peugeot 207</t>
        </is>
      </c>
      <c r="G512" s="2" t="inlineStr">
        <is>
          <t>1.4 VTi</t>
        </is>
      </c>
      <c r="H512" s="2" t="inlineStr">
        <is>
          <t>Confort 1.4 VTi 16v 95</t>
        </is>
      </c>
      <c r="I512" s="2" t="n"/>
      <c r="J512" s="2" t="n"/>
      <c r="K512" s="2" t="inlineStr">
        <is>
          <t>gasolina</t>
        </is>
      </c>
      <c r="L512" s="2" t="inlineStr">
        <is>
          <t>utilitario</t>
        </is>
      </c>
      <c r="M512" s="2" t="n">
        <v>2009</v>
      </c>
      <c r="N512" s="2" t="n">
        <v>134000</v>
      </c>
      <c r="O512" s="2" t="n">
        <v>4990</v>
      </c>
      <c r="P512" s="2" t="inlineStr">
        <is>
          <t>manual</t>
        </is>
      </c>
      <c r="Q512" s="2" t="inlineStr">
        <is>
          <t>no</t>
        </is>
      </c>
      <c r="R512" s="2" t="inlineStr">
        <is>
          <t>profesional</t>
        </is>
      </c>
      <c r="S512" s="2" t="inlineStr">
        <is>
          <t>Car Point Castellon Castellón de la Plana / Castelló de la Plana</t>
        </is>
      </c>
      <c r="T512" s="2" t="inlineStr">
        <is>
          <t>2026-09-22T22:04:09Z</t>
        </is>
      </c>
      <c r="U512" s="2" t="n">
        <v>13</v>
      </c>
      <c r="V512" s="2" t="n"/>
      <c r="W512" s="2" t="n"/>
      <c r="X512" s="2" t="n"/>
      <c r="Y512" s="2" t="n">
        <v>2</v>
      </c>
      <c r="Z512" s="2" t="inlineStr">
        <is>
          <t>sí</t>
        </is>
      </c>
      <c r="AA512" s="2" t="inlineStr">
        <is>
          <t>sí</t>
        </is>
      </c>
      <c r="AB512" s="2" t="n">
        <v>12</v>
      </c>
      <c r="AC512" s="2" t="n"/>
      <c r="AD512" s="2" t="n"/>
      <c r="AE512" s="2" t="n"/>
      <c r="AF512" s="2" t="inlineStr">
        <is>
          <t>sí</t>
        </is>
      </c>
      <c r="AG512" s="2" t="n"/>
      <c r="AH512" s="2" t="n">
        <v>4990</v>
      </c>
      <c r="AI512" s="2" t="n">
        <v>4990</v>
      </c>
      <c r="AJ512" s="2" t="n"/>
      <c r="AK512" s="2" t="n"/>
      <c r="AL512" s="2" t="n"/>
      <c r="AM512" s="2" t="n"/>
      <c r="AN512" s="2" t="n"/>
      <c r="AO512" s="2" t="inlineStr">
        <is>
          <t>2009</t>
        </is>
      </c>
      <c r="AP512" s="2" t="n">
        <v>2009</v>
      </c>
      <c r="AQ512" s="2" t="n"/>
      <c r="AR512" s="2" t="inlineStr">
        <is>
          <t>C</t>
        </is>
      </c>
      <c r="AS512" s="2" t="inlineStr">
        <is>
          <t>anuncio</t>
        </is>
      </c>
      <c r="AT512" s="2" t="n">
        <v>3550</v>
      </c>
      <c r="AU512" s="2" t="n">
        <v>30</v>
      </c>
      <c r="AV512" s="2" t="inlineStr">
        <is>
          <t>modelo+año+km</t>
        </is>
      </c>
      <c r="AW512" s="2" t="n"/>
      <c r="AX512" s="2" t="inlineStr">
        <is>
          <t>por encima del presupuesto (5054 €), negociar;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12" s="2" t="inlineStr">
        <is>
          <t>PEUGEOT 207 1.4 16V GASOLINA 95 CV
ETIQUETA C
SOLO 134.000 KMS
2 PROPIETARIOS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AZ512" s="2" t="inlineStr">
        <is>
          <t>https://www.coches.net/peugeot-207-confort-14-vti-16v-95-5p-gasolina-2009-en-castellon-71576158-covo.aspx (window.__INITIAL_PROPS__.ad) /home/user/Alopecia/buscador-coches/raw/cochesnet/69ad177154c860d3.json</t>
        </is>
      </c>
      <c r="BA512" s="3">
        <f>MAX(ANIO_ACTUAL-M512,0)</f>
        <v/>
      </c>
      <c r="BB512" s="4">
        <f>N512/MAX(BA512,0.5)</f>
        <v/>
      </c>
      <c r="BC512" s="4">
        <f>F512</f>
        <v/>
      </c>
      <c r="BD512" s="3">
        <f>BC512&amp;"|"&amp;INT(M512/SEG_ANIO)*SEG_ANIO</f>
        <v/>
      </c>
      <c r="BE512" s="3">
        <f>BD512&amp;"|"&amp;INT(N512/SEG_KM)*SEG_KM</f>
        <v/>
      </c>
      <c r="BF512" s="4">
        <f>COUNTIF($BC$2:$BC$545,BC512)</f>
        <v/>
      </c>
      <c r="BG512" s="4">
        <f>COUNTIF($BD$2:$BD$545,BD512)</f>
        <v/>
      </c>
      <c r="BH512" s="4">
        <f>COUNTIF($BE$2:$BE$545,BE512)</f>
        <v/>
      </c>
      <c r="BI512" s="3">
        <f t="array" ref="BI512">IF(N(AU512)&gt;=MIN_N,AT512,IF(BH512&gt;=MIN_N,MEDIAN(IF($BE$2:$BE$545=BE512,$O$2:$O$545)),IF(BG512&gt;=MIN_N,MEDIAN(IF($BD$2:$BD$545=BD512,$O$2:$O$545)),MEDIAN(IF($BC$2:$BC$545=BC512,$O$2:$O$545)))))</f>
        <v/>
      </c>
      <c r="BJ512" s="3">
        <f>IF(N(AU512)&gt;=MIN_N,"mercado "&amp;AV512,IF(BH512&gt;=MIN_N,"modelo+año+km",IF(BG512&gt;=MIN_N,"modelo+año","modelo")))</f>
        <v/>
      </c>
      <c r="BK512" s="4">
        <f>(BI512-O512)/BI512</f>
        <v/>
      </c>
      <c r="BL512" s="3">
        <f>IF(COUNTIFS(FR_FUEL,K512,FR_YEAR,AP512)&gt;0,1,0)</f>
        <v/>
      </c>
      <c r="BM512" s="3">
        <f>IF(COUNTIFS(FR_FUEL,K512,FR_YEAR,AP512-1)&gt;0,1,0)</f>
        <v/>
      </c>
      <c r="BN512" s="4">
        <f>IF(N(AQ512)&gt;0,AP512*100+AQ512,IF(AND(BL512=1,BM512=1),(AP512-1)*100+1,AP512*100+1))</f>
        <v/>
      </c>
      <c r="BO512" s="3">
        <f>IF(OR(K512="hibrido",K512="glp",K512="gnc",K512="phev"),"ECO",IF(K512="electrico","CERO",IF(K512="gasolina",IF(BN512&gt;=GAS_C_YM,"C",IF(BN512&gt;=GAS_B_YM,"B","A")),IF(K512="diesel",IF(BN512&gt;=DIE_C_YM,"C",IF(BN512&gt;=DIE_B_YM,"B","A")),""))))</f>
        <v/>
      </c>
      <c r="BP512" s="2" t="inlineStr">
        <is>
          <t>C</t>
        </is>
      </c>
      <c r="BQ512" s="4">
        <f>IF(AS512="regla",IF(AND(N(AQ512)=0,BL512=1),"sí","no"),"no")</f>
        <v/>
      </c>
      <c r="BR512" s="3">
        <f>IFERROR(VLOOKUP(F512,MOD_TBL,11,0),IFERROR(VLOOKUP(E512,OCU_TBL,2,0),NEUTRO))</f>
        <v/>
      </c>
      <c r="BS512" s="3">
        <f>SUMIFS(MOT_AJUSTE,MOT_MOTOR,G512,MOT_MARCA,E512,MOT_DESDE,"&lt;="&amp;M512,MOT_HASTA,"&gt;="&amp;M512)+SUMIFS(MOT_AJUSTE,MOT_MOTOR,G512,MOT_MARCA,"(todas)",MOT_DESDE,"&lt;="&amp;M512,MOT_HASTA,"&gt;="&amp;M512)</f>
        <v/>
      </c>
      <c r="BT512" s="3">
        <f>SUMIFS(COMB_AJUSTE,COMB_COMB,K512)</f>
        <v/>
      </c>
      <c r="BU512" s="3">
        <f>COUNTIFS(MOT_MOTOR,G512,MOT_MARCA,E512,MOT_DESDE,"&lt;="&amp;M512,MOT_HASTA,"&gt;="&amp;M512)+COUNTIFS(MOT_MOTOR,G512,MOT_MARCA,"(todas)",MOT_DESDE,"&lt;="&amp;M512,MOT_HASTA,"&gt;="&amp;M512)</f>
        <v/>
      </c>
      <c r="BV512" s="3">
        <f>IF(AND(K512="diesel",BU512=0),MIN(BR512,NEUTRO),BR512)</f>
        <v/>
      </c>
      <c r="BW512" s="4">
        <f>MAX(0,MIN(100,BV512+BS512+BT512))</f>
        <v/>
      </c>
      <c r="BX512" s="3">
        <f>MAX(0,MIN(100,50+BK512*PRECIO_PEND))</f>
        <v/>
      </c>
      <c r="BY512" s="3">
        <f>MAX(0,100*(1-N512/KM_MAX))</f>
        <v/>
      </c>
      <c r="BZ512" s="3">
        <f>IF(BB512&lt;KMA_SOSP,IF(AA512="sí",100,KMA_PEN),IF(BB512&lt;=KMA_IDEAL_MAX,100,MAX(0,100*(KMA_CERO-BB512)/(KMA_CERO-KMA_IDEAL_MAX))))</f>
        <v/>
      </c>
      <c r="CA512" s="3">
        <f>MAX(0,MIN(100,100*(M512-ANIO_MIN)/(ANIO_ACTUAL-ANIO_MIN)))</f>
        <v/>
      </c>
      <c r="CB512" s="3">
        <f>W_KMT*BY512+W_KMA*BZ512+W_EDAD*CA512</f>
        <v/>
      </c>
      <c r="CC512" s="3">
        <f>P_ITV*(V512="sí")+P_LIBRO*(W512="sí")+P_CORREA*(X512="sí")+P_PROP*(Y512=1)+P_GAR*(Z512="sí")+P_FOTOS*MIN(1,N(U512)/FOTOS_OBJ)</f>
        <v/>
      </c>
      <c r="CD512" s="3">
        <f>MAX(0,MIN(100,IFERROR(VLOOKUP(BP512,ETQ_TBL,2,0),0)-IF(BQ512="sí",ETQ_PEN_DUD,IF(AS512="regla",ETQ_PEN_REGLA,0))))</f>
        <v/>
      </c>
      <c r="CE512" s="3">
        <f>NEUTRO</f>
        <v/>
      </c>
      <c r="CF512" s="3">
        <f>IFERROR(VLOOKUP(L512,SEGURO_TBL,3,0),"")</f>
        <v/>
      </c>
      <c r="CG512" s="3">
        <f>IF(CF512="",NEUTRO,MAX(0,MIN(100,100*(SEG_REF_MAX-CF512)/(SEG_REF_MAX-SEG_REF_MIN))))</f>
        <v/>
      </c>
      <c r="CH512" s="3">
        <f>W_CONS*CE512+W_SEG*CG512</f>
        <v/>
      </c>
      <c r="CI512" s="3">
        <f>IF(N(AB512)&gt;0,AB512,IF(AND(R512="profesional",SG_LEGAL_ON=1),GAR_LEGAL,0))</f>
        <v/>
      </c>
      <c r="CJ512" s="3">
        <f>SG_GAR*MIN(1,CI512/SG_GAR_FULL)+SG_AMPL*(AC512="sí")+SG_KMC*(AF512="sí")+SG_REV*(N(AE512)&gt;0)+SG_DEV*MIN(1,N(AG512)/SG_DEV_FULL)+SG_HIST*(W512="sí")</f>
        <v/>
      </c>
      <c r="CK512" s="3">
        <f>IFERROR(VLOOKUP(L512,CARR_PEN_TBL,2,0),0)</f>
        <v/>
      </c>
      <c r="CL512" s="3">
        <f>W_FIAB*BW512+W_PRECIO*BX512+W_KMEDAD*CB512+W_ANUNCIO*CC512+W_USO*CH512+W_SEGURIDAD*CJ512+W_ETIQUETA*CD512-CK512</f>
        <v/>
      </c>
      <c r="CM512" s="4">
        <f>IF(N(I512)&gt;0,I512,IFERROR(ROUND(_xlfn.NUMBERVALUE(LEFT(G512,FIND(" ",G512&amp;" ")-1),".")*1000,0),99999))</f>
        <v/>
      </c>
      <c r="CN512" s="3">
        <f>IF(R512="profesional",0,IF(O512&lt;CUOTA_VALOR_MAX,IF(BA512&gt;ITP_TRAMO_ALTO,SUMIFS(CF_CUOTA,CF_MAS,ITP_TRAMO_ALTO,CF_CCMIN,"&lt;="&amp;CM512,CF_CCMAX,"&gt;="&amp;CM512),IF(BA512&gt;ITP_TRAMO_BAJO,SUMIFS(CF_CUOTA,CF_MAS,ITP_TRAMO_BAJO,CF_CCMIN,"&lt;="&amp;CM512,CF_CCMAX,"&gt;="&amp;CM512),O512*ITP_TIPO)),O512*ITP_TIPO))</f>
        <v/>
      </c>
      <c r="CO512" s="4">
        <f>IF(R512="profesional",N(AK512),0)</f>
        <v/>
      </c>
      <c r="CP512" s="3">
        <f>IF(AND(R512="profesional",ISNUMBER(AK512),AL512="sí"),0,TASA_DGT)</f>
        <v/>
      </c>
      <c r="CQ512" s="3">
        <f>INFORME_DGT</f>
        <v/>
      </c>
      <c r="CR512" s="4">
        <f>O512+CO512+CN512+CP512+CQ512</f>
        <v/>
      </c>
      <c r="CS512" s="4">
        <f>CR512+N(CF512)</f>
        <v/>
      </c>
      <c r="CT512" s="3">
        <f>IF(CR512&lt;=TOTAL_MAX,"sí",IF(CR512&lt;=TOTAL_MAX+MARGEN_NEG,"negociar","no"))</f>
        <v/>
      </c>
      <c r="CU512" s="4">
        <f>IF(CT512&lt;&gt;"no",COUNTIFS($CT$2:$CT$545,"&lt;&gt;no",$CL$2:$CL$545,"&gt;"&amp;CL512)+COUNTIFS($CT$2:CT512,"&lt;&gt;no",$CL$2:CL512,CL512),"")</f>
        <v/>
      </c>
    </row>
    <row r="513">
      <c r="A513" s="2" t="inlineStr">
        <is>
          <t>cochesnet:71718082</t>
        </is>
      </c>
      <c r="B513" s="2" t="inlineStr">
        <is>
          <t>cochesnet</t>
        </is>
      </c>
      <c r="C513" s="2" t="inlineStr">
        <is>
          <t>https://www.coches.net/peugeot-108-gasolina-2018-en-castellon-71718082-covo.aspx</t>
        </is>
      </c>
      <c r="D513" s="2" t="inlineStr">
        <is>
          <t>PEUGEOT 108 Top Allure 1.2 PureTech</t>
        </is>
      </c>
      <c r="E513" s="2" t="inlineStr">
        <is>
          <t>Peugeot</t>
        </is>
      </c>
      <c r="F513" s="2" t="inlineStr">
        <is>
          <t>Peugeot 108</t>
        </is>
      </c>
      <c r="G513" s="2" t="inlineStr">
        <is>
          <t>1.2 PureTech</t>
        </is>
      </c>
      <c r="H513" s="2" t="inlineStr">
        <is>
          <t>Top Allure 1.2 PureTech 60KW 82CV</t>
        </is>
      </c>
      <c r="I513" s="2" t="n"/>
      <c r="J513" s="2" t="n">
        <v>82</v>
      </c>
      <c r="K513" s="2" t="inlineStr">
        <is>
          <t>gasolina</t>
        </is>
      </c>
      <c r="L513" s="2" t="inlineStr">
        <is>
          <t>utilitario</t>
        </is>
      </c>
      <c r="M513" s="2" t="n">
        <v>2018</v>
      </c>
      <c r="N513" s="2" t="n">
        <v>96500</v>
      </c>
      <c r="O513" s="2" t="n">
        <v>5000</v>
      </c>
      <c r="P513" s="2" t="inlineStr">
        <is>
          <t>manual</t>
        </is>
      </c>
      <c r="Q513" s="2" t="inlineStr">
        <is>
          <t>no</t>
        </is>
      </c>
      <c r="R513" s="2" t="inlineStr">
        <is>
          <t>particular</t>
        </is>
      </c>
      <c r="S513" s="2" t="inlineStr">
        <is>
          <t>Castellón de la Plana / Castelló de la Plana</t>
        </is>
      </c>
      <c r="T513" s="2" t="inlineStr">
        <is>
          <t>2026-10-10T09:26:41Z</t>
        </is>
      </c>
      <c r="U513" s="2" t="n">
        <v>1</v>
      </c>
      <c r="V513" s="2" t="n"/>
      <c r="W513" s="2" t="n"/>
      <c r="X513" s="2" t="n"/>
      <c r="Y513" s="2" t="n"/>
      <c r="Z513" s="2" t="inlineStr">
        <is>
          <t>no</t>
        </is>
      </c>
      <c r="AA513" s="2" t="n"/>
      <c r="AB513" s="2" t="n"/>
      <c r="AC513" s="2" t="n"/>
      <c r="AD513" s="2" t="n"/>
      <c r="AE513" s="2" t="n"/>
      <c r="AF513" s="2" t="n"/>
      <c r="AG513" s="2" t="n"/>
      <c r="AH513" s="2" t="n">
        <v>5000</v>
      </c>
      <c r="AI513" s="2" t="n"/>
      <c r="AJ513" s="2" t="n"/>
      <c r="AK513" s="2" t="n"/>
      <c r="AL513" s="2" t="n"/>
      <c r="AM513" s="2" t="n"/>
      <c r="AN513" s="2" t="n"/>
      <c r="AO513" s="2" t="inlineStr">
        <is>
          <t>2018</t>
        </is>
      </c>
      <c r="AP513" s="2" t="n">
        <v>2018</v>
      </c>
      <c r="AQ513" s="2" t="n"/>
      <c r="AR513" s="2" t="n"/>
      <c r="AS513" s="2" t="inlineStr">
        <is>
          <t>regla</t>
        </is>
      </c>
      <c r="AT513" s="2" t="n">
        <v>5850</v>
      </c>
      <c r="AU513" s="2" t="n">
        <v>6</v>
      </c>
      <c r="AV513" s="2" t="inlineStr">
        <is>
          <t>modelo+año+km</t>
        </is>
      </c>
      <c r="AW513" s="2" t="n"/>
      <c r="AX513" s="2" t="inlineStr">
        <is>
          <t>por encima del presupuesto (5184 €), negociar; cuota fija ITP: &gt;5 y &lt;=12 años, hasta 1.500 cc; distancia no verificable (el anuncio solo indica la provincia): confirmar que está a &lt;= 70 km; fiabilidad del modelo PENDIENTE de fuente (puntuación neutra)</t>
        </is>
      </c>
      <c r="AY513" s="2" t="inlineStr">
        <is>
          <t xml:space="preserve">ha pasado la itv </t>
        </is>
      </c>
      <c r="AZ513" s="2" t="inlineStr">
        <is>
          <t>https://www.coches.net/peugeot-108-gasolina-2018-en-castellon-71718082-covo.aspx (window.__INITIAL_PROPS__.ad) /home/user/Alopecia/buscador-coches/raw/cochesnet/6c3e39da51617fa8.json</t>
        </is>
      </c>
      <c r="BA513" s="3">
        <f>MAX(ANIO_ACTUAL-M513,0)</f>
        <v/>
      </c>
      <c r="BB513" s="4">
        <f>N513/MAX(BA513,0.5)</f>
        <v/>
      </c>
      <c r="BC513" s="4">
        <f>F513</f>
        <v/>
      </c>
      <c r="BD513" s="3">
        <f>BC513&amp;"|"&amp;INT(M513/SEG_ANIO)*SEG_ANIO</f>
        <v/>
      </c>
      <c r="BE513" s="3">
        <f>BD513&amp;"|"&amp;INT(N513/SEG_KM)*SEG_KM</f>
        <v/>
      </c>
      <c r="BF513" s="4">
        <f>COUNTIF($BC$2:$BC$545,BC513)</f>
        <v/>
      </c>
      <c r="BG513" s="4">
        <f>COUNTIF($BD$2:$BD$545,BD513)</f>
        <v/>
      </c>
      <c r="BH513" s="4">
        <f>COUNTIF($BE$2:$BE$545,BE513)</f>
        <v/>
      </c>
      <c r="BI513" s="3">
        <f t="array" ref="BI513">IF(N(AU513)&gt;=MIN_N,AT513,IF(BH513&gt;=MIN_N,MEDIAN(IF($BE$2:$BE$545=BE513,$O$2:$O$545)),IF(BG513&gt;=MIN_N,MEDIAN(IF($BD$2:$BD$545=BD513,$O$2:$O$545)),MEDIAN(IF($BC$2:$BC$545=BC513,$O$2:$O$545)))))</f>
        <v/>
      </c>
      <c r="BJ513" s="3">
        <f>IF(N(AU513)&gt;=MIN_N,"mercado "&amp;AV513,IF(BH513&gt;=MIN_N,"modelo+año+km",IF(BG513&gt;=MIN_N,"modelo+año","modelo")))</f>
        <v/>
      </c>
      <c r="BK513" s="4">
        <f>(BI513-O513)/BI513</f>
        <v/>
      </c>
      <c r="BL513" s="3">
        <f>IF(COUNTIFS(FR_FUEL,K513,FR_YEAR,AP513)&gt;0,1,0)</f>
        <v/>
      </c>
      <c r="BM513" s="3">
        <f>IF(COUNTIFS(FR_FUEL,K513,FR_YEAR,AP513-1)&gt;0,1,0)</f>
        <v/>
      </c>
      <c r="BN513" s="4">
        <f>IF(N(AQ513)&gt;0,AP513*100+AQ513,IF(AND(BL513=1,BM513=1),(AP513-1)*100+1,AP513*100+1))</f>
        <v/>
      </c>
      <c r="BO513" s="3">
        <f>IF(OR(K513="hibrido",K513="glp",K513="gnc",K513="phev"),"ECO",IF(K513="electrico","CERO",IF(K513="gasolina",IF(BN513&gt;=GAS_C_YM,"C",IF(BN513&gt;=GAS_B_YM,"B","A")),IF(K513="diesel",IF(BN513&gt;=DIE_C_YM,"C",IF(BN513&gt;=DIE_B_YM,"B","A")),""))))</f>
        <v/>
      </c>
      <c r="BP513" s="4">
        <f>BO513</f>
        <v/>
      </c>
      <c r="BQ513" s="4">
        <f>IF(AS513="regla",IF(AND(N(AQ513)=0,BL513=1),"sí","no"),"no")</f>
        <v/>
      </c>
      <c r="BR513" s="3">
        <f>IFERROR(VLOOKUP(F513,MOD_TBL,11,0),IFERROR(VLOOKUP(E513,OCU_TBL,2,0),NEUTRO))</f>
        <v/>
      </c>
      <c r="BS513" s="3">
        <f>SUMIFS(MOT_AJUSTE,MOT_MOTOR,G513,MOT_MARCA,E513,MOT_DESDE,"&lt;="&amp;M513,MOT_HASTA,"&gt;="&amp;M513)+SUMIFS(MOT_AJUSTE,MOT_MOTOR,G513,MOT_MARCA,"(todas)",MOT_DESDE,"&lt;="&amp;M513,MOT_HASTA,"&gt;="&amp;M513)</f>
        <v/>
      </c>
      <c r="BT513" s="3">
        <f>SUMIFS(COMB_AJUSTE,COMB_COMB,K513)</f>
        <v/>
      </c>
      <c r="BU513" s="3">
        <f>COUNTIFS(MOT_MOTOR,G513,MOT_MARCA,E513,MOT_DESDE,"&lt;="&amp;M513,MOT_HASTA,"&gt;="&amp;M513)+COUNTIFS(MOT_MOTOR,G513,MOT_MARCA,"(todas)",MOT_DESDE,"&lt;="&amp;M513,MOT_HASTA,"&gt;="&amp;M513)</f>
        <v/>
      </c>
      <c r="BV513" s="3">
        <f>IF(AND(K513="diesel",BU513=0),MIN(BR513,NEUTRO),BR513)</f>
        <v/>
      </c>
      <c r="BW513" s="4">
        <f>MAX(0,MIN(100,BV513+BS513+BT513))</f>
        <v/>
      </c>
      <c r="BX513" s="3">
        <f>MAX(0,MIN(100,50+BK513*PRECIO_PEND))</f>
        <v/>
      </c>
      <c r="BY513" s="3">
        <f>MAX(0,100*(1-N513/KM_MAX))</f>
        <v/>
      </c>
      <c r="BZ513" s="3">
        <f>IF(BB513&lt;KMA_SOSP,IF(AA513="sí",100,KMA_PEN),IF(BB513&lt;=KMA_IDEAL_MAX,100,MAX(0,100*(KMA_CERO-BB513)/(KMA_CERO-KMA_IDEAL_MAX))))</f>
        <v/>
      </c>
      <c r="CA513" s="3">
        <f>MAX(0,MIN(100,100*(M513-ANIO_MIN)/(ANIO_ACTUAL-ANIO_MIN)))</f>
        <v/>
      </c>
      <c r="CB513" s="3">
        <f>W_KMT*BY513+W_KMA*BZ513+W_EDAD*CA513</f>
        <v/>
      </c>
      <c r="CC513" s="3">
        <f>P_ITV*(V513="sí")+P_LIBRO*(W513="sí")+P_CORREA*(X513="sí")+P_PROP*(Y513=1)+P_GAR*(Z513="sí")+P_FOTOS*MIN(1,N(U513)/FOTOS_OBJ)</f>
        <v/>
      </c>
      <c r="CD513" s="3">
        <f>MAX(0,MIN(100,IFERROR(VLOOKUP(BP513,ETQ_TBL,2,0),0)-IF(BQ513="sí",ETQ_PEN_DUD,IF(AS513="regla",ETQ_PEN_REGLA,0))))</f>
        <v/>
      </c>
      <c r="CE513" s="3">
        <f>NEUTRO</f>
        <v/>
      </c>
      <c r="CF513" s="3">
        <f>IFERROR(VLOOKUP(L513,SEGURO_TBL,3,0),"")</f>
        <v/>
      </c>
      <c r="CG513" s="3">
        <f>IF(CF513="",NEUTRO,MAX(0,MIN(100,100*(SEG_REF_MAX-CF513)/(SEG_REF_MAX-SEG_REF_MIN))))</f>
        <v/>
      </c>
      <c r="CH513" s="3">
        <f>W_CONS*CE513+W_SEG*CG513</f>
        <v/>
      </c>
      <c r="CI513" s="3">
        <f>IF(N(AB513)&gt;0,AB513,IF(AND(R513="profesional",SG_LEGAL_ON=1),GAR_LEGAL,0))</f>
        <v/>
      </c>
      <c r="CJ513" s="3">
        <f>SG_GAR*MIN(1,CI513/SG_GAR_FULL)+SG_AMPL*(AC513="sí")+SG_KMC*(AF513="sí")+SG_REV*(N(AE513)&gt;0)+SG_DEV*MIN(1,N(AG513)/SG_DEV_FULL)+SG_HIST*(W513="sí")</f>
        <v/>
      </c>
      <c r="CK513" s="3">
        <f>IFERROR(VLOOKUP(L513,CARR_PEN_TBL,2,0),0)</f>
        <v/>
      </c>
      <c r="CL513" s="3">
        <f>W_FIAB*BW513+W_PRECIO*BX513+W_KMEDAD*CB513+W_ANUNCIO*CC513+W_USO*CH513+W_SEGURIDAD*CJ513+W_ETIQUETA*CD513-CK513</f>
        <v/>
      </c>
      <c r="CM513" s="4">
        <f>IF(N(I513)&gt;0,I513,IFERROR(ROUND(_xlfn.NUMBERVALUE(LEFT(G513,FIND(" ",G513&amp;" ")-1),".")*1000,0),99999))</f>
        <v/>
      </c>
      <c r="CN513" s="3">
        <f>IF(R513="profesional",0,IF(O513&lt;CUOTA_VALOR_MAX,IF(BA513&gt;ITP_TRAMO_ALTO,SUMIFS(CF_CUOTA,CF_MAS,ITP_TRAMO_ALTO,CF_CCMIN,"&lt;="&amp;CM513,CF_CCMAX,"&gt;="&amp;CM513),IF(BA513&gt;ITP_TRAMO_BAJO,SUMIFS(CF_CUOTA,CF_MAS,ITP_TRAMO_BAJO,CF_CCMIN,"&lt;="&amp;CM513,CF_CCMAX,"&gt;="&amp;CM513),O513*ITP_TIPO)),O513*ITP_TIPO))</f>
        <v/>
      </c>
      <c r="CO513" s="4">
        <f>IF(R513="profesional",N(AK513),0)</f>
        <v/>
      </c>
      <c r="CP513" s="3">
        <f>IF(AND(R513="profesional",ISNUMBER(AK513),AL513="sí"),0,TASA_DGT)</f>
        <v/>
      </c>
      <c r="CQ513" s="3">
        <f>INFORME_DGT</f>
        <v/>
      </c>
      <c r="CR513" s="4">
        <f>O513+CO513+CN513+CP513+CQ513</f>
        <v/>
      </c>
      <c r="CS513" s="4">
        <f>CR513+N(CF513)</f>
        <v/>
      </c>
      <c r="CT513" s="3">
        <f>IF(CR513&lt;=TOTAL_MAX,"sí",IF(CR513&lt;=TOTAL_MAX+MARGEN_NEG,"negociar","no"))</f>
        <v/>
      </c>
      <c r="CU513" s="4">
        <f>IF(CT513&lt;&gt;"no",COUNTIFS($CT$2:$CT$545,"&lt;&gt;no",$CL$2:$CL$545,"&gt;"&amp;CL513)+COUNTIFS($CT$2:CT513,"&lt;&gt;no",$CL$2:CL513,CL513),"")</f>
        <v/>
      </c>
    </row>
    <row r="514">
      <c r="A514" s="2" t="inlineStr">
        <is>
          <t>cochesnet:71692509</t>
        </is>
      </c>
      <c r="B514" s="2" t="inlineStr">
        <is>
          <t>cochesnet</t>
        </is>
      </c>
      <c r="C514" s="2" t="inlineStr">
        <is>
          <t>https://www.coches.net/peugeot-108-top-allure-12-puretech-60kw-82cv-5p-gasolina-2017-en-castellon-71692509-covo.aspx</t>
        </is>
      </c>
      <c r="D514" s="2" t="inlineStr">
        <is>
          <t>PEUGEOT 108 Top Allure 1.2 PureTech</t>
        </is>
      </c>
      <c r="E514" s="2" t="inlineStr">
        <is>
          <t>Peugeot</t>
        </is>
      </c>
      <c r="F514" s="2" t="inlineStr">
        <is>
          <t>Peugeot 108</t>
        </is>
      </c>
      <c r="G514" s="2" t="inlineStr">
        <is>
          <t>1.2 PureTech</t>
        </is>
      </c>
      <c r="H514" s="2" t="inlineStr">
        <is>
          <t>Top Allure 1.2 PureTech 60KW 82CV</t>
        </is>
      </c>
      <c r="I514" s="2" t="n"/>
      <c r="J514" s="2" t="n">
        <v>82</v>
      </c>
      <c r="K514" s="2" t="inlineStr">
        <is>
          <t>gasolina</t>
        </is>
      </c>
      <c r="L514" s="2" t="inlineStr">
        <is>
          <t>utilitario</t>
        </is>
      </c>
      <c r="M514" s="2" t="n">
        <v>2017</v>
      </c>
      <c r="N514" s="2" t="n">
        <v>96000</v>
      </c>
      <c r="O514" s="2" t="n">
        <v>4500</v>
      </c>
      <c r="P514" s="2" t="inlineStr">
        <is>
          <t>manual</t>
        </is>
      </c>
      <c r="Q514" s="2" t="inlineStr">
        <is>
          <t>no</t>
        </is>
      </c>
      <c r="R514" s="2" t="inlineStr">
        <is>
          <t>particular</t>
        </is>
      </c>
      <c r="S514" s="2" t="inlineStr">
        <is>
          <t>Castellón de la Plana / Castelló de la Plana</t>
        </is>
      </c>
      <c r="T514" s="2" t="inlineStr">
        <is>
          <t>2026-10-07T10:47:06Z</t>
        </is>
      </c>
      <c r="U514" s="2" t="n">
        <v>1</v>
      </c>
      <c r="V514" s="2" t="n"/>
      <c r="W514" s="2" t="n"/>
      <c r="X514" s="2" t="n"/>
      <c r="Y514" s="2" t="n"/>
      <c r="Z514" s="2" t="inlineStr">
        <is>
          <t>no</t>
        </is>
      </c>
      <c r="AA514" s="2" t="n"/>
      <c r="AB514" s="2" t="n"/>
      <c r="AC514" s="2" t="n"/>
      <c r="AD514" s="2" t="n"/>
      <c r="AE514" s="2" t="n"/>
      <c r="AF514" s="2" t="n"/>
      <c r="AG514" s="2" t="n"/>
      <c r="AH514" s="2" t="n">
        <v>4500</v>
      </c>
      <c r="AI514" s="2" t="n"/>
      <c r="AJ514" s="2" t="n"/>
      <c r="AK514" s="2" t="n"/>
      <c r="AL514" s="2" t="n"/>
      <c r="AM514" s="2" t="n"/>
      <c r="AN514" s="2" t="n"/>
      <c r="AO514" s="2" t="inlineStr">
        <is>
          <t>12/2017</t>
        </is>
      </c>
      <c r="AP514" s="2" t="n">
        <v>2017</v>
      </c>
      <c r="AQ514" s="2" t="n">
        <v>12</v>
      </c>
      <c r="AR514" s="2" t="n"/>
      <c r="AS514" s="2" t="inlineStr">
        <is>
          <t>regla</t>
        </is>
      </c>
      <c r="AT514" s="2" t="n">
        <v>5850</v>
      </c>
      <c r="AU514" s="2" t="n">
        <v>6</v>
      </c>
      <c r="AV514" s="2" t="inlineStr">
        <is>
          <t>modelo+año+km</t>
        </is>
      </c>
      <c r="AW514" s="2" t="n"/>
      <c r="AX514" s="2" t="inlineStr">
        <is>
          <t>cuota fija ITP: &gt;5 y &lt;=12 años, hasta 1.500 cc; distancia no verificable (el anuncio solo indica la provincia): confirmar que está a &lt;= 70 km; fiabilidad del modelo PENDIENTE de fuente (puntuación neutra)</t>
        </is>
      </c>
      <c r="AY514" s="2" t="inlineStr">
        <is>
          <t>SOLO PROFESIONALES O CONCESIONARIOS
Si buscas un coche que combine comodidad, eficiencia y diseño, este es para ti.
Te presento mi Peugeot 108 Top Allure, un vehículo compacto perfecto para la conducción urbana y desplazamientos diarios. Con un motor de 1.2 litros PureTech que entrega 82 CV, ofrece la potencia necesaria sin comprometer el consumo, ideal para quienes valoran la economía de combustible sin renunciar al rendimiento.
El estado general del coche es bueno tanto en el interior como en el exterior. Se trata de un vehículo con uso habitual que ha sido mantenido correctamente y está completamente operativo. La carrocería blanca se mantiene en buen estado, y el habitáculo refleja un cuidado adecuado en el día a día.
Con cambio manual y cuatro plazas, es versátil y ágil en cualquier situación de tráfico. Su tamaño compacto lo hace perfecto para aparcar en espacios reducidos, una ventaja real en entornos urbanos. La versión Top Allure incluye un buen nivel de equipamiento que mejora significativamente la experiencia de conducción.
Este Peugeot 108 es una oportunidad interesante si buscas un coche fiable, económico y fácil de mantener. Ideal para conductores que necesitan un vehículo práctico sin complicaciones.
Si tienes dudas sobre aspectos específicos del vehículo o deseas conocer más detalles, no dudes en contactarme. Puedo atenderte tanto por chat como por teléfono para resolver cualquier pregunta.
¡Contacta hoy mismo y comprueba por qué este coche puede ser ex</t>
        </is>
      </c>
      <c r="AZ514" s="2" t="inlineStr">
        <is>
          <t>https://www.coches.net/peugeot-108-top-allure-12-puretech-60kw-82cv-5p-gasolina-2017-en-castellon-71692509-covo.aspx (window.__INITIAL_PROPS__.ad) /home/user/Alopecia/buscador-coches/raw/cochesnet/dcc3df611eccb1b4.json</t>
        </is>
      </c>
      <c r="BA514" s="3">
        <f>MAX(ANIO_ACTUAL-M514,0)</f>
        <v/>
      </c>
      <c r="BB514" s="4">
        <f>N514/MAX(BA514,0.5)</f>
        <v/>
      </c>
      <c r="BC514" s="4">
        <f>F514</f>
        <v/>
      </c>
      <c r="BD514" s="3">
        <f>BC514&amp;"|"&amp;INT(M514/SEG_ANIO)*SEG_ANIO</f>
        <v/>
      </c>
      <c r="BE514" s="3">
        <f>BD514&amp;"|"&amp;INT(N514/SEG_KM)*SEG_KM</f>
        <v/>
      </c>
      <c r="BF514" s="4">
        <f>COUNTIF($BC$2:$BC$545,BC514)</f>
        <v/>
      </c>
      <c r="BG514" s="4">
        <f>COUNTIF($BD$2:$BD$545,BD514)</f>
        <v/>
      </c>
      <c r="BH514" s="4">
        <f>COUNTIF($BE$2:$BE$545,BE514)</f>
        <v/>
      </c>
      <c r="BI514" s="3">
        <f t="array" ref="BI514">IF(N(AU514)&gt;=MIN_N,AT514,IF(BH514&gt;=MIN_N,MEDIAN(IF($BE$2:$BE$545=BE514,$O$2:$O$545)),IF(BG514&gt;=MIN_N,MEDIAN(IF($BD$2:$BD$545=BD514,$O$2:$O$545)),MEDIAN(IF($BC$2:$BC$545=BC514,$O$2:$O$545)))))</f>
        <v/>
      </c>
      <c r="BJ514" s="3">
        <f>IF(N(AU514)&gt;=MIN_N,"mercado "&amp;AV514,IF(BH514&gt;=MIN_N,"modelo+año+km",IF(BG514&gt;=MIN_N,"modelo+año","modelo")))</f>
        <v/>
      </c>
      <c r="BK514" s="4">
        <f>(BI514-O514)/BI514</f>
        <v/>
      </c>
      <c r="BL514" s="3">
        <f>IF(COUNTIFS(FR_FUEL,K514,FR_YEAR,AP514)&gt;0,1,0)</f>
        <v/>
      </c>
      <c r="BM514" s="3">
        <f>IF(COUNTIFS(FR_FUEL,K514,FR_YEAR,AP514-1)&gt;0,1,0)</f>
        <v/>
      </c>
      <c r="BN514" s="4">
        <f>IF(N(AQ514)&gt;0,AP514*100+AQ514,IF(AND(BL514=1,BM514=1),(AP514-1)*100+1,AP514*100+1))</f>
        <v/>
      </c>
      <c r="BO514" s="3">
        <f>IF(OR(K514="hibrido",K514="glp",K514="gnc",K514="phev"),"ECO",IF(K514="electrico","CERO",IF(K514="gasolina",IF(BN514&gt;=GAS_C_YM,"C",IF(BN514&gt;=GAS_B_YM,"B","A")),IF(K514="diesel",IF(BN514&gt;=DIE_C_YM,"C",IF(BN514&gt;=DIE_B_YM,"B","A")),""))))</f>
        <v/>
      </c>
      <c r="BP514" s="4">
        <f>BO514</f>
        <v/>
      </c>
      <c r="BQ514" s="4">
        <f>IF(AS514="regla",IF(AND(N(AQ514)=0,BL514=1),"sí","no"),"no")</f>
        <v/>
      </c>
      <c r="BR514" s="3">
        <f>IFERROR(VLOOKUP(F514,MOD_TBL,11,0),IFERROR(VLOOKUP(E514,OCU_TBL,2,0),NEUTRO))</f>
        <v/>
      </c>
      <c r="BS514" s="3">
        <f>SUMIFS(MOT_AJUSTE,MOT_MOTOR,G514,MOT_MARCA,E514,MOT_DESDE,"&lt;="&amp;M514,MOT_HASTA,"&gt;="&amp;M514)+SUMIFS(MOT_AJUSTE,MOT_MOTOR,G514,MOT_MARCA,"(todas)",MOT_DESDE,"&lt;="&amp;M514,MOT_HASTA,"&gt;="&amp;M514)</f>
        <v/>
      </c>
      <c r="BT514" s="3">
        <f>SUMIFS(COMB_AJUSTE,COMB_COMB,K514)</f>
        <v/>
      </c>
      <c r="BU514" s="3">
        <f>COUNTIFS(MOT_MOTOR,G514,MOT_MARCA,E514,MOT_DESDE,"&lt;="&amp;M514,MOT_HASTA,"&gt;="&amp;M514)+COUNTIFS(MOT_MOTOR,G514,MOT_MARCA,"(todas)",MOT_DESDE,"&lt;="&amp;M514,MOT_HASTA,"&gt;="&amp;M514)</f>
        <v/>
      </c>
      <c r="BV514" s="3">
        <f>IF(AND(K514="diesel",BU514=0),MIN(BR514,NEUTRO),BR514)</f>
        <v/>
      </c>
      <c r="BW514" s="4">
        <f>MAX(0,MIN(100,BV514+BS514+BT514))</f>
        <v/>
      </c>
      <c r="BX514" s="3">
        <f>MAX(0,MIN(100,50+BK514*PRECIO_PEND))</f>
        <v/>
      </c>
      <c r="BY514" s="3">
        <f>MAX(0,100*(1-N514/KM_MAX))</f>
        <v/>
      </c>
      <c r="BZ514" s="3">
        <f>IF(BB514&lt;KMA_SOSP,IF(AA514="sí",100,KMA_PEN),IF(BB514&lt;=KMA_IDEAL_MAX,100,MAX(0,100*(KMA_CERO-BB514)/(KMA_CERO-KMA_IDEAL_MAX))))</f>
        <v/>
      </c>
      <c r="CA514" s="3">
        <f>MAX(0,MIN(100,100*(M514-ANIO_MIN)/(ANIO_ACTUAL-ANIO_MIN)))</f>
        <v/>
      </c>
      <c r="CB514" s="3">
        <f>W_KMT*BY514+W_KMA*BZ514+W_EDAD*CA514</f>
        <v/>
      </c>
      <c r="CC514" s="3">
        <f>P_ITV*(V514="sí")+P_LIBRO*(W514="sí")+P_CORREA*(X514="sí")+P_PROP*(Y514=1)+P_GAR*(Z514="sí")+P_FOTOS*MIN(1,N(U514)/FOTOS_OBJ)</f>
        <v/>
      </c>
      <c r="CD514" s="3">
        <f>MAX(0,MIN(100,IFERROR(VLOOKUP(BP514,ETQ_TBL,2,0),0)-IF(BQ514="sí",ETQ_PEN_DUD,IF(AS514="regla",ETQ_PEN_REGLA,0))))</f>
        <v/>
      </c>
      <c r="CE514" s="3">
        <f>NEUTRO</f>
        <v/>
      </c>
      <c r="CF514" s="3">
        <f>IFERROR(VLOOKUP(L514,SEGURO_TBL,3,0),"")</f>
        <v/>
      </c>
      <c r="CG514" s="3">
        <f>IF(CF514="",NEUTRO,MAX(0,MIN(100,100*(SEG_REF_MAX-CF514)/(SEG_REF_MAX-SEG_REF_MIN))))</f>
        <v/>
      </c>
      <c r="CH514" s="3">
        <f>W_CONS*CE514+W_SEG*CG514</f>
        <v/>
      </c>
      <c r="CI514" s="3">
        <f>IF(N(AB514)&gt;0,AB514,IF(AND(R514="profesional",SG_LEGAL_ON=1),GAR_LEGAL,0))</f>
        <v/>
      </c>
      <c r="CJ514" s="3">
        <f>SG_GAR*MIN(1,CI514/SG_GAR_FULL)+SG_AMPL*(AC514="sí")+SG_KMC*(AF514="sí")+SG_REV*(N(AE514)&gt;0)+SG_DEV*MIN(1,N(AG514)/SG_DEV_FULL)+SG_HIST*(W514="sí")</f>
        <v/>
      </c>
      <c r="CK514" s="3">
        <f>IFERROR(VLOOKUP(L514,CARR_PEN_TBL,2,0),0)</f>
        <v/>
      </c>
      <c r="CL514" s="3">
        <f>W_FIAB*BW514+W_PRECIO*BX514+W_KMEDAD*CB514+W_ANUNCIO*CC514+W_USO*CH514+W_SEGURIDAD*CJ514+W_ETIQUETA*CD514-CK514</f>
        <v/>
      </c>
      <c r="CM514" s="4">
        <f>IF(N(I514)&gt;0,I514,IFERROR(ROUND(_xlfn.NUMBERVALUE(LEFT(G514,FIND(" ",G514&amp;" ")-1),".")*1000,0),99999))</f>
        <v/>
      </c>
      <c r="CN514" s="3">
        <f>IF(R514="profesional",0,IF(O514&lt;CUOTA_VALOR_MAX,IF(BA514&gt;ITP_TRAMO_ALTO,SUMIFS(CF_CUOTA,CF_MAS,ITP_TRAMO_ALTO,CF_CCMIN,"&lt;="&amp;CM514,CF_CCMAX,"&gt;="&amp;CM514),IF(BA514&gt;ITP_TRAMO_BAJO,SUMIFS(CF_CUOTA,CF_MAS,ITP_TRAMO_BAJO,CF_CCMIN,"&lt;="&amp;CM514,CF_CCMAX,"&gt;="&amp;CM514),O514*ITP_TIPO)),O514*ITP_TIPO))</f>
        <v/>
      </c>
      <c r="CO514" s="4">
        <f>IF(R514="profesional",N(AK514),0)</f>
        <v/>
      </c>
      <c r="CP514" s="3">
        <f>IF(AND(R514="profesional",ISNUMBER(AK514),AL514="sí"),0,TASA_DGT)</f>
        <v/>
      </c>
      <c r="CQ514" s="3">
        <f>INFORME_DGT</f>
        <v/>
      </c>
      <c r="CR514" s="4">
        <f>O514+CO514+CN514+CP514+CQ514</f>
        <v/>
      </c>
      <c r="CS514" s="4">
        <f>CR514+N(CF514)</f>
        <v/>
      </c>
      <c r="CT514" s="3">
        <f>IF(CR514&lt;=TOTAL_MAX,"sí",IF(CR514&lt;=TOTAL_MAX+MARGEN_NEG,"negociar","no"))</f>
        <v/>
      </c>
      <c r="CU514" s="4">
        <f>IF(CT514&lt;&gt;"no",COUNTIFS($CT$2:$CT$545,"&lt;&gt;no",$CL$2:$CL$545,"&gt;"&amp;CL514)+COUNTIFS($CT$2:CT514,"&lt;&gt;no",$CL$2:CL514,CL514),"")</f>
        <v/>
      </c>
    </row>
    <row r="515">
      <c r="A515" s="2" t="inlineStr">
        <is>
          <t>cochesnet:71623136</t>
        </is>
      </c>
      <c r="B515" s="2" t="inlineStr">
        <is>
          <t>cochesnet</t>
        </is>
      </c>
      <c r="C515" s="2" t="inlineStr">
        <is>
          <t>https://www.coches.net/peugeot-206-gasolina-2010-en-castellon-71623136-covo.aspx</t>
        </is>
      </c>
      <c r="D515" s="2" t="inlineStr">
        <is>
          <t>PEUGEOT 206</t>
        </is>
      </c>
      <c r="E515" s="2" t="inlineStr">
        <is>
          <t>Peugeot</t>
        </is>
      </c>
      <c r="F515" s="2" t="inlineStr">
        <is>
          <t>Peugeot 206</t>
        </is>
      </c>
      <c r="G515" s="2" t="n"/>
      <c r="H515" s="2" t="n"/>
      <c r="I515" s="2" t="n"/>
      <c r="J515" s="2" t="n"/>
      <c r="K515" s="2" t="inlineStr">
        <is>
          <t>gasolina</t>
        </is>
      </c>
      <c r="L515" s="2" t="inlineStr">
        <is>
          <t>utilitario</t>
        </is>
      </c>
      <c r="M515" s="2" t="n">
        <v>2010</v>
      </c>
      <c r="N515" s="2" t="n">
        <v>110000</v>
      </c>
      <c r="O515" s="2" t="n">
        <v>4990</v>
      </c>
      <c r="P515" s="2" t="inlineStr">
        <is>
          <t>manual</t>
        </is>
      </c>
      <c r="Q515" s="2" t="inlineStr">
        <is>
          <t>no</t>
        </is>
      </c>
      <c r="R515" s="2" t="inlineStr">
        <is>
          <t>particular</t>
        </is>
      </c>
      <c r="S515" s="2" t="inlineStr">
        <is>
          <t>Castellón de la Plana / Castelló de la Plana</t>
        </is>
      </c>
      <c r="T515" s="2" t="inlineStr">
        <is>
          <t>2026-09-29T08:53:46Z</t>
        </is>
      </c>
      <c r="U515" s="2" t="n">
        <v>9</v>
      </c>
      <c r="V515" s="2" t="inlineStr">
        <is>
          <t>sí</t>
        </is>
      </c>
      <c r="W515" s="2" t="n"/>
      <c r="X515" s="2" t="n"/>
      <c r="Y515" s="2" t="n"/>
      <c r="Z515" s="2" t="inlineStr">
        <is>
          <t>no</t>
        </is>
      </c>
      <c r="AA515" s="2" t="n"/>
      <c r="AB515" s="2" t="n"/>
      <c r="AC515" s="2" t="n"/>
      <c r="AD515" s="2" t="n"/>
      <c r="AE515" s="2" t="n"/>
      <c r="AF515" s="2" t="n"/>
      <c r="AG515" s="2" t="n"/>
      <c r="AH515" s="2" t="n">
        <v>4990</v>
      </c>
      <c r="AI515" s="2" t="n"/>
      <c r="AJ515" s="2" t="n"/>
      <c r="AK515" s="2" t="n"/>
      <c r="AL515" s="2" t="n"/>
      <c r="AM515" s="2" t="n"/>
      <c r="AN515" s="2" t="n"/>
      <c r="AO515" s="2" t="inlineStr">
        <is>
          <t>2010</t>
        </is>
      </c>
      <c r="AP515" s="2" t="n">
        <v>2010</v>
      </c>
      <c r="AQ515" s="2" t="n"/>
      <c r="AR515" s="2" t="n"/>
      <c r="AS515" s="2" t="inlineStr">
        <is>
          <t>regla</t>
        </is>
      </c>
      <c r="AT515" s="2" t="n"/>
      <c r="AU515" s="2" t="n"/>
      <c r="AV515" s="2" t="n"/>
      <c r="AW515" s="2" t="n"/>
      <c r="AX515" s="2" t="inlineStr">
        <is>
          <t>por encima del presupuesto (5194 €), negociar; cilindrada desconocida: se aplica el tramo de cuota fija más alto; cuota fija ITP: &gt;12 años, más de 2.000 cc; distancia no verificable (el anuncio solo indica la provincia): confirmar que está a &lt;= 70 km; fiabilidad del modelo PENDIENTE de fuente (puntuación neutra); mediana con solo 1 anuncio(s)</t>
        </is>
      </c>
      <c r="AY515" s="2" t="inlineStr">
        <is>
          <t>Peugeot 206+ 1.1 de 60 cv con motor de poco consumo. ITV recién pasada y sin defectos hasta octubre 2027. Mantenimiento de aceite, filtros, niveles y carga de aire a/c recién hecho. Neumáticos buen estado. No hay que gastarse nada en el coche. 2 llaves, aire acondicionado, elevalunas eléctricos, espejos eléctricos, dirección asistida, radio cd origen, cierre centralizado, antinieblas... Tapicería e interior impecable (no fumador) y chapa buen estado. Etiqueta medioambiental C.</t>
        </is>
      </c>
      <c r="AZ515" s="2" t="inlineStr">
        <is>
          <t>https://www.coches.net/peugeot-206-gasolina-2010-en-castellon-71623136-covo.aspx (window.__INITIAL_PROPS__.ad) /home/user/Alopecia/buscador-coches/raw/cochesnet/c7d81d1927f422bb.json</t>
        </is>
      </c>
      <c r="BA515" s="3">
        <f>MAX(ANIO_ACTUAL-M515,0)</f>
        <v/>
      </c>
      <c r="BB515" s="4">
        <f>N515/MAX(BA515,0.5)</f>
        <v/>
      </c>
      <c r="BC515" s="4">
        <f>F515</f>
        <v/>
      </c>
      <c r="BD515" s="3">
        <f>BC515&amp;"|"&amp;INT(M515/SEG_ANIO)*SEG_ANIO</f>
        <v/>
      </c>
      <c r="BE515" s="3">
        <f>BD515&amp;"|"&amp;INT(N515/SEG_KM)*SEG_KM</f>
        <v/>
      </c>
      <c r="BF515" s="4">
        <f>COUNTIF($BC$2:$BC$545,BC515)</f>
        <v/>
      </c>
      <c r="BG515" s="4">
        <f>COUNTIF($BD$2:$BD$545,BD515)</f>
        <v/>
      </c>
      <c r="BH515" s="4">
        <f>COUNTIF($BE$2:$BE$545,BE515)</f>
        <v/>
      </c>
      <c r="BI515" s="3">
        <f t="array" ref="BI515">IF(N(AU515)&gt;=MIN_N,AT515,IF(BH515&gt;=MIN_N,MEDIAN(IF($BE$2:$BE$545=BE515,$O$2:$O$545)),IF(BG515&gt;=MIN_N,MEDIAN(IF($BD$2:$BD$545=BD515,$O$2:$O$545)),MEDIAN(IF($BC$2:$BC$545=BC515,$O$2:$O$545)))))</f>
        <v/>
      </c>
      <c r="BJ515" s="3">
        <f>IF(N(AU515)&gt;=MIN_N,"mercado "&amp;AV515,IF(BH515&gt;=MIN_N,"modelo+año+km",IF(BG515&gt;=MIN_N,"modelo+año","modelo")))</f>
        <v/>
      </c>
      <c r="BK515" s="4">
        <f>(BI515-O515)/BI515</f>
        <v/>
      </c>
      <c r="BL515" s="3">
        <f>IF(COUNTIFS(FR_FUEL,K515,FR_YEAR,AP515)&gt;0,1,0)</f>
        <v/>
      </c>
      <c r="BM515" s="3">
        <f>IF(COUNTIFS(FR_FUEL,K515,FR_YEAR,AP515-1)&gt;0,1,0)</f>
        <v/>
      </c>
      <c r="BN515" s="4">
        <f>IF(N(AQ515)&gt;0,AP515*100+AQ515,IF(AND(BL515=1,BM515=1),(AP515-1)*100+1,AP515*100+1))</f>
        <v/>
      </c>
      <c r="BO515" s="3">
        <f>IF(OR(K515="hibrido",K515="glp",K515="gnc",K515="phev"),"ECO",IF(K515="electrico","CERO",IF(K515="gasolina",IF(BN515&gt;=GAS_C_YM,"C",IF(BN515&gt;=GAS_B_YM,"B","A")),IF(K515="diesel",IF(BN515&gt;=DIE_C_YM,"C",IF(BN515&gt;=DIE_B_YM,"B","A")),""))))</f>
        <v/>
      </c>
      <c r="BP515" s="4">
        <f>BO515</f>
        <v/>
      </c>
      <c r="BQ515" s="4">
        <f>IF(AS515="regla",IF(AND(N(AQ515)=0,BL515=1),"sí","no"),"no")</f>
        <v/>
      </c>
      <c r="BR515" s="3">
        <f>IFERROR(VLOOKUP(F515,MOD_TBL,11,0),IFERROR(VLOOKUP(E515,OCU_TBL,2,0),NEUTRO))</f>
        <v/>
      </c>
      <c r="BS515" s="3">
        <f>SUMIFS(MOT_AJUSTE,MOT_MOTOR,G515,MOT_MARCA,E515,MOT_DESDE,"&lt;="&amp;M515,MOT_HASTA,"&gt;="&amp;M515)+SUMIFS(MOT_AJUSTE,MOT_MOTOR,G515,MOT_MARCA,"(todas)",MOT_DESDE,"&lt;="&amp;M515,MOT_HASTA,"&gt;="&amp;M515)</f>
        <v/>
      </c>
      <c r="BT515" s="3">
        <f>SUMIFS(COMB_AJUSTE,COMB_COMB,K515)</f>
        <v/>
      </c>
      <c r="BU515" s="3">
        <f>COUNTIFS(MOT_MOTOR,G515,MOT_MARCA,E515,MOT_DESDE,"&lt;="&amp;M515,MOT_HASTA,"&gt;="&amp;M515)+COUNTIFS(MOT_MOTOR,G515,MOT_MARCA,"(todas)",MOT_DESDE,"&lt;="&amp;M515,MOT_HASTA,"&gt;="&amp;M515)</f>
        <v/>
      </c>
      <c r="BV515" s="3">
        <f>IF(AND(K515="diesel",BU515=0),MIN(BR515,NEUTRO),BR515)</f>
        <v/>
      </c>
      <c r="BW515" s="4">
        <f>MAX(0,MIN(100,BV515+BS515+BT515))</f>
        <v/>
      </c>
      <c r="BX515" s="3">
        <f>MAX(0,MIN(100,50+BK515*PRECIO_PEND))</f>
        <v/>
      </c>
      <c r="BY515" s="3">
        <f>MAX(0,100*(1-N515/KM_MAX))</f>
        <v/>
      </c>
      <c r="BZ515" s="3">
        <f>IF(BB515&lt;KMA_SOSP,IF(AA515="sí",100,KMA_PEN),IF(BB515&lt;=KMA_IDEAL_MAX,100,MAX(0,100*(KMA_CERO-BB515)/(KMA_CERO-KMA_IDEAL_MAX))))</f>
        <v/>
      </c>
      <c r="CA515" s="3">
        <f>MAX(0,MIN(100,100*(M515-ANIO_MIN)/(ANIO_ACTUAL-ANIO_MIN)))</f>
        <v/>
      </c>
      <c r="CB515" s="3">
        <f>W_KMT*BY515+W_KMA*BZ515+W_EDAD*CA515</f>
        <v/>
      </c>
      <c r="CC515" s="3">
        <f>P_ITV*(V515="sí")+P_LIBRO*(W515="sí")+P_CORREA*(X515="sí")+P_PROP*(Y515=1)+P_GAR*(Z515="sí")+P_FOTOS*MIN(1,N(U515)/FOTOS_OBJ)</f>
        <v/>
      </c>
      <c r="CD515" s="3">
        <f>MAX(0,MIN(100,IFERROR(VLOOKUP(BP515,ETQ_TBL,2,0),0)-IF(BQ515="sí",ETQ_PEN_DUD,IF(AS515="regla",ETQ_PEN_REGLA,0))))</f>
        <v/>
      </c>
      <c r="CE515" s="3">
        <f>NEUTRO</f>
        <v/>
      </c>
      <c r="CF515" s="3">
        <f>IFERROR(VLOOKUP(L515,SEGURO_TBL,3,0),"")</f>
        <v/>
      </c>
      <c r="CG515" s="3">
        <f>IF(CF515="",NEUTRO,MAX(0,MIN(100,100*(SEG_REF_MAX-CF515)/(SEG_REF_MAX-SEG_REF_MIN))))</f>
        <v/>
      </c>
      <c r="CH515" s="3">
        <f>W_CONS*CE515+W_SEG*CG515</f>
        <v/>
      </c>
      <c r="CI515" s="3">
        <f>IF(N(AB515)&gt;0,AB515,IF(AND(R515="profesional",SG_LEGAL_ON=1),GAR_LEGAL,0))</f>
        <v/>
      </c>
      <c r="CJ515" s="3">
        <f>SG_GAR*MIN(1,CI515/SG_GAR_FULL)+SG_AMPL*(AC515="sí")+SG_KMC*(AF515="sí")+SG_REV*(N(AE515)&gt;0)+SG_DEV*MIN(1,N(AG515)/SG_DEV_FULL)+SG_HIST*(W515="sí")</f>
        <v/>
      </c>
      <c r="CK515" s="3">
        <f>IFERROR(VLOOKUP(L515,CARR_PEN_TBL,2,0),0)</f>
        <v/>
      </c>
      <c r="CL515" s="3">
        <f>W_FIAB*BW515+W_PRECIO*BX515+W_KMEDAD*CB515+W_ANUNCIO*CC515+W_USO*CH515+W_SEGURIDAD*CJ515+W_ETIQUETA*CD515-CK515</f>
        <v/>
      </c>
      <c r="CM515" s="4">
        <f>IF(N(I515)&gt;0,I515,IFERROR(ROUND(_xlfn.NUMBERVALUE(LEFT(G515,FIND(" ",G515&amp;" ")-1),".")*1000,0),99999))</f>
        <v/>
      </c>
      <c r="CN515" s="3">
        <f>IF(R515="profesional",0,IF(O515&lt;CUOTA_VALOR_MAX,IF(BA515&gt;ITP_TRAMO_ALTO,SUMIFS(CF_CUOTA,CF_MAS,ITP_TRAMO_ALTO,CF_CCMIN,"&lt;="&amp;CM515,CF_CCMAX,"&gt;="&amp;CM515),IF(BA515&gt;ITP_TRAMO_BAJO,SUMIFS(CF_CUOTA,CF_MAS,ITP_TRAMO_BAJO,CF_CCMIN,"&lt;="&amp;CM515,CF_CCMAX,"&gt;="&amp;CM515),O515*ITP_TIPO)),O515*ITP_TIPO))</f>
        <v/>
      </c>
      <c r="CO515" s="4">
        <f>IF(R515="profesional",N(AK515),0)</f>
        <v/>
      </c>
      <c r="CP515" s="3">
        <f>IF(AND(R515="profesional",ISNUMBER(AK515),AL515="sí"),0,TASA_DGT)</f>
        <v/>
      </c>
      <c r="CQ515" s="3">
        <f>INFORME_DGT</f>
        <v/>
      </c>
      <c r="CR515" s="4">
        <f>O515+CO515+CN515+CP515+CQ515</f>
        <v/>
      </c>
      <c r="CS515" s="4">
        <f>CR515+N(CF515)</f>
        <v/>
      </c>
      <c r="CT515" s="3">
        <f>IF(CR515&lt;=TOTAL_MAX,"sí",IF(CR515&lt;=TOTAL_MAX+MARGEN_NEG,"negociar","no"))</f>
        <v/>
      </c>
      <c r="CU515" s="4">
        <f>IF(CT515&lt;&gt;"no",COUNTIFS($CT$2:$CT$545,"&lt;&gt;no",$CL$2:$CL$545,"&gt;"&amp;CL515)+COUNTIFS($CT$2:CT515,"&lt;&gt;no",$CL$2:CL515,CL515),"")</f>
        <v/>
      </c>
    </row>
    <row r="516">
      <c r="A516" s="2" t="inlineStr">
        <is>
          <t>cochesnet:71554085</t>
        </is>
      </c>
      <c r="B516" s="2" t="inlineStr">
        <is>
          <t>cochesnet</t>
        </is>
      </c>
      <c r="C516" s="2" t="inlineStr">
        <is>
          <t>https://www.coches.net/peugeot-308-gasolina-2008-en-castellon-71554085-covo.aspx</t>
        </is>
      </c>
      <c r="D516" s="2" t="inlineStr">
        <is>
          <t>PEUGEOT 308</t>
        </is>
      </c>
      <c r="E516" s="2" t="inlineStr">
        <is>
          <t>Peugeot</t>
        </is>
      </c>
      <c r="F516" s="2" t="inlineStr">
        <is>
          <t>Peugeot 308</t>
        </is>
      </c>
      <c r="G516" s="2" t="n"/>
      <c r="H516" s="2" t="n"/>
      <c r="I516" s="2" t="n"/>
      <c r="J516" s="2" t="n"/>
      <c r="K516" s="2" t="inlineStr">
        <is>
          <t>gasolina</t>
        </is>
      </c>
      <c r="L516" s="2" t="inlineStr">
        <is>
          <t>compacto</t>
        </is>
      </c>
      <c r="M516" s="2" t="n">
        <v>2008</v>
      </c>
      <c r="N516" s="2" t="n">
        <v>188776</v>
      </c>
      <c r="O516" s="2" t="n">
        <v>4000</v>
      </c>
      <c r="P516" s="2" t="inlineStr">
        <is>
          <t>manual</t>
        </is>
      </c>
      <c r="Q516" s="2" t="inlineStr">
        <is>
          <t>no</t>
        </is>
      </c>
      <c r="R516" s="2" t="inlineStr">
        <is>
          <t>particular</t>
        </is>
      </c>
      <c r="S516" s="2" t="n"/>
      <c r="T516" s="2" t="inlineStr">
        <is>
          <t>2026-09-19T20:50:51Z</t>
        </is>
      </c>
      <c r="U516" s="2" t="n">
        <v>4</v>
      </c>
      <c r="V516" s="2" t="n"/>
      <c r="W516" s="2" t="n"/>
      <c r="X516" s="2" t="n"/>
      <c r="Y516" s="2" t="n"/>
      <c r="Z516" s="2" t="inlineStr">
        <is>
          <t>no</t>
        </is>
      </c>
      <c r="AA516" s="2" t="n"/>
      <c r="AB516" s="2" t="n"/>
      <c r="AC516" s="2" t="n"/>
      <c r="AD516" s="2" t="n"/>
      <c r="AE516" s="2" t="n"/>
      <c r="AF516" s="2" t="n"/>
      <c r="AG516" s="2" t="n"/>
      <c r="AH516" s="2" t="n">
        <v>4000</v>
      </c>
      <c r="AI516" s="2" t="n"/>
      <c r="AJ516" s="2" t="n"/>
      <c r="AK516" s="2" t="n"/>
      <c r="AL516" s="2" t="n"/>
      <c r="AM516" s="2" t="n"/>
      <c r="AN516" s="2" t="n"/>
      <c r="AO516" s="2" t="inlineStr">
        <is>
          <t>2008</t>
        </is>
      </c>
      <c r="AP516" s="2" t="n">
        <v>2008</v>
      </c>
      <c r="AQ516" s="2" t="n"/>
      <c r="AR516" s="2" t="n"/>
      <c r="AS516" s="2" t="inlineStr">
        <is>
          <t>regla</t>
        </is>
      </c>
      <c r="AT516" s="2" t="n">
        <v>4000</v>
      </c>
      <c r="AU516" s="2" t="n">
        <v>5</v>
      </c>
      <c r="AV516" s="2" t="inlineStr">
        <is>
          <t>modelo+año+km</t>
        </is>
      </c>
      <c r="AW516" s="2" t="n"/>
      <c r="AX516" s="2" t="inlineStr">
        <is>
          <t>cilindrada desconocida: se aplica el tramo de cuota fija más alto; cuota fija ITP: &gt;12 años, más de 2.000 cc; distancia no verificable (el anuncio solo indica la provincia): confirmar que está a &lt;= 70 km</t>
        </is>
      </c>
      <c r="AY516" s="2" t="inlineStr">
        <is>
          <t>6??7??3??3??4??3??0??0??7??????</t>
        </is>
      </c>
      <c r="AZ516" s="2" t="inlineStr">
        <is>
          <t>https://www.coches.net/peugeot-308-gasolina-2008-en-castellon-71554085-covo.aspx (window.__INITIAL_PROPS__.ad) /home/user/Alopecia/buscador-coches/raw/cochesnet/b82fb9223358e1bc.json</t>
        </is>
      </c>
      <c r="BA516" s="3">
        <f>MAX(ANIO_ACTUAL-M516,0)</f>
        <v/>
      </c>
      <c r="BB516" s="4">
        <f>N516/MAX(BA516,0.5)</f>
        <v/>
      </c>
      <c r="BC516" s="4">
        <f>F516</f>
        <v/>
      </c>
      <c r="BD516" s="3">
        <f>BC516&amp;"|"&amp;INT(M516/SEG_ANIO)*SEG_ANIO</f>
        <v/>
      </c>
      <c r="BE516" s="3">
        <f>BD516&amp;"|"&amp;INT(N516/SEG_KM)*SEG_KM</f>
        <v/>
      </c>
      <c r="BF516" s="4">
        <f>COUNTIF($BC$2:$BC$545,BC516)</f>
        <v/>
      </c>
      <c r="BG516" s="4">
        <f>COUNTIF($BD$2:$BD$545,BD516)</f>
        <v/>
      </c>
      <c r="BH516" s="4">
        <f>COUNTIF($BE$2:$BE$545,BE516)</f>
        <v/>
      </c>
      <c r="BI516" s="3">
        <f t="array" ref="BI516">IF(N(AU516)&gt;=MIN_N,AT516,IF(BH516&gt;=MIN_N,MEDIAN(IF($BE$2:$BE$545=BE516,$O$2:$O$545)),IF(BG516&gt;=MIN_N,MEDIAN(IF($BD$2:$BD$545=BD516,$O$2:$O$545)),MEDIAN(IF($BC$2:$BC$545=BC516,$O$2:$O$545)))))</f>
        <v/>
      </c>
      <c r="BJ516" s="3">
        <f>IF(N(AU516)&gt;=MIN_N,"mercado "&amp;AV516,IF(BH516&gt;=MIN_N,"modelo+año+km",IF(BG516&gt;=MIN_N,"modelo+año","modelo")))</f>
        <v/>
      </c>
      <c r="BK516" s="4">
        <f>(BI516-O516)/BI516</f>
        <v/>
      </c>
      <c r="BL516" s="3">
        <f>IF(COUNTIFS(FR_FUEL,K516,FR_YEAR,AP516)&gt;0,1,0)</f>
        <v/>
      </c>
      <c r="BM516" s="3">
        <f>IF(COUNTIFS(FR_FUEL,K516,FR_YEAR,AP516-1)&gt;0,1,0)</f>
        <v/>
      </c>
      <c r="BN516" s="4">
        <f>IF(N(AQ516)&gt;0,AP516*100+AQ516,IF(AND(BL516=1,BM516=1),(AP516-1)*100+1,AP516*100+1))</f>
        <v/>
      </c>
      <c r="BO516" s="3">
        <f>IF(OR(K516="hibrido",K516="glp",K516="gnc",K516="phev"),"ECO",IF(K516="electrico","CERO",IF(K516="gasolina",IF(BN516&gt;=GAS_C_YM,"C",IF(BN516&gt;=GAS_B_YM,"B","A")),IF(K516="diesel",IF(BN516&gt;=DIE_C_YM,"C",IF(BN516&gt;=DIE_B_YM,"B","A")),""))))</f>
        <v/>
      </c>
      <c r="BP516" s="4">
        <f>BO516</f>
        <v/>
      </c>
      <c r="BQ516" s="4">
        <f>IF(AS516="regla",IF(AND(N(AQ516)=0,BL516=1),"sí","no"),"no")</f>
        <v/>
      </c>
      <c r="BR516" s="3">
        <f>IFERROR(VLOOKUP(F516,MOD_TBL,11,0),IFERROR(VLOOKUP(E516,OCU_TBL,2,0),NEUTRO))</f>
        <v/>
      </c>
      <c r="BS516" s="3">
        <f>SUMIFS(MOT_AJUSTE,MOT_MOTOR,G516,MOT_MARCA,E516,MOT_DESDE,"&lt;="&amp;M516,MOT_HASTA,"&gt;="&amp;M516)+SUMIFS(MOT_AJUSTE,MOT_MOTOR,G516,MOT_MARCA,"(todas)",MOT_DESDE,"&lt;="&amp;M516,MOT_HASTA,"&gt;="&amp;M516)</f>
        <v/>
      </c>
      <c r="BT516" s="3">
        <f>SUMIFS(COMB_AJUSTE,COMB_COMB,K516)</f>
        <v/>
      </c>
      <c r="BU516" s="3">
        <f>COUNTIFS(MOT_MOTOR,G516,MOT_MARCA,E516,MOT_DESDE,"&lt;="&amp;M516,MOT_HASTA,"&gt;="&amp;M516)+COUNTIFS(MOT_MOTOR,G516,MOT_MARCA,"(todas)",MOT_DESDE,"&lt;="&amp;M516,MOT_HASTA,"&gt;="&amp;M516)</f>
        <v/>
      </c>
      <c r="BV516" s="3">
        <f>IF(AND(K516="diesel",BU516=0),MIN(BR516,NEUTRO),BR516)</f>
        <v/>
      </c>
      <c r="BW516" s="4">
        <f>MAX(0,MIN(100,BV516+BS516+BT516))</f>
        <v/>
      </c>
      <c r="BX516" s="3">
        <f>MAX(0,MIN(100,50+BK516*PRECIO_PEND))</f>
        <v/>
      </c>
      <c r="BY516" s="3">
        <f>MAX(0,100*(1-N516/KM_MAX))</f>
        <v/>
      </c>
      <c r="BZ516" s="3">
        <f>IF(BB516&lt;KMA_SOSP,IF(AA516="sí",100,KMA_PEN),IF(BB516&lt;=KMA_IDEAL_MAX,100,MAX(0,100*(KMA_CERO-BB516)/(KMA_CERO-KMA_IDEAL_MAX))))</f>
        <v/>
      </c>
      <c r="CA516" s="3">
        <f>MAX(0,MIN(100,100*(M516-ANIO_MIN)/(ANIO_ACTUAL-ANIO_MIN)))</f>
        <v/>
      </c>
      <c r="CB516" s="3">
        <f>W_KMT*BY516+W_KMA*BZ516+W_EDAD*CA516</f>
        <v/>
      </c>
      <c r="CC516" s="3">
        <f>P_ITV*(V516="sí")+P_LIBRO*(W516="sí")+P_CORREA*(X516="sí")+P_PROP*(Y516=1)+P_GAR*(Z516="sí")+P_FOTOS*MIN(1,N(U516)/FOTOS_OBJ)</f>
        <v/>
      </c>
      <c r="CD516" s="3">
        <f>MAX(0,MIN(100,IFERROR(VLOOKUP(BP516,ETQ_TBL,2,0),0)-IF(BQ516="sí",ETQ_PEN_DUD,IF(AS516="regla",ETQ_PEN_REGLA,0))))</f>
        <v/>
      </c>
      <c r="CE516" s="3">
        <f>NEUTRO</f>
        <v/>
      </c>
      <c r="CF516" s="3">
        <f>IFERROR(VLOOKUP(L516,SEGURO_TBL,3,0),"")</f>
        <v/>
      </c>
      <c r="CG516" s="3">
        <f>IF(CF516="",NEUTRO,MAX(0,MIN(100,100*(SEG_REF_MAX-CF516)/(SEG_REF_MAX-SEG_REF_MIN))))</f>
        <v/>
      </c>
      <c r="CH516" s="3">
        <f>W_CONS*CE516+W_SEG*CG516</f>
        <v/>
      </c>
      <c r="CI516" s="3">
        <f>IF(N(AB516)&gt;0,AB516,IF(AND(R516="profesional",SG_LEGAL_ON=1),GAR_LEGAL,0))</f>
        <v/>
      </c>
      <c r="CJ516" s="3">
        <f>SG_GAR*MIN(1,CI516/SG_GAR_FULL)+SG_AMPL*(AC516="sí")+SG_KMC*(AF516="sí")+SG_REV*(N(AE516)&gt;0)+SG_DEV*MIN(1,N(AG516)/SG_DEV_FULL)+SG_HIST*(W516="sí")</f>
        <v/>
      </c>
      <c r="CK516" s="3">
        <f>IFERROR(VLOOKUP(L516,CARR_PEN_TBL,2,0),0)</f>
        <v/>
      </c>
      <c r="CL516" s="3">
        <f>W_FIAB*BW516+W_PRECIO*BX516+W_KMEDAD*CB516+W_ANUNCIO*CC516+W_USO*CH516+W_SEGURIDAD*CJ516+W_ETIQUETA*CD516-CK516</f>
        <v/>
      </c>
      <c r="CM516" s="4">
        <f>IF(N(I516)&gt;0,I516,IFERROR(ROUND(_xlfn.NUMBERVALUE(LEFT(G516,FIND(" ",G516&amp;" ")-1),".")*1000,0),99999))</f>
        <v/>
      </c>
      <c r="CN516" s="3">
        <f>IF(R516="profesional",0,IF(O516&lt;CUOTA_VALOR_MAX,IF(BA516&gt;ITP_TRAMO_ALTO,SUMIFS(CF_CUOTA,CF_MAS,ITP_TRAMO_ALTO,CF_CCMIN,"&lt;="&amp;CM516,CF_CCMAX,"&gt;="&amp;CM516),IF(BA516&gt;ITP_TRAMO_BAJO,SUMIFS(CF_CUOTA,CF_MAS,ITP_TRAMO_BAJO,CF_CCMIN,"&lt;="&amp;CM516,CF_CCMAX,"&gt;="&amp;CM516),O516*ITP_TIPO)),O516*ITP_TIPO))</f>
        <v/>
      </c>
      <c r="CO516" s="4">
        <f>IF(R516="profesional",N(AK516),0)</f>
        <v/>
      </c>
      <c r="CP516" s="3">
        <f>IF(AND(R516="profesional",ISNUMBER(AK516),AL516="sí"),0,TASA_DGT)</f>
        <v/>
      </c>
      <c r="CQ516" s="3">
        <f>INFORME_DGT</f>
        <v/>
      </c>
      <c r="CR516" s="4">
        <f>O516+CO516+CN516+CP516+CQ516</f>
        <v/>
      </c>
      <c r="CS516" s="4">
        <f>CR516+N(CF516)</f>
        <v/>
      </c>
      <c r="CT516" s="3">
        <f>IF(CR516&lt;=TOTAL_MAX,"sí",IF(CR516&lt;=TOTAL_MAX+MARGEN_NEG,"negociar","no"))</f>
        <v/>
      </c>
      <c r="CU516" s="4">
        <f>IF(CT516&lt;&gt;"no",COUNTIFS($CT$2:$CT$545,"&lt;&gt;no",$CL$2:$CL$545,"&gt;"&amp;CL516)+COUNTIFS($CT$2:CT516,"&lt;&gt;no",$CL$2:CL516,CL516),"")</f>
        <v/>
      </c>
    </row>
    <row r="517">
      <c r="A517" s="2" t="inlineStr">
        <is>
          <t>cochesnet:71336300</t>
        </is>
      </c>
      <c r="B517" s="2" t="inlineStr">
        <is>
          <t>cochesnet</t>
        </is>
      </c>
      <c r="C517" s="2" t="inlineStr">
        <is>
          <t>https://www.coches.net/peugeot-308-gasolina-2008-en-castellon-71336300-covo.aspx</t>
        </is>
      </c>
      <c r="D517" s="2" t="inlineStr">
        <is>
          <t>PEUGEOT 308</t>
        </is>
      </c>
      <c r="E517" s="2" t="inlineStr">
        <is>
          <t>Peugeot</t>
        </is>
      </c>
      <c r="F517" s="2" t="inlineStr">
        <is>
          <t>Peugeot 308</t>
        </is>
      </c>
      <c r="G517" s="2" t="n"/>
      <c r="H517" s="2" t="n"/>
      <c r="I517" s="2" t="n"/>
      <c r="J517" s="2" t="n"/>
      <c r="K517" s="2" t="inlineStr">
        <is>
          <t>gasolina</t>
        </is>
      </c>
      <c r="L517" s="2" t="inlineStr">
        <is>
          <t>compacto</t>
        </is>
      </c>
      <c r="M517" s="2" t="n">
        <v>2008</v>
      </c>
      <c r="N517" s="2" t="n">
        <v>215000</v>
      </c>
      <c r="O517" s="2" t="n">
        <v>4300</v>
      </c>
      <c r="P517" s="2" t="inlineStr">
        <is>
          <t>manual</t>
        </is>
      </c>
      <c r="Q517" s="2" t="inlineStr">
        <is>
          <t>no</t>
        </is>
      </c>
      <c r="R517" s="2" t="inlineStr">
        <is>
          <t>particular</t>
        </is>
      </c>
      <c r="S517" s="2" t="inlineStr">
        <is>
          <t>Castellón de la Plana / Castelló de la Plana</t>
        </is>
      </c>
      <c r="T517" s="2" t="inlineStr">
        <is>
          <t>2026-08-21T06:38:38Z</t>
        </is>
      </c>
      <c r="U517" s="2" t="n">
        <v>8</v>
      </c>
      <c r="V517" s="2" t="n"/>
      <c r="W517" s="2" t="n"/>
      <c r="X517" s="2" t="n"/>
      <c r="Y517" s="2" t="n"/>
      <c r="Z517" s="2" t="inlineStr">
        <is>
          <t>no</t>
        </is>
      </c>
      <c r="AA517" s="2" t="n"/>
      <c r="AB517" s="2" t="n"/>
      <c r="AC517" s="2" t="n"/>
      <c r="AD517" s="2" t="n"/>
      <c r="AE517" s="2" t="n"/>
      <c r="AF517" s="2" t="n"/>
      <c r="AG517" s="2" t="n"/>
      <c r="AH517" s="2" t="n">
        <v>4300</v>
      </c>
      <c r="AI517" s="2" t="n"/>
      <c r="AJ517" s="2" t="n"/>
      <c r="AK517" s="2" t="n"/>
      <c r="AL517" s="2" t="n"/>
      <c r="AM517" s="2" t="n"/>
      <c r="AN517" s="2" t="n"/>
      <c r="AO517" s="2" t="inlineStr">
        <is>
          <t>2008</t>
        </is>
      </c>
      <c r="AP517" s="2" t="n">
        <v>2008</v>
      </c>
      <c r="AQ517" s="2" t="n"/>
      <c r="AR517" s="2" t="n"/>
      <c r="AS517" s="2" t="inlineStr">
        <is>
          <t>regla</t>
        </is>
      </c>
      <c r="AT517" s="2" t="n">
        <v>3100</v>
      </c>
      <c r="AU517" s="2" t="n">
        <v>9</v>
      </c>
      <c r="AV517" s="2" t="inlineStr">
        <is>
          <t>modelo+año+km</t>
        </is>
      </c>
      <c r="AW517" s="2" t="n"/>
      <c r="AX517" s="2" t="inlineStr">
        <is>
          <t>cilindrada desconocida: se aplica el tramo de cuota fija más alto; cuota fija ITP: &gt;12 años, más de 2.000 cc; distancia no verificable (el anuncio solo indica la provincia): confirmar que está a &lt;= 70 km</t>
        </is>
      </c>
      <c r="AY517" s="2" t="inlineStr">
        <is>
          <t>Coche en buen estado,mejor ver y probar.</t>
        </is>
      </c>
      <c r="AZ517" s="2" t="inlineStr">
        <is>
          <t>https://www.coches.net/peugeot-308-gasolina-2008-en-castellon-71336300-covo.aspx (window.__INITIAL_PROPS__.ad) /home/user/Alopecia/buscador-coches/raw/cochesnet/08e2edaa87e12886.json</t>
        </is>
      </c>
      <c r="BA517" s="3">
        <f>MAX(ANIO_ACTUAL-M517,0)</f>
        <v/>
      </c>
      <c r="BB517" s="4">
        <f>N517/MAX(BA517,0.5)</f>
        <v/>
      </c>
      <c r="BC517" s="4">
        <f>F517</f>
        <v/>
      </c>
      <c r="BD517" s="3">
        <f>BC517&amp;"|"&amp;INT(M517/SEG_ANIO)*SEG_ANIO</f>
        <v/>
      </c>
      <c r="BE517" s="3">
        <f>BD517&amp;"|"&amp;INT(N517/SEG_KM)*SEG_KM</f>
        <v/>
      </c>
      <c r="BF517" s="4">
        <f>COUNTIF($BC$2:$BC$545,BC517)</f>
        <v/>
      </c>
      <c r="BG517" s="4">
        <f>COUNTIF($BD$2:$BD$545,BD517)</f>
        <v/>
      </c>
      <c r="BH517" s="4">
        <f>COUNTIF($BE$2:$BE$545,BE517)</f>
        <v/>
      </c>
      <c r="BI517" s="3">
        <f t="array" ref="BI517">IF(N(AU517)&gt;=MIN_N,AT517,IF(BH517&gt;=MIN_N,MEDIAN(IF($BE$2:$BE$545=BE517,$O$2:$O$545)),IF(BG517&gt;=MIN_N,MEDIAN(IF($BD$2:$BD$545=BD517,$O$2:$O$545)),MEDIAN(IF($BC$2:$BC$545=BC517,$O$2:$O$545)))))</f>
        <v/>
      </c>
      <c r="BJ517" s="3">
        <f>IF(N(AU517)&gt;=MIN_N,"mercado "&amp;AV517,IF(BH517&gt;=MIN_N,"modelo+año+km",IF(BG517&gt;=MIN_N,"modelo+año","modelo")))</f>
        <v/>
      </c>
      <c r="BK517" s="4">
        <f>(BI517-O517)/BI517</f>
        <v/>
      </c>
      <c r="BL517" s="3">
        <f>IF(COUNTIFS(FR_FUEL,K517,FR_YEAR,AP517)&gt;0,1,0)</f>
        <v/>
      </c>
      <c r="BM517" s="3">
        <f>IF(COUNTIFS(FR_FUEL,K517,FR_YEAR,AP517-1)&gt;0,1,0)</f>
        <v/>
      </c>
      <c r="BN517" s="4">
        <f>IF(N(AQ517)&gt;0,AP517*100+AQ517,IF(AND(BL517=1,BM517=1),(AP517-1)*100+1,AP517*100+1))</f>
        <v/>
      </c>
      <c r="BO517" s="3">
        <f>IF(OR(K517="hibrido",K517="glp",K517="gnc",K517="phev"),"ECO",IF(K517="electrico","CERO",IF(K517="gasolina",IF(BN517&gt;=GAS_C_YM,"C",IF(BN517&gt;=GAS_B_YM,"B","A")),IF(K517="diesel",IF(BN517&gt;=DIE_C_YM,"C",IF(BN517&gt;=DIE_B_YM,"B","A")),""))))</f>
        <v/>
      </c>
      <c r="BP517" s="4">
        <f>BO517</f>
        <v/>
      </c>
      <c r="BQ517" s="4">
        <f>IF(AS517="regla",IF(AND(N(AQ517)=0,BL517=1),"sí","no"),"no")</f>
        <v/>
      </c>
      <c r="BR517" s="3">
        <f>IFERROR(VLOOKUP(F517,MOD_TBL,11,0),IFERROR(VLOOKUP(E517,OCU_TBL,2,0),NEUTRO))</f>
        <v/>
      </c>
      <c r="BS517" s="3">
        <f>SUMIFS(MOT_AJUSTE,MOT_MOTOR,G517,MOT_MARCA,E517,MOT_DESDE,"&lt;="&amp;M517,MOT_HASTA,"&gt;="&amp;M517)+SUMIFS(MOT_AJUSTE,MOT_MOTOR,G517,MOT_MARCA,"(todas)",MOT_DESDE,"&lt;="&amp;M517,MOT_HASTA,"&gt;="&amp;M517)</f>
        <v/>
      </c>
      <c r="BT517" s="3">
        <f>SUMIFS(COMB_AJUSTE,COMB_COMB,K517)</f>
        <v/>
      </c>
      <c r="BU517" s="3">
        <f>COUNTIFS(MOT_MOTOR,G517,MOT_MARCA,E517,MOT_DESDE,"&lt;="&amp;M517,MOT_HASTA,"&gt;="&amp;M517)+COUNTIFS(MOT_MOTOR,G517,MOT_MARCA,"(todas)",MOT_DESDE,"&lt;="&amp;M517,MOT_HASTA,"&gt;="&amp;M517)</f>
        <v/>
      </c>
      <c r="BV517" s="3">
        <f>IF(AND(K517="diesel",BU517=0),MIN(BR517,NEUTRO),BR517)</f>
        <v/>
      </c>
      <c r="BW517" s="4">
        <f>MAX(0,MIN(100,BV517+BS517+BT517))</f>
        <v/>
      </c>
      <c r="BX517" s="3">
        <f>MAX(0,MIN(100,50+BK517*PRECIO_PEND))</f>
        <v/>
      </c>
      <c r="BY517" s="3">
        <f>MAX(0,100*(1-N517/KM_MAX))</f>
        <v/>
      </c>
      <c r="BZ517" s="3">
        <f>IF(BB517&lt;KMA_SOSP,IF(AA517="sí",100,KMA_PEN),IF(BB517&lt;=KMA_IDEAL_MAX,100,MAX(0,100*(KMA_CERO-BB517)/(KMA_CERO-KMA_IDEAL_MAX))))</f>
        <v/>
      </c>
      <c r="CA517" s="3">
        <f>MAX(0,MIN(100,100*(M517-ANIO_MIN)/(ANIO_ACTUAL-ANIO_MIN)))</f>
        <v/>
      </c>
      <c r="CB517" s="3">
        <f>W_KMT*BY517+W_KMA*BZ517+W_EDAD*CA517</f>
        <v/>
      </c>
      <c r="CC517" s="3">
        <f>P_ITV*(V517="sí")+P_LIBRO*(W517="sí")+P_CORREA*(X517="sí")+P_PROP*(Y517=1)+P_GAR*(Z517="sí")+P_FOTOS*MIN(1,N(U517)/FOTOS_OBJ)</f>
        <v/>
      </c>
      <c r="CD517" s="3">
        <f>MAX(0,MIN(100,IFERROR(VLOOKUP(BP517,ETQ_TBL,2,0),0)-IF(BQ517="sí",ETQ_PEN_DUD,IF(AS517="regla",ETQ_PEN_REGLA,0))))</f>
        <v/>
      </c>
      <c r="CE517" s="3">
        <f>NEUTRO</f>
        <v/>
      </c>
      <c r="CF517" s="3">
        <f>IFERROR(VLOOKUP(L517,SEGURO_TBL,3,0),"")</f>
        <v/>
      </c>
      <c r="CG517" s="3">
        <f>IF(CF517="",NEUTRO,MAX(0,MIN(100,100*(SEG_REF_MAX-CF517)/(SEG_REF_MAX-SEG_REF_MIN))))</f>
        <v/>
      </c>
      <c r="CH517" s="3">
        <f>W_CONS*CE517+W_SEG*CG517</f>
        <v/>
      </c>
      <c r="CI517" s="3">
        <f>IF(N(AB517)&gt;0,AB517,IF(AND(R517="profesional",SG_LEGAL_ON=1),GAR_LEGAL,0))</f>
        <v/>
      </c>
      <c r="CJ517" s="3">
        <f>SG_GAR*MIN(1,CI517/SG_GAR_FULL)+SG_AMPL*(AC517="sí")+SG_KMC*(AF517="sí")+SG_REV*(N(AE517)&gt;0)+SG_DEV*MIN(1,N(AG517)/SG_DEV_FULL)+SG_HIST*(W517="sí")</f>
        <v/>
      </c>
      <c r="CK517" s="3">
        <f>IFERROR(VLOOKUP(L517,CARR_PEN_TBL,2,0),0)</f>
        <v/>
      </c>
      <c r="CL517" s="3">
        <f>W_FIAB*BW517+W_PRECIO*BX517+W_KMEDAD*CB517+W_ANUNCIO*CC517+W_USO*CH517+W_SEGURIDAD*CJ517+W_ETIQUETA*CD517-CK517</f>
        <v/>
      </c>
      <c r="CM517" s="4">
        <f>IF(N(I517)&gt;0,I517,IFERROR(ROUND(_xlfn.NUMBERVALUE(LEFT(G517,FIND(" ",G517&amp;" ")-1),".")*1000,0),99999))</f>
        <v/>
      </c>
      <c r="CN517" s="3">
        <f>IF(R517="profesional",0,IF(O517&lt;CUOTA_VALOR_MAX,IF(BA517&gt;ITP_TRAMO_ALTO,SUMIFS(CF_CUOTA,CF_MAS,ITP_TRAMO_ALTO,CF_CCMIN,"&lt;="&amp;CM517,CF_CCMAX,"&gt;="&amp;CM517),IF(BA517&gt;ITP_TRAMO_BAJO,SUMIFS(CF_CUOTA,CF_MAS,ITP_TRAMO_BAJO,CF_CCMIN,"&lt;="&amp;CM517,CF_CCMAX,"&gt;="&amp;CM517),O517*ITP_TIPO)),O517*ITP_TIPO))</f>
        <v/>
      </c>
      <c r="CO517" s="4">
        <f>IF(R517="profesional",N(AK517),0)</f>
        <v/>
      </c>
      <c r="CP517" s="3">
        <f>IF(AND(R517="profesional",ISNUMBER(AK517),AL517="sí"),0,TASA_DGT)</f>
        <v/>
      </c>
      <c r="CQ517" s="3">
        <f>INFORME_DGT</f>
        <v/>
      </c>
      <c r="CR517" s="4">
        <f>O517+CO517+CN517+CP517+CQ517</f>
        <v/>
      </c>
      <c r="CS517" s="4">
        <f>CR517+N(CF517)</f>
        <v/>
      </c>
      <c r="CT517" s="3">
        <f>IF(CR517&lt;=TOTAL_MAX,"sí",IF(CR517&lt;=TOTAL_MAX+MARGEN_NEG,"negociar","no"))</f>
        <v/>
      </c>
      <c r="CU517" s="4">
        <f>IF(CT517&lt;&gt;"no",COUNTIFS($CT$2:$CT$545,"&lt;&gt;no",$CL$2:$CL$545,"&gt;"&amp;CL517)+COUNTIFS($CT$2:CT517,"&lt;&gt;no",$CL$2:CL517,CL517),"")</f>
        <v/>
      </c>
    </row>
    <row r="518">
      <c r="A518" s="2" t="inlineStr">
        <is>
          <t>cochesnet:71743794</t>
        </is>
      </c>
      <c r="B518" s="2" t="inlineStr">
        <is>
          <t>cochesnet</t>
        </is>
      </c>
      <c r="C518" s="2" t="inlineStr">
        <is>
          <t>https://www.coches.net/citroen-c1-10-sx-3p-gasolina-2005-en-castellon-71743794-covo.aspx</t>
        </is>
      </c>
      <c r="D518" s="2" t="inlineStr">
        <is>
          <t>CITROEN C1 1.0 SX</t>
        </is>
      </c>
      <c r="E518" s="2" t="inlineStr">
        <is>
          <t>Citroën</t>
        </is>
      </c>
      <c r="F518" s="2" t="inlineStr">
        <is>
          <t>Citroën C1</t>
        </is>
      </c>
      <c r="G518" s="2" t="inlineStr">
        <is>
          <t>1.0</t>
        </is>
      </c>
      <c r="H518" s="2" t="inlineStr">
        <is>
          <t>1.0 SX</t>
        </is>
      </c>
      <c r="I518" s="2" t="n"/>
      <c r="J518" s="2" t="n"/>
      <c r="K518" s="2" t="inlineStr">
        <is>
          <t>gasolina</t>
        </is>
      </c>
      <c r="L518" s="2" t="inlineStr">
        <is>
          <t>utilitario</t>
        </is>
      </c>
      <c r="M518" s="2" t="n">
        <v>2006</v>
      </c>
      <c r="N518" s="2" t="n">
        <v>160000</v>
      </c>
      <c r="O518" s="2" t="n">
        <v>3300</v>
      </c>
      <c r="P518" s="2" t="inlineStr">
        <is>
          <t>manual</t>
        </is>
      </c>
      <c r="Q518" s="2" t="inlineStr">
        <is>
          <t>no</t>
        </is>
      </c>
      <c r="R518" s="2" t="inlineStr">
        <is>
          <t>profesional</t>
        </is>
      </c>
      <c r="S518" s="2" t="inlineStr">
        <is>
          <t>Automoviles Gual Castellón de la Plana / Castelló de la Plana</t>
        </is>
      </c>
      <c r="T518" s="2" t="inlineStr">
        <is>
          <t>2026-10-14T15:04:48Z</t>
        </is>
      </c>
      <c r="U518" s="2" t="n">
        <v>20</v>
      </c>
      <c r="V518" s="2" t="n"/>
      <c r="W518" s="2" t="n"/>
      <c r="X518" s="2" t="n"/>
      <c r="Y518" s="2" t="n"/>
      <c r="Z518" s="2" t="inlineStr">
        <is>
          <t>sí</t>
        </is>
      </c>
      <c r="AA518" s="2" t="n"/>
      <c r="AB518" s="2" t="n">
        <v>12</v>
      </c>
      <c r="AC518" s="2" t="n"/>
      <c r="AD518" s="2" t="n"/>
      <c r="AE518" s="2" t="n"/>
      <c r="AF518" s="2" t="n"/>
      <c r="AG518" s="2" t="n"/>
      <c r="AH518" s="2" t="n">
        <v>3300</v>
      </c>
      <c r="AI518" s="2" t="n"/>
      <c r="AJ518" s="2" t="n"/>
      <c r="AK518" s="2" t="n"/>
      <c r="AL518" s="2" t="n"/>
      <c r="AM518" s="2" t="n"/>
      <c r="AN518" s="2" t="n"/>
      <c r="AO518" s="2" t="inlineStr">
        <is>
          <t>2006</t>
        </is>
      </c>
      <c r="AP518" s="2" t="n">
        <v>2006</v>
      </c>
      <c r="AQ518" s="2" t="n"/>
      <c r="AR518" s="2" t="inlineStr">
        <is>
          <t>C</t>
        </is>
      </c>
      <c r="AS518" s="2" t="inlineStr">
        <is>
          <t>anuncio</t>
        </is>
      </c>
      <c r="AT518" s="2" t="n"/>
      <c r="AU518" s="2" t="n"/>
      <c r="AV518" s="2" t="n"/>
      <c r="AW518" s="2" t="n"/>
      <c r="AX518"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2 anuncio(s)</t>
        </is>
      </c>
      <c r="AY518" s="2" t="inlineStr">
        <is>
          <t xml:space="preserve">Vehículo tres puertas .
 Monta motor Toyota .
 Es un vehículo perfecto para ciudad .
 No tiene aire acondicionado 
</t>
        </is>
      </c>
      <c r="AZ518" s="2" t="inlineStr">
        <is>
          <t>https://www.coches.net/citroen-c1-10-sx-3p-gasolina-2005-en-castellon-71743794-covo.aspx (window.__INITIAL_PROPS__.ad) /home/user/Alopecia/buscador-coches/raw/cochesnet/a439c8d3e34df4a8.json</t>
        </is>
      </c>
      <c r="BA518" s="3">
        <f>MAX(ANIO_ACTUAL-M518,0)</f>
        <v/>
      </c>
      <c r="BB518" s="4">
        <f>N518/MAX(BA518,0.5)</f>
        <v/>
      </c>
      <c r="BC518" s="4">
        <f>F518</f>
        <v/>
      </c>
      <c r="BD518" s="3">
        <f>BC518&amp;"|"&amp;INT(M518/SEG_ANIO)*SEG_ANIO</f>
        <v/>
      </c>
      <c r="BE518" s="3">
        <f>BD518&amp;"|"&amp;INT(N518/SEG_KM)*SEG_KM</f>
        <v/>
      </c>
      <c r="BF518" s="4">
        <f>COUNTIF($BC$2:$BC$545,BC518)</f>
        <v/>
      </c>
      <c r="BG518" s="4">
        <f>COUNTIF($BD$2:$BD$545,BD518)</f>
        <v/>
      </c>
      <c r="BH518" s="4">
        <f>COUNTIF($BE$2:$BE$545,BE518)</f>
        <v/>
      </c>
      <c r="BI518" s="3">
        <f t="array" ref="BI518">IF(N(AU518)&gt;=MIN_N,AT518,IF(BH518&gt;=MIN_N,MEDIAN(IF($BE$2:$BE$545=BE518,$O$2:$O$545)),IF(BG518&gt;=MIN_N,MEDIAN(IF($BD$2:$BD$545=BD518,$O$2:$O$545)),MEDIAN(IF($BC$2:$BC$545=BC518,$O$2:$O$545)))))</f>
        <v/>
      </c>
      <c r="BJ518" s="3">
        <f>IF(N(AU518)&gt;=MIN_N,"mercado "&amp;AV518,IF(BH518&gt;=MIN_N,"modelo+año+km",IF(BG518&gt;=MIN_N,"modelo+año","modelo")))</f>
        <v/>
      </c>
      <c r="BK518" s="4">
        <f>(BI518-O518)/BI518</f>
        <v/>
      </c>
      <c r="BL518" s="3">
        <f>IF(COUNTIFS(FR_FUEL,K518,FR_YEAR,AP518)&gt;0,1,0)</f>
        <v/>
      </c>
      <c r="BM518" s="3">
        <f>IF(COUNTIFS(FR_FUEL,K518,FR_YEAR,AP518-1)&gt;0,1,0)</f>
        <v/>
      </c>
      <c r="BN518" s="4">
        <f>IF(N(AQ518)&gt;0,AP518*100+AQ518,IF(AND(BL518=1,BM518=1),(AP518-1)*100+1,AP518*100+1))</f>
        <v/>
      </c>
      <c r="BO518" s="3">
        <f>IF(OR(K518="hibrido",K518="glp",K518="gnc",K518="phev"),"ECO",IF(K518="electrico","CERO",IF(K518="gasolina",IF(BN518&gt;=GAS_C_YM,"C",IF(BN518&gt;=GAS_B_YM,"B","A")),IF(K518="diesel",IF(BN518&gt;=DIE_C_YM,"C",IF(BN518&gt;=DIE_B_YM,"B","A")),""))))</f>
        <v/>
      </c>
      <c r="BP518" s="2" t="inlineStr">
        <is>
          <t>C</t>
        </is>
      </c>
      <c r="BQ518" s="4">
        <f>IF(AS518="regla",IF(AND(N(AQ518)=0,BL518=1),"sí","no"),"no")</f>
        <v/>
      </c>
      <c r="BR518" s="3">
        <f>IFERROR(VLOOKUP(F518,MOD_TBL,11,0),IFERROR(VLOOKUP(E518,OCU_TBL,2,0),NEUTRO))</f>
        <v/>
      </c>
      <c r="BS518" s="3">
        <f>SUMIFS(MOT_AJUSTE,MOT_MOTOR,G518,MOT_MARCA,E518,MOT_DESDE,"&lt;="&amp;M518,MOT_HASTA,"&gt;="&amp;M518)+SUMIFS(MOT_AJUSTE,MOT_MOTOR,G518,MOT_MARCA,"(todas)",MOT_DESDE,"&lt;="&amp;M518,MOT_HASTA,"&gt;="&amp;M518)</f>
        <v/>
      </c>
      <c r="BT518" s="3">
        <f>SUMIFS(COMB_AJUSTE,COMB_COMB,K518)</f>
        <v/>
      </c>
      <c r="BU518" s="3">
        <f>COUNTIFS(MOT_MOTOR,G518,MOT_MARCA,E518,MOT_DESDE,"&lt;="&amp;M518,MOT_HASTA,"&gt;="&amp;M518)+COUNTIFS(MOT_MOTOR,G518,MOT_MARCA,"(todas)",MOT_DESDE,"&lt;="&amp;M518,MOT_HASTA,"&gt;="&amp;M518)</f>
        <v/>
      </c>
      <c r="BV518" s="3">
        <f>IF(AND(K518="diesel",BU518=0),MIN(BR518,NEUTRO),BR518)</f>
        <v/>
      </c>
      <c r="BW518" s="4">
        <f>MAX(0,MIN(100,BV518+BS518+BT518))</f>
        <v/>
      </c>
      <c r="BX518" s="3">
        <f>MAX(0,MIN(100,50+BK518*PRECIO_PEND))</f>
        <v/>
      </c>
      <c r="BY518" s="3">
        <f>MAX(0,100*(1-N518/KM_MAX))</f>
        <v/>
      </c>
      <c r="BZ518" s="3">
        <f>IF(BB518&lt;KMA_SOSP,IF(AA518="sí",100,KMA_PEN),IF(BB518&lt;=KMA_IDEAL_MAX,100,MAX(0,100*(KMA_CERO-BB518)/(KMA_CERO-KMA_IDEAL_MAX))))</f>
        <v/>
      </c>
      <c r="CA518" s="3">
        <f>MAX(0,MIN(100,100*(M518-ANIO_MIN)/(ANIO_ACTUAL-ANIO_MIN)))</f>
        <v/>
      </c>
      <c r="CB518" s="3">
        <f>W_KMT*BY518+W_KMA*BZ518+W_EDAD*CA518</f>
        <v/>
      </c>
      <c r="CC518" s="3">
        <f>P_ITV*(V518="sí")+P_LIBRO*(W518="sí")+P_CORREA*(X518="sí")+P_PROP*(Y518=1)+P_GAR*(Z518="sí")+P_FOTOS*MIN(1,N(U518)/FOTOS_OBJ)</f>
        <v/>
      </c>
      <c r="CD518" s="3">
        <f>MAX(0,MIN(100,IFERROR(VLOOKUP(BP518,ETQ_TBL,2,0),0)-IF(BQ518="sí",ETQ_PEN_DUD,IF(AS518="regla",ETQ_PEN_REGLA,0))))</f>
        <v/>
      </c>
      <c r="CE518" s="3">
        <f>NEUTRO</f>
        <v/>
      </c>
      <c r="CF518" s="3">
        <f>IFERROR(VLOOKUP(L518,SEGURO_TBL,3,0),"")</f>
        <v/>
      </c>
      <c r="CG518" s="3">
        <f>IF(CF518="",NEUTRO,MAX(0,MIN(100,100*(SEG_REF_MAX-CF518)/(SEG_REF_MAX-SEG_REF_MIN))))</f>
        <v/>
      </c>
      <c r="CH518" s="3">
        <f>W_CONS*CE518+W_SEG*CG518</f>
        <v/>
      </c>
      <c r="CI518" s="3">
        <f>IF(N(AB518)&gt;0,AB518,IF(AND(R518="profesional",SG_LEGAL_ON=1),GAR_LEGAL,0))</f>
        <v/>
      </c>
      <c r="CJ518" s="3">
        <f>SG_GAR*MIN(1,CI518/SG_GAR_FULL)+SG_AMPL*(AC518="sí")+SG_KMC*(AF518="sí")+SG_REV*(N(AE518)&gt;0)+SG_DEV*MIN(1,N(AG518)/SG_DEV_FULL)+SG_HIST*(W518="sí")</f>
        <v/>
      </c>
      <c r="CK518" s="3">
        <f>IFERROR(VLOOKUP(L518,CARR_PEN_TBL,2,0),0)</f>
        <v/>
      </c>
      <c r="CL518" s="3">
        <f>W_FIAB*BW518+W_PRECIO*BX518+W_KMEDAD*CB518+W_ANUNCIO*CC518+W_USO*CH518+W_SEGURIDAD*CJ518+W_ETIQUETA*CD518-CK518</f>
        <v/>
      </c>
      <c r="CM518" s="4">
        <f>IF(N(I518)&gt;0,I518,IFERROR(ROUND(_xlfn.NUMBERVALUE(LEFT(G518,FIND(" ",G518&amp;" ")-1),".")*1000,0),99999))</f>
        <v/>
      </c>
      <c r="CN518" s="3">
        <f>IF(R518="profesional",0,IF(O518&lt;CUOTA_VALOR_MAX,IF(BA518&gt;ITP_TRAMO_ALTO,SUMIFS(CF_CUOTA,CF_MAS,ITP_TRAMO_ALTO,CF_CCMIN,"&lt;="&amp;CM518,CF_CCMAX,"&gt;="&amp;CM518),IF(BA518&gt;ITP_TRAMO_BAJO,SUMIFS(CF_CUOTA,CF_MAS,ITP_TRAMO_BAJO,CF_CCMIN,"&lt;="&amp;CM518,CF_CCMAX,"&gt;="&amp;CM518),O518*ITP_TIPO)),O518*ITP_TIPO))</f>
        <v/>
      </c>
      <c r="CO518" s="4">
        <f>IF(R518="profesional",N(AK518),0)</f>
        <v/>
      </c>
      <c r="CP518" s="3">
        <f>IF(AND(R518="profesional",ISNUMBER(AK518),AL518="sí"),0,TASA_DGT)</f>
        <v/>
      </c>
      <c r="CQ518" s="3">
        <f>INFORME_DGT</f>
        <v/>
      </c>
      <c r="CR518" s="4">
        <f>O518+CO518+CN518+CP518+CQ518</f>
        <v/>
      </c>
      <c r="CS518" s="4">
        <f>CR518+N(CF518)</f>
        <v/>
      </c>
      <c r="CT518" s="3">
        <f>IF(CR518&lt;=TOTAL_MAX,"sí",IF(CR518&lt;=TOTAL_MAX+MARGEN_NEG,"negociar","no"))</f>
        <v/>
      </c>
      <c r="CU518" s="4">
        <f>IF(CT518&lt;&gt;"no",COUNTIFS($CT$2:$CT$545,"&lt;&gt;no",$CL$2:$CL$545,"&gt;"&amp;CL518)+COUNTIFS($CT$2:CT518,"&lt;&gt;no",$CL$2:CL518,CL518),"")</f>
        <v/>
      </c>
    </row>
    <row r="519">
      <c r="A519" s="2" t="inlineStr">
        <is>
          <t>cochesnet:71829623</t>
        </is>
      </c>
      <c r="B519" s="2" t="inlineStr">
        <is>
          <t>cochesnet</t>
        </is>
      </c>
      <c r="C519" s="2" t="inlineStr">
        <is>
          <t>https://www.coches.net/citroen-c3-11i-sx-5p-gasolina-2007-en-castellon-71829623-covo.aspx</t>
        </is>
      </c>
      <c r="D519" s="2" t="inlineStr">
        <is>
          <t>CITROEN C3 1.1i SX</t>
        </is>
      </c>
      <c r="E519" s="2" t="inlineStr">
        <is>
          <t>Citroën</t>
        </is>
      </c>
      <c r="F519" s="2" t="inlineStr">
        <is>
          <t>Citroën C3</t>
        </is>
      </c>
      <c r="G519" s="2" t="inlineStr">
        <is>
          <t>1.1</t>
        </is>
      </c>
      <c r="H519" s="2" t="inlineStr">
        <is>
          <t>1.1i SX</t>
        </is>
      </c>
      <c r="I519" s="2" t="n"/>
      <c r="J519" s="2" t="n"/>
      <c r="K519" s="2" t="inlineStr">
        <is>
          <t>gasolina</t>
        </is>
      </c>
      <c r="L519" s="2" t="inlineStr">
        <is>
          <t>utilitario</t>
        </is>
      </c>
      <c r="M519" s="2" t="n">
        <v>2007</v>
      </c>
      <c r="N519" s="2" t="n">
        <v>212912</v>
      </c>
      <c r="O519" s="2" t="n">
        <v>2900</v>
      </c>
      <c r="P519" s="2" t="inlineStr">
        <is>
          <t>manual</t>
        </is>
      </c>
      <c r="Q519" s="2" t="inlineStr">
        <is>
          <t>no</t>
        </is>
      </c>
      <c r="R519" s="2" t="inlineStr">
        <is>
          <t>particular</t>
        </is>
      </c>
      <c r="S519" s="2" t="inlineStr">
        <is>
          <t>Burriana (Borriana)</t>
        </is>
      </c>
      <c r="T519" s="2" t="inlineStr">
        <is>
          <t>2026-10-25T19:44:46Z</t>
        </is>
      </c>
      <c r="U519" s="2" t="n">
        <v>5</v>
      </c>
      <c r="V519" s="2" t="n"/>
      <c r="W519" s="2" t="n"/>
      <c r="X519" s="2" t="n"/>
      <c r="Y519" s="2" t="n"/>
      <c r="Z519" s="2" t="inlineStr">
        <is>
          <t>no</t>
        </is>
      </c>
      <c r="AA519" s="2" t="n"/>
      <c r="AB519" s="2" t="n"/>
      <c r="AC519" s="2" t="n"/>
      <c r="AD519" s="2" t="n"/>
      <c r="AE519" s="2" t="n"/>
      <c r="AF519" s="2" t="n"/>
      <c r="AG519" s="2" t="n"/>
      <c r="AH519" s="2" t="n">
        <v>2900</v>
      </c>
      <c r="AI519" s="2" t="n"/>
      <c r="AJ519" s="2" t="n"/>
      <c r="AK519" s="2" t="n"/>
      <c r="AL519" s="2" t="n"/>
      <c r="AM519" s="2" t="n">
        <v>52.9</v>
      </c>
      <c r="AN519" s="2" t="n"/>
      <c r="AO519" s="2" t="inlineStr">
        <is>
          <t>05/2007</t>
        </is>
      </c>
      <c r="AP519" s="2" t="n">
        <v>2007</v>
      </c>
      <c r="AQ519" s="2" t="n">
        <v>5</v>
      </c>
      <c r="AR519" s="2" t="inlineStr">
        <is>
          <t>C</t>
        </is>
      </c>
      <c r="AS519" s="2" t="inlineStr">
        <is>
          <t>anuncio</t>
        </is>
      </c>
      <c r="AT519" s="2" t="n">
        <v>2550</v>
      </c>
      <c r="AU519" s="2" t="n">
        <v>4</v>
      </c>
      <c r="AV519" s="2" t="inlineStr">
        <is>
          <t>modelo+año+km</t>
        </is>
      </c>
      <c r="AW519" s="2" t="n"/>
      <c r="AX519" s="2" t="inlineStr">
        <is>
          <t>cuota fija ITP: &gt;12 años, hasta 1.500 cc</t>
        </is>
      </c>
      <c r="AY519" s="2" t="inlineStr">
        <is>
          <t>Si buscas un coche fiable, económico y práctico para el día a día, este Citroën C3 es exactamente lo que necesitas. Se trata de un vehículo versátil y funcional, perfecto tanto para moverte por la ciudad como para trayectos más largos, con un motor eficiente de 1.1 litros que te garantiza un consumo ajustado y un funcionamiento sin complicaciones.
Este C3 mantiene un excelente estado general, tanto en el interior como en el exterior, mostrando el uso habitual de un coche bien cuidado. Con cinco plazas y cinco puertas, ofrece la comodidad y practicidad que esperas de un berlina urbana, facilitando el acceso y la movilidad de toda la familia o tus pasajeros.
El motor de 61 CV proporciona una potencia suficiente para una conducción segura y ágil, mientras que la transmisión manual te permite un control total del vehículo. Su consumo moderado lo convierte en una opción económica a la hora de repostar, un factor cada vez más importante en la elección de un automóvil.
A este precio, estás adquiriendo un vehículo que combina funcionalidad, eficiencia y fiabilidad, características que han hecho del Citroën C3 uno de los modelos más vendidos en Europa. Es la solución ideal si buscas movilidad sin complicaciones y sin gastar una fortuna.
Si tienes dudas sobre aspectos específicos del vehículo o deseas conocer más detalles, no dudes en contactarme a través del chat. Contacta hoy mismo y descubre por qué este C3 puede ser tu próximo coche.</t>
        </is>
      </c>
      <c r="AZ519" s="2" t="inlineStr">
        <is>
          <t>https://www.coches.net/citroen-c3-11i-sx-5p-gasolina-2007-en-castellon-71829623-covo.aspx (window.__INITIAL_PROPS__.ad) /home/user/Alopecia/buscador-coches/raw/cochesnet/b611914990aa854c.json</t>
        </is>
      </c>
      <c r="BA519" s="3">
        <f>MAX(ANIO_ACTUAL-M519,0)</f>
        <v/>
      </c>
      <c r="BB519" s="4">
        <f>N519/MAX(BA519,0.5)</f>
        <v/>
      </c>
      <c r="BC519" s="4">
        <f>F519</f>
        <v/>
      </c>
      <c r="BD519" s="3">
        <f>BC519&amp;"|"&amp;INT(M519/SEG_ANIO)*SEG_ANIO</f>
        <v/>
      </c>
      <c r="BE519" s="3">
        <f>BD519&amp;"|"&amp;INT(N519/SEG_KM)*SEG_KM</f>
        <v/>
      </c>
      <c r="BF519" s="4">
        <f>COUNTIF($BC$2:$BC$545,BC519)</f>
        <v/>
      </c>
      <c r="BG519" s="4">
        <f>COUNTIF($BD$2:$BD$545,BD519)</f>
        <v/>
      </c>
      <c r="BH519" s="4">
        <f>COUNTIF($BE$2:$BE$545,BE519)</f>
        <v/>
      </c>
      <c r="BI519" s="3">
        <f t="array" ref="BI519">IF(N(AU519)&gt;=MIN_N,AT519,IF(BH519&gt;=MIN_N,MEDIAN(IF($BE$2:$BE$545=BE519,$O$2:$O$545)),IF(BG519&gt;=MIN_N,MEDIAN(IF($BD$2:$BD$545=BD519,$O$2:$O$545)),MEDIAN(IF($BC$2:$BC$545=BC519,$O$2:$O$545)))))</f>
        <v/>
      </c>
      <c r="BJ519" s="3">
        <f>IF(N(AU519)&gt;=MIN_N,"mercado "&amp;AV519,IF(BH519&gt;=MIN_N,"modelo+año+km",IF(BG519&gt;=MIN_N,"modelo+año","modelo")))</f>
        <v/>
      </c>
      <c r="BK519" s="4">
        <f>(BI519-O519)/BI519</f>
        <v/>
      </c>
      <c r="BL519" s="3">
        <f>IF(COUNTIFS(FR_FUEL,K519,FR_YEAR,AP519)&gt;0,1,0)</f>
        <v/>
      </c>
      <c r="BM519" s="3">
        <f>IF(COUNTIFS(FR_FUEL,K519,FR_YEAR,AP519-1)&gt;0,1,0)</f>
        <v/>
      </c>
      <c r="BN519" s="4">
        <f>IF(N(AQ519)&gt;0,AP519*100+AQ519,IF(AND(BL519=1,BM519=1),(AP519-1)*100+1,AP519*100+1))</f>
        <v/>
      </c>
      <c r="BO519" s="3">
        <f>IF(OR(K519="hibrido",K519="glp",K519="gnc",K519="phev"),"ECO",IF(K519="electrico","CERO",IF(K519="gasolina",IF(BN519&gt;=GAS_C_YM,"C",IF(BN519&gt;=GAS_B_YM,"B","A")),IF(K519="diesel",IF(BN519&gt;=DIE_C_YM,"C",IF(BN519&gt;=DIE_B_YM,"B","A")),""))))</f>
        <v/>
      </c>
      <c r="BP519" s="2" t="inlineStr">
        <is>
          <t>C</t>
        </is>
      </c>
      <c r="BQ519" s="4">
        <f>IF(AS519="regla",IF(AND(N(AQ519)=0,BL519=1),"sí","no"),"no")</f>
        <v/>
      </c>
      <c r="BR519" s="3">
        <f>IFERROR(VLOOKUP(F519,MOD_TBL,11,0),IFERROR(VLOOKUP(E519,OCU_TBL,2,0),NEUTRO))</f>
        <v/>
      </c>
      <c r="BS519" s="3">
        <f>SUMIFS(MOT_AJUSTE,MOT_MOTOR,G519,MOT_MARCA,E519,MOT_DESDE,"&lt;="&amp;M519,MOT_HASTA,"&gt;="&amp;M519)+SUMIFS(MOT_AJUSTE,MOT_MOTOR,G519,MOT_MARCA,"(todas)",MOT_DESDE,"&lt;="&amp;M519,MOT_HASTA,"&gt;="&amp;M519)</f>
        <v/>
      </c>
      <c r="BT519" s="3">
        <f>SUMIFS(COMB_AJUSTE,COMB_COMB,K519)</f>
        <v/>
      </c>
      <c r="BU519" s="3">
        <f>COUNTIFS(MOT_MOTOR,G519,MOT_MARCA,E519,MOT_DESDE,"&lt;="&amp;M519,MOT_HASTA,"&gt;="&amp;M519)+COUNTIFS(MOT_MOTOR,G519,MOT_MARCA,"(todas)",MOT_DESDE,"&lt;="&amp;M519,MOT_HASTA,"&gt;="&amp;M519)</f>
        <v/>
      </c>
      <c r="BV519" s="3">
        <f>IF(AND(K519="diesel",BU519=0),MIN(BR519,NEUTRO),BR519)</f>
        <v/>
      </c>
      <c r="BW519" s="4">
        <f>MAX(0,MIN(100,BV519+BS519+BT519))</f>
        <v/>
      </c>
      <c r="BX519" s="3">
        <f>MAX(0,MIN(100,50+BK519*PRECIO_PEND))</f>
        <v/>
      </c>
      <c r="BY519" s="3">
        <f>MAX(0,100*(1-N519/KM_MAX))</f>
        <v/>
      </c>
      <c r="BZ519" s="3">
        <f>IF(BB519&lt;KMA_SOSP,IF(AA519="sí",100,KMA_PEN),IF(BB519&lt;=KMA_IDEAL_MAX,100,MAX(0,100*(KMA_CERO-BB519)/(KMA_CERO-KMA_IDEAL_MAX))))</f>
        <v/>
      </c>
      <c r="CA519" s="3">
        <f>MAX(0,MIN(100,100*(M519-ANIO_MIN)/(ANIO_ACTUAL-ANIO_MIN)))</f>
        <v/>
      </c>
      <c r="CB519" s="3">
        <f>W_KMT*BY519+W_KMA*BZ519+W_EDAD*CA519</f>
        <v/>
      </c>
      <c r="CC519" s="3">
        <f>P_ITV*(V519="sí")+P_LIBRO*(W519="sí")+P_CORREA*(X519="sí")+P_PROP*(Y519=1)+P_GAR*(Z519="sí")+P_FOTOS*MIN(1,N(U519)/FOTOS_OBJ)</f>
        <v/>
      </c>
      <c r="CD519" s="3">
        <f>MAX(0,MIN(100,IFERROR(VLOOKUP(BP519,ETQ_TBL,2,0),0)-IF(BQ519="sí",ETQ_PEN_DUD,IF(AS519="regla",ETQ_PEN_REGLA,0))))</f>
        <v/>
      </c>
      <c r="CE519" s="3">
        <f>NEUTRO</f>
        <v/>
      </c>
      <c r="CF519" s="3">
        <f>IFERROR(VLOOKUP(L519,SEGURO_TBL,3,0),"")</f>
        <v/>
      </c>
      <c r="CG519" s="3">
        <f>IF(CF519="",NEUTRO,MAX(0,MIN(100,100*(SEG_REF_MAX-CF519)/(SEG_REF_MAX-SEG_REF_MIN))))</f>
        <v/>
      </c>
      <c r="CH519" s="3">
        <f>W_CONS*CE519+W_SEG*CG519</f>
        <v/>
      </c>
      <c r="CI519" s="3">
        <f>IF(N(AB519)&gt;0,AB519,IF(AND(R519="profesional",SG_LEGAL_ON=1),GAR_LEGAL,0))</f>
        <v/>
      </c>
      <c r="CJ519" s="3">
        <f>SG_GAR*MIN(1,CI519/SG_GAR_FULL)+SG_AMPL*(AC519="sí")+SG_KMC*(AF519="sí")+SG_REV*(N(AE519)&gt;0)+SG_DEV*MIN(1,N(AG519)/SG_DEV_FULL)+SG_HIST*(W519="sí")</f>
        <v/>
      </c>
      <c r="CK519" s="3">
        <f>IFERROR(VLOOKUP(L519,CARR_PEN_TBL,2,0),0)</f>
        <v/>
      </c>
      <c r="CL519" s="3">
        <f>W_FIAB*BW519+W_PRECIO*BX519+W_KMEDAD*CB519+W_ANUNCIO*CC519+W_USO*CH519+W_SEGURIDAD*CJ519+W_ETIQUETA*CD519-CK519</f>
        <v/>
      </c>
      <c r="CM519" s="4">
        <f>IF(N(I519)&gt;0,I519,IFERROR(ROUND(_xlfn.NUMBERVALUE(LEFT(G519,FIND(" ",G519&amp;" ")-1),".")*1000,0),99999))</f>
        <v/>
      </c>
      <c r="CN519" s="3">
        <f>IF(R519="profesional",0,IF(O519&lt;CUOTA_VALOR_MAX,IF(BA519&gt;ITP_TRAMO_ALTO,SUMIFS(CF_CUOTA,CF_MAS,ITP_TRAMO_ALTO,CF_CCMIN,"&lt;="&amp;CM519,CF_CCMAX,"&gt;="&amp;CM519),IF(BA519&gt;ITP_TRAMO_BAJO,SUMIFS(CF_CUOTA,CF_MAS,ITP_TRAMO_BAJO,CF_CCMIN,"&lt;="&amp;CM519,CF_CCMAX,"&gt;="&amp;CM519),O519*ITP_TIPO)),O519*ITP_TIPO))</f>
        <v/>
      </c>
      <c r="CO519" s="4">
        <f>IF(R519="profesional",N(AK519),0)</f>
        <v/>
      </c>
      <c r="CP519" s="3">
        <f>IF(AND(R519="profesional",ISNUMBER(AK519),AL519="sí"),0,TASA_DGT)</f>
        <v/>
      </c>
      <c r="CQ519" s="3">
        <f>INFORME_DGT</f>
        <v/>
      </c>
      <c r="CR519" s="4">
        <f>O519+CO519+CN519+CP519+CQ519</f>
        <v/>
      </c>
      <c r="CS519" s="4">
        <f>CR519+N(CF519)</f>
        <v/>
      </c>
      <c r="CT519" s="3">
        <f>IF(CR519&lt;=TOTAL_MAX,"sí",IF(CR519&lt;=TOTAL_MAX+MARGEN_NEG,"negociar","no"))</f>
        <v/>
      </c>
      <c r="CU519" s="4">
        <f>IF(CT519&lt;&gt;"no",COUNTIFS($CT$2:$CT$545,"&lt;&gt;no",$CL$2:$CL$545,"&gt;"&amp;CL519)+COUNTIFS($CT$2:CT519,"&lt;&gt;no",$CL$2:CL519,CL519),"")</f>
        <v/>
      </c>
    </row>
    <row r="520">
      <c r="A520" s="2" t="inlineStr">
        <is>
          <t>cochesnet:71690884</t>
        </is>
      </c>
      <c r="B520" s="2" t="inlineStr">
        <is>
          <t>cochesnet</t>
        </is>
      </c>
      <c r="C520" s="2" t="inlineStr">
        <is>
          <t>https://www.coches.net/citroen-c4-gasolina-2006-en-castellon-71690884-covo.aspx</t>
        </is>
      </c>
      <c r="D520" s="2" t="inlineStr">
        <is>
          <t>CITROEN C4 1.4 16v LX</t>
        </is>
      </c>
      <c r="E520" s="2" t="inlineStr">
        <is>
          <t>Citroën</t>
        </is>
      </c>
      <c r="F520" s="2" t="inlineStr">
        <is>
          <t>Citroën C4</t>
        </is>
      </c>
      <c r="G520" s="2" t="inlineStr">
        <is>
          <t>1.4</t>
        </is>
      </c>
      <c r="H520" s="2" t="inlineStr">
        <is>
          <t>1.4 16v LX</t>
        </is>
      </c>
      <c r="I520" s="2" t="n"/>
      <c r="J520" s="2" t="n"/>
      <c r="K520" s="2" t="inlineStr">
        <is>
          <t>gasolina</t>
        </is>
      </c>
      <c r="L520" s="2" t="inlineStr">
        <is>
          <t>compacto</t>
        </is>
      </c>
      <c r="M520" s="2" t="n">
        <v>2006</v>
      </c>
      <c r="N520" s="2" t="n">
        <v>96364</v>
      </c>
      <c r="O520" s="2" t="n">
        <v>3200</v>
      </c>
      <c r="P520" s="2" t="inlineStr">
        <is>
          <t>manual</t>
        </is>
      </c>
      <c r="Q520" s="2" t="inlineStr">
        <is>
          <t>no</t>
        </is>
      </c>
      <c r="R520" s="2" t="inlineStr">
        <is>
          <t>particular</t>
        </is>
      </c>
      <c r="S520" s="2" t="inlineStr">
        <is>
          <t>Castellón de la Plana / Castelló de la Plana</t>
        </is>
      </c>
      <c r="T520" s="2" t="inlineStr">
        <is>
          <t>2026-10-06T20:50:12Z</t>
        </is>
      </c>
      <c r="U520" s="2" t="n">
        <v>9</v>
      </c>
      <c r="V520" s="2" t="inlineStr">
        <is>
          <t>sí</t>
        </is>
      </c>
      <c r="W520" s="2" t="n"/>
      <c r="X520" s="2" t="n"/>
      <c r="Y520" s="2" t="n"/>
      <c r="Z520" s="2" t="inlineStr">
        <is>
          <t>no</t>
        </is>
      </c>
      <c r="AA520" s="2" t="n"/>
      <c r="AB520" s="2" t="n"/>
      <c r="AC520" s="2" t="n"/>
      <c r="AD520" s="2" t="n"/>
      <c r="AE520" s="2" t="n"/>
      <c r="AF520" s="2" t="n"/>
      <c r="AG520" s="2" t="n"/>
      <c r="AH520" s="2" t="n">
        <v>3200</v>
      </c>
      <c r="AI520" s="2" t="n"/>
      <c r="AJ520" s="2" t="n"/>
      <c r="AK520" s="2" t="n"/>
      <c r="AL520" s="2" t="n"/>
      <c r="AM520" s="2" t="n"/>
      <c r="AN520" s="2" t="n"/>
      <c r="AO520" s="2" t="inlineStr">
        <is>
          <t>2006</t>
        </is>
      </c>
      <c r="AP520" s="2" t="n">
        <v>2006</v>
      </c>
      <c r="AQ520" s="2" t="n"/>
      <c r="AR520" s="2" t="n"/>
      <c r="AS520" s="2" t="inlineStr">
        <is>
          <t>regla</t>
        </is>
      </c>
      <c r="AT520" s="2" t="n">
        <v>2350</v>
      </c>
      <c r="AU520" s="2" t="n">
        <v>34</v>
      </c>
      <c r="AV520" s="2" t="inlineStr">
        <is>
          <t>modelo+año</t>
        </is>
      </c>
      <c r="AW520" s="2" t="inlineStr">
        <is>
          <t>cochesnet:71687574 (https://www.coches.net/citroen-c4-14-16v-collection-5p-gasolina-2006-en-castellon-71687574-covo.aspx)</t>
        </is>
      </c>
      <c r="AX520" s="2" t="inlineStr">
        <is>
          <t>cuota fija ITP: &gt;12 años, hasta 1.500 cc; distancia no verificable (el anuncio solo indica la provincia): confirmar que está a &lt;= 70 km; fiabilidad del modelo PENDIENTE de fuente (puntuación neutra)</t>
        </is>
      </c>
      <c r="AY520" s="2" t="inlineStr">
        <is>
          <t>Se vende Citroën C4 del año 2006 en buen estado general de funcionamiento.Pocos Km "REALES"
Usado para ir a trabajar y volver, duerme en garaje.
 Año: 2006.
Funciona perfectamente,ITV recién pasada.
 Extras: Incluye portaequipajes instaladas.
Tal y como se muestra en las fotos, presenta algunos detalles de desgaste en la pintura (desconchones típicos de los C4 rojos, en el techo y capó) y algún roce en el lateral.
A/C funciona perfectamente
 Interior cuidado con fundas en los asientos delanteros.</t>
        </is>
      </c>
      <c r="AZ520" s="2" t="inlineStr">
        <is>
          <t>https://www.coches.net/citroen-c4-gasolina-2006-en-castellon-71690884-covo.aspx (window.__INITIAL_PROPS__.ad) /home/user/Alopecia/buscador-coches/raw/cochesnet/9019d1e434112d62.json</t>
        </is>
      </c>
      <c r="BA520" s="3">
        <f>MAX(ANIO_ACTUAL-M520,0)</f>
        <v/>
      </c>
      <c r="BB520" s="4">
        <f>N520/MAX(BA520,0.5)</f>
        <v/>
      </c>
      <c r="BC520" s="4">
        <f>F520</f>
        <v/>
      </c>
      <c r="BD520" s="3">
        <f>BC520&amp;"|"&amp;INT(M520/SEG_ANIO)*SEG_ANIO</f>
        <v/>
      </c>
      <c r="BE520" s="3">
        <f>BD520&amp;"|"&amp;INT(N520/SEG_KM)*SEG_KM</f>
        <v/>
      </c>
      <c r="BF520" s="4">
        <f>COUNTIF($BC$2:$BC$545,BC520)</f>
        <v/>
      </c>
      <c r="BG520" s="4">
        <f>COUNTIF($BD$2:$BD$545,BD520)</f>
        <v/>
      </c>
      <c r="BH520" s="4">
        <f>COUNTIF($BE$2:$BE$545,BE520)</f>
        <v/>
      </c>
      <c r="BI520" s="3">
        <f t="array" ref="BI520">IF(N(AU520)&gt;=MIN_N,AT520,IF(BH520&gt;=MIN_N,MEDIAN(IF($BE$2:$BE$545=BE520,$O$2:$O$545)),IF(BG520&gt;=MIN_N,MEDIAN(IF($BD$2:$BD$545=BD520,$O$2:$O$545)),MEDIAN(IF($BC$2:$BC$545=BC520,$O$2:$O$545)))))</f>
        <v/>
      </c>
      <c r="BJ520" s="3">
        <f>IF(N(AU520)&gt;=MIN_N,"mercado "&amp;AV520,IF(BH520&gt;=MIN_N,"modelo+año+km",IF(BG520&gt;=MIN_N,"modelo+año","modelo")))</f>
        <v/>
      </c>
      <c r="BK520" s="4">
        <f>(BI520-O520)/BI520</f>
        <v/>
      </c>
      <c r="BL520" s="3">
        <f>IF(COUNTIFS(FR_FUEL,K520,FR_YEAR,AP520)&gt;0,1,0)</f>
        <v/>
      </c>
      <c r="BM520" s="3">
        <f>IF(COUNTIFS(FR_FUEL,K520,FR_YEAR,AP520-1)&gt;0,1,0)</f>
        <v/>
      </c>
      <c r="BN520" s="4">
        <f>IF(N(AQ520)&gt;0,AP520*100+AQ520,IF(AND(BL520=1,BM520=1),(AP520-1)*100+1,AP520*100+1))</f>
        <v/>
      </c>
      <c r="BO520" s="3">
        <f>IF(OR(K520="hibrido",K520="glp",K520="gnc",K520="phev"),"ECO",IF(K520="electrico","CERO",IF(K520="gasolina",IF(BN520&gt;=GAS_C_YM,"C",IF(BN520&gt;=GAS_B_YM,"B","A")),IF(K520="diesel",IF(BN520&gt;=DIE_C_YM,"C",IF(BN520&gt;=DIE_B_YM,"B","A")),""))))</f>
        <v/>
      </c>
      <c r="BP520" s="4">
        <f>BO520</f>
        <v/>
      </c>
      <c r="BQ520" s="4">
        <f>IF(AS520="regla",IF(AND(N(AQ520)=0,BL520=1),"sí","no"),"no")</f>
        <v/>
      </c>
      <c r="BR520" s="3">
        <f>IFERROR(VLOOKUP(F520,MOD_TBL,11,0),IFERROR(VLOOKUP(E520,OCU_TBL,2,0),NEUTRO))</f>
        <v/>
      </c>
      <c r="BS520" s="3">
        <f>SUMIFS(MOT_AJUSTE,MOT_MOTOR,G520,MOT_MARCA,E520,MOT_DESDE,"&lt;="&amp;M520,MOT_HASTA,"&gt;="&amp;M520)+SUMIFS(MOT_AJUSTE,MOT_MOTOR,G520,MOT_MARCA,"(todas)",MOT_DESDE,"&lt;="&amp;M520,MOT_HASTA,"&gt;="&amp;M520)</f>
        <v/>
      </c>
      <c r="BT520" s="3">
        <f>SUMIFS(COMB_AJUSTE,COMB_COMB,K520)</f>
        <v/>
      </c>
      <c r="BU520" s="3">
        <f>COUNTIFS(MOT_MOTOR,G520,MOT_MARCA,E520,MOT_DESDE,"&lt;="&amp;M520,MOT_HASTA,"&gt;="&amp;M520)+COUNTIFS(MOT_MOTOR,G520,MOT_MARCA,"(todas)",MOT_DESDE,"&lt;="&amp;M520,MOT_HASTA,"&gt;="&amp;M520)</f>
        <v/>
      </c>
      <c r="BV520" s="3">
        <f>IF(AND(K520="diesel",BU520=0),MIN(BR520,NEUTRO),BR520)</f>
        <v/>
      </c>
      <c r="BW520" s="4">
        <f>MAX(0,MIN(100,BV520+BS520+BT520))</f>
        <v/>
      </c>
      <c r="BX520" s="3">
        <f>MAX(0,MIN(100,50+BK520*PRECIO_PEND))</f>
        <v/>
      </c>
      <c r="BY520" s="3">
        <f>MAX(0,100*(1-N520/KM_MAX))</f>
        <v/>
      </c>
      <c r="BZ520" s="3">
        <f>IF(BB520&lt;KMA_SOSP,IF(AA520="sí",100,KMA_PEN),IF(BB520&lt;=KMA_IDEAL_MAX,100,MAX(0,100*(KMA_CERO-BB520)/(KMA_CERO-KMA_IDEAL_MAX))))</f>
        <v/>
      </c>
      <c r="CA520" s="3">
        <f>MAX(0,MIN(100,100*(M520-ANIO_MIN)/(ANIO_ACTUAL-ANIO_MIN)))</f>
        <v/>
      </c>
      <c r="CB520" s="3">
        <f>W_KMT*BY520+W_KMA*BZ520+W_EDAD*CA520</f>
        <v/>
      </c>
      <c r="CC520" s="3">
        <f>P_ITV*(V520="sí")+P_LIBRO*(W520="sí")+P_CORREA*(X520="sí")+P_PROP*(Y520=1)+P_GAR*(Z520="sí")+P_FOTOS*MIN(1,N(U520)/FOTOS_OBJ)</f>
        <v/>
      </c>
      <c r="CD520" s="3">
        <f>MAX(0,MIN(100,IFERROR(VLOOKUP(BP520,ETQ_TBL,2,0),0)-IF(BQ520="sí",ETQ_PEN_DUD,IF(AS520="regla",ETQ_PEN_REGLA,0))))</f>
        <v/>
      </c>
      <c r="CE520" s="3">
        <f>NEUTRO</f>
        <v/>
      </c>
      <c r="CF520" s="3">
        <f>IFERROR(VLOOKUP(L520,SEGURO_TBL,3,0),"")</f>
        <v/>
      </c>
      <c r="CG520" s="3">
        <f>IF(CF520="",NEUTRO,MAX(0,MIN(100,100*(SEG_REF_MAX-CF520)/(SEG_REF_MAX-SEG_REF_MIN))))</f>
        <v/>
      </c>
      <c r="CH520" s="3">
        <f>W_CONS*CE520+W_SEG*CG520</f>
        <v/>
      </c>
      <c r="CI520" s="3">
        <f>IF(N(AB520)&gt;0,AB520,IF(AND(R520="profesional",SG_LEGAL_ON=1),GAR_LEGAL,0))</f>
        <v/>
      </c>
      <c r="CJ520" s="3">
        <f>SG_GAR*MIN(1,CI520/SG_GAR_FULL)+SG_AMPL*(AC520="sí")+SG_KMC*(AF520="sí")+SG_REV*(N(AE520)&gt;0)+SG_DEV*MIN(1,N(AG520)/SG_DEV_FULL)+SG_HIST*(W520="sí")</f>
        <v/>
      </c>
      <c r="CK520" s="3">
        <f>IFERROR(VLOOKUP(L520,CARR_PEN_TBL,2,0),0)</f>
        <v/>
      </c>
      <c r="CL520" s="3">
        <f>W_FIAB*BW520+W_PRECIO*BX520+W_KMEDAD*CB520+W_ANUNCIO*CC520+W_USO*CH520+W_SEGURIDAD*CJ520+W_ETIQUETA*CD520-CK520</f>
        <v/>
      </c>
      <c r="CM520" s="4">
        <f>IF(N(I520)&gt;0,I520,IFERROR(ROUND(_xlfn.NUMBERVALUE(LEFT(G520,FIND(" ",G520&amp;" ")-1),".")*1000,0),99999))</f>
        <v/>
      </c>
      <c r="CN520" s="3">
        <f>IF(R520="profesional",0,IF(O520&lt;CUOTA_VALOR_MAX,IF(BA520&gt;ITP_TRAMO_ALTO,SUMIFS(CF_CUOTA,CF_MAS,ITP_TRAMO_ALTO,CF_CCMIN,"&lt;="&amp;CM520,CF_CCMAX,"&gt;="&amp;CM520),IF(BA520&gt;ITP_TRAMO_BAJO,SUMIFS(CF_CUOTA,CF_MAS,ITP_TRAMO_BAJO,CF_CCMIN,"&lt;="&amp;CM520,CF_CCMAX,"&gt;="&amp;CM520),O520*ITP_TIPO)),O520*ITP_TIPO))</f>
        <v/>
      </c>
      <c r="CO520" s="4">
        <f>IF(R520="profesional",N(AK520),0)</f>
        <v/>
      </c>
      <c r="CP520" s="3">
        <f>IF(AND(R520="profesional",ISNUMBER(AK520),AL520="sí"),0,TASA_DGT)</f>
        <v/>
      </c>
      <c r="CQ520" s="3">
        <f>INFORME_DGT</f>
        <v/>
      </c>
      <c r="CR520" s="4">
        <f>O520+CO520+CN520+CP520+CQ520</f>
        <v/>
      </c>
      <c r="CS520" s="4">
        <f>CR520+N(CF520)</f>
        <v/>
      </c>
      <c r="CT520" s="3">
        <f>IF(CR520&lt;=TOTAL_MAX,"sí",IF(CR520&lt;=TOTAL_MAX+MARGEN_NEG,"negociar","no"))</f>
        <v/>
      </c>
      <c r="CU520" s="4">
        <f>IF(CT520&lt;&gt;"no",COUNTIFS($CT$2:$CT$545,"&lt;&gt;no",$CL$2:$CL$545,"&gt;"&amp;CL520)+COUNTIFS($CT$2:CT520,"&lt;&gt;no",$CL$2:CL520,CL520),"")</f>
        <v/>
      </c>
    </row>
    <row r="521">
      <c r="A521" s="2" t="inlineStr">
        <is>
          <t>cochesnet:71573999</t>
        </is>
      </c>
      <c r="B521" s="2" t="inlineStr">
        <is>
          <t>cochesnet</t>
        </is>
      </c>
      <c r="C521" s="2" t="inlineStr">
        <is>
          <t>https://www.coches.net/citroen-c4-14-16v-collection-5p-gasolina-2004-en-castellon-71573999-covo.aspx</t>
        </is>
      </c>
      <c r="D521" s="2" t="inlineStr">
        <is>
          <t>CITROEN C4 1.4 16v Collection</t>
        </is>
      </c>
      <c r="E521" s="2" t="inlineStr">
        <is>
          <t>Citroën</t>
        </is>
      </c>
      <c r="F521" s="2" t="inlineStr">
        <is>
          <t>Citroën C4</t>
        </is>
      </c>
      <c r="G521" s="2" t="inlineStr">
        <is>
          <t>1.4</t>
        </is>
      </c>
      <c r="H521" s="2" t="inlineStr">
        <is>
          <t>1.4 16v Collection</t>
        </is>
      </c>
      <c r="I521" s="2" t="n"/>
      <c r="J521" s="2" t="n"/>
      <c r="K521" s="2" t="inlineStr">
        <is>
          <t>gasolina</t>
        </is>
      </c>
      <c r="L521" s="2" t="inlineStr">
        <is>
          <t>compacto</t>
        </is>
      </c>
      <c r="M521" s="2" t="n">
        <v>2007</v>
      </c>
      <c r="N521" s="2" t="n">
        <v>90000</v>
      </c>
      <c r="O521" s="2" t="n">
        <v>4500</v>
      </c>
      <c r="P521" s="2" t="inlineStr">
        <is>
          <t>manual</t>
        </is>
      </c>
      <c r="Q521" s="2" t="inlineStr">
        <is>
          <t>no</t>
        </is>
      </c>
      <c r="R521" s="2" t="inlineStr">
        <is>
          <t>profesional</t>
        </is>
      </c>
      <c r="S521" s="2" t="inlineStr">
        <is>
          <t>Automoviles Llorens  Almazora</t>
        </is>
      </c>
      <c r="T521" s="2" t="inlineStr">
        <is>
          <t>2026-09-22T18:20:39Z</t>
        </is>
      </c>
      <c r="U521" s="2" t="n">
        <v>9</v>
      </c>
      <c r="V521" s="2" t="n"/>
      <c r="W521" s="2" t="n"/>
      <c r="X521" s="2" t="n"/>
      <c r="Y521" s="2" t="n"/>
      <c r="Z521" s="2" t="inlineStr">
        <is>
          <t>sí</t>
        </is>
      </c>
      <c r="AA521" s="2" t="n"/>
      <c r="AB521" s="2" t="n">
        <v>12</v>
      </c>
      <c r="AC521" s="2" t="n"/>
      <c r="AD521" s="2" t="n"/>
      <c r="AE521" s="2" t="n"/>
      <c r="AF521" s="2" t="n"/>
      <c r="AG521" s="2" t="n"/>
      <c r="AH521" s="2" t="n">
        <v>4500</v>
      </c>
      <c r="AI521" s="2" t="n"/>
      <c r="AJ521" s="2" t="n"/>
      <c r="AK521" s="2" t="n"/>
      <c r="AL521" s="2" t="n"/>
      <c r="AM521" s="2" t="n"/>
      <c r="AN521" s="2" t="n"/>
      <c r="AO521" s="2" t="inlineStr">
        <is>
          <t>2007</t>
        </is>
      </c>
      <c r="AP521" s="2" t="n">
        <v>2007</v>
      </c>
      <c r="AQ521" s="2" t="n"/>
      <c r="AR521" s="2" t="inlineStr">
        <is>
          <t>C</t>
        </is>
      </c>
      <c r="AS521" s="2" t="inlineStr">
        <is>
          <t>anuncio</t>
        </is>
      </c>
      <c r="AT521" s="2" t="n">
        <v>3500</v>
      </c>
      <c r="AU521" s="2" t="n">
        <v>53</v>
      </c>
      <c r="AV521" s="2" t="inlineStr">
        <is>
          <t>modelo+año</t>
        </is>
      </c>
      <c r="AW521" s="2" t="n"/>
      <c r="AX521"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21" s="2" t="inlineStr">
        <is>
          <t>Este Citroën C4 Collection dispone de climatización bizona automática, control de crucero y ordenador de viaje con información de consumo instantáneo y autonomía. Equipado con dirección asistida, elevalunas eléctricos en todas las puertas, retrovisores exteriores eléctricos con eliminación de ángulo muerto y sistema de audio con seis altavoces controlable desde el volante multifuncional. Presenta cristales tintados, limpiaparabrisas delantero y cierre centralizado con mando a distancia. Su etiqueta ambiental C facilita el acceso a zonas de tráfico limitado en ciudades.</t>
        </is>
      </c>
      <c r="AZ521" s="2" t="inlineStr">
        <is>
          <t>https://www.coches.net/citroen-c4-14-16v-collection-5p-gasolina-2004-en-castellon-71573999-covo.aspx (window.__INITIAL_PROPS__.ad) /home/user/Alopecia/buscador-coches/raw/cochesnet/cf456d9732698ff5.json</t>
        </is>
      </c>
      <c r="BA521" s="3">
        <f>MAX(ANIO_ACTUAL-M521,0)</f>
        <v/>
      </c>
      <c r="BB521" s="4">
        <f>N521/MAX(BA521,0.5)</f>
        <v/>
      </c>
      <c r="BC521" s="4">
        <f>F521</f>
        <v/>
      </c>
      <c r="BD521" s="3">
        <f>BC521&amp;"|"&amp;INT(M521/SEG_ANIO)*SEG_ANIO</f>
        <v/>
      </c>
      <c r="BE521" s="3">
        <f>BD521&amp;"|"&amp;INT(N521/SEG_KM)*SEG_KM</f>
        <v/>
      </c>
      <c r="BF521" s="4">
        <f>COUNTIF($BC$2:$BC$545,BC521)</f>
        <v/>
      </c>
      <c r="BG521" s="4">
        <f>COUNTIF($BD$2:$BD$545,BD521)</f>
        <v/>
      </c>
      <c r="BH521" s="4">
        <f>COUNTIF($BE$2:$BE$545,BE521)</f>
        <v/>
      </c>
      <c r="BI521" s="3">
        <f t="array" ref="BI521">IF(N(AU521)&gt;=MIN_N,AT521,IF(BH521&gt;=MIN_N,MEDIAN(IF($BE$2:$BE$545=BE521,$O$2:$O$545)),IF(BG521&gt;=MIN_N,MEDIAN(IF($BD$2:$BD$545=BD521,$O$2:$O$545)),MEDIAN(IF($BC$2:$BC$545=BC521,$O$2:$O$545)))))</f>
        <v/>
      </c>
      <c r="BJ521" s="3">
        <f>IF(N(AU521)&gt;=MIN_N,"mercado "&amp;AV521,IF(BH521&gt;=MIN_N,"modelo+año+km",IF(BG521&gt;=MIN_N,"modelo+año","modelo")))</f>
        <v/>
      </c>
      <c r="BK521" s="4">
        <f>(BI521-O521)/BI521</f>
        <v/>
      </c>
      <c r="BL521" s="3">
        <f>IF(COUNTIFS(FR_FUEL,K521,FR_YEAR,AP521)&gt;0,1,0)</f>
        <v/>
      </c>
      <c r="BM521" s="3">
        <f>IF(COUNTIFS(FR_FUEL,K521,FR_YEAR,AP521-1)&gt;0,1,0)</f>
        <v/>
      </c>
      <c r="BN521" s="4">
        <f>IF(N(AQ521)&gt;0,AP521*100+AQ521,IF(AND(BL521=1,BM521=1),(AP521-1)*100+1,AP521*100+1))</f>
        <v/>
      </c>
      <c r="BO521" s="3">
        <f>IF(OR(K521="hibrido",K521="glp",K521="gnc",K521="phev"),"ECO",IF(K521="electrico","CERO",IF(K521="gasolina",IF(BN521&gt;=GAS_C_YM,"C",IF(BN521&gt;=GAS_B_YM,"B","A")),IF(K521="diesel",IF(BN521&gt;=DIE_C_YM,"C",IF(BN521&gt;=DIE_B_YM,"B","A")),""))))</f>
        <v/>
      </c>
      <c r="BP521" s="2" t="inlineStr">
        <is>
          <t>C</t>
        </is>
      </c>
      <c r="BQ521" s="4">
        <f>IF(AS521="regla",IF(AND(N(AQ521)=0,BL521=1),"sí","no"),"no")</f>
        <v/>
      </c>
      <c r="BR521" s="3">
        <f>IFERROR(VLOOKUP(F521,MOD_TBL,11,0),IFERROR(VLOOKUP(E521,OCU_TBL,2,0),NEUTRO))</f>
        <v/>
      </c>
      <c r="BS521" s="3">
        <f>SUMIFS(MOT_AJUSTE,MOT_MOTOR,G521,MOT_MARCA,E521,MOT_DESDE,"&lt;="&amp;M521,MOT_HASTA,"&gt;="&amp;M521)+SUMIFS(MOT_AJUSTE,MOT_MOTOR,G521,MOT_MARCA,"(todas)",MOT_DESDE,"&lt;="&amp;M521,MOT_HASTA,"&gt;="&amp;M521)</f>
        <v/>
      </c>
      <c r="BT521" s="3">
        <f>SUMIFS(COMB_AJUSTE,COMB_COMB,K521)</f>
        <v/>
      </c>
      <c r="BU521" s="3">
        <f>COUNTIFS(MOT_MOTOR,G521,MOT_MARCA,E521,MOT_DESDE,"&lt;="&amp;M521,MOT_HASTA,"&gt;="&amp;M521)+COUNTIFS(MOT_MOTOR,G521,MOT_MARCA,"(todas)",MOT_DESDE,"&lt;="&amp;M521,MOT_HASTA,"&gt;="&amp;M521)</f>
        <v/>
      </c>
      <c r="BV521" s="3">
        <f>IF(AND(K521="diesel",BU521=0),MIN(BR521,NEUTRO),BR521)</f>
        <v/>
      </c>
      <c r="BW521" s="4">
        <f>MAX(0,MIN(100,BV521+BS521+BT521))</f>
        <v/>
      </c>
      <c r="BX521" s="3">
        <f>MAX(0,MIN(100,50+BK521*PRECIO_PEND))</f>
        <v/>
      </c>
      <c r="BY521" s="3">
        <f>MAX(0,100*(1-N521/KM_MAX))</f>
        <v/>
      </c>
      <c r="BZ521" s="3">
        <f>IF(BB521&lt;KMA_SOSP,IF(AA521="sí",100,KMA_PEN),IF(BB521&lt;=KMA_IDEAL_MAX,100,MAX(0,100*(KMA_CERO-BB521)/(KMA_CERO-KMA_IDEAL_MAX))))</f>
        <v/>
      </c>
      <c r="CA521" s="3">
        <f>MAX(0,MIN(100,100*(M521-ANIO_MIN)/(ANIO_ACTUAL-ANIO_MIN)))</f>
        <v/>
      </c>
      <c r="CB521" s="3">
        <f>W_KMT*BY521+W_KMA*BZ521+W_EDAD*CA521</f>
        <v/>
      </c>
      <c r="CC521" s="3">
        <f>P_ITV*(V521="sí")+P_LIBRO*(W521="sí")+P_CORREA*(X521="sí")+P_PROP*(Y521=1)+P_GAR*(Z521="sí")+P_FOTOS*MIN(1,N(U521)/FOTOS_OBJ)</f>
        <v/>
      </c>
      <c r="CD521" s="3">
        <f>MAX(0,MIN(100,IFERROR(VLOOKUP(BP521,ETQ_TBL,2,0),0)-IF(BQ521="sí",ETQ_PEN_DUD,IF(AS521="regla",ETQ_PEN_REGLA,0))))</f>
        <v/>
      </c>
      <c r="CE521" s="3">
        <f>NEUTRO</f>
        <v/>
      </c>
      <c r="CF521" s="3">
        <f>IFERROR(VLOOKUP(L521,SEGURO_TBL,3,0),"")</f>
        <v/>
      </c>
      <c r="CG521" s="3">
        <f>IF(CF521="",NEUTRO,MAX(0,MIN(100,100*(SEG_REF_MAX-CF521)/(SEG_REF_MAX-SEG_REF_MIN))))</f>
        <v/>
      </c>
      <c r="CH521" s="3">
        <f>W_CONS*CE521+W_SEG*CG521</f>
        <v/>
      </c>
      <c r="CI521" s="3">
        <f>IF(N(AB521)&gt;0,AB521,IF(AND(R521="profesional",SG_LEGAL_ON=1),GAR_LEGAL,0))</f>
        <v/>
      </c>
      <c r="CJ521" s="3">
        <f>SG_GAR*MIN(1,CI521/SG_GAR_FULL)+SG_AMPL*(AC521="sí")+SG_KMC*(AF521="sí")+SG_REV*(N(AE521)&gt;0)+SG_DEV*MIN(1,N(AG521)/SG_DEV_FULL)+SG_HIST*(W521="sí")</f>
        <v/>
      </c>
      <c r="CK521" s="3">
        <f>IFERROR(VLOOKUP(L521,CARR_PEN_TBL,2,0),0)</f>
        <v/>
      </c>
      <c r="CL521" s="3">
        <f>W_FIAB*BW521+W_PRECIO*BX521+W_KMEDAD*CB521+W_ANUNCIO*CC521+W_USO*CH521+W_SEGURIDAD*CJ521+W_ETIQUETA*CD521-CK521</f>
        <v/>
      </c>
      <c r="CM521" s="4">
        <f>IF(N(I521)&gt;0,I521,IFERROR(ROUND(_xlfn.NUMBERVALUE(LEFT(G521,FIND(" ",G521&amp;" ")-1),".")*1000,0),99999))</f>
        <v/>
      </c>
      <c r="CN521" s="3">
        <f>IF(R521="profesional",0,IF(O521&lt;CUOTA_VALOR_MAX,IF(BA521&gt;ITP_TRAMO_ALTO,SUMIFS(CF_CUOTA,CF_MAS,ITP_TRAMO_ALTO,CF_CCMIN,"&lt;="&amp;CM521,CF_CCMAX,"&gt;="&amp;CM521),IF(BA521&gt;ITP_TRAMO_BAJO,SUMIFS(CF_CUOTA,CF_MAS,ITP_TRAMO_BAJO,CF_CCMIN,"&lt;="&amp;CM521,CF_CCMAX,"&gt;="&amp;CM521),O521*ITP_TIPO)),O521*ITP_TIPO))</f>
        <v/>
      </c>
      <c r="CO521" s="4">
        <f>IF(R521="profesional",N(AK521),0)</f>
        <v/>
      </c>
      <c r="CP521" s="3">
        <f>IF(AND(R521="profesional",ISNUMBER(AK521),AL521="sí"),0,TASA_DGT)</f>
        <v/>
      </c>
      <c r="CQ521" s="3">
        <f>INFORME_DGT</f>
        <v/>
      </c>
      <c r="CR521" s="4">
        <f>O521+CO521+CN521+CP521+CQ521</f>
        <v/>
      </c>
      <c r="CS521" s="4">
        <f>CR521+N(CF521)</f>
        <v/>
      </c>
      <c r="CT521" s="3">
        <f>IF(CR521&lt;=TOTAL_MAX,"sí",IF(CR521&lt;=TOTAL_MAX+MARGEN_NEG,"negociar","no"))</f>
        <v/>
      </c>
      <c r="CU521" s="4">
        <f>IF(CT521&lt;&gt;"no",COUNTIFS($CT$2:$CT$545,"&lt;&gt;no",$CL$2:$CL$545,"&gt;"&amp;CL521)+COUNTIFS($CT$2:CT521,"&lt;&gt;no",$CL$2:CL521,CL521),"")</f>
        <v/>
      </c>
    </row>
    <row r="522">
      <c r="A522" s="2" t="inlineStr">
        <is>
          <t>cochesnet:71545301</t>
        </is>
      </c>
      <c r="B522" s="2" t="inlineStr">
        <is>
          <t>cochesnet</t>
        </is>
      </c>
      <c r="C522" s="2" t="inlineStr">
        <is>
          <t>https://www.coches.net/citroen-c4-gasolina-2007-en-castellon-71545301-covo.aspx</t>
        </is>
      </c>
      <c r="D522" s="2" t="inlineStr">
        <is>
          <t>CITROEN C4</t>
        </is>
      </c>
      <c r="E522" s="2" t="inlineStr">
        <is>
          <t>Citroën</t>
        </is>
      </c>
      <c r="F522" s="2" t="inlineStr">
        <is>
          <t>Citroën C4</t>
        </is>
      </c>
      <c r="G522" s="2" t="n"/>
      <c r="H522" s="2" t="n"/>
      <c r="I522" s="2" t="n"/>
      <c r="J522" s="2" t="n"/>
      <c r="K522" s="2" t="inlineStr">
        <is>
          <t>gasolina</t>
        </is>
      </c>
      <c r="L522" s="2" t="inlineStr">
        <is>
          <t>compacto</t>
        </is>
      </c>
      <c r="M522" s="2" t="n">
        <v>2007</v>
      </c>
      <c r="N522" s="2" t="n">
        <v>153511</v>
      </c>
      <c r="O522" s="2" t="n">
        <v>3100</v>
      </c>
      <c r="P522" s="2" t="inlineStr">
        <is>
          <t>manual</t>
        </is>
      </c>
      <c r="Q522" s="2" t="inlineStr">
        <is>
          <t>no</t>
        </is>
      </c>
      <c r="R522" s="2" t="inlineStr">
        <is>
          <t>particular</t>
        </is>
      </c>
      <c r="S522" s="2" t="n"/>
      <c r="T522" s="2" t="inlineStr">
        <is>
          <t>2026-09-18T11:20:17Z</t>
        </is>
      </c>
      <c r="U522" s="2" t="n">
        <v>7</v>
      </c>
      <c r="V522" s="2" t="inlineStr">
        <is>
          <t>sí</t>
        </is>
      </c>
      <c r="W522" s="2" t="n"/>
      <c r="X522" s="2" t="n"/>
      <c r="Y522" s="2" t="n"/>
      <c r="Z522" s="2" t="inlineStr">
        <is>
          <t>no</t>
        </is>
      </c>
      <c r="AA522" s="2" t="n"/>
      <c r="AB522" s="2" t="n"/>
      <c r="AC522" s="2" t="n"/>
      <c r="AD522" s="2" t="n"/>
      <c r="AE522" s="2" t="n"/>
      <c r="AF522" s="2" t="n"/>
      <c r="AG522" s="2" t="n"/>
      <c r="AH522" s="2" t="n">
        <v>3100</v>
      </c>
      <c r="AI522" s="2" t="n"/>
      <c r="AJ522" s="2" t="n"/>
      <c r="AK522" s="2" t="n"/>
      <c r="AL522" s="2" t="n"/>
      <c r="AM522" s="2" t="n"/>
      <c r="AN522" s="2" t="n"/>
      <c r="AO522" s="2" t="inlineStr">
        <is>
          <t>2007</t>
        </is>
      </c>
      <c r="AP522" s="2" t="n">
        <v>2007</v>
      </c>
      <c r="AQ522" s="2" t="n"/>
      <c r="AR522" s="2" t="n"/>
      <c r="AS522" s="2" t="inlineStr">
        <is>
          <t>regla</t>
        </is>
      </c>
      <c r="AT522" s="2" t="n">
        <v>3500</v>
      </c>
      <c r="AU522" s="2" t="n">
        <v>11</v>
      </c>
      <c r="AV522" s="2" t="inlineStr">
        <is>
          <t>modelo+año+km</t>
        </is>
      </c>
      <c r="AW522" s="2" t="n"/>
      <c r="AX522"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22" s="2" t="inlineStr">
        <is>
          <t xml:space="preserve">vendo citroen c4 del 2007 en buen estado. 
Itv en vigor pasada en 08/2026
4 Ruedas prácticamente nuevas
Frenos y discos cambiados
Bateria nueva desde agosto
Tiene algun raya, en los laterales, y en puerta maletero, visibles en las fotos. techo un poco desteñido por el tiempo y el sol.
Km reales, todas las revisiones, cambio de aceite, escobillas parabrisas cambiadas recientemente, techo del interior retapizado en negro como nuevo, dos llaves electrónicas, elevalunas electrico recién cambiado.
En caso de compra: limpieza a fondo de tapicería.
109 caballos de potencia, cambio de nombre incluido en el precio.
</t>
        </is>
      </c>
      <c r="AZ522" s="2" t="inlineStr">
        <is>
          <t>https://www.coches.net/citroen-c4-gasolina-2007-en-castellon-71545301-covo.aspx (window.__INITIAL_PROPS__.ad) /home/user/Alopecia/buscador-coches/raw/cochesnet/37c5283723858adb.json</t>
        </is>
      </c>
      <c r="BA522" s="3">
        <f>MAX(ANIO_ACTUAL-M522,0)</f>
        <v/>
      </c>
      <c r="BB522" s="4">
        <f>N522/MAX(BA522,0.5)</f>
        <v/>
      </c>
      <c r="BC522" s="4">
        <f>F522</f>
        <v/>
      </c>
      <c r="BD522" s="3">
        <f>BC522&amp;"|"&amp;INT(M522/SEG_ANIO)*SEG_ANIO</f>
        <v/>
      </c>
      <c r="BE522" s="3">
        <f>BD522&amp;"|"&amp;INT(N522/SEG_KM)*SEG_KM</f>
        <v/>
      </c>
      <c r="BF522" s="4">
        <f>COUNTIF($BC$2:$BC$545,BC522)</f>
        <v/>
      </c>
      <c r="BG522" s="4">
        <f>COUNTIF($BD$2:$BD$545,BD522)</f>
        <v/>
      </c>
      <c r="BH522" s="4">
        <f>COUNTIF($BE$2:$BE$545,BE522)</f>
        <v/>
      </c>
      <c r="BI522" s="3">
        <f t="array" ref="BI522">IF(N(AU522)&gt;=MIN_N,AT522,IF(BH522&gt;=MIN_N,MEDIAN(IF($BE$2:$BE$545=BE522,$O$2:$O$545)),IF(BG522&gt;=MIN_N,MEDIAN(IF($BD$2:$BD$545=BD522,$O$2:$O$545)),MEDIAN(IF($BC$2:$BC$545=BC522,$O$2:$O$545)))))</f>
        <v/>
      </c>
      <c r="BJ522" s="3">
        <f>IF(N(AU522)&gt;=MIN_N,"mercado "&amp;AV522,IF(BH522&gt;=MIN_N,"modelo+año+km",IF(BG522&gt;=MIN_N,"modelo+año","modelo")))</f>
        <v/>
      </c>
      <c r="BK522" s="4">
        <f>(BI522-O522)/BI522</f>
        <v/>
      </c>
      <c r="BL522" s="3">
        <f>IF(COUNTIFS(FR_FUEL,K522,FR_YEAR,AP522)&gt;0,1,0)</f>
        <v/>
      </c>
      <c r="BM522" s="3">
        <f>IF(COUNTIFS(FR_FUEL,K522,FR_YEAR,AP522-1)&gt;0,1,0)</f>
        <v/>
      </c>
      <c r="BN522" s="4">
        <f>IF(N(AQ522)&gt;0,AP522*100+AQ522,IF(AND(BL522=1,BM522=1),(AP522-1)*100+1,AP522*100+1))</f>
        <v/>
      </c>
      <c r="BO522" s="3">
        <f>IF(OR(K522="hibrido",K522="glp",K522="gnc",K522="phev"),"ECO",IF(K522="electrico","CERO",IF(K522="gasolina",IF(BN522&gt;=GAS_C_YM,"C",IF(BN522&gt;=GAS_B_YM,"B","A")),IF(K522="diesel",IF(BN522&gt;=DIE_C_YM,"C",IF(BN522&gt;=DIE_B_YM,"B","A")),""))))</f>
        <v/>
      </c>
      <c r="BP522" s="4">
        <f>BO522</f>
        <v/>
      </c>
      <c r="BQ522" s="4">
        <f>IF(AS522="regla",IF(AND(N(AQ522)=0,BL522=1),"sí","no"),"no")</f>
        <v/>
      </c>
      <c r="BR522" s="3">
        <f>IFERROR(VLOOKUP(F522,MOD_TBL,11,0),IFERROR(VLOOKUP(E522,OCU_TBL,2,0),NEUTRO))</f>
        <v/>
      </c>
      <c r="BS522" s="3">
        <f>SUMIFS(MOT_AJUSTE,MOT_MOTOR,G522,MOT_MARCA,E522,MOT_DESDE,"&lt;="&amp;M522,MOT_HASTA,"&gt;="&amp;M522)+SUMIFS(MOT_AJUSTE,MOT_MOTOR,G522,MOT_MARCA,"(todas)",MOT_DESDE,"&lt;="&amp;M522,MOT_HASTA,"&gt;="&amp;M522)</f>
        <v/>
      </c>
      <c r="BT522" s="3">
        <f>SUMIFS(COMB_AJUSTE,COMB_COMB,K522)</f>
        <v/>
      </c>
      <c r="BU522" s="3">
        <f>COUNTIFS(MOT_MOTOR,G522,MOT_MARCA,E522,MOT_DESDE,"&lt;="&amp;M522,MOT_HASTA,"&gt;="&amp;M522)+COUNTIFS(MOT_MOTOR,G522,MOT_MARCA,"(todas)",MOT_DESDE,"&lt;="&amp;M522,MOT_HASTA,"&gt;="&amp;M522)</f>
        <v/>
      </c>
      <c r="BV522" s="3">
        <f>IF(AND(K522="diesel",BU522=0),MIN(BR522,NEUTRO),BR522)</f>
        <v/>
      </c>
      <c r="BW522" s="4">
        <f>MAX(0,MIN(100,BV522+BS522+BT522))</f>
        <v/>
      </c>
      <c r="BX522" s="3">
        <f>MAX(0,MIN(100,50+BK522*PRECIO_PEND))</f>
        <v/>
      </c>
      <c r="BY522" s="3">
        <f>MAX(0,100*(1-N522/KM_MAX))</f>
        <v/>
      </c>
      <c r="BZ522" s="3">
        <f>IF(BB522&lt;KMA_SOSP,IF(AA522="sí",100,KMA_PEN),IF(BB522&lt;=KMA_IDEAL_MAX,100,MAX(0,100*(KMA_CERO-BB522)/(KMA_CERO-KMA_IDEAL_MAX))))</f>
        <v/>
      </c>
      <c r="CA522" s="3">
        <f>MAX(0,MIN(100,100*(M522-ANIO_MIN)/(ANIO_ACTUAL-ANIO_MIN)))</f>
        <v/>
      </c>
      <c r="CB522" s="3">
        <f>W_KMT*BY522+W_KMA*BZ522+W_EDAD*CA522</f>
        <v/>
      </c>
      <c r="CC522" s="3">
        <f>P_ITV*(V522="sí")+P_LIBRO*(W522="sí")+P_CORREA*(X522="sí")+P_PROP*(Y522=1)+P_GAR*(Z522="sí")+P_FOTOS*MIN(1,N(U522)/FOTOS_OBJ)</f>
        <v/>
      </c>
      <c r="CD522" s="3">
        <f>MAX(0,MIN(100,IFERROR(VLOOKUP(BP522,ETQ_TBL,2,0),0)-IF(BQ522="sí",ETQ_PEN_DUD,IF(AS522="regla",ETQ_PEN_REGLA,0))))</f>
        <v/>
      </c>
      <c r="CE522" s="3">
        <f>NEUTRO</f>
        <v/>
      </c>
      <c r="CF522" s="3">
        <f>IFERROR(VLOOKUP(L522,SEGURO_TBL,3,0),"")</f>
        <v/>
      </c>
      <c r="CG522" s="3">
        <f>IF(CF522="",NEUTRO,MAX(0,MIN(100,100*(SEG_REF_MAX-CF522)/(SEG_REF_MAX-SEG_REF_MIN))))</f>
        <v/>
      </c>
      <c r="CH522" s="3">
        <f>W_CONS*CE522+W_SEG*CG522</f>
        <v/>
      </c>
      <c r="CI522" s="3">
        <f>IF(N(AB522)&gt;0,AB522,IF(AND(R522="profesional",SG_LEGAL_ON=1),GAR_LEGAL,0))</f>
        <v/>
      </c>
      <c r="CJ522" s="3">
        <f>SG_GAR*MIN(1,CI522/SG_GAR_FULL)+SG_AMPL*(AC522="sí")+SG_KMC*(AF522="sí")+SG_REV*(N(AE522)&gt;0)+SG_DEV*MIN(1,N(AG522)/SG_DEV_FULL)+SG_HIST*(W522="sí")</f>
        <v/>
      </c>
      <c r="CK522" s="3">
        <f>IFERROR(VLOOKUP(L522,CARR_PEN_TBL,2,0),0)</f>
        <v/>
      </c>
      <c r="CL522" s="3">
        <f>W_FIAB*BW522+W_PRECIO*BX522+W_KMEDAD*CB522+W_ANUNCIO*CC522+W_USO*CH522+W_SEGURIDAD*CJ522+W_ETIQUETA*CD522-CK522</f>
        <v/>
      </c>
      <c r="CM522" s="4">
        <f>IF(N(I522)&gt;0,I522,IFERROR(ROUND(_xlfn.NUMBERVALUE(LEFT(G522,FIND(" ",G522&amp;" ")-1),".")*1000,0),99999))</f>
        <v/>
      </c>
      <c r="CN522" s="3">
        <f>IF(R522="profesional",0,IF(O522&lt;CUOTA_VALOR_MAX,IF(BA522&gt;ITP_TRAMO_ALTO,SUMIFS(CF_CUOTA,CF_MAS,ITP_TRAMO_ALTO,CF_CCMIN,"&lt;="&amp;CM522,CF_CCMAX,"&gt;="&amp;CM522),IF(BA522&gt;ITP_TRAMO_BAJO,SUMIFS(CF_CUOTA,CF_MAS,ITP_TRAMO_BAJO,CF_CCMIN,"&lt;="&amp;CM522,CF_CCMAX,"&gt;="&amp;CM522),O522*ITP_TIPO)),O522*ITP_TIPO))</f>
        <v/>
      </c>
      <c r="CO522" s="4">
        <f>IF(R522="profesional",N(AK522),0)</f>
        <v/>
      </c>
      <c r="CP522" s="3">
        <f>IF(AND(R522="profesional",ISNUMBER(AK522),AL522="sí"),0,TASA_DGT)</f>
        <v/>
      </c>
      <c r="CQ522" s="3">
        <f>INFORME_DGT</f>
        <v/>
      </c>
      <c r="CR522" s="4">
        <f>O522+CO522+CN522+CP522+CQ522</f>
        <v/>
      </c>
      <c r="CS522" s="4">
        <f>CR522+N(CF522)</f>
        <v/>
      </c>
      <c r="CT522" s="3">
        <f>IF(CR522&lt;=TOTAL_MAX,"sí",IF(CR522&lt;=TOTAL_MAX+MARGEN_NEG,"negociar","no"))</f>
        <v/>
      </c>
      <c r="CU522" s="4">
        <f>IF(CT522&lt;&gt;"no",COUNTIFS($CT$2:$CT$545,"&lt;&gt;no",$CL$2:$CL$545,"&gt;"&amp;CL522)+COUNTIFS($CT$2:CT522,"&lt;&gt;no",$CL$2:CL522,CL522),"")</f>
        <v/>
      </c>
    </row>
    <row r="523">
      <c r="A523" s="2" t="inlineStr">
        <is>
          <t>cochesnet:71487124</t>
        </is>
      </c>
      <c r="B523" s="2" t="inlineStr">
        <is>
          <t>cochesnet</t>
        </is>
      </c>
      <c r="C523" s="2" t="inlineStr">
        <is>
          <t>https://www.coches.net/citroen-c4-gasolina-2009-en-castellon-71487124-covo.aspx</t>
        </is>
      </c>
      <c r="D523" s="2" t="inlineStr">
        <is>
          <t>CITROEN C4</t>
        </is>
      </c>
      <c r="E523" s="2" t="inlineStr">
        <is>
          <t>Citroën</t>
        </is>
      </c>
      <c r="F523" s="2" t="inlineStr">
        <is>
          <t>Citroën C4</t>
        </is>
      </c>
      <c r="G523" s="2" t="n"/>
      <c r="H523" s="2" t="n"/>
      <c r="I523" s="2" t="n"/>
      <c r="J523" s="2" t="n"/>
      <c r="K523" s="2" t="inlineStr">
        <is>
          <t>gasolina</t>
        </is>
      </c>
      <c r="L523" s="2" t="inlineStr">
        <is>
          <t>compacto</t>
        </is>
      </c>
      <c r="M523" s="2" t="n">
        <v>2009</v>
      </c>
      <c r="N523" s="2" t="n">
        <v>150000</v>
      </c>
      <c r="O523" s="2" t="n">
        <v>4000</v>
      </c>
      <c r="P523" s="2" t="inlineStr">
        <is>
          <t>manual</t>
        </is>
      </c>
      <c r="Q523" s="2" t="inlineStr">
        <is>
          <t>no</t>
        </is>
      </c>
      <c r="R523" s="2" t="inlineStr">
        <is>
          <t>particular</t>
        </is>
      </c>
      <c r="S523" s="2" t="n"/>
      <c r="T523" s="2" t="inlineStr">
        <is>
          <t>2026-09-10T14:39:35Z</t>
        </is>
      </c>
      <c r="U523" s="2" t="n">
        <v>5</v>
      </c>
      <c r="V523" s="2" t="n"/>
      <c r="W523" s="2" t="n"/>
      <c r="X523" s="2" t="n"/>
      <c r="Y523" s="2" t="n"/>
      <c r="Z523" s="2" t="inlineStr">
        <is>
          <t>no</t>
        </is>
      </c>
      <c r="AA523" s="2" t="n"/>
      <c r="AB523" s="2" t="n"/>
      <c r="AC523" s="2" t="n"/>
      <c r="AD523" s="2" t="n"/>
      <c r="AE523" s="2" t="n"/>
      <c r="AF523" s="2" t="n"/>
      <c r="AG523" s="2" t="n"/>
      <c r="AH523" s="2" t="n">
        <v>4000</v>
      </c>
      <c r="AI523" s="2" t="n"/>
      <c r="AJ523" s="2" t="n"/>
      <c r="AK523" s="2" t="n"/>
      <c r="AL523" s="2" t="n"/>
      <c r="AM523" s="2" t="n"/>
      <c r="AN523" s="2" t="n"/>
      <c r="AO523" s="2" t="inlineStr">
        <is>
          <t>2009</t>
        </is>
      </c>
      <c r="AP523" s="2" t="n">
        <v>2009</v>
      </c>
      <c r="AQ523" s="2" t="n"/>
      <c r="AR523" s="2" t="n"/>
      <c r="AS523" s="2" t="inlineStr">
        <is>
          <t>regla</t>
        </is>
      </c>
      <c r="AT523" s="2" t="n">
        <v>3500</v>
      </c>
      <c r="AU523" s="2" t="n">
        <v>11</v>
      </c>
      <c r="AV523" s="2" t="inlineStr">
        <is>
          <t>modelo+año+km</t>
        </is>
      </c>
      <c r="AW523" s="2" t="n"/>
      <c r="AX523"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23" s="2" t="inlineStr">
        <is>
          <t>Coche en buen estado y pocos km.</t>
        </is>
      </c>
      <c r="AZ523" s="2" t="inlineStr">
        <is>
          <t>https://www.coches.net/citroen-c4-gasolina-2009-en-castellon-71487124-covo.aspx (window.__INITIAL_PROPS__.ad) /home/user/Alopecia/buscador-coches/raw/cochesnet/86c337387fdf0306.json</t>
        </is>
      </c>
      <c r="BA523" s="3">
        <f>MAX(ANIO_ACTUAL-M523,0)</f>
        <v/>
      </c>
      <c r="BB523" s="4">
        <f>N523/MAX(BA523,0.5)</f>
        <v/>
      </c>
      <c r="BC523" s="4">
        <f>F523</f>
        <v/>
      </c>
      <c r="BD523" s="3">
        <f>BC523&amp;"|"&amp;INT(M523/SEG_ANIO)*SEG_ANIO</f>
        <v/>
      </c>
      <c r="BE523" s="3">
        <f>BD523&amp;"|"&amp;INT(N523/SEG_KM)*SEG_KM</f>
        <v/>
      </c>
      <c r="BF523" s="4">
        <f>COUNTIF($BC$2:$BC$545,BC523)</f>
        <v/>
      </c>
      <c r="BG523" s="4">
        <f>COUNTIF($BD$2:$BD$545,BD523)</f>
        <v/>
      </c>
      <c r="BH523" s="4">
        <f>COUNTIF($BE$2:$BE$545,BE523)</f>
        <v/>
      </c>
      <c r="BI523" s="3">
        <f t="array" ref="BI523">IF(N(AU523)&gt;=MIN_N,AT523,IF(BH523&gt;=MIN_N,MEDIAN(IF($BE$2:$BE$545=BE523,$O$2:$O$545)),IF(BG523&gt;=MIN_N,MEDIAN(IF($BD$2:$BD$545=BD523,$O$2:$O$545)),MEDIAN(IF($BC$2:$BC$545=BC523,$O$2:$O$545)))))</f>
        <v/>
      </c>
      <c r="BJ523" s="3">
        <f>IF(N(AU523)&gt;=MIN_N,"mercado "&amp;AV523,IF(BH523&gt;=MIN_N,"modelo+año+km",IF(BG523&gt;=MIN_N,"modelo+año","modelo")))</f>
        <v/>
      </c>
      <c r="BK523" s="4">
        <f>(BI523-O523)/BI523</f>
        <v/>
      </c>
      <c r="BL523" s="3">
        <f>IF(COUNTIFS(FR_FUEL,K523,FR_YEAR,AP523)&gt;0,1,0)</f>
        <v/>
      </c>
      <c r="BM523" s="3">
        <f>IF(COUNTIFS(FR_FUEL,K523,FR_YEAR,AP523-1)&gt;0,1,0)</f>
        <v/>
      </c>
      <c r="BN523" s="4">
        <f>IF(N(AQ523)&gt;0,AP523*100+AQ523,IF(AND(BL523=1,BM523=1),(AP523-1)*100+1,AP523*100+1))</f>
        <v/>
      </c>
      <c r="BO523" s="3">
        <f>IF(OR(K523="hibrido",K523="glp",K523="gnc",K523="phev"),"ECO",IF(K523="electrico","CERO",IF(K523="gasolina",IF(BN523&gt;=GAS_C_YM,"C",IF(BN523&gt;=GAS_B_YM,"B","A")),IF(K523="diesel",IF(BN523&gt;=DIE_C_YM,"C",IF(BN523&gt;=DIE_B_YM,"B","A")),""))))</f>
        <v/>
      </c>
      <c r="BP523" s="4">
        <f>BO523</f>
        <v/>
      </c>
      <c r="BQ523" s="4">
        <f>IF(AS523="regla",IF(AND(N(AQ523)=0,BL523=1),"sí","no"),"no")</f>
        <v/>
      </c>
      <c r="BR523" s="3">
        <f>IFERROR(VLOOKUP(F523,MOD_TBL,11,0),IFERROR(VLOOKUP(E523,OCU_TBL,2,0),NEUTRO))</f>
        <v/>
      </c>
      <c r="BS523" s="3">
        <f>SUMIFS(MOT_AJUSTE,MOT_MOTOR,G523,MOT_MARCA,E523,MOT_DESDE,"&lt;="&amp;M523,MOT_HASTA,"&gt;="&amp;M523)+SUMIFS(MOT_AJUSTE,MOT_MOTOR,G523,MOT_MARCA,"(todas)",MOT_DESDE,"&lt;="&amp;M523,MOT_HASTA,"&gt;="&amp;M523)</f>
        <v/>
      </c>
      <c r="BT523" s="3">
        <f>SUMIFS(COMB_AJUSTE,COMB_COMB,K523)</f>
        <v/>
      </c>
      <c r="BU523" s="3">
        <f>COUNTIFS(MOT_MOTOR,G523,MOT_MARCA,E523,MOT_DESDE,"&lt;="&amp;M523,MOT_HASTA,"&gt;="&amp;M523)+COUNTIFS(MOT_MOTOR,G523,MOT_MARCA,"(todas)",MOT_DESDE,"&lt;="&amp;M523,MOT_HASTA,"&gt;="&amp;M523)</f>
        <v/>
      </c>
      <c r="BV523" s="3">
        <f>IF(AND(K523="diesel",BU523=0),MIN(BR523,NEUTRO),BR523)</f>
        <v/>
      </c>
      <c r="BW523" s="4">
        <f>MAX(0,MIN(100,BV523+BS523+BT523))</f>
        <v/>
      </c>
      <c r="BX523" s="3">
        <f>MAX(0,MIN(100,50+BK523*PRECIO_PEND))</f>
        <v/>
      </c>
      <c r="BY523" s="3">
        <f>MAX(0,100*(1-N523/KM_MAX))</f>
        <v/>
      </c>
      <c r="BZ523" s="3">
        <f>IF(BB523&lt;KMA_SOSP,IF(AA523="sí",100,KMA_PEN),IF(BB523&lt;=KMA_IDEAL_MAX,100,MAX(0,100*(KMA_CERO-BB523)/(KMA_CERO-KMA_IDEAL_MAX))))</f>
        <v/>
      </c>
      <c r="CA523" s="3">
        <f>MAX(0,MIN(100,100*(M523-ANIO_MIN)/(ANIO_ACTUAL-ANIO_MIN)))</f>
        <v/>
      </c>
      <c r="CB523" s="3">
        <f>W_KMT*BY523+W_KMA*BZ523+W_EDAD*CA523</f>
        <v/>
      </c>
      <c r="CC523" s="3">
        <f>P_ITV*(V523="sí")+P_LIBRO*(W523="sí")+P_CORREA*(X523="sí")+P_PROP*(Y523=1)+P_GAR*(Z523="sí")+P_FOTOS*MIN(1,N(U523)/FOTOS_OBJ)</f>
        <v/>
      </c>
      <c r="CD523" s="3">
        <f>MAX(0,MIN(100,IFERROR(VLOOKUP(BP523,ETQ_TBL,2,0),0)-IF(BQ523="sí",ETQ_PEN_DUD,IF(AS523="regla",ETQ_PEN_REGLA,0))))</f>
        <v/>
      </c>
      <c r="CE523" s="3">
        <f>NEUTRO</f>
        <v/>
      </c>
      <c r="CF523" s="3">
        <f>IFERROR(VLOOKUP(L523,SEGURO_TBL,3,0),"")</f>
        <v/>
      </c>
      <c r="CG523" s="3">
        <f>IF(CF523="",NEUTRO,MAX(0,MIN(100,100*(SEG_REF_MAX-CF523)/(SEG_REF_MAX-SEG_REF_MIN))))</f>
        <v/>
      </c>
      <c r="CH523" s="3">
        <f>W_CONS*CE523+W_SEG*CG523</f>
        <v/>
      </c>
      <c r="CI523" s="3">
        <f>IF(N(AB523)&gt;0,AB523,IF(AND(R523="profesional",SG_LEGAL_ON=1),GAR_LEGAL,0))</f>
        <v/>
      </c>
      <c r="CJ523" s="3">
        <f>SG_GAR*MIN(1,CI523/SG_GAR_FULL)+SG_AMPL*(AC523="sí")+SG_KMC*(AF523="sí")+SG_REV*(N(AE523)&gt;0)+SG_DEV*MIN(1,N(AG523)/SG_DEV_FULL)+SG_HIST*(W523="sí")</f>
        <v/>
      </c>
      <c r="CK523" s="3">
        <f>IFERROR(VLOOKUP(L523,CARR_PEN_TBL,2,0),0)</f>
        <v/>
      </c>
      <c r="CL523" s="3">
        <f>W_FIAB*BW523+W_PRECIO*BX523+W_KMEDAD*CB523+W_ANUNCIO*CC523+W_USO*CH523+W_SEGURIDAD*CJ523+W_ETIQUETA*CD523-CK523</f>
        <v/>
      </c>
      <c r="CM523" s="4">
        <f>IF(N(I523)&gt;0,I523,IFERROR(ROUND(_xlfn.NUMBERVALUE(LEFT(G523,FIND(" ",G523&amp;" ")-1),".")*1000,0),99999))</f>
        <v/>
      </c>
      <c r="CN523" s="3">
        <f>IF(R523="profesional",0,IF(O523&lt;CUOTA_VALOR_MAX,IF(BA523&gt;ITP_TRAMO_ALTO,SUMIFS(CF_CUOTA,CF_MAS,ITP_TRAMO_ALTO,CF_CCMIN,"&lt;="&amp;CM523,CF_CCMAX,"&gt;="&amp;CM523),IF(BA523&gt;ITP_TRAMO_BAJO,SUMIFS(CF_CUOTA,CF_MAS,ITP_TRAMO_BAJO,CF_CCMIN,"&lt;="&amp;CM523,CF_CCMAX,"&gt;="&amp;CM523),O523*ITP_TIPO)),O523*ITP_TIPO))</f>
        <v/>
      </c>
      <c r="CO523" s="4">
        <f>IF(R523="profesional",N(AK523),0)</f>
        <v/>
      </c>
      <c r="CP523" s="3">
        <f>IF(AND(R523="profesional",ISNUMBER(AK523),AL523="sí"),0,TASA_DGT)</f>
        <v/>
      </c>
      <c r="CQ523" s="3">
        <f>INFORME_DGT</f>
        <v/>
      </c>
      <c r="CR523" s="4">
        <f>O523+CO523+CN523+CP523+CQ523</f>
        <v/>
      </c>
      <c r="CS523" s="4">
        <f>CR523+N(CF523)</f>
        <v/>
      </c>
      <c r="CT523" s="3">
        <f>IF(CR523&lt;=TOTAL_MAX,"sí",IF(CR523&lt;=TOTAL_MAX+MARGEN_NEG,"negociar","no"))</f>
        <v/>
      </c>
      <c r="CU523" s="4">
        <f>IF(CT523&lt;&gt;"no",COUNTIFS($CT$2:$CT$545,"&lt;&gt;no",$CL$2:$CL$545,"&gt;"&amp;CL523)+COUNTIFS($CT$2:CT523,"&lt;&gt;no",$CL$2:CL523,CL523),"")</f>
        <v/>
      </c>
    </row>
    <row r="524">
      <c r="A524" s="2" t="inlineStr">
        <is>
          <t>cochesnet:71302665</t>
        </is>
      </c>
      <c r="B524" s="2" t="inlineStr">
        <is>
          <t>cochesnet</t>
        </is>
      </c>
      <c r="C524" s="2" t="inlineStr">
        <is>
          <t>https://www.coches.net/citroen-c4-14-16v-sx-5p-gasolina-2006-en-castellon-71302665-covo.aspx</t>
        </is>
      </c>
      <c r="D524" s="2" t="inlineStr">
        <is>
          <t>CITROEN C4 1.4 16v SX</t>
        </is>
      </c>
      <c r="E524" s="2" t="inlineStr">
        <is>
          <t>Citroën</t>
        </is>
      </c>
      <c r="F524" s="2" t="inlineStr">
        <is>
          <t>Citroën C4</t>
        </is>
      </c>
      <c r="G524" s="2" t="inlineStr">
        <is>
          <t>1.4</t>
        </is>
      </c>
      <c r="H524" s="2" t="inlineStr">
        <is>
          <t>1.4 16v SX</t>
        </is>
      </c>
      <c r="I524" s="2" t="n"/>
      <c r="J524" s="2" t="n"/>
      <c r="K524" s="2" t="inlineStr">
        <is>
          <t>gasolina</t>
        </is>
      </c>
      <c r="L524" s="2" t="inlineStr">
        <is>
          <t>compacto</t>
        </is>
      </c>
      <c r="M524" s="2" t="n">
        <v>2006</v>
      </c>
      <c r="N524" s="2" t="n">
        <v>145000</v>
      </c>
      <c r="O524" s="2" t="n">
        <v>3000</v>
      </c>
      <c r="P524" s="2" t="inlineStr">
        <is>
          <t>manual</t>
        </is>
      </c>
      <c r="Q524" s="2" t="inlineStr">
        <is>
          <t>no</t>
        </is>
      </c>
      <c r="R524" s="2" t="inlineStr">
        <is>
          <t>particular</t>
        </is>
      </c>
      <c r="S524" s="2" t="inlineStr">
        <is>
          <t>La Vall d'Uixó</t>
        </is>
      </c>
      <c r="T524" s="2" t="inlineStr">
        <is>
          <t>2026-08-16T20:53:59Z</t>
        </is>
      </c>
      <c r="U524" s="2" t="n">
        <v>3</v>
      </c>
      <c r="V524" s="2" t="n"/>
      <c r="W524" s="2" t="n"/>
      <c r="X524" s="2" t="n"/>
      <c r="Y524" s="2" t="n"/>
      <c r="Z524" s="2" t="inlineStr">
        <is>
          <t>no</t>
        </is>
      </c>
      <c r="AA524" s="2" t="n"/>
      <c r="AB524" s="2" t="n"/>
      <c r="AC524" s="2" t="n"/>
      <c r="AD524" s="2" t="n"/>
      <c r="AE524" s="2" t="n"/>
      <c r="AF524" s="2" t="n"/>
      <c r="AG524" s="2" t="n"/>
      <c r="AH524" s="2" t="n">
        <v>3000</v>
      </c>
      <c r="AI524" s="2" t="n"/>
      <c r="AJ524" s="2" t="n"/>
      <c r="AK524" s="2" t="n"/>
      <c r="AL524" s="2" t="n"/>
      <c r="AM524" s="2" t="n">
        <v>41.5</v>
      </c>
      <c r="AN524" s="2" t="n"/>
      <c r="AO524" s="2" t="inlineStr">
        <is>
          <t>01/2006</t>
        </is>
      </c>
      <c r="AP524" s="2" t="n">
        <v>2006</v>
      </c>
      <c r="AQ524" s="2" t="n">
        <v>1</v>
      </c>
      <c r="AR524" s="2" t="inlineStr">
        <is>
          <t>C</t>
        </is>
      </c>
      <c r="AS524" s="2" t="inlineStr">
        <is>
          <t>anuncio</t>
        </is>
      </c>
      <c r="AT524" s="2" t="n">
        <v>2350</v>
      </c>
      <c r="AU524" s="2" t="n">
        <v>34</v>
      </c>
      <c r="AV524" s="2" t="inlineStr">
        <is>
          <t>modelo+año</t>
        </is>
      </c>
      <c r="AW524" s="2" t="n"/>
      <c r="AX524" s="2" t="inlineStr">
        <is>
          <t>cuota fija ITP: &gt;12 años, hasta 1.500 cc; fiabilidad del modelo PENDIENTE de fuente (puntuación neutra)</t>
        </is>
      </c>
      <c r="AY524" s="2" t="inlineStr"/>
      <c r="AZ524" s="2" t="inlineStr">
        <is>
          <t>https://www.coches.net/citroen-c4-14-16v-sx-5p-gasolina-2006-en-castellon-71302665-covo.aspx (window.__INITIAL_PROPS__.ad) /home/user/Alopecia/buscador-coches/raw/cochesnet/a0932d81a931cedf.json</t>
        </is>
      </c>
      <c r="BA524" s="3">
        <f>MAX(ANIO_ACTUAL-M524,0)</f>
        <v/>
      </c>
      <c r="BB524" s="4">
        <f>N524/MAX(BA524,0.5)</f>
        <v/>
      </c>
      <c r="BC524" s="4">
        <f>F524</f>
        <v/>
      </c>
      <c r="BD524" s="3">
        <f>BC524&amp;"|"&amp;INT(M524/SEG_ANIO)*SEG_ANIO</f>
        <v/>
      </c>
      <c r="BE524" s="3">
        <f>BD524&amp;"|"&amp;INT(N524/SEG_KM)*SEG_KM</f>
        <v/>
      </c>
      <c r="BF524" s="4">
        <f>COUNTIF($BC$2:$BC$545,BC524)</f>
        <v/>
      </c>
      <c r="BG524" s="4">
        <f>COUNTIF($BD$2:$BD$545,BD524)</f>
        <v/>
      </c>
      <c r="BH524" s="4">
        <f>COUNTIF($BE$2:$BE$545,BE524)</f>
        <v/>
      </c>
      <c r="BI524" s="3">
        <f t="array" ref="BI524">IF(N(AU524)&gt;=MIN_N,AT524,IF(BH524&gt;=MIN_N,MEDIAN(IF($BE$2:$BE$545=BE524,$O$2:$O$545)),IF(BG524&gt;=MIN_N,MEDIAN(IF($BD$2:$BD$545=BD524,$O$2:$O$545)),MEDIAN(IF($BC$2:$BC$545=BC524,$O$2:$O$545)))))</f>
        <v/>
      </c>
      <c r="BJ524" s="3">
        <f>IF(N(AU524)&gt;=MIN_N,"mercado "&amp;AV524,IF(BH524&gt;=MIN_N,"modelo+año+km",IF(BG524&gt;=MIN_N,"modelo+año","modelo")))</f>
        <v/>
      </c>
      <c r="BK524" s="4">
        <f>(BI524-O524)/BI524</f>
        <v/>
      </c>
      <c r="BL524" s="3">
        <f>IF(COUNTIFS(FR_FUEL,K524,FR_YEAR,AP524)&gt;0,1,0)</f>
        <v/>
      </c>
      <c r="BM524" s="3">
        <f>IF(COUNTIFS(FR_FUEL,K524,FR_YEAR,AP524-1)&gt;0,1,0)</f>
        <v/>
      </c>
      <c r="BN524" s="4">
        <f>IF(N(AQ524)&gt;0,AP524*100+AQ524,IF(AND(BL524=1,BM524=1),(AP524-1)*100+1,AP524*100+1))</f>
        <v/>
      </c>
      <c r="BO524" s="3">
        <f>IF(OR(K524="hibrido",K524="glp",K524="gnc",K524="phev"),"ECO",IF(K524="electrico","CERO",IF(K524="gasolina",IF(BN524&gt;=GAS_C_YM,"C",IF(BN524&gt;=GAS_B_YM,"B","A")),IF(K524="diesel",IF(BN524&gt;=DIE_C_YM,"C",IF(BN524&gt;=DIE_B_YM,"B","A")),""))))</f>
        <v/>
      </c>
      <c r="BP524" s="2" t="inlineStr">
        <is>
          <t>C</t>
        </is>
      </c>
      <c r="BQ524" s="4">
        <f>IF(AS524="regla",IF(AND(N(AQ524)=0,BL524=1),"sí","no"),"no")</f>
        <v/>
      </c>
      <c r="BR524" s="3">
        <f>IFERROR(VLOOKUP(F524,MOD_TBL,11,0),IFERROR(VLOOKUP(E524,OCU_TBL,2,0),NEUTRO))</f>
        <v/>
      </c>
      <c r="BS524" s="3">
        <f>SUMIFS(MOT_AJUSTE,MOT_MOTOR,G524,MOT_MARCA,E524,MOT_DESDE,"&lt;="&amp;M524,MOT_HASTA,"&gt;="&amp;M524)+SUMIFS(MOT_AJUSTE,MOT_MOTOR,G524,MOT_MARCA,"(todas)",MOT_DESDE,"&lt;="&amp;M524,MOT_HASTA,"&gt;="&amp;M524)</f>
        <v/>
      </c>
      <c r="BT524" s="3">
        <f>SUMIFS(COMB_AJUSTE,COMB_COMB,K524)</f>
        <v/>
      </c>
      <c r="BU524" s="3">
        <f>COUNTIFS(MOT_MOTOR,G524,MOT_MARCA,E524,MOT_DESDE,"&lt;="&amp;M524,MOT_HASTA,"&gt;="&amp;M524)+COUNTIFS(MOT_MOTOR,G524,MOT_MARCA,"(todas)",MOT_DESDE,"&lt;="&amp;M524,MOT_HASTA,"&gt;="&amp;M524)</f>
        <v/>
      </c>
      <c r="BV524" s="3">
        <f>IF(AND(K524="diesel",BU524=0),MIN(BR524,NEUTRO),BR524)</f>
        <v/>
      </c>
      <c r="BW524" s="4">
        <f>MAX(0,MIN(100,BV524+BS524+BT524))</f>
        <v/>
      </c>
      <c r="BX524" s="3">
        <f>MAX(0,MIN(100,50+BK524*PRECIO_PEND))</f>
        <v/>
      </c>
      <c r="BY524" s="3">
        <f>MAX(0,100*(1-N524/KM_MAX))</f>
        <v/>
      </c>
      <c r="BZ524" s="3">
        <f>IF(BB524&lt;KMA_SOSP,IF(AA524="sí",100,KMA_PEN),IF(BB524&lt;=KMA_IDEAL_MAX,100,MAX(0,100*(KMA_CERO-BB524)/(KMA_CERO-KMA_IDEAL_MAX))))</f>
        <v/>
      </c>
      <c r="CA524" s="3">
        <f>MAX(0,MIN(100,100*(M524-ANIO_MIN)/(ANIO_ACTUAL-ANIO_MIN)))</f>
        <v/>
      </c>
      <c r="CB524" s="3">
        <f>W_KMT*BY524+W_KMA*BZ524+W_EDAD*CA524</f>
        <v/>
      </c>
      <c r="CC524" s="3">
        <f>P_ITV*(V524="sí")+P_LIBRO*(W524="sí")+P_CORREA*(X524="sí")+P_PROP*(Y524=1)+P_GAR*(Z524="sí")+P_FOTOS*MIN(1,N(U524)/FOTOS_OBJ)</f>
        <v/>
      </c>
      <c r="CD524" s="3">
        <f>MAX(0,MIN(100,IFERROR(VLOOKUP(BP524,ETQ_TBL,2,0),0)-IF(BQ524="sí",ETQ_PEN_DUD,IF(AS524="regla",ETQ_PEN_REGLA,0))))</f>
        <v/>
      </c>
      <c r="CE524" s="3">
        <f>NEUTRO</f>
        <v/>
      </c>
      <c r="CF524" s="3">
        <f>IFERROR(VLOOKUP(L524,SEGURO_TBL,3,0),"")</f>
        <v/>
      </c>
      <c r="CG524" s="3">
        <f>IF(CF524="",NEUTRO,MAX(0,MIN(100,100*(SEG_REF_MAX-CF524)/(SEG_REF_MAX-SEG_REF_MIN))))</f>
        <v/>
      </c>
      <c r="CH524" s="3">
        <f>W_CONS*CE524+W_SEG*CG524</f>
        <v/>
      </c>
      <c r="CI524" s="3">
        <f>IF(N(AB524)&gt;0,AB524,IF(AND(R524="profesional",SG_LEGAL_ON=1),GAR_LEGAL,0))</f>
        <v/>
      </c>
      <c r="CJ524" s="3">
        <f>SG_GAR*MIN(1,CI524/SG_GAR_FULL)+SG_AMPL*(AC524="sí")+SG_KMC*(AF524="sí")+SG_REV*(N(AE524)&gt;0)+SG_DEV*MIN(1,N(AG524)/SG_DEV_FULL)+SG_HIST*(W524="sí")</f>
        <v/>
      </c>
      <c r="CK524" s="3">
        <f>IFERROR(VLOOKUP(L524,CARR_PEN_TBL,2,0),0)</f>
        <v/>
      </c>
      <c r="CL524" s="3">
        <f>W_FIAB*BW524+W_PRECIO*BX524+W_KMEDAD*CB524+W_ANUNCIO*CC524+W_USO*CH524+W_SEGURIDAD*CJ524+W_ETIQUETA*CD524-CK524</f>
        <v/>
      </c>
      <c r="CM524" s="4">
        <f>IF(N(I524)&gt;0,I524,IFERROR(ROUND(_xlfn.NUMBERVALUE(LEFT(G524,FIND(" ",G524&amp;" ")-1),".")*1000,0),99999))</f>
        <v/>
      </c>
      <c r="CN524" s="3">
        <f>IF(R524="profesional",0,IF(O524&lt;CUOTA_VALOR_MAX,IF(BA524&gt;ITP_TRAMO_ALTO,SUMIFS(CF_CUOTA,CF_MAS,ITP_TRAMO_ALTO,CF_CCMIN,"&lt;="&amp;CM524,CF_CCMAX,"&gt;="&amp;CM524),IF(BA524&gt;ITP_TRAMO_BAJO,SUMIFS(CF_CUOTA,CF_MAS,ITP_TRAMO_BAJO,CF_CCMIN,"&lt;="&amp;CM524,CF_CCMAX,"&gt;="&amp;CM524),O524*ITP_TIPO)),O524*ITP_TIPO))</f>
        <v/>
      </c>
      <c r="CO524" s="4">
        <f>IF(R524="profesional",N(AK524),0)</f>
        <v/>
      </c>
      <c r="CP524" s="3">
        <f>IF(AND(R524="profesional",ISNUMBER(AK524),AL524="sí"),0,TASA_DGT)</f>
        <v/>
      </c>
      <c r="CQ524" s="3">
        <f>INFORME_DGT</f>
        <v/>
      </c>
      <c r="CR524" s="4">
        <f>O524+CO524+CN524+CP524+CQ524</f>
        <v/>
      </c>
      <c r="CS524" s="4">
        <f>CR524+N(CF524)</f>
        <v/>
      </c>
      <c r="CT524" s="3">
        <f>IF(CR524&lt;=TOTAL_MAX,"sí",IF(CR524&lt;=TOTAL_MAX+MARGEN_NEG,"negociar","no"))</f>
        <v/>
      </c>
      <c r="CU524" s="4">
        <f>IF(CT524&lt;&gt;"no",COUNTIFS($CT$2:$CT$545,"&lt;&gt;no",$CL$2:$CL$545,"&gt;"&amp;CL524)+COUNTIFS($CT$2:CT524,"&lt;&gt;no",$CL$2:CL524,CL524),"")</f>
        <v/>
      </c>
    </row>
    <row r="525">
      <c r="A525" s="2" t="inlineStr">
        <is>
          <t>cochesnet:71131545</t>
        </is>
      </c>
      <c r="B525" s="2" t="inlineStr">
        <is>
          <t>cochesnet</t>
        </is>
      </c>
      <c r="C525" s="2" t="inlineStr">
        <is>
          <t>https://www.coches.net/citroen-c3-gasolina-2006-en-castellon-71131545-covo.aspx</t>
        </is>
      </c>
      <c r="D525" s="2" t="inlineStr">
        <is>
          <t>CITROEN C3 1.4i Exclusive</t>
        </is>
      </c>
      <c r="E525" s="2" t="inlineStr">
        <is>
          <t>Citroën</t>
        </is>
      </c>
      <c r="F525" s="2" t="inlineStr">
        <is>
          <t>Citroën C3</t>
        </is>
      </c>
      <c r="G525" s="2" t="inlineStr">
        <is>
          <t>1.4</t>
        </is>
      </c>
      <c r="H525" s="2" t="inlineStr">
        <is>
          <t>1.4i Exclusive</t>
        </is>
      </c>
      <c r="I525" s="2" t="n"/>
      <c r="J525" s="2" t="n"/>
      <c r="K525" s="2" t="inlineStr">
        <is>
          <t>gasolina</t>
        </is>
      </c>
      <c r="L525" s="2" t="inlineStr">
        <is>
          <t>utilitario</t>
        </is>
      </c>
      <c r="M525" s="2" t="n">
        <v>2006</v>
      </c>
      <c r="N525" s="2" t="n">
        <v>51000</v>
      </c>
      <c r="O525" s="2" t="n">
        <v>4295</v>
      </c>
      <c r="P525" s="2" t="inlineStr">
        <is>
          <t>manual</t>
        </is>
      </c>
      <c r="Q525" s="2" t="inlineStr">
        <is>
          <t>no</t>
        </is>
      </c>
      <c r="R525" s="2" t="inlineStr">
        <is>
          <t>particular</t>
        </is>
      </c>
      <c r="S525" s="2" t="n"/>
      <c r="T525" s="2" t="inlineStr">
        <is>
          <t>2026-07-21T18:17:19Z</t>
        </is>
      </c>
      <c r="U525" s="2" t="n">
        <v>9</v>
      </c>
      <c r="V525" s="2" t="n"/>
      <c r="W525" s="2" t="n"/>
      <c r="X525" s="2" t="n"/>
      <c r="Y525" s="2" t="n"/>
      <c r="Z525" s="2" t="inlineStr">
        <is>
          <t>no</t>
        </is>
      </c>
      <c r="AA525" s="2" t="n"/>
      <c r="AB525" s="2" t="n"/>
      <c r="AC525" s="2" t="n"/>
      <c r="AD525" s="2" t="n"/>
      <c r="AE525" s="2" t="n"/>
      <c r="AF525" s="2" t="n"/>
      <c r="AG525" s="2" t="n"/>
      <c r="AH525" s="2" t="n">
        <v>4295</v>
      </c>
      <c r="AI525" s="2" t="n"/>
      <c r="AJ525" s="2" t="n"/>
      <c r="AK525" s="2" t="n"/>
      <c r="AL525" s="2" t="n"/>
      <c r="AM525" s="2" t="n"/>
      <c r="AN525" s="2" t="n"/>
      <c r="AO525" s="2" t="inlineStr">
        <is>
          <t>2006</t>
        </is>
      </c>
      <c r="AP525" s="2" t="n">
        <v>2006</v>
      </c>
      <c r="AQ525" s="2" t="n"/>
      <c r="AR525" s="2" t="n"/>
      <c r="AS525" s="2" t="inlineStr">
        <is>
          <t>regla</t>
        </is>
      </c>
      <c r="AT525" s="2" t="n">
        <v>4295</v>
      </c>
      <c r="AU525" s="2" t="n">
        <v>7</v>
      </c>
      <c r="AV525" s="2" t="inlineStr">
        <is>
          <t>modelo+año+km</t>
        </is>
      </c>
      <c r="AW525" s="2" t="n"/>
      <c r="AX525" s="2" t="inlineStr">
        <is>
          <t>cuota fija ITP: &gt;12 años, hasta 1.500 cc; distancia no verificable (el anuncio solo indica la provincia): confirmar que está a &lt;= 70 km</t>
        </is>
      </c>
      <c r="AY525" s="2" t="inlineStr">
        <is>
          <t>?? CITROËN C3 1.4 GASOLINA 75 CV ??
?? Año: 11/2006
?? Solo 51.000 km ? Reales y demostrables
? Gasolina – Etiqueta ambiental C ??
?? Equipamiento: ?? Aire acondicionado
?? Elevalunas eléctricos
?? Cierre centralizado
?? Dirección asistida
?? Sensor de luces
??? Faros antiniebla
??? Airbags
?? Posavasos
?? Radio CD
?? Maletero amplio
? Aceite y filtros recién cambiados.
? Tapicería y carrocería en excelente estado.
?? Venta entre particulares.
??? 6 meses de garantía.
?? Coche muy cuidado, con muy pocos kilómetros, ideal para el día a día o como primer vehículo.</t>
        </is>
      </c>
      <c r="AZ525" s="2" t="inlineStr">
        <is>
          <t>https://www.coches.net/citroen-c3-gasolina-2006-en-castellon-71131545-covo.aspx (window.__INITIAL_PROPS__.ad) /home/user/Alopecia/buscador-coches/raw/cochesnet/917d28d8a7fa8f83.json</t>
        </is>
      </c>
      <c r="BA525" s="3">
        <f>MAX(ANIO_ACTUAL-M525,0)</f>
        <v/>
      </c>
      <c r="BB525" s="4">
        <f>N525/MAX(BA525,0.5)</f>
        <v/>
      </c>
      <c r="BC525" s="4">
        <f>F525</f>
        <v/>
      </c>
      <c r="BD525" s="3">
        <f>BC525&amp;"|"&amp;INT(M525/SEG_ANIO)*SEG_ANIO</f>
        <v/>
      </c>
      <c r="BE525" s="3">
        <f>BD525&amp;"|"&amp;INT(N525/SEG_KM)*SEG_KM</f>
        <v/>
      </c>
      <c r="BF525" s="4">
        <f>COUNTIF($BC$2:$BC$545,BC525)</f>
        <v/>
      </c>
      <c r="BG525" s="4">
        <f>COUNTIF($BD$2:$BD$545,BD525)</f>
        <v/>
      </c>
      <c r="BH525" s="4">
        <f>COUNTIF($BE$2:$BE$545,BE525)</f>
        <v/>
      </c>
      <c r="BI525" s="3">
        <f t="array" ref="BI525">IF(N(AU525)&gt;=MIN_N,AT525,IF(BH525&gt;=MIN_N,MEDIAN(IF($BE$2:$BE$545=BE525,$O$2:$O$545)),IF(BG525&gt;=MIN_N,MEDIAN(IF($BD$2:$BD$545=BD525,$O$2:$O$545)),MEDIAN(IF($BC$2:$BC$545=BC525,$O$2:$O$545)))))</f>
        <v/>
      </c>
      <c r="BJ525" s="3">
        <f>IF(N(AU525)&gt;=MIN_N,"mercado "&amp;AV525,IF(BH525&gt;=MIN_N,"modelo+año+km",IF(BG525&gt;=MIN_N,"modelo+año","modelo")))</f>
        <v/>
      </c>
      <c r="BK525" s="4">
        <f>(BI525-O525)/BI525</f>
        <v/>
      </c>
      <c r="BL525" s="3">
        <f>IF(COUNTIFS(FR_FUEL,K525,FR_YEAR,AP525)&gt;0,1,0)</f>
        <v/>
      </c>
      <c r="BM525" s="3">
        <f>IF(COUNTIFS(FR_FUEL,K525,FR_YEAR,AP525-1)&gt;0,1,0)</f>
        <v/>
      </c>
      <c r="BN525" s="4">
        <f>IF(N(AQ525)&gt;0,AP525*100+AQ525,IF(AND(BL525=1,BM525=1),(AP525-1)*100+1,AP525*100+1))</f>
        <v/>
      </c>
      <c r="BO525" s="3">
        <f>IF(OR(K525="hibrido",K525="glp",K525="gnc",K525="phev"),"ECO",IF(K525="electrico","CERO",IF(K525="gasolina",IF(BN525&gt;=GAS_C_YM,"C",IF(BN525&gt;=GAS_B_YM,"B","A")),IF(K525="diesel",IF(BN525&gt;=DIE_C_YM,"C",IF(BN525&gt;=DIE_B_YM,"B","A")),""))))</f>
        <v/>
      </c>
      <c r="BP525" s="4">
        <f>BO525</f>
        <v/>
      </c>
      <c r="BQ525" s="4">
        <f>IF(AS525="regla",IF(AND(N(AQ525)=0,BL525=1),"sí","no"),"no")</f>
        <v/>
      </c>
      <c r="BR525" s="3">
        <f>IFERROR(VLOOKUP(F525,MOD_TBL,11,0),IFERROR(VLOOKUP(E525,OCU_TBL,2,0),NEUTRO))</f>
        <v/>
      </c>
      <c r="BS525" s="3">
        <f>SUMIFS(MOT_AJUSTE,MOT_MOTOR,G525,MOT_MARCA,E525,MOT_DESDE,"&lt;="&amp;M525,MOT_HASTA,"&gt;="&amp;M525)+SUMIFS(MOT_AJUSTE,MOT_MOTOR,G525,MOT_MARCA,"(todas)",MOT_DESDE,"&lt;="&amp;M525,MOT_HASTA,"&gt;="&amp;M525)</f>
        <v/>
      </c>
      <c r="BT525" s="3">
        <f>SUMIFS(COMB_AJUSTE,COMB_COMB,K525)</f>
        <v/>
      </c>
      <c r="BU525" s="3">
        <f>COUNTIFS(MOT_MOTOR,G525,MOT_MARCA,E525,MOT_DESDE,"&lt;="&amp;M525,MOT_HASTA,"&gt;="&amp;M525)+COUNTIFS(MOT_MOTOR,G525,MOT_MARCA,"(todas)",MOT_DESDE,"&lt;="&amp;M525,MOT_HASTA,"&gt;="&amp;M525)</f>
        <v/>
      </c>
      <c r="BV525" s="3">
        <f>IF(AND(K525="diesel",BU525=0),MIN(BR525,NEUTRO),BR525)</f>
        <v/>
      </c>
      <c r="BW525" s="4">
        <f>MAX(0,MIN(100,BV525+BS525+BT525))</f>
        <v/>
      </c>
      <c r="BX525" s="3">
        <f>MAX(0,MIN(100,50+BK525*PRECIO_PEND))</f>
        <v/>
      </c>
      <c r="BY525" s="3">
        <f>MAX(0,100*(1-N525/KM_MAX))</f>
        <v/>
      </c>
      <c r="BZ525" s="3">
        <f>IF(BB525&lt;KMA_SOSP,IF(AA525="sí",100,KMA_PEN),IF(BB525&lt;=KMA_IDEAL_MAX,100,MAX(0,100*(KMA_CERO-BB525)/(KMA_CERO-KMA_IDEAL_MAX))))</f>
        <v/>
      </c>
      <c r="CA525" s="3">
        <f>MAX(0,MIN(100,100*(M525-ANIO_MIN)/(ANIO_ACTUAL-ANIO_MIN)))</f>
        <v/>
      </c>
      <c r="CB525" s="3">
        <f>W_KMT*BY525+W_KMA*BZ525+W_EDAD*CA525</f>
        <v/>
      </c>
      <c r="CC525" s="3">
        <f>P_ITV*(V525="sí")+P_LIBRO*(W525="sí")+P_CORREA*(X525="sí")+P_PROP*(Y525=1)+P_GAR*(Z525="sí")+P_FOTOS*MIN(1,N(U525)/FOTOS_OBJ)</f>
        <v/>
      </c>
      <c r="CD525" s="3">
        <f>MAX(0,MIN(100,IFERROR(VLOOKUP(BP525,ETQ_TBL,2,0),0)-IF(BQ525="sí",ETQ_PEN_DUD,IF(AS525="regla",ETQ_PEN_REGLA,0))))</f>
        <v/>
      </c>
      <c r="CE525" s="3">
        <f>NEUTRO</f>
        <v/>
      </c>
      <c r="CF525" s="3">
        <f>IFERROR(VLOOKUP(L525,SEGURO_TBL,3,0),"")</f>
        <v/>
      </c>
      <c r="CG525" s="3">
        <f>IF(CF525="",NEUTRO,MAX(0,MIN(100,100*(SEG_REF_MAX-CF525)/(SEG_REF_MAX-SEG_REF_MIN))))</f>
        <v/>
      </c>
      <c r="CH525" s="3">
        <f>W_CONS*CE525+W_SEG*CG525</f>
        <v/>
      </c>
      <c r="CI525" s="3">
        <f>IF(N(AB525)&gt;0,AB525,IF(AND(R525="profesional",SG_LEGAL_ON=1),GAR_LEGAL,0))</f>
        <v/>
      </c>
      <c r="CJ525" s="3">
        <f>SG_GAR*MIN(1,CI525/SG_GAR_FULL)+SG_AMPL*(AC525="sí")+SG_KMC*(AF525="sí")+SG_REV*(N(AE525)&gt;0)+SG_DEV*MIN(1,N(AG525)/SG_DEV_FULL)+SG_HIST*(W525="sí")</f>
        <v/>
      </c>
      <c r="CK525" s="3">
        <f>IFERROR(VLOOKUP(L525,CARR_PEN_TBL,2,0),0)</f>
        <v/>
      </c>
      <c r="CL525" s="3">
        <f>W_FIAB*BW525+W_PRECIO*BX525+W_KMEDAD*CB525+W_ANUNCIO*CC525+W_USO*CH525+W_SEGURIDAD*CJ525+W_ETIQUETA*CD525-CK525</f>
        <v/>
      </c>
      <c r="CM525" s="4">
        <f>IF(N(I525)&gt;0,I525,IFERROR(ROUND(_xlfn.NUMBERVALUE(LEFT(G525,FIND(" ",G525&amp;" ")-1),".")*1000,0),99999))</f>
        <v/>
      </c>
      <c r="CN525" s="3">
        <f>IF(R525="profesional",0,IF(O525&lt;CUOTA_VALOR_MAX,IF(BA525&gt;ITP_TRAMO_ALTO,SUMIFS(CF_CUOTA,CF_MAS,ITP_TRAMO_ALTO,CF_CCMIN,"&lt;="&amp;CM525,CF_CCMAX,"&gt;="&amp;CM525),IF(BA525&gt;ITP_TRAMO_BAJO,SUMIFS(CF_CUOTA,CF_MAS,ITP_TRAMO_BAJO,CF_CCMIN,"&lt;="&amp;CM525,CF_CCMAX,"&gt;="&amp;CM525),O525*ITP_TIPO)),O525*ITP_TIPO))</f>
        <v/>
      </c>
      <c r="CO525" s="4">
        <f>IF(R525="profesional",N(AK525),0)</f>
        <v/>
      </c>
      <c r="CP525" s="3">
        <f>IF(AND(R525="profesional",ISNUMBER(AK525),AL525="sí"),0,TASA_DGT)</f>
        <v/>
      </c>
      <c r="CQ525" s="3">
        <f>INFORME_DGT</f>
        <v/>
      </c>
      <c r="CR525" s="4">
        <f>O525+CO525+CN525+CP525+CQ525</f>
        <v/>
      </c>
      <c r="CS525" s="4">
        <f>CR525+N(CF525)</f>
        <v/>
      </c>
      <c r="CT525" s="3">
        <f>IF(CR525&lt;=TOTAL_MAX,"sí",IF(CR525&lt;=TOTAL_MAX+MARGEN_NEG,"negociar","no"))</f>
        <v/>
      </c>
      <c r="CU525" s="4">
        <f>IF(CT525&lt;&gt;"no",COUNTIFS($CT$2:$CT$545,"&lt;&gt;no",$CL$2:$CL$545,"&gt;"&amp;CL525)+COUNTIFS($CT$2:CT525,"&lt;&gt;no",$CL$2:CL525,CL525),"")</f>
        <v/>
      </c>
    </row>
    <row r="526">
      <c r="A526" s="2" t="inlineStr">
        <is>
          <t>cochesnet:70992587</t>
        </is>
      </c>
      <c r="B526" s="2" t="inlineStr">
        <is>
          <t>cochesnet</t>
        </is>
      </c>
      <c r="C526" s="2" t="inlineStr">
        <is>
          <t>https://www.coches.net/citroen-c4-16-16v-collection-3p-gasolina-2007-en-castellon-70992587-covo.aspx</t>
        </is>
      </c>
      <c r="D526" s="2" t="inlineStr">
        <is>
          <t>CITROEN C4 1.6 16v Collection</t>
        </is>
      </c>
      <c r="E526" s="2" t="inlineStr">
        <is>
          <t>Citroën</t>
        </is>
      </c>
      <c r="F526" s="2" t="inlineStr">
        <is>
          <t>Citroën C4</t>
        </is>
      </c>
      <c r="G526" s="2" t="inlineStr">
        <is>
          <t>1.6</t>
        </is>
      </c>
      <c r="H526" s="2" t="inlineStr">
        <is>
          <t>1.6 16v Collection</t>
        </is>
      </c>
      <c r="I526" s="2" t="n"/>
      <c r="J526" s="2" t="n"/>
      <c r="K526" s="2" t="inlineStr">
        <is>
          <t>gasolina</t>
        </is>
      </c>
      <c r="L526" s="2" t="inlineStr">
        <is>
          <t>compacto</t>
        </is>
      </c>
      <c r="M526" s="2" t="n">
        <v>2007</v>
      </c>
      <c r="N526" s="2" t="n">
        <v>183456</v>
      </c>
      <c r="O526" s="2" t="n">
        <v>3000</v>
      </c>
      <c r="P526" s="2" t="inlineStr">
        <is>
          <t>manual</t>
        </is>
      </c>
      <c r="Q526" s="2" t="inlineStr">
        <is>
          <t>no</t>
        </is>
      </c>
      <c r="R526" s="2" t="inlineStr">
        <is>
          <t>particular</t>
        </is>
      </c>
      <c r="S526" s="2" t="inlineStr">
        <is>
          <t>Castellón de la Plana / Castelló de la Plana</t>
        </is>
      </c>
      <c r="T526" s="2" t="inlineStr">
        <is>
          <t>2026-07-04T10:04:06Z</t>
        </is>
      </c>
      <c r="U526" s="2" t="n">
        <v>13</v>
      </c>
      <c r="V526" s="2" t="inlineStr">
        <is>
          <t>sí</t>
        </is>
      </c>
      <c r="W526" s="2" t="n"/>
      <c r="X526" s="2" t="inlineStr">
        <is>
          <t>sí</t>
        </is>
      </c>
      <c r="Y526" s="2" t="n"/>
      <c r="Z526" s="2" t="inlineStr">
        <is>
          <t>no</t>
        </is>
      </c>
      <c r="AA526" s="2" t="n"/>
      <c r="AB526" s="2" t="n"/>
      <c r="AC526" s="2" t="n"/>
      <c r="AD526" s="2" t="n"/>
      <c r="AE526" s="2" t="n"/>
      <c r="AF526" s="2" t="n"/>
      <c r="AG526" s="2" t="n"/>
      <c r="AH526" s="2" t="n">
        <v>3000</v>
      </c>
      <c r="AI526" s="2" t="n"/>
      <c r="AJ526" s="2" t="n"/>
      <c r="AK526" s="2" t="n"/>
      <c r="AL526" s="2" t="n"/>
      <c r="AM526" s="2" t="n"/>
      <c r="AN526" s="2" t="n"/>
      <c r="AO526" s="2" t="inlineStr">
        <is>
          <t>2007</t>
        </is>
      </c>
      <c r="AP526" s="2" t="n">
        <v>2007</v>
      </c>
      <c r="AQ526" s="2" t="n"/>
      <c r="AR526" s="2" t="inlineStr">
        <is>
          <t>C</t>
        </is>
      </c>
      <c r="AS526" s="2" t="inlineStr">
        <is>
          <t>anuncio</t>
        </is>
      </c>
      <c r="AT526" s="2" t="n">
        <v>3500</v>
      </c>
      <c r="AU526" s="2" t="n">
        <v>11</v>
      </c>
      <c r="AV526" s="2" t="inlineStr">
        <is>
          <t>modelo+año+km</t>
        </is>
      </c>
      <c r="AW526" s="2" t="n"/>
      <c r="AX526" s="2" t="inlineStr">
        <is>
          <t>cuota fija ITP: &gt;12 años, 1.501-2.000 cc; distancia no verificable (el anuncio solo indica la provincia): confirmar que está a &lt;= 70 km; fiabilidad del modelo PENDIENTE de fuente (puntuación neutra)</t>
        </is>
      </c>
      <c r="AY526" s="2" t="inlineStr">
        <is>
          <t>Vendo mi Citroën C4 Coupé 1.6 Collection, un coupe versátil con muy buen maletero que lo tengo desde que me saque el carnet. Es el momento de darle una nueva vida a quien sepa apreciarlo.
Como se ve en las imágenes, tiene algunos desperfectos, por lo que el precio es negociable. 
Este C4 representa una excelente relación entre practicidad y eficiencia. Su motor de 110 CV ofrece una potencia suficiente para el día a día. La carrocería roja mantiene su color vibrante, y tanto el interior como el exterior reflejan un uso habitual sin sorpresas desagradables. Es un coche que funciona, que está listo para rodar y que no te dará problemas.
Con cambio manual y capacidad para cinco ocupantes, se adapta perfectamente  a quien necesite espacio sin complicaciones, aunque recuerda que son 3 puertas. Su tamaño compacto lo hace ágil en ciudad, pero también cómodo en carretera.
Correa de distribución cambiada a los 120.000km. Embrague cambiado a los 150.000km. Los 4 neumáticos nuevos con menos de 5.000km.
Mantenimientos hechos periódicamente.
ITV pasada sin ninguna falta.
Puedes venir a verlo cuando quieras, y si tienes cualquier duda sobre aspectos específicos del coche, no dudes en contactarme. Estoy disponible para resolver todas tus preguntas.
Contacta hoy mismo y ven a conocerlo. Aprovecha esta oportunidad.</t>
        </is>
      </c>
      <c r="AZ526" s="2" t="inlineStr">
        <is>
          <t>https://www.coches.net/citroen-c4-16-16v-collection-3p-gasolina-2007-en-castellon-70992587-covo.aspx (window.__INITIAL_PROPS__.ad) /home/user/Alopecia/buscador-coches/raw/cochesnet/f127bb8753f8a5b8.json</t>
        </is>
      </c>
      <c r="BA526" s="3">
        <f>MAX(ANIO_ACTUAL-M526,0)</f>
        <v/>
      </c>
      <c r="BB526" s="4">
        <f>N526/MAX(BA526,0.5)</f>
        <v/>
      </c>
      <c r="BC526" s="4">
        <f>F526</f>
        <v/>
      </c>
      <c r="BD526" s="3">
        <f>BC526&amp;"|"&amp;INT(M526/SEG_ANIO)*SEG_ANIO</f>
        <v/>
      </c>
      <c r="BE526" s="3">
        <f>BD526&amp;"|"&amp;INT(N526/SEG_KM)*SEG_KM</f>
        <v/>
      </c>
      <c r="BF526" s="4">
        <f>COUNTIF($BC$2:$BC$545,BC526)</f>
        <v/>
      </c>
      <c r="BG526" s="4">
        <f>COUNTIF($BD$2:$BD$545,BD526)</f>
        <v/>
      </c>
      <c r="BH526" s="4">
        <f>COUNTIF($BE$2:$BE$545,BE526)</f>
        <v/>
      </c>
      <c r="BI526" s="3">
        <f t="array" ref="BI526">IF(N(AU526)&gt;=MIN_N,AT526,IF(BH526&gt;=MIN_N,MEDIAN(IF($BE$2:$BE$545=BE526,$O$2:$O$545)),IF(BG526&gt;=MIN_N,MEDIAN(IF($BD$2:$BD$545=BD526,$O$2:$O$545)),MEDIAN(IF($BC$2:$BC$545=BC526,$O$2:$O$545)))))</f>
        <v/>
      </c>
      <c r="BJ526" s="3">
        <f>IF(N(AU526)&gt;=MIN_N,"mercado "&amp;AV526,IF(BH526&gt;=MIN_N,"modelo+año+km",IF(BG526&gt;=MIN_N,"modelo+año","modelo")))</f>
        <v/>
      </c>
      <c r="BK526" s="4">
        <f>(BI526-O526)/BI526</f>
        <v/>
      </c>
      <c r="BL526" s="3">
        <f>IF(COUNTIFS(FR_FUEL,K526,FR_YEAR,AP526)&gt;0,1,0)</f>
        <v/>
      </c>
      <c r="BM526" s="3">
        <f>IF(COUNTIFS(FR_FUEL,K526,FR_YEAR,AP526-1)&gt;0,1,0)</f>
        <v/>
      </c>
      <c r="BN526" s="4">
        <f>IF(N(AQ526)&gt;0,AP526*100+AQ526,IF(AND(BL526=1,BM526=1),(AP526-1)*100+1,AP526*100+1))</f>
        <v/>
      </c>
      <c r="BO526" s="3">
        <f>IF(OR(K526="hibrido",K526="glp",K526="gnc",K526="phev"),"ECO",IF(K526="electrico","CERO",IF(K526="gasolina",IF(BN526&gt;=GAS_C_YM,"C",IF(BN526&gt;=GAS_B_YM,"B","A")),IF(K526="diesel",IF(BN526&gt;=DIE_C_YM,"C",IF(BN526&gt;=DIE_B_YM,"B","A")),""))))</f>
        <v/>
      </c>
      <c r="BP526" s="2" t="inlineStr">
        <is>
          <t>C</t>
        </is>
      </c>
      <c r="BQ526" s="4">
        <f>IF(AS526="regla",IF(AND(N(AQ526)=0,BL526=1),"sí","no"),"no")</f>
        <v/>
      </c>
      <c r="BR526" s="3">
        <f>IFERROR(VLOOKUP(F526,MOD_TBL,11,0),IFERROR(VLOOKUP(E526,OCU_TBL,2,0),NEUTRO))</f>
        <v/>
      </c>
      <c r="BS526" s="3">
        <f>SUMIFS(MOT_AJUSTE,MOT_MOTOR,G526,MOT_MARCA,E526,MOT_DESDE,"&lt;="&amp;M526,MOT_HASTA,"&gt;="&amp;M526)+SUMIFS(MOT_AJUSTE,MOT_MOTOR,G526,MOT_MARCA,"(todas)",MOT_DESDE,"&lt;="&amp;M526,MOT_HASTA,"&gt;="&amp;M526)</f>
        <v/>
      </c>
      <c r="BT526" s="3">
        <f>SUMIFS(COMB_AJUSTE,COMB_COMB,K526)</f>
        <v/>
      </c>
      <c r="BU526" s="3">
        <f>COUNTIFS(MOT_MOTOR,G526,MOT_MARCA,E526,MOT_DESDE,"&lt;="&amp;M526,MOT_HASTA,"&gt;="&amp;M526)+COUNTIFS(MOT_MOTOR,G526,MOT_MARCA,"(todas)",MOT_DESDE,"&lt;="&amp;M526,MOT_HASTA,"&gt;="&amp;M526)</f>
        <v/>
      </c>
      <c r="BV526" s="3">
        <f>IF(AND(K526="diesel",BU526=0),MIN(BR526,NEUTRO),BR526)</f>
        <v/>
      </c>
      <c r="BW526" s="4">
        <f>MAX(0,MIN(100,BV526+BS526+BT526))</f>
        <v/>
      </c>
      <c r="BX526" s="3">
        <f>MAX(0,MIN(100,50+BK526*PRECIO_PEND))</f>
        <v/>
      </c>
      <c r="BY526" s="3">
        <f>MAX(0,100*(1-N526/KM_MAX))</f>
        <v/>
      </c>
      <c r="BZ526" s="3">
        <f>IF(BB526&lt;KMA_SOSP,IF(AA526="sí",100,KMA_PEN),IF(BB526&lt;=KMA_IDEAL_MAX,100,MAX(0,100*(KMA_CERO-BB526)/(KMA_CERO-KMA_IDEAL_MAX))))</f>
        <v/>
      </c>
      <c r="CA526" s="3">
        <f>MAX(0,MIN(100,100*(M526-ANIO_MIN)/(ANIO_ACTUAL-ANIO_MIN)))</f>
        <v/>
      </c>
      <c r="CB526" s="3">
        <f>W_KMT*BY526+W_KMA*BZ526+W_EDAD*CA526</f>
        <v/>
      </c>
      <c r="CC526" s="3">
        <f>P_ITV*(V526="sí")+P_LIBRO*(W526="sí")+P_CORREA*(X526="sí")+P_PROP*(Y526=1)+P_GAR*(Z526="sí")+P_FOTOS*MIN(1,N(U526)/FOTOS_OBJ)</f>
        <v/>
      </c>
      <c r="CD526" s="3">
        <f>MAX(0,MIN(100,IFERROR(VLOOKUP(BP526,ETQ_TBL,2,0),0)-IF(BQ526="sí",ETQ_PEN_DUD,IF(AS526="regla",ETQ_PEN_REGLA,0))))</f>
        <v/>
      </c>
      <c r="CE526" s="3">
        <f>NEUTRO</f>
        <v/>
      </c>
      <c r="CF526" s="3">
        <f>IFERROR(VLOOKUP(L526,SEGURO_TBL,3,0),"")</f>
        <v/>
      </c>
      <c r="CG526" s="3">
        <f>IF(CF526="",NEUTRO,MAX(0,MIN(100,100*(SEG_REF_MAX-CF526)/(SEG_REF_MAX-SEG_REF_MIN))))</f>
        <v/>
      </c>
      <c r="CH526" s="3">
        <f>W_CONS*CE526+W_SEG*CG526</f>
        <v/>
      </c>
      <c r="CI526" s="3">
        <f>IF(N(AB526)&gt;0,AB526,IF(AND(R526="profesional",SG_LEGAL_ON=1),GAR_LEGAL,0))</f>
        <v/>
      </c>
      <c r="CJ526" s="3">
        <f>SG_GAR*MIN(1,CI526/SG_GAR_FULL)+SG_AMPL*(AC526="sí")+SG_KMC*(AF526="sí")+SG_REV*(N(AE526)&gt;0)+SG_DEV*MIN(1,N(AG526)/SG_DEV_FULL)+SG_HIST*(W526="sí")</f>
        <v/>
      </c>
      <c r="CK526" s="3">
        <f>IFERROR(VLOOKUP(L526,CARR_PEN_TBL,2,0),0)</f>
        <v/>
      </c>
      <c r="CL526" s="3">
        <f>W_FIAB*BW526+W_PRECIO*BX526+W_KMEDAD*CB526+W_ANUNCIO*CC526+W_USO*CH526+W_SEGURIDAD*CJ526+W_ETIQUETA*CD526-CK526</f>
        <v/>
      </c>
      <c r="CM526" s="4">
        <f>IF(N(I526)&gt;0,I526,IFERROR(ROUND(_xlfn.NUMBERVALUE(LEFT(G526,FIND(" ",G526&amp;" ")-1),".")*1000,0),99999))</f>
        <v/>
      </c>
      <c r="CN526" s="3">
        <f>IF(R526="profesional",0,IF(O526&lt;CUOTA_VALOR_MAX,IF(BA526&gt;ITP_TRAMO_ALTO,SUMIFS(CF_CUOTA,CF_MAS,ITP_TRAMO_ALTO,CF_CCMIN,"&lt;="&amp;CM526,CF_CCMAX,"&gt;="&amp;CM526),IF(BA526&gt;ITP_TRAMO_BAJO,SUMIFS(CF_CUOTA,CF_MAS,ITP_TRAMO_BAJO,CF_CCMIN,"&lt;="&amp;CM526,CF_CCMAX,"&gt;="&amp;CM526),O526*ITP_TIPO)),O526*ITP_TIPO))</f>
        <v/>
      </c>
      <c r="CO526" s="4">
        <f>IF(R526="profesional",N(AK526),0)</f>
        <v/>
      </c>
      <c r="CP526" s="3">
        <f>IF(AND(R526="profesional",ISNUMBER(AK526),AL526="sí"),0,TASA_DGT)</f>
        <v/>
      </c>
      <c r="CQ526" s="3">
        <f>INFORME_DGT</f>
        <v/>
      </c>
      <c r="CR526" s="4">
        <f>O526+CO526+CN526+CP526+CQ526</f>
        <v/>
      </c>
      <c r="CS526" s="4">
        <f>CR526+N(CF526)</f>
        <v/>
      </c>
      <c r="CT526" s="3">
        <f>IF(CR526&lt;=TOTAL_MAX,"sí",IF(CR526&lt;=TOTAL_MAX+MARGEN_NEG,"negociar","no"))</f>
        <v/>
      </c>
      <c r="CU526" s="4">
        <f>IF(CT526&lt;&gt;"no",COUNTIFS($CT$2:$CT$545,"&lt;&gt;no",$CL$2:$CL$545,"&gt;"&amp;CL526)+COUNTIFS($CT$2:CT526,"&lt;&gt;no",$CL$2:CL526,CL526),"")</f>
        <v/>
      </c>
    </row>
    <row r="527">
      <c r="A527" s="2" t="inlineStr">
        <is>
          <t>cochesnet:71827603</t>
        </is>
      </c>
      <c r="B527" s="2" t="inlineStr">
        <is>
          <t>cochesnet</t>
        </is>
      </c>
      <c r="C527" s="2" t="inlineStr">
        <is>
          <t>https://www.coches.net/ford-focus-16-trend-5p-gasolina-2009-en-castellon-71827603-covo.aspx</t>
        </is>
      </c>
      <c r="D527" s="2" t="inlineStr">
        <is>
          <t>FORD Focus 1.6 TREND</t>
        </is>
      </c>
      <c r="E527" s="2" t="inlineStr">
        <is>
          <t>Ford</t>
        </is>
      </c>
      <c r="F527" s="2" t="inlineStr">
        <is>
          <t>Ford Focus</t>
        </is>
      </c>
      <c r="G527" s="2" t="inlineStr">
        <is>
          <t>1.6</t>
        </is>
      </c>
      <c r="H527" s="2" t="inlineStr">
        <is>
          <t>1.6 TREND</t>
        </is>
      </c>
      <c r="I527" s="2" t="n"/>
      <c r="J527" s="2" t="n"/>
      <c r="K527" s="2" t="inlineStr">
        <is>
          <t>gasolina</t>
        </is>
      </c>
      <c r="L527" s="2" t="inlineStr">
        <is>
          <t>compacto</t>
        </is>
      </c>
      <c r="M527" s="2" t="n">
        <v>2009</v>
      </c>
      <c r="N527" s="2" t="n">
        <v>80000</v>
      </c>
      <c r="O527" s="2" t="n">
        <v>5000</v>
      </c>
      <c r="P527" s="2" t="inlineStr">
        <is>
          <t>manual</t>
        </is>
      </c>
      <c r="Q527" s="2" t="inlineStr">
        <is>
          <t>no</t>
        </is>
      </c>
      <c r="R527" s="2" t="inlineStr">
        <is>
          <t>particular</t>
        </is>
      </c>
      <c r="S527" s="2" t="inlineStr">
        <is>
          <t>Vila-real</t>
        </is>
      </c>
      <c r="T527" s="2" t="inlineStr">
        <is>
          <t>2026-10-25T12:17:54Z</t>
        </is>
      </c>
      <c r="U527" s="2" t="n">
        <v>13</v>
      </c>
      <c r="V527" s="2" t="n"/>
      <c r="W527" s="2" t="n"/>
      <c r="X527" s="2" t="n"/>
      <c r="Y527" s="2" t="n"/>
      <c r="Z527" s="2" t="inlineStr">
        <is>
          <t>no</t>
        </is>
      </c>
      <c r="AA527" s="2" t="n"/>
      <c r="AB527" s="2" t="n"/>
      <c r="AC527" s="2" t="n"/>
      <c r="AD527" s="2" t="n"/>
      <c r="AE527" s="2" t="n"/>
      <c r="AF527" s="2" t="n"/>
      <c r="AG527" s="2" t="n"/>
      <c r="AH527" s="2" t="n">
        <v>5000</v>
      </c>
      <c r="AI527" s="2" t="n"/>
      <c r="AJ527" s="2" t="n"/>
      <c r="AK527" s="2" t="n"/>
      <c r="AL527" s="2" t="n"/>
      <c r="AM527" s="2" t="n"/>
      <c r="AN527" s="2" t="n"/>
      <c r="AO527" s="2" t="inlineStr">
        <is>
          <t>10/2009</t>
        </is>
      </c>
      <c r="AP527" s="2" t="n">
        <v>2009</v>
      </c>
      <c r="AQ527" s="2" t="n">
        <v>10</v>
      </c>
      <c r="AR527" s="2" t="inlineStr">
        <is>
          <t>C</t>
        </is>
      </c>
      <c r="AS527" s="2" t="inlineStr">
        <is>
          <t>anuncio</t>
        </is>
      </c>
      <c r="AT527" s="2" t="n">
        <v>3500</v>
      </c>
      <c r="AU527" s="2" t="n">
        <v>60</v>
      </c>
      <c r="AV527" s="2" t="inlineStr">
        <is>
          <t>modelo+año</t>
        </is>
      </c>
      <c r="AW527" s="2" t="n"/>
      <c r="AX527" s="2" t="inlineStr">
        <is>
          <t>por encima del presupuesto (5124 €), negociar; cuota fija ITP: &gt;12 años, 1.501-2.000 cc; distancia no verificable (el anuncio solo indica la provincia): confirmar que está a &lt;= 70 km</t>
        </is>
      </c>
      <c r="AY527" s="2" t="inlineStr">
        <is>
          <t>Tiene ITV recién aceite filtros batería y pastillas nuevas se acepta cualquier prueba mecánica no mareantes el precio es justo</t>
        </is>
      </c>
      <c r="AZ527" s="2" t="inlineStr">
        <is>
          <t>https://www.coches.net/ford-focus-16-trend-5p-gasolina-2009-en-castellon-71827603-covo.aspx (window.__INITIAL_PROPS__.ad) /home/user/Alopecia/buscador-coches/raw/cochesnet/e388fd0e3141c012.json</t>
        </is>
      </c>
      <c r="BA527" s="3">
        <f>MAX(ANIO_ACTUAL-M527,0)</f>
        <v/>
      </c>
      <c r="BB527" s="4">
        <f>N527/MAX(BA527,0.5)</f>
        <v/>
      </c>
      <c r="BC527" s="4">
        <f>F527</f>
        <v/>
      </c>
      <c r="BD527" s="3">
        <f>BC527&amp;"|"&amp;INT(M527/SEG_ANIO)*SEG_ANIO</f>
        <v/>
      </c>
      <c r="BE527" s="3">
        <f>BD527&amp;"|"&amp;INT(N527/SEG_KM)*SEG_KM</f>
        <v/>
      </c>
      <c r="BF527" s="4">
        <f>COUNTIF($BC$2:$BC$545,BC527)</f>
        <v/>
      </c>
      <c r="BG527" s="4">
        <f>COUNTIF($BD$2:$BD$545,BD527)</f>
        <v/>
      </c>
      <c r="BH527" s="4">
        <f>COUNTIF($BE$2:$BE$545,BE527)</f>
        <v/>
      </c>
      <c r="BI527" s="3">
        <f t="array" ref="BI527">IF(N(AU527)&gt;=MIN_N,AT527,IF(BH527&gt;=MIN_N,MEDIAN(IF($BE$2:$BE$545=BE527,$O$2:$O$545)),IF(BG527&gt;=MIN_N,MEDIAN(IF($BD$2:$BD$545=BD527,$O$2:$O$545)),MEDIAN(IF($BC$2:$BC$545=BC527,$O$2:$O$545)))))</f>
        <v/>
      </c>
      <c r="BJ527" s="3">
        <f>IF(N(AU527)&gt;=MIN_N,"mercado "&amp;AV527,IF(BH527&gt;=MIN_N,"modelo+año+km",IF(BG527&gt;=MIN_N,"modelo+año","modelo")))</f>
        <v/>
      </c>
      <c r="BK527" s="4">
        <f>(BI527-O527)/BI527</f>
        <v/>
      </c>
      <c r="BL527" s="3">
        <f>IF(COUNTIFS(FR_FUEL,K527,FR_YEAR,AP527)&gt;0,1,0)</f>
        <v/>
      </c>
      <c r="BM527" s="3">
        <f>IF(COUNTIFS(FR_FUEL,K527,FR_YEAR,AP527-1)&gt;0,1,0)</f>
        <v/>
      </c>
      <c r="BN527" s="4">
        <f>IF(N(AQ527)&gt;0,AP527*100+AQ527,IF(AND(BL527=1,BM527=1),(AP527-1)*100+1,AP527*100+1))</f>
        <v/>
      </c>
      <c r="BO527" s="3">
        <f>IF(OR(K527="hibrido",K527="glp",K527="gnc",K527="phev"),"ECO",IF(K527="electrico","CERO",IF(K527="gasolina",IF(BN527&gt;=GAS_C_YM,"C",IF(BN527&gt;=GAS_B_YM,"B","A")),IF(K527="diesel",IF(BN527&gt;=DIE_C_YM,"C",IF(BN527&gt;=DIE_B_YM,"B","A")),""))))</f>
        <v/>
      </c>
      <c r="BP527" s="2" t="inlineStr">
        <is>
          <t>C</t>
        </is>
      </c>
      <c r="BQ527" s="4">
        <f>IF(AS527="regla",IF(AND(N(AQ527)=0,BL527=1),"sí","no"),"no")</f>
        <v/>
      </c>
      <c r="BR527" s="3">
        <f>IFERROR(VLOOKUP(F527,MOD_TBL,11,0),IFERROR(VLOOKUP(E527,OCU_TBL,2,0),NEUTRO))</f>
        <v/>
      </c>
      <c r="BS527" s="3">
        <f>SUMIFS(MOT_AJUSTE,MOT_MOTOR,G527,MOT_MARCA,E527,MOT_DESDE,"&lt;="&amp;M527,MOT_HASTA,"&gt;="&amp;M527)+SUMIFS(MOT_AJUSTE,MOT_MOTOR,G527,MOT_MARCA,"(todas)",MOT_DESDE,"&lt;="&amp;M527,MOT_HASTA,"&gt;="&amp;M527)</f>
        <v/>
      </c>
      <c r="BT527" s="3">
        <f>SUMIFS(COMB_AJUSTE,COMB_COMB,K527)</f>
        <v/>
      </c>
      <c r="BU527" s="3">
        <f>COUNTIFS(MOT_MOTOR,G527,MOT_MARCA,E527,MOT_DESDE,"&lt;="&amp;M527,MOT_HASTA,"&gt;="&amp;M527)+COUNTIFS(MOT_MOTOR,G527,MOT_MARCA,"(todas)",MOT_DESDE,"&lt;="&amp;M527,MOT_HASTA,"&gt;="&amp;M527)</f>
        <v/>
      </c>
      <c r="BV527" s="3">
        <f>IF(AND(K527="diesel",BU527=0),MIN(BR527,NEUTRO),BR527)</f>
        <v/>
      </c>
      <c r="BW527" s="4">
        <f>MAX(0,MIN(100,BV527+BS527+BT527))</f>
        <v/>
      </c>
      <c r="BX527" s="3">
        <f>MAX(0,MIN(100,50+BK527*PRECIO_PEND))</f>
        <v/>
      </c>
      <c r="BY527" s="3">
        <f>MAX(0,100*(1-N527/KM_MAX))</f>
        <v/>
      </c>
      <c r="BZ527" s="3">
        <f>IF(BB527&lt;KMA_SOSP,IF(AA527="sí",100,KMA_PEN),IF(BB527&lt;=KMA_IDEAL_MAX,100,MAX(0,100*(KMA_CERO-BB527)/(KMA_CERO-KMA_IDEAL_MAX))))</f>
        <v/>
      </c>
      <c r="CA527" s="3">
        <f>MAX(0,MIN(100,100*(M527-ANIO_MIN)/(ANIO_ACTUAL-ANIO_MIN)))</f>
        <v/>
      </c>
      <c r="CB527" s="3">
        <f>W_KMT*BY527+W_KMA*BZ527+W_EDAD*CA527</f>
        <v/>
      </c>
      <c r="CC527" s="3">
        <f>P_ITV*(V527="sí")+P_LIBRO*(W527="sí")+P_CORREA*(X527="sí")+P_PROP*(Y527=1)+P_GAR*(Z527="sí")+P_FOTOS*MIN(1,N(U527)/FOTOS_OBJ)</f>
        <v/>
      </c>
      <c r="CD527" s="3">
        <f>MAX(0,MIN(100,IFERROR(VLOOKUP(BP527,ETQ_TBL,2,0),0)-IF(BQ527="sí",ETQ_PEN_DUD,IF(AS527="regla",ETQ_PEN_REGLA,0))))</f>
        <v/>
      </c>
      <c r="CE527" s="3">
        <f>NEUTRO</f>
        <v/>
      </c>
      <c r="CF527" s="3">
        <f>IFERROR(VLOOKUP(L527,SEGURO_TBL,3,0),"")</f>
        <v/>
      </c>
      <c r="CG527" s="3">
        <f>IF(CF527="",NEUTRO,MAX(0,MIN(100,100*(SEG_REF_MAX-CF527)/(SEG_REF_MAX-SEG_REF_MIN))))</f>
        <v/>
      </c>
      <c r="CH527" s="3">
        <f>W_CONS*CE527+W_SEG*CG527</f>
        <v/>
      </c>
      <c r="CI527" s="3">
        <f>IF(N(AB527)&gt;0,AB527,IF(AND(R527="profesional",SG_LEGAL_ON=1),GAR_LEGAL,0))</f>
        <v/>
      </c>
      <c r="CJ527" s="3">
        <f>SG_GAR*MIN(1,CI527/SG_GAR_FULL)+SG_AMPL*(AC527="sí")+SG_KMC*(AF527="sí")+SG_REV*(N(AE527)&gt;0)+SG_DEV*MIN(1,N(AG527)/SG_DEV_FULL)+SG_HIST*(W527="sí")</f>
        <v/>
      </c>
      <c r="CK527" s="3">
        <f>IFERROR(VLOOKUP(L527,CARR_PEN_TBL,2,0),0)</f>
        <v/>
      </c>
      <c r="CL527" s="3">
        <f>W_FIAB*BW527+W_PRECIO*BX527+W_KMEDAD*CB527+W_ANUNCIO*CC527+W_USO*CH527+W_SEGURIDAD*CJ527+W_ETIQUETA*CD527-CK527</f>
        <v/>
      </c>
      <c r="CM527" s="4">
        <f>IF(N(I527)&gt;0,I527,IFERROR(ROUND(_xlfn.NUMBERVALUE(LEFT(G527,FIND(" ",G527&amp;" ")-1),".")*1000,0),99999))</f>
        <v/>
      </c>
      <c r="CN527" s="3">
        <f>IF(R527="profesional",0,IF(O527&lt;CUOTA_VALOR_MAX,IF(BA527&gt;ITP_TRAMO_ALTO,SUMIFS(CF_CUOTA,CF_MAS,ITP_TRAMO_ALTO,CF_CCMIN,"&lt;="&amp;CM527,CF_CCMAX,"&gt;="&amp;CM527),IF(BA527&gt;ITP_TRAMO_BAJO,SUMIFS(CF_CUOTA,CF_MAS,ITP_TRAMO_BAJO,CF_CCMIN,"&lt;="&amp;CM527,CF_CCMAX,"&gt;="&amp;CM527),O527*ITP_TIPO)),O527*ITP_TIPO))</f>
        <v/>
      </c>
      <c r="CO527" s="4">
        <f>IF(R527="profesional",N(AK527),0)</f>
        <v/>
      </c>
      <c r="CP527" s="3">
        <f>IF(AND(R527="profesional",ISNUMBER(AK527),AL527="sí"),0,TASA_DGT)</f>
        <v/>
      </c>
      <c r="CQ527" s="3">
        <f>INFORME_DGT</f>
        <v/>
      </c>
      <c r="CR527" s="4">
        <f>O527+CO527+CN527+CP527+CQ527</f>
        <v/>
      </c>
      <c r="CS527" s="4">
        <f>CR527+N(CF527)</f>
        <v/>
      </c>
      <c r="CT527" s="3">
        <f>IF(CR527&lt;=TOTAL_MAX,"sí",IF(CR527&lt;=TOTAL_MAX+MARGEN_NEG,"negociar","no"))</f>
        <v/>
      </c>
      <c r="CU527" s="4">
        <f>IF(CT527&lt;&gt;"no",COUNTIFS($CT$2:$CT$545,"&lt;&gt;no",$CL$2:$CL$545,"&gt;"&amp;CL527)+COUNTIFS($CT$2:CT527,"&lt;&gt;no",$CL$2:CL527,CL527),"")</f>
        <v/>
      </c>
    </row>
    <row r="528">
      <c r="A528" s="2" t="inlineStr">
        <is>
          <t>cochesnet:71566517</t>
        </is>
      </c>
      <c r="B528" s="2" t="inlineStr">
        <is>
          <t>cochesnet</t>
        </is>
      </c>
      <c r="C528" s="2" t="inlineStr">
        <is>
          <t>https://www.coches.net/ford-fiesta-125-60cv-ambiente-5p-gasolina-2009-en-castellon-71566517-covo.aspx</t>
        </is>
      </c>
      <c r="D528" s="2" t="inlineStr">
        <is>
          <t>FORD Fiesta 1.25 Ambiente</t>
        </is>
      </c>
      <c r="E528" s="2" t="inlineStr">
        <is>
          <t>Ford</t>
        </is>
      </c>
      <c r="F528" s="2" t="inlineStr">
        <is>
          <t>Ford Fiesta</t>
        </is>
      </c>
      <c r="G528" s="2" t="inlineStr">
        <is>
          <t>1.2</t>
        </is>
      </c>
      <c r="H528" s="2" t="inlineStr">
        <is>
          <t>1.25 60cv Ambiente</t>
        </is>
      </c>
      <c r="I528" s="2" t="n"/>
      <c r="J528" s="2" t="n">
        <v>60</v>
      </c>
      <c r="K528" s="2" t="inlineStr">
        <is>
          <t>gasolina</t>
        </is>
      </c>
      <c r="L528" s="2" t="inlineStr">
        <is>
          <t>utilitario</t>
        </is>
      </c>
      <c r="M528" s="2" t="n">
        <v>2009</v>
      </c>
      <c r="N528" s="2" t="n">
        <v>163000</v>
      </c>
      <c r="O528" s="2" t="n">
        <v>5200</v>
      </c>
      <c r="P528" s="2" t="inlineStr">
        <is>
          <t>manual</t>
        </is>
      </c>
      <c r="Q528" s="2" t="inlineStr">
        <is>
          <t>no</t>
        </is>
      </c>
      <c r="R528" s="2" t="inlineStr">
        <is>
          <t>particular</t>
        </is>
      </c>
      <c r="S528" s="2" t="inlineStr">
        <is>
          <t>Castellón de la Plana / Castelló de la Plana</t>
        </is>
      </c>
      <c r="T528" s="2" t="inlineStr">
        <is>
          <t>2026-09-21T21:56:51Z</t>
        </is>
      </c>
      <c r="U528" s="2" t="n">
        <v>3</v>
      </c>
      <c r="V528" s="2" t="n"/>
      <c r="W528" s="2" t="n"/>
      <c r="X528" s="2" t="n"/>
      <c r="Y528" s="2" t="n"/>
      <c r="Z528" s="2" t="inlineStr">
        <is>
          <t>no</t>
        </is>
      </c>
      <c r="AA528" s="2" t="n"/>
      <c r="AB528" s="2" t="n"/>
      <c r="AC528" s="2" t="n"/>
      <c r="AD528" s="2" t="n"/>
      <c r="AE528" s="2" t="n"/>
      <c r="AF528" s="2" t="n"/>
      <c r="AG528" s="2" t="n"/>
      <c r="AH528" s="2" t="n">
        <v>5200</v>
      </c>
      <c r="AI528" s="2" t="n"/>
      <c r="AJ528" s="2" t="n"/>
      <c r="AK528" s="2" t="n"/>
      <c r="AL528" s="2" t="n"/>
      <c r="AM528" s="2" t="n"/>
      <c r="AN528" s="2" t="n"/>
      <c r="AO528" s="2" t="inlineStr">
        <is>
          <t>04/2009</t>
        </is>
      </c>
      <c r="AP528" s="2" t="n">
        <v>2009</v>
      </c>
      <c r="AQ528" s="2" t="n">
        <v>4</v>
      </c>
      <c r="AR528" s="2" t="inlineStr">
        <is>
          <t>C</t>
        </is>
      </c>
      <c r="AS528" s="2" t="inlineStr">
        <is>
          <t>anuncio</t>
        </is>
      </c>
      <c r="AT528" s="2" t="n">
        <v>4500</v>
      </c>
      <c r="AU528" s="2" t="n">
        <v>18</v>
      </c>
      <c r="AV528" s="2" t="inlineStr">
        <is>
          <t>modelo+año+km</t>
        </is>
      </c>
      <c r="AW528" s="2" t="n"/>
      <c r="AX528" s="2" t="inlineStr">
        <is>
          <t>cuota fija ITP: &gt;12 años, hasta 1.500 cc; distancia no verificable (el anuncio solo indica la provincia): confirmar que está a &lt;= 70 km</t>
        </is>
      </c>
      <c r="AY528" s="2" t="inlineStr">
        <is>
          <t xml:space="preserve">Se vende en coche único conductor, con revisión pasada y cambio de aceite y filtros también </t>
        </is>
      </c>
      <c r="AZ528" s="2" t="inlineStr">
        <is>
          <t>https://www.coches.net/ford-fiesta-125-60cv-ambiente-5p-gasolina-2009-en-castellon-71566517-covo.aspx (window.__INITIAL_PROPS__.ad) /home/user/Alopecia/buscador-coches/raw/cochesnet/6bba3af7551b9419.json</t>
        </is>
      </c>
      <c r="BA528" s="3">
        <f>MAX(ANIO_ACTUAL-M528,0)</f>
        <v/>
      </c>
      <c r="BB528" s="4">
        <f>N528/MAX(BA528,0.5)</f>
        <v/>
      </c>
      <c r="BC528" s="4">
        <f>F528</f>
        <v/>
      </c>
      <c r="BD528" s="3">
        <f>BC528&amp;"|"&amp;INT(M528/SEG_ANIO)*SEG_ANIO</f>
        <v/>
      </c>
      <c r="BE528" s="3">
        <f>BD528&amp;"|"&amp;INT(N528/SEG_KM)*SEG_KM</f>
        <v/>
      </c>
      <c r="BF528" s="4">
        <f>COUNTIF($BC$2:$BC$545,BC528)</f>
        <v/>
      </c>
      <c r="BG528" s="4">
        <f>COUNTIF($BD$2:$BD$545,BD528)</f>
        <v/>
      </c>
      <c r="BH528" s="4">
        <f>COUNTIF($BE$2:$BE$545,BE528)</f>
        <v/>
      </c>
      <c r="BI528" s="3">
        <f t="array" ref="BI528">IF(N(AU528)&gt;=MIN_N,AT528,IF(BH528&gt;=MIN_N,MEDIAN(IF($BE$2:$BE$545=BE528,$O$2:$O$545)),IF(BG528&gt;=MIN_N,MEDIAN(IF($BD$2:$BD$545=BD528,$O$2:$O$545)),MEDIAN(IF($BC$2:$BC$545=BC528,$O$2:$O$545)))))</f>
        <v/>
      </c>
      <c r="BJ528" s="3">
        <f>IF(N(AU528)&gt;=MIN_N,"mercado "&amp;AV528,IF(BH528&gt;=MIN_N,"modelo+año+km",IF(BG528&gt;=MIN_N,"modelo+año","modelo")))</f>
        <v/>
      </c>
      <c r="BK528" s="4">
        <f>(BI528-O528)/BI528</f>
        <v/>
      </c>
      <c r="BL528" s="3">
        <f>IF(COUNTIFS(FR_FUEL,K528,FR_YEAR,AP528)&gt;0,1,0)</f>
        <v/>
      </c>
      <c r="BM528" s="3">
        <f>IF(COUNTIFS(FR_FUEL,K528,FR_YEAR,AP528-1)&gt;0,1,0)</f>
        <v/>
      </c>
      <c r="BN528" s="4">
        <f>IF(N(AQ528)&gt;0,AP528*100+AQ528,IF(AND(BL528=1,BM528=1),(AP528-1)*100+1,AP528*100+1))</f>
        <v/>
      </c>
      <c r="BO528" s="3">
        <f>IF(OR(K528="hibrido",K528="glp",K528="gnc",K528="phev"),"ECO",IF(K528="electrico","CERO",IF(K528="gasolina",IF(BN528&gt;=GAS_C_YM,"C",IF(BN528&gt;=GAS_B_YM,"B","A")),IF(K528="diesel",IF(BN528&gt;=DIE_C_YM,"C",IF(BN528&gt;=DIE_B_YM,"B","A")),""))))</f>
        <v/>
      </c>
      <c r="BP528" s="2" t="inlineStr">
        <is>
          <t>C</t>
        </is>
      </c>
      <c r="BQ528" s="4">
        <f>IF(AS528="regla",IF(AND(N(AQ528)=0,BL528=1),"sí","no"),"no")</f>
        <v/>
      </c>
      <c r="BR528" s="3">
        <f>IFERROR(VLOOKUP(F528,MOD_TBL,11,0),IFERROR(VLOOKUP(E528,OCU_TBL,2,0),NEUTRO))</f>
        <v/>
      </c>
      <c r="BS528" s="3">
        <f>SUMIFS(MOT_AJUSTE,MOT_MOTOR,G528,MOT_MARCA,E528,MOT_DESDE,"&lt;="&amp;M528,MOT_HASTA,"&gt;="&amp;M528)+SUMIFS(MOT_AJUSTE,MOT_MOTOR,G528,MOT_MARCA,"(todas)",MOT_DESDE,"&lt;="&amp;M528,MOT_HASTA,"&gt;="&amp;M528)</f>
        <v/>
      </c>
      <c r="BT528" s="3">
        <f>SUMIFS(COMB_AJUSTE,COMB_COMB,K528)</f>
        <v/>
      </c>
      <c r="BU528" s="3">
        <f>COUNTIFS(MOT_MOTOR,G528,MOT_MARCA,E528,MOT_DESDE,"&lt;="&amp;M528,MOT_HASTA,"&gt;="&amp;M528)+COUNTIFS(MOT_MOTOR,G528,MOT_MARCA,"(todas)",MOT_DESDE,"&lt;="&amp;M528,MOT_HASTA,"&gt;="&amp;M528)</f>
        <v/>
      </c>
      <c r="BV528" s="3">
        <f>IF(AND(K528="diesel",BU528=0),MIN(BR528,NEUTRO),BR528)</f>
        <v/>
      </c>
      <c r="BW528" s="4">
        <f>MAX(0,MIN(100,BV528+BS528+BT528))</f>
        <v/>
      </c>
      <c r="BX528" s="3">
        <f>MAX(0,MIN(100,50+BK528*PRECIO_PEND))</f>
        <v/>
      </c>
      <c r="BY528" s="3">
        <f>MAX(0,100*(1-N528/KM_MAX))</f>
        <v/>
      </c>
      <c r="BZ528" s="3">
        <f>IF(BB528&lt;KMA_SOSP,IF(AA528="sí",100,KMA_PEN),IF(BB528&lt;=KMA_IDEAL_MAX,100,MAX(0,100*(KMA_CERO-BB528)/(KMA_CERO-KMA_IDEAL_MAX))))</f>
        <v/>
      </c>
      <c r="CA528" s="3">
        <f>MAX(0,MIN(100,100*(M528-ANIO_MIN)/(ANIO_ACTUAL-ANIO_MIN)))</f>
        <v/>
      </c>
      <c r="CB528" s="3">
        <f>W_KMT*BY528+W_KMA*BZ528+W_EDAD*CA528</f>
        <v/>
      </c>
      <c r="CC528" s="3">
        <f>P_ITV*(V528="sí")+P_LIBRO*(W528="sí")+P_CORREA*(X528="sí")+P_PROP*(Y528=1)+P_GAR*(Z528="sí")+P_FOTOS*MIN(1,N(U528)/FOTOS_OBJ)</f>
        <v/>
      </c>
      <c r="CD528" s="3">
        <f>MAX(0,MIN(100,IFERROR(VLOOKUP(BP528,ETQ_TBL,2,0),0)-IF(BQ528="sí",ETQ_PEN_DUD,IF(AS528="regla",ETQ_PEN_REGLA,0))))</f>
        <v/>
      </c>
      <c r="CE528" s="3">
        <f>NEUTRO</f>
        <v/>
      </c>
      <c r="CF528" s="3">
        <f>IFERROR(VLOOKUP(L528,SEGURO_TBL,3,0),"")</f>
        <v/>
      </c>
      <c r="CG528" s="3">
        <f>IF(CF528="",NEUTRO,MAX(0,MIN(100,100*(SEG_REF_MAX-CF528)/(SEG_REF_MAX-SEG_REF_MIN))))</f>
        <v/>
      </c>
      <c r="CH528" s="3">
        <f>W_CONS*CE528+W_SEG*CG528</f>
        <v/>
      </c>
      <c r="CI528" s="3">
        <f>IF(N(AB528)&gt;0,AB528,IF(AND(R528="profesional",SG_LEGAL_ON=1),GAR_LEGAL,0))</f>
        <v/>
      </c>
      <c r="CJ528" s="3">
        <f>SG_GAR*MIN(1,CI528/SG_GAR_FULL)+SG_AMPL*(AC528="sí")+SG_KMC*(AF528="sí")+SG_REV*(N(AE528)&gt;0)+SG_DEV*MIN(1,N(AG528)/SG_DEV_FULL)+SG_HIST*(W528="sí")</f>
        <v/>
      </c>
      <c r="CK528" s="3">
        <f>IFERROR(VLOOKUP(L528,CARR_PEN_TBL,2,0),0)</f>
        <v/>
      </c>
      <c r="CL528" s="3">
        <f>W_FIAB*BW528+W_PRECIO*BX528+W_KMEDAD*CB528+W_ANUNCIO*CC528+W_USO*CH528+W_SEGURIDAD*CJ528+W_ETIQUETA*CD528-CK528</f>
        <v/>
      </c>
      <c r="CM528" s="4">
        <f>IF(N(I528)&gt;0,I528,IFERROR(ROUND(_xlfn.NUMBERVALUE(LEFT(G528,FIND(" ",G528&amp;" ")-1),".")*1000,0),99999))</f>
        <v/>
      </c>
      <c r="CN528" s="3">
        <f>IF(R528="profesional",0,IF(O528&lt;CUOTA_VALOR_MAX,IF(BA528&gt;ITP_TRAMO_ALTO,SUMIFS(CF_CUOTA,CF_MAS,ITP_TRAMO_ALTO,CF_CCMIN,"&lt;="&amp;CM528,CF_CCMAX,"&gt;="&amp;CM528),IF(BA528&gt;ITP_TRAMO_BAJO,SUMIFS(CF_CUOTA,CF_MAS,ITP_TRAMO_BAJO,CF_CCMIN,"&lt;="&amp;CM528,CF_CCMAX,"&gt;="&amp;CM528),O528*ITP_TIPO)),O528*ITP_TIPO))</f>
        <v/>
      </c>
      <c r="CO528" s="4">
        <f>IF(R528="profesional",N(AK528),0)</f>
        <v/>
      </c>
      <c r="CP528" s="3">
        <f>IF(AND(R528="profesional",ISNUMBER(AK528),AL528="sí"),0,TASA_DGT)</f>
        <v/>
      </c>
      <c r="CQ528" s="3">
        <f>INFORME_DGT</f>
        <v/>
      </c>
      <c r="CR528" s="4">
        <f>O528+CO528+CN528+CP528+CQ528</f>
        <v/>
      </c>
      <c r="CS528" s="4">
        <f>CR528+N(CF528)</f>
        <v/>
      </c>
      <c r="CT528" s="3">
        <f>IF(CR528&lt;=TOTAL_MAX,"sí",IF(CR528&lt;=TOTAL_MAX+MARGEN_NEG,"negociar","no"))</f>
        <v/>
      </c>
      <c r="CU528" s="4">
        <f>IF(CT528&lt;&gt;"no",COUNTIFS($CT$2:$CT$545,"&lt;&gt;no",$CL$2:$CL$545,"&gt;"&amp;CL528)+COUNTIFS($CT$2:CT528,"&lt;&gt;no",$CL$2:CL528,CL528),"")</f>
        <v/>
      </c>
    </row>
    <row r="529">
      <c r="A529" s="2" t="inlineStr">
        <is>
          <t>cochesnet:71452715</t>
        </is>
      </c>
      <c r="B529" s="2" t="inlineStr">
        <is>
          <t>cochesnet</t>
        </is>
      </c>
      <c r="C529" s="2" t="inlineStr">
        <is>
          <t>https://www.coches.net/ford-fiesta-diesel-2009-en-castellon-71452715-covo.aspx</t>
        </is>
      </c>
      <c r="D529" s="2" t="inlineStr">
        <is>
          <t>FORD Fiesta</t>
        </is>
      </c>
      <c r="E529" s="2" t="inlineStr">
        <is>
          <t>Ford</t>
        </is>
      </c>
      <c r="F529" s="2" t="inlineStr">
        <is>
          <t>Ford Fiesta</t>
        </is>
      </c>
      <c r="G529" s="2" t="n"/>
      <c r="H529" s="2" t="n"/>
      <c r="I529" s="2" t="n"/>
      <c r="J529" s="2" t="n"/>
      <c r="K529" s="2" t="inlineStr">
        <is>
          <t>diesel</t>
        </is>
      </c>
      <c r="L529" s="2" t="inlineStr">
        <is>
          <t>utilitario</t>
        </is>
      </c>
      <c r="M529" s="2" t="n">
        <v>2009</v>
      </c>
      <c r="N529" s="2" t="n">
        <v>200000</v>
      </c>
      <c r="O529" s="2" t="n">
        <v>4450</v>
      </c>
      <c r="P529" s="2" t="inlineStr">
        <is>
          <t>manual</t>
        </is>
      </c>
      <c r="Q529" s="2" t="inlineStr">
        <is>
          <t>no</t>
        </is>
      </c>
      <c r="R529" s="2" t="inlineStr">
        <is>
          <t>particular</t>
        </is>
      </c>
      <c r="S529" s="2" t="n"/>
      <c r="T529" s="2" t="inlineStr">
        <is>
          <t>2026-09-06T14:32:40Z</t>
        </is>
      </c>
      <c r="U529" s="2" t="n">
        <v>9</v>
      </c>
      <c r="V529" s="2" t="inlineStr">
        <is>
          <t>sí</t>
        </is>
      </c>
      <c r="W529" s="2" t="n"/>
      <c r="X529" s="2" t="inlineStr">
        <is>
          <t>sí</t>
        </is>
      </c>
      <c r="Y529" s="2" t="n"/>
      <c r="Z529" s="2" t="inlineStr">
        <is>
          <t>no</t>
        </is>
      </c>
      <c r="AA529" s="2" t="n"/>
      <c r="AB529" s="2" t="n"/>
      <c r="AC529" s="2" t="n"/>
      <c r="AD529" s="2" t="n"/>
      <c r="AE529" s="2" t="n"/>
      <c r="AF529" s="2" t="n"/>
      <c r="AG529" s="2" t="n"/>
      <c r="AH529" s="2" t="n">
        <v>4450</v>
      </c>
      <c r="AI529" s="2" t="n"/>
      <c r="AJ529" s="2" t="n"/>
      <c r="AK529" s="2" t="n"/>
      <c r="AL529" s="2" t="n"/>
      <c r="AM529" s="2" t="n"/>
      <c r="AN529" s="2" t="n"/>
      <c r="AO529" s="2" t="inlineStr">
        <is>
          <t>2009</t>
        </is>
      </c>
      <c r="AP529" s="2" t="n">
        <v>2009</v>
      </c>
      <c r="AQ529" s="2" t="n"/>
      <c r="AR529" s="2" t="n"/>
      <c r="AS529" s="2" t="inlineStr">
        <is>
          <t>regla</t>
        </is>
      </c>
      <c r="AT529" s="2" t="n">
        <v>3250</v>
      </c>
      <c r="AU529" s="2" t="n">
        <v>12</v>
      </c>
      <c r="AV529" s="2" t="inlineStr">
        <is>
          <t>modelo+año+km</t>
        </is>
      </c>
      <c r="AW529" s="2" t="n"/>
      <c r="AX52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529" s="2" t="inlineStr">
        <is>
          <t>Ford Fiesta 1.6 TDCi – Noviembre 2009 | Precio negociable
Vendo Ford Fiesta 1.6 TDCi de noviembre de 2009, un coche que ha tenido un mantenimiento muy cuidado y al que se le han ido haciendo las cosas antes de tiempo para evitar problemas y gastos innecesarios.
?? Mantenimiento y trabajos realizados:
- ? Embrague cambiado a los 120.000 km
- ? Distribución cambiada a los 120.000 km
- ? Cambio de aceite recién hecho, con apenas 100 km desde el cambio
- ? Brazos de suspensión nuevos
- ? Bieletas de dirección nuevas
- ? Alineación realizada después del cambio
- ? ITV recién pasada
Además, entrego con el coche 4 llantas de aleación de regalo. Están para pintar y una de ellas tiene un pequeño golpe, pero ya he consultado y es reparable.
El coche tiene algunas rozaduras normales del uso, propias de los años, pero mecánicamente se ha procurado mantenerlo al día y realizar los mantenimientos cuando correspondía o incluso antes.
Actualmente se utiliza puntualmente para que siga rodando y evitar que se deteriore por estar parado.
Si buscas un Fiesta económico y quieres un coche en el que ya se han hecho varios de los mantenimientos importantes, puede ser una buena oportunidad.
?? Precio negociable. Si estás interesado, escríbeme y te puedo proporcionar más información, fotos o cualquier detalle que quieras consultar sobre el coche.</t>
        </is>
      </c>
      <c r="AZ529" s="2" t="inlineStr">
        <is>
          <t>https://www.coches.net/ford-fiesta-diesel-2009-en-castellon-71452715-covo.aspx (window.__INITIAL_PROPS__.ad) /home/user/Alopecia/buscador-coches/raw/cochesnet/5cf8514298402135.json</t>
        </is>
      </c>
      <c r="BA529" s="3">
        <f>MAX(ANIO_ACTUAL-M529,0)</f>
        <v/>
      </c>
      <c r="BB529" s="4">
        <f>N529/MAX(BA529,0.5)</f>
        <v/>
      </c>
      <c r="BC529" s="4">
        <f>F529</f>
        <v/>
      </c>
      <c r="BD529" s="3">
        <f>BC529&amp;"|"&amp;INT(M529/SEG_ANIO)*SEG_ANIO</f>
        <v/>
      </c>
      <c r="BE529" s="3">
        <f>BD529&amp;"|"&amp;INT(N529/SEG_KM)*SEG_KM</f>
        <v/>
      </c>
      <c r="BF529" s="4">
        <f>COUNTIF($BC$2:$BC$545,BC529)</f>
        <v/>
      </c>
      <c r="BG529" s="4">
        <f>COUNTIF($BD$2:$BD$545,BD529)</f>
        <v/>
      </c>
      <c r="BH529" s="4">
        <f>COUNTIF($BE$2:$BE$545,BE529)</f>
        <v/>
      </c>
      <c r="BI529" s="3">
        <f t="array" ref="BI529">IF(N(AU529)&gt;=MIN_N,AT529,IF(BH529&gt;=MIN_N,MEDIAN(IF($BE$2:$BE$545=BE529,$O$2:$O$545)),IF(BG529&gt;=MIN_N,MEDIAN(IF($BD$2:$BD$545=BD529,$O$2:$O$545)),MEDIAN(IF($BC$2:$BC$545=BC529,$O$2:$O$545)))))</f>
        <v/>
      </c>
      <c r="BJ529" s="3">
        <f>IF(N(AU529)&gt;=MIN_N,"mercado "&amp;AV529,IF(BH529&gt;=MIN_N,"modelo+año+km",IF(BG529&gt;=MIN_N,"modelo+año","modelo")))</f>
        <v/>
      </c>
      <c r="BK529" s="4">
        <f>(BI529-O529)/BI529</f>
        <v/>
      </c>
      <c r="BL529" s="3">
        <f>IF(COUNTIFS(FR_FUEL,K529,FR_YEAR,AP529)&gt;0,1,0)</f>
        <v/>
      </c>
      <c r="BM529" s="3">
        <f>IF(COUNTIFS(FR_FUEL,K529,FR_YEAR,AP529-1)&gt;0,1,0)</f>
        <v/>
      </c>
      <c r="BN529" s="4">
        <f>IF(N(AQ529)&gt;0,AP529*100+AQ529,IF(AND(BL529=1,BM529=1),(AP529-1)*100+1,AP529*100+1))</f>
        <v/>
      </c>
      <c r="BO529" s="3">
        <f>IF(OR(K529="hibrido",K529="glp",K529="gnc",K529="phev"),"ECO",IF(K529="electrico","CERO",IF(K529="gasolina",IF(BN529&gt;=GAS_C_YM,"C",IF(BN529&gt;=GAS_B_YM,"B","A")),IF(K529="diesel",IF(BN529&gt;=DIE_C_YM,"C",IF(BN529&gt;=DIE_B_YM,"B","A")),""))))</f>
        <v/>
      </c>
      <c r="BP529" s="4">
        <f>BO529</f>
        <v/>
      </c>
      <c r="BQ529" s="4">
        <f>IF(AS529="regla",IF(AND(N(AQ529)=0,BL529=1),"sí","no"),"no")</f>
        <v/>
      </c>
      <c r="BR529" s="3">
        <f>IFERROR(VLOOKUP(F529,MOD_TBL,11,0),IFERROR(VLOOKUP(E529,OCU_TBL,2,0),NEUTRO))</f>
        <v/>
      </c>
      <c r="BS529" s="3">
        <f>SUMIFS(MOT_AJUSTE,MOT_MOTOR,G529,MOT_MARCA,E529,MOT_DESDE,"&lt;="&amp;M529,MOT_HASTA,"&gt;="&amp;M529)+SUMIFS(MOT_AJUSTE,MOT_MOTOR,G529,MOT_MARCA,"(todas)",MOT_DESDE,"&lt;="&amp;M529,MOT_HASTA,"&gt;="&amp;M529)</f>
        <v/>
      </c>
      <c r="BT529" s="3">
        <f>SUMIFS(COMB_AJUSTE,COMB_COMB,K529)</f>
        <v/>
      </c>
      <c r="BU529" s="3">
        <f>COUNTIFS(MOT_MOTOR,G529,MOT_MARCA,E529,MOT_DESDE,"&lt;="&amp;M529,MOT_HASTA,"&gt;="&amp;M529)+COUNTIFS(MOT_MOTOR,G529,MOT_MARCA,"(todas)",MOT_DESDE,"&lt;="&amp;M529,MOT_HASTA,"&gt;="&amp;M529)</f>
        <v/>
      </c>
      <c r="BV529" s="3">
        <f>IF(AND(K529="diesel",BU529=0),MIN(BR529,NEUTRO),BR529)</f>
        <v/>
      </c>
      <c r="BW529" s="4">
        <f>MAX(0,MIN(100,BV529+BS529+BT529))</f>
        <v/>
      </c>
      <c r="BX529" s="3">
        <f>MAX(0,MIN(100,50+BK529*PRECIO_PEND))</f>
        <v/>
      </c>
      <c r="BY529" s="3">
        <f>MAX(0,100*(1-N529/KM_MAX))</f>
        <v/>
      </c>
      <c r="BZ529" s="3">
        <f>IF(BB529&lt;KMA_SOSP,IF(AA529="sí",100,KMA_PEN),IF(BB529&lt;=KMA_IDEAL_MAX,100,MAX(0,100*(KMA_CERO-BB529)/(KMA_CERO-KMA_IDEAL_MAX))))</f>
        <v/>
      </c>
      <c r="CA529" s="3">
        <f>MAX(0,MIN(100,100*(M529-ANIO_MIN)/(ANIO_ACTUAL-ANIO_MIN)))</f>
        <v/>
      </c>
      <c r="CB529" s="3">
        <f>W_KMT*BY529+W_KMA*BZ529+W_EDAD*CA529</f>
        <v/>
      </c>
      <c r="CC529" s="3">
        <f>P_ITV*(V529="sí")+P_LIBRO*(W529="sí")+P_CORREA*(X529="sí")+P_PROP*(Y529=1)+P_GAR*(Z529="sí")+P_FOTOS*MIN(1,N(U529)/FOTOS_OBJ)</f>
        <v/>
      </c>
      <c r="CD529" s="3">
        <f>MAX(0,MIN(100,IFERROR(VLOOKUP(BP529,ETQ_TBL,2,0),0)-IF(BQ529="sí",ETQ_PEN_DUD,IF(AS529="regla",ETQ_PEN_REGLA,0))))</f>
        <v/>
      </c>
      <c r="CE529" s="3">
        <f>NEUTRO</f>
        <v/>
      </c>
      <c r="CF529" s="3">
        <f>IFERROR(VLOOKUP(L529,SEGURO_TBL,3,0),"")</f>
        <v/>
      </c>
      <c r="CG529" s="3">
        <f>IF(CF529="",NEUTRO,MAX(0,MIN(100,100*(SEG_REF_MAX-CF529)/(SEG_REF_MAX-SEG_REF_MIN))))</f>
        <v/>
      </c>
      <c r="CH529" s="3">
        <f>W_CONS*CE529+W_SEG*CG529</f>
        <v/>
      </c>
      <c r="CI529" s="3">
        <f>IF(N(AB529)&gt;0,AB529,IF(AND(R529="profesional",SG_LEGAL_ON=1),GAR_LEGAL,0))</f>
        <v/>
      </c>
      <c r="CJ529" s="3">
        <f>SG_GAR*MIN(1,CI529/SG_GAR_FULL)+SG_AMPL*(AC529="sí")+SG_KMC*(AF529="sí")+SG_REV*(N(AE529)&gt;0)+SG_DEV*MIN(1,N(AG529)/SG_DEV_FULL)+SG_HIST*(W529="sí")</f>
        <v/>
      </c>
      <c r="CK529" s="3">
        <f>IFERROR(VLOOKUP(L529,CARR_PEN_TBL,2,0),0)</f>
        <v/>
      </c>
      <c r="CL529" s="3">
        <f>W_FIAB*BW529+W_PRECIO*BX529+W_KMEDAD*CB529+W_ANUNCIO*CC529+W_USO*CH529+W_SEGURIDAD*CJ529+W_ETIQUETA*CD529-CK529</f>
        <v/>
      </c>
      <c r="CM529" s="4">
        <f>IF(N(I529)&gt;0,I529,IFERROR(ROUND(_xlfn.NUMBERVALUE(LEFT(G529,FIND(" ",G529&amp;" ")-1),".")*1000,0),99999))</f>
        <v/>
      </c>
      <c r="CN529" s="3">
        <f>IF(R529="profesional",0,IF(O529&lt;CUOTA_VALOR_MAX,IF(BA529&gt;ITP_TRAMO_ALTO,SUMIFS(CF_CUOTA,CF_MAS,ITP_TRAMO_ALTO,CF_CCMIN,"&lt;="&amp;CM529,CF_CCMAX,"&gt;="&amp;CM529),IF(BA529&gt;ITP_TRAMO_BAJO,SUMIFS(CF_CUOTA,CF_MAS,ITP_TRAMO_BAJO,CF_CCMIN,"&lt;="&amp;CM529,CF_CCMAX,"&gt;="&amp;CM529),O529*ITP_TIPO)),O529*ITP_TIPO))</f>
        <v/>
      </c>
      <c r="CO529" s="4">
        <f>IF(R529="profesional",N(AK529),0)</f>
        <v/>
      </c>
      <c r="CP529" s="3">
        <f>IF(AND(R529="profesional",ISNUMBER(AK529),AL529="sí"),0,TASA_DGT)</f>
        <v/>
      </c>
      <c r="CQ529" s="3">
        <f>INFORME_DGT</f>
        <v/>
      </c>
      <c r="CR529" s="4">
        <f>O529+CO529+CN529+CP529+CQ529</f>
        <v/>
      </c>
      <c r="CS529" s="4">
        <f>CR529+N(CF529)</f>
        <v/>
      </c>
      <c r="CT529" s="3">
        <f>IF(CR529&lt;=TOTAL_MAX,"sí",IF(CR529&lt;=TOTAL_MAX+MARGEN_NEG,"negociar","no"))</f>
        <v/>
      </c>
      <c r="CU529" s="4">
        <f>IF(CT529&lt;&gt;"no",COUNTIFS($CT$2:$CT$545,"&lt;&gt;no",$CL$2:$CL$545,"&gt;"&amp;CL529)+COUNTIFS($CT$2:CT529,"&lt;&gt;no",$CL$2:CL529,CL529),"")</f>
        <v/>
      </c>
    </row>
    <row r="530">
      <c r="A530" s="2" t="inlineStr">
        <is>
          <t>cochesnet:71781100</t>
        </is>
      </c>
      <c r="B530" s="2" t="inlineStr">
        <is>
          <t>cochesnet</t>
        </is>
      </c>
      <c r="C530" s="2" t="inlineStr">
        <is>
          <t>https://www.coches.net/fiat-bravo-19-multijet-120-cv-active-5p-diesel-2007-en-castellon-71781100-covo.aspx</t>
        </is>
      </c>
      <c r="D530" s="2" t="inlineStr">
        <is>
          <t>FIAT Bravo 1.9 Multijet 120 CV Active</t>
        </is>
      </c>
      <c r="E530" s="2" t="inlineStr">
        <is>
          <t>Fiat</t>
        </is>
      </c>
      <c r="F530" s="2" t="inlineStr">
        <is>
          <t>Fiat Bravo</t>
        </is>
      </c>
      <c r="G530" s="2" t="inlineStr">
        <is>
          <t>1.9 Multijet</t>
        </is>
      </c>
      <c r="H530" s="2" t="inlineStr">
        <is>
          <t>1.9 Multijet 120 CV Active</t>
        </is>
      </c>
      <c r="I530" s="2" t="n"/>
      <c r="J530" s="2" t="n">
        <v>120</v>
      </c>
      <c r="K530" s="2" t="inlineStr">
        <is>
          <t>diesel</t>
        </is>
      </c>
      <c r="L530" s="2" t="inlineStr">
        <is>
          <t>compacto</t>
        </is>
      </c>
      <c r="M530" s="2" t="n">
        <v>2007</v>
      </c>
      <c r="N530" s="2" t="n">
        <v>135000</v>
      </c>
      <c r="O530" s="2" t="n">
        <v>3500</v>
      </c>
      <c r="P530" s="2" t="inlineStr">
        <is>
          <t>manual</t>
        </is>
      </c>
      <c r="Q530" s="2" t="inlineStr">
        <is>
          <t>no</t>
        </is>
      </c>
      <c r="R530" s="2" t="inlineStr">
        <is>
          <t>particular</t>
        </is>
      </c>
      <c r="S530" s="2" t="n"/>
      <c r="T530" s="2" t="inlineStr">
        <is>
          <t>2026-10-19T10:44:02Z</t>
        </is>
      </c>
      <c r="U530" s="2" t="n">
        <v>3</v>
      </c>
      <c r="V530" s="2" t="n"/>
      <c r="W530" s="2" t="n"/>
      <c r="X530" s="2" t="n"/>
      <c r="Y530" s="2" t="n"/>
      <c r="Z530" s="2" t="inlineStr">
        <is>
          <t>no</t>
        </is>
      </c>
      <c r="AA530" s="2" t="n"/>
      <c r="AB530" s="2" t="n"/>
      <c r="AC530" s="2" t="n"/>
      <c r="AD530" s="2" t="n"/>
      <c r="AE530" s="2" t="n"/>
      <c r="AF530" s="2" t="n"/>
      <c r="AG530" s="2" t="n"/>
      <c r="AH530" s="2" t="n">
        <v>3500</v>
      </c>
      <c r="AI530" s="2" t="n"/>
      <c r="AJ530" s="2" t="n"/>
      <c r="AK530" s="2" t="n"/>
      <c r="AL530" s="2" t="n"/>
      <c r="AM530" s="2" t="n"/>
      <c r="AN530" s="2" t="n"/>
      <c r="AO530" s="2" t="inlineStr">
        <is>
          <t>2007</t>
        </is>
      </c>
      <c r="AP530" s="2" t="n">
        <v>2007</v>
      </c>
      <c r="AQ530" s="2" t="n"/>
      <c r="AR530" s="2" t="n"/>
      <c r="AS530" s="2" t="inlineStr">
        <is>
          <t>regla</t>
        </is>
      </c>
      <c r="AT530" s="2" t="n">
        <v>2800</v>
      </c>
      <c r="AU530" s="2" t="n">
        <v>8</v>
      </c>
      <c r="AV530" s="2" t="inlineStr">
        <is>
          <t>modelo+año</t>
        </is>
      </c>
      <c r="AW530" s="2" t="n"/>
      <c r="AX530" s="2" t="inlineStr">
        <is>
          <t>cuota fija ITP: &gt;12 años, 1.501-2.000 cc; diésel: motor sin fuente de fiabilidad (fiabilidad limitada a neutra); distancia no verificable (el anuncio solo indica la provincia): confirmar que está a &lt;= 70 km; fiabilidad del modelo PENDIENTE de fuente (puntuación neutra)</t>
        </is>
      </c>
      <c r="AY530" s="2" t="inlineStr">
        <is>
          <t>Fiat Bravo 1.9 Multijet 120 CV (2007)
Características del vehículo:
Marca y modelo: Fiat Bravo II
Año: 2007
Motor: 1.9 Multijet (Diésel) - 120 CV (muy fiable y de bajo consumo)
Cambio: Manual - 5 Marchas
Carrocería: 5 puertas
Estado y mantenimiento:
ITV:Pasada recientemente el 16/10/2026.
Neumáticos: Prácticamente nuevos, cambiados hace solo 8 meses y con muy pocos kilómetros recorridos.
Aclaración sobre el estado:
El coche acaba de pasar por el taller para la puesta a punto de la ITV. Actualmente **necesita cambiar el alternador**. Lo vendo tal cual porque mi intención al pasar la ITV era ponerlo a la venta para comprarme un coche nuevo, por lo que no quiero realizar esta reparación. Se deberia cambiar la correa de distribución también. Desperfectos de arañazos en el exterior del vehiculo
¡Cualquier duda, comentadme sin compromiso!</t>
        </is>
      </c>
      <c r="AZ530" s="2" t="inlineStr">
        <is>
          <t>https://www.coches.net/fiat-bravo-19-multijet-120-cv-active-5p-diesel-2007-en-castellon-71781100-covo.aspx (window.__INITIAL_PROPS__.ad) /home/user/Alopecia/buscador-coches/raw/cochesnet/fdabef7bf587509f.json</t>
        </is>
      </c>
      <c r="BA530" s="3">
        <f>MAX(ANIO_ACTUAL-M530,0)</f>
        <v/>
      </c>
      <c r="BB530" s="4">
        <f>N530/MAX(BA530,0.5)</f>
        <v/>
      </c>
      <c r="BC530" s="4">
        <f>F530</f>
        <v/>
      </c>
      <c r="BD530" s="3">
        <f>BC530&amp;"|"&amp;INT(M530/SEG_ANIO)*SEG_ANIO</f>
        <v/>
      </c>
      <c r="BE530" s="3">
        <f>BD530&amp;"|"&amp;INT(N530/SEG_KM)*SEG_KM</f>
        <v/>
      </c>
      <c r="BF530" s="4">
        <f>COUNTIF($BC$2:$BC$545,BC530)</f>
        <v/>
      </c>
      <c r="BG530" s="4">
        <f>COUNTIF($BD$2:$BD$545,BD530)</f>
        <v/>
      </c>
      <c r="BH530" s="4">
        <f>COUNTIF($BE$2:$BE$545,BE530)</f>
        <v/>
      </c>
      <c r="BI530" s="3">
        <f t="array" ref="BI530">IF(N(AU530)&gt;=MIN_N,AT530,IF(BH530&gt;=MIN_N,MEDIAN(IF($BE$2:$BE$545=BE530,$O$2:$O$545)),IF(BG530&gt;=MIN_N,MEDIAN(IF($BD$2:$BD$545=BD530,$O$2:$O$545)),MEDIAN(IF($BC$2:$BC$545=BC530,$O$2:$O$545)))))</f>
        <v/>
      </c>
      <c r="BJ530" s="3">
        <f>IF(N(AU530)&gt;=MIN_N,"mercado "&amp;AV530,IF(BH530&gt;=MIN_N,"modelo+año+km",IF(BG530&gt;=MIN_N,"modelo+año","modelo")))</f>
        <v/>
      </c>
      <c r="BK530" s="4">
        <f>(BI530-O530)/BI530</f>
        <v/>
      </c>
      <c r="BL530" s="3">
        <f>IF(COUNTIFS(FR_FUEL,K530,FR_YEAR,AP530)&gt;0,1,0)</f>
        <v/>
      </c>
      <c r="BM530" s="3">
        <f>IF(COUNTIFS(FR_FUEL,K530,FR_YEAR,AP530-1)&gt;0,1,0)</f>
        <v/>
      </c>
      <c r="BN530" s="4">
        <f>IF(N(AQ530)&gt;0,AP530*100+AQ530,IF(AND(BL530=1,BM530=1),(AP530-1)*100+1,AP530*100+1))</f>
        <v/>
      </c>
      <c r="BO530" s="3">
        <f>IF(OR(K530="hibrido",K530="glp",K530="gnc",K530="phev"),"ECO",IF(K530="electrico","CERO",IF(K530="gasolina",IF(BN530&gt;=GAS_C_YM,"C",IF(BN530&gt;=GAS_B_YM,"B","A")),IF(K530="diesel",IF(BN530&gt;=DIE_C_YM,"C",IF(BN530&gt;=DIE_B_YM,"B","A")),""))))</f>
        <v/>
      </c>
      <c r="BP530" s="4">
        <f>BO530</f>
        <v/>
      </c>
      <c r="BQ530" s="4">
        <f>IF(AS530="regla",IF(AND(N(AQ530)=0,BL530=1),"sí","no"),"no")</f>
        <v/>
      </c>
      <c r="BR530" s="3">
        <f>IFERROR(VLOOKUP(F530,MOD_TBL,11,0),IFERROR(VLOOKUP(E530,OCU_TBL,2,0),NEUTRO))</f>
        <v/>
      </c>
      <c r="BS530" s="3">
        <f>SUMIFS(MOT_AJUSTE,MOT_MOTOR,G530,MOT_MARCA,E530,MOT_DESDE,"&lt;="&amp;M530,MOT_HASTA,"&gt;="&amp;M530)+SUMIFS(MOT_AJUSTE,MOT_MOTOR,G530,MOT_MARCA,"(todas)",MOT_DESDE,"&lt;="&amp;M530,MOT_HASTA,"&gt;="&amp;M530)</f>
        <v/>
      </c>
      <c r="BT530" s="3">
        <f>SUMIFS(COMB_AJUSTE,COMB_COMB,K530)</f>
        <v/>
      </c>
      <c r="BU530" s="3">
        <f>COUNTIFS(MOT_MOTOR,G530,MOT_MARCA,E530,MOT_DESDE,"&lt;="&amp;M530,MOT_HASTA,"&gt;="&amp;M530)+COUNTIFS(MOT_MOTOR,G530,MOT_MARCA,"(todas)",MOT_DESDE,"&lt;="&amp;M530,MOT_HASTA,"&gt;="&amp;M530)</f>
        <v/>
      </c>
      <c r="BV530" s="3">
        <f>IF(AND(K530="diesel",BU530=0),MIN(BR530,NEUTRO),BR530)</f>
        <v/>
      </c>
      <c r="BW530" s="4">
        <f>MAX(0,MIN(100,BV530+BS530+BT530))</f>
        <v/>
      </c>
      <c r="BX530" s="3">
        <f>MAX(0,MIN(100,50+BK530*PRECIO_PEND))</f>
        <v/>
      </c>
      <c r="BY530" s="3">
        <f>MAX(0,100*(1-N530/KM_MAX))</f>
        <v/>
      </c>
      <c r="BZ530" s="3">
        <f>IF(BB530&lt;KMA_SOSP,IF(AA530="sí",100,KMA_PEN),IF(BB530&lt;=KMA_IDEAL_MAX,100,MAX(0,100*(KMA_CERO-BB530)/(KMA_CERO-KMA_IDEAL_MAX))))</f>
        <v/>
      </c>
      <c r="CA530" s="3">
        <f>MAX(0,MIN(100,100*(M530-ANIO_MIN)/(ANIO_ACTUAL-ANIO_MIN)))</f>
        <v/>
      </c>
      <c r="CB530" s="3">
        <f>W_KMT*BY530+W_KMA*BZ530+W_EDAD*CA530</f>
        <v/>
      </c>
      <c r="CC530" s="3">
        <f>P_ITV*(V530="sí")+P_LIBRO*(W530="sí")+P_CORREA*(X530="sí")+P_PROP*(Y530=1)+P_GAR*(Z530="sí")+P_FOTOS*MIN(1,N(U530)/FOTOS_OBJ)</f>
        <v/>
      </c>
      <c r="CD530" s="3">
        <f>MAX(0,MIN(100,IFERROR(VLOOKUP(BP530,ETQ_TBL,2,0),0)-IF(BQ530="sí",ETQ_PEN_DUD,IF(AS530="regla",ETQ_PEN_REGLA,0))))</f>
        <v/>
      </c>
      <c r="CE530" s="3">
        <f>NEUTRO</f>
        <v/>
      </c>
      <c r="CF530" s="3">
        <f>IFERROR(VLOOKUP(L530,SEGURO_TBL,3,0),"")</f>
        <v/>
      </c>
      <c r="CG530" s="3">
        <f>IF(CF530="",NEUTRO,MAX(0,MIN(100,100*(SEG_REF_MAX-CF530)/(SEG_REF_MAX-SEG_REF_MIN))))</f>
        <v/>
      </c>
      <c r="CH530" s="3">
        <f>W_CONS*CE530+W_SEG*CG530</f>
        <v/>
      </c>
      <c r="CI530" s="3">
        <f>IF(N(AB530)&gt;0,AB530,IF(AND(R530="profesional",SG_LEGAL_ON=1),GAR_LEGAL,0))</f>
        <v/>
      </c>
      <c r="CJ530" s="3">
        <f>SG_GAR*MIN(1,CI530/SG_GAR_FULL)+SG_AMPL*(AC530="sí")+SG_KMC*(AF530="sí")+SG_REV*(N(AE530)&gt;0)+SG_DEV*MIN(1,N(AG530)/SG_DEV_FULL)+SG_HIST*(W530="sí")</f>
        <v/>
      </c>
      <c r="CK530" s="3">
        <f>IFERROR(VLOOKUP(L530,CARR_PEN_TBL,2,0),0)</f>
        <v/>
      </c>
      <c r="CL530" s="3">
        <f>W_FIAB*BW530+W_PRECIO*BX530+W_KMEDAD*CB530+W_ANUNCIO*CC530+W_USO*CH530+W_SEGURIDAD*CJ530+W_ETIQUETA*CD530-CK530</f>
        <v/>
      </c>
      <c r="CM530" s="4">
        <f>IF(N(I530)&gt;0,I530,IFERROR(ROUND(_xlfn.NUMBERVALUE(LEFT(G530,FIND(" ",G530&amp;" ")-1),".")*1000,0),99999))</f>
        <v/>
      </c>
      <c r="CN530" s="3">
        <f>IF(R530="profesional",0,IF(O530&lt;CUOTA_VALOR_MAX,IF(BA530&gt;ITP_TRAMO_ALTO,SUMIFS(CF_CUOTA,CF_MAS,ITP_TRAMO_ALTO,CF_CCMIN,"&lt;="&amp;CM530,CF_CCMAX,"&gt;="&amp;CM530),IF(BA530&gt;ITP_TRAMO_BAJO,SUMIFS(CF_CUOTA,CF_MAS,ITP_TRAMO_BAJO,CF_CCMIN,"&lt;="&amp;CM530,CF_CCMAX,"&gt;="&amp;CM530),O530*ITP_TIPO)),O530*ITP_TIPO))</f>
        <v/>
      </c>
      <c r="CO530" s="4">
        <f>IF(R530="profesional",N(AK530),0)</f>
        <v/>
      </c>
      <c r="CP530" s="3">
        <f>IF(AND(R530="profesional",ISNUMBER(AK530),AL530="sí"),0,TASA_DGT)</f>
        <v/>
      </c>
      <c r="CQ530" s="3">
        <f>INFORME_DGT</f>
        <v/>
      </c>
      <c r="CR530" s="4">
        <f>O530+CO530+CN530+CP530+CQ530</f>
        <v/>
      </c>
      <c r="CS530" s="4">
        <f>CR530+N(CF530)</f>
        <v/>
      </c>
      <c r="CT530" s="3">
        <f>IF(CR530&lt;=TOTAL_MAX,"sí",IF(CR530&lt;=TOTAL_MAX+MARGEN_NEG,"negociar","no"))</f>
        <v/>
      </c>
      <c r="CU530" s="4">
        <f>IF(CT530&lt;&gt;"no",COUNTIFS($CT$2:$CT$545,"&lt;&gt;no",$CL$2:$CL$545,"&gt;"&amp;CL530)+COUNTIFS($CT$2:CT530,"&lt;&gt;no",$CL$2:CL530,CL530),"")</f>
        <v/>
      </c>
    </row>
    <row r="531">
      <c r="A531" s="2" t="inlineStr">
        <is>
          <t>cochesnet:70833137</t>
        </is>
      </c>
      <c r="B531" s="2" t="inlineStr">
        <is>
          <t>cochesnet</t>
        </is>
      </c>
      <c r="C531" s="2" t="inlineStr">
        <is>
          <t>https://www.coches.net/fiat-500-09-turbo-twinair-85cv-blackjack-3p-gasolina-2007-en-castellon-70833137-covo.aspx</t>
        </is>
      </c>
      <c r="D531" s="2" t="inlineStr">
        <is>
          <t>FIAT 500 0.9 Turbo TwinAir Blackjack</t>
        </is>
      </c>
      <c r="E531" s="2" t="inlineStr">
        <is>
          <t>Fiat</t>
        </is>
      </c>
      <c r="F531" s="2" t="inlineStr">
        <is>
          <t>Fiat 500</t>
        </is>
      </c>
      <c r="G531" s="2" t="inlineStr">
        <is>
          <t>0.9 Turbo</t>
        </is>
      </c>
      <c r="H531" s="2" t="inlineStr">
        <is>
          <t>0.9 Turbo TwinAir 85cv Blackjack</t>
        </is>
      </c>
      <c r="I531" s="2" t="n"/>
      <c r="J531" s="2" t="n">
        <v>85</v>
      </c>
      <c r="K531" s="2" t="inlineStr">
        <is>
          <t>gasolina</t>
        </is>
      </c>
      <c r="L531" s="2" t="inlineStr">
        <is>
          <t>utilitario</t>
        </is>
      </c>
      <c r="M531" s="2" t="n">
        <v>2011</v>
      </c>
      <c r="N531" s="2" t="n">
        <v>131000</v>
      </c>
      <c r="O531" s="2" t="n">
        <v>5200</v>
      </c>
      <c r="P531" s="2" t="inlineStr">
        <is>
          <t>manual</t>
        </is>
      </c>
      <c r="Q531" s="2" t="inlineStr">
        <is>
          <t>no</t>
        </is>
      </c>
      <c r="R531" s="2" t="inlineStr">
        <is>
          <t>profesional</t>
        </is>
      </c>
      <c r="S531" s="2" t="inlineStr">
        <is>
          <t>Automoviles Llorens  Almazora</t>
        </is>
      </c>
      <c r="T531" s="2" t="inlineStr">
        <is>
          <t>2026-09-07T18:31:01Z</t>
        </is>
      </c>
      <c r="U531" s="2" t="n">
        <v>17</v>
      </c>
      <c r="V531" s="2" t="inlineStr">
        <is>
          <t>sí</t>
        </is>
      </c>
      <c r="W531" s="2" t="inlineStr">
        <is>
          <t>sí</t>
        </is>
      </c>
      <c r="X531" s="2" t="n"/>
      <c r="Y531" s="2" t="n"/>
      <c r="Z531" s="2" t="inlineStr">
        <is>
          <t>sí</t>
        </is>
      </c>
      <c r="AA531" s="2" t="n"/>
      <c r="AB531" s="2" t="n">
        <v>12</v>
      </c>
      <c r="AC531" s="2" t="n"/>
      <c r="AD531" s="2" t="n"/>
      <c r="AE531" s="2" t="n"/>
      <c r="AF531" s="2" t="n"/>
      <c r="AG531" s="2" t="n"/>
      <c r="AH531" s="2" t="n">
        <v>5200</v>
      </c>
      <c r="AI531" s="2" t="n"/>
      <c r="AJ531" s="2" t="n"/>
      <c r="AK531" s="2" t="n"/>
      <c r="AL531" s="2" t="n"/>
      <c r="AM531" s="2" t="n"/>
      <c r="AN531" s="2" t="n"/>
      <c r="AO531" s="2" t="inlineStr">
        <is>
          <t>2011</t>
        </is>
      </c>
      <c r="AP531" s="2" t="n">
        <v>2011</v>
      </c>
      <c r="AQ531" s="2" t="n"/>
      <c r="AR531" s="2" t="inlineStr">
        <is>
          <t>C</t>
        </is>
      </c>
      <c r="AS531" s="2" t="inlineStr">
        <is>
          <t>anuncio</t>
        </is>
      </c>
      <c r="AT531" s="2" t="n">
        <v>5500</v>
      </c>
      <c r="AU531" s="2" t="n">
        <v>7</v>
      </c>
      <c r="AV531" s="2" t="inlineStr">
        <is>
          <t>modelo+año+km</t>
        </is>
      </c>
      <c r="AW531" s="2" t="n"/>
      <c r="AX531" s="2" t="inlineStr">
        <is>
          <t>por encima del presupuesto (5264 €), negociar; vendedor profesional: sin ITP (operación con IVA/REBU, confirmar en factura); gastos de gestión del vendedor no indicados: se suma la tasa DGT; preguntar el precio final; distancia no verificable (el anuncio solo indica la provincia): confirmar que está a &lt;= 70 km</t>
        </is>
      </c>
      <c r="AY531" s="2" t="inlineStr">
        <is>
          <t>FIAT 500 .AÑO 2011.
SUPER PRECIO.
Llantas de aluminio.2 juegos de llaves.cierre.elevalunas.A/A.itv en vigor.
Impecable estado.mantenimiento al dia.
Garantia un año.contacte con nosotros para confirmar disponibilidad.
Transferencia/gestoria/no incluido en el precio.
Aceptamos tu vehiculo como parte del pago.
QUIERES VENDER TU COCHE.PONTE EN CONTACTO CON NOSOTROS Y TE LO TASAREMOS SIN COMPROMISO.</t>
        </is>
      </c>
      <c r="AZ531" s="2" t="inlineStr">
        <is>
          <t>https://www.coches.net/fiat-500-09-turbo-twinair-85cv-blackjack-3p-gasolina-2007-en-castellon-70833137-covo.aspx (window.__INITIAL_PROPS__.ad) /home/user/Alopecia/buscador-coches/raw/cochesnet/2b91e3171b4f1026.json</t>
        </is>
      </c>
      <c r="BA531" s="3">
        <f>MAX(ANIO_ACTUAL-M531,0)</f>
        <v/>
      </c>
      <c r="BB531" s="4">
        <f>N531/MAX(BA531,0.5)</f>
        <v/>
      </c>
      <c r="BC531" s="4">
        <f>F531</f>
        <v/>
      </c>
      <c r="BD531" s="3">
        <f>BC531&amp;"|"&amp;INT(M531/SEG_ANIO)*SEG_ANIO</f>
        <v/>
      </c>
      <c r="BE531" s="3">
        <f>BD531&amp;"|"&amp;INT(N531/SEG_KM)*SEG_KM</f>
        <v/>
      </c>
      <c r="BF531" s="4">
        <f>COUNTIF($BC$2:$BC$545,BC531)</f>
        <v/>
      </c>
      <c r="BG531" s="4">
        <f>COUNTIF($BD$2:$BD$545,BD531)</f>
        <v/>
      </c>
      <c r="BH531" s="4">
        <f>COUNTIF($BE$2:$BE$545,BE531)</f>
        <v/>
      </c>
      <c r="BI531" s="3">
        <f t="array" ref="BI531">IF(N(AU531)&gt;=MIN_N,AT531,IF(BH531&gt;=MIN_N,MEDIAN(IF($BE$2:$BE$545=BE531,$O$2:$O$545)),IF(BG531&gt;=MIN_N,MEDIAN(IF($BD$2:$BD$545=BD531,$O$2:$O$545)),MEDIAN(IF($BC$2:$BC$545=BC531,$O$2:$O$545)))))</f>
        <v/>
      </c>
      <c r="BJ531" s="3">
        <f>IF(N(AU531)&gt;=MIN_N,"mercado "&amp;AV531,IF(BH531&gt;=MIN_N,"modelo+año+km",IF(BG531&gt;=MIN_N,"modelo+año","modelo")))</f>
        <v/>
      </c>
      <c r="BK531" s="4">
        <f>(BI531-O531)/BI531</f>
        <v/>
      </c>
      <c r="BL531" s="3">
        <f>IF(COUNTIFS(FR_FUEL,K531,FR_YEAR,AP531)&gt;0,1,0)</f>
        <v/>
      </c>
      <c r="BM531" s="3">
        <f>IF(COUNTIFS(FR_FUEL,K531,FR_YEAR,AP531-1)&gt;0,1,0)</f>
        <v/>
      </c>
      <c r="BN531" s="4">
        <f>IF(N(AQ531)&gt;0,AP531*100+AQ531,IF(AND(BL531=1,BM531=1),(AP531-1)*100+1,AP531*100+1))</f>
        <v/>
      </c>
      <c r="BO531" s="3">
        <f>IF(OR(K531="hibrido",K531="glp",K531="gnc",K531="phev"),"ECO",IF(K531="electrico","CERO",IF(K531="gasolina",IF(BN531&gt;=GAS_C_YM,"C",IF(BN531&gt;=GAS_B_YM,"B","A")),IF(K531="diesel",IF(BN531&gt;=DIE_C_YM,"C",IF(BN531&gt;=DIE_B_YM,"B","A")),""))))</f>
        <v/>
      </c>
      <c r="BP531" s="2" t="inlineStr">
        <is>
          <t>C</t>
        </is>
      </c>
      <c r="BQ531" s="4">
        <f>IF(AS531="regla",IF(AND(N(AQ531)=0,BL531=1),"sí","no"),"no")</f>
        <v/>
      </c>
      <c r="BR531" s="3">
        <f>IFERROR(VLOOKUP(F531,MOD_TBL,11,0),IFERROR(VLOOKUP(E531,OCU_TBL,2,0),NEUTRO))</f>
        <v/>
      </c>
      <c r="BS531" s="3">
        <f>SUMIFS(MOT_AJUSTE,MOT_MOTOR,G531,MOT_MARCA,E531,MOT_DESDE,"&lt;="&amp;M531,MOT_HASTA,"&gt;="&amp;M531)+SUMIFS(MOT_AJUSTE,MOT_MOTOR,G531,MOT_MARCA,"(todas)",MOT_DESDE,"&lt;="&amp;M531,MOT_HASTA,"&gt;="&amp;M531)</f>
        <v/>
      </c>
      <c r="BT531" s="3">
        <f>SUMIFS(COMB_AJUSTE,COMB_COMB,K531)</f>
        <v/>
      </c>
      <c r="BU531" s="3">
        <f>COUNTIFS(MOT_MOTOR,G531,MOT_MARCA,E531,MOT_DESDE,"&lt;="&amp;M531,MOT_HASTA,"&gt;="&amp;M531)+COUNTIFS(MOT_MOTOR,G531,MOT_MARCA,"(todas)",MOT_DESDE,"&lt;="&amp;M531,MOT_HASTA,"&gt;="&amp;M531)</f>
        <v/>
      </c>
      <c r="BV531" s="3">
        <f>IF(AND(K531="diesel",BU531=0),MIN(BR531,NEUTRO),BR531)</f>
        <v/>
      </c>
      <c r="BW531" s="4">
        <f>MAX(0,MIN(100,BV531+BS531+BT531))</f>
        <v/>
      </c>
      <c r="BX531" s="3">
        <f>MAX(0,MIN(100,50+BK531*PRECIO_PEND))</f>
        <v/>
      </c>
      <c r="BY531" s="3">
        <f>MAX(0,100*(1-N531/KM_MAX))</f>
        <v/>
      </c>
      <c r="BZ531" s="3">
        <f>IF(BB531&lt;KMA_SOSP,IF(AA531="sí",100,KMA_PEN),IF(BB531&lt;=KMA_IDEAL_MAX,100,MAX(0,100*(KMA_CERO-BB531)/(KMA_CERO-KMA_IDEAL_MAX))))</f>
        <v/>
      </c>
      <c r="CA531" s="3">
        <f>MAX(0,MIN(100,100*(M531-ANIO_MIN)/(ANIO_ACTUAL-ANIO_MIN)))</f>
        <v/>
      </c>
      <c r="CB531" s="3">
        <f>W_KMT*BY531+W_KMA*BZ531+W_EDAD*CA531</f>
        <v/>
      </c>
      <c r="CC531" s="3">
        <f>P_ITV*(V531="sí")+P_LIBRO*(W531="sí")+P_CORREA*(X531="sí")+P_PROP*(Y531=1)+P_GAR*(Z531="sí")+P_FOTOS*MIN(1,N(U531)/FOTOS_OBJ)</f>
        <v/>
      </c>
      <c r="CD531" s="3">
        <f>MAX(0,MIN(100,IFERROR(VLOOKUP(BP531,ETQ_TBL,2,0),0)-IF(BQ531="sí",ETQ_PEN_DUD,IF(AS531="regla",ETQ_PEN_REGLA,0))))</f>
        <v/>
      </c>
      <c r="CE531" s="3">
        <f>NEUTRO</f>
        <v/>
      </c>
      <c r="CF531" s="3">
        <f>IFERROR(VLOOKUP(L531,SEGURO_TBL,3,0),"")</f>
        <v/>
      </c>
      <c r="CG531" s="3">
        <f>IF(CF531="",NEUTRO,MAX(0,MIN(100,100*(SEG_REF_MAX-CF531)/(SEG_REF_MAX-SEG_REF_MIN))))</f>
        <v/>
      </c>
      <c r="CH531" s="3">
        <f>W_CONS*CE531+W_SEG*CG531</f>
        <v/>
      </c>
      <c r="CI531" s="3">
        <f>IF(N(AB531)&gt;0,AB531,IF(AND(R531="profesional",SG_LEGAL_ON=1),GAR_LEGAL,0))</f>
        <v/>
      </c>
      <c r="CJ531" s="3">
        <f>SG_GAR*MIN(1,CI531/SG_GAR_FULL)+SG_AMPL*(AC531="sí")+SG_KMC*(AF531="sí")+SG_REV*(N(AE531)&gt;0)+SG_DEV*MIN(1,N(AG531)/SG_DEV_FULL)+SG_HIST*(W531="sí")</f>
        <v/>
      </c>
      <c r="CK531" s="3">
        <f>IFERROR(VLOOKUP(L531,CARR_PEN_TBL,2,0),0)</f>
        <v/>
      </c>
      <c r="CL531" s="3">
        <f>W_FIAB*BW531+W_PRECIO*BX531+W_KMEDAD*CB531+W_ANUNCIO*CC531+W_USO*CH531+W_SEGURIDAD*CJ531+W_ETIQUETA*CD531-CK531</f>
        <v/>
      </c>
      <c r="CM531" s="4">
        <f>IF(N(I531)&gt;0,I531,IFERROR(ROUND(_xlfn.NUMBERVALUE(LEFT(G531,FIND(" ",G531&amp;" ")-1),".")*1000,0),99999))</f>
        <v/>
      </c>
      <c r="CN531" s="3">
        <f>IF(R531="profesional",0,IF(O531&lt;CUOTA_VALOR_MAX,IF(BA531&gt;ITP_TRAMO_ALTO,SUMIFS(CF_CUOTA,CF_MAS,ITP_TRAMO_ALTO,CF_CCMIN,"&lt;="&amp;CM531,CF_CCMAX,"&gt;="&amp;CM531),IF(BA531&gt;ITP_TRAMO_BAJO,SUMIFS(CF_CUOTA,CF_MAS,ITP_TRAMO_BAJO,CF_CCMIN,"&lt;="&amp;CM531,CF_CCMAX,"&gt;="&amp;CM531),O531*ITP_TIPO)),O531*ITP_TIPO))</f>
        <v/>
      </c>
      <c r="CO531" s="4">
        <f>IF(R531="profesional",N(AK531),0)</f>
        <v/>
      </c>
      <c r="CP531" s="3">
        <f>IF(AND(R531="profesional",ISNUMBER(AK531),AL531="sí"),0,TASA_DGT)</f>
        <v/>
      </c>
      <c r="CQ531" s="3">
        <f>INFORME_DGT</f>
        <v/>
      </c>
      <c r="CR531" s="4">
        <f>O531+CO531+CN531+CP531+CQ531</f>
        <v/>
      </c>
      <c r="CS531" s="4">
        <f>CR531+N(CF531)</f>
        <v/>
      </c>
      <c r="CT531" s="3">
        <f>IF(CR531&lt;=TOTAL_MAX,"sí",IF(CR531&lt;=TOTAL_MAX+MARGEN_NEG,"negociar","no"))</f>
        <v/>
      </c>
      <c r="CU531" s="4">
        <f>IF(CT531&lt;&gt;"no",COUNTIFS($CT$2:$CT$545,"&lt;&gt;no",$CL$2:$CL$545,"&gt;"&amp;CL531)+COUNTIFS($CT$2:CT531,"&lt;&gt;no",$CL$2:CL531,CL531),"")</f>
        <v/>
      </c>
    </row>
    <row r="532">
      <c r="A532" s="2" t="inlineStr">
        <is>
          <t>cochesnet:71874126</t>
        </is>
      </c>
      <c r="B532" s="2" t="inlineStr">
        <is>
          <t>cochesnet</t>
        </is>
      </c>
      <c r="C532" s="2" t="inlineStr">
        <is>
          <t>https://www.coches.net/suzuki-swift-13-ddis-glx-5p-5p-diesel-2007-en-castellon-71874126-covo.aspx</t>
        </is>
      </c>
      <c r="D532" s="2" t="inlineStr">
        <is>
          <t>SUZUKI Swift 1.3 DDiS GLX</t>
        </is>
      </c>
      <c r="E532" s="2" t="inlineStr">
        <is>
          <t>Suzuki</t>
        </is>
      </c>
      <c r="F532" s="2" t="inlineStr">
        <is>
          <t>Suzuki Swift</t>
        </is>
      </c>
      <c r="G532" s="2" t="inlineStr">
        <is>
          <t>1.3</t>
        </is>
      </c>
      <c r="H532" s="2" t="inlineStr">
        <is>
          <t>1.3 DDiS GLX 5p</t>
        </is>
      </c>
      <c r="I532" s="2" t="n"/>
      <c r="J532" s="2" t="n"/>
      <c r="K532" s="2" t="inlineStr">
        <is>
          <t>diesel</t>
        </is>
      </c>
      <c r="L532" s="2" t="inlineStr">
        <is>
          <t>utilitario</t>
        </is>
      </c>
      <c r="M532" s="2" t="n">
        <v>2007</v>
      </c>
      <c r="N532" s="2" t="n">
        <v>165000</v>
      </c>
      <c r="O532" s="2" t="n">
        <v>3500</v>
      </c>
      <c r="P532" s="2" t="inlineStr">
        <is>
          <t>manual</t>
        </is>
      </c>
      <c r="Q532" s="2" t="inlineStr">
        <is>
          <t>no</t>
        </is>
      </c>
      <c r="R532" s="2" t="inlineStr">
        <is>
          <t>particular</t>
        </is>
      </c>
      <c r="S532" s="2" t="inlineStr">
        <is>
          <t>Castellón de la Plana / Castelló de la Plana</t>
        </is>
      </c>
      <c r="T532" s="2" t="inlineStr">
        <is>
          <t>2026-10-30T15:29:23Z</t>
        </is>
      </c>
      <c r="U532" s="2" t="n">
        <v>9</v>
      </c>
      <c r="V532" s="2" t="inlineStr">
        <is>
          <t>sí</t>
        </is>
      </c>
      <c r="W532" s="2" t="n"/>
      <c r="X532" s="2" t="inlineStr">
        <is>
          <t>sí</t>
        </is>
      </c>
      <c r="Y532" s="2" t="n"/>
      <c r="Z532" s="2" t="inlineStr">
        <is>
          <t>no</t>
        </is>
      </c>
      <c r="AA532" s="2" t="n"/>
      <c r="AB532" s="2" t="n"/>
      <c r="AC532" s="2" t="n"/>
      <c r="AD532" s="2" t="n"/>
      <c r="AE532" s="2" t="n"/>
      <c r="AF532" s="2" t="n"/>
      <c r="AG532" s="2" t="n"/>
      <c r="AH532" s="2" t="n">
        <v>3500</v>
      </c>
      <c r="AI532" s="2" t="n"/>
      <c r="AJ532" s="2" t="n"/>
      <c r="AK532" s="2" t="n"/>
      <c r="AL532" s="2" t="n"/>
      <c r="AM532" s="2" t="n"/>
      <c r="AN532" s="2" t="n"/>
      <c r="AO532" s="2" t="inlineStr">
        <is>
          <t>2007</t>
        </is>
      </c>
      <c r="AP532" s="2" t="n">
        <v>2007</v>
      </c>
      <c r="AQ532" s="2" t="n"/>
      <c r="AR532" s="2" t="n"/>
      <c r="AS532" s="2" t="inlineStr">
        <is>
          <t>regla</t>
        </is>
      </c>
      <c r="AT532" s="2" t="n">
        <v>4000</v>
      </c>
      <c r="AU532" s="2" t="n">
        <v>4</v>
      </c>
      <c r="AV532" s="2" t="inlineStr">
        <is>
          <t>modelo+año</t>
        </is>
      </c>
      <c r="AW532" s="2" t="n"/>
      <c r="AX532" s="2" t="inlineStr">
        <is>
          <t>cuota fija ITP: &gt;12 años, hasta 1.500 cc; diésel: motor sin fuente de fiabilidad (fiabilidad limitada a neutra); distancia no verificable (el anuncio solo indica la provincia): confirmar que está a &lt;= 70 km</t>
        </is>
      </c>
      <c r="AY532" s="2" t="inlineStr">
        <is>
          <t xml:space="preserve">Coche Nacional en perfecto estado , Funcionado perfectamente sin ningún fallo. ITV EN VIGOR ,AIRE ACONDICIONADO VA MUY BIEN , Mantenido RECIÉN hecho, FiLTROS Y ACEITE, NEUMÁTICOS NUEVOS A ESTRENAR LOS 4 . MOTOR DE CADENA . SE PUEDE VER Y PROBAR SIN NINGÚN COMPROMISO. ACEPTO CUALQUIER PRUEBA EN CUALQUIER TALLER . </t>
        </is>
      </c>
      <c r="AZ532" s="2" t="inlineStr">
        <is>
          <t>https://www.coches.net/suzuki-swift-13-ddis-glx-5p-5p-diesel-2007-en-castellon-71874126-covo.aspx (window.__INITIAL_PROPS__.ad) /home/user/Alopecia/buscador-coches/raw/cochesnet/c8dfd6dcb90a7e28.json</t>
        </is>
      </c>
      <c r="BA532" s="3">
        <f>MAX(ANIO_ACTUAL-M532,0)</f>
        <v/>
      </c>
      <c r="BB532" s="4">
        <f>N532/MAX(BA532,0.5)</f>
        <v/>
      </c>
      <c r="BC532" s="4">
        <f>F532</f>
        <v/>
      </c>
      <c r="BD532" s="3">
        <f>BC532&amp;"|"&amp;INT(M532/SEG_ANIO)*SEG_ANIO</f>
        <v/>
      </c>
      <c r="BE532" s="3">
        <f>BD532&amp;"|"&amp;INT(N532/SEG_KM)*SEG_KM</f>
        <v/>
      </c>
      <c r="BF532" s="4">
        <f>COUNTIF($BC$2:$BC$545,BC532)</f>
        <v/>
      </c>
      <c r="BG532" s="4">
        <f>COUNTIF($BD$2:$BD$545,BD532)</f>
        <v/>
      </c>
      <c r="BH532" s="4">
        <f>COUNTIF($BE$2:$BE$545,BE532)</f>
        <v/>
      </c>
      <c r="BI532" s="3">
        <f t="array" ref="BI532">IF(N(AU532)&gt;=MIN_N,AT532,IF(BH532&gt;=MIN_N,MEDIAN(IF($BE$2:$BE$545=BE532,$O$2:$O$545)),IF(BG532&gt;=MIN_N,MEDIAN(IF($BD$2:$BD$545=BD532,$O$2:$O$545)),MEDIAN(IF($BC$2:$BC$545=BC532,$O$2:$O$545)))))</f>
        <v/>
      </c>
      <c r="BJ532" s="3">
        <f>IF(N(AU532)&gt;=MIN_N,"mercado "&amp;AV532,IF(BH532&gt;=MIN_N,"modelo+año+km",IF(BG532&gt;=MIN_N,"modelo+año","modelo")))</f>
        <v/>
      </c>
      <c r="BK532" s="4">
        <f>(BI532-O532)/BI532</f>
        <v/>
      </c>
      <c r="BL532" s="3">
        <f>IF(COUNTIFS(FR_FUEL,K532,FR_YEAR,AP532)&gt;0,1,0)</f>
        <v/>
      </c>
      <c r="BM532" s="3">
        <f>IF(COUNTIFS(FR_FUEL,K532,FR_YEAR,AP532-1)&gt;0,1,0)</f>
        <v/>
      </c>
      <c r="BN532" s="4">
        <f>IF(N(AQ532)&gt;0,AP532*100+AQ532,IF(AND(BL532=1,BM532=1),(AP532-1)*100+1,AP532*100+1))</f>
        <v/>
      </c>
      <c r="BO532" s="3">
        <f>IF(OR(K532="hibrido",K532="glp",K532="gnc",K532="phev"),"ECO",IF(K532="electrico","CERO",IF(K532="gasolina",IF(BN532&gt;=GAS_C_YM,"C",IF(BN532&gt;=GAS_B_YM,"B","A")),IF(K532="diesel",IF(BN532&gt;=DIE_C_YM,"C",IF(BN532&gt;=DIE_B_YM,"B","A")),""))))</f>
        <v/>
      </c>
      <c r="BP532" s="4">
        <f>BO532</f>
        <v/>
      </c>
      <c r="BQ532" s="4">
        <f>IF(AS532="regla",IF(AND(N(AQ532)=0,BL532=1),"sí","no"),"no")</f>
        <v/>
      </c>
      <c r="BR532" s="3">
        <f>IFERROR(VLOOKUP(F532,MOD_TBL,11,0),IFERROR(VLOOKUP(E532,OCU_TBL,2,0),NEUTRO))</f>
        <v/>
      </c>
      <c r="BS532" s="3">
        <f>SUMIFS(MOT_AJUSTE,MOT_MOTOR,G532,MOT_MARCA,E532,MOT_DESDE,"&lt;="&amp;M532,MOT_HASTA,"&gt;="&amp;M532)+SUMIFS(MOT_AJUSTE,MOT_MOTOR,G532,MOT_MARCA,"(todas)",MOT_DESDE,"&lt;="&amp;M532,MOT_HASTA,"&gt;="&amp;M532)</f>
        <v/>
      </c>
      <c r="BT532" s="3">
        <f>SUMIFS(COMB_AJUSTE,COMB_COMB,K532)</f>
        <v/>
      </c>
      <c r="BU532" s="3">
        <f>COUNTIFS(MOT_MOTOR,G532,MOT_MARCA,E532,MOT_DESDE,"&lt;="&amp;M532,MOT_HASTA,"&gt;="&amp;M532)+COUNTIFS(MOT_MOTOR,G532,MOT_MARCA,"(todas)",MOT_DESDE,"&lt;="&amp;M532,MOT_HASTA,"&gt;="&amp;M532)</f>
        <v/>
      </c>
      <c r="BV532" s="3">
        <f>IF(AND(K532="diesel",BU532=0),MIN(BR532,NEUTRO),BR532)</f>
        <v/>
      </c>
      <c r="BW532" s="4">
        <f>MAX(0,MIN(100,BV532+BS532+BT532))</f>
        <v/>
      </c>
      <c r="BX532" s="3">
        <f>MAX(0,MIN(100,50+BK532*PRECIO_PEND))</f>
        <v/>
      </c>
      <c r="BY532" s="3">
        <f>MAX(0,100*(1-N532/KM_MAX))</f>
        <v/>
      </c>
      <c r="BZ532" s="3">
        <f>IF(BB532&lt;KMA_SOSP,IF(AA532="sí",100,KMA_PEN),IF(BB532&lt;=KMA_IDEAL_MAX,100,MAX(0,100*(KMA_CERO-BB532)/(KMA_CERO-KMA_IDEAL_MAX))))</f>
        <v/>
      </c>
      <c r="CA532" s="3">
        <f>MAX(0,MIN(100,100*(M532-ANIO_MIN)/(ANIO_ACTUAL-ANIO_MIN)))</f>
        <v/>
      </c>
      <c r="CB532" s="3">
        <f>W_KMT*BY532+W_KMA*BZ532+W_EDAD*CA532</f>
        <v/>
      </c>
      <c r="CC532" s="3">
        <f>P_ITV*(V532="sí")+P_LIBRO*(W532="sí")+P_CORREA*(X532="sí")+P_PROP*(Y532=1)+P_GAR*(Z532="sí")+P_FOTOS*MIN(1,N(U532)/FOTOS_OBJ)</f>
        <v/>
      </c>
      <c r="CD532" s="3">
        <f>MAX(0,MIN(100,IFERROR(VLOOKUP(BP532,ETQ_TBL,2,0),0)-IF(BQ532="sí",ETQ_PEN_DUD,IF(AS532="regla",ETQ_PEN_REGLA,0))))</f>
        <v/>
      </c>
      <c r="CE532" s="3">
        <f>NEUTRO</f>
        <v/>
      </c>
      <c r="CF532" s="3">
        <f>IFERROR(VLOOKUP(L532,SEGURO_TBL,3,0),"")</f>
        <v/>
      </c>
      <c r="CG532" s="3">
        <f>IF(CF532="",NEUTRO,MAX(0,MIN(100,100*(SEG_REF_MAX-CF532)/(SEG_REF_MAX-SEG_REF_MIN))))</f>
        <v/>
      </c>
      <c r="CH532" s="3">
        <f>W_CONS*CE532+W_SEG*CG532</f>
        <v/>
      </c>
      <c r="CI532" s="3">
        <f>IF(N(AB532)&gt;0,AB532,IF(AND(R532="profesional",SG_LEGAL_ON=1),GAR_LEGAL,0))</f>
        <v/>
      </c>
      <c r="CJ532" s="3">
        <f>SG_GAR*MIN(1,CI532/SG_GAR_FULL)+SG_AMPL*(AC532="sí")+SG_KMC*(AF532="sí")+SG_REV*(N(AE532)&gt;0)+SG_DEV*MIN(1,N(AG532)/SG_DEV_FULL)+SG_HIST*(W532="sí")</f>
        <v/>
      </c>
      <c r="CK532" s="3">
        <f>IFERROR(VLOOKUP(L532,CARR_PEN_TBL,2,0),0)</f>
        <v/>
      </c>
      <c r="CL532" s="3">
        <f>W_FIAB*BW532+W_PRECIO*BX532+W_KMEDAD*CB532+W_ANUNCIO*CC532+W_USO*CH532+W_SEGURIDAD*CJ532+W_ETIQUETA*CD532-CK532</f>
        <v/>
      </c>
      <c r="CM532" s="4">
        <f>IF(N(I532)&gt;0,I532,IFERROR(ROUND(_xlfn.NUMBERVALUE(LEFT(G532,FIND(" ",G532&amp;" ")-1),".")*1000,0),99999))</f>
        <v/>
      </c>
      <c r="CN532" s="3">
        <f>IF(R532="profesional",0,IF(O532&lt;CUOTA_VALOR_MAX,IF(BA532&gt;ITP_TRAMO_ALTO,SUMIFS(CF_CUOTA,CF_MAS,ITP_TRAMO_ALTO,CF_CCMIN,"&lt;="&amp;CM532,CF_CCMAX,"&gt;="&amp;CM532),IF(BA532&gt;ITP_TRAMO_BAJO,SUMIFS(CF_CUOTA,CF_MAS,ITP_TRAMO_BAJO,CF_CCMIN,"&lt;="&amp;CM532,CF_CCMAX,"&gt;="&amp;CM532),O532*ITP_TIPO)),O532*ITP_TIPO))</f>
        <v/>
      </c>
      <c r="CO532" s="4">
        <f>IF(R532="profesional",N(AK532),0)</f>
        <v/>
      </c>
      <c r="CP532" s="3">
        <f>IF(AND(R532="profesional",ISNUMBER(AK532),AL532="sí"),0,TASA_DGT)</f>
        <v/>
      </c>
      <c r="CQ532" s="3">
        <f>INFORME_DGT</f>
        <v/>
      </c>
      <c r="CR532" s="4">
        <f>O532+CO532+CN532+CP532+CQ532</f>
        <v/>
      </c>
      <c r="CS532" s="4">
        <f>CR532+N(CF532)</f>
        <v/>
      </c>
      <c r="CT532" s="3">
        <f>IF(CR532&lt;=TOTAL_MAX,"sí",IF(CR532&lt;=TOTAL_MAX+MARGEN_NEG,"negociar","no"))</f>
        <v/>
      </c>
      <c r="CU532" s="4">
        <f>IF(CT532&lt;&gt;"no",COUNTIFS($CT$2:$CT$545,"&lt;&gt;no",$CL$2:$CL$545,"&gt;"&amp;CL532)+COUNTIFS($CT$2:CT532,"&lt;&gt;no",$CL$2:CL532,CL532),"")</f>
        <v/>
      </c>
    </row>
    <row r="533">
      <c r="A533" s="2" t="inlineStr">
        <is>
          <t>cochesnet:71561708</t>
        </is>
      </c>
      <c r="B533" s="2" t="inlineStr">
        <is>
          <t>cochesnet</t>
        </is>
      </c>
      <c r="C533" s="2" t="inlineStr">
        <is>
          <t>https://www.coches.net/mitsubishi-colt-gasolina-2006-en-castellon-71561708-covo.aspx</t>
        </is>
      </c>
      <c r="D533" s="2" t="inlineStr">
        <is>
          <t>MITSUBISHI Colt 1.1 12v Inform</t>
        </is>
      </c>
      <c r="E533" s="2" t="inlineStr">
        <is>
          <t>Mitsubishi</t>
        </is>
      </c>
      <c r="F533" s="2" t="inlineStr">
        <is>
          <t>Mitsubishi Colt</t>
        </is>
      </c>
      <c r="G533" s="2" t="inlineStr">
        <is>
          <t>1.1</t>
        </is>
      </c>
      <c r="H533" s="2" t="inlineStr">
        <is>
          <t>1.1 12v Inform</t>
        </is>
      </c>
      <c r="I533" s="2" t="n"/>
      <c r="J533" s="2" t="n"/>
      <c r="K533" s="2" t="inlineStr">
        <is>
          <t>gasolina</t>
        </is>
      </c>
      <c r="L533" s="2" t="inlineStr">
        <is>
          <t>utilitario</t>
        </is>
      </c>
      <c r="M533" s="2" t="n">
        <v>2006</v>
      </c>
      <c r="N533" s="2" t="n">
        <v>179000</v>
      </c>
      <c r="O533" s="2" t="n">
        <v>2300</v>
      </c>
      <c r="P533" s="2" t="inlineStr">
        <is>
          <t>manual</t>
        </is>
      </c>
      <c r="Q533" s="2" t="inlineStr">
        <is>
          <t>no</t>
        </is>
      </c>
      <c r="R533" s="2" t="inlineStr">
        <is>
          <t>particular</t>
        </is>
      </c>
      <c r="S533" s="2" t="n"/>
      <c r="T533" s="2" t="inlineStr">
        <is>
          <t>2026-09-21T10:13:25Z</t>
        </is>
      </c>
      <c r="U533" s="2" t="n">
        <v>6</v>
      </c>
      <c r="V533" s="2" t="inlineStr">
        <is>
          <t>sí</t>
        </is>
      </c>
      <c r="W533" s="2" t="n"/>
      <c r="X533" s="2" t="n"/>
      <c r="Y533" s="2" t="n"/>
      <c r="Z533" s="2" t="inlineStr">
        <is>
          <t>no</t>
        </is>
      </c>
      <c r="AA533" s="2" t="n"/>
      <c r="AB533" s="2" t="n"/>
      <c r="AC533" s="2" t="n"/>
      <c r="AD533" s="2" t="n"/>
      <c r="AE533" s="2" t="n"/>
      <c r="AF533" s="2" t="n"/>
      <c r="AG533" s="2" t="n"/>
      <c r="AH533" s="2" t="n">
        <v>2300</v>
      </c>
      <c r="AI533" s="2" t="n"/>
      <c r="AJ533" s="2" t="n"/>
      <c r="AK533" s="2" t="n"/>
      <c r="AL533" s="2" t="n"/>
      <c r="AM533" s="2" t="n"/>
      <c r="AN533" s="2" t="n"/>
      <c r="AO533" s="2" t="inlineStr">
        <is>
          <t>2006</t>
        </is>
      </c>
      <c r="AP533" s="2" t="n">
        <v>2006</v>
      </c>
      <c r="AQ533" s="2" t="n"/>
      <c r="AR533" s="2" t="n"/>
      <c r="AS533" s="2" t="inlineStr">
        <is>
          <t>regla</t>
        </is>
      </c>
      <c r="AT533" s="2" t="n">
        <v>2600</v>
      </c>
      <c r="AU533" s="2" t="n">
        <v>5</v>
      </c>
      <c r="AV533" s="2" t="inlineStr">
        <is>
          <t>modelo+año</t>
        </is>
      </c>
      <c r="AW533" s="2" t="n"/>
      <c r="AX533" s="2" t="inlineStr">
        <is>
          <t>cuota fija ITP: &gt;12 años, hasta 1.500 cc; distancia no verificable (el anuncio solo indica la provincia): confirmar que está a &lt;= 70 km; fiabilidad del modelo PENDIENTE de fuente (puntuación neutra)</t>
        </is>
      </c>
      <c r="AY533" s="2" t="inlineStr">
        <is>
          <t xml:space="preserve">hola vendo Mitsubishi colt c63 1.100 gasolina con cadena  funciona perfectamente en general
ITV hasta marzo 2027
aceite y filtros cambiado hace unos meses ruedas nuevas
precio 2300 euros algo negociable </t>
        </is>
      </c>
      <c r="AZ533" s="2" t="inlineStr">
        <is>
          <t>https://www.coches.net/mitsubishi-colt-gasolina-2006-en-castellon-71561708-covo.aspx (window.__INITIAL_PROPS__.ad) /home/user/Alopecia/buscador-coches/raw/cochesnet/8a973001cc8244d1.json</t>
        </is>
      </c>
      <c r="BA533" s="3">
        <f>MAX(ANIO_ACTUAL-M533,0)</f>
        <v/>
      </c>
      <c r="BB533" s="4">
        <f>N533/MAX(BA533,0.5)</f>
        <v/>
      </c>
      <c r="BC533" s="4">
        <f>F533</f>
        <v/>
      </c>
      <c r="BD533" s="3">
        <f>BC533&amp;"|"&amp;INT(M533/SEG_ANIO)*SEG_ANIO</f>
        <v/>
      </c>
      <c r="BE533" s="3">
        <f>BD533&amp;"|"&amp;INT(N533/SEG_KM)*SEG_KM</f>
        <v/>
      </c>
      <c r="BF533" s="4">
        <f>COUNTIF($BC$2:$BC$545,BC533)</f>
        <v/>
      </c>
      <c r="BG533" s="4">
        <f>COUNTIF($BD$2:$BD$545,BD533)</f>
        <v/>
      </c>
      <c r="BH533" s="4">
        <f>COUNTIF($BE$2:$BE$545,BE533)</f>
        <v/>
      </c>
      <c r="BI533" s="3">
        <f t="array" ref="BI533">IF(N(AU533)&gt;=MIN_N,AT533,IF(BH533&gt;=MIN_N,MEDIAN(IF($BE$2:$BE$545=BE533,$O$2:$O$545)),IF(BG533&gt;=MIN_N,MEDIAN(IF($BD$2:$BD$545=BD533,$O$2:$O$545)),MEDIAN(IF($BC$2:$BC$545=BC533,$O$2:$O$545)))))</f>
        <v/>
      </c>
      <c r="BJ533" s="3">
        <f>IF(N(AU533)&gt;=MIN_N,"mercado "&amp;AV533,IF(BH533&gt;=MIN_N,"modelo+año+km",IF(BG533&gt;=MIN_N,"modelo+año","modelo")))</f>
        <v/>
      </c>
      <c r="BK533" s="4">
        <f>(BI533-O533)/BI533</f>
        <v/>
      </c>
      <c r="BL533" s="3">
        <f>IF(COUNTIFS(FR_FUEL,K533,FR_YEAR,AP533)&gt;0,1,0)</f>
        <v/>
      </c>
      <c r="BM533" s="3">
        <f>IF(COUNTIFS(FR_FUEL,K533,FR_YEAR,AP533-1)&gt;0,1,0)</f>
        <v/>
      </c>
      <c r="BN533" s="4">
        <f>IF(N(AQ533)&gt;0,AP533*100+AQ533,IF(AND(BL533=1,BM533=1),(AP533-1)*100+1,AP533*100+1))</f>
        <v/>
      </c>
      <c r="BO533" s="3">
        <f>IF(OR(K533="hibrido",K533="glp",K533="gnc",K533="phev"),"ECO",IF(K533="electrico","CERO",IF(K533="gasolina",IF(BN533&gt;=GAS_C_YM,"C",IF(BN533&gt;=GAS_B_YM,"B","A")),IF(K533="diesel",IF(BN533&gt;=DIE_C_YM,"C",IF(BN533&gt;=DIE_B_YM,"B","A")),""))))</f>
        <v/>
      </c>
      <c r="BP533" s="4">
        <f>BO533</f>
        <v/>
      </c>
      <c r="BQ533" s="4">
        <f>IF(AS533="regla",IF(AND(N(AQ533)=0,BL533=1),"sí","no"),"no")</f>
        <v/>
      </c>
      <c r="BR533" s="3">
        <f>IFERROR(VLOOKUP(F533,MOD_TBL,11,0),IFERROR(VLOOKUP(E533,OCU_TBL,2,0),NEUTRO))</f>
        <v/>
      </c>
      <c r="BS533" s="3">
        <f>SUMIFS(MOT_AJUSTE,MOT_MOTOR,G533,MOT_MARCA,E533,MOT_DESDE,"&lt;="&amp;M533,MOT_HASTA,"&gt;="&amp;M533)+SUMIFS(MOT_AJUSTE,MOT_MOTOR,G533,MOT_MARCA,"(todas)",MOT_DESDE,"&lt;="&amp;M533,MOT_HASTA,"&gt;="&amp;M533)</f>
        <v/>
      </c>
      <c r="BT533" s="3">
        <f>SUMIFS(COMB_AJUSTE,COMB_COMB,K533)</f>
        <v/>
      </c>
      <c r="BU533" s="3">
        <f>COUNTIFS(MOT_MOTOR,G533,MOT_MARCA,E533,MOT_DESDE,"&lt;="&amp;M533,MOT_HASTA,"&gt;="&amp;M533)+COUNTIFS(MOT_MOTOR,G533,MOT_MARCA,"(todas)",MOT_DESDE,"&lt;="&amp;M533,MOT_HASTA,"&gt;="&amp;M533)</f>
        <v/>
      </c>
      <c r="BV533" s="3">
        <f>IF(AND(K533="diesel",BU533=0),MIN(BR533,NEUTRO),BR533)</f>
        <v/>
      </c>
      <c r="BW533" s="4">
        <f>MAX(0,MIN(100,BV533+BS533+BT533))</f>
        <v/>
      </c>
      <c r="BX533" s="3">
        <f>MAX(0,MIN(100,50+BK533*PRECIO_PEND))</f>
        <v/>
      </c>
      <c r="BY533" s="3">
        <f>MAX(0,100*(1-N533/KM_MAX))</f>
        <v/>
      </c>
      <c r="BZ533" s="3">
        <f>IF(BB533&lt;KMA_SOSP,IF(AA533="sí",100,KMA_PEN),IF(BB533&lt;=KMA_IDEAL_MAX,100,MAX(0,100*(KMA_CERO-BB533)/(KMA_CERO-KMA_IDEAL_MAX))))</f>
        <v/>
      </c>
      <c r="CA533" s="3">
        <f>MAX(0,MIN(100,100*(M533-ANIO_MIN)/(ANIO_ACTUAL-ANIO_MIN)))</f>
        <v/>
      </c>
      <c r="CB533" s="3">
        <f>W_KMT*BY533+W_KMA*BZ533+W_EDAD*CA533</f>
        <v/>
      </c>
      <c r="CC533" s="3">
        <f>P_ITV*(V533="sí")+P_LIBRO*(W533="sí")+P_CORREA*(X533="sí")+P_PROP*(Y533=1)+P_GAR*(Z533="sí")+P_FOTOS*MIN(1,N(U533)/FOTOS_OBJ)</f>
        <v/>
      </c>
      <c r="CD533" s="3">
        <f>MAX(0,MIN(100,IFERROR(VLOOKUP(BP533,ETQ_TBL,2,0),0)-IF(BQ533="sí",ETQ_PEN_DUD,IF(AS533="regla",ETQ_PEN_REGLA,0))))</f>
        <v/>
      </c>
      <c r="CE533" s="3">
        <f>NEUTRO</f>
        <v/>
      </c>
      <c r="CF533" s="3">
        <f>IFERROR(VLOOKUP(L533,SEGURO_TBL,3,0),"")</f>
        <v/>
      </c>
      <c r="CG533" s="3">
        <f>IF(CF533="",NEUTRO,MAX(0,MIN(100,100*(SEG_REF_MAX-CF533)/(SEG_REF_MAX-SEG_REF_MIN))))</f>
        <v/>
      </c>
      <c r="CH533" s="3">
        <f>W_CONS*CE533+W_SEG*CG533</f>
        <v/>
      </c>
      <c r="CI533" s="3">
        <f>IF(N(AB533)&gt;0,AB533,IF(AND(R533="profesional",SG_LEGAL_ON=1),GAR_LEGAL,0))</f>
        <v/>
      </c>
      <c r="CJ533" s="3">
        <f>SG_GAR*MIN(1,CI533/SG_GAR_FULL)+SG_AMPL*(AC533="sí")+SG_KMC*(AF533="sí")+SG_REV*(N(AE533)&gt;0)+SG_DEV*MIN(1,N(AG533)/SG_DEV_FULL)+SG_HIST*(W533="sí")</f>
        <v/>
      </c>
      <c r="CK533" s="3">
        <f>IFERROR(VLOOKUP(L533,CARR_PEN_TBL,2,0),0)</f>
        <v/>
      </c>
      <c r="CL533" s="3">
        <f>W_FIAB*BW533+W_PRECIO*BX533+W_KMEDAD*CB533+W_ANUNCIO*CC533+W_USO*CH533+W_SEGURIDAD*CJ533+W_ETIQUETA*CD533-CK533</f>
        <v/>
      </c>
      <c r="CM533" s="4">
        <f>IF(N(I533)&gt;0,I533,IFERROR(ROUND(_xlfn.NUMBERVALUE(LEFT(G533,FIND(" ",G533&amp;" ")-1),".")*1000,0),99999))</f>
        <v/>
      </c>
      <c r="CN533" s="3">
        <f>IF(R533="profesional",0,IF(O533&lt;CUOTA_VALOR_MAX,IF(BA533&gt;ITP_TRAMO_ALTO,SUMIFS(CF_CUOTA,CF_MAS,ITP_TRAMO_ALTO,CF_CCMIN,"&lt;="&amp;CM533,CF_CCMAX,"&gt;="&amp;CM533),IF(BA533&gt;ITP_TRAMO_BAJO,SUMIFS(CF_CUOTA,CF_MAS,ITP_TRAMO_BAJO,CF_CCMIN,"&lt;="&amp;CM533,CF_CCMAX,"&gt;="&amp;CM533),O533*ITP_TIPO)),O533*ITP_TIPO))</f>
        <v/>
      </c>
      <c r="CO533" s="4">
        <f>IF(R533="profesional",N(AK533),0)</f>
        <v/>
      </c>
      <c r="CP533" s="3">
        <f>IF(AND(R533="profesional",ISNUMBER(AK533),AL533="sí"),0,TASA_DGT)</f>
        <v/>
      </c>
      <c r="CQ533" s="3">
        <f>INFORME_DGT</f>
        <v/>
      </c>
      <c r="CR533" s="4">
        <f>O533+CO533+CN533+CP533+CQ533</f>
        <v/>
      </c>
      <c r="CS533" s="4">
        <f>CR533+N(CF533)</f>
        <v/>
      </c>
      <c r="CT533" s="3">
        <f>IF(CR533&lt;=TOTAL_MAX,"sí",IF(CR533&lt;=TOTAL_MAX+MARGEN_NEG,"negociar","no"))</f>
        <v/>
      </c>
      <c r="CU533" s="4">
        <f>IF(CT533&lt;&gt;"no",COUNTIFS($CT$2:$CT$545,"&lt;&gt;no",$CL$2:$CL$545,"&gt;"&amp;CL533)+COUNTIFS($CT$2:CT533,"&lt;&gt;no",$CL$2:CL533,CL533),"")</f>
        <v/>
      </c>
    </row>
    <row r="534">
      <c r="A534" s="2" t="inlineStr">
        <is>
          <t>cochesnet:71260271</t>
        </is>
      </c>
      <c r="B534" s="2" t="inlineStr">
        <is>
          <t>cochesnet</t>
        </is>
      </c>
      <c r="C534" s="2" t="inlineStr">
        <is>
          <t>https://www.coches.net/audi-a3-sportback-19-tdi-ambition-dpf-5p-diesel-2006-en-castellon-71260271-covo.aspx</t>
        </is>
      </c>
      <c r="D534" s="2" t="inlineStr">
        <is>
          <t>AUDI A3 Sportback 1.9 TDI Ambition DPF</t>
        </is>
      </c>
      <c r="E534" s="2" t="inlineStr">
        <is>
          <t>Audi</t>
        </is>
      </c>
      <c r="F534" s="2" t="inlineStr">
        <is>
          <t>Audi A3</t>
        </is>
      </c>
      <c r="G534" s="2" t="inlineStr">
        <is>
          <t>1.9 TDI</t>
        </is>
      </c>
      <c r="H534" s="2" t="inlineStr">
        <is>
          <t>Sportback 1.9 TDI Ambition DPF</t>
        </is>
      </c>
      <c r="I534" s="2" t="n"/>
      <c r="J534" s="2" t="n"/>
      <c r="K534" s="2" t="inlineStr">
        <is>
          <t>diesel</t>
        </is>
      </c>
      <c r="L534" s="2" t="inlineStr">
        <is>
          <t>compacto</t>
        </is>
      </c>
      <c r="M534" s="2" t="n">
        <v>2006</v>
      </c>
      <c r="N534" s="2" t="n">
        <v>36700</v>
      </c>
      <c r="O534" s="2" t="n">
        <v>4200</v>
      </c>
      <c r="P534" s="2" t="inlineStr">
        <is>
          <t>manual</t>
        </is>
      </c>
      <c r="Q534" s="2" t="inlineStr">
        <is>
          <t>no</t>
        </is>
      </c>
      <c r="R534" s="2" t="inlineStr">
        <is>
          <t>particular</t>
        </is>
      </c>
      <c r="S534" s="2" t="inlineStr">
        <is>
          <t>Segorbe</t>
        </is>
      </c>
      <c r="T534" s="2" t="inlineStr">
        <is>
          <t>2026-08-10T01:53:03Z</t>
        </is>
      </c>
      <c r="U534" s="2" t="n"/>
      <c r="V534" s="2" t="n"/>
      <c r="W534" s="2" t="n"/>
      <c r="X534" s="2" t="n"/>
      <c r="Y534" s="2" t="n"/>
      <c r="Z534" s="2" t="inlineStr">
        <is>
          <t>no</t>
        </is>
      </c>
      <c r="AA534" s="2" t="n"/>
      <c r="AB534" s="2" t="n"/>
      <c r="AC534" s="2" t="n"/>
      <c r="AD534" s="2" t="n"/>
      <c r="AE534" s="2" t="n"/>
      <c r="AF534" s="2" t="n"/>
      <c r="AG534" s="2" t="n"/>
      <c r="AH534" s="2" t="n">
        <v>4200</v>
      </c>
      <c r="AI534" s="2" t="n"/>
      <c r="AJ534" s="2" t="n"/>
      <c r="AK534" s="2" t="n"/>
      <c r="AL534" s="2" t="n"/>
      <c r="AM534" s="2" t="n">
        <v>43.4</v>
      </c>
      <c r="AN534" s="2" t="n"/>
      <c r="AO534" s="2" t="inlineStr">
        <is>
          <t>2006</t>
        </is>
      </c>
      <c r="AP534" s="2" t="n">
        <v>2006</v>
      </c>
      <c r="AQ534" s="2" t="n"/>
      <c r="AR534" s="2" t="n"/>
      <c r="AS534" s="2" t="inlineStr">
        <is>
          <t>regla</t>
        </is>
      </c>
      <c r="AT534" s="2" t="n">
        <v>3000</v>
      </c>
      <c r="AU534" s="2" t="n">
        <v>5</v>
      </c>
      <c r="AV534" s="2" t="inlineStr">
        <is>
          <t>modelo+año+km</t>
        </is>
      </c>
      <c r="AW534" s="2" t="n"/>
      <c r="AX534" s="2" t="inlineStr">
        <is>
          <t>etiqueta A dudosa: confirmar etiqueta con la DGT antes de comprar; cuota fija ITP: &gt;12 años, 1.501-2.000 cc; diésel: motor sin fuente de fiabilidad (fiabilidad limitada a neutra); fiabilidad del modelo PENDIENTE de fuente (puntuación neutra)</t>
        </is>
      </c>
      <c r="AY534" s="2" t="inlineStr"/>
      <c r="AZ534" s="2" t="inlineStr">
        <is>
          <t>https://www.coches.net/audi-a3-sportback-19-tdi-ambition-dpf-5p-diesel-2006-en-castellon-71260271-covo.aspx (window.__INITIAL_PROPS__.ad) /home/user/Alopecia/buscador-coches/raw/cochesnet/4a6db624c5d6a328.json</t>
        </is>
      </c>
      <c r="BA534" s="3">
        <f>MAX(ANIO_ACTUAL-M534,0)</f>
        <v/>
      </c>
      <c r="BB534" s="4">
        <f>N534/MAX(BA534,0.5)</f>
        <v/>
      </c>
      <c r="BC534" s="4">
        <f>F534</f>
        <v/>
      </c>
      <c r="BD534" s="3">
        <f>BC534&amp;"|"&amp;INT(M534/SEG_ANIO)*SEG_ANIO</f>
        <v/>
      </c>
      <c r="BE534" s="3">
        <f>BD534&amp;"|"&amp;INT(N534/SEG_KM)*SEG_KM</f>
        <v/>
      </c>
      <c r="BF534" s="4">
        <f>COUNTIF($BC$2:$BC$545,BC534)</f>
        <v/>
      </c>
      <c r="BG534" s="4">
        <f>COUNTIF($BD$2:$BD$545,BD534)</f>
        <v/>
      </c>
      <c r="BH534" s="4">
        <f>COUNTIF($BE$2:$BE$545,BE534)</f>
        <v/>
      </c>
      <c r="BI534" s="3">
        <f t="array" ref="BI534">IF(N(AU534)&gt;=MIN_N,AT534,IF(BH534&gt;=MIN_N,MEDIAN(IF($BE$2:$BE$545=BE534,$O$2:$O$545)),IF(BG534&gt;=MIN_N,MEDIAN(IF($BD$2:$BD$545=BD534,$O$2:$O$545)),MEDIAN(IF($BC$2:$BC$545=BC534,$O$2:$O$545)))))</f>
        <v/>
      </c>
      <c r="BJ534" s="3">
        <f>IF(N(AU534)&gt;=MIN_N,"mercado "&amp;AV534,IF(BH534&gt;=MIN_N,"modelo+año+km",IF(BG534&gt;=MIN_N,"modelo+año","modelo")))</f>
        <v/>
      </c>
      <c r="BK534" s="4">
        <f>(BI534-O534)/BI534</f>
        <v/>
      </c>
      <c r="BL534" s="3">
        <f>IF(COUNTIFS(FR_FUEL,K534,FR_YEAR,AP534)&gt;0,1,0)</f>
        <v/>
      </c>
      <c r="BM534" s="3">
        <f>IF(COUNTIFS(FR_FUEL,K534,FR_YEAR,AP534-1)&gt;0,1,0)</f>
        <v/>
      </c>
      <c r="BN534" s="4">
        <f>IF(N(AQ534)&gt;0,AP534*100+AQ534,IF(AND(BL534=1,BM534=1),(AP534-1)*100+1,AP534*100+1))</f>
        <v/>
      </c>
      <c r="BO534" s="3">
        <f>IF(OR(K534="hibrido",K534="glp",K534="gnc",K534="phev"),"ECO",IF(K534="electrico","CERO",IF(K534="gasolina",IF(BN534&gt;=GAS_C_YM,"C",IF(BN534&gt;=GAS_B_YM,"B","A")),IF(K534="diesel",IF(BN534&gt;=DIE_C_YM,"C",IF(BN534&gt;=DIE_B_YM,"B","A")),""))))</f>
        <v/>
      </c>
      <c r="BP534" s="4">
        <f>BO534</f>
        <v/>
      </c>
      <c r="BQ534" s="4">
        <f>IF(AS534="regla",IF(AND(N(AQ534)=0,BL534=1),"sí","no"),"no")</f>
        <v/>
      </c>
      <c r="BR534" s="3">
        <f>IFERROR(VLOOKUP(F534,MOD_TBL,11,0),IFERROR(VLOOKUP(E534,OCU_TBL,2,0),NEUTRO))</f>
        <v/>
      </c>
      <c r="BS534" s="3">
        <f>SUMIFS(MOT_AJUSTE,MOT_MOTOR,G534,MOT_MARCA,E534,MOT_DESDE,"&lt;="&amp;M534,MOT_HASTA,"&gt;="&amp;M534)+SUMIFS(MOT_AJUSTE,MOT_MOTOR,G534,MOT_MARCA,"(todas)",MOT_DESDE,"&lt;="&amp;M534,MOT_HASTA,"&gt;="&amp;M534)</f>
        <v/>
      </c>
      <c r="BT534" s="3">
        <f>SUMIFS(COMB_AJUSTE,COMB_COMB,K534)</f>
        <v/>
      </c>
      <c r="BU534" s="3">
        <f>COUNTIFS(MOT_MOTOR,G534,MOT_MARCA,E534,MOT_DESDE,"&lt;="&amp;M534,MOT_HASTA,"&gt;="&amp;M534)+COUNTIFS(MOT_MOTOR,G534,MOT_MARCA,"(todas)",MOT_DESDE,"&lt;="&amp;M534,MOT_HASTA,"&gt;="&amp;M534)</f>
        <v/>
      </c>
      <c r="BV534" s="3">
        <f>IF(AND(K534="diesel",BU534=0),MIN(BR534,NEUTRO),BR534)</f>
        <v/>
      </c>
      <c r="BW534" s="4">
        <f>MAX(0,MIN(100,BV534+BS534+BT534))</f>
        <v/>
      </c>
      <c r="BX534" s="3">
        <f>MAX(0,MIN(100,50+BK534*PRECIO_PEND))</f>
        <v/>
      </c>
      <c r="BY534" s="3">
        <f>MAX(0,100*(1-N534/KM_MAX))</f>
        <v/>
      </c>
      <c r="BZ534" s="3">
        <f>IF(BB534&lt;KMA_SOSP,IF(AA534="sí",100,KMA_PEN),IF(BB534&lt;=KMA_IDEAL_MAX,100,MAX(0,100*(KMA_CERO-BB534)/(KMA_CERO-KMA_IDEAL_MAX))))</f>
        <v/>
      </c>
      <c r="CA534" s="3">
        <f>MAX(0,MIN(100,100*(M534-ANIO_MIN)/(ANIO_ACTUAL-ANIO_MIN)))</f>
        <v/>
      </c>
      <c r="CB534" s="3">
        <f>W_KMT*BY534+W_KMA*BZ534+W_EDAD*CA534</f>
        <v/>
      </c>
      <c r="CC534" s="3">
        <f>P_ITV*(V534="sí")+P_LIBRO*(W534="sí")+P_CORREA*(X534="sí")+P_PROP*(Y534=1)+P_GAR*(Z534="sí")+P_FOTOS*MIN(1,N(U534)/FOTOS_OBJ)</f>
        <v/>
      </c>
      <c r="CD534" s="3">
        <f>MAX(0,MIN(100,IFERROR(VLOOKUP(BP534,ETQ_TBL,2,0),0)-IF(BQ534="sí",ETQ_PEN_DUD,IF(AS534="regla",ETQ_PEN_REGLA,0))))</f>
        <v/>
      </c>
      <c r="CE534" s="3">
        <f>NEUTRO</f>
        <v/>
      </c>
      <c r="CF534" s="3">
        <f>IFERROR(VLOOKUP(L534,SEGURO_TBL,3,0),"")</f>
        <v/>
      </c>
      <c r="CG534" s="3">
        <f>IF(CF534="",NEUTRO,MAX(0,MIN(100,100*(SEG_REF_MAX-CF534)/(SEG_REF_MAX-SEG_REF_MIN))))</f>
        <v/>
      </c>
      <c r="CH534" s="3">
        <f>W_CONS*CE534+W_SEG*CG534</f>
        <v/>
      </c>
      <c r="CI534" s="3">
        <f>IF(N(AB534)&gt;0,AB534,IF(AND(R534="profesional",SG_LEGAL_ON=1),GAR_LEGAL,0))</f>
        <v/>
      </c>
      <c r="CJ534" s="3">
        <f>SG_GAR*MIN(1,CI534/SG_GAR_FULL)+SG_AMPL*(AC534="sí")+SG_KMC*(AF534="sí")+SG_REV*(N(AE534)&gt;0)+SG_DEV*MIN(1,N(AG534)/SG_DEV_FULL)+SG_HIST*(W534="sí")</f>
        <v/>
      </c>
      <c r="CK534" s="3">
        <f>IFERROR(VLOOKUP(L534,CARR_PEN_TBL,2,0),0)</f>
        <v/>
      </c>
      <c r="CL534" s="3">
        <f>W_FIAB*BW534+W_PRECIO*BX534+W_KMEDAD*CB534+W_ANUNCIO*CC534+W_USO*CH534+W_SEGURIDAD*CJ534+W_ETIQUETA*CD534-CK534</f>
        <v/>
      </c>
      <c r="CM534" s="4">
        <f>IF(N(I534)&gt;0,I534,IFERROR(ROUND(_xlfn.NUMBERVALUE(LEFT(G534,FIND(" ",G534&amp;" ")-1),".")*1000,0),99999))</f>
        <v/>
      </c>
      <c r="CN534" s="3">
        <f>IF(R534="profesional",0,IF(O534&lt;CUOTA_VALOR_MAX,IF(BA534&gt;ITP_TRAMO_ALTO,SUMIFS(CF_CUOTA,CF_MAS,ITP_TRAMO_ALTO,CF_CCMIN,"&lt;="&amp;CM534,CF_CCMAX,"&gt;="&amp;CM534),IF(BA534&gt;ITP_TRAMO_BAJO,SUMIFS(CF_CUOTA,CF_MAS,ITP_TRAMO_BAJO,CF_CCMIN,"&lt;="&amp;CM534,CF_CCMAX,"&gt;="&amp;CM534),O534*ITP_TIPO)),O534*ITP_TIPO))</f>
        <v/>
      </c>
      <c r="CO534" s="4">
        <f>IF(R534="profesional",N(AK534),0)</f>
        <v/>
      </c>
      <c r="CP534" s="3">
        <f>IF(AND(R534="profesional",ISNUMBER(AK534),AL534="sí"),0,TASA_DGT)</f>
        <v/>
      </c>
      <c r="CQ534" s="3">
        <f>INFORME_DGT</f>
        <v/>
      </c>
      <c r="CR534" s="4">
        <f>O534+CO534+CN534+CP534+CQ534</f>
        <v/>
      </c>
      <c r="CS534" s="4">
        <f>CR534+N(CF534)</f>
        <v/>
      </c>
      <c r="CT534" s="3">
        <f>IF(CR534&lt;=TOTAL_MAX,"sí",IF(CR534&lt;=TOTAL_MAX+MARGEN_NEG,"negociar","no"))</f>
        <v/>
      </c>
      <c r="CU534" s="4">
        <f>IF(CT534&lt;&gt;"no",COUNTIFS($CT$2:$CT$545,"&lt;&gt;no",$CL$2:$CL$545,"&gt;"&amp;CL534)+COUNTIFS($CT$2:CT534,"&lt;&gt;no",$CL$2:CL534,CL534),"")</f>
        <v/>
      </c>
    </row>
    <row r="535">
      <c r="A535" s="2" t="inlineStr">
        <is>
          <t>cochesnet:71617678</t>
        </is>
      </c>
      <c r="B535" s="2" t="inlineStr">
        <is>
          <t>cochesnet</t>
        </is>
      </c>
      <c r="C535" s="2" t="inlineStr">
        <is>
          <t>https://www.coches.net/mini-mini-gasolina-2010-en-castellon-71617678-covo.aspx</t>
        </is>
      </c>
      <c r="D535" s="2" t="inlineStr">
        <is>
          <t>MINI MINI</t>
        </is>
      </c>
      <c r="E535" s="2" t="inlineStr">
        <is>
          <t>MINI</t>
        </is>
      </c>
      <c r="F535" s="2" t="inlineStr">
        <is>
          <t>MINI MINI</t>
        </is>
      </c>
      <c r="G535" s="2" t="n"/>
      <c r="H535" s="2" t="n"/>
      <c r="I535" s="2" t="n"/>
      <c r="J535" s="2" t="n"/>
      <c r="K535" s="2" t="inlineStr">
        <is>
          <t>gasolina</t>
        </is>
      </c>
      <c r="L535" s="2" t="inlineStr">
        <is>
          <t>utilitario</t>
        </is>
      </c>
      <c r="M535" s="2" t="n">
        <v>2010</v>
      </c>
      <c r="N535" s="2" t="n">
        <v>204444</v>
      </c>
      <c r="O535" s="2" t="n">
        <v>4500</v>
      </c>
      <c r="P535" s="2" t="inlineStr">
        <is>
          <t>manual</t>
        </is>
      </c>
      <c r="Q535" s="2" t="inlineStr">
        <is>
          <t>no</t>
        </is>
      </c>
      <c r="R535" s="2" t="inlineStr">
        <is>
          <t>particular</t>
        </is>
      </c>
      <c r="S535" s="2" t="n"/>
      <c r="T535" s="2" t="inlineStr">
        <is>
          <t>2026-09-28T15:41:56Z</t>
        </is>
      </c>
      <c r="U535" s="2" t="n">
        <v>8</v>
      </c>
      <c r="V535" s="2" t="n"/>
      <c r="W535" s="2" t="n"/>
      <c r="X535" s="2" t="n"/>
      <c r="Y535" s="2" t="n"/>
      <c r="Z535" s="2" t="inlineStr">
        <is>
          <t>no</t>
        </is>
      </c>
      <c r="AA535" s="2" t="n"/>
      <c r="AB535" s="2" t="n"/>
      <c r="AC535" s="2" t="n"/>
      <c r="AD535" s="2" t="n"/>
      <c r="AE535" s="2" t="n"/>
      <c r="AF535" s="2" t="n"/>
      <c r="AG535" s="2" t="n"/>
      <c r="AH535" s="2" t="n">
        <v>4500</v>
      </c>
      <c r="AI535" s="2" t="n"/>
      <c r="AJ535" s="2" t="n"/>
      <c r="AK535" s="2" t="n"/>
      <c r="AL535" s="2" t="n"/>
      <c r="AM535" s="2" t="n"/>
      <c r="AN535" s="2" t="n"/>
      <c r="AO535" s="2" t="inlineStr">
        <is>
          <t>2010</t>
        </is>
      </c>
      <c r="AP535" s="2" t="n">
        <v>2010</v>
      </c>
      <c r="AQ535" s="2" t="n"/>
      <c r="AR535" s="2" t="n"/>
      <c r="AS535" s="2" t="inlineStr">
        <is>
          <t>regla</t>
        </is>
      </c>
      <c r="AT535" s="2" t="n">
        <v>6125</v>
      </c>
      <c r="AU535" s="2" t="n">
        <v>6</v>
      </c>
      <c r="AV535" s="2" t="inlineStr">
        <is>
          <t>modelo+año+km</t>
        </is>
      </c>
      <c r="AW535" s="2" t="n"/>
      <c r="AX535"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35" s="2" t="inlineStr">
        <is>
          <t xml:space="preserve">total mente operativo
 ITV aldia 
mecánicanicamente excelente </t>
        </is>
      </c>
      <c r="AZ535" s="2" t="inlineStr">
        <is>
          <t>https://www.coches.net/mini-mini-gasolina-2010-en-castellon-71617678-covo.aspx (window.__INITIAL_PROPS__.ad) /home/user/Alopecia/buscador-coches/raw/cochesnet/acef01e7b01e126f.json</t>
        </is>
      </c>
      <c r="BA535" s="3">
        <f>MAX(ANIO_ACTUAL-M535,0)</f>
        <v/>
      </c>
      <c r="BB535" s="4">
        <f>N535/MAX(BA535,0.5)</f>
        <v/>
      </c>
      <c r="BC535" s="4">
        <f>F535</f>
        <v/>
      </c>
      <c r="BD535" s="3">
        <f>BC535&amp;"|"&amp;INT(M535/SEG_ANIO)*SEG_ANIO</f>
        <v/>
      </c>
      <c r="BE535" s="3">
        <f>BD535&amp;"|"&amp;INT(N535/SEG_KM)*SEG_KM</f>
        <v/>
      </c>
      <c r="BF535" s="4">
        <f>COUNTIF($BC$2:$BC$545,BC535)</f>
        <v/>
      </c>
      <c r="BG535" s="4">
        <f>COUNTIF($BD$2:$BD$545,BD535)</f>
        <v/>
      </c>
      <c r="BH535" s="4">
        <f>COUNTIF($BE$2:$BE$545,BE535)</f>
        <v/>
      </c>
      <c r="BI535" s="3">
        <f t="array" ref="BI535">IF(N(AU535)&gt;=MIN_N,AT535,IF(BH535&gt;=MIN_N,MEDIAN(IF($BE$2:$BE$545=BE535,$O$2:$O$545)),IF(BG535&gt;=MIN_N,MEDIAN(IF($BD$2:$BD$545=BD535,$O$2:$O$545)),MEDIAN(IF($BC$2:$BC$545=BC535,$O$2:$O$545)))))</f>
        <v/>
      </c>
      <c r="BJ535" s="3">
        <f>IF(N(AU535)&gt;=MIN_N,"mercado "&amp;AV535,IF(BH535&gt;=MIN_N,"modelo+año+km",IF(BG535&gt;=MIN_N,"modelo+año","modelo")))</f>
        <v/>
      </c>
      <c r="BK535" s="4">
        <f>(BI535-O535)/BI535</f>
        <v/>
      </c>
      <c r="BL535" s="3">
        <f>IF(COUNTIFS(FR_FUEL,K535,FR_YEAR,AP535)&gt;0,1,0)</f>
        <v/>
      </c>
      <c r="BM535" s="3">
        <f>IF(COUNTIFS(FR_FUEL,K535,FR_YEAR,AP535-1)&gt;0,1,0)</f>
        <v/>
      </c>
      <c r="BN535" s="4">
        <f>IF(N(AQ535)&gt;0,AP535*100+AQ535,IF(AND(BL535=1,BM535=1),(AP535-1)*100+1,AP535*100+1))</f>
        <v/>
      </c>
      <c r="BO535" s="3">
        <f>IF(OR(K535="hibrido",K535="glp",K535="gnc",K535="phev"),"ECO",IF(K535="electrico","CERO",IF(K535="gasolina",IF(BN535&gt;=GAS_C_YM,"C",IF(BN535&gt;=GAS_B_YM,"B","A")),IF(K535="diesel",IF(BN535&gt;=DIE_C_YM,"C",IF(BN535&gt;=DIE_B_YM,"B","A")),""))))</f>
        <v/>
      </c>
      <c r="BP535" s="4">
        <f>BO535</f>
        <v/>
      </c>
      <c r="BQ535" s="4">
        <f>IF(AS535="regla",IF(AND(N(AQ535)=0,BL535=1),"sí","no"),"no")</f>
        <v/>
      </c>
      <c r="BR535" s="3">
        <f>IFERROR(VLOOKUP(F535,MOD_TBL,11,0),IFERROR(VLOOKUP(E535,OCU_TBL,2,0),NEUTRO))</f>
        <v/>
      </c>
      <c r="BS535" s="3">
        <f>SUMIFS(MOT_AJUSTE,MOT_MOTOR,G535,MOT_MARCA,E535,MOT_DESDE,"&lt;="&amp;M535,MOT_HASTA,"&gt;="&amp;M535)+SUMIFS(MOT_AJUSTE,MOT_MOTOR,G535,MOT_MARCA,"(todas)",MOT_DESDE,"&lt;="&amp;M535,MOT_HASTA,"&gt;="&amp;M535)</f>
        <v/>
      </c>
      <c r="BT535" s="3">
        <f>SUMIFS(COMB_AJUSTE,COMB_COMB,K535)</f>
        <v/>
      </c>
      <c r="BU535" s="3">
        <f>COUNTIFS(MOT_MOTOR,G535,MOT_MARCA,E535,MOT_DESDE,"&lt;="&amp;M535,MOT_HASTA,"&gt;="&amp;M535)+COUNTIFS(MOT_MOTOR,G535,MOT_MARCA,"(todas)",MOT_DESDE,"&lt;="&amp;M535,MOT_HASTA,"&gt;="&amp;M535)</f>
        <v/>
      </c>
      <c r="BV535" s="3">
        <f>IF(AND(K535="diesel",BU535=0),MIN(BR535,NEUTRO),BR535)</f>
        <v/>
      </c>
      <c r="BW535" s="4">
        <f>MAX(0,MIN(100,BV535+BS535+BT535))</f>
        <v/>
      </c>
      <c r="BX535" s="3">
        <f>MAX(0,MIN(100,50+BK535*PRECIO_PEND))</f>
        <v/>
      </c>
      <c r="BY535" s="3">
        <f>MAX(0,100*(1-N535/KM_MAX))</f>
        <v/>
      </c>
      <c r="BZ535" s="3">
        <f>IF(BB535&lt;KMA_SOSP,IF(AA535="sí",100,KMA_PEN),IF(BB535&lt;=KMA_IDEAL_MAX,100,MAX(0,100*(KMA_CERO-BB535)/(KMA_CERO-KMA_IDEAL_MAX))))</f>
        <v/>
      </c>
      <c r="CA535" s="3">
        <f>MAX(0,MIN(100,100*(M535-ANIO_MIN)/(ANIO_ACTUAL-ANIO_MIN)))</f>
        <v/>
      </c>
      <c r="CB535" s="3">
        <f>W_KMT*BY535+W_KMA*BZ535+W_EDAD*CA535</f>
        <v/>
      </c>
      <c r="CC535" s="3">
        <f>P_ITV*(V535="sí")+P_LIBRO*(W535="sí")+P_CORREA*(X535="sí")+P_PROP*(Y535=1)+P_GAR*(Z535="sí")+P_FOTOS*MIN(1,N(U535)/FOTOS_OBJ)</f>
        <v/>
      </c>
      <c r="CD535" s="3">
        <f>MAX(0,MIN(100,IFERROR(VLOOKUP(BP535,ETQ_TBL,2,0),0)-IF(BQ535="sí",ETQ_PEN_DUD,IF(AS535="regla",ETQ_PEN_REGLA,0))))</f>
        <v/>
      </c>
      <c r="CE535" s="3">
        <f>NEUTRO</f>
        <v/>
      </c>
      <c r="CF535" s="3">
        <f>IFERROR(VLOOKUP(L535,SEGURO_TBL,3,0),"")</f>
        <v/>
      </c>
      <c r="CG535" s="3">
        <f>IF(CF535="",NEUTRO,MAX(0,MIN(100,100*(SEG_REF_MAX-CF535)/(SEG_REF_MAX-SEG_REF_MIN))))</f>
        <v/>
      </c>
      <c r="CH535" s="3">
        <f>W_CONS*CE535+W_SEG*CG535</f>
        <v/>
      </c>
      <c r="CI535" s="3">
        <f>IF(N(AB535)&gt;0,AB535,IF(AND(R535="profesional",SG_LEGAL_ON=1),GAR_LEGAL,0))</f>
        <v/>
      </c>
      <c r="CJ535" s="3">
        <f>SG_GAR*MIN(1,CI535/SG_GAR_FULL)+SG_AMPL*(AC535="sí")+SG_KMC*(AF535="sí")+SG_REV*(N(AE535)&gt;0)+SG_DEV*MIN(1,N(AG535)/SG_DEV_FULL)+SG_HIST*(W535="sí")</f>
        <v/>
      </c>
      <c r="CK535" s="3">
        <f>IFERROR(VLOOKUP(L535,CARR_PEN_TBL,2,0),0)</f>
        <v/>
      </c>
      <c r="CL535" s="3">
        <f>W_FIAB*BW535+W_PRECIO*BX535+W_KMEDAD*CB535+W_ANUNCIO*CC535+W_USO*CH535+W_SEGURIDAD*CJ535+W_ETIQUETA*CD535-CK535</f>
        <v/>
      </c>
      <c r="CM535" s="4">
        <f>IF(N(I535)&gt;0,I535,IFERROR(ROUND(_xlfn.NUMBERVALUE(LEFT(G535,FIND(" ",G535&amp;" ")-1),".")*1000,0),99999))</f>
        <v/>
      </c>
      <c r="CN535" s="3">
        <f>IF(R535="profesional",0,IF(O535&lt;CUOTA_VALOR_MAX,IF(BA535&gt;ITP_TRAMO_ALTO,SUMIFS(CF_CUOTA,CF_MAS,ITP_TRAMO_ALTO,CF_CCMIN,"&lt;="&amp;CM535,CF_CCMAX,"&gt;="&amp;CM535),IF(BA535&gt;ITP_TRAMO_BAJO,SUMIFS(CF_CUOTA,CF_MAS,ITP_TRAMO_BAJO,CF_CCMIN,"&lt;="&amp;CM535,CF_CCMAX,"&gt;="&amp;CM535),O535*ITP_TIPO)),O535*ITP_TIPO))</f>
        <v/>
      </c>
      <c r="CO535" s="4">
        <f>IF(R535="profesional",N(AK535),0)</f>
        <v/>
      </c>
      <c r="CP535" s="3">
        <f>IF(AND(R535="profesional",ISNUMBER(AK535),AL535="sí"),0,TASA_DGT)</f>
        <v/>
      </c>
      <c r="CQ535" s="3">
        <f>INFORME_DGT</f>
        <v/>
      </c>
      <c r="CR535" s="4">
        <f>O535+CO535+CN535+CP535+CQ535</f>
        <v/>
      </c>
      <c r="CS535" s="4">
        <f>CR535+N(CF535)</f>
        <v/>
      </c>
      <c r="CT535" s="3">
        <f>IF(CR535&lt;=TOTAL_MAX,"sí",IF(CR535&lt;=TOTAL_MAX+MARGEN_NEG,"negociar","no"))</f>
        <v/>
      </c>
      <c r="CU535" s="4">
        <f>IF(CT535&lt;&gt;"no",COUNTIFS($CT$2:$CT$545,"&lt;&gt;no",$CL$2:$CL$545,"&gt;"&amp;CL535)+COUNTIFS($CT$2:CT535,"&lt;&gt;no",$CL$2:CL535,CL535),"")</f>
        <v/>
      </c>
    </row>
    <row r="536">
      <c r="A536" s="2" t="inlineStr">
        <is>
          <t>cochesnet:71575875</t>
        </is>
      </c>
      <c r="B536" s="2" t="inlineStr">
        <is>
          <t>cochesnet</t>
        </is>
      </c>
      <c r="C536" s="2" t="inlineStr">
        <is>
          <t>https://www.coches.net/mini-mini-gasolina-2010-en-castellon-71575875-covo.aspx</t>
        </is>
      </c>
      <c r="D536" s="2" t="inlineStr">
        <is>
          <t>MINI MINI</t>
        </is>
      </c>
      <c r="E536" s="2" t="inlineStr">
        <is>
          <t>MINI</t>
        </is>
      </c>
      <c r="F536" s="2" t="inlineStr">
        <is>
          <t>MINI MINI</t>
        </is>
      </c>
      <c r="G536" s="2" t="n"/>
      <c r="H536" s="2" t="n"/>
      <c r="I536" s="2" t="n"/>
      <c r="J536" s="2" t="n"/>
      <c r="K536" s="2" t="inlineStr">
        <is>
          <t>gasolina</t>
        </is>
      </c>
      <c r="L536" s="2" t="inlineStr">
        <is>
          <t>utilitario</t>
        </is>
      </c>
      <c r="M536" s="2" t="n">
        <v>2010</v>
      </c>
      <c r="N536" s="2" t="n">
        <v>205000</v>
      </c>
      <c r="O536" s="2" t="n">
        <v>4000</v>
      </c>
      <c r="P536" s="2" t="inlineStr">
        <is>
          <t>manual</t>
        </is>
      </c>
      <c r="Q536" s="2" t="inlineStr">
        <is>
          <t>no</t>
        </is>
      </c>
      <c r="R536" s="2" t="inlineStr">
        <is>
          <t>particular</t>
        </is>
      </c>
      <c r="S536" s="2" t="n"/>
      <c r="T536" s="2" t="inlineStr">
        <is>
          <t>2026-09-22T17:59:00Z</t>
        </is>
      </c>
      <c r="U536" s="2" t="n">
        <v>7</v>
      </c>
      <c r="V536" s="2" t="inlineStr">
        <is>
          <t>sí</t>
        </is>
      </c>
      <c r="W536" s="2" t="n"/>
      <c r="X536" s="2" t="n"/>
      <c r="Y536" s="2" t="n"/>
      <c r="Z536" s="2" t="inlineStr">
        <is>
          <t>no</t>
        </is>
      </c>
      <c r="AA536" s="2" t="n"/>
      <c r="AB536" s="2" t="n"/>
      <c r="AC536" s="2" t="n"/>
      <c r="AD536" s="2" t="n"/>
      <c r="AE536" s="2" t="n"/>
      <c r="AF536" s="2" t="n"/>
      <c r="AG536" s="2" t="n"/>
      <c r="AH536" s="2" t="n">
        <v>4000</v>
      </c>
      <c r="AI536" s="2" t="n"/>
      <c r="AJ536" s="2" t="n"/>
      <c r="AK536" s="2" t="n"/>
      <c r="AL536" s="2" t="n"/>
      <c r="AM536" s="2" t="n"/>
      <c r="AN536" s="2" t="n"/>
      <c r="AO536" s="2" t="inlineStr">
        <is>
          <t>2010</t>
        </is>
      </c>
      <c r="AP536" s="2" t="n">
        <v>2010</v>
      </c>
      <c r="AQ536" s="2" t="n"/>
      <c r="AR536" s="2" t="n"/>
      <c r="AS536" s="2" t="inlineStr">
        <is>
          <t>regla</t>
        </is>
      </c>
      <c r="AT536" s="2" t="n">
        <v>6125</v>
      </c>
      <c r="AU536" s="2" t="n">
        <v>6</v>
      </c>
      <c r="AV536" s="2" t="inlineStr">
        <is>
          <t>modelo+año+km</t>
        </is>
      </c>
      <c r="AW536" s="2" t="n"/>
      <c r="AX53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36" s="2" t="inlineStr">
        <is>
          <t xml:space="preserve">MINI One (2010) – Todo hecho / ITV 2027  
?Vehículo en excelente estado, cuidado al detalle y listo para rodar sin gastos a corto plazo.  
?Mantenimiento recién realizado:
?Distribución y correa auxiliar hechas.  
?Embrague nuevo.  
?Cambio de aceite y filtro recientísimo.  
?ITV en vigor hasta marzo de 2027.  
??? 205.000 km | Año 2010 | Motor 1.4 Gasolina
?Se acepta prueba mecánica sin compromiso. ¡Contacta para más información!  </t>
        </is>
      </c>
      <c r="AZ536" s="2" t="inlineStr">
        <is>
          <t>https://www.coches.net/mini-mini-gasolina-2010-en-castellon-71575875-covo.aspx (window.__INITIAL_PROPS__.ad) /home/user/Alopecia/buscador-coches/raw/cochesnet/74c775dd61689160.json</t>
        </is>
      </c>
      <c r="BA536" s="3">
        <f>MAX(ANIO_ACTUAL-M536,0)</f>
        <v/>
      </c>
      <c r="BB536" s="4">
        <f>N536/MAX(BA536,0.5)</f>
        <v/>
      </c>
      <c r="BC536" s="4">
        <f>F536</f>
        <v/>
      </c>
      <c r="BD536" s="3">
        <f>BC536&amp;"|"&amp;INT(M536/SEG_ANIO)*SEG_ANIO</f>
        <v/>
      </c>
      <c r="BE536" s="3">
        <f>BD536&amp;"|"&amp;INT(N536/SEG_KM)*SEG_KM</f>
        <v/>
      </c>
      <c r="BF536" s="4">
        <f>COUNTIF($BC$2:$BC$545,BC536)</f>
        <v/>
      </c>
      <c r="BG536" s="4">
        <f>COUNTIF($BD$2:$BD$545,BD536)</f>
        <v/>
      </c>
      <c r="BH536" s="4">
        <f>COUNTIF($BE$2:$BE$545,BE536)</f>
        <v/>
      </c>
      <c r="BI536" s="3">
        <f t="array" ref="BI536">IF(N(AU536)&gt;=MIN_N,AT536,IF(BH536&gt;=MIN_N,MEDIAN(IF($BE$2:$BE$545=BE536,$O$2:$O$545)),IF(BG536&gt;=MIN_N,MEDIAN(IF($BD$2:$BD$545=BD536,$O$2:$O$545)),MEDIAN(IF($BC$2:$BC$545=BC536,$O$2:$O$545)))))</f>
        <v/>
      </c>
      <c r="BJ536" s="3">
        <f>IF(N(AU536)&gt;=MIN_N,"mercado "&amp;AV536,IF(BH536&gt;=MIN_N,"modelo+año+km",IF(BG536&gt;=MIN_N,"modelo+año","modelo")))</f>
        <v/>
      </c>
      <c r="BK536" s="4">
        <f>(BI536-O536)/BI536</f>
        <v/>
      </c>
      <c r="BL536" s="3">
        <f>IF(COUNTIFS(FR_FUEL,K536,FR_YEAR,AP536)&gt;0,1,0)</f>
        <v/>
      </c>
      <c r="BM536" s="3">
        <f>IF(COUNTIFS(FR_FUEL,K536,FR_YEAR,AP536-1)&gt;0,1,0)</f>
        <v/>
      </c>
      <c r="BN536" s="4">
        <f>IF(N(AQ536)&gt;0,AP536*100+AQ536,IF(AND(BL536=1,BM536=1),(AP536-1)*100+1,AP536*100+1))</f>
        <v/>
      </c>
      <c r="BO536" s="3">
        <f>IF(OR(K536="hibrido",K536="glp",K536="gnc",K536="phev"),"ECO",IF(K536="electrico","CERO",IF(K536="gasolina",IF(BN536&gt;=GAS_C_YM,"C",IF(BN536&gt;=GAS_B_YM,"B","A")),IF(K536="diesel",IF(BN536&gt;=DIE_C_YM,"C",IF(BN536&gt;=DIE_B_YM,"B","A")),""))))</f>
        <v/>
      </c>
      <c r="BP536" s="4">
        <f>BO536</f>
        <v/>
      </c>
      <c r="BQ536" s="4">
        <f>IF(AS536="regla",IF(AND(N(AQ536)=0,BL536=1),"sí","no"),"no")</f>
        <v/>
      </c>
      <c r="BR536" s="3">
        <f>IFERROR(VLOOKUP(F536,MOD_TBL,11,0),IFERROR(VLOOKUP(E536,OCU_TBL,2,0),NEUTRO))</f>
        <v/>
      </c>
      <c r="BS536" s="3">
        <f>SUMIFS(MOT_AJUSTE,MOT_MOTOR,G536,MOT_MARCA,E536,MOT_DESDE,"&lt;="&amp;M536,MOT_HASTA,"&gt;="&amp;M536)+SUMIFS(MOT_AJUSTE,MOT_MOTOR,G536,MOT_MARCA,"(todas)",MOT_DESDE,"&lt;="&amp;M536,MOT_HASTA,"&gt;="&amp;M536)</f>
        <v/>
      </c>
      <c r="BT536" s="3">
        <f>SUMIFS(COMB_AJUSTE,COMB_COMB,K536)</f>
        <v/>
      </c>
      <c r="BU536" s="3">
        <f>COUNTIFS(MOT_MOTOR,G536,MOT_MARCA,E536,MOT_DESDE,"&lt;="&amp;M536,MOT_HASTA,"&gt;="&amp;M536)+COUNTIFS(MOT_MOTOR,G536,MOT_MARCA,"(todas)",MOT_DESDE,"&lt;="&amp;M536,MOT_HASTA,"&gt;="&amp;M536)</f>
        <v/>
      </c>
      <c r="BV536" s="3">
        <f>IF(AND(K536="diesel",BU536=0),MIN(BR536,NEUTRO),BR536)</f>
        <v/>
      </c>
      <c r="BW536" s="4">
        <f>MAX(0,MIN(100,BV536+BS536+BT536))</f>
        <v/>
      </c>
      <c r="BX536" s="3">
        <f>MAX(0,MIN(100,50+BK536*PRECIO_PEND))</f>
        <v/>
      </c>
      <c r="BY536" s="3">
        <f>MAX(0,100*(1-N536/KM_MAX))</f>
        <v/>
      </c>
      <c r="BZ536" s="3">
        <f>IF(BB536&lt;KMA_SOSP,IF(AA536="sí",100,KMA_PEN),IF(BB536&lt;=KMA_IDEAL_MAX,100,MAX(0,100*(KMA_CERO-BB536)/(KMA_CERO-KMA_IDEAL_MAX))))</f>
        <v/>
      </c>
      <c r="CA536" s="3">
        <f>MAX(0,MIN(100,100*(M536-ANIO_MIN)/(ANIO_ACTUAL-ANIO_MIN)))</f>
        <v/>
      </c>
      <c r="CB536" s="3">
        <f>W_KMT*BY536+W_KMA*BZ536+W_EDAD*CA536</f>
        <v/>
      </c>
      <c r="CC536" s="3">
        <f>P_ITV*(V536="sí")+P_LIBRO*(W536="sí")+P_CORREA*(X536="sí")+P_PROP*(Y536=1)+P_GAR*(Z536="sí")+P_FOTOS*MIN(1,N(U536)/FOTOS_OBJ)</f>
        <v/>
      </c>
      <c r="CD536" s="3">
        <f>MAX(0,MIN(100,IFERROR(VLOOKUP(BP536,ETQ_TBL,2,0),0)-IF(BQ536="sí",ETQ_PEN_DUD,IF(AS536="regla",ETQ_PEN_REGLA,0))))</f>
        <v/>
      </c>
      <c r="CE536" s="3">
        <f>NEUTRO</f>
        <v/>
      </c>
      <c r="CF536" s="3">
        <f>IFERROR(VLOOKUP(L536,SEGURO_TBL,3,0),"")</f>
        <v/>
      </c>
      <c r="CG536" s="3">
        <f>IF(CF536="",NEUTRO,MAX(0,MIN(100,100*(SEG_REF_MAX-CF536)/(SEG_REF_MAX-SEG_REF_MIN))))</f>
        <v/>
      </c>
      <c r="CH536" s="3">
        <f>W_CONS*CE536+W_SEG*CG536</f>
        <v/>
      </c>
      <c r="CI536" s="3">
        <f>IF(N(AB536)&gt;0,AB536,IF(AND(R536="profesional",SG_LEGAL_ON=1),GAR_LEGAL,0))</f>
        <v/>
      </c>
      <c r="CJ536" s="3">
        <f>SG_GAR*MIN(1,CI536/SG_GAR_FULL)+SG_AMPL*(AC536="sí")+SG_KMC*(AF536="sí")+SG_REV*(N(AE536)&gt;0)+SG_DEV*MIN(1,N(AG536)/SG_DEV_FULL)+SG_HIST*(W536="sí")</f>
        <v/>
      </c>
      <c r="CK536" s="3">
        <f>IFERROR(VLOOKUP(L536,CARR_PEN_TBL,2,0),0)</f>
        <v/>
      </c>
      <c r="CL536" s="3">
        <f>W_FIAB*BW536+W_PRECIO*BX536+W_KMEDAD*CB536+W_ANUNCIO*CC536+W_USO*CH536+W_SEGURIDAD*CJ536+W_ETIQUETA*CD536-CK536</f>
        <v/>
      </c>
      <c r="CM536" s="4">
        <f>IF(N(I536)&gt;0,I536,IFERROR(ROUND(_xlfn.NUMBERVALUE(LEFT(G536,FIND(" ",G536&amp;" ")-1),".")*1000,0),99999))</f>
        <v/>
      </c>
      <c r="CN536" s="3">
        <f>IF(R536="profesional",0,IF(O536&lt;CUOTA_VALOR_MAX,IF(BA536&gt;ITP_TRAMO_ALTO,SUMIFS(CF_CUOTA,CF_MAS,ITP_TRAMO_ALTO,CF_CCMIN,"&lt;="&amp;CM536,CF_CCMAX,"&gt;="&amp;CM536),IF(BA536&gt;ITP_TRAMO_BAJO,SUMIFS(CF_CUOTA,CF_MAS,ITP_TRAMO_BAJO,CF_CCMIN,"&lt;="&amp;CM536,CF_CCMAX,"&gt;="&amp;CM536),O536*ITP_TIPO)),O536*ITP_TIPO))</f>
        <v/>
      </c>
      <c r="CO536" s="4">
        <f>IF(R536="profesional",N(AK536),0)</f>
        <v/>
      </c>
      <c r="CP536" s="3">
        <f>IF(AND(R536="profesional",ISNUMBER(AK536),AL536="sí"),0,TASA_DGT)</f>
        <v/>
      </c>
      <c r="CQ536" s="3">
        <f>INFORME_DGT</f>
        <v/>
      </c>
      <c r="CR536" s="4">
        <f>O536+CO536+CN536+CP536+CQ536</f>
        <v/>
      </c>
      <c r="CS536" s="4">
        <f>CR536+N(CF536)</f>
        <v/>
      </c>
      <c r="CT536" s="3">
        <f>IF(CR536&lt;=TOTAL_MAX,"sí",IF(CR536&lt;=TOTAL_MAX+MARGEN_NEG,"negociar","no"))</f>
        <v/>
      </c>
      <c r="CU536" s="4">
        <f>IF(CT536&lt;&gt;"no",COUNTIFS($CT$2:$CT$545,"&lt;&gt;no",$CL$2:$CL$545,"&gt;"&amp;CL536)+COUNTIFS($CT$2:CT536,"&lt;&gt;no",$CL$2:CL536,CL536),"")</f>
        <v/>
      </c>
    </row>
    <row r="537">
      <c r="A537" s="2" t="inlineStr">
        <is>
          <t>cochesnet:71405848</t>
        </is>
      </c>
      <c r="B537" s="2" t="inlineStr">
        <is>
          <t>cochesnet</t>
        </is>
      </c>
      <c r="C537" s="2" t="inlineStr">
        <is>
          <t>https://www.coches.net/mini-mini-one-3p-gasolina-2011-en-castellon-71405848-covo.aspx</t>
        </is>
      </c>
      <c r="D537" s="2" t="inlineStr">
        <is>
          <t>MINI MINI One</t>
        </is>
      </c>
      <c r="E537" s="2" t="inlineStr">
        <is>
          <t>MINI</t>
        </is>
      </c>
      <c r="F537" s="2" t="inlineStr">
        <is>
          <t>MINI MINI</t>
        </is>
      </c>
      <c r="G537" s="2" t="n"/>
      <c r="H537" s="2" t="inlineStr">
        <is>
          <t>One</t>
        </is>
      </c>
      <c r="I537" s="2" t="n"/>
      <c r="J537" s="2" t="n"/>
      <c r="K537" s="2" t="inlineStr">
        <is>
          <t>gasolina</t>
        </is>
      </c>
      <c r="L537" s="2" t="inlineStr">
        <is>
          <t>utilitario</t>
        </is>
      </c>
      <c r="M537" s="2" t="n">
        <v>2011</v>
      </c>
      <c r="N537" s="2" t="n">
        <v>170000</v>
      </c>
      <c r="O537" s="2" t="n">
        <v>5000</v>
      </c>
      <c r="P537" s="2" t="inlineStr">
        <is>
          <t>manual</t>
        </is>
      </c>
      <c r="Q537" s="2" t="inlineStr">
        <is>
          <t>no</t>
        </is>
      </c>
      <c r="R537" s="2" t="inlineStr">
        <is>
          <t>particular</t>
        </is>
      </c>
      <c r="S537" s="2" t="inlineStr">
        <is>
          <t>La Vall d'Uixó</t>
        </is>
      </c>
      <c r="T537" s="2" t="inlineStr">
        <is>
          <t>2026-09-01T07:25:34Z</t>
        </is>
      </c>
      <c r="U537" s="2" t="n">
        <v>2</v>
      </c>
      <c r="V537" s="2" t="n"/>
      <c r="W537" s="2" t="n"/>
      <c r="X537" s="2" t="n"/>
      <c r="Y537" s="2" t="n"/>
      <c r="Z537" s="2" t="inlineStr">
        <is>
          <t>no</t>
        </is>
      </c>
      <c r="AA537" s="2" t="n"/>
      <c r="AB537" s="2" t="n"/>
      <c r="AC537" s="2" t="n"/>
      <c r="AD537" s="2" t="n"/>
      <c r="AE537" s="2" t="n"/>
      <c r="AF537" s="2" t="n"/>
      <c r="AG537" s="2" t="n"/>
      <c r="AH537" s="2" t="n">
        <v>5000</v>
      </c>
      <c r="AI537" s="2" t="n"/>
      <c r="AJ537" s="2" t="n"/>
      <c r="AK537" s="2" t="n"/>
      <c r="AL537" s="2" t="n"/>
      <c r="AM537" s="2" t="n">
        <v>41.5</v>
      </c>
      <c r="AN537" s="2" t="n"/>
      <c r="AO537" s="2" t="inlineStr">
        <is>
          <t>07/2011</t>
        </is>
      </c>
      <c r="AP537" s="2" t="n">
        <v>2011</v>
      </c>
      <c r="AQ537" s="2" t="n">
        <v>7</v>
      </c>
      <c r="AR537" s="2" t="n"/>
      <c r="AS537" s="2" t="inlineStr">
        <is>
          <t>regla</t>
        </is>
      </c>
      <c r="AT537" s="2" t="n">
        <v>7650</v>
      </c>
      <c r="AU537" s="2" t="n">
        <v>16</v>
      </c>
      <c r="AV537" s="2" t="inlineStr">
        <is>
          <t>modelo+año+km</t>
        </is>
      </c>
      <c r="AW537" s="2" t="n"/>
      <c r="AX537" s="2" t="inlineStr">
        <is>
          <t>por encima del presupuesto (5204 €), negociar; cilindrada desconocida: se aplica el tramo de cuota fija más alto; cuota fija ITP: &gt;12 años, más de 2.000 cc; fiabilidad del modelo PENDIENTE de fuente (puntuación neutra)</t>
        </is>
      </c>
      <c r="AY537" s="2" t="inlineStr"/>
      <c r="AZ537" s="2" t="inlineStr">
        <is>
          <t>https://www.coches.net/mini-mini-one-3p-gasolina-2011-en-castellon-71405848-covo.aspx (window.__INITIAL_PROPS__.ad) /home/user/Alopecia/buscador-coches/raw/cochesnet/cea6927167672808.json</t>
        </is>
      </c>
      <c r="BA537" s="3">
        <f>MAX(ANIO_ACTUAL-M537,0)</f>
        <v/>
      </c>
      <c r="BB537" s="4">
        <f>N537/MAX(BA537,0.5)</f>
        <v/>
      </c>
      <c r="BC537" s="4">
        <f>F537</f>
        <v/>
      </c>
      <c r="BD537" s="3">
        <f>BC537&amp;"|"&amp;INT(M537/SEG_ANIO)*SEG_ANIO</f>
        <v/>
      </c>
      <c r="BE537" s="3">
        <f>BD537&amp;"|"&amp;INT(N537/SEG_KM)*SEG_KM</f>
        <v/>
      </c>
      <c r="BF537" s="4">
        <f>COUNTIF($BC$2:$BC$545,BC537)</f>
        <v/>
      </c>
      <c r="BG537" s="4">
        <f>COUNTIF($BD$2:$BD$545,BD537)</f>
        <v/>
      </c>
      <c r="BH537" s="4">
        <f>COUNTIF($BE$2:$BE$545,BE537)</f>
        <v/>
      </c>
      <c r="BI537" s="3">
        <f t="array" ref="BI537">IF(N(AU537)&gt;=MIN_N,AT537,IF(BH537&gt;=MIN_N,MEDIAN(IF($BE$2:$BE$545=BE537,$O$2:$O$545)),IF(BG537&gt;=MIN_N,MEDIAN(IF($BD$2:$BD$545=BD537,$O$2:$O$545)),MEDIAN(IF($BC$2:$BC$545=BC537,$O$2:$O$545)))))</f>
        <v/>
      </c>
      <c r="BJ537" s="3">
        <f>IF(N(AU537)&gt;=MIN_N,"mercado "&amp;AV537,IF(BH537&gt;=MIN_N,"modelo+año+km",IF(BG537&gt;=MIN_N,"modelo+año","modelo")))</f>
        <v/>
      </c>
      <c r="BK537" s="4">
        <f>(BI537-O537)/BI537</f>
        <v/>
      </c>
      <c r="BL537" s="3">
        <f>IF(COUNTIFS(FR_FUEL,K537,FR_YEAR,AP537)&gt;0,1,0)</f>
        <v/>
      </c>
      <c r="BM537" s="3">
        <f>IF(COUNTIFS(FR_FUEL,K537,FR_YEAR,AP537-1)&gt;0,1,0)</f>
        <v/>
      </c>
      <c r="BN537" s="4">
        <f>IF(N(AQ537)&gt;0,AP537*100+AQ537,IF(AND(BL537=1,BM537=1),(AP537-1)*100+1,AP537*100+1))</f>
        <v/>
      </c>
      <c r="BO537" s="3">
        <f>IF(OR(K537="hibrido",K537="glp",K537="gnc",K537="phev"),"ECO",IF(K537="electrico","CERO",IF(K537="gasolina",IF(BN537&gt;=GAS_C_YM,"C",IF(BN537&gt;=GAS_B_YM,"B","A")),IF(K537="diesel",IF(BN537&gt;=DIE_C_YM,"C",IF(BN537&gt;=DIE_B_YM,"B","A")),""))))</f>
        <v/>
      </c>
      <c r="BP537" s="4">
        <f>BO537</f>
        <v/>
      </c>
      <c r="BQ537" s="4">
        <f>IF(AS537="regla",IF(AND(N(AQ537)=0,BL537=1),"sí","no"),"no")</f>
        <v/>
      </c>
      <c r="BR537" s="3">
        <f>IFERROR(VLOOKUP(F537,MOD_TBL,11,0),IFERROR(VLOOKUP(E537,OCU_TBL,2,0),NEUTRO))</f>
        <v/>
      </c>
      <c r="BS537" s="3">
        <f>SUMIFS(MOT_AJUSTE,MOT_MOTOR,G537,MOT_MARCA,E537,MOT_DESDE,"&lt;="&amp;M537,MOT_HASTA,"&gt;="&amp;M537)+SUMIFS(MOT_AJUSTE,MOT_MOTOR,G537,MOT_MARCA,"(todas)",MOT_DESDE,"&lt;="&amp;M537,MOT_HASTA,"&gt;="&amp;M537)</f>
        <v/>
      </c>
      <c r="BT537" s="3">
        <f>SUMIFS(COMB_AJUSTE,COMB_COMB,K537)</f>
        <v/>
      </c>
      <c r="BU537" s="3">
        <f>COUNTIFS(MOT_MOTOR,G537,MOT_MARCA,E537,MOT_DESDE,"&lt;="&amp;M537,MOT_HASTA,"&gt;="&amp;M537)+COUNTIFS(MOT_MOTOR,G537,MOT_MARCA,"(todas)",MOT_DESDE,"&lt;="&amp;M537,MOT_HASTA,"&gt;="&amp;M537)</f>
        <v/>
      </c>
      <c r="BV537" s="3">
        <f>IF(AND(K537="diesel",BU537=0),MIN(BR537,NEUTRO),BR537)</f>
        <v/>
      </c>
      <c r="BW537" s="4">
        <f>MAX(0,MIN(100,BV537+BS537+BT537))</f>
        <v/>
      </c>
      <c r="BX537" s="3">
        <f>MAX(0,MIN(100,50+BK537*PRECIO_PEND))</f>
        <v/>
      </c>
      <c r="BY537" s="3">
        <f>MAX(0,100*(1-N537/KM_MAX))</f>
        <v/>
      </c>
      <c r="BZ537" s="3">
        <f>IF(BB537&lt;KMA_SOSP,IF(AA537="sí",100,KMA_PEN),IF(BB537&lt;=KMA_IDEAL_MAX,100,MAX(0,100*(KMA_CERO-BB537)/(KMA_CERO-KMA_IDEAL_MAX))))</f>
        <v/>
      </c>
      <c r="CA537" s="3">
        <f>MAX(0,MIN(100,100*(M537-ANIO_MIN)/(ANIO_ACTUAL-ANIO_MIN)))</f>
        <v/>
      </c>
      <c r="CB537" s="3">
        <f>W_KMT*BY537+W_KMA*BZ537+W_EDAD*CA537</f>
        <v/>
      </c>
      <c r="CC537" s="3">
        <f>P_ITV*(V537="sí")+P_LIBRO*(W537="sí")+P_CORREA*(X537="sí")+P_PROP*(Y537=1)+P_GAR*(Z537="sí")+P_FOTOS*MIN(1,N(U537)/FOTOS_OBJ)</f>
        <v/>
      </c>
      <c r="CD537" s="3">
        <f>MAX(0,MIN(100,IFERROR(VLOOKUP(BP537,ETQ_TBL,2,0),0)-IF(BQ537="sí",ETQ_PEN_DUD,IF(AS537="regla",ETQ_PEN_REGLA,0))))</f>
        <v/>
      </c>
      <c r="CE537" s="3">
        <f>NEUTRO</f>
        <v/>
      </c>
      <c r="CF537" s="3">
        <f>IFERROR(VLOOKUP(L537,SEGURO_TBL,3,0),"")</f>
        <v/>
      </c>
      <c r="CG537" s="3">
        <f>IF(CF537="",NEUTRO,MAX(0,MIN(100,100*(SEG_REF_MAX-CF537)/(SEG_REF_MAX-SEG_REF_MIN))))</f>
        <v/>
      </c>
      <c r="CH537" s="3">
        <f>W_CONS*CE537+W_SEG*CG537</f>
        <v/>
      </c>
      <c r="CI537" s="3">
        <f>IF(N(AB537)&gt;0,AB537,IF(AND(R537="profesional",SG_LEGAL_ON=1),GAR_LEGAL,0))</f>
        <v/>
      </c>
      <c r="CJ537" s="3">
        <f>SG_GAR*MIN(1,CI537/SG_GAR_FULL)+SG_AMPL*(AC537="sí")+SG_KMC*(AF537="sí")+SG_REV*(N(AE537)&gt;0)+SG_DEV*MIN(1,N(AG537)/SG_DEV_FULL)+SG_HIST*(W537="sí")</f>
        <v/>
      </c>
      <c r="CK537" s="3">
        <f>IFERROR(VLOOKUP(L537,CARR_PEN_TBL,2,0),0)</f>
        <v/>
      </c>
      <c r="CL537" s="3">
        <f>W_FIAB*BW537+W_PRECIO*BX537+W_KMEDAD*CB537+W_ANUNCIO*CC537+W_USO*CH537+W_SEGURIDAD*CJ537+W_ETIQUETA*CD537-CK537</f>
        <v/>
      </c>
      <c r="CM537" s="4">
        <f>IF(N(I537)&gt;0,I537,IFERROR(ROUND(_xlfn.NUMBERVALUE(LEFT(G537,FIND(" ",G537&amp;" ")-1),".")*1000,0),99999))</f>
        <v/>
      </c>
      <c r="CN537" s="3">
        <f>IF(R537="profesional",0,IF(O537&lt;CUOTA_VALOR_MAX,IF(BA537&gt;ITP_TRAMO_ALTO,SUMIFS(CF_CUOTA,CF_MAS,ITP_TRAMO_ALTO,CF_CCMIN,"&lt;="&amp;CM537,CF_CCMAX,"&gt;="&amp;CM537),IF(BA537&gt;ITP_TRAMO_BAJO,SUMIFS(CF_CUOTA,CF_MAS,ITP_TRAMO_BAJO,CF_CCMIN,"&lt;="&amp;CM537,CF_CCMAX,"&gt;="&amp;CM537),O537*ITP_TIPO)),O537*ITP_TIPO))</f>
        <v/>
      </c>
      <c r="CO537" s="4">
        <f>IF(R537="profesional",N(AK537),0)</f>
        <v/>
      </c>
      <c r="CP537" s="3">
        <f>IF(AND(R537="profesional",ISNUMBER(AK537),AL537="sí"),0,TASA_DGT)</f>
        <v/>
      </c>
      <c r="CQ537" s="3">
        <f>INFORME_DGT</f>
        <v/>
      </c>
      <c r="CR537" s="4">
        <f>O537+CO537+CN537+CP537+CQ537</f>
        <v/>
      </c>
      <c r="CS537" s="4">
        <f>CR537+N(CF537)</f>
        <v/>
      </c>
      <c r="CT537" s="3">
        <f>IF(CR537&lt;=TOTAL_MAX,"sí",IF(CR537&lt;=TOTAL_MAX+MARGEN_NEG,"negociar","no"))</f>
        <v/>
      </c>
      <c r="CU537" s="4">
        <f>IF(CT537&lt;&gt;"no",COUNTIFS($CT$2:$CT$545,"&lt;&gt;no",$CL$2:$CL$545,"&gt;"&amp;CL537)+COUNTIFS($CT$2:CT537,"&lt;&gt;no",$CL$2:CL537,CL537),"")</f>
        <v/>
      </c>
    </row>
    <row r="538">
      <c r="A538" s="2" t="inlineStr">
        <is>
          <t>cochesnet:71354523</t>
        </is>
      </c>
      <c r="B538" s="2" t="inlineStr">
        <is>
          <t>cochesnet</t>
        </is>
      </c>
      <c r="C538" s="2" t="inlineStr">
        <is>
          <t>https://www.coches.net/mini-mini-one-d-3p-diesel-2006-en-castellon-71354523-covo.aspx</t>
        </is>
      </c>
      <c r="D538" s="2" t="inlineStr">
        <is>
          <t>MINI MINI One D</t>
        </is>
      </c>
      <c r="E538" s="2" t="inlineStr">
        <is>
          <t>MINI</t>
        </is>
      </c>
      <c r="F538" s="2" t="inlineStr">
        <is>
          <t>MINI MINI</t>
        </is>
      </c>
      <c r="G538" s="2" t="n"/>
      <c r="H538" s="2" t="inlineStr">
        <is>
          <t>One D</t>
        </is>
      </c>
      <c r="I538" s="2" t="n"/>
      <c r="J538" s="2" t="n"/>
      <c r="K538" s="2" t="inlineStr">
        <is>
          <t>diesel</t>
        </is>
      </c>
      <c r="L538" s="2" t="inlineStr">
        <is>
          <t>utilitario</t>
        </is>
      </c>
      <c r="M538" s="2" t="n">
        <v>2006</v>
      </c>
      <c r="N538" s="2" t="n">
        <v>186000</v>
      </c>
      <c r="O538" s="2" t="n">
        <v>4800</v>
      </c>
      <c r="P538" s="2" t="inlineStr">
        <is>
          <t>manual</t>
        </is>
      </c>
      <c r="Q538" s="2" t="inlineStr">
        <is>
          <t>no</t>
        </is>
      </c>
      <c r="R538" s="2" t="inlineStr">
        <is>
          <t>particular</t>
        </is>
      </c>
      <c r="S538" s="2" t="inlineStr">
        <is>
          <t>Castellón de la Plana / Castelló de la Plana</t>
        </is>
      </c>
      <c r="T538" s="2" t="inlineStr">
        <is>
          <t>2026-08-24T17:47:07Z</t>
        </is>
      </c>
      <c r="U538" s="2" t="n">
        <v>14</v>
      </c>
      <c r="V538" s="2" t="inlineStr">
        <is>
          <t>sí</t>
        </is>
      </c>
      <c r="W538" s="2" t="n"/>
      <c r="X538" s="2" t="n"/>
      <c r="Y538" s="2" t="n"/>
      <c r="Z538" s="2" t="inlineStr">
        <is>
          <t>no</t>
        </is>
      </c>
      <c r="AA538" s="2" t="n"/>
      <c r="AB538" s="2" t="n"/>
      <c r="AC538" s="2" t="n"/>
      <c r="AD538" s="2" t="n"/>
      <c r="AE538" s="2" t="n"/>
      <c r="AF538" s="2" t="n"/>
      <c r="AG538" s="2" t="n"/>
      <c r="AH538" s="2" t="n">
        <v>4800</v>
      </c>
      <c r="AI538" s="2" t="n"/>
      <c r="AJ538" s="2" t="n"/>
      <c r="AK538" s="2" t="n"/>
      <c r="AL538" s="2" t="n"/>
      <c r="AM538" s="2" t="n"/>
      <c r="AN538" s="2" t="n"/>
      <c r="AO538" s="2" t="inlineStr">
        <is>
          <t>2006</t>
        </is>
      </c>
      <c r="AP538" s="2" t="n">
        <v>2006</v>
      </c>
      <c r="AQ538" s="2" t="n"/>
      <c r="AR538" s="2" t="inlineStr">
        <is>
          <t>B</t>
        </is>
      </c>
      <c r="AS538" s="2" t="inlineStr">
        <is>
          <t>anuncio</t>
        </is>
      </c>
      <c r="AT538" s="2" t="n">
        <v>4650</v>
      </c>
      <c r="AU538" s="2" t="n">
        <v>6</v>
      </c>
      <c r="AV538" s="2" t="inlineStr">
        <is>
          <t>modelo+año+km</t>
        </is>
      </c>
      <c r="AW538" s="2" t="n"/>
      <c r="AX538" s="2" t="inlineStr">
        <is>
          <t>por encima del presupuesto (5004 €),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538" s="2" t="inlineStr">
        <is>
          <t xml:space="preserve">Mini ONE 1.4D con cadena de distribución (no correa).
Potencia: 90CV (con el fiable motor Toyota).
ITV válida hasta abril 2027.
Revisión recién hecha (cambio aceite y filtros).
Gas aire acondicionado recién cargado.
Alternador original sustituido hace 2 años.
Siempre en garaje.
No fumador.
</t>
        </is>
      </c>
      <c r="AZ538" s="2" t="inlineStr">
        <is>
          <t>https://www.coches.net/mini-mini-one-d-3p-diesel-2006-en-castellon-71354523-covo.aspx (window.__INITIAL_PROPS__.ad) /home/user/Alopecia/buscador-coches/raw/cochesnet/cca003172561416e.json</t>
        </is>
      </c>
      <c r="BA538" s="3">
        <f>MAX(ANIO_ACTUAL-M538,0)</f>
        <v/>
      </c>
      <c r="BB538" s="4">
        <f>N538/MAX(BA538,0.5)</f>
        <v/>
      </c>
      <c r="BC538" s="4">
        <f>F538</f>
        <v/>
      </c>
      <c r="BD538" s="3">
        <f>BC538&amp;"|"&amp;INT(M538/SEG_ANIO)*SEG_ANIO</f>
        <v/>
      </c>
      <c r="BE538" s="3">
        <f>BD538&amp;"|"&amp;INT(N538/SEG_KM)*SEG_KM</f>
        <v/>
      </c>
      <c r="BF538" s="4">
        <f>COUNTIF($BC$2:$BC$545,BC538)</f>
        <v/>
      </c>
      <c r="BG538" s="4">
        <f>COUNTIF($BD$2:$BD$545,BD538)</f>
        <v/>
      </c>
      <c r="BH538" s="4">
        <f>COUNTIF($BE$2:$BE$545,BE538)</f>
        <v/>
      </c>
      <c r="BI538" s="3">
        <f t="array" ref="BI538">IF(N(AU538)&gt;=MIN_N,AT538,IF(BH538&gt;=MIN_N,MEDIAN(IF($BE$2:$BE$545=BE538,$O$2:$O$545)),IF(BG538&gt;=MIN_N,MEDIAN(IF($BD$2:$BD$545=BD538,$O$2:$O$545)),MEDIAN(IF($BC$2:$BC$545=BC538,$O$2:$O$545)))))</f>
        <v/>
      </c>
      <c r="BJ538" s="3">
        <f>IF(N(AU538)&gt;=MIN_N,"mercado "&amp;AV538,IF(BH538&gt;=MIN_N,"modelo+año+km",IF(BG538&gt;=MIN_N,"modelo+año","modelo")))</f>
        <v/>
      </c>
      <c r="BK538" s="4">
        <f>(BI538-O538)/BI538</f>
        <v/>
      </c>
      <c r="BL538" s="3">
        <f>IF(COUNTIFS(FR_FUEL,K538,FR_YEAR,AP538)&gt;0,1,0)</f>
        <v/>
      </c>
      <c r="BM538" s="3">
        <f>IF(COUNTIFS(FR_FUEL,K538,FR_YEAR,AP538-1)&gt;0,1,0)</f>
        <v/>
      </c>
      <c r="BN538" s="4">
        <f>IF(N(AQ538)&gt;0,AP538*100+AQ538,IF(AND(BL538=1,BM538=1),(AP538-1)*100+1,AP538*100+1))</f>
        <v/>
      </c>
      <c r="BO538" s="3">
        <f>IF(OR(K538="hibrido",K538="glp",K538="gnc",K538="phev"),"ECO",IF(K538="electrico","CERO",IF(K538="gasolina",IF(BN538&gt;=GAS_C_YM,"C",IF(BN538&gt;=GAS_B_YM,"B","A")),IF(K538="diesel",IF(BN538&gt;=DIE_C_YM,"C",IF(BN538&gt;=DIE_B_YM,"B","A")),""))))</f>
        <v/>
      </c>
      <c r="BP538" s="2" t="inlineStr">
        <is>
          <t>B</t>
        </is>
      </c>
      <c r="BQ538" s="4">
        <f>IF(AS538="regla",IF(AND(N(AQ538)=0,BL538=1),"sí","no"),"no")</f>
        <v/>
      </c>
      <c r="BR538" s="3">
        <f>IFERROR(VLOOKUP(F538,MOD_TBL,11,0),IFERROR(VLOOKUP(E538,OCU_TBL,2,0),NEUTRO))</f>
        <v/>
      </c>
      <c r="BS538" s="3">
        <f>SUMIFS(MOT_AJUSTE,MOT_MOTOR,G538,MOT_MARCA,E538,MOT_DESDE,"&lt;="&amp;M538,MOT_HASTA,"&gt;="&amp;M538)+SUMIFS(MOT_AJUSTE,MOT_MOTOR,G538,MOT_MARCA,"(todas)",MOT_DESDE,"&lt;="&amp;M538,MOT_HASTA,"&gt;="&amp;M538)</f>
        <v/>
      </c>
      <c r="BT538" s="3">
        <f>SUMIFS(COMB_AJUSTE,COMB_COMB,K538)</f>
        <v/>
      </c>
      <c r="BU538" s="3">
        <f>COUNTIFS(MOT_MOTOR,G538,MOT_MARCA,E538,MOT_DESDE,"&lt;="&amp;M538,MOT_HASTA,"&gt;="&amp;M538)+COUNTIFS(MOT_MOTOR,G538,MOT_MARCA,"(todas)",MOT_DESDE,"&lt;="&amp;M538,MOT_HASTA,"&gt;="&amp;M538)</f>
        <v/>
      </c>
      <c r="BV538" s="3">
        <f>IF(AND(K538="diesel",BU538=0),MIN(BR538,NEUTRO),BR538)</f>
        <v/>
      </c>
      <c r="BW538" s="4">
        <f>MAX(0,MIN(100,BV538+BS538+BT538))</f>
        <v/>
      </c>
      <c r="BX538" s="3">
        <f>MAX(0,MIN(100,50+BK538*PRECIO_PEND))</f>
        <v/>
      </c>
      <c r="BY538" s="3">
        <f>MAX(0,100*(1-N538/KM_MAX))</f>
        <v/>
      </c>
      <c r="BZ538" s="3">
        <f>IF(BB538&lt;KMA_SOSP,IF(AA538="sí",100,KMA_PEN),IF(BB538&lt;=KMA_IDEAL_MAX,100,MAX(0,100*(KMA_CERO-BB538)/(KMA_CERO-KMA_IDEAL_MAX))))</f>
        <v/>
      </c>
      <c r="CA538" s="3">
        <f>MAX(0,MIN(100,100*(M538-ANIO_MIN)/(ANIO_ACTUAL-ANIO_MIN)))</f>
        <v/>
      </c>
      <c r="CB538" s="3">
        <f>W_KMT*BY538+W_KMA*BZ538+W_EDAD*CA538</f>
        <v/>
      </c>
      <c r="CC538" s="3">
        <f>P_ITV*(V538="sí")+P_LIBRO*(W538="sí")+P_CORREA*(X538="sí")+P_PROP*(Y538=1)+P_GAR*(Z538="sí")+P_FOTOS*MIN(1,N(U538)/FOTOS_OBJ)</f>
        <v/>
      </c>
      <c r="CD538" s="3">
        <f>MAX(0,MIN(100,IFERROR(VLOOKUP(BP538,ETQ_TBL,2,0),0)-IF(BQ538="sí",ETQ_PEN_DUD,IF(AS538="regla",ETQ_PEN_REGLA,0))))</f>
        <v/>
      </c>
      <c r="CE538" s="3">
        <f>NEUTRO</f>
        <v/>
      </c>
      <c r="CF538" s="3">
        <f>IFERROR(VLOOKUP(L538,SEGURO_TBL,3,0),"")</f>
        <v/>
      </c>
      <c r="CG538" s="3">
        <f>IF(CF538="",NEUTRO,MAX(0,MIN(100,100*(SEG_REF_MAX-CF538)/(SEG_REF_MAX-SEG_REF_MIN))))</f>
        <v/>
      </c>
      <c r="CH538" s="3">
        <f>W_CONS*CE538+W_SEG*CG538</f>
        <v/>
      </c>
      <c r="CI538" s="3">
        <f>IF(N(AB538)&gt;0,AB538,IF(AND(R538="profesional",SG_LEGAL_ON=1),GAR_LEGAL,0))</f>
        <v/>
      </c>
      <c r="CJ538" s="3">
        <f>SG_GAR*MIN(1,CI538/SG_GAR_FULL)+SG_AMPL*(AC538="sí")+SG_KMC*(AF538="sí")+SG_REV*(N(AE538)&gt;0)+SG_DEV*MIN(1,N(AG538)/SG_DEV_FULL)+SG_HIST*(W538="sí")</f>
        <v/>
      </c>
      <c r="CK538" s="3">
        <f>IFERROR(VLOOKUP(L538,CARR_PEN_TBL,2,0),0)</f>
        <v/>
      </c>
      <c r="CL538" s="3">
        <f>W_FIAB*BW538+W_PRECIO*BX538+W_KMEDAD*CB538+W_ANUNCIO*CC538+W_USO*CH538+W_SEGURIDAD*CJ538+W_ETIQUETA*CD538-CK538</f>
        <v/>
      </c>
      <c r="CM538" s="4">
        <f>IF(N(I538)&gt;0,I538,IFERROR(ROUND(_xlfn.NUMBERVALUE(LEFT(G538,FIND(" ",G538&amp;" ")-1),".")*1000,0),99999))</f>
        <v/>
      </c>
      <c r="CN538" s="3">
        <f>IF(R538="profesional",0,IF(O538&lt;CUOTA_VALOR_MAX,IF(BA538&gt;ITP_TRAMO_ALTO,SUMIFS(CF_CUOTA,CF_MAS,ITP_TRAMO_ALTO,CF_CCMIN,"&lt;="&amp;CM538,CF_CCMAX,"&gt;="&amp;CM538),IF(BA538&gt;ITP_TRAMO_BAJO,SUMIFS(CF_CUOTA,CF_MAS,ITP_TRAMO_BAJO,CF_CCMIN,"&lt;="&amp;CM538,CF_CCMAX,"&gt;="&amp;CM538),O538*ITP_TIPO)),O538*ITP_TIPO))</f>
        <v/>
      </c>
      <c r="CO538" s="4">
        <f>IF(R538="profesional",N(AK538),0)</f>
        <v/>
      </c>
      <c r="CP538" s="3">
        <f>IF(AND(R538="profesional",ISNUMBER(AK538),AL538="sí"),0,TASA_DGT)</f>
        <v/>
      </c>
      <c r="CQ538" s="3">
        <f>INFORME_DGT</f>
        <v/>
      </c>
      <c r="CR538" s="4">
        <f>O538+CO538+CN538+CP538+CQ538</f>
        <v/>
      </c>
      <c r="CS538" s="4">
        <f>CR538+N(CF538)</f>
        <v/>
      </c>
      <c r="CT538" s="3">
        <f>IF(CR538&lt;=TOTAL_MAX,"sí",IF(CR538&lt;=TOTAL_MAX+MARGEN_NEG,"negociar","no"))</f>
        <v/>
      </c>
      <c r="CU538" s="4">
        <f>IF(CT538&lt;&gt;"no",COUNTIFS($CT$2:$CT$545,"&lt;&gt;no",$CL$2:$CL$545,"&gt;"&amp;CL538)+COUNTIFS($CT$2:CT538,"&lt;&gt;no",$CL$2:CL538,CL538),"")</f>
        <v/>
      </c>
    </row>
    <row r="539">
      <c r="A539" s="2" t="inlineStr">
        <is>
          <t>cochesnet:70558216</t>
        </is>
      </c>
      <c r="B539" s="2" t="inlineStr">
        <is>
          <t>cochesnet</t>
        </is>
      </c>
      <c r="C539" s="2" t="inlineStr">
        <is>
          <t>https://www.coches.net/smart-forfour-15-cdi-68cv-pure-5p-diesel-2006-en-castellon-70558216-covo.aspx</t>
        </is>
      </c>
      <c r="D539" s="2" t="inlineStr">
        <is>
          <t>SMART forfour 1.5 cdi pure</t>
        </is>
      </c>
      <c r="E539" s="2" t="inlineStr">
        <is>
          <t>smart</t>
        </is>
      </c>
      <c r="F539" s="2" t="inlineStr">
        <is>
          <t>smart forfour</t>
        </is>
      </c>
      <c r="G539" s="2" t="inlineStr">
        <is>
          <t>1.5</t>
        </is>
      </c>
      <c r="H539" s="2" t="inlineStr">
        <is>
          <t>1.5 cdi 68cv pure</t>
        </is>
      </c>
      <c r="I539" s="2" t="n"/>
      <c r="J539" s="2" t="n">
        <v>68</v>
      </c>
      <c r="K539" s="2" t="inlineStr">
        <is>
          <t>diesel</t>
        </is>
      </c>
      <c r="L539" s="2" t="inlineStr">
        <is>
          <t>utilitario</t>
        </is>
      </c>
      <c r="M539" s="2" t="n">
        <v>2006</v>
      </c>
      <c r="N539" s="2" t="n">
        <v>130000</v>
      </c>
      <c r="O539" s="2" t="n">
        <v>3500</v>
      </c>
      <c r="P539" s="2" t="inlineStr">
        <is>
          <t>manual</t>
        </is>
      </c>
      <c r="Q539" s="2" t="inlineStr">
        <is>
          <t>no</t>
        </is>
      </c>
      <c r="R539" s="2" t="inlineStr">
        <is>
          <t>profesional</t>
        </is>
      </c>
      <c r="S539" s="2" t="inlineStr">
        <is>
          <t>Andrés Cars Castellón de la Plana / Castelló de la Plana</t>
        </is>
      </c>
      <c r="T539" s="2" t="inlineStr">
        <is>
          <t>2026-10-29T22:05:48Z</t>
        </is>
      </c>
      <c r="U539" s="2" t="n">
        <v>43</v>
      </c>
      <c r="V539" s="2" t="n"/>
      <c r="W539" s="2" t="n"/>
      <c r="X539" s="2" t="n"/>
      <c r="Y539" s="2" t="n"/>
      <c r="Z539" s="2" t="inlineStr">
        <is>
          <t>sí</t>
        </is>
      </c>
      <c r="AA539" s="2" t="n"/>
      <c r="AB539" s="2" t="n">
        <v>12</v>
      </c>
      <c r="AC539" s="2" t="n"/>
      <c r="AD539" s="2" t="n"/>
      <c r="AE539" s="2" t="n"/>
      <c r="AF539" s="2" t="n"/>
      <c r="AG539" s="2" t="n"/>
      <c r="AH539" s="2" t="n">
        <v>3500</v>
      </c>
      <c r="AI539" s="2" t="n"/>
      <c r="AJ539" s="2" t="n"/>
      <c r="AK539" s="2" t="n"/>
      <c r="AL539" s="2" t="n"/>
      <c r="AM539" s="2" t="n"/>
      <c r="AN539" s="2" t="n"/>
      <c r="AO539" s="2" t="inlineStr">
        <is>
          <t>2006</t>
        </is>
      </c>
      <c r="AP539" s="2" t="n">
        <v>2006</v>
      </c>
      <c r="AQ539" s="2" t="n"/>
      <c r="AR539" s="2" t="inlineStr">
        <is>
          <t>B</t>
        </is>
      </c>
      <c r="AS539" s="2" t="inlineStr">
        <is>
          <t>anuncio</t>
        </is>
      </c>
      <c r="AT539" s="2" t="n">
        <v>2500</v>
      </c>
      <c r="AU539" s="2" t="n">
        <v>11</v>
      </c>
      <c r="AV539" s="2" t="inlineStr">
        <is>
          <t>modelo+año</t>
        </is>
      </c>
      <c r="AW539" s="2" t="n"/>
      <c r="AX539"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 fiabilidad del modelo PENDIENTE de fuente (puntuación neutra)</t>
        </is>
      </c>
      <c r="AY539" s="2" t="inlineStr">
        <is>
          <t xml:space="preserve">Etiqueta medio ambiental B.
SMART FORFOUR  5 PUERTAS 68 CV .
Lleva motor mercedes con distribución por cadena.
Consumo muy bajo de un 4,2 litros a los 100 kilometros.
Como extras lleva:aire acondicionado, cierre centralizado, elevalunas,abs,esp, ordenador al bordo.....
Admitió prueba de taller.
Precio no negociable.
Cambio de nombre aparte 150 euros.
1 AÑO DE GARANTIA.
Anuncio  con titulo informativo y no contractual.
</t>
        </is>
      </c>
      <c r="AZ539" s="2" t="inlineStr">
        <is>
          <t>https://www.coches.net/smart-forfour-15-cdi-68cv-pure-5p-diesel-2006-en-castellon-70558216-covo.aspx (window.__INITIAL_PROPS__.ad) /home/user/Alopecia/buscador-coches/raw/cochesnet/cf1538095842b0d8.json</t>
        </is>
      </c>
      <c r="BA539" s="3">
        <f>MAX(ANIO_ACTUAL-M539,0)</f>
        <v/>
      </c>
      <c r="BB539" s="4">
        <f>N539/MAX(BA539,0.5)</f>
        <v/>
      </c>
      <c r="BC539" s="4">
        <f>F539</f>
        <v/>
      </c>
      <c r="BD539" s="3">
        <f>BC539&amp;"|"&amp;INT(M539/SEG_ANIO)*SEG_ANIO</f>
        <v/>
      </c>
      <c r="BE539" s="3">
        <f>BD539&amp;"|"&amp;INT(N539/SEG_KM)*SEG_KM</f>
        <v/>
      </c>
      <c r="BF539" s="4">
        <f>COUNTIF($BC$2:$BC$545,BC539)</f>
        <v/>
      </c>
      <c r="BG539" s="4">
        <f>COUNTIF($BD$2:$BD$545,BD539)</f>
        <v/>
      </c>
      <c r="BH539" s="4">
        <f>COUNTIF($BE$2:$BE$545,BE539)</f>
        <v/>
      </c>
      <c r="BI539" s="3">
        <f t="array" ref="BI539">IF(N(AU539)&gt;=MIN_N,AT539,IF(BH539&gt;=MIN_N,MEDIAN(IF($BE$2:$BE$545=BE539,$O$2:$O$545)),IF(BG539&gt;=MIN_N,MEDIAN(IF($BD$2:$BD$545=BD539,$O$2:$O$545)),MEDIAN(IF($BC$2:$BC$545=BC539,$O$2:$O$545)))))</f>
        <v/>
      </c>
      <c r="BJ539" s="3">
        <f>IF(N(AU539)&gt;=MIN_N,"mercado "&amp;AV539,IF(BH539&gt;=MIN_N,"modelo+año+km",IF(BG539&gt;=MIN_N,"modelo+año","modelo")))</f>
        <v/>
      </c>
      <c r="BK539" s="4">
        <f>(BI539-O539)/BI539</f>
        <v/>
      </c>
      <c r="BL539" s="3">
        <f>IF(COUNTIFS(FR_FUEL,K539,FR_YEAR,AP539)&gt;0,1,0)</f>
        <v/>
      </c>
      <c r="BM539" s="3">
        <f>IF(COUNTIFS(FR_FUEL,K539,FR_YEAR,AP539-1)&gt;0,1,0)</f>
        <v/>
      </c>
      <c r="BN539" s="4">
        <f>IF(N(AQ539)&gt;0,AP539*100+AQ539,IF(AND(BL539=1,BM539=1),(AP539-1)*100+1,AP539*100+1))</f>
        <v/>
      </c>
      <c r="BO539" s="3">
        <f>IF(OR(K539="hibrido",K539="glp",K539="gnc",K539="phev"),"ECO",IF(K539="electrico","CERO",IF(K539="gasolina",IF(BN539&gt;=GAS_C_YM,"C",IF(BN539&gt;=GAS_B_YM,"B","A")),IF(K539="diesel",IF(BN539&gt;=DIE_C_YM,"C",IF(BN539&gt;=DIE_B_YM,"B","A")),""))))</f>
        <v/>
      </c>
      <c r="BP539" s="2" t="inlineStr">
        <is>
          <t>B</t>
        </is>
      </c>
      <c r="BQ539" s="4">
        <f>IF(AS539="regla",IF(AND(N(AQ539)=0,BL539=1),"sí","no"),"no")</f>
        <v/>
      </c>
      <c r="BR539" s="3">
        <f>IFERROR(VLOOKUP(F539,MOD_TBL,11,0),IFERROR(VLOOKUP(E539,OCU_TBL,2,0),NEUTRO))</f>
        <v/>
      </c>
      <c r="BS539" s="3">
        <f>SUMIFS(MOT_AJUSTE,MOT_MOTOR,G539,MOT_MARCA,E539,MOT_DESDE,"&lt;="&amp;M539,MOT_HASTA,"&gt;="&amp;M539)+SUMIFS(MOT_AJUSTE,MOT_MOTOR,G539,MOT_MARCA,"(todas)",MOT_DESDE,"&lt;="&amp;M539,MOT_HASTA,"&gt;="&amp;M539)</f>
        <v/>
      </c>
      <c r="BT539" s="3">
        <f>SUMIFS(COMB_AJUSTE,COMB_COMB,K539)</f>
        <v/>
      </c>
      <c r="BU539" s="3">
        <f>COUNTIFS(MOT_MOTOR,G539,MOT_MARCA,E539,MOT_DESDE,"&lt;="&amp;M539,MOT_HASTA,"&gt;="&amp;M539)+COUNTIFS(MOT_MOTOR,G539,MOT_MARCA,"(todas)",MOT_DESDE,"&lt;="&amp;M539,MOT_HASTA,"&gt;="&amp;M539)</f>
        <v/>
      </c>
      <c r="BV539" s="3">
        <f>IF(AND(K539="diesel",BU539=0),MIN(BR539,NEUTRO),BR539)</f>
        <v/>
      </c>
      <c r="BW539" s="4">
        <f>MAX(0,MIN(100,BV539+BS539+BT539))</f>
        <v/>
      </c>
      <c r="BX539" s="3">
        <f>MAX(0,MIN(100,50+BK539*PRECIO_PEND))</f>
        <v/>
      </c>
      <c r="BY539" s="3">
        <f>MAX(0,100*(1-N539/KM_MAX))</f>
        <v/>
      </c>
      <c r="BZ539" s="3">
        <f>IF(BB539&lt;KMA_SOSP,IF(AA539="sí",100,KMA_PEN),IF(BB539&lt;=KMA_IDEAL_MAX,100,MAX(0,100*(KMA_CERO-BB539)/(KMA_CERO-KMA_IDEAL_MAX))))</f>
        <v/>
      </c>
      <c r="CA539" s="3">
        <f>MAX(0,MIN(100,100*(M539-ANIO_MIN)/(ANIO_ACTUAL-ANIO_MIN)))</f>
        <v/>
      </c>
      <c r="CB539" s="3">
        <f>W_KMT*BY539+W_KMA*BZ539+W_EDAD*CA539</f>
        <v/>
      </c>
      <c r="CC539" s="3">
        <f>P_ITV*(V539="sí")+P_LIBRO*(W539="sí")+P_CORREA*(X539="sí")+P_PROP*(Y539=1)+P_GAR*(Z539="sí")+P_FOTOS*MIN(1,N(U539)/FOTOS_OBJ)</f>
        <v/>
      </c>
      <c r="CD539" s="3">
        <f>MAX(0,MIN(100,IFERROR(VLOOKUP(BP539,ETQ_TBL,2,0),0)-IF(BQ539="sí",ETQ_PEN_DUD,IF(AS539="regla",ETQ_PEN_REGLA,0))))</f>
        <v/>
      </c>
      <c r="CE539" s="3">
        <f>NEUTRO</f>
        <v/>
      </c>
      <c r="CF539" s="3">
        <f>IFERROR(VLOOKUP(L539,SEGURO_TBL,3,0),"")</f>
        <v/>
      </c>
      <c r="CG539" s="3">
        <f>IF(CF539="",NEUTRO,MAX(0,MIN(100,100*(SEG_REF_MAX-CF539)/(SEG_REF_MAX-SEG_REF_MIN))))</f>
        <v/>
      </c>
      <c r="CH539" s="3">
        <f>W_CONS*CE539+W_SEG*CG539</f>
        <v/>
      </c>
      <c r="CI539" s="3">
        <f>IF(N(AB539)&gt;0,AB539,IF(AND(R539="profesional",SG_LEGAL_ON=1),GAR_LEGAL,0))</f>
        <v/>
      </c>
      <c r="CJ539" s="3">
        <f>SG_GAR*MIN(1,CI539/SG_GAR_FULL)+SG_AMPL*(AC539="sí")+SG_KMC*(AF539="sí")+SG_REV*(N(AE539)&gt;0)+SG_DEV*MIN(1,N(AG539)/SG_DEV_FULL)+SG_HIST*(W539="sí")</f>
        <v/>
      </c>
      <c r="CK539" s="3">
        <f>IFERROR(VLOOKUP(L539,CARR_PEN_TBL,2,0),0)</f>
        <v/>
      </c>
      <c r="CL539" s="3">
        <f>W_FIAB*BW539+W_PRECIO*BX539+W_KMEDAD*CB539+W_ANUNCIO*CC539+W_USO*CH539+W_SEGURIDAD*CJ539+W_ETIQUETA*CD539-CK539</f>
        <v/>
      </c>
      <c r="CM539" s="4">
        <f>IF(N(I539)&gt;0,I539,IFERROR(ROUND(_xlfn.NUMBERVALUE(LEFT(G539,FIND(" ",G539&amp;" ")-1),".")*1000,0),99999))</f>
        <v/>
      </c>
      <c r="CN539" s="3">
        <f>IF(R539="profesional",0,IF(O539&lt;CUOTA_VALOR_MAX,IF(BA539&gt;ITP_TRAMO_ALTO,SUMIFS(CF_CUOTA,CF_MAS,ITP_TRAMO_ALTO,CF_CCMIN,"&lt;="&amp;CM539,CF_CCMAX,"&gt;="&amp;CM539),IF(BA539&gt;ITP_TRAMO_BAJO,SUMIFS(CF_CUOTA,CF_MAS,ITP_TRAMO_BAJO,CF_CCMIN,"&lt;="&amp;CM539,CF_CCMAX,"&gt;="&amp;CM539),O539*ITP_TIPO)),O539*ITP_TIPO))</f>
        <v/>
      </c>
      <c r="CO539" s="4">
        <f>IF(R539="profesional",N(AK539),0)</f>
        <v/>
      </c>
      <c r="CP539" s="3">
        <f>IF(AND(R539="profesional",ISNUMBER(AK539),AL539="sí"),0,TASA_DGT)</f>
        <v/>
      </c>
      <c r="CQ539" s="3">
        <f>INFORME_DGT</f>
        <v/>
      </c>
      <c r="CR539" s="4">
        <f>O539+CO539+CN539+CP539+CQ539</f>
        <v/>
      </c>
      <c r="CS539" s="4">
        <f>CR539+N(CF539)</f>
        <v/>
      </c>
      <c r="CT539" s="3">
        <f>IF(CR539&lt;=TOTAL_MAX,"sí",IF(CR539&lt;=TOTAL_MAX+MARGEN_NEG,"negociar","no"))</f>
        <v/>
      </c>
      <c r="CU539" s="4">
        <f>IF(CT539&lt;&gt;"no",COUNTIFS($CT$2:$CT$545,"&lt;&gt;no",$CL$2:$CL$545,"&gt;"&amp;CL539)+COUNTIFS($CT$2:CT539,"&lt;&gt;no",$CL$2:CL539,CL539),"")</f>
        <v/>
      </c>
    </row>
    <row r="540">
      <c r="A540" s="2" t="inlineStr">
        <is>
          <t>cochesnet:71789822</t>
        </is>
      </c>
      <c r="B540" s="2" t="inlineStr">
        <is>
          <t>cochesnet</t>
        </is>
      </c>
      <c r="C540" s="2" t="inlineStr">
        <is>
          <t>https://www.coches.net/chevrolet-aveo-12-16v-ls-5p-gasolina-2011-en-castellon-71789822-covo.aspx</t>
        </is>
      </c>
      <c r="D540" s="2" t="inlineStr">
        <is>
          <t>CHEVROLET Aveo 1.2 16v LS</t>
        </is>
      </c>
      <c r="E540" s="2" t="inlineStr">
        <is>
          <t>Chevrolet</t>
        </is>
      </c>
      <c r="F540" s="2" t="inlineStr">
        <is>
          <t>Chevrolet Aveo</t>
        </is>
      </c>
      <c r="G540" s="2" t="inlineStr">
        <is>
          <t>1.2</t>
        </is>
      </c>
      <c r="H540" s="2" t="inlineStr">
        <is>
          <t>1.2 16v LS</t>
        </is>
      </c>
      <c r="I540" s="2" t="n"/>
      <c r="J540" s="2" t="n"/>
      <c r="K540" s="2" t="inlineStr">
        <is>
          <t>gasolina</t>
        </is>
      </c>
      <c r="L540" s="2" t="inlineStr">
        <is>
          <t>utilitario</t>
        </is>
      </c>
      <c r="M540" s="2" t="n">
        <v>2011</v>
      </c>
      <c r="N540" s="2" t="n">
        <v>80000</v>
      </c>
      <c r="O540" s="2" t="n">
        <v>5100</v>
      </c>
      <c r="P540" s="2" t="inlineStr">
        <is>
          <t>manual</t>
        </is>
      </c>
      <c r="Q540" s="2" t="inlineStr">
        <is>
          <t>no</t>
        </is>
      </c>
      <c r="R540" s="2" t="inlineStr">
        <is>
          <t>profesional</t>
        </is>
      </c>
      <c r="S540" s="2" t="inlineStr">
        <is>
          <t>Zapra Motor Almazora / Almassora</t>
        </is>
      </c>
      <c r="T540" s="2" t="inlineStr">
        <is>
          <t>2026-10-20T12:46:17Z</t>
        </is>
      </c>
      <c r="U540" s="2" t="n">
        <v>17</v>
      </c>
      <c r="V540" s="2" t="n"/>
      <c r="W540" s="2" t="n"/>
      <c r="X540" s="2" t="n"/>
      <c r="Y540" s="2" t="n"/>
      <c r="Z540" s="2" t="inlineStr">
        <is>
          <t>sí</t>
        </is>
      </c>
      <c r="AA540" s="2" t="n"/>
      <c r="AB540" s="2" t="n">
        <v>12</v>
      </c>
      <c r="AC540" s="2" t="n"/>
      <c r="AD540" s="2" t="n"/>
      <c r="AE540" s="2" t="n"/>
      <c r="AF540" s="2" t="n"/>
      <c r="AG540" s="2" t="n"/>
      <c r="AH540" s="2" t="n">
        <v>5100</v>
      </c>
      <c r="AI540" s="2" t="n">
        <v>5100</v>
      </c>
      <c r="AJ540" s="2" t="n"/>
      <c r="AK540" s="2" t="n"/>
      <c r="AL540" s="2" t="n"/>
      <c r="AM540" s="2" t="n"/>
      <c r="AN540" s="2" t="n"/>
      <c r="AO540" s="2" t="inlineStr">
        <is>
          <t>2011</t>
        </is>
      </c>
      <c r="AP540" s="2" t="n">
        <v>2011</v>
      </c>
      <c r="AQ540" s="2" t="n"/>
      <c r="AR540" s="2" t="inlineStr">
        <is>
          <t>C</t>
        </is>
      </c>
      <c r="AS540" s="2" t="inlineStr">
        <is>
          <t>anuncio</t>
        </is>
      </c>
      <c r="AT540" s="2" t="n">
        <v>4990</v>
      </c>
      <c r="AU540" s="2" t="n">
        <v>5</v>
      </c>
      <c r="AV540" s="2" t="inlineStr">
        <is>
          <t>modelo+año+km</t>
        </is>
      </c>
      <c r="AW540" s="2" t="n"/>
      <c r="AX540" s="2" t="inlineStr">
        <is>
          <t>por encima del presupuesto (5164 €), negociar;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40" s="2" t="inlineStr">
        <is>
          <t xml:space="preserve">CAMBIO DE NOMBRE 200€
CAMARA DE VISION TRASERA
AIRE ACONDICIONADO
DIRECCION ASISTIDA
CIERRE CENTRALIZADO
Este Chevrolet Aveo se presenta como un berlina compacta de cinco puertas con tracción delantera, equipado con un motor de 1.2 litros de gasolina que ofrece un comportamiento ágil en ciudad gracias a su tamaño contenido y su dirección asistida. Con 84 CV de potencia y cambio manual de cinco marchas, proporciona una conducción directa y controlable, especialmente apropiada para quienes valoran la simplicidad mecánica y el manejo intuitivo.
El espacio interior resulta funcional para el uso diario, con capacidad para cinco ocupantes y un maletero de 220 litros que se amplía a 980 litros con los asientos traseros plegados, permitiendo una versatilidad razonable en desplazamientos cotidianos y viajes ocasionales. Los asientos traseros disponen de respaldo abatible asimétrico, facilitando la combinación entre pasajeros y carga.
En materia de seguridad, este vehículo incorpora airbags frontales y laterales delanteros, cinturones de seguridad con pretensores en los asientos delanteros y preparación Isofix para sistemas de retención infantil. El sistema de frenado combina discos ventilados delanteros con ABS, proporcionando una buena capacidad de detención.
El equipamiento de confort incluye cierre centralizado con mando a distancia, elevalunas eléctricos delanteros, retrovisores exteriores eléctricos y desempañables, dirección asistida y volante regulable en altura. El sistema </t>
        </is>
      </c>
      <c r="AZ540" s="2" t="inlineStr">
        <is>
          <t>https://www.coches.net/chevrolet-aveo-12-16v-ls-5p-gasolina-2011-en-castellon-71789822-covo.aspx (window.__INITIAL_PROPS__.ad) /home/user/Alopecia/buscador-coches/raw/cochesnet/2ae76fad9ca2d05b.json</t>
        </is>
      </c>
      <c r="BA540" s="3">
        <f>MAX(ANIO_ACTUAL-M540,0)</f>
        <v/>
      </c>
      <c r="BB540" s="4">
        <f>N540/MAX(BA540,0.5)</f>
        <v/>
      </c>
      <c r="BC540" s="4">
        <f>F540</f>
        <v/>
      </c>
      <c r="BD540" s="3">
        <f>BC540&amp;"|"&amp;INT(M540/SEG_ANIO)*SEG_ANIO</f>
        <v/>
      </c>
      <c r="BE540" s="3">
        <f>BD540&amp;"|"&amp;INT(N540/SEG_KM)*SEG_KM</f>
        <v/>
      </c>
      <c r="BF540" s="4">
        <f>COUNTIF($BC$2:$BC$545,BC540)</f>
        <v/>
      </c>
      <c r="BG540" s="4">
        <f>COUNTIF($BD$2:$BD$545,BD540)</f>
        <v/>
      </c>
      <c r="BH540" s="4">
        <f>COUNTIF($BE$2:$BE$545,BE540)</f>
        <v/>
      </c>
      <c r="BI540" s="3">
        <f t="array" ref="BI540">IF(N(AU540)&gt;=MIN_N,AT540,IF(BH540&gt;=MIN_N,MEDIAN(IF($BE$2:$BE$545=BE540,$O$2:$O$545)),IF(BG540&gt;=MIN_N,MEDIAN(IF($BD$2:$BD$545=BD540,$O$2:$O$545)),MEDIAN(IF($BC$2:$BC$545=BC540,$O$2:$O$545)))))</f>
        <v/>
      </c>
      <c r="BJ540" s="3">
        <f>IF(N(AU540)&gt;=MIN_N,"mercado "&amp;AV540,IF(BH540&gt;=MIN_N,"modelo+año+km",IF(BG540&gt;=MIN_N,"modelo+año","modelo")))</f>
        <v/>
      </c>
      <c r="BK540" s="4">
        <f>(BI540-O540)/BI540</f>
        <v/>
      </c>
      <c r="BL540" s="3">
        <f>IF(COUNTIFS(FR_FUEL,K540,FR_YEAR,AP540)&gt;0,1,0)</f>
        <v/>
      </c>
      <c r="BM540" s="3">
        <f>IF(COUNTIFS(FR_FUEL,K540,FR_YEAR,AP540-1)&gt;0,1,0)</f>
        <v/>
      </c>
      <c r="BN540" s="4">
        <f>IF(N(AQ540)&gt;0,AP540*100+AQ540,IF(AND(BL540=1,BM540=1),(AP540-1)*100+1,AP540*100+1))</f>
        <v/>
      </c>
      <c r="BO540" s="3">
        <f>IF(OR(K540="hibrido",K540="glp",K540="gnc",K540="phev"),"ECO",IF(K540="electrico","CERO",IF(K540="gasolina",IF(BN540&gt;=GAS_C_YM,"C",IF(BN540&gt;=GAS_B_YM,"B","A")),IF(K540="diesel",IF(BN540&gt;=DIE_C_YM,"C",IF(BN540&gt;=DIE_B_YM,"B","A")),""))))</f>
        <v/>
      </c>
      <c r="BP540" s="2" t="inlineStr">
        <is>
          <t>C</t>
        </is>
      </c>
      <c r="BQ540" s="4">
        <f>IF(AS540="regla",IF(AND(N(AQ540)=0,BL540=1),"sí","no"),"no")</f>
        <v/>
      </c>
      <c r="BR540" s="3">
        <f>IFERROR(VLOOKUP(F540,MOD_TBL,11,0),IFERROR(VLOOKUP(E540,OCU_TBL,2,0),NEUTRO))</f>
        <v/>
      </c>
      <c r="BS540" s="3">
        <f>SUMIFS(MOT_AJUSTE,MOT_MOTOR,G540,MOT_MARCA,E540,MOT_DESDE,"&lt;="&amp;M540,MOT_HASTA,"&gt;="&amp;M540)+SUMIFS(MOT_AJUSTE,MOT_MOTOR,G540,MOT_MARCA,"(todas)",MOT_DESDE,"&lt;="&amp;M540,MOT_HASTA,"&gt;="&amp;M540)</f>
        <v/>
      </c>
      <c r="BT540" s="3">
        <f>SUMIFS(COMB_AJUSTE,COMB_COMB,K540)</f>
        <v/>
      </c>
      <c r="BU540" s="3">
        <f>COUNTIFS(MOT_MOTOR,G540,MOT_MARCA,E540,MOT_DESDE,"&lt;="&amp;M540,MOT_HASTA,"&gt;="&amp;M540)+COUNTIFS(MOT_MOTOR,G540,MOT_MARCA,"(todas)",MOT_DESDE,"&lt;="&amp;M540,MOT_HASTA,"&gt;="&amp;M540)</f>
        <v/>
      </c>
      <c r="BV540" s="3">
        <f>IF(AND(K540="diesel",BU540=0),MIN(BR540,NEUTRO),BR540)</f>
        <v/>
      </c>
      <c r="BW540" s="4">
        <f>MAX(0,MIN(100,BV540+BS540+BT540))</f>
        <v/>
      </c>
      <c r="BX540" s="3">
        <f>MAX(0,MIN(100,50+BK540*PRECIO_PEND))</f>
        <v/>
      </c>
      <c r="BY540" s="3">
        <f>MAX(0,100*(1-N540/KM_MAX))</f>
        <v/>
      </c>
      <c r="BZ540" s="3">
        <f>IF(BB540&lt;KMA_SOSP,IF(AA540="sí",100,KMA_PEN),IF(BB540&lt;=KMA_IDEAL_MAX,100,MAX(0,100*(KMA_CERO-BB540)/(KMA_CERO-KMA_IDEAL_MAX))))</f>
        <v/>
      </c>
      <c r="CA540" s="3">
        <f>MAX(0,MIN(100,100*(M540-ANIO_MIN)/(ANIO_ACTUAL-ANIO_MIN)))</f>
        <v/>
      </c>
      <c r="CB540" s="3">
        <f>W_KMT*BY540+W_KMA*BZ540+W_EDAD*CA540</f>
        <v/>
      </c>
      <c r="CC540" s="3">
        <f>P_ITV*(V540="sí")+P_LIBRO*(W540="sí")+P_CORREA*(X540="sí")+P_PROP*(Y540=1)+P_GAR*(Z540="sí")+P_FOTOS*MIN(1,N(U540)/FOTOS_OBJ)</f>
        <v/>
      </c>
      <c r="CD540" s="3">
        <f>MAX(0,MIN(100,IFERROR(VLOOKUP(BP540,ETQ_TBL,2,0),0)-IF(BQ540="sí",ETQ_PEN_DUD,IF(AS540="regla",ETQ_PEN_REGLA,0))))</f>
        <v/>
      </c>
      <c r="CE540" s="3">
        <f>NEUTRO</f>
        <v/>
      </c>
      <c r="CF540" s="3">
        <f>IFERROR(VLOOKUP(L540,SEGURO_TBL,3,0),"")</f>
        <v/>
      </c>
      <c r="CG540" s="3">
        <f>IF(CF540="",NEUTRO,MAX(0,MIN(100,100*(SEG_REF_MAX-CF540)/(SEG_REF_MAX-SEG_REF_MIN))))</f>
        <v/>
      </c>
      <c r="CH540" s="3">
        <f>W_CONS*CE540+W_SEG*CG540</f>
        <v/>
      </c>
      <c r="CI540" s="3">
        <f>IF(N(AB540)&gt;0,AB540,IF(AND(R540="profesional",SG_LEGAL_ON=1),GAR_LEGAL,0))</f>
        <v/>
      </c>
      <c r="CJ540" s="3">
        <f>SG_GAR*MIN(1,CI540/SG_GAR_FULL)+SG_AMPL*(AC540="sí")+SG_KMC*(AF540="sí")+SG_REV*(N(AE540)&gt;0)+SG_DEV*MIN(1,N(AG540)/SG_DEV_FULL)+SG_HIST*(W540="sí")</f>
        <v/>
      </c>
      <c r="CK540" s="3">
        <f>IFERROR(VLOOKUP(L540,CARR_PEN_TBL,2,0),0)</f>
        <v/>
      </c>
      <c r="CL540" s="3">
        <f>W_FIAB*BW540+W_PRECIO*BX540+W_KMEDAD*CB540+W_ANUNCIO*CC540+W_USO*CH540+W_SEGURIDAD*CJ540+W_ETIQUETA*CD540-CK540</f>
        <v/>
      </c>
      <c r="CM540" s="4">
        <f>IF(N(I540)&gt;0,I540,IFERROR(ROUND(_xlfn.NUMBERVALUE(LEFT(G540,FIND(" ",G540&amp;" ")-1),".")*1000,0),99999))</f>
        <v/>
      </c>
      <c r="CN540" s="3">
        <f>IF(R540="profesional",0,IF(O540&lt;CUOTA_VALOR_MAX,IF(BA540&gt;ITP_TRAMO_ALTO,SUMIFS(CF_CUOTA,CF_MAS,ITP_TRAMO_ALTO,CF_CCMIN,"&lt;="&amp;CM540,CF_CCMAX,"&gt;="&amp;CM540),IF(BA540&gt;ITP_TRAMO_BAJO,SUMIFS(CF_CUOTA,CF_MAS,ITP_TRAMO_BAJO,CF_CCMIN,"&lt;="&amp;CM540,CF_CCMAX,"&gt;="&amp;CM540),O540*ITP_TIPO)),O540*ITP_TIPO))</f>
        <v/>
      </c>
      <c r="CO540" s="4">
        <f>IF(R540="profesional",N(AK540),0)</f>
        <v/>
      </c>
      <c r="CP540" s="3">
        <f>IF(AND(R540="profesional",ISNUMBER(AK540),AL540="sí"),0,TASA_DGT)</f>
        <v/>
      </c>
      <c r="CQ540" s="3">
        <f>INFORME_DGT</f>
        <v/>
      </c>
      <c r="CR540" s="4">
        <f>O540+CO540+CN540+CP540+CQ540</f>
        <v/>
      </c>
      <c r="CS540" s="4">
        <f>CR540+N(CF540)</f>
        <v/>
      </c>
      <c r="CT540" s="3">
        <f>IF(CR540&lt;=TOTAL_MAX,"sí",IF(CR540&lt;=TOTAL_MAX+MARGEN_NEG,"negociar","no"))</f>
        <v/>
      </c>
      <c r="CU540" s="4">
        <f>IF(CT540&lt;&gt;"no",COUNTIFS($CT$2:$CT$545,"&lt;&gt;no",$CL$2:$CL$545,"&gt;"&amp;CL540)+COUNTIFS($CT$2:CT540,"&lt;&gt;no",$CL$2:CL540,CL540),"")</f>
        <v/>
      </c>
    </row>
    <row r="541">
      <c r="A541" s="2" t="inlineStr">
        <is>
          <t>cochesnet:71686041</t>
        </is>
      </c>
      <c r="B541" s="2" t="inlineStr">
        <is>
          <t>cochesnet</t>
        </is>
      </c>
      <c r="C541" s="2" t="inlineStr">
        <is>
          <t>https://www.coches.net/chevrolet-matiz-10-s-5p-gasolina-2006-en-castellon-71686041-covo.aspx</t>
        </is>
      </c>
      <c r="D541" s="2" t="inlineStr">
        <is>
          <t>CHEVROLET Matiz 1.0 S</t>
        </is>
      </c>
      <c r="E541" s="2" t="inlineStr">
        <is>
          <t>Chevrolet</t>
        </is>
      </c>
      <c r="F541" s="2" t="inlineStr">
        <is>
          <t>Chevrolet Matiz</t>
        </is>
      </c>
      <c r="G541" s="2" t="inlineStr">
        <is>
          <t>1.0</t>
        </is>
      </c>
      <c r="H541" s="2" t="inlineStr">
        <is>
          <t>1.0 S</t>
        </is>
      </c>
      <c r="I541" s="2" t="n"/>
      <c r="J541" s="2" t="n"/>
      <c r="K541" s="2" t="inlineStr">
        <is>
          <t>gasolina</t>
        </is>
      </c>
      <c r="L541" s="2" t="inlineStr">
        <is>
          <t>utilitario</t>
        </is>
      </c>
      <c r="M541" s="2" t="n">
        <v>2006</v>
      </c>
      <c r="N541" s="2" t="n">
        <v>61400</v>
      </c>
      <c r="O541" s="2" t="n">
        <v>3750</v>
      </c>
      <c r="P541" s="2" t="inlineStr">
        <is>
          <t>manual</t>
        </is>
      </c>
      <c r="Q541" s="2" t="inlineStr">
        <is>
          <t>no</t>
        </is>
      </c>
      <c r="R541" s="2" t="inlineStr">
        <is>
          <t>profesional</t>
        </is>
      </c>
      <c r="S541" s="2" t="inlineStr">
        <is>
          <t>Andrés Cars Castellón de la Plana / Castelló de la Plana</t>
        </is>
      </c>
      <c r="T541" s="2" t="inlineStr">
        <is>
          <t>2026-10-06T14:49:48Z</t>
        </is>
      </c>
      <c r="U541" s="2" t="n">
        <v>44</v>
      </c>
      <c r="V541" s="2" t="n"/>
      <c r="W541" s="2" t="n"/>
      <c r="X541" s="2" t="n"/>
      <c r="Y541" s="2" t="n"/>
      <c r="Z541" s="2" t="inlineStr">
        <is>
          <t>sí</t>
        </is>
      </c>
      <c r="AA541" s="2" t="n"/>
      <c r="AB541" s="2" t="n">
        <v>12</v>
      </c>
      <c r="AC541" s="2" t="n"/>
      <c r="AD541" s="2" t="n"/>
      <c r="AE541" s="2" t="n"/>
      <c r="AF541" s="2" t="n"/>
      <c r="AG541" s="2" t="n"/>
      <c r="AH541" s="2" t="n">
        <v>3750</v>
      </c>
      <c r="AI541" s="2" t="n"/>
      <c r="AJ541" s="2" t="n"/>
      <c r="AK541" s="2" t="n"/>
      <c r="AL541" s="2" t="n"/>
      <c r="AM541" s="2" t="n"/>
      <c r="AN541" s="2" t="n"/>
      <c r="AO541" s="2" t="inlineStr">
        <is>
          <t>2006</t>
        </is>
      </c>
      <c r="AP541" s="2" t="n">
        <v>2006</v>
      </c>
      <c r="AQ541" s="2" t="n"/>
      <c r="AR541" s="2" t="inlineStr">
        <is>
          <t>B</t>
        </is>
      </c>
      <c r="AS541" s="2" t="inlineStr">
        <is>
          <t>anuncio</t>
        </is>
      </c>
      <c r="AT541" s="2" t="n"/>
      <c r="AU541" s="2" t="n"/>
      <c r="AV541" s="2" t="n"/>
      <c r="AW541" s="2" t="n"/>
      <c r="AX541"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41" s="2" t="inlineStr">
        <is>
          <t xml:space="preserve">      ----- POCOS KILÓMETROS ----
      Etiqueta medio ambiental B.
   Vehículo nacional con muy pocos kilómetros , ideal para la ciudad  , de dia a dia por su tamaño pequeño y el consumo reducido 4,5 por % .
  Vehículo en perfecto estado , con las 4 ruedas al 90 % ,prácticamente un reestreno de vehículo.
Lleva motor 1,0 con 65 CV de potencia.
Itv y documentación al dia.
No hay que hacerle nada.
Admitió prueba de taller.
Precio NO negociable.
Cambio de nombre aparte 150 euros.
Puedo recibir vehículo como forma de pago .
</t>
        </is>
      </c>
      <c r="AZ541" s="2" t="inlineStr">
        <is>
          <t>https://www.coches.net/chevrolet-matiz-10-s-5p-gasolina-2006-en-castellon-71686041-covo.aspx (window.__INITIAL_PROPS__.ad) /home/user/Alopecia/buscador-coches/raw/cochesnet/aa809b0e3f8323da.json</t>
        </is>
      </c>
      <c r="BA541" s="3">
        <f>MAX(ANIO_ACTUAL-M541,0)</f>
        <v/>
      </c>
      <c r="BB541" s="4">
        <f>N541/MAX(BA541,0.5)</f>
        <v/>
      </c>
      <c r="BC541" s="4">
        <f>F541</f>
        <v/>
      </c>
      <c r="BD541" s="3">
        <f>BC541&amp;"|"&amp;INT(M541/SEG_ANIO)*SEG_ANIO</f>
        <v/>
      </c>
      <c r="BE541" s="3">
        <f>BD541&amp;"|"&amp;INT(N541/SEG_KM)*SEG_KM</f>
        <v/>
      </c>
      <c r="BF541" s="4">
        <f>COUNTIF($BC$2:$BC$545,BC541)</f>
        <v/>
      </c>
      <c r="BG541" s="4">
        <f>COUNTIF($BD$2:$BD$545,BD541)</f>
        <v/>
      </c>
      <c r="BH541" s="4">
        <f>COUNTIF($BE$2:$BE$545,BE541)</f>
        <v/>
      </c>
      <c r="BI541" s="3">
        <f t="array" ref="BI541">IF(N(AU541)&gt;=MIN_N,AT541,IF(BH541&gt;=MIN_N,MEDIAN(IF($BE$2:$BE$545=BE541,$O$2:$O$545)),IF(BG541&gt;=MIN_N,MEDIAN(IF($BD$2:$BD$545=BD541,$O$2:$O$545)),MEDIAN(IF($BC$2:$BC$545=BC541,$O$2:$O$545)))))</f>
        <v/>
      </c>
      <c r="BJ541" s="3">
        <f>IF(N(AU541)&gt;=MIN_N,"mercado "&amp;AV541,IF(BH541&gt;=MIN_N,"modelo+año+km",IF(BG541&gt;=MIN_N,"modelo+año","modelo")))</f>
        <v/>
      </c>
      <c r="BK541" s="4">
        <f>(BI541-O541)/BI541</f>
        <v/>
      </c>
      <c r="BL541" s="3">
        <f>IF(COUNTIFS(FR_FUEL,K541,FR_YEAR,AP541)&gt;0,1,0)</f>
        <v/>
      </c>
      <c r="BM541" s="3">
        <f>IF(COUNTIFS(FR_FUEL,K541,FR_YEAR,AP541-1)&gt;0,1,0)</f>
        <v/>
      </c>
      <c r="BN541" s="4">
        <f>IF(N(AQ541)&gt;0,AP541*100+AQ541,IF(AND(BL541=1,BM541=1),(AP541-1)*100+1,AP541*100+1))</f>
        <v/>
      </c>
      <c r="BO541" s="3">
        <f>IF(OR(K541="hibrido",K541="glp",K541="gnc",K541="phev"),"ECO",IF(K541="electrico","CERO",IF(K541="gasolina",IF(BN541&gt;=GAS_C_YM,"C",IF(BN541&gt;=GAS_B_YM,"B","A")),IF(K541="diesel",IF(BN541&gt;=DIE_C_YM,"C",IF(BN541&gt;=DIE_B_YM,"B","A")),""))))</f>
        <v/>
      </c>
      <c r="BP541" s="2" t="inlineStr">
        <is>
          <t>B</t>
        </is>
      </c>
      <c r="BQ541" s="4">
        <f>IF(AS541="regla",IF(AND(N(AQ541)=0,BL541=1),"sí","no"),"no")</f>
        <v/>
      </c>
      <c r="BR541" s="3">
        <f>IFERROR(VLOOKUP(F541,MOD_TBL,11,0),IFERROR(VLOOKUP(E541,OCU_TBL,2,0),NEUTRO))</f>
        <v/>
      </c>
      <c r="BS541" s="3">
        <f>SUMIFS(MOT_AJUSTE,MOT_MOTOR,G541,MOT_MARCA,E541,MOT_DESDE,"&lt;="&amp;M541,MOT_HASTA,"&gt;="&amp;M541)+SUMIFS(MOT_AJUSTE,MOT_MOTOR,G541,MOT_MARCA,"(todas)",MOT_DESDE,"&lt;="&amp;M541,MOT_HASTA,"&gt;="&amp;M541)</f>
        <v/>
      </c>
      <c r="BT541" s="3">
        <f>SUMIFS(COMB_AJUSTE,COMB_COMB,K541)</f>
        <v/>
      </c>
      <c r="BU541" s="3">
        <f>COUNTIFS(MOT_MOTOR,G541,MOT_MARCA,E541,MOT_DESDE,"&lt;="&amp;M541,MOT_HASTA,"&gt;="&amp;M541)+COUNTIFS(MOT_MOTOR,G541,MOT_MARCA,"(todas)",MOT_DESDE,"&lt;="&amp;M541,MOT_HASTA,"&gt;="&amp;M541)</f>
        <v/>
      </c>
      <c r="BV541" s="3">
        <f>IF(AND(K541="diesel",BU541=0),MIN(BR541,NEUTRO),BR541)</f>
        <v/>
      </c>
      <c r="BW541" s="4">
        <f>MAX(0,MIN(100,BV541+BS541+BT541))</f>
        <v/>
      </c>
      <c r="BX541" s="3">
        <f>MAX(0,MIN(100,50+BK541*PRECIO_PEND))</f>
        <v/>
      </c>
      <c r="BY541" s="3">
        <f>MAX(0,100*(1-N541/KM_MAX))</f>
        <v/>
      </c>
      <c r="BZ541" s="3">
        <f>IF(BB541&lt;KMA_SOSP,IF(AA541="sí",100,KMA_PEN),IF(BB541&lt;=KMA_IDEAL_MAX,100,MAX(0,100*(KMA_CERO-BB541)/(KMA_CERO-KMA_IDEAL_MAX))))</f>
        <v/>
      </c>
      <c r="CA541" s="3">
        <f>MAX(0,MIN(100,100*(M541-ANIO_MIN)/(ANIO_ACTUAL-ANIO_MIN)))</f>
        <v/>
      </c>
      <c r="CB541" s="3">
        <f>W_KMT*BY541+W_KMA*BZ541+W_EDAD*CA541</f>
        <v/>
      </c>
      <c r="CC541" s="3">
        <f>P_ITV*(V541="sí")+P_LIBRO*(W541="sí")+P_CORREA*(X541="sí")+P_PROP*(Y541=1)+P_GAR*(Z541="sí")+P_FOTOS*MIN(1,N(U541)/FOTOS_OBJ)</f>
        <v/>
      </c>
      <c r="CD541" s="3">
        <f>MAX(0,MIN(100,IFERROR(VLOOKUP(BP541,ETQ_TBL,2,0),0)-IF(BQ541="sí",ETQ_PEN_DUD,IF(AS541="regla",ETQ_PEN_REGLA,0))))</f>
        <v/>
      </c>
      <c r="CE541" s="3">
        <f>NEUTRO</f>
        <v/>
      </c>
      <c r="CF541" s="3">
        <f>IFERROR(VLOOKUP(L541,SEGURO_TBL,3,0),"")</f>
        <v/>
      </c>
      <c r="CG541" s="3">
        <f>IF(CF541="",NEUTRO,MAX(0,MIN(100,100*(SEG_REF_MAX-CF541)/(SEG_REF_MAX-SEG_REF_MIN))))</f>
        <v/>
      </c>
      <c r="CH541" s="3">
        <f>W_CONS*CE541+W_SEG*CG541</f>
        <v/>
      </c>
      <c r="CI541" s="3">
        <f>IF(N(AB541)&gt;0,AB541,IF(AND(R541="profesional",SG_LEGAL_ON=1),GAR_LEGAL,0))</f>
        <v/>
      </c>
      <c r="CJ541" s="3">
        <f>SG_GAR*MIN(1,CI541/SG_GAR_FULL)+SG_AMPL*(AC541="sí")+SG_KMC*(AF541="sí")+SG_REV*(N(AE541)&gt;0)+SG_DEV*MIN(1,N(AG541)/SG_DEV_FULL)+SG_HIST*(W541="sí")</f>
        <v/>
      </c>
      <c r="CK541" s="3">
        <f>IFERROR(VLOOKUP(L541,CARR_PEN_TBL,2,0),0)</f>
        <v/>
      </c>
      <c r="CL541" s="3">
        <f>W_FIAB*BW541+W_PRECIO*BX541+W_KMEDAD*CB541+W_ANUNCIO*CC541+W_USO*CH541+W_SEGURIDAD*CJ541+W_ETIQUETA*CD541-CK541</f>
        <v/>
      </c>
      <c r="CM541" s="4">
        <f>IF(N(I541)&gt;0,I541,IFERROR(ROUND(_xlfn.NUMBERVALUE(LEFT(G541,FIND(" ",G541&amp;" ")-1),".")*1000,0),99999))</f>
        <v/>
      </c>
      <c r="CN541" s="3">
        <f>IF(R541="profesional",0,IF(O541&lt;CUOTA_VALOR_MAX,IF(BA541&gt;ITP_TRAMO_ALTO,SUMIFS(CF_CUOTA,CF_MAS,ITP_TRAMO_ALTO,CF_CCMIN,"&lt;="&amp;CM541,CF_CCMAX,"&gt;="&amp;CM541),IF(BA541&gt;ITP_TRAMO_BAJO,SUMIFS(CF_CUOTA,CF_MAS,ITP_TRAMO_BAJO,CF_CCMIN,"&lt;="&amp;CM541,CF_CCMAX,"&gt;="&amp;CM541),O541*ITP_TIPO)),O541*ITP_TIPO))</f>
        <v/>
      </c>
      <c r="CO541" s="4">
        <f>IF(R541="profesional",N(AK541),0)</f>
        <v/>
      </c>
      <c r="CP541" s="3">
        <f>IF(AND(R541="profesional",ISNUMBER(AK541),AL541="sí"),0,TASA_DGT)</f>
        <v/>
      </c>
      <c r="CQ541" s="3">
        <f>INFORME_DGT</f>
        <v/>
      </c>
      <c r="CR541" s="4">
        <f>O541+CO541+CN541+CP541+CQ541</f>
        <v/>
      </c>
      <c r="CS541" s="4">
        <f>CR541+N(CF541)</f>
        <v/>
      </c>
      <c r="CT541" s="3">
        <f>IF(CR541&lt;=TOTAL_MAX,"sí",IF(CR541&lt;=TOTAL_MAX+MARGEN_NEG,"negociar","no"))</f>
        <v/>
      </c>
      <c r="CU541" s="4">
        <f>IF(CT541&lt;&gt;"no",COUNTIFS($CT$2:$CT$545,"&lt;&gt;no",$CL$2:$CL$545,"&gt;"&amp;CL541)+COUNTIFS($CT$2:CT541,"&lt;&gt;no",$CL$2:CL541,CL541),"")</f>
        <v/>
      </c>
    </row>
    <row r="542">
      <c r="A542" s="2" t="inlineStr">
        <is>
          <t>cochesnet:71555558</t>
        </is>
      </c>
      <c r="B542" s="2" t="inlineStr">
        <is>
          <t>cochesnet</t>
        </is>
      </c>
      <c r="C542" s="2" t="inlineStr">
        <is>
          <t>https://www.coches.net/chevrolet-kalos-gasolina-2008-en-castellon-71555558-covo.aspx</t>
        </is>
      </c>
      <c r="D542" s="2" t="inlineStr">
        <is>
          <t>CHEVROLET Kalos</t>
        </is>
      </c>
      <c r="E542" s="2" t="inlineStr">
        <is>
          <t>Chevrolet</t>
        </is>
      </c>
      <c r="F542" s="2" t="inlineStr">
        <is>
          <t>Chevrolet Kalos</t>
        </is>
      </c>
      <c r="G542" s="2" t="n"/>
      <c r="H542" s="2" t="n"/>
      <c r="I542" s="2" t="n"/>
      <c r="J542" s="2" t="n"/>
      <c r="K542" s="2" t="inlineStr">
        <is>
          <t>gasolina</t>
        </is>
      </c>
      <c r="L542" s="2" t="inlineStr">
        <is>
          <t>utilitario</t>
        </is>
      </c>
      <c r="M542" s="2" t="n">
        <v>2008</v>
      </c>
      <c r="N542" s="2" t="n">
        <v>202316</v>
      </c>
      <c r="O542" s="2" t="n">
        <v>2500</v>
      </c>
      <c r="P542" s="2" t="inlineStr">
        <is>
          <t>manual</t>
        </is>
      </c>
      <c r="Q542" s="2" t="inlineStr">
        <is>
          <t>no</t>
        </is>
      </c>
      <c r="R542" s="2" t="inlineStr">
        <is>
          <t>particular</t>
        </is>
      </c>
      <c r="S542" s="2" t="inlineStr">
        <is>
          <t>Castellón de la Plana / Castelló de la Plana</t>
        </is>
      </c>
      <c r="T542" s="2" t="inlineStr">
        <is>
          <t>2026-09-20T10:10:09Z</t>
        </is>
      </c>
      <c r="U542" s="2" t="n">
        <v>9</v>
      </c>
      <c r="V542" s="2" t="n"/>
      <c r="W542" s="2" t="n"/>
      <c r="X542" s="2" t="n"/>
      <c r="Y542" s="2" t="n"/>
      <c r="Z542" s="2" t="inlineStr">
        <is>
          <t>no</t>
        </is>
      </c>
      <c r="AA542" s="2" t="n"/>
      <c r="AB542" s="2" t="n"/>
      <c r="AC542" s="2" t="n"/>
      <c r="AD542" s="2" t="n"/>
      <c r="AE542" s="2" t="n"/>
      <c r="AF542" s="2" t="n"/>
      <c r="AG542" s="2" t="n"/>
      <c r="AH542" s="2" t="n">
        <v>2500</v>
      </c>
      <c r="AI542" s="2" t="n"/>
      <c r="AJ542" s="2" t="n"/>
      <c r="AK542" s="2" t="n"/>
      <c r="AL542" s="2" t="n"/>
      <c r="AM542" s="2" t="n"/>
      <c r="AN542" s="2" t="n"/>
      <c r="AO542" s="2" t="inlineStr">
        <is>
          <t>2008</t>
        </is>
      </c>
      <c r="AP542" s="2" t="n">
        <v>2008</v>
      </c>
      <c r="AQ542" s="2" t="n"/>
      <c r="AR542" s="2" t="n"/>
      <c r="AS542" s="2" t="inlineStr">
        <is>
          <t>regla</t>
        </is>
      </c>
      <c r="AT542" s="2" t="n">
        <v>2999</v>
      </c>
      <c r="AU542" s="2" t="n">
        <v>6</v>
      </c>
      <c r="AV542" s="2" t="inlineStr">
        <is>
          <t>modelo+año</t>
        </is>
      </c>
      <c r="AW542" s="2" t="n"/>
      <c r="AX542"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42" s="2" t="inlineStr">
        <is>
          <t xml:space="preserve">Chevrolet Kalos 2007, ITV JUN 2027, 202.000 Km. </t>
        </is>
      </c>
      <c r="AZ542" s="2" t="inlineStr">
        <is>
          <t>https://www.coches.net/chevrolet-kalos-gasolina-2008-en-castellon-71555558-covo.aspx (window.__INITIAL_PROPS__.ad) /home/user/Alopecia/buscador-coches/raw/cochesnet/f6276ff5f160a64b.json</t>
        </is>
      </c>
      <c r="BA542" s="3">
        <f>MAX(ANIO_ACTUAL-M542,0)</f>
        <v/>
      </c>
      <c r="BB542" s="4">
        <f>N542/MAX(BA542,0.5)</f>
        <v/>
      </c>
      <c r="BC542" s="4">
        <f>F542</f>
        <v/>
      </c>
      <c r="BD542" s="3">
        <f>BC542&amp;"|"&amp;INT(M542/SEG_ANIO)*SEG_ANIO</f>
        <v/>
      </c>
      <c r="BE542" s="3">
        <f>BD542&amp;"|"&amp;INT(N542/SEG_KM)*SEG_KM</f>
        <v/>
      </c>
      <c r="BF542" s="4">
        <f>COUNTIF($BC$2:$BC$545,BC542)</f>
        <v/>
      </c>
      <c r="BG542" s="4">
        <f>COUNTIF($BD$2:$BD$545,BD542)</f>
        <v/>
      </c>
      <c r="BH542" s="4">
        <f>COUNTIF($BE$2:$BE$545,BE542)</f>
        <v/>
      </c>
      <c r="BI542" s="3">
        <f t="array" ref="BI542">IF(N(AU542)&gt;=MIN_N,AT542,IF(BH542&gt;=MIN_N,MEDIAN(IF($BE$2:$BE$545=BE542,$O$2:$O$545)),IF(BG542&gt;=MIN_N,MEDIAN(IF($BD$2:$BD$545=BD542,$O$2:$O$545)),MEDIAN(IF($BC$2:$BC$545=BC542,$O$2:$O$545)))))</f>
        <v/>
      </c>
      <c r="BJ542" s="3">
        <f>IF(N(AU542)&gt;=MIN_N,"mercado "&amp;AV542,IF(BH542&gt;=MIN_N,"modelo+año+km",IF(BG542&gt;=MIN_N,"modelo+año","modelo")))</f>
        <v/>
      </c>
      <c r="BK542" s="4">
        <f>(BI542-O542)/BI542</f>
        <v/>
      </c>
      <c r="BL542" s="3">
        <f>IF(COUNTIFS(FR_FUEL,K542,FR_YEAR,AP542)&gt;0,1,0)</f>
        <v/>
      </c>
      <c r="BM542" s="3">
        <f>IF(COUNTIFS(FR_FUEL,K542,FR_YEAR,AP542-1)&gt;0,1,0)</f>
        <v/>
      </c>
      <c r="BN542" s="4">
        <f>IF(N(AQ542)&gt;0,AP542*100+AQ542,IF(AND(BL542=1,BM542=1),(AP542-1)*100+1,AP542*100+1))</f>
        <v/>
      </c>
      <c r="BO542" s="3">
        <f>IF(OR(K542="hibrido",K542="glp",K542="gnc",K542="phev"),"ECO",IF(K542="electrico","CERO",IF(K542="gasolina",IF(BN542&gt;=GAS_C_YM,"C",IF(BN542&gt;=GAS_B_YM,"B","A")),IF(K542="diesel",IF(BN542&gt;=DIE_C_YM,"C",IF(BN542&gt;=DIE_B_YM,"B","A")),""))))</f>
        <v/>
      </c>
      <c r="BP542" s="4">
        <f>BO542</f>
        <v/>
      </c>
      <c r="BQ542" s="4">
        <f>IF(AS542="regla",IF(AND(N(AQ542)=0,BL542=1),"sí","no"),"no")</f>
        <v/>
      </c>
      <c r="BR542" s="3">
        <f>IFERROR(VLOOKUP(F542,MOD_TBL,11,0),IFERROR(VLOOKUP(E542,OCU_TBL,2,0),NEUTRO))</f>
        <v/>
      </c>
      <c r="BS542" s="3">
        <f>SUMIFS(MOT_AJUSTE,MOT_MOTOR,G542,MOT_MARCA,E542,MOT_DESDE,"&lt;="&amp;M542,MOT_HASTA,"&gt;="&amp;M542)+SUMIFS(MOT_AJUSTE,MOT_MOTOR,G542,MOT_MARCA,"(todas)",MOT_DESDE,"&lt;="&amp;M542,MOT_HASTA,"&gt;="&amp;M542)</f>
        <v/>
      </c>
      <c r="BT542" s="3">
        <f>SUMIFS(COMB_AJUSTE,COMB_COMB,K542)</f>
        <v/>
      </c>
      <c r="BU542" s="3">
        <f>COUNTIFS(MOT_MOTOR,G542,MOT_MARCA,E542,MOT_DESDE,"&lt;="&amp;M542,MOT_HASTA,"&gt;="&amp;M542)+COUNTIFS(MOT_MOTOR,G542,MOT_MARCA,"(todas)",MOT_DESDE,"&lt;="&amp;M542,MOT_HASTA,"&gt;="&amp;M542)</f>
        <v/>
      </c>
      <c r="BV542" s="3">
        <f>IF(AND(K542="diesel",BU542=0),MIN(BR542,NEUTRO),BR542)</f>
        <v/>
      </c>
      <c r="BW542" s="4">
        <f>MAX(0,MIN(100,BV542+BS542+BT542))</f>
        <v/>
      </c>
      <c r="BX542" s="3">
        <f>MAX(0,MIN(100,50+BK542*PRECIO_PEND))</f>
        <v/>
      </c>
      <c r="BY542" s="3">
        <f>MAX(0,100*(1-N542/KM_MAX))</f>
        <v/>
      </c>
      <c r="BZ542" s="3">
        <f>IF(BB542&lt;KMA_SOSP,IF(AA542="sí",100,KMA_PEN),IF(BB542&lt;=KMA_IDEAL_MAX,100,MAX(0,100*(KMA_CERO-BB542)/(KMA_CERO-KMA_IDEAL_MAX))))</f>
        <v/>
      </c>
      <c r="CA542" s="3">
        <f>MAX(0,MIN(100,100*(M542-ANIO_MIN)/(ANIO_ACTUAL-ANIO_MIN)))</f>
        <v/>
      </c>
      <c r="CB542" s="3">
        <f>W_KMT*BY542+W_KMA*BZ542+W_EDAD*CA542</f>
        <v/>
      </c>
      <c r="CC542" s="3">
        <f>P_ITV*(V542="sí")+P_LIBRO*(W542="sí")+P_CORREA*(X542="sí")+P_PROP*(Y542=1)+P_GAR*(Z542="sí")+P_FOTOS*MIN(1,N(U542)/FOTOS_OBJ)</f>
        <v/>
      </c>
      <c r="CD542" s="3">
        <f>MAX(0,MIN(100,IFERROR(VLOOKUP(BP542,ETQ_TBL,2,0),0)-IF(BQ542="sí",ETQ_PEN_DUD,IF(AS542="regla",ETQ_PEN_REGLA,0))))</f>
        <v/>
      </c>
      <c r="CE542" s="3">
        <f>NEUTRO</f>
        <v/>
      </c>
      <c r="CF542" s="3">
        <f>IFERROR(VLOOKUP(L542,SEGURO_TBL,3,0),"")</f>
        <v/>
      </c>
      <c r="CG542" s="3">
        <f>IF(CF542="",NEUTRO,MAX(0,MIN(100,100*(SEG_REF_MAX-CF542)/(SEG_REF_MAX-SEG_REF_MIN))))</f>
        <v/>
      </c>
      <c r="CH542" s="3">
        <f>W_CONS*CE542+W_SEG*CG542</f>
        <v/>
      </c>
      <c r="CI542" s="3">
        <f>IF(N(AB542)&gt;0,AB542,IF(AND(R542="profesional",SG_LEGAL_ON=1),GAR_LEGAL,0))</f>
        <v/>
      </c>
      <c r="CJ542" s="3">
        <f>SG_GAR*MIN(1,CI542/SG_GAR_FULL)+SG_AMPL*(AC542="sí")+SG_KMC*(AF542="sí")+SG_REV*(N(AE542)&gt;0)+SG_DEV*MIN(1,N(AG542)/SG_DEV_FULL)+SG_HIST*(W542="sí")</f>
        <v/>
      </c>
      <c r="CK542" s="3">
        <f>IFERROR(VLOOKUP(L542,CARR_PEN_TBL,2,0),0)</f>
        <v/>
      </c>
      <c r="CL542" s="3">
        <f>W_FIAB*BW542+W_PRECIO*BX542+W_KMEDAD*CB542+W_ANUNCIO*CC542+W_USO*CH542+W_SEGURIDAD*CJ542+W_ETIQUETA*CD542-CK542</f>
        <v/>
      </c>
      <c r="CM542" s="4">
        <f>IF(N(I542)&gt;0,I542,IFERROR(ROUND(_xlfn.NUMBERVALUE(LEFT(G542,FIND(" ",G542&amp;" ")-1),".")*1000,0),99999))</f>
        <v/>
      </c>
      <c r="CN542" s="3">
        <f>IF(R542="profesional",0,IF(O542&lt;CUOTA_VALOR_MAX,IF(BA542&gt;ITP_TRAMO_ALTO,SUMIFS(CF_CUOTA,CF_MAS,ITP_TRAMO_ALTO,CF_CCMIN,"&lt;="&amp;CM542,CF_CCMAX,"&gt;="&amp;CM542),IF(BA542&gt;ITP_TRAMO_BAJO,SUMIFS(CF_CUOTA,CF_MAS,ITP_TRAMO_BAJO,CF_CCMIN,"&lt;="&amp;CM542,CF_CCMAX,"&gt;="&amp;CM542),O542*ITP_TIPO)),O542*ITP_TIPO))</f>
        <v/>
      </c>
      <c r="CO542" s="4">
        <f>IF(R542="profesional",N(AK542),0)</f>
        <v/>
      </c>
      <c r="CP542" s="3">
        <f>IF(AND(R542="profesional",ISNUMBER(AK542),AL542="sí"),0,TASA_DGT)</f>
        <v/>
      </c>
      <c r="CQ542" s="3">
        <f>INFORME_DGT</f>
        <v/>
      </c>
      <c r="CR542" s="4">
        <f>O542+CO542+CN542+CP542+CQ542</f>
        <v/>
      </c>
      <c r="CS542" s="4">
        <f>CR542+N(CF542)</f>
        <v/>
      </c>
      <c r="CT542" s="3">
        <f>IF(CR542&lt;=TOTAL_MAX,"sí",IF(CR542&lt;=TOTAL_MAX+MARGEN_NEG,"negociar","no"))</f>
        <v/>
      </c>
      <c r="CU542" s="4">
        <f>IF(CT542&lt;&gt;"no",COUNTIFS($CT$2:$CT$545,"&lt;&gt;no",$CL$2:$CL$545,"&gt;"&amp;CL542)+COUNTIFS($CT$2:CT542,"&lt;&gt;no",$CL$2:CL542,CL542),"")</f>
        <v/>
      </c>
    </row>
    <row r="543">
      <c r="A543" s="2" t="inlineStr">
        <is>
          <t>cochesnet:71504768</t>
        </is>
      </c>
      <c r="B543" s="2" t="inlineStr">
        <is>
          <t>cochesnet</t>
        </is>
      </c>
      <c r="C543" s="2" t="inlineStr">
        <is>
          <t>https://www.coches.net/chevrolet-kalos-12-se-5p-gasolina-2007-en-castellon-71504768-covo.aspx</t>
        </is>
      </c>
      <c r="D543" s="2" t="inlineStr">
        <is>
          <t>CHEVROLET Kalos 1.2 SE</t>
        </is>
      </c>
      <c r="E543" s="2" t="inlineStr">
        <is>
          <t>Chevrolet</t>
        </is>
      </c>
      <c r="F543" s="2" t="inlineStr">
        <is>
          <t>Chevrolet Kalos</t>
        </is>
      </c>
      <c r="G543" s="2" t="inlineStr">
        <is>
          <t>1.2</t>
        </is>
      </c>
      <c r="H543" s="2" t="inlineStr">
        <is>
          <t>1.2 SE</t>
        </is>
      </c>
      <c r="I543" s="2" t="n"/>
      <c r="J543" s="2" t="n"/>
      <c r="K543" s="2" t="inlineStr">
        <is>
          <t>gasolina</t>
        </is>
      </c>
      <c r="L543" s="2" t="inlineStr">
        <is>
          <t>utilitario</t>
        </is>
      </c>
      <c r="M543" s="2" t="n">
        <v>2007</v>
      </c>
      <c r="N543" s="2" t="n">
        <v>202000</v>
      </c>
      <c r="O543" s="2" t="n">
        <v>2500</v>
      </c>
      <c r="P543" s="2" t="inlineStr">
        <is>
          <t>manual</t>
        </is>
      </c>
      <c r="Q543" s="2" t="inlineStr">
        <is>
          <t>no</t>
        </is>
      </c>
      <c r="R543" s="2" t="inlineStr">
        <is>
          <t>particular</t>
        </is>
      </c>
      <c r="S543" s="2" t="inlineStr">
        <is>
          <t>Castellón de la Plana / Castelló de la Plana</t>
        </is>
      </c>
      <c r="T543" s="2" t="inlineStr">
        <is>
          <t>2026-09-13T20:42:52Z</t>
        </is>
      </c>
      <c r="U543" s="2" t="n">
        <v>21</v>
      </c>
      <c r="V543" s="2" t="inlineStr">
        <is>
          <t>sí</t>
        </is>
      </c>
      <c r="W543" s="2" t="n"/>
      <c r="X543" s="2" t="n"/>
      <c r="Y543" s="2" t="n"/>
      <c r="Z543" s="2" t="inlineStr">
        <is>
          <t>no</t>
        </is>
      </c>
      <c r="AA543" s="2" t="n"/>
      <c r="AB543" s="2" t="n"/>
      <c r="AC543" s="2" t="n"/>
      <c r="AD543" s="2" t="n"/>
      <c r="AE543" s="2" t="n"/>
      <c r="AF543" s="2" t="n"/>
      <c r="AG543" s="2" t="n"/>
      <c r="AH543" s="2" t="n">
        <v>2500</v>
      </c>
      <c r="AI543" s="2" t="n"/>
      <c r="AJ543" s="2" t="n"/>
      <c r="AK543" s="2" t="n"/>
      <c r="AL543" s="2" t="n"/>
      <c r="AM543" s="2" t="n"/>
      <c r="AN543" s="2" t="n"/>
      <c r="AO543" s="2" t="inlineStr">
        <is>
          <t>2007</t>
        </is>
      </c>
      <c r="AP543" s="2" t="n">
        <v>2007</v>
      </c>
      <c r="AQ543" s="2" t="n"/>
      <c r="AR543" s="2" t="n"/>
      <c r="AS543" s="2" t="inlineStr">
        <is>
          <t>regla</t>
        </is>
      </c>
      <c r="AT543" s="2" t="n">
        <v>2999</v>
      </c>
      <c r="AU543" s="2" t="n">
        <v>6</v>
      </c>
      <c r="AV543" s="2" t="inlineStr">
        <is>
          <t>modelo+año</t>
        </is>
      </c>
      <c r="AW543" s="2" t="n"/>
      <c r="AX543" s="2" t="inlineStr">
        <is>
          <t>cuota fija ITP: &gt;12 años, hasta 1.500 cc; distancia no verificable (el anuncio solo indica la provincia): confirmar que está a &lt;= 70 km; fiabilidad del modelo PENDIENTE de fuente (puntuación neutra)</t>
        </is>
      </c>
      <c r="AY543" s="2" t="inlineStr">
        <is>
          <t>Tiene ITV HASTA JULIO 2027
en excelente estado, economico en combustible,  tiene problemas en pintura</t>
        </is>
      </c>
      <c r="AZ543" s="2" t="inlineStr">
        <is>
          <t>https://www.coches.net/chevrolet-kalos-12-se-5p-gasolina-2007-en-castellon-71504768-covo.aspx (window.__INITIAL_PROPS__.ad) /home/user/Alopecia/buscador-coches/raw/cochesnet/502702205dad465f.json</t>
        </is>
      </c>
      <c r="BA543" s="3">
        <f>MAX(ANIO_ACTUAL-M543,0)</f>
        <v/>
      </c>
      <c r="BB543" s="4">
        <f>N543/MAX(BA543,0.5)</f>
        <v/>
      </c>
      <c r="BC543" s="4">
        <f>F543</f>
        <v/>
      </c>
      <c r="BD543" s="3">
        <f>BC543&amp;"|"&amp;INT(M543/SEG_ANIO)*SEG_ANIO</f>
        <v/>
      </c>
      <c r="BE543" s="3">
        <f>BD543&amp;"|"&amp;INT(N543/SEG_KM)*SEG_KM</f>
        <v/>
      </c>
      <c r="BF543" s="4">
        <f>COUNTIF($BC$2:$BC$545,BC543)</f>
        <v/>
      </c>
      <c r="BG543" s="4">
        <f>COUNTIF($BD$2:$BD$545,BD543)</f>
        <v/>
      </c>
      <c r="BH543" s="4">
        <f>COUNTIF($BE$2:$BE$545,BE543)</f>
        <v/>
      </c>
      <c r="BI543" s="3">
        <f t="array" ref="BI543">IF(N(AU543)&gt;=MIN_N,AT543,IF(BH543&gt;=MIN_N,MEDIAN(IF($BE$2:$BE$545=BE543,$O$2:$O$545)),IF(BG543&gt;=MIN_N,MEDIAN(IF($BD$2:$BD$545=BD543,$O$2:$O$545)),MEDIAN(IF($BC$2:$BC$545=BC543,$O$2:$O$545)))))</f>
        <v/>
      </c>
      <c r="BJ543" s="3">
        <f>IF(N(AU543)&gt;=MIN_N,"mercado "&amp;AV543,IF(BH543&gt;=MIN_N,"modelo+año+km",IF(BG543&gt;=MIN_N,"modelo+año","modelo")))</f>
        <v/>
      </c>
      <c r="BK543" s="4">
        <f>(BI543-O543)/BI543</f>
        <v/>
      </c>
      <c r="BL543" s="3">
        <f>IF(COUNTIFS(FR_FUEL,K543,FR_YEAR,AP543)&gt;0,1,0)</f>
        <v/>
      </c>
      <c r="BM543" s="3">
        <f>IF(COUNTIFS(FR_FUEL,K543,FR_YEAR,AP543-1)&gt;0,1,0)</f>
        <v/>
      </c>
      <c r="BN543" s="4">
        <f>IF(N(AQ543)&gt;0,AP543*100+AQ543,IF(AND(BL543=1,BM543=1),(AP543-1)*100+1,AP543*100+1))</f>
        <v/>
      </c>
      <c r="BO543" s="3">
        <f>IF(OR(K543="hibrido",K543="glp",K543="gnc",K543="phev"),"ECO",IF(K543="electrico","CERO",IF(K543="gasolina",IF(BN543&gt;=GAS_C_YM,"C",IF(BN543&gt;=GAS_B_YM,"B","A")),IF(K543="diesel",IF(BN543&gt;=DIE_C_YM,"C",IF(BN543&gt;=DIE_B_YM,"B","A")),""))))</f>
        <v/>
      </c>
      <c r="BP543" s="4">
        <f>BO543</f>
        <v/>
      </c>
      <c r="BQ543" s="4">
        <f>IF(AS543="regla",IF(AND(N(AQ543)=0,BL543=1),"sí","no"),"no")</f>
        <v/>
      </c>
      <c r="BR543" s="3">
        <f>IFERROR(VLOOKUP(F543,MOD_TBL,11,0),IFERROR(VLOOKUP(E543,OCU_TBL,2,0),NEUTRO))</f>
        <v/>
      </c>
      <c r="BS543" s="3">
        <f>SUMIFS(MOT_AJUSTE,MOT_MOTOR,G543,MOT_MARCA,E543,MOT_DESDE,"&lt;="&amp;M543,MOT_HASTA,"&gt;="&amp;M543)+SUMIFS(MOT_AJUSTE,MOT_MOTOR,G543,MOT_MARCA,"(todas)",MOT_DESDE,"&lt;="&amp;M543,MOT_HASTA,"&gt;="&amp;M543)</f>
        <v/>
      </c>
      <c r="BT543" s="3">
        <f>SUMIFS(COMB_AJUSTE,COMB_COMB,K543)</f>
        <v/>
      </c>
      <c r="BU543" s="3">
        <f>COUNTIFS(MOT_MOTOR,G543,MOT_MARCA,E543,MOT_DESDE,"&lt;="&amp;M543,MOT_HASTA,"&gt;="&amp;M543)+COUNTIFS(MOT_MOTOR,G543,MOT_MARCA,"(todas)",MOT_DESDE,"&lt;="&amp;M543,MOT_HASTA,"&gt;="&amp;M543)</f>
        <v/>
      </c>
      <c r="BV543" s="3">
        <f>IF(AND(K543="diesel",BU543=0),MIN(BR543,NEUTRO),BR543)</f>
        <v/>
      </c>
      <c r="BW543" s="4">
        <f>MAX(0,MIN(100,BV543+BS543+BT543))</f>
        <v/>
      </c>
      <c r="BX543" s="3">
        <f>MAX(0,MIN(100,50+BK543*PRECIO_PEND))</f>
        <v/>
      </c>
      <c r="BY543" s="3">
        <f>MAX(0,100*(1-N543/KM_MAX))</f>
        <v/>
      </c>
      <c r="BZ543" s="3">
        <f>IF(BB543&lt;KMA_SOSP,IF(AA543="sí",100,KMA_PEN),IF(BB543&lt;=KMA_IDEAL_MAX,100,MAX(0,100*(KMA_CERO-BB543)/(KMA_CERO-KMA_IDEAL_MAX))))</f>
        <v/>
      </c>
      <c r="CA543" s="3">
        <f>MAX(0,MIN(100,100*(M543-ANIO_MIN)/(ANIO_ACTUAL-ANIO_MIN)))</f>
        <v/>
      </c>
      <c r="CB543" s="3">
        <f>W_KMT*BY543+W_KMA*BZ543+W_EDAD*CA543</f>
        <v/>
      </c>
      <c r="CC543" s="3">
        <f>P_ITV*(V543="sí")+P_LIBRO*(W543="sí")+P_CORREA*(X543="sí")+P_PROP*(Y543=1)+P_GAR*(Z543="sí")+P_FOTOS*MIN(1,N(U543)/FOTOS_OBJ)</f>
        <v/>
      </c>
      <c r="CD543" s="3">
        <f>MAX(0,MIN(100,IFERROR(VLOOKUP(BP543,ETQ_TBL,2,0),0)-IF(BQ543="sí",ETQ_PEN_DUD,IF(AS543="regla",ETQ_PEN_REGLA,0))))</f>
        <v/>
      </c>
      <c r="CE543" s="3">
        <f>NEUTRO</f>
        <v/>
      </c>
      <c r="CF543" s="3">
        <f>IFERROR(VLOOKUP(L543,SEGURO_TBL,3,0),"")</f>
        <v/>
      </c>
      <c r="CG543" s="3">
        <f>IF(CF543="",NEUTRO,MAX(0,MIN(100,100*(SEG_REF_MAX-CF543)/(SEG_REF_MAX-SEG_REF_MIN))))</f>
        <v/>
      </c>
      <c r="CH543" s="3">
        <f>W_CONS*CE543+W_SEG*CG543</f>
        <v/>
      </c>
      <c r="CI543" s="3">
        <f>IF(N(AB543)&gt;0,AB543,IF(AND(R543="profesional",SG_LEGAL_ON=1),GAR_LEGAL,0))</f>
        <v/>
      </c>
      <c r="CJ543" s="3">
        <f>SG_GAR*MIN(1,CI543/SG_GAR_FULL)+SG_AMPL*(AC543="sí")+SG_KMC*(AF543="sí")+SG_REV*(N(AE543)&gt;0)+SG_DEV*MIN(1,N(AG543)/SG_DEV_FULL)+SG_HIST*(W543="sí")</f>
        <v/>
      </c>
      <c r="CK543" s="3">
        <f>IFERROR(VLOOKUP(L543,CARR_PEN_TBL,2,0),0)</f>
        <v/>
      </c>
      <c r="CL543" s="3">
        <f>W_FIAB*BW543+W_PRECIO*BX543+W_KMEDAD*CB543+W_ANUNCIO*CC543+W_USO*CH543+W_SEGURIDAD*CJ543+W_ETIQUETA*CD543-CK543</f>
        <v/>
      </c>
      <c r="CM543" s="4">
        <f>IF(N(I543)&gt;0,I543,IFERROR(ROUND(_xlfn.NUMBERVALUE(LEFT(G543,FIND(" ",G543&amp;" ")-1),".")*1000,0),99999))</f>
        <v/>
      </c>
      <c r="CN543" s="3">
        <f>IF(R543="profesional",0,IF(O543&lt;CUOTA_VALOR_MAX,IF(BA543&gt;ITP_TRAMO_ALTO,SUMIFS(CF_CUOTA,CF_MAS,ITP_TRAMO_ALTO,CF_CCMIN,"&lt;="&amp;CM543,CF_CCMAX,"&gt;="&amp;CM543),IF(BA543&gt;ITP_TRAMO_BAJO,SUMIFS(CF_CUOTA,CF_MAS,ITP_TRAMO_BAJO,CF_CCMIN,"&lt;="&amp;CM543,CF_CCMAX,"&gt;="&amp;CM543),O543*ITP_TIPO)),O543*ITP_TIPO))</f>
        <v/>
      </c>
      <c r="CO543" s="4">
        <f>IF(R543="profesional",N(AK543),0)</f>
        <v/>
      </c>
      <c r="CP543" s="3">
        <f>IF(AND(R543="profesional",ISNUMBER(AK543),AL543="sí"),0,TASA_DGT)</f>
        <v/>
      </c>
      <c r="CQ543" s="3">
        <f>INFORME_DGT</f>
        <v/>
      </c>
      <c r="CR543" s="4">
        <f>O543+CO543+CN543+CP543+CQ543</f>
        <v/>
      </c>
      <c r="CS543" s="4">
        <f>CR543+N(CF543)</f>
        <v/>
      </c>
      <c r="CT543" s="3">
        <f>IF(CR543&lt;=TOTAL_MAX,"sí",IF(CR543&lt;=TOTAL_MAX+MARGEN_NEG,"negociar","no"))</f>
        <v/>
      </c>
      <c r="CU543" s="4">
        <f>IF(CT543&lt;&gt;"no",COUNTIFS($CT$2:$CT$545,"&lt;&gt;no",$CL$2:$CL$545,"&gt;"&amp;CL543)+COUNTIFS($CT$2:CT543,"&lt;&gt;no",$CL$2:CL543,CL543),"")</f>
        <v/>
      </c>
    </row>
    <row r="544">
      <c r="A544" s="2" t="inlineStr">
        <is>
          <t>cochesnet:71502762</t>
        </is>
      </c>
      <c r="B544" s="2" t="inlineStr">
        <is>
          <t>cochesnet</t>
        </is>
      </c>
      <c r="C544" s="2" t="inlineStr">
        <is>
          <t>https://www.coches.net/chevrolet-epica-20-vcdi-16v-lt-4p-diesel-2009-en-castellon-71502762-covo.aspx</t>
        </is>
      </c>
      <c r="D544" s="2" t="inlineStr">
        <is>
          <t>CHEVROLET Epica 2.0 VCDI 16v LT</t>
        </is>
      </c>
      <c r="E544" s="2" t="inlineStr">
        <is>
          <t>Chevrolet</t>
        </is>
      </c>
      <c r="F544" s="2" t="inlineStr">
        <is>
          <t>Chevrolet Epica</t>
        </is>
      </c>
      <c r="G544" s="2" t="inlineStr">
        <is>
          <t>2.0</t>
        </is>
      </c>
      <c r="H544" s="2" t="inlineStr">
        <is>
          <t>2.0 VCDI 16v LT</t>
        </is>
      </c>
      <c r="I544" s="2" t="n"/>
      <c r="J544" s="2" t="n"/>
      <c r="K544" s="2" t="inlineStr">
        <is>
          <t>diesel</t>
        </is>
      </c>
      <c r="L544" s="2" t="inlineStr">
        <is>
          <t>berlina</t>
        </is>
      </c>
      <c r="M544" s="2" t="n">
        <v>2009</v>
      </c>
      <c r="N544" s="2" t="n">
        <v>175000</v>
      </c>
      <c r="O544" s="2" t="n">
        <v>2500</v>
      </c>
      <c r="P544" s="2" t="inlineStr">
        <is>
          <t>manual</t>
        </is>
      </c>
      <c r="Q544" s="2" t="inlineStr">
        <is>
          <t>no</t>
        </is>
      </c>
      <c r="R544" s="2" t="inlineStr">
        <is>
          <t>particular</t>
        </is>
      </c>
      <c r="S544" s="2" t="inlineStr">
        <is>
          <t>Oropesa del Mar / Orpesa</t>
        </is>
      </c>
      <c r="T544" s="2" t="inlineStr">
        <is>
          <t>2026-09-14T09:15:55Z</t>
        </is>
      </c>
      <c r="U544" s="2" t="n">
        <v>8</v>
      </c>
      <c r="V544" s="2" t="n"/>
      <c r="W544" s="2" t="n"/>
      <c r="X544" s="2" t="n"/>
      <c r="Y544" s="2" t="n"/>
      <c r="Z544" s="2" t="inlineStr">
        <is>
          <t>no</t>
        </is>
      </c>
      <c r="AA544" s="2" t="n"/>
      <c r="AB544" s="2" t="n"/>
      <c r="AC544" s="2" t="n"/>
      <c r="AD544" s="2" t="n"/>
      <c r="AE544" s="2" t="n"/>
      <c r="AF544" s="2" t="n"/>
      <c r="AG544" s="2" t="n"/>
      <c r="AH544" s="2" t="n">
        <v>2500</v>
      </c>
      <c r="AI544" s="2" t="n"/>
      <c r="AJ544" s="2" t="n"/>
      <c r="AK544" s="2" t="n"/>
      <c r="AL544" s="2" t="n"/>
      <c r="AM544" s="2" t="n"/>
      <c r="AN544" s="2" t="n"/>
      <c r="AO544" s="2" t="inlineStr">
        <is>
          <t>08/2009</t>
        </is>
      </c>
      <c r="AP544" s="2" t="n">
        <v>2009</v>
      </c>
      <c r="AQ544" s="2" t="n">
        <v>8</v>
      </c>
      <c r="AR544" s="2" t="inlineStr">
        <is>
          <t>B</t>
        </is>
      </c>
      <c r="AS544" s="2" t="inlineStr">
        <is>
          <t>anuncio</t>
        </is>
      </c>
      <c r="AT544" s="2" t="n">
        <v>3600</v>
      </c>
      <c r="AU544" s="2" t="n">
        <v>8</v>
      </c>
      <c r="AV544" s="2" t="inlineStr">
        <is>
          <t>modelo+año</t>
        </is>
      </c>
      <c r="AW544" s="2" t="n"/>
      <c r="AX544" s="2" t="inlineStr">
        <is>
          <t>cuota fija ITP: &gt;12 años, 1.501-2.000 cc; diésel: motor sin fuente de fiabilidad (fiabilidad limitada a neutra); carrocería berlina: -4 puntos; distancia no verificable (el anuncio solo indica la provincia): confirmar que está a &lt;= 70 km; fiabilidad del modelo PENDIENTE de fuente (puntuación neutra)</t>
        </is>
      </c>
      <c r="AY544" s="2" t="inlineStr">
        <is>
          <t xml:space="preserve">Si buscas un coche que combine comodidad, eficiencia y diseño, este es para ti.
Te presento mi Chevrolet Epica 2.0 VCDI, un berlina diésel de referencia que ofrece exactamente lo que necesitas: un motor potente de 150 CV con un consumo eficiente característico de los motores diesel, ideal para quien realiza muchos kilómetros sin sacrificar rendimiento.
El vehículo se encuentra en buen estado tanto exterior como interior, reflejando un uso habitual pero responsable. La carrocería blanca mantiene su buen aspecto y el interior presenta el desgaste normal de un coche de uso cotidiano. Es una berlina de cinco plazas perfecta para familias o profesionales que necesitan espacio y practicidad en sus desplazamientos.
Con cambio manual y una estructura robusta típica de Chevrolet, este Epica es conocido por su fiabilidad y durabilidad. Su configuración de cuatro puertas lo hace accesible y funcional para el día a día, mientras que la potencia del motor garantiza una conducción segura tanto en ciudad como en autopista.
Este es un vehículo que cumple, sin pretensiones, pero con solidez. No busques lujos innecesarios, sino un compañero de viaje en el que confiar. El precio refleja su realidad: un coche de verdad, con años de vida útil por delante y sin sorpresas.
Si tienes dudas sobre aspectos específicos no detallados en la ficha técnica, no dudes en contactarme. Estoy disponible por chat o teléfono para resolver cualquier pregunta que tengas.
Contacta hoy mismo y descubre por qué </t>
        </is>
      </c>
      <c r="AZ544" s="2" t="inlineStr">
        <is>
          <t>https://www.coches.net/chevrolet-epica-20-vcdi-16v-lt-4p-diesel-2009-en-castellon-71502762-covo.aspx (window.__INITIAL_PROPS__.ad) /home/user/Alopecia/buscador-coches/raw/cochesnet/5bcab4fb39574565.json</t>
        </is>
      </c>
      <c r="BA544" s="3">
        <f>MAX(ANIO_ACTUAL-M544,0)</f>
        <v/>
      </c>
      <c r="BB544" s="4">
        <f>N544/MAX(BA544,0.5)</f>
        <v/>
      </c>
      <c r="BC544" s="4">
        <f>F544</f>
        <v/>
      </c>
      <c r="BD544" s="3">
        <f>BC544&amp;"|"&amp;INT(M544/SEG_ANIO)*SEG_ANIO</f>
        <v/>
      </c>
      <c r="BE544" s="3">
        <f>BD544&amp;"|"&amp;INT(N544/SEG_KM)*SEG_KM</f>
        <v/>
      </c>
      <c r="BF544" s="4">
        <f>COUNTIF($BC$2:$BC$545,BC544)</f>
        <v/>
      </c>
      <c r="BG544" s="4">
        <f>COUNTIF($BD$2:$BD$545,BD544)</f>
        <v/>
      </c>
      <c r="BH544" s="4">
        <f>COUNTIF($BE$2:$BE$545,BE544)</f>
        <v/>
      </c>
      <c r="BI544" s="3">
        <f t="array" ref="BI544">IF(N(AU544)&gt;=MIN_N,AT544,IF(BH544&gt;=MIN_N,MEDIAN(IF($BE$2:$BE$545=BE544,$O$2:$O$545)),IF(BG544&gt;=MIN_N,MEDIAN(IF($BD$2:$BD$545=BD544,$O$2:$O$545)),MEDIAN(IF($BC$2:$BC$545=BC544,$O$2:$O$545)))))</f>
        <v/>
      </c>
      <c r="BJ544" s="3">
        <f>IF(N(AU544)&gt;=MIN_N,"mercado "&amp;AV544,IF(BH544&gt;=MIN_N,"modelo+año+km",IF(BG544&gt;=MIN_N,"modelo+año","modelo")))</f>
        <v/>
      </c>
      <c r="BK544" s="4">
        <f>(BI544-O544)/BI544</f>
        <v/>
      </c>
      <c r="BL544" s="3">
        <f>IF(COUNTIFS(FR_FUEL,K544,FR_YEAR,AP544)&gt;0,1,0)</f>
        <v/>
      </c>
      <c r="BM544" s="3">
        <f>IF(COUNTIFS(FR_FUEL,K544,FR_YEAR,AP544-1)&gt;0,1,0)</f>
        <v/>
      </c>
      <c r="BN544" s="4">
        <f>IF(N(AQ544)&gt;0,AP544*100+AQ544,IF(AND(BL544=1,BM544=1),(AP544-1)*100+1,AP544*100+1))</f>
        <v/>
      </c>
      <c r="BO544" s="3">
        <f>IF(OR(K544="hibrido",K544="glp",K544="gnc",K544="phev"),"ECO",IF(K544="electrico","CERO",IF(K544="gasolina",IF(BN544&gt;=GAS_C_YM,"C",IF(BN544&gt;=GAS_B_YM,"B","A")),IF(K544="diesel",IF(BN544&gt;=DIE_C_YM,"C",IF(BN544&gt;=DIE_B_YM,"B","A")),""))))</f>
        <v/>
      </c>
      <c r="BP544" s="2" t="inlineStr">
        <is>
          <t>B</t>
        </is>
      </c>
      <c r="BQ544" s="4">
        <f>IF(AS544="regla",IF(AND(N(AQ544)=0,BL544=1),"sí","no"),"no")</f>
        <v/>
      </c>
      <c r="BR544" s="3">
        <f>IFERROR(VLOOKUP(F544,MOD_TBL,11,0),IFERROR(VLOOKUP(E544,OCU_TBL,2,0),NEUTRO))</f>
        <v/>
      </c>
      <c r="BS544" s="3">
        <f>SUMIFS(MOT_AJUSTE,MOT_MOTOR,G544,MOT_MARCA,E544,MOT_DESDE,"&lt;="&amp;M544,MOT_HASTA,"&gt;="&amp;M544)+SUMIFS(MOT_AJUSTE,MOT_MOTOR,G544,MOT_MARCA,"(todas)",MOT_DESDE,"&lt;="&amp;M544,MOT_HASTA,"&gt;="&amp;M544)</f>
        <v/>
      </c>
      <c r="BT544" s="3">
        <f>SUMIFS(COMB_AJUSTE,COMB_COMB,K544)</f>
        <v/>
      </c>
      <c r="BU544" s="3">
        <f>COUNTIFS(MOT_MOTOR,G544,MOT_MARCA,E544,MOT_DESDE,"&lt;="&amp;M544,MOT_HASTA,"&gt;="&amp;M544)+COUNTIFS(MOT_MOTOR,G544,MOT_MARCA,"(todas)",MOT_DESDE,"&lt;="&amp;M544,MOT_HASTA,"&gt;="&amp;M544)</f>
        <v/>
      </c>
      <c r="BV544" s="3">
        <f>IF(AND(K544="diesel",BU544=0),MIN(BR544,NEUTRO),BR544)</f>
        <v/>
      </c>
      <c r="BW544" s="4">
        <f>MAX(0,MIN(100,BV544+BS544+BT544))</f>
        <v/>
      </c>
      <c r="BX544" s="3">
        <f>MAX(0,MIN(100,50+BK544*PRECIO_PEND))</f>
        <v/>
      </c>
      <c r="BY544" s="3">
        <f>MAX(0,100*(1-N544/KM_MAX))</f>
        <v/>
      </c>
      <c r="BZ544" s="3">
        <f>IF(BB544&lt;KMA_SOSP,IF(AA544="sí",100,KMA_PEN),IF(BB544&lt;=KMA_IDEAL_MAX,100,MAX(0,100*(KMA_CERO-BB544)/(KMA_CERO-KMA_IDEAL_MAX))))</f>
        <v/>
      </c>
      <c r="CA544" s="3">
        <f>MAX(0,MIN(100,100*(M544-ANIO_MIN)/(ANIO_ACTUAL-ANIO_MIN)))</f>
        <v/>
      </c>
      <c r="CB544" s="3">
        <f>W_KMT*BY544+W_KMA*BZ544+W_EDAD*CA544</f>
        <v/>
      </c>
      <c r="CC544" s="3">
        <f>P_ITV*(V544="sí")+P_LIBRO*(W544="sí")+P_CORREA*(X544="sí")+P_PROP*(Y544=1)+P_GAR*(Z544="sí")+P_FOTOS*MIN(1,N(U544)/FOTOS_OBJ)</f>
        <v/>
      </c>
      <c r="CD544" s="3">
        <f>MAX(0,MIN(100,IFERROR(VLOOKUP(BP544,ETQ_TBL,2,0),0)-IF(BQ544="sí",ETQ_PEN_DUD,IF(AS544="regla",ETQ_PEN_REGLA,0))))</f>
        <v/>
      </c>
      <c r="CE544" s="3">
        <f>NEUTRO</f>
        <v/>
      </c>
      <c r="CF544" s="3">
        <f>IFERROR(VLOOKUP(L544,SEGURO_TBL,3,0),"")</f>
        <v/>
      </c>
      <c r="CG544" s="3">
        <f>IF(CF544="",NEUTRO,MAX(0,MIN(100,100*(SEG_REF_MAX-CF544)/(SEG_REF_MAX-SEG_REF_MIN))))</f>
        <v/>
      </c>
      <c r="CH544" s="3">
        <f>W_CONS*CE544+W_SEG*CG544</f>
        <v/>
      </c>
      <c r="CI544" s="3">
        <f>IF(N(AB544)&gt;0,AB544,IF(AND(R544="profesional",SG_LEGAL_ON=1),GAR_LEGAL,0))</f>
        <v/>
      </c>
      <c r="CJ544" s="3">
        <f>SG_GAR*MIN(1,CI544/SG_GAR_FULL)+SG_AMPL*(AC544="sí")+SG_KMC*(AF544="sí")+SG_REV*(N(AE544)&gt;0)+SG_DEV*MIN(1,N(AG544)/SG_DEV_FULL)+SG_HIST*(W544="sí")</f>
        <v/>
      </c>
      <c r="CK544" s="3">
        <f>IFERROR(VLOOKUP(L544,CARR_PEN_TBL,2,0),0)</f>
        <v/>
      </c>
      <c r="CL544" s="3">
        <f>W_FIAB*BW544+W_PRECIO*BX544+W_KMEDAD*CB544+W_ANUNCIO*CC544+W_USO*CH544+W_SEGURIDAD*CJ544+W_ETIQUETA*CD544-CK544</f>
        <v/>
      </c>
      <c r="CM544" s="4">
        <f>IF(N(I544)&gt;0,I544,IFERROR(ROUND(_xlfn.NUMBERVALUE(LEFT(G544,FIND(" ",G544&amp;" ")-1),".")*1000,0),99999))</f>
        <v/>
      </c>
      <c r="CN544" s="3">
        <f>IF(R544="profesional",0,IF(O544&lt;CUOTA_VALOR_MAX,IF(BA544&gt;ITP_TRAMO_ALTO,SUMIFS(CF_CUOTA,CF_MAS,ITP_TRAMO_ALTO,CF_CCMIN,"&lt;="&amp;CM544,CF_CCMAX,"&gt;="&amp;CM544),IF(BA544&gt;ITP_TRAMO_BAJO,SUMIFS(CF_CUOTA,CF_MAS,ITP_TRAMO_BAJO,CF_CCMIN,"&lt;="&amp;CM544,CF_CCMAX,"&gt;="&amp;CM544),O544*ITP_TIPO)),O544*ITP_TIPO))</f>
        <v/>
      </c>
      <c r="CO544" s="4">
        <f>IF(R544="profesional",N(AK544),0)</f>
        <v/>
      </c>
      <c r="CP544" s="3">
        <f>IF(AND(R544="profesional",ISNUMBER(AK544),AL544="sí"),0,TASA_DGT)</f>
        <v/>
      </c>
      <c r="CQ544" s="3">
        <f>INFORME_DGT</f>
        <v/>
      </c>
      <c r="CR544" s="4">
        <f>O544+CO544+CN544+CP544+CQ544</f>
        <v/>
      </c>
      <c r="CS544" s="4">
        <f>CR544+N(CF544)</f>
        <v/>
      </c>
      <c r="CT544" s="3">
        <f>IF(CR544&lt;=TOTAL_MAX,"sí",IF(CR544&lt;=TOTAL_MAX+MARGEN_NEG,"negociar","no"))</f>
        <v/>
      </c>
      <c r="CU544" s="4">
        <f>IF(CT544&lt;&gt;"no",COUNTIFS($CT$2:$CT$545,"&lt;&gt;no",$CL$2:$CL$545,"&gt;"&amp;CL544)+COUNTIFS($CT$2:CT544,"&lt;&gt;no",$CL$2:CL544,CL544),"")</f>
        <v/>
      </c>
    </row>
    <row r="545">
      <c r="A545" s="2" t="inlineStr">
        <is>
          <t>cochesnet:71319739</t>
        </is>
      </c>
      <c r="B545" s="2" t="inlineStr">
        <is>
          <t>cochesnet</t>
        </is>
      </c>
      <c r="C545" s="2" t="inlineStr">
        <is>
          <t>https://www.coches.net/chevrolet-kalos-12-se-3p-gasolina-2006-en-castellon-71319739-covo.aspx</t>
        </is>
      </c>
      <c r="D545" s="2" t="inlineStr">
        <is>
          <t>CHEVROLET Kalos 1.2 SE</t>
        </is>
      </c>
      <c r="E545" s="2" t="inlineStr">
        <is>
          <t>Chevrolet</t>
        </is>
      </c>
      <c r="F545" s="2" t="inlineStr">
        <is>
          <t>Chevrolet Kalos</t>
        </is>
      </c>
      <c r="G545" s="2" t="inlineStr">
        <is>
          <t>1.2</t>
        </is>
      </c>
      <c r="H545" s="2" t="inlineStr">
        <is>
          <t>1.2 SE</t>
        </is>
      </c>
      <c r="I545" s="2" t="n"/>
      <c r="J545" s="2" t="n"/>
      <c r="K545" s="2" t="inlineStr">
        <is>
          <t>gasolina</t>
        </is>
      </c>
      <c r="L545" s="2" t="inlineStr">
        <is>
          <t>utilitario</t>
        </is>
      </c>
      <c r="M545" s="2" t="n">
        <v>2007</v>
      </c>
      <c r="N545" s="2" t="n">
        <v>99000</v>
      </c>
      <c r="O545" s="2" t="n">
        <v>3350</v>
      </c>
      <c r="P545" s="2" t="inlineStr">
        <is>
          <t>manual</t>
        </is>
      </c>
      <c r="Q545" s="2" t="inlineStr">
        <is>
          <t>no</t>
        </is>
      </c>
      <c r="R545" s="2" t="inlineStr">
        <is>
          <t>profesional</t>
        </is>
      </c>
      <c r="S545" s="2" t="inlineStr">
        <is>
          <t>Andrés Cars Castellón de la Plana / Castelló de la Plana</t>
        </is>
      </c>
      <c r="T545" s="2" t="inlineStr">
        <is>
          <t>2026-08-19T10:36:35Z</t>
        </is>
      </c>
      <c r="U545" s="2" t="n">
        <v>34</v>
      </c>
      <c r="V545" s="2" t="inlineStr">
        <is>
          <t>sí</t>
        </is>
      </c>
      <c r="W545" s="2" t="inlineStr">
        <is>
          <t>sí</t>
        </is>
      </c>
      <c r="X545" s="2" t="inlineStr">
        <is>
          <t>sí</t>
        </is>
      </c>
      <c r="Y545" s="2" t="n">
        <v>1</v>
      </c>
      <c r="Z545" s="2" t="inlineStr">
        <is>
          <t>sí</t>
        </is>
      </c>
      <c r="AA545" s="2" t="n"/>
      <c r="AB545" s="2" t="n">
        <v>12</v>
      </c>
      <c r="AC545" s="2" t="n"/>
      <c r="AD545" s="2" t="n"/>
      <c r="AE545" s="2" t="n"/>
      <c r="AF545" s="2" t="n"/>
      <c r="AG545" s="2" t="n"/>
      <c r="AH545" s="2" t="n">
        <v>3350</v>
      </c>
      <c r="AI545" s="2" t="n"/>
      <c r="AJ545" s="2" t="n"/>
      <c r="AK545" s="2" t="n"/>
      <c r="AL545" s="2" t="n"/>
      <c r="AM545" s="2" t="n"/>
      <c r="AN545" s="2" t="n"/>
      <c r="AO545" s="2" t="inlineStr">
        <is>
          <t>2007</t>
        </is>
      </c>
      <c r="AP545" s="2" t="n">
        <v>2007</v>
      </c>
      <c r="AQ545" s="2" t="n"/>
      <c r="AR545" s="2" t="inlineStr">
        <is>
          <t>C</t>
        </is>
      </c>
      <c r="AS545" s="2" t="inlineStr">
        <is>
          <t>anuncio</t>
        </is>
      </c>
      <c r="AT545" s="2" t="n">
        <v>2999</v>
      </c>
      <c r="AU545" s="2" t="n">
        <v>6</v>
      </c>
      <c r="AV545" s="2" t="inlineStr">
        <is>
          <t>modelo+año</t>
        </is>
      </c>
      <c r="AW545" s="2" t="n"/>
      <c r="AX545"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45" s="2" t="inlineStr">
        <is>
          <t>Etiqueta medioambiental C.
 Puede entrar en las grandes ciudades. 
Vehículo procedente de primera mano, con tan solo 100 mil kilómetros y en perfecto estado tanto de chapa como de mecanica. 
Lleva motor 1,2 gasolina con 65 cv de potencia, consumo muy bajo. 
Mantenimiento al día, con el kit de distribución recién cambiado, todo con factura y garantía.
Se entrega con itv recien pasada .
Admito prueba de taller.
Cambio de nombre aparte 150 €. 
Precio no negociable.
Anuncio  con titulo informativo y no contractual.
GRACIAS.</t>
        </is>
      </c>
      <c r="AZ545" s="2" t="inlineStr">
        <is>
          <t>https://www.coches.net/chevrolet-kalos-12-se-3p-gasolina-2006-en-castellon-71319739-covo.aspx (window.__INITIAL_PROPS__.ad) /home/user/Alopecia/buscador-coches/raw/cochesnet/77f0948f945de291.json</t>
        </is>
      </c>
      <c r="BA545" s="3">
        <f>MAX(ANIO_ACTUAL-M545,0)</f>
        <v/>
      </c>
      <c r="BB545" s="4">
        <f>N545/MAX(BA545,0.5)</f>
        <v/>
      </c>
      <c r="BC545" s="4">
        <f>F545</f>
        <v/>
      </c>
      <c r="BD545" s="3">
        <f>BC545&amp;"|"&amp;INT(M545/SEG_ANIO)*SEG_ANIO</f>
        <v/>
      </c>
      <c r="BE545" s="3">
        <f>BD545&amp;"|"&amp;INT(N545/SEG_KM)*SEG_KM</f>
        <v/>
      </c>
      <c r="BF545" s="4">
        <f>COUNTIF($BC$2:$BC$545,BC545)</f>
        <v/>
      </c>
      <c r="BG545" s="4">
        <f>COUNTIF($BD$2:$BD$545,BD545)</f>
        <v/>
      </c>
      <c r="BH545" s="4">
        <f>COUNTIF($BE$2:$BE$545,BE545)</f>
        <v/>
      </c>
      <c r="BI545" s="3">
        <f t="array" ref="BI545">IF(N(AU545)&gt;=MIN_N,AT545,IF(BH545&gt;=MIN_N,MEDIAN(IF($BE$2:$BE$545=BE545,$O$2:$O$545)),IF(BG545&gt;=MIN_N,MEDIAN(IF($BD$2:$BD$545=BD545,$O$2:$O$545)),MEDIAN(IF($BC$2:$BC$545=BC545,$O$2:$O$545)))))</f>
        <v/>
      </c>
      <c r="BJ545" s="3">
        <f>IF(N(AU545)&gt;=MIN_N,"mercado "&amp;AV545,IF(BH545&gt;=MIN_N,"modelo+año+km",IF(BG545&gt;=MIN_N,"modelo+año","modelo")))</f>
        <v/>
      </c>
      <c r="BK545" s="4">
        <f>(BI545-O545)/BI545</f>
        <v/>
      </c>
      <c r="BL545" s="3">
        <f>IF(COUNTIFS(FR_FUEL,K545,FR_YEAR,AP545)&gt;0,1,0)</f>
        <v/>
      </c>
      <c r="BM545" s="3">
        <f>IF(COUNTIFS(FR_FUEL,K545,FR_YEAR,AP545-1)&gt;0,1,0)</f>
        <v/>
      </c>
      <c r="BN545" s="4">
        <f>IF(N(AQ545)&gt;0,AP545*100+AQ545,IF(AND(BL545=1,BM545=1),(AP545-1)*100+1,AP545*100+1))</f>
        <v/>
      </c>
      <c r="BO545" s="3">
        <f>IF(OR(K545="hibrido",K545="glp",K545="gnc",K545="phev"),"ECO",IF(K545="electrico","CERO",IF(K545="gasolina",IF(BN545&gt;=GAS_C_YM,"C",IF(BN545&gt;=GAS_B_YM,"B","A")),IF(K545="diesel",IF(BN545&gt;=DIE_C_YM,"C",IF(BN545&gt;=DIE_B_YM,"B","A")),""))))</f>
        <v/>
      </c>
      <c r="BP545" s="2" t="inlineStr">
        <is>
          <t>C</t>
        </is>
      </c>
      <c r="BQ545" s="4">
        <f>IF(AS545="regla",IF(AND(N(AQ545)=0,BL545=1),"sí","no"),"no")</f>
        <v/>
      </c>
      <c r="BR545" s="3">
        <f>IFERROR(VLOOKUP(F545,MOD_TBL,11,0),IFERROR(VLOOKUP(E545,OCU_TBL,2,0),NEUTRO))</f>
        <v/>
      </c>
      <c r="BS545" s="3">
        <f>SUMIFS(MOT_AJUSTE,MOT_MOTOR,G545,MOT_MARCA,E545,MOT_DESDE,"&lt;="&amp;M545,MOT_HASTA,"&gt;="&amp;M545)+SUMIFS(MOT_AJUSTE,MOT_MOTOR,G545,MOT_MARCA,"(todas)",MOT_DESDE,"&lt;="&amp;M545,MOT_HASTA,"&gt;="&amp;M545)</f>
        <v/>
      </c>
      <c r="BT545" s="3">
        <f>SUMIFS(COMB_AJUSTE,COMB_COMB,K545)</f>
        <v/>
      </c>
      <c r="BU545" s="3">
        <f>COUNTIFS(MOT_MOTOR,G545,MOT_MARCA,E545,MOT_DESDE,"&lt;="&amp;M545,MOT_HASTA,"&gt;="&amp;M545)+COUNTIFS(MOT_MOTOR,G545,MOT_MARCA,"(todas)",MOT_DESDE,"&lt;="&amp;M545,MOT_HASTA,"&gt;="&amp;M545)</f>
        <v/>
      </c>
      <c r="BV545" s="3">
        <f>IF(AND(K545="diesel",BU545=0),MIN(BR545,NEUTRO),BR545)</f>
        <v/>
      </c>
      <c r="BW545" s="4">
        <f>MAX(0,MIN(100,BV545+BS545+BT545))</f>
        <v/>
      </c>
      <c r="BX545" s="3">
        <f>MAX(0,MIN(100,50+BK545*PRECIO_PEND))</f>
        <v/>
      </c>
      <c r="BY545" s="3">
        <f>MAX(0,100*(1-N545/KM_MAX))</f>
        <v/>
      </c>
      <c r="BZ545" s="3">
        <f>IF(BB545&lt;KMA_SOSP,IF(AA545="sí",100,KMA_PEN),IF(BB545&lt;=KMA_IDEAL_MAX,100,MAX(0,100*(KMA_CERO-BB545)/(KMA_CERO-KMA_IDEAL_MAX))))</f>
        <v/>
      </c>
      <c r="CA545" s="3">
        <f>MAX(0,MIN(100,100*(M545-ANIO_MIN)/(ANIO_ACTUAL-ANIO_MIN)))</f>
        <v/>
      </c>
      <c r="CB545" s="3">
        <f>W_KMT*BY545+W_KMA*BZ545+W_EDAD*CA545</f>
        <v/>
      </c>
      <c r="CC545" s="3">
        <f>P_ITV*(V545="sí")+P_LIBRO*(W545="sí")+P_CORREA*(X545="sí")+P_PROP*(Y545=1)+P_GAR*(Z545="sí")+P_FOTOS*MIN(1,N(U545)/FOTOS_OBJ)</f>
        <v/>
      </c>
      <c r="CD545" s="3">
        <f>MAX(0,MIN(100,IFERROR(VLOOKUP(BP545,ETQ_TBL,2,0),0)-IF(BQ545="sí",ETQ_PEN_DUD,IF(AS545="regla",ETQ_PEN_REGLA,0))))</f>
        <v/>
      </c>
      <c r="CE545" s="3">
        <f>NEUTRO</f>
        <v/>
      </c>
      <c r="CF545" s="3">
        <f>IFERROR(VLOOKUP(L545,SEGURO_TBL,3,0),"")</f>
        <v/>
      </c>
      <c r="CG545" s="3">
        <f>IF(CF545="",NEUTRO,MAX(0,MIN(100,100*(SEG_REF_MAX-CF545)/(SEG_REF_MAX-SEG_REF_MIN))))</f>
        <v/>
      </c>
      <c r="CH545" s="3">
        <f>W_CONS*CE545+W_SEG*CG545</f>
        <v/>
      </c>
      <c r="CI545" s="3">
        <f>IF(N(AB545)&gt;0,AB545,IF(AND(R545="profesional",SG_LEGAL_ON=1),GAR_LEGAL,0))</f>
        <v/>
      </c>
      <c r="CJ545" s="3">
        <f>SG_GAR*MIN(1,CI545/SG_GAR_FULL)+SG_AMPL*(AC545="sí")+SG_KMC*(AF545="sí")+SG_REV*(N(AE545)&gt;0)+SG_DEV*MIN(1,N(AG545)/SG_DEV_FULL)+SG_HIST*(W545="sí")</f>
        <v/>
      </c>
      <c r="CK545" s="3">
        <f>IFERROR(VLOOKUP(L545,CARR_PEN_TBL,2,0),0)</f>
        <v/>
      </c>
      <c r="CL545" s="3">
        <f>W_FIAB*BW545+W_PRECIO*BX545+W_KMEDAD*CB545+W_ANUNCIO*CC545+W_USO*CH545+W_SEGURIDAD*CJ545+W_ETIQUETA*CD545-CK545</f>
        <v/>
      </c>
      <c r="CM545" s="4">
        <f>IF(N(I545)&gt;0,I545,IFERROR(ROUND(_xlfn.NUMBERVALUE(LEFT(G545,FIND(" ",G545&amp;" ")-1),".")*1000,0),99999))</f>
        <v/>
      </c>
      <c r="CN545" s="3">
        <f>IF(R545="profesional",0,IF(O545&lt;CUOTA_VALOR_MAX,IF(BA545&gt;ITP_TRAMO_ALTO,SUMIFS(CF_CUOTA,CF_MAS,ITP_TRAMO_ALTO,CF_CCMIN,"&lt;="&amp;CM545,CF_CCMAX,"&gt;="&amp;CM545),IF(BA545&gt;ITP_TRAMO_BAJO,SUMIFS(CF_CUOTA,CF_MAS,ITP_TRAMO_BAJO,CF_CCMIN,"&lt;="&amp;CM545,CF_CCMAX,"&gt;="&amp;CM545),O545*ITP_TIPO)),O545*ITP_TIPO))</f>
        <v/>
      </c>
      <c r="CO545" s="4">
        <f>IF(R545="profesional",N(AK545),0)</f>
        <v/>
      </c>
      <c r="CP545" s="3">
        <f>IF(AND(R545="profesional",ISNUMBER(AK545),AL545="sí"),0,TASA_DGT)</f>
        <v/>
      </c>
      <c r="CQ545" s="3">
        <f>INFORME_DGT</f>
        <v/>
      </c>
      <c r="CR545" s="4">
        <f>O545+CO545+CN545+CP545+CQ545</f>
        <v/>
      </c>
      <c r="CS545" s="4">
        <f>CR545+N(CF545)</f>
        <v/>
      </c>
      <c r="CT545" s="3">
        <f>IF(CR545&lt;=TOTAL_MAX,"sí",IF(CR545&lt;=TOTAL_MAX+MARGEN_NEG,"negociar","no"))</f>
        <v/>
      </c>
      <c r="CU545" s="4">
        <f>IF(CT545&lt;&gt;"no",COUNTIFS($CT$2:$CT$545,"&lt;&gt;no",$CL$2:$CL$545,"&gt;"&amp;CL545)+COUNTIFS($CT$2:CT545,"&lt;&gt;no",$CL$2:CL545,CL545),"")</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 xmlns:r="http://schemas.openxmlformats.org/officeDocument/2006/relationships" ref="C537" r:id="rId536"/>
    <hyperlink xmlns:r="http://schemas.openxmlformats.org/officeDocument/2006/relationships" ref="C538" r:id="rId537"/>
    <hyperlink xmlns:r="http://schemas.openxmlformats.org/officeDocument/2006/relationships" ref="C539" r:id="rId538"/>
    <hyperlink xmlns:r="http://schemas.openxmlformats.org/officeDocument/2006/relationships" ref="C540" r:id="rId539"/>
    <hyperlink xmlns:r="http://schemas.openxmlformats.org/officeDocument/2006/relationships" ref="C541" r:id="rId540"/>
    <hyperlink xmlns:r="http://schemas.openxmlformats.org/officeDocument/2006/relationships" ref="C542" r:id="rId541"/>
    <hyperlink xmlns:r="http://schemas.openxmlformats.org/officeDocument/2006/relationships" ref="C543" r:id="rId542"/>
    <hyperlink xmlns:r="http://schemas.openxmlformats.org/officeDocument/2006/relationships" ref="C544" r:id="rId543"/>
    <hyperlink xmlns:r="http://schemas.openxmlformats.org/officeDocument/2006/relationships" ref="C545" r:id="rId54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Precio financiado (€)</t>
        </is>
      </c>
      <c r="Q1" s="1" t="inlineStr">
        <is>
          <t>Garantía efectiva (meses)</t>
        </is>
      </c>
      <c r="R1" s="1" t="inlineStr">
        <is>
          <t>Gastos vendedor (€)</t>
        </is>
      </c>
      <c r="S1" s="1" t="inlineStr">
        <is>
          <t>ITP (€)</t>
        </is>
      </c>
      <c r="T1" s="1" t="inlineStr">
        <is>
          <t>Coste total (€)</t>
        </is>
      </c>
      <c r="U1" s="1" t="inlineStr">
        <is>
          <t>Mediana segmento (€)</t>
        </is>
      </c>
      <c r="V1" s="1" t="inlineStr">
        <is>
          <t>Descuento</t>
        </is>
      </c>
      <c r="W1" s="1" t="inlineStr">
        <is>
          <t>Etiqueta</t>
        </is>
      </c>
      <c r="X1" s="1" t="inlineStr">
        <is>
          <t>Fuente etiqueta</t>
        </is>
      </c>
      <c r="Y1" s="1" t="inlineStr">
        <is>
          <t>Etiqueta dudosa</t>
        </is>
      </c>
      <c r="Z1" s="1" t="inlineStr">
        <is>
          <t>P. Fiabilidad</t>
        </is>
      </c>
      <c r="AA1" s="1" t="inlineStr">
        <is>
          <t>P. Precio</t>
        </is>
      </c>
      <c r="AB1" s="1" t="inlineStr">
        <is>
          <t>P. Km y edad</t>
        </is>
      </c>
      <c r="AC1" s="1" t="inlineStr">
        <is>
          <t>P. Anuncio</t>
        </is>
      </c>
      <c r="AD1" s="1" t="inlineStr">
        <is>
          <t>P. Coste uso</t>
        </is>
      </c>
      <c r="AE1" s="1" t="inlineStr">
        <is>
          <t>P. Seguridad compra</t>
        </is>
      </c>
      <c r="AF1" s="1" t="inlineStr">
        <is>
          <t>P. Etiqueta y ZBE</t>
        </is>
      </c>
      <c r="AG1" s="1" t="inlineStr">
        <is>
          <t>PUNTUACIÓN</t>
        </is>
      </c>
      <c r="AH1" s="1" t="inlineStr">
        <is>
          <t>Avisos</t>
        </is>
      </c>
      <c r="AI1" s="1" t="inlineStr">
        <is>
          <t>Aport. fiabilidad</t>
        </is>
      </c>
      <c r="AJ1" s="1" t="inlineStr">
        <is>
          <t>Aport. precio</t>
        </is>
      </c>
      <c r="AK1" s="1" t="inlineStr">
        <is>
          <t>Aport. km/edad</t>
        </is>
      </c>
      <c r="AL1" s="1" t="inlineStr">
        <is>
          <t>Aport. anuncio</t>
        </is>
      </c>
      <c r="AM1" s="1" t="inlineStr">
        <is>
          <t>Aport. uso</t>
        </is>
      </c>
      <c r="AN1" s="1" t="inlineStr">
        <is>
          <t>Aport. seguridad</t>
        </is>
      </c>
      <c r="AO1" s="1" t="inlineStr">
        <is>
          <t>Aport. etiqueta</t>
        </is>
      </c>
    </row>
    <row r="2">
      <c r="A2" s="2" t="n">
        <v>1</v>
      </c>
      <c r="B2" s="3">
        <f>IFERROR(MATCH(A2,Anuncios!$CU$2:$CU$545,0),"")</f>
        <v/>
      </c>
      <c r="C2" s="3">
        <f>IF(B2="","",HYPERLINK(INDEX(Anuncios!$C$2:$C$545,B2),"Abrir anuncio"))</f>
        <v/>
      </c>
      <c r="D2" s="3">
        <f>IF($B2="","",INDEX(Anuncios!$D$2:$D$545,$B2))</f>
        <v/>
      </c>
      <c r="E2" s="3">
        <f>IF($B2="","",INDEX(Anuncios!$B$2:$B$545,$B2))</f>
        <v/>
      </c>
      <c r="F2" s="3">
        <f>IF($B2="","",INDEX(Anuncios!$E$2:$E$545,$B2))</f>
        <v/>
      </c>
      <c r="G2" s="3">
        <f>IF($B2="","",INDEX(Anuncios!$F$2:$F$545,$B2))</f>
        <v/>
      </c>
      <c r="H2" s="3">
        <f>IF($B2="","",INDEX(Anuncios!$G$2:$G$545,$B2))</f>
        <v/>
      </c>
      <c r="I2" s="3">
        <f>IF($B2="","",INDEX(Anuncios!$K$2:$K$545,$B2))</f>
        <v/>
      </c>
      <c r="J2" s="3">
        <f>IF($B2="","",INDEX(Anuncios!$M$2:$M$545,$B2))</f>
        <v/>
      </c>
      <c r="K2" s="3">
        <f>IF($B2="","",INDEX(Anuncios!$N$2:$N$545,$B2))</f>
        <v/>
      </c>
      <c r="L2" s="3">
        <f>IF($B2="","",INDEX(Anuncios!$Q$2:$Q$545,$B2))</f>
        <v/>
      </c>
      <c r="M2" s="3">
        <f>IF($B2="","",INDEX(Anuncios!$R$2:$R$545,$B2))</f>
        <v/>
      </c>
      <c r="N2" s="3">
        <f>IF($B2="","",INDEX(Anuncios!$O$2:$O$545,$B2))</f>
        <v/>
      </c>
      <c r="O2" s="3">
        <f>IF($B2="","",INDEX(Anuncios!$AJ$2:$AJ$545,$B2))</f>
        <v/>
      </c>
      <c r="P2" s="3">
        <f>IF($B2="","",INDEX(Anuncios!$AI$2:$AI$545,$B2))</f>
        <v/>
      </c>
      <c r="Q2" s="3">
        <f>IF($B2="","",INDEX(Anuncios!$CI$2:$CI$545,$B2))</f>
        <v/>
      </c>
      <c r="R2" s="3">
        <f>IF($B2="","",INDEX(Anuncios!$CO$2:$CO$545,$B2))</f>
        <v/>
      </c>
      <c r="S2" s="3">
        <f>IF($B2="","",INDEX(Anuncios!$CN$2:$CN$545,$B2))</f>
        <v/>
      </c>
      <c r="T2" s="3">
        <f>IF($B2="","",INDEX(Anuncios!$CR$2:$CR$545,$B2))</f>
        <v/>
      </c>
      <c r="U2" s="3">
        <f>IF($B2="","",INDEX(Anuncios!$BI$2:$BI$545,$B2))</f>
        <v/>
      </c>
      <c r="V2" s="3">
        <f>IF($B2="","",INDEX(Anuncios!$BK$2:$BK$545,$B2))</f>
        <v/>
      </c>
      <c r="W2" s="3">
        <f>IF($B2="","",INDEX(Anuncios!$BP$2:$BP$545,$B2))</f>
        <v/>
      </c>
      <c r="X2" s="3">
        <f>IF($B2="","",INDEX(Anuncios!$AS$2:$AS$545,$B2))</f>
        <v/>
      </c>
      <c r="Y2" s="3">
        <f>IF($B2="","",INDEX(Anuncios!$BQ$2:$BQ$545,$B2))</f>
        <v/>
      </c>
      <c r="Z2" s="3">
        <f>IF($B2="","",INDEX(Anuncios!$BW$2:$BW$545,$B2))</f>
        <v/>
      </c>
      <c r="AA2" s="3">
        <f>IF($B2="","",INDEX(Anuncios!$BX$2:$BX$545,$B2))</f>
        <v/>
      </c>
      <c r="AB2" s="3">
        <f>IF($B2="","",INDEX(Anuncios!$CB$2:$CB$545,$B2))</f>
        <v/>
      </c>
      <c r="AC2" s="3">
        <f>IF($B2="","",INDEX(Anuncios!$CC$2:$CC$545,$B2))</f>
        <v/>
      </c>
      <c r="AD2" s="3">
        <f>IF($B2="","",INDEX(Anuncios!$CH$2:$CH$545,$B2))</f>
        <v/>
      </c>
      <c r="AE2" s="3">
        <f>IF($B2="","",INDEX(Anuncios!$CJ$2:$CJ$545,$B2))</f>
        <v/>
      </c>
      <c r="AF2" s="3">
        <f>IF($B2="","",INDEX(Anuncios!$CD$2:$CD$545,$B2))</f>
        <v/>
      </c>
      <c r="AG2" s="3">
        <f>IF($B2="","",INDEX(Anuncios!$CL$2:$CL$545,$B2))</f>
        <v/>
      </c>
      <c r="AH2" s="3">
        <f>IF($B2="","",INDEX(Anuncios!$AX$2:$AX$545,$B2))</f>
        <v/>
      </c>
      <c r="AI2" s="3">
        <f>IF($B2="","",Z2*W_FIAB)</f>
        <v/>
      </c>
      <c r="AJ2" s="3">
        <f>IF($B2="","",AA2*W_PRECIO)</f>
        <v/>
      </c>
      <c r="AK2" s="3">
        <f>IF($B2="","",AB2*W_KMEDAD)</f>
        <v/>
      </c>
      <c r="AL2" s="3">
        <f>IF($B2="","",AC2*W_ANUNCIO)</f>
        <v/>
      </c>
      <c r="AM2" s="3">
        <f>IF($B2="","",AD2*W_USO)</f>
        <v/>
      </c>
      <c r="AN2" s="3">
        <f>IF($B2="","",AE2*W_SEGURIDAD)</f>
        <v/>
      </c>
      <c r="AO2" s="3">
        <f>IF($B2="","",AF2*W_ETIQUETA)</f>
        <v/>
      </c>
    </row>
    <row r="3">
      <c r="A3" s="2" t="n">
        <v>2</v>
      </c>
      <c r="B3" s="3">
        <f>IFERROR(MATCH(A3,Anuncios!$CU$2:$CU$545,0),"")</f>
        <v/>
      </c>
      <c r="C3" s="3">
        <f>IF(B3="","",HYPERLINK(INDEX(Anuncios!$C$2:$C$545,B3),"Abrir anuncio"))</f>
        <v/>
      </c>
      <c r="D3" s="3">
        <f>IF($B3="","",INDEX(Anuncios!$D$2:$D$545,$B3))</f>
        <v/>
      </c>
      <c r="E3" s="3">
        <f>IF($B3="","",INDEX(Anuncios!$B$2:$B$545,$B3))</f>
        <v/>
      </c>
      <c r="F3" s="3">
        <f>IF($B3="","",INDEX(Anuncios!$E$2:$E$545,$B3))</f>
        <v/>
      </c>
      <c r="G3" s="3">
        <f>IF($B3="","",INDEX(Anuncios!$F$2:$F$545,$B3))</f>
        <v/>
      </c>
      <c r="H3" s="3">
        <f>IF($B3="","",INDEX(Anuncios!$G$2:$G$545,$B3))</f>
        <v/>
      </c>
      <c r="I3" s="3">
        <f>IF($B3="","",INDEX(Anuncios!$K$2:$K$545,$B3))</f>
        <v/>
      </c>
      <c r="J3" s="3">
        <f>IF($B3="","",INDEX(Anuncios!$M$2:$M$545,$B3))</f>
        <v/>
      </c>
      <c r="K3" s="3">
        <f>IF($B3="","",INDEX(Anuncios!$N$2:$N$545,$B3))</f>
        <v/>
      </c>
      <c r="L3" s="3">
        <f>IF($B3="","",INDEX(Anuncios!$Q$2:$Q$545,$B3))</f>
        <v/>
      </c>
      <c r="M3" s="3">
        <f>IF($B3="","",INDEX(Anuncios!$R$2:$R$545,$B3))</f>
        <v/>
      </c>
      <c r="N3" s="3">
        <f>IF($B3="","",INDEX(Anuncios!$O$2:$O$545,$B3))</f>
        <v/>
      </c>
      <c r="O3" s="3">
        <f>IF($B3="","",INDEX(Anuncios!$AJ$2:$AJ$545,$B3))</f>
        <v/>
      </c>
      <c r="P3" s="3">
        <f>IF($B3="","",INDEX(Anuncios!$AI$2:$AI$545,$B3))</f>
        <v/>
      </c>
      <c r="Q3" s="3">
        <f>IF($B3="","",INDEX(Anuncios!$CI$2:$CI$545,$B3))</f>
        <v/>
      </c>
      <c r="R3" s="3">
        <f>IF($B3="","",INDEX(Anuncios!$CO$2:$CO$545,$B3))</f>
        <v/>
      </c>
      <c r="S3" s="3">
        <f>IF($B3="","",INDEX(Anuncios!$CN$2:$CN$545,$B3))</f>
        <v/>
      </c>
      <c r="T3" s="3">
        <f>IF($B3="","",INDEX(Anuncios!$CR$2:$CR$545,$B3))</f>
        <v/>
      </c>
      <c r="U3" s="3">
        <f>IF($B3="","",INDEX(Anuncios!$BI$2:$BI$545,$B3))</f>
        <v/>
      </c>
      <c r="V3" s="3">
        <f>IF($B3="","",INDEX(Anuncios!$BK$2:$BK$545,$B3))</f>
        <v/>
      </c>
      <c r="W3" s="3">
        <f>IF($B3="","",INDEX(Anuncios!$BP$2:$BP$545,$B3))</f>
        <v/>
      </c>
      <c r="X3" s="3">
        <f>IF($B3="","",INDEX(Anuncios!$AS$2:$AS$545,$B3))</f>
        <v/>
      </c>
      <c r="Y3" s="3">
        <f>IF($B3="","",INDEX(Anuncios!$BQ$2:$BQ$545,$B3))</f>
        <v/>
      </c>
      <c r="Z3" s="3">
        <f>IF($B3="","",INDEX(Anuncios!$BW$2:$BW$545,$B3))</f>
        <v/>
      </c>
      <c r="AA3" s="3">
        <f>IF($B3="","",INDEX(Anuncios!$BX$2:$BX$545,$B3))</f>
        <v/>
      </c>
      <c r="AB3" s="3">
        <f>IF($B3="","",INDEX(Anuncios!$CB$2:$CB$545,$B3))</f>
        <v/>
      </c>
      <c r="AC3" s="3">
        <f>IF($B3="","",INDEX(Anuncios!$CC$2:$CC$545,$B3))</f>
        <v/>
      </c>
      <c r="AD3" s="3">
        <f>IF($B3="","",INDEX(Anuncios!$CH$2:$CH$545,$B3))</f>
        <v/>
      </c>
      <c r="AE3" s="3">
        <f>IF($B3="","",INDEX(Anuncios!$CJ$2:$CJ$545,$B3))</f>
        <v/>
      </c>
      <c r="AF3" s="3">
        <f>IF($B3="","",INDEX(Anuncios!$CD$2:$CD$545,$B3))</f>
        <v/>
      </c>
      <c r="AG3" s="3">
        <f>IF($B3="","",INDEX(Anuncios!$CL$2:$CL$545,$B3))</f>
        <v/>
      </c>
      <c r="AH3" s="3">
        <f>IF($B3="","",INDEX(Anuncios!$AX$2:$AX$545,$B3))</f>
        <v/>
      </c>
      <c r="AI3" s="3">
        <f>IF($B3="","",Z3*W_FIAB)</f>
        <v/>
      </c>
      <c r="AJ3" s="3">
        <f>IF($B3="","",AA3*W_PRECIO)</f>
        <v/>
      </c>
      <c r="AK3" s="3">
        <f>IF($B3="","",AB3*W_KMEDAD)</f>
        <v/>
      </c>
      <c r="AL3" s="3">
        <f>IF($B3="","",AC3*W_ANUNCIO)</f>
        <v/>
      </c>
      <c r="AM3" s="3">
        <f>IF($B3="","",AD3*W_USO)</f>
        <v/>
      </c>
      <c r="AN3" s="3">
        <f>IF($B3="","",AE3*W_SEGURIDAD)</f>
        <v/>
      </c>
      <c r="AO3" s="3">
        <f>IF($B3="","",AF3*W_ETIQUETA)</f>
        <v/>
      </c>
    </row>
    <row r="4">
      <c r="A4" s="2" t="n">
        <v>3</v>
      </c>
      <c r="B4" s="3">
        <f>IFERROR(MATCH(A4,Anuncios!$CU$2:$CU$545,0),"")</f>
        <v/>
      </c>
      <c r="C4" s="3">
        <f>IF(B4="","",HYPERLINK(INDEX(Anuncios!$C$2:$C$545,B4),"Abrir anuncio"))</f>
        <v/>
      </c>
      <c r="D4" s="3">
        <f>IF($B4="","",INDEX(Anuncios!$D$2:$D$545,$B4))</f>
        <v/>
      </c>
      <c r="E4" s="3">
        <f>IF($B4="","",INDEX(Anuncios!$B$2:$B$545,$B4))</f>
        <v/>
      </c>
      <c r="F4" s="3">
        <f>IF($B4="","",INDEX(Anuncios!$E$2:$E$545,$B4))</f>
        <v/>
      </c>
      <c r="G4" s="3">
        <f>IF($B4="","",INDEX(Anuncios!$F$2:$F$545,$B4))</f>
        <v/>
      </c>
      <c r="H4" s="3">
        <f>IF($B4="","",INDEX(Anuncios!$G$2:$G$545,$B4))</f>
        <v/>
      </c>
      <c r="I4" s="3">
        <f>IF($B4="","",INDEX(Anuncios!$K$2:$K$545,$B4))</f>
        <v/>
      </c>
      <c r="J4" s="3">
        <f>IF($B4="","",INDEX(Anuncios!$M$2:$M$545,$B4))</f>
        <v/>
      </c>
      <c r="K4" s="3">
        <f>IF($B4="","",INDEX(Anuncios!$N$2:$N$545,$B4))</f>
        <v/>
      </c>
      <c r="L4" s="3">
        <f>IF($B4="","",INDEX(Anuncios!$Q$2:$Q$545,$B4))</f>
        <v/>
      </c>
      <c r="M4" s="3">
        <f>IF($B4="","",INDEX(Anuncios!$R$2:$R$545,$B4))</f>
        <v/>
      </c>
      <c r="N4" s="3">
        <f>IF($B4="","",INDEX(Anuncios!$O$2:$O$545,$B4))</f>
        <v/>
      </c>
      <c r="O4" s="3">
        <f>IF($B4="","",INDEX(Anuncios!$AJ$2:$AJ$545,$B4))</f>
        <v/>
      </c>
      <c r="P4" s="3">
        <f>IF($B4="","",INDEX(Anuncios!$AI$2:$AI$545,$B4))</f>
        <v/>
      </c>
      <c r="Q4" s="3">
        <f>IF($B4="","",INDEX(Anuncios!$CI$2:$CI$545,$B4))</f>
        <v/>
      </c>
      <c r="R4" s="3">
        <f>IF($B4="","",INDEX(Anuncios!$CO$2:$CO$545,$B4))</f>
        <v/>
      </c>
      <c r="S4" s="3">
        <f>IF($B4="","",INDEX(Anuncios!$CN$2:$CN$545,$B4))</f>
        <v/>
      </c>
      <c r="T4" s="3">
        <f>IF($B4="","",INDEX(Anuncios!$CR$2:$CR$545,$B4))</f>
        <v/>
      </c>
      <c r="U4" s="3">
        <f>IF($B4="","",INDEX(Anuncios!$BI$2:$BI$545,$B4))</f>
        <v/>
      </c>
      <c r="V4" s="3">
        <f>IF($B4="","",INDEX(Anuncios!$BK$2:$BK$545,$B4))</f>
        <v/>
      </c>
      <c r="W4" s="3">
        <f>IF($B4="","",INDEX(Anuncios!$BP$2:$BP$545,$B4))</f>
        <v/>
      </c>
      <c r="X4" s="3">
        <f>IF($B4="","",INDEX(Anuncios!$AS$2:$AS$545,$B4))</f>
        <v/>
      </c>
      <c r="Y4" s="3">
        <f>IF($B4="","",INDEX(Anuncios!$BQ$2:$BQ$545,$B4))</f>
        <v/>
      </c>
      <c r="Z4" s="3">
        <f>IF($B4="","",INDEX(Anuncios!$BW$2:$BW$545,$B4))</f>
        <v/>
      </c>
      <c r="AA4" s="3">
        <f>IF($B4="","",INDEX(Anuncios!$BX$2:$BX$545,$B4))</f>
        <v/>
      </c>
      <c r="AB4" s="3">
        <f>IF($B4="","",INDEX(Anuncios!$CB$2:$CB$545,$B4))</f>
        <v/>
      </c>
      <c r="AC4" s="3">
        <f>IF($B4="","",INDEX(Anuncios!$CC$2:$CC$545,$B4))</f>
        <v/>
      </c>
      <c r="AD4" s="3">
        <f>IF($B4="","",INDEX(Anuncios!$CH$2:$CH$545,$B4))</f>
        <v/>
      </c>
      <c r="AE4" s="3">
        <f>IF($B4="","",INDEX(Anuncios!$CJ$2:$CJ$545,$B4))</f>
        <v/>
      </c>
      <c r="AF4" s="3">
        <f>IF($B4="","",INDEX(Anuncios!$CD$2:$CD$545,$B4))</f>
        <v/>
      </c>
      <c r="AG4" s="3">
        <f>IF($B4="","",INDEX(Anuncios!$CL$2:$CL$545,$B4))</f>
        <v/>
      </c>
      <c r="AH4" s="3">
        <f>IF($B4="","",INDEX(Anuncios!$AX$2:$AX$545,$B4))</f>
        <v/>
      </c>
      <c r="AI4" s="3">
        <f>IF($B4="","",Z4*W_FIAB)</f>
        <v/>
      </c>
      <c r="AJ4" s="3">
        <f>IF($B4="","",AA4*W_PRECIO)</f>
        <v/>
      </c>
      <c r="AK4" s="3">
        <f>IF($B4="","",AB4*W_KMEDAD)</f>
        <v/>
      </c>
      <c r="AL4" s="3">
        <f>IF($B4="","",AC4*W_ANUNCIO)</f>
        <v/>
      </c>
      <c r="AM4" s="3">
        <f>IF($B4="","",AD4*W_USO)</f>
        <v/>
      </c>
      <c r="AN4" s="3">
        <f>IF($B4="","",AE4*W_SEGURIDAD)</f>
        <v/>
      </c>
      <c r="AO4" s="3">
        <f>IF($B4="","",AF4*W_ETIQUETA)</f>
        <v/>
      </c>
    </row>
    <row r="5">
      <c r="A5" s="2" t="n">
        <v>4</v>
      </c>
      <c r="B5" s="3">
        <f>IFERROR(MATCH(A5,Anuncios!$CU$2:$CU$545,0),"")</f>
        <v/>
      </c>
      <c r="C5" s="3">
        <f>IF(B5="","",HYPERLINK(INDEX(Anuncios!$C$2:$C$545,B5),"Abrir anuncio"))</f>
        <v/>
      </c>
      <c r="D5" s="3">
        <f>IF($B5="","",INDEX(Anuncios!$D$2:$D$545,$B5))</f>
        <v/>
      </c>
      <c r="E5" s="3">
        <f>IF($B5="","",INDEX(Anuncios!$B$2:$B$545,$B5))</f>
        <v/>
      </c>
      <c r="F5" s="3">
        <f>IF($B5="","",INDEX(Anuncios!$E$2:$E$545,$B5))</f>
        <v/>
      </c>
      <c r="G5" s="3">
        <f>IF($B5="","",INDEX(Anuncios!$F$2:$F$545,$B5))</f>
        <v/>
      </c>
      <c r="H5" s="3">
        <f>IF($B5="","",INDEX(Anuncios!$G$2:$G$545,$B5))</f>
        <v/>
      </c>
      <c r="I5" s="3">
        <f>IF($B5="","",INDEX(Anuncios!$K$2:$K$545,$B5))</f>
        <v/>
      </c>
      <c r="J5" s="3">
        <f>IF($B5="","",INDEX(Anuncios!$M$2:$M$545,$B5))</f>
        <v/>
      </c>
      <c r="K5" s="3">
        <f>IF($B5="","",INDEX(Anuncios!$N$2:$N$545,$B5))</f>
        <v/>
      </c>
      <c r="L5" s="3">
        <f>IF($B5="","",INDEX(Anuncios!$Q$2:$Q$545,$B5))</f>
        <v/>
      </c>
      <c r="M5" s="3">
        <f>IF($B5="","",INDEX(Anuncios!$R$2:$R$545,$B5))</f>
        <v/>
      </c>
      <c r="N5" s="3">
        <f>IF($B5="","",INDEX(Anuncios!$O$2:$O$545,$B5))</f>
        <v/>
      </c>
      <c r="O5" s="3">
        <f>IF($B5="","",INDEX(Anuncios!$AJ$2:$AJ$545,$B5))</f>
        <v/>
      </c>
      <c r="P5" s="3">
        <f>IF($B5="","",INDEX(Anuncios!$AI$2:$AI$545,$B5))</f>
        <v/>
      </c>
      <c r="Q5" s="3">
        <f>IF($B5="","",INDEX(Anuncios!$CI$2:$CI$545,$B5))</f>
        <v/>
      </c>
      <c r="R5" s="3">
        <f>IF($B5="","",INDEX(Anuncios!$CO$2:$CO$545,$B5))</f>
        <v/>
      </c>
      <c r="S5" s="3">
        <f>IF($B5="","",INDEX(Anuncios!$CN$2:$CN$545,$B5))</f>
        <v/>
      </c>
      <c r="T5" s="3">
        <f>IF($B5="","",INDEX(Anuncios!$CR$2:$CR$545,$B5))</f>
        <v/>
      </c>
      <c r="U5" s="3">
        <f>IF($B5="","",INDEX(Anuncios!$BI$2:$BI$545,$B5))</f>
        <v/>
      </c>
      <c r="V5" s="3">
        <f>IF($B5="","",INDEX(Anuncios!$BK$2:$BK$545,$B5))</f>
        <v/>
      </c>
      <c r="W5" s="3">
        <f>IF($B5="","",INDEX(Anuncios!$BP$2:$BP$545,$B5))</f>
        <v/>
      </c>
      <c r="X5" s="3">
        <f>IF($B5="","",INDEX(Anuncios!$AS$2:$AS$545,$B5))</f>
        <v/>
      </c>
      <c r="Y5" s="3">
        <f>IF($B5="","",INDEX(Anuncios!$BQ$2:$BQ$545,$B5))</f>
        <v/>
      </c>
      <c r="Z5" s="3">
        <f>IF($B5="","",INDEX(Anuncios!$BW$2:$BW$545,$B5))</f>
        <v/>
      </c>
      <c r="AA5" s="3">
        <f>IF($B5="","",INDEX(Anuncios!$BX$2:$BX$545,$B5))</f>
        <v/>
      </c>
      <c r="AB5" s="3">
        <f>IF($B5="","",INDEX(Anuncios!$CB$2:$CB$545,$B5))</f>
        <v/>
      </c>
      <c r="AC5" s="3">
        <f>IF($B5="","",INDEX(Anuncios!$CC$2:$CC$545,$B5))</f>
        <v/>
      </c>
      <c r="AD5" s="3">
        <f>IF($B5="","",INDEX(Anuncios!$CH$2:$CH$545,$B5))</f>
        <v/>
      </c>
      <c r="AE5" s="3">
        <f>IF($B5="","",INDEX(Anuncios!$CJ$2:$CJ$545,$B5))</f>
        <v/>
      </c>
      <c r="AF5" s="3">
        <f>IF($B5="","",INDEX(Anuncios!$CD$2:$CD$545,$B5))</f>
        <v/>
      </c>
      <c r="AG5" s="3">
        <f>IF($B5="","",INDEX(Anuncios!$CL$2:$CL$545,$B5))</f>
        <v/>
      </c>
      <c r="AH5" s="3">
        <f>IF($B5="","",INDEX(Anuncios!$AX$2:$AX$545,$B5))</f>
        <v/>
      </c>
      <c r="AI5" s="3">
        <f>IF($B5="","",Z5*W_FIAB)</f>
        <v/>
      </c>
      <c r="AJ5" s="3">
        <f>IF($B5="","",AA5*W_PRECIO)</f>
        <v/>
      </c>
      <c r="AK5" s="3">
        <f>IF($B5="","",AB5*W_KMEDAD)</f>
        <v/>
      </c>
      <c r="AL5" s="3">
        <f>IF($B5="","",AC5*W_ANUNCIO)</f>
        <v/>
      </c>
      <c r="AM5" s="3">
        <f>IF($B5="","",AD5*W_USO)</f>
        <v/>
      </c>
      <c r="AN5" s="3">
        <f>IF($B5="","",AE5*W_SEGURIDAD)</f>
        <v/>
      </c>
      <c r="AO5" s="3">
        <f>IF($B5="","",AF5*W_ETIQUETA)</f>
        <v/>
      </c>
    </row>
    <row r="6">
      <c r="A6" s="2" t="n">
        <v>5</v>
      </c>
      <c r="B6" s="3">
        <f>IFERROR(MATCH(A6,Anuncios!$CU$2:$CU$545,0),"")</f>
        <v/>
      </c>
      <c r="C6" s="3">
        <f>IF(B6="","",HYPERLINK(INDEX(Anuncios!$C$2:$C$545,B6),"Abrir anuncio"))</f>
        <v/>
      </c>
      <c r="D6" s="3">
        <f>IF($B6="","",INDEX(Anuncios!$D$2:$D$545,$B6))</f>
        <v/>
      </c>
      <c r="E6" s="3">
        <f>IF($B6="","",INDEX(Anuncios!$B$2:$B$545,$B6))</f>
        <v/>
      </c>
      <c r="F6" s="3">
        <f>IF($B6="","",INDEX(Anuncios!$E$2:$E$545,$B6))</f>
        <v/>
      </c>
      <c r="G6" s="3">
        <f>IF($B6="","",INDEX(Anuncios!$F$2:$F$545,$B6))</f>
        <v/>
      </c>
      <c r="H6" s="3">
        <f>IF($B6="","",INDEX(Anuncios!$G$2:$G$545,$B6))</f>
        <v/>
      </c>
      <c r="I6" s="3">
        <f>IF($B6="","",INDEX(Anuncios!$K$2:$K$545,$B6))</f>
        <v/>
      </c>
      <c r="J6" s="3">
        <f>IF($B6="","",INDEX(Anuncios!$M$2:$M$545,$B6))</f>
        <v/>
      </c>
      <c r="K6" s="3">
        <f>IF($B6="","",INDEX(Anuncios!$N$2:$N$545,$B6))</f>
        <v/>
      </c>
      <c r="L6" s="3">
        <f>IF($B6="","",INDEX(Anuncios!$Q$2:$Q$545,$B6))</f>
        <v/>
      </c>
      <c r="M6" s="3">
        <f>IF($B6="","",INDEX(Anuncios!$R$2:$R$545,$B6))</f>
        <v/>
      </c>
      <c r="N6" s="3">
        <f>IF($B6="","",INDEX(Anuncios!$O$2:$O$545,$B6))</f>
        <v/>
      </c>
      <c r="O6" s="3">
        <f>IF($B6="","",INDEX(Anuncios!$AJ$2:$AJ$545,$B6))</f>
        <v/>
      </c>
      <c r="P6" s="3">
        <f>IF($B6="","",INDEX(Anuncios!$AI$2:$AI$545,$B6))</f>
        <v/>
      </c>
      <c r="Q6" s="3">
        <f>IF($B6="","",INDEX(Anuncios!$CI$2:$CI$545,$B6))</f>
        <v/>
      </c>
      <c r="R6" s="3">
        <f>IF($B6="","",INDEX(Anuncios!$CO$2:$CO$545,$B6))</f>
        <v/>
      </c>
      <c r="S6" s="3">
        <f>IF($B6="","",INDEX(Anuncios!$CN$2:$CN$545,$B6))</f>
        <v/>
      </c>
      <c r="T6" s="3">
        <f>IF($B6="","",INDEX(Anuncios!$CR$2:$CR$545,$B6))</f>
        <v/>
      </c>
      <c r="U6" s="3">
        <f>IF($B6="","",INDEX(Anuncios!$BI$2:$BI$545,$B6))</f>
        <v/>
      </c>
      <c r="V6" s="3">
        <f>IF($B6="","",INDEX(Anuncios!$BK$2:$BK$545,$B6))</f>
        <v/>
      </c>
      <c r="W6" s="3">
        <f>IF($B6="","",INDEX(Anuncios!$BP$2:$BP$545,$B6))</f>
        <v/>
      </c>
      <c r="X6" s="3">
        <f>IF($B6="","",INDEX(Anuncios!$AS$2:$AS$545,$B6))</f>
        <v/>
      </c>
      <c r="Y6" s="3">
        <f>IF($B6="","",INDEX(Anuncios!$BQ$2:$BQ$545,$B6))</f>
        <v/>
      </c>
      <c r="Z6" s="3">
        <f>IF($B6="","",INDEX(Anuncios!$BW$2:$BW$545,$B6))</f>
        <v/>
      </c>
      <c r="AA6" s="3">
        <f>IF($B6="","",INDEX(Anuncios!$BX$2:$BX$545,$B6))</f>
        <v/>
      </c>
      <c r="AB6" s="3">
        <f>IF($B6="","",INDEX(Anuncios!$CB$2:$CB$545,$B6))</f>
        <v/>
      </c>
      <c r="AC6" s="3">
        <f>IF($B6="","",INDEX(Anuncios!$CC$2:$CC$545,$B6))</f>
        <v/>
      </c>
      <c r="AD6" s="3">
        <f>IF($B6="","",INDEX(Anuncios!$CH$2:$CH$545,$B6))</f>
        <v/>
      </c>
      <c r="AE6" s="3">
        <f>IF($B6="","",INDEX(Anuncios!$CJ$2:$CJ$545,$B6))</f>
        <v/>
      </c>
      <c r="AF6" s="3">
        <f>IF($B6="","",INDEX(Anuncios!$CD$2:$CD$545,$B6))</f>
        <v/>
      </c>
      <c r="AG6" s="3">
        <f>IF($B6="","",INDEX(Anuncios!$CL$2:$CL$545,$B6))</f>
        <v/>
      </c>
      <c r="AH6" s="3">
        <f>IF($B6="","",INDEX(Anuncios!$AX$2:$AX$545,$B6))</f>
        <v/>
      </c>
      <c r="AI6" s="3">
        <f>IF($B6="","",Z6*W_FIAB)</f>
        <v/>
      </c>
      <c r="AJ6" s="3">
        <f>IF($B6="","",AA6*W_PRECIO)</f>
        <v/>
      </c>
      <c r="AK6" s="3">
        <f>IF($B6="","",AB6*W_KMEDAD)</f>
        <v/>
      </c>
      <c r="AL6" s="3">
        <f>IF($B6="","",AC6*W_ANUNCIO)</f>
        <v/>
      </c>
      <c r="AM6" s="3">
        <f>IF($B6="","",AD6*W_USO)</f>
        <v/>
      </c>
      <c r="AN6" s="3">
        <f>IF($B6="","",AE6*W_SEGURIDAD)</f>
        <v/>
      </c>
      <c r="AO6" s="3">
        <f>IF($B6="","",AF6*W_ETIQUETA)</f>
        <v/>
      </c>
    </row>
    <row r="7">
      <c r="A7" s="2" t="n">
        <v>6</v>
      </c>
      <c r="B7" s="3">
        <f>IFERROR(MATCH(A7,Anuncios!$CU$2:$CU$545,0),"")</f>
        <v/>
      </c>
      <c r="C7" s="3">
        <f>IF(B7="","",HYPERLINK(INDEX(Anuncios!$C$2:$C$545,B7),"Abrir anuncio"))</f>
        <v/>
      </c>
      <c r="D7" s="3">
        <f>IF($B7="","",INDEX(Anuncios!$D$2:$D$545,$B7))</f>
        <v/>
      </c>
      <c r="E7" s="3">
        <f>IF($B7="","",INDEX(Anuncios!$B$2:$B$545,$B7))</f>
        <v/>
      </c>
      <c r="F7" s="3">
        <f>IF($B7="","",INDEX(Anuncios!$E$2:$E$545,$B7))</f>
        <v/>
      </c>
      <c r="G7" s="3">
        <f>IF($B7="","",INDEX(Anuncios!$F$2:$F$545,$B7))</f>
        <v/>
      </c>
      <c r="H7" s="3">
        <f>IF($B7="","",INDEX(Anuncios!$G$2:$G$545,$B7))</f>
        <v/>
      </c>
      <c r="I7" s="3">
        <f>IF($B7="","",INDEX(Anuncios!$K$2:$K$545,$B7))</f>
        <v/>
      </c>
      <c r="J7" s="3">
        <f>IF($B7="","",INDEX(Anuncios!$M$2:$M$545,$B7))</f>
        <v/>
      </c>
      <c r="K7" s="3">
        <f>IF($B7="","",INDEX(Anuncios!$N$2:$N$545,$B7))</f>
        <v/>
      </c>
      <c r="L7" s="3">
        <f>IF($B7="","",INDEX(Anuncios!$Q$2:$Q$545,$B7))</f>
        <v/>
      </c>
      <c r="M7" s="3">
        <f>IF($B7="","",INDEX(Anuncios!$R$2:$R$545,$B7))</f>
        <v/>
      </c>
      <c r="N7" s="3">
        <f>IF($B7="","",INDEX(Anuncios!$O$2:$O$545,$B7))</f>
        <v/>
      </c>
      <c r="O7" s="3">
        <f>IF($B7="","",INDEX(Anuncios!$AJ$2:$AJ$545,$B7))</f>
        <v/>
      </c>
      <c r="P7" s="3">
        <f>IF($B7="","",INDEX(Anuncios!$AI$2:$AI$545,$B7))</f>
        <v/>
      </c>
      <c r="Q7" s="3">
        <f>IF($B7="","",INDEX(Anuncios!$CI$2:$CI$545,$B7))</f>
        <v/>
      </c>
      <c r="R7" s="3">
        <f>IF($B7="","",INDEX(Anuncios!$CO$2:$CO$545,$B7))</f>
        <v/>
      </c>
      <c r="S7" s="3">
        <f>IF($B7="","",INDEX(Anuncios!$CN$2:$CN$545,$B7))</f>
        <v/>
      </c>
      <c r="T7" s="3">
        <f>IF($B7="","",INDEX(Anuncios!$CR$2:$CR$545,$B7))</f>
        <v/>
      </c>
      <c r="U7" s="3">
        <f>IF($B7="","",INDEX(Anuncios!$BI$2:$BI$545,$B7))</f>
        <v/>
      </c>
      <c r="V7" s="3">
        <f>IF($B7="","",INDEX(Anuncios!$BK$2:$BK$545,$B7))</f>
        <v/>
      </c>
      <c r="W7" s="3">
        <f>IF($B7="","",INDEX(Anuncios!$BP$2:$BP$545,$B7))</f>
        <v/>
      </c>
      <c r="X7" s="3">
        <f>IF($B7="","",INDEX(Anuncios!$AS$2:$AS$545,$B7))</f>
        <v/>
      </c>
      <c r="Y7" s="3">
        <f>IF($B7="","",INDEX(Anuncios!$BQ$2:$BQ$545,$B7))</f>
        <v/>
      </c>
      <c r="Z7" s="3">
        <f>IF($B7="","",INDEX(Anuncios!$BW$2:$BW$545,$B7))</f>
        <v/>
      </c>
      <c r="AA7" s="3">
        <f>IF($B7="","",INDEX(Anuncios!$BX$2:$BX$545,$B7))</f>
        <v/>
      </c>
      <c r="AB7" s="3">
        <f>IF($B7="","",INDEX(Anuncios!$CB$2:$CB$545,$B7))</f>
        <v/>
      </c>
      <c r="AC7" s="3">
        <f>IF($B7="","",INDEX(Anuncios!$CC$2:$CC$545,$B7))</f>
        <v/>
      </c>
      <c r="AD7" s="3">
        <f>IF($B7="","",INDEX(Anuncios!$CH$2:$CH$545,$B7))</f>
        <v/>
      </c>
      <c r="AE7" s="3">
        <f>IF($B7="","",INDEX(Anuncios!$CJ$2:$CJ$545,$B7))</f>
        <v/>
      </c>
      <c r="AF7" s="3">
        <f>IF($B7="","",INDEX(Anuncios!$CD$2:$CD$545,$B7))</f>
        <v/>
      </c>
      <c r="AG7" s="3">
        <f>IF($B7="","",INDEX(Anuncios!$CL$2:$CL$545,$B7))</f>
        <v/>
      </c>
      <c r="AH7" s="3">
        <f>IF($B7="","",INDEX(Anuncios!$AX$2:$AX$545,$B7))</f>
        <v/>
      </c>
      <c r="AI7" s="3">
        <f>IF($B7="","",Z7*W_FIAB)</f>
        <v/>
      </c>
      <c r="AJ7" s="3">
        <f>IF($B7="","",AA7*W_PRECIO)</f>
        <v/>
      </c>
      <c r="AK7" s="3">
        <f>IF($B7="","",AB7*W_KMEDAD)</f>
        <v/>
      </c>
      <c r="AL7" s="3">
        <f>IF($B7="","",AC7*W_ANUNCIO)</f>
        <v/>
      </c>
      <c r="AM7" s="3">
        <f>IF($B7="","",AD7*W_USO)</f>
        <v/>
      </c>
      <c r="AN7" s="3">
        <f>IF($B7="","",AE7*W_SEGURIDAD)</f>
        <v/>
      </c>
      <c r="AO7" s="3">
        <f>IF($B7="","",AF7*W_ETIQUETA)</f>
        <v/>
      </c>
    </row>
    <row r="8">
      <c r="A8" s="2" t="n">
        <v>7</v>
      </c>
      <c r="B8" s="3">
        <f>IFERROR(MATCH(A8,Anuncios!$CU$2:$CU$545,0),"")</f>
        <v/>
      </c>
      <c r="C8" s="3">
        <f>IF(B8="","",HYPERLINK(INDEX(Anuncios!$C$2:$C$545,B8),"Abrir anuncio"))</f>
        <v/>
      </c>
      <c r="D8" s="3">
        <f>IF($B8="","",INDEX(Anuncios!$D$2:$D$545,$B8))</f>
        <v/>
      </c>
      <c r="E8" s="3">
        <f>IF($B8="","",INDEX(Anuncios!$B$2:$B$545,$B8))</f>
        <v/>
      </c>
      <c r="F8" s="3">
        <f>IF($B8="","",INDEX(Anuncios!$E$2:$E$545,$B8))</f>
        <v/>
      </c>
      <c r="G8" s="3">
        <f>IF($B8="","",INDEX(Anuncios!$F$2:$F$545,$B8))</f>
        <v/>
      </c>
      <c r="H8" s="3">
        <f>IF($B8="","",INDEX(Anuncios!$G$2:$G$545,$B8))</f>
        <v/>
      </c>
      <c r="I8" s="3">
        <f>IF($B8="","",INDEX(Anuncios!$K$2:$K$545,$B8))</f>
        <v/>
      </c>
      <c r="J8" s="3">
        <f>IF($B8="","",INDEX(Anuncios!$M$2:$M$545,$B8))</f>
        <v/>
      </c>
      <c r="K8" s="3">
        <f>IF($B8="","",INDEX(Anuncios!$N$2:$N$545,$B8))</f>
        <v/>
      </c>
      <c r="L8" s="3">
        <f>IF($B8="","",INDEX(Anuncios!$Q$2:$Q$545,$B8))</f>
        <v/>
      </c>
      <c r="M8" s="3">
        <f>IF($B8="","",INDEX(Anuncios!$R$2:$R$545,$B8))</f>
        <v/>
      </c>
      <c r="N8" s="3">
        <f>IF($B8="","",INDEX(Anuncios!$O$2:$O$545,$B8))</f>
        <v/>
      </c>
      <c r="O8" s="3">
        <f>IF($B8="","",INDEX(Anuncios!$AJ$2:$AJ$545,$B8))</f>
        <v/>
      </c>
      <c r="P8" s="3">
        <f>IF($B8="","",INDEX(Anuncios!$AI$2:$AI$545,$B8))</f>
        <v/>
      </c>
      <c r="Q8" s="3">
        <f>IF($B8="","",INDEX(Anuncios!$CI$2:$CI$545,$B8))</f>
        <v/>
      </c>
      <c r="R8" s="3">
        <f>IF($B8="","",INDEX(Anuncios!$CO$2:$CO$545,$B8))</f>
        <v/>
      </c>
      <c r="S8" s="3">
        <f>IF($B8="","",INDEX(Anuncios!$CN$2:$CN$545,$B8))</f>
        <v/>
      </c>
      <c r="T8" s="3">
        <f>IF($B8="","",INDEX(Anuncios!$CR$2:$CR$545,$B8))</f>
        <v/>
      </c>
      <c r="U8" s="3">
        <f>IF($B8="","",INDEX(Anuncios!$BI$2:$BI$545,$B8))</f>
        <v/>
      </c>
      <c r="V8" s="3">
        <f>IF($B8="","",INDEX(Anuncios!$BK$2:$BK$545,$B8))</f>
        <v/>
      </c>
      <c r="W8" s="3">
        <f>IF($B8="","",INDEX(Anuncios!$BP$2:$BP$545,$B8))</f>
        <v/>
      </c>
      <c r="X8" s="3">
        <f>IF($B8="","",INDEX(Anuncios!$AS$2:$AS$545,$B8))</f>
        <v/>
      </c>
      <c r="Y8" s="3">
        <f>IF($B8="","",INDEX(Anuncios!$BQ$2:$BQ$545,$B8))</f>
        <v/>
      </c>
      <c r="Z8" s="3">
        <f>IF($B8="","",INDEX(Anuncios!$BW$2:$BW$545,$B8))</f>
        <v/>
      </c>
      <c r="AA8" s="3">
        <f>IF($B8="","",INDEX(Anuncios!$BX$2:$BX$545,$B8))</f>
        <v/>
      </c>
      <c r="AB8" s="3">
        <f>IF($B8="","",INDEX(Anuncios!$CB$2:$CB$545,$B8))</f>
        <v/>
      </c>
      <c r="AC8" s="3">
        <f>IF($B8="","",INDEX(Anuncios!$CC$2:$CC$545,$B8))</f>
        <v/>
      </c>
      <c r="AD8" s="3">
        <f>IF($B8="","",INDEX(Anuncios!$CH$2:$CH$545,$B8))</f>
        <v/>
      </c>
      <c r="AE8" s="3">
        <f>IF($B8="","",INDEX(Anuncios!$CJ$2:$CJ$545,$B8))</f>
        <v/>
      </c>
      <c r="AF8" s="3">
        <f>IF($B8="","",INDEX(Anuncios!$CD$2:$CD$545,$B8))</f>
        <v/>
      </c>
      <c r="AG8" s="3">
        <f>IF($B8="","",INDEX(Anuncios!$CL$2:$CL$545,$B8))</f>
        <v/>
      </c>
      <c r="AH8" s="3">
        <f>IF($B8="","",INDEX(Anuncios!$AX$2:$AX$545,$B8))</f>
        <v/>
      </c>
      <c r="AI8" s="3">
        <f>IF($B8="","",Z8*W_FIAB)</f>
        <v/>
      </c>
      <c r="AJ8" s="3">
        <f>IF($B8="","",AA8*W_PRECIO)</f>
        <v/>
      </c>
      <c r="AK8" s="3">
        <f>IF($B8="","",AB8*W_KMEDAD)</f>
        <v/>
      </c>
      <c r="AL8" s="3">
        <f>IF($B8="","",AC8*W_ANUNCIO)</f>
        <v/>
      </c>
      <c r="AM8" s="3">
        <f>IF($B8="","",AD8*W_USO)</f>
        <v/>
      </c>
      <c r="AN8" s="3">
        <f>IF($B8="","",AE8*W_SEGURIDAD)</f>
        <v/>
      </c>
      <c r="AO8" s="3">
        <f>IF($B8="","",AF8*W_ETIQUETA)</f>
        <v/>
      </c>
    </row>
    <row r="9">
      <c r="A9" s="2" t="n">
        <v>8</v>
      </c>
      <c r="B9" s="3">
        <f>IFERROR(MATCH(A9,Anuncios!$CU$2:$CU$545,0),"")</f>
        <v/>
      </c>
      <c r="C9" s="3">
        <f>IF(B9="","",HYPERLINK(INDEX(Anuncios!$C$2:$C$545,B9),"Abrir anuncio"))</f>
        <v/>
      </c>
      <c r="D9" s="3">
        <f>IF($B9="","",INDEX(Anuncios!$D$2:$D$545,$B9))</f>
        <v/>
      </c>
      <c r="E9" s="3">
        <f>IF($B9="","",INDEX(Anuncios!$B$2:$B$545,$B9))</f>
        <v/>
      </c>
      <c r="F9" s="3">
        <f>IF($B9="","",INDEX(Anuncios!$E$2:$E$545,$B9))</f>
        <v/>
      </c>
      <c r="G9" s="3">
        <f>IF($B9="","",INDEX(Anuncios!$F$2:$F$545,$B9))</f>
        <v/>
      </c>
      <c r="H9" s="3">
        <f>IF($B9="","",INDEX(Anuncios!$G$2:$G$545,$B9))</f>
        <v/>
      </c>
      <c r="I9" s="3">
        <f>IF($B9="","",INDEX(Anuncios!$K$2:$K$545,$B9))</f>
        <v/>
      </c>
      <c r="J9" s="3">
        <f>IF($B9="","",INDEX(Anuncios!$M$2:$M$545,$B9))</f>
        <v/>
      </c>
      <c r="K9" s="3">
        <f>IF($B9="","",INDEX(Anuncios!$N$2:$N$545,$B9))</f>
        <v/>
      </c>
      <c r="L9" s="3">
        <f>IF($B9="","",INDEX(Anuncios!$Q$2:$Q$545,$B9))</f>
        <v/>
      </c>
      <c r="M9" s="3">
        <f>IF($B9="","",INDEX(Anuncios!$R$2:$R$545,$B9))</f>
        <v/>
      </c>
      <c r="N9" s="3">
        <f>IF($B9="","",INDEX(Anuncios!$O$2:$O$545,$B9))</f>
        <v/>
      </c>
      <c r="O9" s="3">
        <f>IF($B9="","",INDEX(Anuncios!$AJ$2:$AJ$545,$B9))</f>
        <v/>
      </c>
      <c r="P9" s="3">
        <f>IF($B9="","",INDEX(Anuncios!$AI$2:$AI$545,$B9))</f>
        <v/>
      </c>
      <c r="Q9" s="3">
        <f>IF($B9="","",INDEX(Anuncios!$CI$2:$CI$545,$B9))</f>
        <v/>
      </c>
      <c r="R9" s="3">
        <f>IF($B9="","",INDEX(Anuncios!$CO$2:$CO$545,$B9))</f>
        <v/>
      </c>
      <c r="S9" s="3">
        <f>IF($B9="","",INDEX(Anuncios!$CN$2:$CN$545,$B9))</f>
        <v/>
      </c>
      <c r="T9" s="3">
        <f>IF($B9="","",INDEX(Anuncios!$CR$2:$CR$545,$B9))</f>
        <v/>
      </c>
      <c r="U9" s="3">
        <f>IF($B9="","",INDEX(Anuncios!$BI$2:$BI$545,$B9))</f>
        <v/>
      </c>
      <c r="V9" s="3">
        <f>IF($B9="","",INDEX(Anuncios!$BK$2:$BK$545,$B9))</f>
        <v/>
      </c>
      <c r="W9" s="3">
        <f>IF($B9="","",INDEX(Anuncios!$BP$2:$BP$545,$B9))</f>
        <v/>
      </c>
      <c r="X9" s="3">
        <f>IF($B9="","",INDEX(Anuncios!$AS$2:$AS$545,$B9))</f>
        <v/>
      </c>
      <c r="Y9" s="3">
        <f>IF($B9="","",INDEX(Anuncios!$BQ$2:$BQ$545,$B9))</f>
        <v/>
      </c>
      <c r="Z9" s="3">
        <f>IF($B9="","",INDEX(Anuncios!$BW$2:$BW$545,$B9))</f>
        <v/>
      </c>
      <c r="AA9" s="3">
        <f>IF($B9="","",INDEX(Anuncios!$BX$2:$BX$545,$B9))</f>
        <v/>
      </c>
      <c r="AB9" s="3">
        <f>IF($B9="","",INDEX(Anuncios!$CB$2:$CB$545,$B9))</f>
        <v/>
      </c>
      <c r="AC9" s="3">
        <f>IF($B9="","",INDEX(Anuncios!$CC$2:$CC$545,$B9))</f>
        <v/>
      </c>
      <c r="AD9" s="3">
        <f>IF($B9="","",INDEX(Anuncios!$CH$2:$CH$545,$B9))</f>
        <v/>
      </c>
      <c r="AE9" s="3">
        <f>IF($B9="","",INDEX(Anuncios!$CJ$2:$CJ$545,$B9))</f>
        <v/>
      </c>
      <c r="AF9" s="3">
        <f>IF($B9="","",INDEX(Anuncios!$CD$2:$CD$545,$B9))</f>
        <v/>
      </c>
      <c r="AG9" s="3">
        <f>IF($B9="","",INDEX(Anuncios!$CL$2:$CL$545,$B9))</f>
        <v/>
      </c>
      <c r="AH9" s="3">
        <f>IF($B9="","",INDEX(Anuncios!$AX$2:$AX$545,$B9))</f>
        <v/>
      </c>
      <c r="AI9" s="3">
        <f>IF($B9="","",Z9*W_FIAB)</f>
        <v/>
      </c>
      <c r="AJ9" s="3">
        <f>IF($B9="","",AA9*W_PRECIO)</f>
        <v/>
      </c>
      <c r="AK9" s="3">
        <f>IF($B9="","",AB9*W_KMEDAD)</f>
        <v/>
      </c>
      <c r="AL9" s="3">
        <f>IF($B9="","",AC9*W_ANUNCIO)</f>
        <v/>
      </c>
      <c r="AM9" s="3">
        <f>IF($B9="","",AD9*W_USO)</f>
        <v/>
      </c>
      <c r="AN9" s="3">
        <f>IF($B9="","",AE9*W_SEGURIDAD)</f>
        <v/>
      </c>
      <c r="AO9" s="3">
        <f>IF($B9="","",AF9*W_ETIQUETA)</f>
        <v/>
      </c>
    </row>
    <row r="10">
      <c r="A10" s="2" t="n">
        <v>9</v>
      </c>
      <c r="B10" s="3">
        <f>IFERROR(MATCH(A10,Anuncios!$CU$2:$CU$545,0),"")</f>
        <v/>
      </c>
      <c r="C10" s="3">
        <f>IF(B10="","",HYPERLINK(INDEX(Anuncios!$C$2:$C$545,B10),"Abrir anuncio"))</f>
        <v/>
      </c>
      <c r="D10" s="3">
        <f>IF($B10="","",INDEX(Anuncios!$D$2:$D$545,$B10))</f>
        <v/>
      </c>
      <c r="E10" s="3">
        <f>IF($B10="","",INDEX(Anuncios!$B$2:$B$545,$B10))</f>
        <v/>
      </c>
      <c r="F10" s="3">
        <f>IF($B10="","",INDEX(Anuncios!$E$2:$E$545,$B10))</f>
        <v/>
      </c>
      <c r="G10" s="3">
        <f>IF($B10="","",INDEX(Anuncios!$F$2:$F$545,$B10))</f>
        <v/>
      </c>
      <c r="H10" s="3">
        <f>IF($B10="","",INDEX(Anuncios!$G$2:$G$545,$B10))</f>
        <v/>
      </c>
      <c r="I10" s="3">
        <f>IF($B10="","",INDEX(Anuncios!$K$2:$K$545,$B10))</f>
        <v/>
      </c>
      <c r="J10" s="3">
        <f>IF($B10="","",INDEX(Anuncios!$M$2:$M$545,$B10))</f>
        <v/>
      </c>
      <c r="K10" s="3">
        <f>IF($B10="","",INDEX(Anuncios!$N$2:$N$545,$B10))</f>
        <v/>
      </c>
      <c r="L10" s="3">
        <f>IF($B10="","",INDEX(Anuncios!$Q$2:$Q$545,$B10))</f>
        <v/>
      </c>
      <c r="M10" s="3">
        <f>IF($B10="","",INDEX(Anuncios!$R$2:$R$545,$B10))</f>
        <v/>
      </c>
      <c r="N10" s="3">
        <f>IF($B10="","",INDEX(Anuncios!$O$2:$O$545,$B10))</f>
        <v/>
      </c>
      <c r="O10" s="3">
        <f>IF($B10="","",INDEX(Anuncios!$AJ$2:$AJ$545,$B10))</f>
        <v/>
      </c>
      <c r="P10" s="3">
        <f>IF($B10="","",INDEX(Anuncios!$AI$2:$AI$545,$B10))</f>
        <v/>
      </c>
      <c r="Q10" s="3">
        <f>IF($B10="","",INDEX(Anuncios!$CI$2:$CI$545,$B10))</f>
        <v/>
      </c>
      <c r="R10" s="3">
        <f>IF($B10="","",INDEX(Anuncios!$CO$2:$CO$545,$B10))</f>
        <v/>
      </c>
      <c r="S10" s="3">
        <f>IF($B10="","",INDEX(Anuncios!$CN$2:$CN$545,$B10))</f>
        <v/>
      </c>
      <c r="T10" s="3">
        <f>IF($B10="","",INDEX(Anuncios!$CR$2:$CR$545,$B10))</f>
        <v/>
      </c>
      <c r="U10" s="3">
        <f>IF($B10="","",INDEX(Anuncios!$BI$2:$BI$545,$B10))</f>
        <v/>
      </c>
      <c r="V10" s="3">
        <f>IF($B10="","",INDEX(Anuncios!$BK$2:$BK$545,$B10))</f>
        <v/>
      </c>
      <c r="W10" s="3">
        <f>IF($B10="","",INDEX(Anuncios!$BP$2:$BP$545,$B10))</f>
        <v/>
      </c>
      <c r="X10" s="3">
        <f>IF($B10="","",INDEX(Anuncios!$AS$2:$AS$545,$B10))</f>
        <v/>
      </c>
      <c r="Y10" s="3">
        <f>IF($B10="","",INDEX(Anuncios!$BQ$2:$BQ$545,$B10))</f>
        <v/>
      </c>
      <c r="Z10" s="3">
        <f>IF($B10="","",INDEX(Anuncios!$BW$2:$BW$545,$B10))</f>
        <v/>
      </c>
      <c r="AA10" s="3">
        <f>IF($B10="","",INDEX(Anuncios!$BX$2:$BX$545,$B10))</f>
        <v/>
      </c>
      <c r="AB10" s="3">
        <f>IF($B10="","",INDEX(Anuncios!$CB$2:$CB$545,$B10))</f>
        <v/>
      </c>
      <c r="AC10" s="3">
        <f>IF($B10="","",INDEX(Anuncios!$CC$2:$CC$545,$B10))</f>
        <v/>
      </c>
      <c r="AD10" s="3">
        <f>IF($B10="","",INDEX(Anuncios!$CH$2:$CH$545,$B10))</f>
        <v/>
      </c>
      <c r="AE10" s="3">
        <f>IF($B10="","",INDEX(Anuncios!$CJ$2:$CJ$545,$B10))</f>
        <v/>
      </c>
      <c r="AF10" s="3">
        <f>IF($B10="","",INDEX(Anuncios!$CD$2:$CD$545,$B10))</f>
        <v/>
      </c>
      <c r="AG10" s="3">
        <f>IF($B10="","",INDEX(Anuncios!$CL$2:$CL$545,$B10))</f>
        <v/>
      </c>
      <c r="AH10" s="3">
        <f>IF($B10="","",INDEX(Anuncios!$AX$2:$AX$545,$B10))</f>
        <v/>
      </c>
      <c r="AI10" s="3">
        <f>IF($B10="","",Z10*W_FIAB)</f>
        <v/>
      </c>
      <c r="AJ10" s="3">
        <f>IF($B10="","",AA10*W_PRECIO)</f>
        <v/>
      </c>
      <c r="AK10" s="3">
        <f>IF($B10="","",AB10*W_KMEDAD)</f>
        <v/>
      </c>
      <c r="AL10" s="3">
        <f>IF($B10="","",AC10*W_ANUNCIO)</f>
        <v/>
      </c>
      <c r="AM10" s="3">
        <f>IF($B10="","",AD10*W_USO)</f>
        <v/>
      </c>
      <c r="AN10" s="3">
        <f>IF($B10="","",AE10*W_SEGURIDAD)</f>
        <v/>
      </c>
      <c r="AO10" s="3">
        <f>IF($B10="","",AF10*W_ETIQUETA)</f>
        <v/>
      </c>
    </row>
    <row r="11">
      <c r="A11" s="2" t="n">
        <v>10</v>
      </c>
      <c r="B11" s="3">
        <f>IFERROR(MATCH(A11,Anuncios!$CU$2:$CU$545,0),"")</f>
        <v/>
      </c>
      <c r="C11" s="3">
        <f>IF(B11="","",HYPERLINK(INDEX(Anuncios!$C$2:$C$545,B11),"Abrir anuncio"))</f>
        <v/>
      </c>
      <c r="D11" s="3">
        <f>IF($B11="","",INDEX(Anuncios!$D$2:$D$545,$B11))</f>
        <v/>
      </c>
      <c r="E11" s="3">
        <f>IF($B11="","",INDEX(Anuncios!$B$2:$B$545,$B11))</f>
        <v/>
      </c>
      <c r="F11" s="3">
        <f>IF($B11="","",INDEX(Anuncios!$E$2:$E$545,$B11))</f>
        <v/>
      </c>
      <c r="G11" s="3">
        <f>IF($B11="","",INDEX(Anuncios!$F$2:$F$545,$B11))</f>
        <v/>
      </c>
      <c r="H11" s="3">
        <f>IF($B11="","",INDEX(Anuncios!$G$2:$G$545,$B11))</f>
        <v/>
      </c>
      <c r="I11" s="3">
        <f>IF($B11="","",INDEX(Anuncios!$K$2:$K$545,$B11))</f>
        <v/>
      </c>
      <c r="J11" s="3">
        <f>IF($B11="","",INDEX(Anuncios!$M$2:$M$545,$B11))</f>
        <v/>
      </c>
      <c r="K11" s="3">
        <f>IF($B11="","",INDEX(Anuncios!$N$2:$N$545,$B11))</f>
        <v/>
      </c>
      <c r="L11" s="3">
        <f>IF($B11="","",INDEX(Anuncios!$Q$2:$Q$545,$B11))</f>
        <v/>
      </c>
      <c r="M11" s="3">
        <f>IF($B11="","",INDEX(Anuncios!$R$2:$R$545,$B11))</f>
        <v/>
      </c>
      <c r="N11" s="3">
        <f>IF($B11="","",INDEX(Anuncios!$O$2:$O$545,$B11))</f>
        <v/>
      </c>
      <c r="O11" s="3">
        <f>IF($B11="","",INDEX(Anuncios!$AJ$2:$AJ$545,$B11))</f>
        <v/>
      </c>
      <c r="P11" s="3">
        <f>IF($B11="","",INDEX(Anuncios!$AI$2:$AI$545,$B11))</f>
        <v/>
      </c>
      <c r="Q11" s="3">
        <f>IF($B11="","",INDEX(Anuncios!$CI$2:$CI$545,$B11))</f>
        <v/>
      </c>
      <c r="R11" s="3">
        <f>IF($B11="","",INDEX(Anuncios!$CO$2:$CO$545,$B11))</f>
        <v/>
      </c>
      <c r="S11" s="3">
        <f>IF($B11="","",INDEX(Anuncios!$CN$2:$CN$545,$B11))</f>
        <v/>
      </c>
      <c r="T11" s="3">
        <f>IF($B11="","",INDEX(Anuncios!$CR$2:$CR$545,$B11))</f>
        <v/>
      </c>
      <c r="U11" s="3">
        <f>IF($B11="","",INDEX(Anuncios!$BI$2:$BI$545,$B11))</f>
        <v/>
      </c>
      <c r="V11" s="3">
        <f>IF($B11="","",INDEX(Anuncios!$BK$2:$BK$545,$B11))</f>
        <v/>
      </c>
      <c r="W11" s="3">
        <f>IF($B11="","",INDEX(Anuncios!$BP$2:$BP$545,$B11))</f>
        <v/>
      </c>
      <c r="X11" s="3">
        <f>IF($B11="","",INDEX(Anuncios!$AS$2:$AS$545,$B11))</f>
        <v/>
      </c>
      <c r="Y11" s="3">
        <f>IF($B11="","",INDEX(Anuncios!$BQ$2:$BQ$545,$B11))</f>
        <v/>
      </c>
      <c r="Z11" s="3">
        <f>IF($B11="","",INDEX(Anuncios!$BW$2:$BW$545,$B11))</f>
        <v/>
      </c>
      <c r="AA11" s="3">
        <f>IF($B11="","",INDEX(Anuncios!$BX$2:$BX$545,$B11))</f>
        <v/>
      </c>
      <c r="AB11" s="3">
        <f>IF($B11="","",INDEX(Anuncios!$CB$2:$CB$545,$B11))</f>
        <v/>
      </c>
      <c r="AC11" s="3">
        <f>IF($B11="","",INDEX(Anuncios!$CC$2:$CC$545,$B11))</f>
        <v/>
      </c>
      <c r="AD11" s="3">
        <f>IF($B11="","",INDEX(Anuncios!$CH$2:$CH$545,$B11))</f>
        <v/>
      </c>
      <c r="AE11" s="3">
        <f>IF($B11="","",INDEX(Anuncios!$CJ$2:$CJ$545,$B11))</f>
        <v/>
      </c>
      <c r="AF11" s="3">
        <f>IF($B11="","",INDEX(Anuncios!$CD$2:$CD$545,$B11))</f>
        <v/>
      </c>
      <c r="AG11" s="3">
        <f>IF($B11="","",INDEX(Anuncios!$CL$2:$CL$545,$B11))</f>
        <v/>
      </c>
      <c r="AH11" s="3">
        <f>IF($B11="","",INDEX(Anuncios!$AX$2:$AX$545,$B11))</f>
        <v/>
      </c>
      <c r="AI11" s="3">
        <f>IF($B11="","",Z11*W_FIAB)</f>
        <v/>
      </c>
      <c r="AJ11" s="3">
        <f>IF($B11="","",AA11*W_PRECIO)</f>
        <v/>
      </c>
      <c r="AK11" s="3">
        <f>IF($B11="","",AB11*W_KMEDAD)</f>
        <v/>
      </c>
      <c r="AL11" s="3">
        <f>IF($B11="","",AC11*W_ANUNCIO)</f>
        <v/>
      </c>
      <c r="AM11" s="3">
        <f>IF($B11="","",AD11*W_USO)</f>
        <v/>
      </c>
      <c r="AN11" s="3">
        <f>IF($B11="","",AE11*W_SEGURIDAD)</f>
        <v/>
      </c>
      <c r="AO11" s="3">
        <f>IF($B11="","",AF11*W_ETIQUETA)</f>
        <v/>
      </c>
    </row>
    <row r="12">
      <c r="A12" s="2" t="n">
        <v>11</v>
      </c>
      <c r="B12" s="3">
        <f>IFERROR(MATCH(A12,Anuncios!$CU$2:$CU$545,0),"")</f>
        <v/>
      </c>
      <c r="C12" s="3">
        <f>IF(B12="","",HYPERLINK(INDEX(Anuncios!$C$2:$C$545,B12),"Abrir anuncio"))</f>
        <v/>
      </c>
      <c r="D12" s="3">
        <f>IF($B12="","",INDEX(Anuncios!$D$2:$D$545,$B12))</f>
        <v/>
      </c>
      <c r="E12" s="3">
        <f>IF($B12="","",INDEX(Anuncios!$B$2:$B$545,$B12))</f>
        <v/>
      </c>
      <c r="F12" s="3">
        <f>IF($B12="","",INDEX(Anuncios!$E$2:$E$545,$B12))</f>
        <v/>
      </c>
      <c r="G12" s="3">
        <f>IF($B12="","",INDEX(Anuncios!$F$2:$F$545,$B12))</f>
        <v/>
      </c>
      <c r="H12" s="3">
        <f>IF($B12="","",INDEX(Anuncios!$G$2:$G$545,$B12))</f>
        <v/>
      </c>
      <c r="I12" s="3">
        <f>IF($B12="","",INDEX(Anuncios!$K$2:$K$545,$B12))</f>
        <v/>
      </c>
      <c r="J12" s="3">
        <f>IF($B12="","",INDEX(Anuncios!$M$2:$M$545,$B12))</f>
        <v/>
      </c>
      <c r="K12" s="3">
        <f>IF($B12="","",INDEX(Anuncios!$N$2:$N$545,$B12))</f>
        <v/>
      </c>
      <c r="L12" s="3">
        <f>IF($B12="","",INDEX(Anuncios!$Q$2:$Q$545,$B12))</f>
        <v/>
      </c>
      <c r="M12" s="3">
        <f>IF($B12="","",INDEX(Anuncios!$R$2:$R$545,$B12))</f>
        <v/>
      </c>
      <c r="N12" s="3">
        <f>IF($B12="","",INDEX(Anuncios!$O$2:$O$545,$B12))</f>
        <v/>
      </c>
      <c r="O12" s="3">
        <f>IF($B12="","",INDEX(Anuncios!$AJ$2:$AJ$545,$B12))</f>
        <v/>
      </c>
      <c r="P12" s="3">
        <f>IF($B12="","",INDEX(Anuncios!$AI$2:$AI$545,$B12))</f>
        <v/>
      </c>
      <c r="Q12" s="3">
        <f>IF($B12="","",INDEX(Anuncios!$CI$2:$CI$545,$B12))</f>
        <v/>
      </c>
      <c r="R12" s="3">
        <f>IF($B12="","",INDEX(Anuncios!$CO$2:$CO$545,$B12))</f>
        <v/>
      </c>
      <c r="S12" s="3">
        <f>IF($B12="","",INDEX(Anuncios!$CN$2:$CN$545,$B12))</f>
        <v/>
      </c>
      <c r="T12" s="3">
        <f>IF($B12="","",INDEX(Anuncios!$CR$2:$CR$545,$B12))</f>
        <v/>
      </c>
      <c r="U12" s="3">
        <f>IF($B12="","",INDEX(Anuncios!$BI$2:$BI$545,$B12))</f>
        <v/>
      </c>
      <c r="V12" s="3">
        <f>IF($B12="","",INDEX(Anuncios!$BK$2:$BK$545,$B12))</f>
        <v/>
      </c>
      <c r="W12" s="3">
        <f>IF($B12="","",INDEX(Anuncios!$BP$2:$BP$545,$B12))</f>
        <v/>
      </c>
      <c r="X12" s="3">
        <f>IF($B12="","",INDEX(Anuncios!$AS$2:$AS$545,$B12))</f>
        <v/>
      </c>
      <c r="Y12" s="3">
        <f>IF($B12="","",INDEX(Anuncios!$BQ$2:$BQ$545,$B12))</f>
        <v/>
      </c>
      <c r="Z12" s="3">
        <f>IF($B12="","",INDEX(Anuncios!$BW$2:$BW$545,$B12))</f>
        <v/>
      </c>
      <c r="AA12" s="3">
        <f>IF($B12="","",INDEX(Anuncios!$BX$2:$BX$545,$B12))</f>
        <v/>
      </c>
      <c r="AB12" s="3">
        <f>IF($B12="","",INDEX(Anuncios!$CB$2:$CB$545,$B12))</f>
        <v/>
      </c>
      <c r="AC12" s="3">
        <f>IF($B12="","",INDEX(Anuncios!$CC$2:$CC$545,$B12))</f>
        <v/>
      </c>
      <c r="AD12" s="3">
        <f>IF($B12="","",INDEX(Anuncios!$CH$2:$CH$545,$B12))</f>
        <v/>
      </c>
      <c r="AE12" s="3">
        <f>IF($B12="","",INDEX(Anuncios!$CJ$2:$CJ$545,$B12))</f>
        <v/>
      </c>
      <c r="AF12" s="3">
        <f>IF($B12="","",INDEX(Anuncios!$CD$2:$CD$545,$B12))</f>
        <v/>
      </c>
      <c r="AG12" s="3">
        <f>IF($B12="","",INDEX(Anuncios!$CL$2:$CL$545,$B12))</f>
        <v/>
      </c>
      <c r="AH12" s="3">
        <f>IF($B12="","",INDEX(Anuncios!$AX$2:$AX$545,$B12))</f>
        <v/>
      </c>
      <c r="AI12" s="3">
        <f>IF($B12="","",Z12*W_FIAB)</f>
        <v/>
      </c>
      <c r="AJ12" s="3">
        <f>IF($B12="","",AA12*W_PRECIO)</f>
        <v/>
      </c>
      <c r="AK12" s="3">
        <f>IF($B12="","",AB12*W_KMEDAD)</f>
        <v/>
      </c>
      <c r="AL12" s="3">
        <f>IF($B12="","",AC12*W_ANUNCIO)</f>
        <v/>
      </c>
      <c r="AM12" s="3">
        <f>IF($B12="","",AD12*W_USO)</f>
        <v/>
      </c>
      <c r="AN12" s="3">
        <f>IF($B12="","",AE12*W_SEGURIDAD)</f>
        <v/>
      </c>
      <c r="AO12" s="3">
        <f>IF($B12="","",AF12*W_ETIQUETA)</f>
        <v/>
      </c>
    </row>
    <row r="13">
      <c r="A13" s="2" t="n">
        <v>12</v>
      </c>
      <c r="B13" s="3">
        <f>IFERROR(MATCH(A13,Anuncios!$CU$2:$CU$545,0),"")</f>
        <v/>
      </c>
      <c r="C13" s="3">
        <f>IF(B13="","",HYPERLINK(INDEX(Anuncios!$C$2:$C$545,B13),"Abrir anuncio"))</f>
        <v/>
      </c>
      <c r="D13" s="3">
        <f>IF($B13="","",INDEX(Anuncios!$D$2:$D$545,$B13))</f>
        <v/>
      </c>
      <c r="E13" s="3">
        <f>IF($B13="","",INDEX(Anuncios!$B$2:$B$545,$B13))</f>
        <v/>
      </c>
      <c r="F13" s="3">
        <f>IF($B13="","",INDEX(Anuncios!$E$2:$E$545,$B13))</f>
        <v/>
      </c>
      <c r="G13" s="3">
        <f>IF($B13="","",INDEX(Anuncios!$F$2:$F$545,$B13))</f>
        <v/>
      </c>
      <c r="H13" s="3">
        <f>IF($B13="","",INDEX(Anuncios!$G$2:$G$545,$B13))</f>
        <v/>
      </c>
      <c r="I13" s="3">
        <f>IF($B13="","",INDEX(Anuncios!$K$2:$K$545,$B13))</f>
        <v/>
      </c>
      <c r="J13" s="3">
        <f>IF($B13="","",INDEX(Anuncios!$M$2:$M$545,$B13))</f>
        <v/>
      </c>
      <c r="K13" s="3">
        <f>IF($B13="","",INDEX(Anuncios!$N$2:$N$545,$B13))</f>
        <v/>
      </c>
      <c r="L13" s="3">
        <f>IF($B13="","",INDEX(Anuncios!$Q$2:$Q$545,$B13))</f>
        <v/>
      </c>
      <c r="M13" s="3">
        <f>IF($B13="","",INDEX(Anuncios!$R$2:$R$545,$B13))</f>
        <v/>
      </c>
      <c r="N13" s="3">
        <f>IF($B13="","",INDEX(Anuncios!$O$2:$O$545,$B13))</f>
        <v/>
      </c>
      <c r="O13" s="3">
        <f>IF($B13="","",INDEX(Anuncios!$AJ$2:$AJ$545,$B13))</f>
        <v/>
      </c>
      <c r="P13" s="3">
        <f>IF($B13="","",INDEX(Anuncios!$AI$2:$AI$545,$B13))</f>
        <v/>
      </c>
      <c r="Q13" s="3">
        <f>IF($B13="","",INDEX(Anuncios!$CI$2:$CI$545,$B13))</f>
        <v/>
      </c>
      <c r="R13" s="3">
        <f>IF($B13="","",INDEX(Anuncios!$CO$2:$CO$545,$B13))</f>
        <v/>
      </c>
      <c r="S13" s="3">
        <f>IF($B13="","",INDEX(Anuncios!$CN$2:$CN$545,$B13))</f>
        <v/>
      </c>
      <c r="T13" s="3">
        <f>IF($B13="","",INDEX(Anuncios!$CR$2:$CR$545,$B13))</f>
        <v/>
      </c>
      <c r="U13" s="3">
        <f>IF($B13="","",INDEX(Anuncios!$BI$2:$BI$545,$B13))</f>
        <v/>
      </c>
      <c r="V13" s="3">
        <f>IF($B13="","",INDEX(Anuncios!$BK$2:$BK$545,$B13))</f>
        <v/>
      </c>
      <c r="W13" s="3">
        <f>IF($B13="","",INDEX(Anuncios!$BP$2:$BP$545,$B13))</f>
        <v/>
      </c>
      <c r="X13" s="3">
        <f>IF($B13="","",INDEX(Anuncios!$AS$2:$AS$545,$B13))</f>
        <v/>
      </c>
      <c r="Y13" s="3">
        <f>IF($B13="","",INDEX(Anuncios!$BQ$2:$BQ$545,$B13))</f>
        <v/>
      </c>
      <c r="Z13" s="3">
        <f>IF($B13="","",INDEX(Anuncios!$BW$2:$BW$545,$B13))</f>
        <v/>
      </c>
      <c r="AA13" s="3">
        <f>IF($B13="","",INDEX(Anuncios!$BX$2:$BX$545,$B13))</f>
        <v/>
      </c>
      <c r="AB13" s="3">
        <f>IF($B13="","",INDEX(Anuncios!$CB$2:$CB$545,$B13))</f>
        <v/>
      </c>
      <c r="AC13" s="3">
        <f>IF($B13="","",INDEX(Anuncios!$CC$2:$CC$545,$B13))</f>
        <v/>
      </c>
      <c r="AD13" s="3">
        <f>IF($B13="","",INDEX(Anuncios!$CH$2:$CH$545,$B13))</f>
        <v/>
      </c>
      <c r="AE13" s="3">
        <f>IF($B13="","",INDEX(Anuncios!$CJ$2:$CJ$545,$B13))</f>
        <v/>
      </c>
      <c r="AF13" s="3">
        <f>IF($B13="","",INDEX(Anuncios!$CD$2:$CD$545,$B13))</f>
        <v/>
      </c>
      <c r="AG13" s="3">
        <f>IF($B13="","",INDEX(Anuncios!$CL$2:$CL$545,$B13))</f>
        <v/>
      </c>
      <c r="AH13" s="3">
        <f>IF($B13="","",INDEX(Anuncios!$AX$2:$AX$545,$B13))</f>
        <v/>
      </c>
      <c r="AI13" s="3">
        <f>IF($B13="","",Z13*W_FIAB)</f>
        <v/>
      </c>
      <c r="AJ13" s="3">
        <f>IF($B13="","",AA13*W_PRECIO)</f>
        <v/>
      </c>
      <c r="AK13" s="3">
        <f>IF($B13="","",AB13*W_KMEDAD)</f>
        <v/>
      </c>
      <c r="AL13" s="3">
        <f>IF($B13="","",AC13*W_ANUNCIO)</f>
        <v/>
      </c>
      <c r="AM13" s="3">
        <f>IF($B13="","",AD13*W_USO)</f>
        <v/>
      </c>
      <c r="AN13" s="3">
        <f>IF($B13="","",AE13*W_SEGURIDAD)</f>
        <v/>
      </c>
      <c r="AO13" s="3">
        <f>IF($B13="","",AF13*W_ETIQUETA)</f>
        <v/>
      </c>
    </row>
    <row r="14">
      <c r="A14" s="2" t="n">
        <v>13</v>
      </c>
      <c r="B14" s="3">
        <f>IFERROR(MATCH(A14,Anuncios!$CU$2:$CU$545,0),"")</f>
        <v/>
      </c>
      <c r="C14" s="3">
        <f>IF(B14="","",HYPERLINK(INDEX(Anuncios!$C$2:$C$545,B14),"Abrir anuncio"))</f>
        <v/>
      </c>
      <c r="D14" s="3">
        <f>IF($B14="","",INDEX(Anuncios!$D$2:$D$545,$B14))</f>
        <v/>
      </c>
      <c r="E14" s="3">
        <f>IF($B14="","",INDEX(Anuncios!$B$2:$B$545,$B14))</f>
        <v/>
      </c>
      <c r="F14" s="3">
        <f>IF($B14="","",INDEX(Anuncios!$E$2:$E$545,$B14))</f>
        <v/>
      </c>
      <c r="G14" s="3">
        <f>IF($B14="","",INDEX(Anuncios!$F$2:$F$545,$B14))</f>
        <v/>
      </c>
      <c r="H14" s="3">
        <f>IF($B14="","",INDEX(Anuncios!$G$2:$G$545,$B14))</f>
        <v/>
      </c>
      <c r="I14" s="3">
        <f>IF($B14="","",INDEX(Anuncios!$K$2:$K$545,$B14))</f>
        <v/>
      </c>
      <c r="J14" s="3">
        <f>IF($B14="","",INDEX(Anuncios!$M$2:$M$545,$B14))</f>
        <v/>
      </c>
      <c r="K14" s="3">
        <f>IF($B14="","",INDEX(Anuncios!$N$2:$N$545,$B14))</f>
        <v/>
      </c>
      <c r="L14" s="3">
        <f>IF($B14="","",INDEX(Anuncios!$Q$2:$Q$545,$B14))</f>
        <v/>
      </c>
      <c r="M14" s="3">
        <f>IF($B14="","",INDEX(Anuncios!$R$2:$R$545,$B14))</f>
        <v/>
      </c>
      <c r="N14" s="3">
        <f>IF($B14="","",INDEX(Anuncios!$O$2:$O$545,$B14))</f>
        <v/>
      </c>
      <c r="O14" s="3">
        <f>IF($B14="","",INDEX(Anuncios!$AJ$2:$AJ$545,$B14))</f>
        <v/>
      </c>
      <c r="P14" s="3">
        <f>IF($B14="","",INDEX(Anuncios!$AI$2:$AI$545,$B14))</f>
        <v/>
      </c>
      <c r="Q14" s="3">
        <f>IF($B14="","",INDEX(Anuncios!$CI$2:$CI$545,$B14))</f>
        <v/>
      </c>
      <c r="R14" s="3">
        <f>IF($B14="","",INDEX(Anuncios!$CO$2:$CO$545,$B14))</f>
        <v/>
      </c>
      <c r="S14" s="3">
        <f>IF($B14="","",INDEX(Anuncios!$CN$2:$CN$545,$B14))</f>
        <v/>
      </c>
      <c r="T14" s="3">
        <f>IF($B14="","",INDEX(Anuncios!$CR$2:$CR$545,$B14))</f>
        <v/>
      </c>
      <c r="U14" s="3">
        <f>IF($B14="","",INDEX(Anuncios!$BI$2:$BI$545,$B14))</f>
        <v/>
      </c>
      <c r="V14" s="3">
        <f>IF($B14="","",INDEX(Anuncios!$BK$2:$BK$545,$B14))</f>
        <v/>
      </c>
      <c r="W14" s="3">
        <f>IF($B14="","",INDEX(Anuncios!$BP$2:$BP$545,$B14))</f>
        <v/>
      </c>
      <c r="X14" s="3">
        <f>IF($B14="","",INDEX(Anuncios!$AS$2:$AS$545,$B14))</f>
        <v/>
      </c>
      <c r="Y14" s="3">
        <f>IF($B14="","",INDEX(Anuncios!$BQ$2:$BQ$545,$B14))</f>
        <v/>
      </c>
      <c r="Z14" s="3">
        <f>IF($B14="","",INDEX(Anuncios!$BW$2:$BW$545,$B14))</f>
        <v/>
      </c>
      <c r="AA14" s="3">
        <f>IF($B14="","",INDEX(Anuncios!$BX$2:$BX$545,$B14))</f>
        <v/>
      </c>
      <c r="AB14" s="3">
        <f>IF($B14="","",INDEX(Anuncios!$CB$2:$CB$545,$B14))</f>
        <v/>
      </c>
      <c r="AC14" s="3">
        <f>IF($B14="","",INDEX(Anuncios!$CC$2:$CC$545,$B14))</f>
        <v/>
      </c>
      <c r="AD14" s="3">
        <f>IF($B14="","",INDEX(Anuncios!$CH$2:$CH$545,$B14))</f>
        <v/>
      </c>
      <c r="AE14" s="3">
        <f>IF($B14="","",INDEX(Anuncios!$CJ$2:$CJ$545,$B14))</f>
        <v/>
      </c>
      <c r="AF14" s="3">
        <f>IF($B14="","",INDEX(Anuncios!$CD$2:$CD$545,$B14))</f>
        <v/>
      </c>
      <c r="AG14" s="3">
        <f>IF($B14="","",INDEX(Anuncios!$CL$2:$CL$545,$B14))</f>
        <v/>
      </c>
      <c r="AH14" s="3">
        <f>IF($B14="","",INDEX(Anuncios!$AX$2:$AX$545,$B14))</f>
        <v/>
      </c>
      <c r="AI14" s="3">
        <f>IF($B14="","",Z14*W_FIAB)</f>
        <v/>
      </c>
      <c r="AJ14" s="3">
        <f>IF($B14="","",AA14*W_PRECIO)</f>
        <v/>
      </c>
      <c r="AK14" s="3">
        <f>IF($B14="","",AB14*W_KMEDAD)</f>
        <v/>
      </c>
      <c r="AL14" s="3">
        <f>IF($B14="","",AC14*W_ANUNCIO)</f>
        <v/>
      </c>
      <c r="AM14" s="3">
        <f>IF($B14="","",AD14*W_USO)</f>
        <v/>
      </c>
      <c r="AN14" s="3">
        <f>IF($B14="","",AE14*W_SEGURIDAD)</f>
        <v/>
      </c>
      <c r="AO14" s="3">
        <f>IF($B14="","",AF14*W_ETIQUETA)</f>
        <v/>
      </c>
    </row>
    <row r="15">
      <c r="A15" s="2" t="n">
        <v>14</v>
      </c>
      <c r="B15" s="3">
        <f>IFERROR(MATCH(A15,Anuncios!$CU$2:$CU$545,0),"")</f>
        <v/>
      </c>
      <c r="C15" s="3">
        <f>IF(B15="","",HYPERLINK(INDEX(Anuncios!$C$2:$C$545,B15),"Abrir anuncio"))</f>
        <v/>
      </c>
      <c r="D15" s="3">
        <f>IF($B15="","",INDEX(Anuncios!$D$2:$D$545,$B15))</f>
        <v/>
      </c>
      <c r="E15" s="3">
        <f>IF($B15="","",INDEX(Anuncios!$B$2:$B$545,$B15))</f>
        <v/>
      </c>
      <c r="F15" s="3">
        <f>IF($B15="","",INDEX(Anuncios!$E$2:$E$545,$B15))</f>
        <v/>
      </c>
      <c r="G15" s="3">
        <f>IF($B15="","",INDEX(Anuncios!$F$2:$F$545,$B15))</f>
        <v/>
      </c>
      <c r="H15" s="3">
        <f>IF($B15="","",INDEX(Anuncios!$G$2:$G$545,$B15))</f>
        <v/>
      </c>
      <c r="I15" s="3">
        <f>IF($B15="","",INDEX(Anuncios!$K$2:$K$545,$B15))</f>
        <v/>
      </c>
      <c r="J15" s="3">
        <f>IF($B15="","",INDEX(Anuncios!$M$2:$M$545,$B15))</f>
        <v/>
      </c>
      <c r="K15" s="3">
        <f>IF($B15="","",INDEX(Anuncios!$N$2:$N$545,$B15))</f>
        <v/>
      </c>
      <c r="L15" s="3">
        <f>IF($B15="","",INDEX(Anuncios!$Q$2:$Q$545,$B15))</f>
        <v/>
      </c>
      <c r="M15" s="3">
        <f>IF($B15="","",INDEX(Anuncios!$R$2:$R$545,$B15))</f>
        <v/>
      </c>
      <c r="N15" s="3">
        <f>IF($B15="","",INDEX(Anuncios!$O$2:$O$545,$B15))</f>
        <v/>
      </c>
      <c r="O15" s="3">
        <f>IF($B15="","",INDEX(Anuncios!$AJ$2:$AJ$545,$B15))</f>
        <v/>
      </c>
      <c r="P15" s="3">
        <f>IF($B15="","",INDEX(Anuncios!$AI$2:$AI$545,$B15))</f>
        <v/>
      </c>
      <c r="Q15" s="3">
        <f>IF($B15="","",INDEX(Anuncios!$CI$2:$CI$545,$B15))</f>
        <v/>
      </c>
      <c r="R15" s="3">
        <f>IF($B15="","",INDEX(Anuncios!$CO$2:$CO$545,$B15))</f>
        <v/>
      </c>
      <c r="S15" s="3">
        <f>IF($B15="","",INDEX(Anuncios!$CN$2:$CN$545,$B15))</f>
        <v/>
      </c>
      <c r="T15" s="3">
        <f>IF($B15="","",INDEX(Anuncios!$CR$2:$CR$545,$B15))</f>
        <v/>
      </c>
      <c r="U15" s="3">
        <f>IF($B15="","",INDEX(Anuncios!$BI$2:$BI$545,$B15))</f>
        <v/>
      </c>
      <c r="V15" s="3">
        <f>IF($B15="","",INDEX(Anuncios!$BK$2:$BK$545,$B15))</f>
        <v/>
      </c>
      <c r="W15" s="3">
        <f>IF($B15="","",INDEX(Anuncios!$BP$2:$BP$545,$B15))</f>
        <v/>
      </c>
      <c r="X15" s="3">
        <f>IF($B15="","",INDEX(Anuncios!$AS$2:$AS$545,$B15))</f>
        <v/>
      </c>
      <c r="Y15" s="3">
        <f>IF($B15="","",INDEX(Anuncios!$BQ$2:$BQ$545,$B15))</f>
        <v/>
      </c>
      <c r="Z15" s="3">
        <f>IF($B15="","",INDEX(Anuncios!$BW$2:$BW$545,$B15))</f>
        <v/>
      </c>
      <c r="AA15" s="3">
        <f>IF($B15="","",INDEX(Anuncios!$BX$2:$BX$545,$B15))</f>
        <v/>
      </c>
      <c r="AB15" s="3">
        <f>IF($B15="","",INDEX(Anuncios!$CB$2:$CB$545,$B15))</f>
        <v/>
      </c>
      <c r="AC15" s="3">
        <f>IF($B15="","",INDEX(Anuncios!$CC$2:$CC$545,$B15))</f>
        <v/>
      </c>
      <c r="AD15" s="3">
        <f>IF($B15="","",INDEX(Anuncios!$CH$2:$CH$545,$B15))</f>
        <v/>
      </c>
      <c r="AE15" s="3">
        <f>IF($B15="","",INDEX(Anuncios!$CJ$2:$CJ$545,$B15))</f>
        <v/>
      </c>
      <c r="AF15" s="3">
        <f>IF($B15="","",INDEX(Anuncios!$CD$2:$CD$545,$B15))</f>
        <v/>
      </c>
      <c r="AG15" s="3">
        <f>IF($B15="","",INDEX(Anuncios!$CL$2:$CL$545,$B15))</f>
        <v/>
      </c>
      <c r="AH15" s="3">
        <f>IF($B15="","",INDEX(Anuncios!$AX$2:$AX$545,$B15))</f>
        <v/>
      </c>
      <c r="AI15" s="3">
        <f>IF($B15="","",Z15*W_FIAB)</f>
        <v/>
      </c>
      <c r="AJ15" s="3">
        <f>IF($B15="","",AA15*W_PRECIO)</f>
        <v/>
      </c>
      <c r="AK15" s="3">
        <f>IF($B15="","",AB15*W_KMEDAD)</f>
        <v/>
      </c>
      <c r="AL15" s="3">
        <f>IF($B15="","",AC15*W_ANUNCIO)</f>
        <v/>
      </c>
      <c r="AM15" s="3">
        <f>IF($B15="","",AD15*W_USO)</f>
        <v/>
      </c>
      <c r="AN15" s="3">
        <f>IF($B15="","",AE15*W_SEGURIDAD)</f>
        <v/>
      </c>
      <c r="AO15" s="3">
        <f>IF($B15="","",AF15*W_ETIQUETA)</f>
        <v/>
      </c>
    </row>
    <row r="16">
      <c r="A16" s="2" t="n">
        <v>15</v>
      </c>
      <c r="B16" s="3">
        <f>IFERROR(MATCH(A16,Anuncios!$CU$2:$CU$545,0),"")</f>
        <v/>
      </c>
      <c r="C16" s="3">
        <f>IF(B16="","",HYPERLINK(INDEX(Anuncios!$C$2:$C$545,B16),"Abrir anuncio"))</f>
        <v/>
      </c>
      <c r="D16" s="3">
        <f>IF($B16="","",INDEX(Anuncios!$D$2:$D$545,$B16))</f>
        <v/>
      </c>
      <c r="E16" s="3">
        <f>IF($B16="","",INDEX(Anuncios!$B$2:$B$545,$B16))</f>
        <v/>
      </c>
      <c r="F16" s="3">
        <f>IF($B16="","",INDEX(Anuncios!$E$2:$E$545,$B16))</f>
        <v/>
      </c>
      <c r="G16" s="3">
        <f>IF($B16="","",INDEX(Anuncios!$F$2:$F$545,$B16))</f>
        <v/>
      </c>
      <c r="H16" s="3">
        <f>IF($B16="","",INDEX(Anuncios!$G$2:$G$545,$B16))</f>
        <v/>
      </c>
      <c r="I16" s="3">
        <f>IF($B16="","",INDEX(Anuncios!$K$2:$K$545,$B16))</f>
        <v/>
      </c>
      <c r="J16" s="3">
        <f>IF($B16="","",INDEX(Anuncios!$M$2:$M$545,$B16))</f>
        <v/>
      </c>
      <c r="K16" s="3">
        <f>IF($B16="","",INDEX(Anuncios!$N$2:$N$545,$B16))</f>
        <v/>
      </c>
      <c r="L16" s="3">
        <f>IF($B16="","",INDEX(Anuncios!$Q$2:$Q$545,$B16))</f>
        <v/>
      </c>
      <c r="M16" s="3">
        <f>IF($B16="","",INDEX(Anuncios!$R$2:$R$545,$B16))</f>
        <v/>
      </c>
      <c r="N16" s="3">
        <f>IF($B16="","",INDEX(Anuncios!$O$2:$O$545,$B16))</f>
        <v/>
      </c>
      <c r="O16" s="3">
        <f>IF($B16="","",INDEX(Anuncios!$AJ$2:$AJ$545,$B16))</f>
        <v/>
      </c>
      <c r="P16" s="3">
        <f>IF($B16="","",INDEX(Anuncios!$AI$2:$AI$545,$B16))</f>
        <v/>
      </c>
      <c r="Q16" s="3">
        <f>IF($B16="","",INDEX(Anuncios!$CI$2:$CI$545,$B16))</f>
        <v/>
      </c>
      <c r="R16" s="3">
        <f>IF($B16="","",INDEX(Anuncios!$CO$2:$CO$545,$B16))</f>
        <v/>
      </c>
      <c r="S16" s="3">
        <f>IF($B16="","",INDEX(Anuncios!$CN$2:$CN$545,$B16))</f>
        <v/>
      </c>
      <c r="T16" s="3">
        <f>IF($B16="","",INDEX(Anuncios!$CR$2:$CR$545,$B16))</f>
        <v/>
      </c>
      <c r="U16" s="3">
        <f>IF($B16="","",INDEX(Anuncios!$BI$2:$BI$545,$B16))</f>
        <v/>
      </c>
      <c r="V16" s="3">
        <f>IF($B16="","",INDEX(Anuncios!$BK$2:$BK$545,$B16))</f>
        <v/>
      </c>
      <c r="W16" s="3">
        <f>IF($B16="","",INDEX(Anuncios!$BP$2:$BP$545,$B16))</f>
        <v/>
      </c>
      <c r="X16" s="3">
        <f>IF($B16="","",INDEX(Anuncios!$AS$2:$AS$545,$B16))</f>
        <v/>
      </c>
      <c r="Y16" s="3">
        <f>IF($B16="","",INDEX(Anuncios!$BQ$2:$BQ$545,$B16))</f>
        <v/>
      </c>
      <c r="Z16" s="3">
        <f>IF($B16="","",INDEX(Anuncios!$BW$2:$BW$545,$B16))</f>
        <v/>
      </c>
      <c r="AA16" s="3">
        <f>IF($B16="","",INDEX(Anuncios!$BX$2:$BX$545,$B16))</f>
        <v/>
      </c>
      <c r="AB16" s="3">
        <f>IF($B16="","",INDEX(Anuncios!$CB$2:$CB$545,$B16))</f>
        <v/>
      </c>
      <c r="AC16" s="3">
        <f>IF($B16="","",INDEX(Anuncios!$CC$2:$CC$545,$B16))</f>
        <v/>
      </c>
      <c r="AD16" s="3">
        <f>IF($B16="","",INDEX(Anuncios!$CH$2:$CH$545,$B16))</f>
        <v/>
      </c>
      <c r="AE16" s="3">
        <f>IF($B16="","",INDEX(Anuncios!$CJ$2:$CJ$545,$B16))</f>
        <v/>
      </c>
      <c r="AF16" s="3">
        <f>IF($B16="","",INDEX(Anuncios!$CD$2:$CD$545,$B16))</f>
        <v/>
      </c>
      <c r="AG16" s="3">
        <f>IF($B16="","",INDEX(Anuncios!$CL$2:$CL$545,$B16))</f>
        <v/>
      </c>
      <c r="AH16" s="3">
        <f>IF($B16="","",INDEX(Anuncios!$AX$2:$AX$545,$B16))</f>
        <v/>
      </c>
      <c r="AI16" s="3">
        <f>IF($B16="","",Z16*W_FIAB)</f>
        <v/>
      </c>
      <c r="AJ16" s="3">
        <f>IF($B16="","",AA16*W_PRECIO)</f>
        <v/>
      </c>
      <c r="AK16" s="3">
        <f>IF($B16="","",AB16*W_KMEDAD)</f>
        <v/>
      </c>
      <c r="AL16" s="3">
        <f>IF($B16="","",AC16*W_ANUNCIO)</f>
        <v/>
      </c>
      <c r="AM16" s="3">
        <f>IF($B16="","",AD16*W_USO)</f>
        <v/>
      </c>
      <c r="AN16" s="3">
        <f>IF($B16="","",AE16*W_SEGURIDAD)</f>
        <v/>
      </c>
      <c r="AO16" s="3">
        <f>IF($B16="","",AF16*W_ETIQUETA)</f>
        <v/>
      </c>
    </row>
    <row r="17">
      <c r="A17" s="2" t="n">
        <v>16</v>
      </c>
      <c r="B17" s="3">
        <f>IFERROR(MATCH(A17,Anuncios!$CU$2:$CU$545,0),"")</f>
        <v/>
      </c>
      <c r="C17" s="3">
        <f>IF(B17="","",HYPERLINK(INDEX(Anuncios!$C$2:$C$545,B17),"Abrir anuncio"))</f>
        <v/>
      </c>
      <c r="D17" s="3">
        <f>IF($B17="","",INDEX(Anuncios!$D$2:$D$545,$B17))</f>
        <v/>
      </c>
      <c r="E17" s="3">
        <f>IF($B17="","",INDEX(Anuncios!$B$2:$B$545,$B17))</f>
        <v/>
      </c>
      <c r="F17" s="3">
        <f>IF($B17="","",INDEX(Anuncios!$E$2:$E$545,$B17))</f>
        <v/>
      </c>
      <c r="G17" s="3">
        <f>IF($B17="","",INDEX(Anuncios!$F$2:$F$545,$B17))</f>
        <v/>
      </c>
      <c r="H17" s="3">
        <f>IF($B17="","",INDEX(Anuncios!$G$2:$G$545,$B17))</f>
        <v/>
      </c>
      <c r="I17" s="3">
        <f>IF($B17="","",INDEX(Anuncios!$K$2:$K$545,$B17))</f>
        <v/>
      </c>
      <c r="J17" s="3">
        <f>IF($B17="","",INDEX(Anuncios!$M$2:$M$545,$B17))</f>
        <v/>
      </c>
      <c r="K17" s="3">
        <f>IF($B17="","",INDEX(Anuncios!$N$2:$N$545,$B17))</f>
        <v/>
      </c>
      <c r="L17" s="3">
        <f>IF($B17="","",INDEX(Anuncios!$Q$2:$Q$545,$B17))</f>
        <v/>
      </c>
      <c r="M17" s="3">
        <f>IF($B17="","",INDEX(Anuncios!$R$2:$R$545,$B17))</f>
        <v/>
      </c>
      <c r="N17" s="3">
        <f>IF($B17="","",INDEX(Anuncios!$O$2:$O$545,$B17))</f>
        <v/>
      </c>
      <c r="O17" s="3">
        <f>IF($B17="","",INDEX(Anuncios!$AJ$2:$AJ$545,$B17))</f>
        <v/>
      </c>
      <c r="P17" s="3">
        <f>IF($B17="","",INDEX(Anuncios!$AI$2:$AI$545,$B17))</f>
        <v/>
      </c>
      <c r="Q17" s="3">
        <f>IF($B17="","",INDEX(Anuncios!$CI$2:$CI$545,$B17))</f>
        <v/>
      </c>
      <c r="R17" s="3">
        <f>IF($B17="","",INDEX(Anuncios!$CO$2:$CO$545,$B17))</f>
        <v/>
      </c>
      <c r="S17" s="3">
        <f>IF($B17="","",INDEX(Anuncios!$CN$2:$CN$545,$B17))</f>
        <v/>
      </c>
      <c r="T17" s="3">
        <f>IF($B17="","",INDEX(Anuncios!$CR$2:$CR$545,$B17))</f>
        <v/>
      </c>
      <c r="U17" s="3">
        <f>IF($B17="","",INDEX(Anuncios!$BI$2:$BI$545,$B17))</f>
        <v/>
      </c>
      <c r="V17" s="3">
        <f>IF($B17="","",INDEX(Anuncios!$BK$2:$BK$545,$B17))</f>
        <v/>
      </c>
      <c r="W17" s="3">
        <f>IF($B17="","",INDEX(Anuncios!$BP$2:$BP$545,$B17))</f>
        <v/>
      </c>
      <c r="X17" s="3">
        <f>IF($B17="","",INDEX(Anuncios!$AS$2:$AS$545,$B17))</f>
        <v/>
      </c>
      <c r="Y17" s="3">
        <f>IF($B17="","",INDEX(Anuncios!$BQ$2:$BQ$545,$B17))</f>
        <v/>
      </c>
      <c r="Z17" s="3">
        <f>IF($B17="","",INDEX(Anuncios!$BW$2:$BW$545,$B17))</f>
        <v/>
      </c>
      <c r="AA17" s="3">
        <f>IF($B17="","",INDEX(Anuncios!$BX$2:$BX$545,$B17))</f>
        <v/>
      </c>
      <c r="AB17" s="3">
        <f>IF($B17="","",INDEX(Anuncios!$CB$2:$CB$545,$B17))</f>
        <v/>
      </c>
      <c r="AC17" s="3">
        <f>IF($B17="","",INDEX(Anuncios!$CC$2:$CC$545,$B17))</f>
        <v/>
      </c>
      <c r="AD17" s="3">
        <f>IF($B17="","",INDEX(Anuncios!$CH$2:$CH$545,$B17))</f>
        <v/>
      </c>
      <c r="AE17" s="3">
        <f>IF($B17="","",INDEX(Anuncios!$CJ$2:$CJ$545,$B17))</f>
        <v/>
      </c>
      <c r="AF17" s="3">
        <f>IF($B17="","",INDEX(Anuncios!$CD$2:$CD$545,$B17))</f>
        <v/>
      </c>
      <c r="AG17" s="3">
        <f>IF($B17="","",INDEX(Anuncios!$CL$2:$CL$545,$B17))</f>
        <v/>
      </c>
      <c r="AH17" s="3">
        <f>IF($B17="","",INDEX(Anuncios!$AX$2:$AX$545,$B17))</f>
        <v/>
      </c>
      <c r="AI17" s="3">
        <f>IF($B17="","",Z17*W_FIAB)</f>
        <v/>
      </c>
      <c r="AJ17" s="3">
        <f>IF($B17="","",AA17*W_PRECIO)</f>
        <v/>
      </c>
      <c r="AK17" s="3">
        <f>IF($B17="","",AB17*W_KMEDAD)</f>
        <v/>
      </c>
      <c r="AL17" s="3">
        <f>IF($B17="","",AC17*W_ANUNCIO)</f>
        <v/>
      </c>
      <c r="AM17" s="3">
        <f>IF($B17="","",AD17*W_USO)</f>
        <v/>
      </c>
      <c r="AN17" s="3">
        <f>IF($B17="","",AE17*W_SEGURIDAD)</f>
        <v/>
      </c>
      <c r="AO17" s="3">
        <f>IF($B17="","",AF17*W_ETIQUETA)</f>
        <v/>
      </c>
    </row>
    <row r="18">
      <c r="A18" s="2" t="n">
        <v>17</v>
      </c>
      <c r="B18" s="3">
        <f>IFERROR(MATCH(A18,Anuncios!$CU$2:$CU$545,0),"")</f>
        <v/>
      </c>
      <c r="C18" s="3">
        <f>IF(B18="","",HYPERLINK(INDEX(Anuncios!$C$2:$C$545,B18),"Abrir anuncio"))</f>
        <v/>
      </c>
      <c r="D18" s="3">
        <f>IF($B18="","",INDEX(Anuncios!$D$2:$D$545,$B18))</f>
        <v/>
      </c>
      <c r="E18" s="3">
        <f>IF($B18="","",INDEX(Anuncios!$B$2:$B$545,$B18))</f>
        <v/>
      </c>
      <c r="F18" s="3">
        <f>IF($B18="","",INDEX(Anuncios!$E$2:$E$545,$B18))</f>
        <v/>
      </c>
      <c r="G18" s="3">
        <f>IF($B18="","",INDEX(Anuncios!$F$2:$F$545,$B18))</f>
        <v/>
      </c>
      <c r="H18" s="3">
        <f>IF($B18="","",INDEX(Anuncios!$G$2:$G$545,$B18))</f>
        <v/>
      </c>
      <c r="I18" s="3">
        <f>IF($B18="","",INDEX(Anuncios!$K$2:$K$545,$B18))</f>
        <v/>
      </c>
      <c r="J18" s="3">
        <f>IF($B18="","",INDEX(Anuncios!$M$2:$M$545,$B18))</f>
        <v/>
      </c>
      <c r="K18" s="3">
        <f>IF($B18="","",INDEX(Anuncios!$N$2:$N$545,$B18))</f>
        <v/>
      </c>
      <c r="L18" s="3">
        <f>IF($B18="","",INDEX(Anuncios!$Q$2:$Q$545,$B18))</f>
        <v/>
      </c>
      <c r="M18" s="3">
        <f>IF($B18="","",INDEX(Anuncios!$R$2:$R$545,$B18))</f>
        <v/>
      </c>
      <c r="N18" s="3">
        <f>IF($B18="","",INDEX(Anuncios!$O$2:$O$545,$B18))</f>
        <v/>
      </c>
      <c r="O18" s="3">
        <f>IF($B18="","",INDEX(Anuncios!$AJ$2:$AJ$545,$B18))</f>
        <v/>
      </c>
      <c r="P18" s="3">
        <f>IF($B18="","",INDEX(Anuncios!$AI$2:$AI$545,$B18))</f>
        <v/>
      </c>
      <c r="Q18" s="3">
        <f>IF($B18="","",INDEX(Anuncios!$CI$2:$CI$545,$B18))</f>
        <v/>
      </c>
      <c r="R18" s="3">
        <f>IF($B18="","",INDEX(Anuncios!$CO$2:$CO$545,$B18))</f>
        <v/>
      </c>
      <c r="S18" s="3">
        <f>IF($B18="","",INDEX(Anuncios!$CN$2:$CN$545,$B18))</f>
        <v/>
      </c>
      <c r="T18" s="3">
        <f>IF($B18="","",INDEX(Anuncios!$CR$2:$CR$545,$B18))</f>
        <v/>
      </c>
      <c r="U18" s="3">
        <f>IF($B18="","",INDEX(Anuncios!$BI$2:$BI$545,$B18))</f>
        <v/>
      </c>
      <c r="V18" s="3">
        <f>IF($B18="","",INDEX(Anuncios!$BK$2:$BK$545,$B18))</f>
        <v/>
      </c>
      <c r="W18" s="3">
        <f>IF($B18="","",INDEX(Anuncios!$BP$2:$BP$545,$B18))</f>
        <v/>
      </c>
      <c r="X18" s="3">
        <f>IF($B18="","",INDEX(Anuncios!$AS$2:$AS$545,$B18))</f>
        <v/>
      </c>
      <c r="Y18" s="3">
        <f>IF($B18="","",INDEX(Anuncios!$BQ$2:$BQ$545,$B18))</f>
        <v/>
      </c>
      <c r="Z18" s="3">
        <f>IF($B18="","",INDEX(Anuncios!$BW$2:$BW$545,$B18))</f>
        <v/>
      </c>
      <c r="AA18" s="3">
        <f>IF($B18="","",INDEX(Anuncios!$BX$2:$BX$545,$B18))</f>
        <v/>
      </c>
      <c r="AB18" s="3">
        <f>IF($B18="","",INDEX(Anuncios!$CB$2:$CB$545,$B18))</f>
        <v/>
      </c>
      <c r="AC18" s="3">
        <f>IF($B18="","",INDEX(Anuncios!$CC$2:$CC$545,$B18))</f>
        <v/>
      </c>
      <c r="AD18" s="3">
        <f>IF($B18="","",INDEX(Anuncios!$CH$2:$CH$545,$B18))</f>
        <v/>
      </c>
      <c r="AE18" s="3">
        <f>IF($B18="","",INDEX(Anuncios!$CJ$2:$CJ$545,$B18))</f>
        <v/>
      </c>
      <c r="AF18" s="3">
        <f>IF($B18="","",INDEX(Anuncios!$CD$2:$CD$545,$B18))</f>
        <v/>
      </c>
      <c r="AG18" s="3">
        <f>IF($B18="","",INDEX(Anuncios!$CL$2:$CL$545,$B18))</f>
        <v/>
      </c>
      <c r="AH18" s="3">
        <f>IF($B18="","",INDEX(Anuncios!$AX$2:$AX$545,$B18))</f>
        <v/>
      </c>
      <c r="AI18" s="3">
        <f>IF($B18="","",Z18*W_FIAB)</f>
        <v/>
      </c>
      <c r="AJ18" s="3">
        <f>IF($B18="","",AA18*W_PRECIO)</f>
        <v/>
      </c>
      <c r="AK18" s="3">
        <f>IF($B18="","",AB18*W_KMEDAD)</f>
        <v/>
      </c>
      <c r="AL18" s="3">
        <f>IF($B18="","",AC18*W_ANUNCIO)</f>
        <v/>
      </c>
      <c r="AM18" s="3">
        <f>IF($B18="","",AD18*W_USO)</f>
        <v/>
      </c>
      <c r="AN18" s="3">
        <f>IF($B18="","",AE18*W_SEGURIDAD)</f>
        <v/>
      </c>
      <c r="AO18" s="3">
        <f>IF($B18="","",AF18*W_ETIQUETA)</f>
        <v/>
      </c>
    </row>
    <row r="19">
      <c r="A19" s="2" t="n">
        <v>18</v>
      </c>
      <c r="B19" s="3">
        <f>IFERROR(MATCH(A19,Anuncios!$CU$2:$CU$545,0),"")</f>
        <v/>
      </c>
      <c r="C19" s="3">
        <f>IF(B19="","",HYPERLINK(INDEX(Anuncios!$C$2:$C$545,B19),"Abrir anuncio"))</f>
        <v/>
      </c>
      <c r="D19" s="3">
        <f>IF($B19="","",INDEX(Anuncios!$D$2:$D$545,$B19))</f>
        <v/>
      </c>
      <c r="E19" s="3">
        <f>IF($B19="","",INDEX(Anuncios!$B$2:$B$545,$B19))</f>
        <v/>
      </c>
      <c r="F19" s="3">
        <f>IF($B19="","",INDEX(Anuncios!$E$2:$E$545,$B19))</f>
        <v/>
      </c>
      <c r="G19" s="3">
        <f>IF($B19="","",INDEX(Anuncios!$F$2:$F$545,$B19))</f>
        <v/>
      </c>
      <c r="H19" s="3">
        <f>IF($B19="","",INDEX(Anuncios!$G$2:$G$545,$B19))</f>
        <v/>
      </c>
      <c r="I19" s="3">
        <f>IF($B19="","",INDEX(Anuncios!$K$2:$K$545,$B19))</f>
        <v/>
      </c>
      <c r="J19" s="3">
        <f>IF($B19="","",INDEX(Anuncios!$M$2:$M$545,$B19))</f>
        <v/>
      </c>
      <c r="K19" s="3">
        <f>IF($B19="","",INDEX(Anuncios!$N$2:$N$545,$B19))</f>
        <v/>
      </c>
      <c r="L19" s="3">
        <f>IF($B19="","",INDEX(Anuncios!$Q$2:$Q$545,$B19))</f>
        <v/>
      </c>
      <c r="M19" s="3">
        <f>IF($B19="","",INDEX(Anuncios!$R$2:$R$545,$B19))</f>
        <v/>
      </c>
      <c r="N19" s="3">
        <f>IF($B19="","",INDEX(Anuncios!$O$2:$O$545,$B19))</f>
        <v/>
      </c>
      <c r="O19" s="3">
        <f>IF($B19="","",INDEX(Anuncios!$AJ$2:$AJ$545,$B19))</f>
        <v/>
      </c>
      <c r="P19" s="3">
        <f>IF($B19="","",INDEX(Anuncios!$AI$2:$AI$545,$B19))</f>
        <v/>
      </c>
      <c r="Q19" s="3">
        <f>IF($B19="","",INDEX(Anuncios!$CI$2:$CI$545,$B19))</f>
        <v/>
      </c>
      <c r="R19" s="3">
        <f>IF($B19="","",INDEX(Anuncios!$CO$2:$CO$545,$B19))</f>
        <v/>
      </c>
      <c r="S19" s="3">
        <f>IF($B19="","",INDEX(Anuncios!$CN$2:$CN$545,$B19))</f>
        <v/>
      </c>
      <c r="T19" s="3">
        <f>IF($B19="","",INDEX(Anuncios!$CR$2:$CR$545,$B19))</f>
        <v/>
      </c>
      <c r="U19" s="3">
        <f>IF($B19="","",INDEX(Anuncios!$BI$2:$BI$545,$B19))</f>
        <v/>
      </c>
      <c r="V19" s="3">
        <f>IF($B19="","",INDEX(Anuncios!$BK$2:$BK$545,$B19))</f>
        <v/>
      </c>
      <c r="W19" s="3">
        <f>IF($B19="","",INDEX(Anuncios!$BP$2:$BP$545,$B19))</f>
        <v/>
      </c>
      <c r="X19" s="3">
        <f>IF($B19="","",INDEX(Anuncios!$AS$2:$AS$545,$B19))</f>
        <v/>
      </c>
      <c r="Y19" s="3">
        <f>IF($B19="","",INDEX(Anuncios!$BQ$2:$BQ$545,$B19))</f>
        <v/>
      </c>
      <c r="Z19" s="3">
        <f>IF($B19="","",INDEX(Anuncios!$BW$2:$BW$545,$B19))</f>
        <v/>
      </c>
      <c r="AA19" s="3">
        <f>IF($B19="","",INDEX(Anuncios!$BX$2:$BX$545,$B19))</f>
        <v/>
      </c>
      <c r="AB19" s="3">
        <f>IF($B19="","",INDEX(Anuncios!$CB$2:$CB$545,$B19))</f>
        <v/>
      </c>
      <c r="AC19" s="3">
        <f>IF($B19="","",INDEX(Anuncios!$CC$2:$CC$545,$B19))</f>
        <v/>
      </c>
      <c r="AD19" s="3">
        <f>IF($B19="","",INDEX(Anuncios!$CH$2:$CH$545,$B19))</f>
        <v/>
      </c>
      <c r="AE19" s="3">
        <f>IF($B19="","",INDEX(Anuncios!$CJ$2:$CJ$545,$B19))</f>
        <v/>
      </c>
      <c r="AF19" s="3">
        <f>IF($B19="","",INDEX(Anuncios!$CD$2:$CD$545,$B19))</f>
        <v/>
      </c>
      <c r="AG19" s="3">
        <f>IF($B19="","",INDEX(Anuncios!$CL$2:$CL$545,$B19))</f>
        <v/>
      </c>
      <c r="AH19" s="3">
        <f>IF($B19="","",INDEX(Anuncios!$AX$2:$AX$545,$B19))</f>
        <v/>
      </c>
      <c r="AI19" s="3">
        <f>IF($B19="","",Z19*W_FIAB)</f>
        <v/>
      </c>
      <c r="AJ19" s="3">
        <f>IF($B19="","",AA19*W_PRECIO)</f>
        <v/>
      </c>
      <c r="AK19" s="3">
        <f>IF($B19="","",AB19*W_KMEDAD)</f>
        <v/>
      </c>
      <c r="AL19" s="3">
        <f>IF($B19="","",AC19*W_ANUNCIO)</f>
        <v/>
      </c>
      <c r="AM19" s="3">
        <f>IF($B19="","",AD19*W_USO)</f>
        <v/>
      </c>
      <c r="AN19" s="3">
        <f>IF($B19="","",AE19*W_SEGURIDAD)</f>
        <v/>
      </c>
      <c r="AO19" s="3">
        <f>IF($B19="","",AF19*W_ETIQUETA)</f>
        <v/>
      </c>
    </row>
    <row r="20">
      <c r="A20" s="2" t="n">
        <v>19</v>
      </c>
      <c r="B20" s="3">
        <f>IFERROR(MATCH(A20,Anuncios!$CU$2:$CU$545,0),"")</f>
        <v/>
      </c>
      <c r="C20" s="3">
        <f>IF(B20="","",HYPERLINK(INDEX(Anuncios!$C$2:$C$545,B20),"Abrir anuncio"))</f>
        <v/>
      </c>
      <c r="D20" s="3">
        <f>IF($B20="","",INDEX(Anuncios!$D$2:$D$545,$B20))</f>
        <v/>
      </c>
      <c r="E20" s="3">
        <f>IF($B20="","",INDEX(Anuncios!$B$2:$B$545,$B20))</f>
        <v/>
      </c>
      <c r="F20" s="3">
        <f>IF($B20="","",INDEX(Anuncios!$E$2:$E$545,$B20))</f>
        <v/>
      </c>
      <c r="G20" s="3">
        <f>IF($B20="","",INDEX(Anuncios!$F$2:$F$545,$B20))</f>
        <v/>
      </c>
      <c r="H20" s="3">
        <f>IF($B20="","",INDEX(Anuncios!$G$2:$G$545,$B20))</f>
        <v/>
      </c>
      <c r="I20" s="3">
        <f>IF($B20="","",INDEX(Anuncios!$K$2:$K$545,$B20))</f>
        <v/>
      </c>
      <c r="J20" s="3">
        <f>IF($B20="","",INDEX(Anuncios!$M$2:$M$545,$B20))</f>
        <v/>
      </c>
      <c r="K20" s="3">
        <f>IF($B20="","",INDEX(Anuncios!$N$2:$N$545,$B20))</f>
        <v/>
      </c>
      <c r="L20" s="3">
        <f>IF($B20="","",INDEX(Anuncios!$Q$2:$Q$545,$B20))</f>
        <v/>
      </c>
      <c r="M20" s="3">
        <f>IF($B20="","",INDEX(Anuncios!$R$2:$R$545,$B20))</f>
        <v/>
      </c>
      <c r="N20" s="3">
        <f>IF($B20="","",INDEX(Anuncios!$O$2:$O$545,$B20))</f>
        <v/>
      </c>
      <c r="O20" s="3">
        <f>IF($B20="","",INDEX(Anuncios!$AJ$2:$AJ$545,$B20))</f>
        <v/>
      </c>
      <c r="P20" s="3">
        <f>IF($B20="","",INDEX(Anuncios!$AI$2:$AI$545,$B20))</f>
        <v/>
      </c>
      <c r="Q20" s="3">
        <f>IF($B20="","",INDEX(Anuncios!$CI$2:$CI$545,$B20))</f>
        <v/>
      </c>
      <c r="R20" s="3">
        <f>IF($B20="","",INDEX(Anuncios!$CO$2:$CO$545,$B20))</f>
        <v/>
      </c>
      <c r="S20" s="3">
        <f>IF($B20="","",INDEX(Anuncios!$CN$2:$CN$545,$B20))</f>
        <v/>
      </c>
      <c r="T20" s="3">
        <f>IF($B20="","",INDEX(Anuncios!$CR$2:$CR$545,$B20))</f>
        <v/>
      </c>
      <c r="U20" s="3">
        <f>IF($B20="","",INDEX(Anuncios!$BI$2:$BI$545,$B20))</f>
        <v/>
      </c>
      <c r="V20" s="3">
        <f>IF($B20="","",INDEX(Anuncios!$BK$2:$BK$545,$B20))</f>
        <v/>
      </c>
      <c r="W20" s="3">
        <f>IF($B20="","",INDEX(Anuncios!$BP$2:$BP$545,$B20))</f>
        <v/>
      </c>
      <c r="X20" s="3">
        <f>IF($B20="","",INDEX(Anuncios!$AS$2:$AS$545,$B20))</f>
        <v/>
      </c>
      <c r="Y20" s="3">
        <f>IF($B20="","",INDEX(Anuncios!$BQ$2:$BQ$545,$B20))</f>
        <v/>
      </c>
      <c r="Z20" s="3">
        <f>IF($B20="","",INDEX(Anuncios!$BW$2:$BW$545,$B20))</f>
        <v/>
      </c>
      <c r="AA20" s="3">
        <f>IF($B20="","",INDEX(Anuncios!$BX$2:$BX$545,$B20))</f>
        <v/>
      </c>
      <c r="AB20" s="3">
        <f>IF($B20="","",INDEX(Anuncios!$CB$2:$CB$545,$B20))</f>
        <v/>
      </c>
      <c r="AC20" s="3">
        <f>IF($B20="","",INDEX(Anuncios!$CC$2:$CC$545,$B20))</f>
        <v/>
      </c>
      <c r="AD20" s="3">
        <f>IF($B20="","",INDEX(Anuncios!$CH$2:$CH$545,$B20))</f>
        <v/>
      </c>
      <c r="AE20" s="3">
        <f>IF($B20="","",INDEX(Anuncios!$CJ$2:$CJ$545,$B20))</f>
        <v/>
      </c>
      <c r="AF20" s="3">
        <f>IF($B20="","",INDEX(Anuncios!$CD$2:$CD$545,$B20))</f>
        <v/>
      </c>
      <c r="AG20" s="3">
        <f>IF($B20="","",INDEX(Anuncios!$CL$2:$CL$545,$B20))</f>
        <v/>
      </c>
      <c r="AH20" s="3">
        <f>IF($B20="","",INDEX(Anuncios!$AX$2:$AX$545,$B20))</f>
        <v/>
      </c>
      <c r="AI20" s="3">
        <f>IF($B20="","",Z20*W_FIAB)</f>
        <v/>
      </c>
      <c r="AJ20" s="3">
        <f>IF($B20="","",AA20*W_PRECIO)</f>
        <v/>
      </c>
      <c r="AK20" s="3">
        <f>IF($B20="","",AB20*W_KMEDAD)</f>
        <v/>
      </c>
      <c r="AL20" s="3">
        <f>IF($B20="","",AC20*W_ANUNCIO)</f>
        <v/>
      </c>
      <c r="AM20" s="3">
        <f>IF($B20="","",AD20*W_USO)</f>
        <v/>
      </c>
      <c r="AN20" s="3">
        <f>IF($B20="","",AE20*W_SEGURIDAD)</f>
        <v/>
      </c>
      <c r="AO20" s="3">
        <f>IF($B20="","",AF20*W_ETIQUETA)</f>
        <v/>
      </c>
    </row>
    <row r="21">
      <c r="A21" s="2" t="n">
        <v>20</v>
      </c>
      <c r="B21" s="3">
        <f>IFERROR(MATCH(A21,Anuncios!$CU$2:$CU$545,0),"")</f>
        <v/>
      </c>
      <c r="C21" s="3">
        <f>IF(B21="","",HYPERLINK(INDEX(Anuncios!$C$2:$C$545,B21),"Abrir anuncio"))</f>
        <v/>
      </c>
      <c r="D21" s="3">
        <f>IF($B21="","",INDEX(Anuncios!$D$2:$D$545,$B21))</f>
        <v/>
      </c>
      <c r="E21" s="3">
        <f>IF($B21="","",INDEX(Anuncios!$B$2:$B$545,$B21))</f>
        <v/>
      </c>
      <c r="F21" s="3">
        <f>IF($B21="","",INDEX(Anuncios!$E$2:$E$545,$B21))</f>
        <v/>
      </c>
      <c r="G21" s="3">
        <f>IF($B21="","",INDEX(Anuncios!$F$2:$F$545,$B21))</f>
        <v/>
      </c>
      <c r="H21" s="3">
        <f>IF($B21="","",INDEX(Anuncios!$G$2:$G$545,$B21))</f>
        <v/>
      </c>
      <c r="I21" s="3">
        <f>IF($B21="","",INDEX(Anuncios!$K$2:$K$545,$B21))</f>
        <v/>
      </c>
      <c r="J21" s="3">
        <f>IF($B21="","",INDEX(Anuncios!$M$2:$M$545,$B21))</f>
        <v/>
      </c>
      <c r="K21" s="3">
        <f>IF($B21="","",INDEX(Anuncios!$N$2:$N$545,$B21))</f>
        <v/>
      </c>
      <c r="L21" s="3">
        <f>IF($B21="","",INDEX(Anuncios!$Q$2:$Q$545,$B21))</f>
        <v/>
      </c>
      <c r="M21" s="3">
        <f>IF($B21="","",INDEX(Anuncios!$R$2:$R$545,$B21))</f>
        <v/>
      </c>
      <c r="N21" s="3">
        <f>IF($B21="","",INDEX(Anuncios!$O$2:$O$545,$B21))</f>
        <v/>
      </c>
      <c r="O21" s="3">
        <f>IF($B21="","",INDEX(Anuncios!$AJ$2:$AJ$545,$B21))</f>
        <v/>
      </c>
      <c r="P21" s="3">
        <f>IF($B21="","",INDEX(Anuncios!$AI$2:$AI$545,$B21))</f>
        <v/>
      </c>
      <c r="Q21" s="3">
        <f>IF($B21="","",INDEX(Anuncios!$CI$2:$CI$545,$B21))</f>
        <v/>
      </c>
      <c r="R21" s="3">
        <f>IF($B21="","",INDEX(Anuncios!$CO$2:$CO$545,$B21))</f>
        <v/>
      </c>
      <c r="S21" s="3">
        <f>IF($B21="","",INDEX(Anuncios!$CN$2:$CN$545,$B21))</f>
        <v/>
      </c>
      <c r="T21" s="3">
        <f>IF($B21="","",INDEX(Anuncios!$CR$2:$CR$545,$B21))</f>
        <v/>
      </c>
      <c r="U21" s="3">
        <f>IF($B21="","",INDEX(Anuncios!$BI$2:$BI$545,$B21))</f>
        <v/>
      </c>
      <c r="V21" s="3">
        <f>IF($B21="","",INDEX(Anuncios!$BK$2:$BK$545,$B21))</f>
        <v/>
      </c>
      <c r="W21" s="3">
        <f>IF($B21="","",INDEX(Anuncios!$BP$2:$BP$545,$B21))</f>
        <v/>
      </c>
      <c r="X21" s="3">
        <f>IF($B21="","",INDEX(Anuncios!$AS$2:$AS$545,$B21))</f>
        <v/>
      </c>
      <c r="Y21" s="3">
        <f>IF($B21="","",INDEX(Anuncios!$BQ$2:$BQ$545,$B21))</f>
        <v/>
      </c>
      <c r="Z21" s="3">
        <f>IF($B21="","",INDEX(Anuncios!$BW$2:$BW$545,$B21))</f>
        <v/>
      </c>
      <c r="AA21" s="3">
        <f>IF($B21="","",INDEX(Anuncios!$BX$2:$BX$545,$B21))</f>
        <v/>
      </c>
      <c r="AB21" s="3">
        <f>IF($B21="","",INDEX(Anuncios!$CB$2:$CB$545,$B21))</f>
        <v/>
      </c>
      <c r="AC21" s="3">
        <f>IF($B21="","",INDEX(Anuncios!$CC$2:$CC$545,$B21))</f>
        <v/>
      </c>
      <c r="AD21" s="3">
        <f>IF($B21="","",INDEX(Anuncios!$CH$2:$CH$545,$B21))</f>
        <v/>
      </c>
      <c r="AE21" s="3">
        <f>IF($B21="","",INDEX(Anuncios!$CJ$2:$CJ$545,$B21))</f>
        <v/>
      </c>
      <c r="AF21" s="3">
        <f>IF($B21="","",INDEX(Anuncios!$CD$2:$CD$545,$B21))</f>
        <v/>
      </c>
      <c r="AG21" s="3">
        <f>IF($B21="","",INDEX(Anuncios!$CL$2:$CL$545,$B21))</f>
        <v/>
      </c>
      <c r="AH21" s="3">
        <f>IF($B21="","",INDEX(Anuncios!$AX$2:$AX$545,$B21))</f>
        <v/>
      </c>
      <c r="AI21" s="3">
        <f>IF($B21="","",Z21*W_FIAB)</f>
        <v/>
      </c>
      <c r="AJ21" s="3">
        <f>IF($B21="","",AA21*W_PRECIO)</f>
        <v/>
      </c>
      <c r="AK21" s="3">
        <f>IF($B21="","",AB21*W_KMEDAD)</f>
        <v/>
      </c>
      <c r="AL21" s="3">
        <f>IF($B21="","",AC21*W_ANUNCIO)</f>
        <v/>
      </c>
      <c r="AM21" s="3">
        <f>IF($B21="","",AD21*W_USO)</f>
        <v/>
      </c>
      <c r="AN21" s="3">
        <f>IF($B21="","",AE21*W_SEGURIDAD)</f>
        <v/>
      </c>
      <c r="AO21" s="3">
        <f>IF($B21="","",AF21*W_ETIQUETA)</f>
        <v/>
      </c>
    </row>
    <row r="23">
      <c r="A23" s="5" t="inlineStr">
        <is>
          <t>Todo se calcula con fórmulas a partir de 'Anuncios' (verde) y 'Supuestos'. Aportación = puntuación del criterio × peso. Suma de aportaciones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8"/>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modelo/motor</t>
        </is>
      </c>
      <c r="B7" s="2" t="n">
        <v>0.29</v>
      </c>
      <c r="C7" t="inlineStr">
        <is>
          <t>criterio (config.yaml)</t>
        </is>
      </c>
      <c r="D7" t="inlineStr">
        <is>
          <t>config.yaml</t>
        </is>
      </c>
    </row>
    <row r="8">
      <c r="A8" t="inlineStr">
        <is>
          <t>Precio frente al mercado</t>
        </is>
      </c>
      <c r="B8" s="2" t="n">
        <v>0.24</v>
      </c>
      <c r="C8" t="inlineStr">
        <is>
          <t>criterio (config.yaml)</t>
        </is>
      </c>
      <c r="D8" t="inlineStr">
        <is>
          <t>config.yaml</t>
        </is>
      </c>
    </row>
    <row r="9">
      <c r="A9" t="inlineStr">
        <is>
          <t>Km y edad</t>
        </is>
      </c>
      <c r="B9" s="2" t="n">
        <v>0.12</v>
      </c>
      <c r="C9" t="inlineStr">
        <is>
          <t>criterio (config.yaml)</t>
        </is>
      </c>
      <c r="D9" t="inlineStr">
        <is>
          <t>config.yaml</t>
        </is>
      </c>
    </row>
    <row r="10">
      <c r="A10" t="inlineStr">
        <is>
          <t>Calidad del anuncio / mantenimiento</t>
        </is>
      </c>
      <c r="B10" s="2" t="n">
        <v>0.09</v>
      </c>
      <c r="C10" t="inlineStr">
        <is>
          <t>criterio (config.yaml)</t>
        </is>
      </c>
      <c r="D10" t="inlineStr">
        <is>
          <t>config.yaml</t>
        </is>
      </c>
    </row>
    <row r="11">
      <c r="A11" t="inlineStr">
        <is>
          <t>Coste de uso en Valencia</t>
        </is>
      </c>
      <c r="B11" s="2" t="n">
        <v>0.05</v>
      </c>
      <c r="C11" t="inlineStr">
        <is>
          <t>criterio (config.yaml)</t>
        </is>
      </c>
      <c r="D11" t="inlineStr">
        <is>
          <t>config.yaml</t>
        </is>
      </c>
    </row>
    <row r="12">
      <c r="A12" t="inlineStr">
        <is>
          <t>Seguridad de compra (garantía, km certificados, revisión, devolución, historial)</t>
        </is>
      </c>
      <c r="B12" s="2" t="n">
        <v>0.15</v>
      </c>
      <c r="C12" t="inlineStr">
        <is>
          <t>criterio (config.yaml)</t>
        </is>
      </c>
      <c r="D12" t="inlineStr">
        <is>
          <t>config.yaml: añadido el 31-10-2026; los 5 pesos anteriores × 0,85 redondeados</t>
        </is>
      </c>
    </row>
    <row r="13">
      <c r="A13" t="inlineStr">
        <is>
          <t>Etiqueta y ZBE</t>
        </is>
      </c>
      <c r="B13" s="2" t="n">
        <v>0.06</v>
      </c>
      <c r="C13" t="inlineStr">
        <is>
          <t>criterio (config.yaml)</t>
        </is>
      </c>
      <c r="D13" t="inlineStr">
        <is>
          <t>config.yaml: añadido el 01-11-2026; sale de Coste de uso (9→5) y 1 punto de fiabilidad y de precio</t>
        </is>
      </c>
    </row>
    <row r="14">
      <c r="A14" t="inlineStr">
        <is>
          <t>Suma de pesos (control)</t>
        </is>
      </c>
      <c r="B14" s="4">
        <f>SUM(B7:B13)</f>
        <v/>
      </c>
      <c r="C14" t="inlineStr">
        <is>
          <t>calculado</t>
        </is>
      </c>
      <c r="D14" t="inlineStr"/>
    </row>
    <row r="16">
      <c r="A16" s="6" t="inlineStr">
        <is>
          <t>2. Parámetros de búsqueda y de puntuación</t>
        </is>
      </c>
    </row>
    <row r="17">
      <c r="A17" s="7" t="inlineStr">
        <is>
          <t>Parámetro</t>
        </is>
      </c>
      <c r="B17" s="7" t="inlineStr">
        <is>
          <t>Valor</t>
        </is>
      </c>
      <c r="C17" s="7" t="inlineStr">
        <is>
          <t>Estado</t>
        </is>
      </c>
      <c r="D17" s="7" t="inlineStr">
        <is>
          <t>Fuente</t>
        </is>
      </c>
    </row>
    <row r="18">
      <c r="A18" t="inlineStr">
        <is>
          <t>Año de referencia</t>
        </is>
      </c>
      <c r="B18" s="2" t="n">
        <v>2026</v>
      </c>
      <c r="C18" t="inlineStr">
        <is>
          <t>dato</t>
        </is>
      </c>
      <c r="D18" t="inlineStr">
        <is>
          <t>fiscal.yaml</t>
        </is>
      </c>
    </row>
    <row r="19">
      <c r="A19" t="inlineStr">
        <is>
          <t>Año mínimo</t>
        </is>
      </c>
      <c r="B19" s="2" t="n">
        <v>2006</v>
      </c>
      <c r="C19" t="inlineStr">
        <is>
          <t>criterio (config.yaml)</t>
        </is>
      </c>
      <c r="D19" t="inlineStr">
        <is>
          <t>config.yaml</t>
        </is>
      </c>
    </row>
    <row r="20">
      <c r="A20" t="inlineStr">
        <is>
          <t>Km máximos</t>
        </is>
      </c>
      <c r="B20" s="2" t="n">
        <v>220000</v>
      </c>
      <c r="C20" t="inlineStr">
        <is>
          <t>criterio (config.yaml)</t>
        </is>
      </c>
      <c r="D20" t="inlineStr">
        <is>
          <t>config.yaml</t>
        </is>
      </c>
    </row>
    <row r="21">
      <c r="A21" t="inlineStr">
        <is>
          <t>Precio anuncio máximo (€)</t>
        </is>
      </c>
      <c r="B21" s="2" t="n">
        <v>5200</v>
      </c>
      <c r="C21" t="inlineStr">
        <is>
          <t>criterio (config.yaml)</t>
        </is>
      </c>
      <c r="D21" t="inlineStr">
        <is>
          <t>config.yaml</t>
        </is>
      </c>
    </row>
    <row r="22">
      <c r="A22" t="inlineStr">
        <is>
          <t>Coste total máximo (€)</t>
        </is>
      </c>
      <c r="B22" s="2" t="n">
        <v>5000</v>
      </c>
      <c r="C22" t="inlineStr">
        <is>
          <t>criterio (config.yaml)</t>
        </is>
      </c>
      <c r="D22" t="inlineStr">
        <is>
          <t>config.yaml</t>
        </is>
      </c>
    </row>
    <row r="23">
      <c r="A23" t="inlineStr">
        <is>
          <t>Margen de negociación sobre el coste total (€): entra marcado 'negociar'</t>
        </is>
      </c>
      <c r="B23" s="2" t="n">
        <v>300</v>
      </c>
      <c r="C23" t="inlineStr">
        <is>
          <t>criterio (config.yaml)</t>
        </is>
      </c>
      <c r="D23" t="inlineStr">
        <is>
          <t>config.yaml</t>
        </is>
      </c>
    </row>
    <row r="24">
      <c r="A24" t="inlineStr">
        <is>
          <t>Tramo de años para mediana</t>
        </is>
      </c>
      <c r="B24" s="2" t="n">
        <v>3</v>
      </c>
      <c r="C24" t="inlineStr">
        <is>
          <t>criterio (config.yaml)</t>
        </is>
      </c>
      <c r="D24" t="inlineStr">
        <is>
          <t>config.yaml</t>
        </is>
      </c>
    </row>
    <row r="25">
      <c r="A25" t="inlineStr">
        <is>
          <t>Tramo de km para mediana</t>
        </is>
      </c>
      <c r="B25" s="2" t="n">
        <v>50000</v>
      </c>
      <c r="C25" t="inlineStr">
        <is>
          <t>criterio (config.yaml)</t>
        </is>
      </c>
      <c r="D25" t="inlineStr">
        <is>
          <t>config.yaml</t>
        </is>
      </c>
    </row>
    <row r="26">
      <c r="A26" t="inlineStr">
        <is>
          <t>Mín. anuncios por segmento (si no, se sube de nivel)</t>
        </is>
      </c>
      <c r="B26" s="2" t="n">
        <v>4</v>
      </c>
      <c r="C26" t="inlineStr">
        <is>
          <t>criterio (config.yaml)</t>
        </is>
      </c>
      <c r="D26" t="inlineStr">
        <is>
          <t>config.yaml</t>
        </is>
      </c>
    </row>
    <row r="27">
      <c r="A27" t="inlineStr">
        <is>
          <t>Puntos por unidad de descuento (50 + desc·k)</t>
        </is>
      </c>
      <c r="B27" s="2" t="n">
        <v>250</v>
      </c>
      <c r="C27" t="inlineStr">
        <is>
          <t>criterio (config.yaml)</t>
        </is>
      </c>
      <c r="D27" t="inlineStr">
        <is>
          <t>config.yaml</t>
        </is>
      </c>
    </row>
    <row r="28">
      <c r="A28" t="inlineStr">
        <is>
          <t>Km/año ideal máximo (100 puntos hasta aquí)</t>
        </is>
      </c>
      <c r="B28" s="2" t="n">
        <v>18000</v>
      </c>
      <c r="C28" t="inlineStr">
        <is>
          <t>criterio (config.yaml)</t>
        </is>
      </c>
      <c r="D28" t="inlineStr">
        <is>
          <t>config.yaml</t>
        </is>
      </c>
    </row>
    <row r="29">
      <c r="A29" t="inlineStr">
        <is>
          <t>Km/año con 0 puntos</t>
        </is>
      </c>
      <c r="B29" s="2" t="n">
        <v>35000</v>
      </c>
      <c r="C29" t="inlineStr">
        <is>
          <t>criterio (config.yaml)</t>
        </is>
      </c>
      <c r="D29" t="inlineStr">
        <is>
          <t>config.yaml</t>
        </is>
      </c>
    </row>
    <row r="30">
      <c r="A30" t="inlineStr">
        <is>
          <t>Km/año sospechosamente bajo</t>
        </is>
      </c>
      <c r="B30" s="2" t="n">
        <v>4000</v>
      </c>
      <c r="C30" t="inlineStr">
        <is>
          <t>criterio (config.yaml)</t>
        </is>
      </c>
      <c r="D30" t="inlineStr">
        <is>
          <t>config.yaml</t>
        </is>
      </c>
    </row>
    <row r="31">
      <c r="A31" t="inlineStr">
        <is>
          <t>Puntos km/año si es sospechoso y no justificado</t>
        </is>
      </c>
      <c r="B31" s="2" t="n">
        <v>40</v>
      </c>
      <c r="C31" t="inlineStr">
        <is>
          <t>criterio (config.yaml)</t>
        </is>
      </c>
      <c r="D31" t="inlineStr">
        <is>
          <t>config.yaml</t>
        </is>
      </c>
    </row>
    <row r="32">
      <c r="A32" t="inlineStr">
        <is>
          <t>Peso km totales dentro de Km y edad</t>
        </is>
      </c>
      <c r="B32" s="2" t="n">
        <v>0.4</v>
      </c>
      <c r="C32" t="inlineStr">
        <is>
          <t>criterio (config.yaml)</t>
        </is>
      </c>
      <c r="D32" t="inlineStr">
        <is>
          <t>config.yaml</t>
        </is>
      </c>
    </row>
    <row r="33">
      <c r="A33" t="inlineStr">
        <is>
          <t>Peso km/año dentro de Km y edad</t>
        </is>
      </c>
      <c r="B33" s="2" t="n">
        <v>0.3</v>
      </c>
      <c r="C33" t="inlineStr">
        <is>
          <t>criterio (config.yaml)</t>
        </is>
      </c>
      <c r="D33" t="inlineStr">
        <is>
          <t>config.yaml</t>
        </is>
      </c>
    </row>
    <row r="34">
      <c r="A34" t="inlineStr">
        <is>
          <t>Peso edad dentro de Km y edad</t>
        </is>
      </c>
      <c r="B34" s="2" t="n">
        <v>0.3</v>
      </c>
      <c r="C34" t="inlineStr">
        <is>
          <t>criterio (config.yaml)</t>
        </is>
      </c>
      <c r="D34" t="inlineStr">
        <is>
          <t>config.yaml</t>
        </is>
      </c>
    </row>
    <row r="35">
      <c r="A35" t="inlineStr">
        <is>
          <t>Puntos: ITV en vigor</t>
        </is>
      </c>
      <c r="B35" s="2" t="n">
        <v>20</v>
      </c>
      <c r="C35" t="inlineStr">
        <is>
          <t>criterio (config.yaml)</t>
        </is>
      </c>
      <c r="D35" t="inlineStr">
        <is>
          <t>config.yaml</t>
        </is>
      </c>
    </row>
    <row r="36">
      <c r="A36" t="inlineStr">
        <is>
          <t>Puntos: libro de mantenimiento</t>
        </is>
      </c>
      <c r="B36" s="2" t="n">
        <v>25</v>
      </c>
      <c r="C36" t="inlineStr">
        <is>
          <t>criterio (config.yaml)</t>
        </is>
      </c>
      <c r="D36" t="inlineStr">
        <is>
          <t>config.yaml</t>
        </is>
      </c>
    </row>
    <row r="37">
      <c r="A37" t="inlineStr">
        <is>
          <t>Puntos: correa/distribución cambiada</t>
        </is>
      </c>
      <c r="B37" s="2" t="n">
        <v>25</v>
      </c>
      <c r="C37" t="inlineStr">
        <is>
          <t>criterio (config.yaml)</t>
        </is>
      </c>
      <c r="D37" t="inlineStr">
        <is>
          <t>config.yaml</t>
        </is>
      </c>
    </row>
    <row r="38">
      <c r="A38" t="inlineStr">
        <is>
          <t>Puntos: un solo propietario</t>
        </is>
      </c>
      <c r="B38" s="2" t="n">
        <v>15</v>
      </c>
      <c r="C38" t="inlineStr">
        <is>
          <t>criterio (config.yaml)</t>
        </is>
      </c>
      <c r="D38" t="inlineStr">
        <is>
          <t>config.yaml</t>
        </is>
      </c>
    </row>
    <row r="39">
      <c r="A39" t="inlineStr">
        <is>
          <t>Puntos: garantía</t>
        </is>
      </c>
      <c r="B39" s="2" t="n">
        <v>0</v>
      </c>
      <c r="C39" t="inlineStr">
        <is>
          <t>criterio (config.yaml)</t>
        </is>
      </c>
      <c r="D39" t="inlineStr">
        <is>
          <t>config.yaml</t>
        </is>
      </c>
    </row>
    <row r="40">
      <c r="A40" t="inlineStr">
        <is>
          <t>Puntos: fotos (proporcional)</t>
        </is>
      </c>
      <c r="B40" s="2" t="n">
        <v>15</v>
      </c>
      <c r="C40" t="inlineStr">
        <is>
          <t>criterio (config.yaml)</t>
        </is>
      </c>
      <c r="D40" t="inlineStr">
        <is>
          <t>config.yaml</t>
        </is>
      </c>
    </row>
    <row r="41">
      <c r="A41" t="inlineStr">
        <is>
          <t>Fotos para puntuación completa</t>
        </is>
      </c>
      <c r="B41" s="2" t="n">
        <v>10</v>
      </c>
      <c r="C41" t="inlineStr">
        <is>
          <t>criterio (config.yaml)</t>
        </is>
      </c>
      <c r="D41" t="inlineStr">
        <is>
          <t>config.yaml</t>
        </is>
      </c>
    </row>
    <row r="42">
      <c r="A42" t="inlineStr">
        <is>
          <t>Peso etiqueta dentro de Coste de uso</t>
        </is>
      </c>
      <c r="B42" s="2" t="n">
        <v>0</v>
      </c>
      <c r="C42" t="inlineStr">
        <is>
          <t>criterio (config.yaml)</t>
        </is>
      </c>
      <c r="D42" t="inlineStr">
        <is>
          <t>config.yaml</t>
        </is>
      </c>
    </row>
    <row r="43">
      <c r="A43" t="inlineStr">
        <is>
          <t>Peso consumo dentro de Coste de uso</t>
        </is>
      </c>
      <c r="B43" s="2" t="n">
        <v>0.5</v>
      </c>
      <c r="C43" t="inlineStr">
        <is>
          <t>criterio (config.yaml)</t>
        </is>
      </c>
      <c r="D43" t="inlineStr">
        <is>
          <t>config.yaml</t>
        </is>
      </c>
    </row>
    <row r="44">
      <c r="A44" t="inlineStr">
        <is>
          <t>Peso seguro dentro de Coste de uso</t>
        </is>
      </c>
      <c r="B44" s="2" t="n">
        <v>0.5</v>
      </c>
      <c r="C44" t="inlineStr">
        <is>
          <t>criterio (config.yaml)</t>
        </is>
      </c>
      <c r="D44" t="inlineStr">
        <is>
          <t>config.yaml</t>
        </is>
      </c>
    </row>
    <row r="45">
      <c r="A45" t="inlineStr">
        <is>
          <t>Puntuación neutra cuando el dato está PENDIENTE</t>
        </is>
      </c>
      <c r="B45" s="2" t="n">
        <v>50</v>
      </c>
      <c r="C45" t="inlineStr">
        <is>
          <t>criterio (config.yaml)</t>
        </is>
      </c>
      <c r="D45" t="inlineStr">
        <is>
          <t>config.yaml</t>
        </is>
      </c>
    </row>
    <row r="46">
      <c r="A46" t="inlineStr">
        <is>
          <t>Seguridad: puntos por garantía (proporcional a meses)</t>
        </is>
      </c>
      <c r="B46" s="2" t="n">
        <v>35</v>
      </c>
      <c r="C46" t="inlineStr">
        <is>
          <t>criterio (config.yaml)</t>
        </is>
      </c>
      <c r="D46" t="inlineStr">
        <is>
          <t>config.yaml</t>
        </is>
      </c>
    </row>
    <row r="47">
      <c r="A47" t="inlineStr">
        <is>
          <t>Seguridad: meses de garantía para puntuación completa</t>
        </is>
      </c>
      <c r="B47" s="2" t="n">
        <v>24</v>
      </c>
      <c r="C47" t="inlineStr">
        <is>
          <t>criterio (config.yaml)</t>
        </is>
      </c>
      <c r="D47" t="inlineStr">
        <is>
          <t>config.yaml</t>
        </is>
      </c>
    </row>
    <row r="48">
      <c r="A48" t="inlineStr">
        <is>
          <t>Seguridad: puntos si la garantía es ampliable</t>
        </is>
      </c>
      <c r="B48" s="2" t="n">
        <v>10</v>
      </c>
      <c r="C48" t="inlineStr">
        <is>
          <t>criterio (config.yaml)</t>
        </is>
      </c>
      <c r="D48" t="inlineStr">
        <is>
          <t>config.yaml</t>
        </is>
      </c>
    </row>
    <row r="49">
      <c r="A49" t="inlineStr">
        <is>
          <t>Seguridad: puntos por km certificados</t>
        </is>
      </c>
      <c r="B49" s="2" t="n">
        <v>15</v>
      </c>
      <c r="C49" t="inlineStr">
        <is>
          <t>criterio (config.yaml)</t>
        </is>
      </c>
      <c r="D49" t="inlineStr">
        <is>
          <t>config.yaml</t>
        </is>
      </c>
    </row>
    <row r="50">
      <c r="A50" t="inlineStr">
        <is>
          <t>Seguridad: puntos por revisión documentada</t>
        </is>
      </c>
      <c r="B50" s="2" t="n">
        <v>15</v>
      </c>
      <c r="C50" t="inlineStr">
        <is>
          <t>criterio (config.yaml)</t>
        </is>
      </c>
      <c r="D50" t="inlineStr">
        <is>
          <t>config.yaml</t>
        </is>
      </c>
    </row>
    <row r="51">
      <c r="A51" t="inlineStr">
        <is>
          <t>Seguridad: puntos por derecho de devolución (proporcional a días)</t>
        </is>
      </c>
      <c r="B51" s="2" t="n">
        <v>15</v>
      </c>
      <c r="C51" t="inlineStr">
        <is>
          <t>criterio (config.yaml)</t>
        </is>
      </c>
      <c r="D51" t="inlineStr">
        <is>
          <t>config.yaml</t>
        </is>
      </c>
    </row>
    <row r="52">
      <c r="A52" t="inlineStr">
        <is>
          <t>Seguridad: días de devolución para puntuación completa</t>
        </is>
      </c>
      <c r="B52" s="2" t="n">
        <v>15</v>
      </c>
      <c r="C52" t="inlineStr">
        <is>
          <t>criterio (config.yaml)</t>
        </is>
      </c>
      <c r="D52" t="inlineStr">
        <is>
          <t>config.yaml</t>
        </is>
      </c>
    </row>
    <row r="53">
      <c r="A53" t="inlineStr">
        <is>
          <t>Seguridad: puntos por historial/libro de mantenimiento</t>
        </is>
      </c>
      <c r="B53" s="2" t="n">
        <v>10</v>
      </c>
      <c r="C53" t="inlineStr">
        <is>
          <t>criterio (config.yaml)</t>
        </is>
      </c>
      <c r="D53" t="inlineStr">
        <is>
          <t>config.yaml</t>
        </is>
      </c>
    </row>
    <row r="54">
      <c r="A54" t="inlineStr">
        <is>
          <t>Aplicar mínimo legal a profesionales sin garantía declarada (1 = sí)</t>
        </is>
      </c>
      <c r="B54" s="2" t="n">
        <v>1</v>
      </c>
      <c r="C54" t="inlineStr">
        <is>
          <t>criterio (config.yaml)</t>
        </is>
      </c>
      <c r="D54" t="inlineStr">
        <is>
          <t>config.yaml</t>
        </is>
      </c>
    </row>
    <row r="55">
      <c r="A55" t="inlineStr">
        <is>
          <t>Garantía legal mínima en usados de vendedor profesional (meses)</t>
        </is>
      </c>
      <c r="B55" s="2" t="n">
        <v>12</v>
      </c>
      <c r="C55" t="inlineStr">
        <is>
          <t>confirmado</t>
        </is>
      </c>
      <c r="D55" t="inlineStr">
        <is>
          <t>TRLGDCU (RDLeg. 1/2007), art. 120.1, en la redacción del Real Decreto-ley 7/2021, de 27 de abril — https://www.boe.es/buscar/act.php?id=BOE-A-2007-20555</t>
        </is>
      </c>
    </row>
    <row r="57">
      <c r="A57" s="6" t="inlineStr">
        <is>
          <t>3. Coste de compra: ITP (Comunitat Valenciana) y tasas DGT</t>
        </is>
      </c>
    </row>
    <row r="58">
      <c r="A58" s="7" t="inlineStr">
        <is>
          <t>Concepto</t>
        </is>
      </c>
      <c r="B58" s="7" t="inlineStr">
        <is>
          <t>Valor</t>
        </is>
      </c>
      <c r="C58" s="7" t="inlineStr">
        <is>
          <t>Estado</t>
        </is>
      </c>
      <c r="D58" s="7" t="inlineStr">
        <is>
          <t>Fuente</t>
        </is>
      </c>
    </row>
    <row r="59">
      <c r="A59" t="inlineStr">
        <is>
          <t>ITP tipo general (si no aplica cuota fija)</t>
        </is>
      </c>
      <c r="B59" s="2" t="n">
        <v>0.06</v>
      </c>
      <c r="C59" t="inlineStr">
        <is>
          <t>confirmado (cuadro resumen art. 13.Tres Ley 13/1997 en atv.gva.es/es/vehiculos-faq, leído 31-10-2026: 6 % hasta 5 años y &lt;= 2.000 cc)</t>
        </is>
      </c>
      <c r="D59" t="inlineStr">
        <is>
          <t>https://atv.gva.es/es/tarifes-itpajd ; https://atv.gva.es/es/compraventa-de-vehiculos</t>
        </is>
      </c>
    </row>
    <row r="60">
      <c r="A60" t="inlineStr">
        <is>
          <t>Cuota fija solo si valor &lt; (€)</t>
        </is>
      </c>
      <c r="B60" s="2" t="n">
        <v>20000</v>
      </c>
      <c r="C60" t="inlineStr">
        <is>
          <t>confirmado (cuadro resumen de la ATV, https://atv.gva.es/es/vehiculos-faq, leído 31-10-2026)</t>
        </is>
      </c>
      <c r="D60" t="inlineStr">
        <is>
          <t>https://atv.gva.es/es/vehiculos-faq ; Ley 13/1997 consolidada https://www.boe.es/buscar/act.php?id=BOE-A-1998-8202</t>
        </is>
      </c>
    </row>
    <row r="61">
      <c r="A61" t="inlineStr">
        <is>
          <t>Tasa DGT transferencia 1.5 (€)</t>
        </is>
      </c>
      <c r="B61" s="2" t="n">
        <v>55.7</v>
      </c>
      <c r="C61" t="inlineStr">
        <is>
          <t>probable: la sede web DGT indica 55,70 €; el PDF oficial de importes (creado 21-12-2020) da 55,15 €, desactualizado. Se usa el más reciente.</t>
        </is>
      </c>
      <c r="D61" t="inlineStr">
        <is>
          <t>https://sede.dgt.gob.es/es/vehiculos/transferencias-de-vehiculos/</t>
        </is>
      </c>
    </row>
    <row r="62">
      <c r="A62" t="inlineStr">
        <is>
          <t>Informe DGT 4.1 (€)</t>
        </is>
      </c>
      <c r="B62" s="2" t="n">
        <v>8.67</v>
      </c>
      <c r="C62" t="inlineStr">
        <is>
          <t>probable: sede web DGT 8,67 €; el PDF de 2020 da 8,59 € (tasa 4.1)</t>
        </is>
      </c>
      <c r="D62" t="inlineStr">
        <is>
          <t>https://sede.dgt.gob.es/es/vehiculos/informacion-de-vehiculos/informe-de-un-vehiculo/</t>
        </is>
      </c>
    </row>
    <row r="63">
      <c r="A63" t="inlineStr">
        <is>
          <t>Cuota fija: tramo 'más de N años' (alto)</t>
        </is>
      </c>
      <c r="B63" s="2" t="n">
        <v>12</v>
      </c>
      <c r="C63" t="inlineStr">
        <is>
          <t>confirmado (cuadro resumen de la ATV, https://atv.gva.es/es/vehiculos-faq, leído 31-10-2026)</t>
        </is>
      </c>
      <c r="D63" t="inlineStr">
        <is>
          <t>https://atv.gva.es/es/vehiculos-faq ; Ley 13/1997 consolidada https://www.boe.es/buscar/act.php?id=BOE-A-1998-8202</t>
        </is>
      </c>
    </row>
    <row r="64">
      <c r="A64" t="inlineStr">
        <is>
          <t>Cuota fija: tramo 'más de N años' (bajo)</t>
        </is>
      </c>
      <c r="B64" s="2" t="n">
        <v>5</v>
      </c>
      <c r="C64" t="inlineStr">
        <is>
          <t>confirmado (cuadro resumen de la ATV, https://atv.gva.es/es/vehiculos-faq, leído 31-10-2026)</t>
        </is>
      </c>
      <c r="D64" t="inlineStr">
        <is>
          <t>https://atv.gva.es/es/vehiculos-faq ; Ley 13/1997 consolidada https://www.boe.es/buscar/act.php?id=BOE-A-1998-8202</t>
        </is>
      </c>
    </row>
    <row r="65">
      <c r="A65" t="inlineStr">
        <is>
          <t>Vendedor profesional: sin ITP (IVA/REBU incluido); se suman sus gastos de gestión y la tasa DGT solo si esos gastos no incluyen la transferencia o no constan — PENDIENTE de cita oficial (práctica habitual; confirmar en la factura)</t>
        </is>
      </c>
    </row>
    <row r="66">
      <c r="A66" t="inlineStr">
        <is>
          <t>Nota: Ley 5/2025 de 30 de mayo modifica tipos de ITP; parece afectar a inmuebles. Efecto sobre vehículos PENDIENTE de verificar.</t>
        </is>
      </c>
    </row>
    <row r="68">
      <c r="A68" s="8" t="inlineStr">
        <is>
          <t>Tabla de cuotas fijas de ITP</t>
        </is>
      </c>
    </row>
    <row r="69">
      <c r="A69" s="7" t="inlineStr">
        <is>
          <t>Más de (años)</t>
        </is>
      </c>
      <c r="B69" s="7" t="inlineStr">
        <is>
          <t>cc desde</t>
        </is>
      </c>
      <c r="C69" s="7" t="inlineStr">
        <is>
          <t>cc hasta</t>
        </is>
      </c>
      <c r="D69" s="7" t="inlineStr">
        <is>
          <t>Cuota (€)</t>
        </is>
      </c>
      <c r="E69" s="7" t="inlineStr">
        <is>
          <t>Descripción</t>
        </is>
      </c>
      <c r="F69" s="7" t="inlineStr">
        <is>
          <t>Estado</t>
        </is>
      </c>
      <c r="G69" s="7" t="inlineStr">
        <is>
          <t>Fuente</t>
        </is>
      </c>
    </row>
    <row r="70">
      <c r="A70" s="2" t="n">
        <v>12</v>
      </c>
      <c r="B70" s="2" t="n">
        <v>0</v>
      </c>
      <c r="C70" s="2" t="n">
        <v>1500</v>
      </c>
      <c r="D70" s="2" t="n">
        <v>40</v>
      </c>
      <c r="E70" t="inlineStr">
        <is>
          <t>&gt;12 años, hasta 1.500 cc</t>
        </is>
      </c>
      <c r="F70" t="inlineStr">
        <is>
          <t>confirmado (cuadro resumen de la ATV, https://atv.gva.es/es/vehiculos-faq, leído 31-10-2026)</t>
        </is>
      </c>
      <c r="G70" t="inlineStr">
        <is>
          <t>https://atv.gva.es/es/vehiculos-faq ; Ley 13/1997 consolidada https://www.boe.es/buscar/act.php?id=BOE-A-1998-8202</t>
        </is>
      </c>
    </row>
    <row r="71">
      <c r="A71" s="2" t="n">
        <v>12</v>
      </c>
      <c r="B71" s="2" t="n">
        <v>1501</v>
      </c>
      <c r="C71" s="2" t="n">
        <v>2000</v>
      </c>
      <c r="D71" s="2" t="n">
        <v>60</v>
      </c>
      <c r="E71" t="inlineStr">
        <is>
          <t>&gt;12 años, 1.501-2.000 cc</t>
        </is>
      </c>
      <c r="F71" t="inlineStr">
        <is>
          <t>confirmado (cuadro resumen de la ATV, https://atv.gva.es/es/vehiculos-faq, leído 31-10-2026)</t>
        </is>
      </c>
      <c r="G71" t="inlineStr">
        <is>
          <t>https://atv.gva.es/es/vehiculos-faq ; Ley 13/1997 consolidada https://www.boe.es/buscar/act.php?id=BOE-A-1998-8202</t>
        </is>
      </c>
    </row>
    <row r="72">
      <c r="A72" s="2" t="n">
        <v>12</v>
      </c>
      <c r="B72" s="2" t="n">
        <v>2001</v>
      </c>
      <c r="C72" s="2" t="n">
        <v>99999</v>
      </c>
      <c r="D72" s="2" t="n">
        <v>140</v>
      </c>
      <c r="E72" t="inlineStr">
        <is>
          <t>&gt;12 años, más de 2.000 cc</t>
        </is>
      </c>
      <c r="F72" t="inlineStr">
        <is>
          <t>confirmado (cuadro resumen de la ATV, https://atv.gva.es/es/vehiculos-faq, leído 31-10-2026)</t>
        </is>
      </c>
      <c r="G72" t="inlineStr">
        <is>
          <t>https://atv.gva.es/es/vehiculos-faq ; Ley 13/1997 consolidada https://www.boe.es/buscar/act.php?id=BOE-A-1998-8202</t>
        </is>
      </c>
    </row>
    <row r="73">
      <c r="A73" s="2" t="n">
        <v>5</v>
      </c>
      <c r="B73" s="2" t="n">
        <v>0</v>
      </c>
      <c r="C73" s="2" t="n">
        <v>1500</v>
      </c>
      <c r="D73" s="2" t="n">
        <v>120</v>
      </c>
      <c r="E73" t="inlineStr">
        <is>
          <t>&gt;5 y &lt;=12 años, hasta 1.500 cc</t>
        </is>
      </c>
      <c r="F73" t="inlineStr">
        <is>
          <t>confirmado (cuadro resumen de la ATV, https://atv.gva.es/es/vehiculos-faq, leído 31-10-2026)</t>
        </is>
      </c>
      <c r="G73" t="inlineStr">
        <is>
          <t>https://atv.gva.es/es/vehiculos-faq ; Ley 13/1997 consolidada https://www.boe.es/buscar/act.php?id=BOE-A-1998-8202</t>
        </is>
      </c>
    </row>
    <row r="74">
      <c r="A74" s="2" t="n">
        <v>5</v>
      </c>
      <c r="B74" s="2" t="n">
        <v>1501</v>
      </c>
      <c r="C74" s="2" t="n">
        <v>2000</v>
      </c>
      <c r="D74" s="2" t="n">
        <v>180</v>
      </c>
      <c r="E74" t="inlineStr">
        <is>
          <t>&gt;5 y &lt;=12 años, 1.501-2.000 cc</t>
        </is>
      </c>
      <c r="F74" t="inlineStr">
        <is>
          <t>confirmado (cuadro resumen de la ATV, https://atv.gva.es/es/vehiculos-faq, leído 31-10-2026)</t>
        </is>
      </c>
      <c r="G74" t="inlineStr">
        <is>
          <t>https://atv.gva.es/es/vehiculos-faq ; Ley 13/1997 consolidada https://www.boe.es/buscar/act.php?id=BOE-A-1998-8202</t>
        </is>
      </c>
    </row>
    <row r="75">
      <c r="A75" s="2" t="n">
        <v>5</v>
      </c>
      <c r="B75" s="2" t="n">
        <v>2001</v>
      </c>
      <c r="C75" s="2" t="n">
        <v>99999</v>
      </c>
      <c r="D75" s="2" t="n">
        <v>280</v>
      </c>
      <c r="E75" t="inlineStr">
        <is>
          <t>&gt;5 y &lt;=12 años, más de 2.000 cc</t>
        </is>
      </c>
      <c r="F75" t="inlineStr">
        <is>
          <t>confirmado (cuadro resumen de la ATV, https://atv.gva.es/es/vehiculos-faq, leído 31-10-2026)</t>
        </is>
      </c>
      <c r="G75" t="inlineStr">
        <is>
          <t>https://atv.gva.es/es/vehiculos-faq ; Ley 13/1997 consolidada https://www.boe.es/buscar/act.php?id=BOE-A-1998-8202</t>
        </is>
      </c>
    </row>
    <row r="76">
      <c r="A76" t="inlineStr">
        <is>
          <t>cc hasta 99999 = sin límite superior. Cilindrada desconocida -&gt; se usa 99999 (tramo más caro).</t>
        </is>
      </c>
    </row>
    <row r="77">
      <c r="A77"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79">
      <c r="A79" s="6" t="inlineStr">
        <is>
          <t>4. Distintivo ambiental (DGT) y ZBE de València</t>
        </is>
      </c>
    </row>
    <row r="80">
      <c r="A80" t="inlineStr">
        <is>
          <t>Orden de fiabilidad: 1) fichero oficial de la DGT por matrícula; 2) etiqueta publicada en el anuncio; 3) regla por combustible y fecha de primera matriculación. Año frontera sin mes = 'dudosa' (la peor posible).</t>
        </is>
      </c>
    </row>
    <row r="81">
      <c r="A81" s="7" t="inlineStr">
        <is>
          <t>Criterio (fecha de primera matriculación, AAAAMM)</t>
        </is>
      </c>
      <c r="B81" s="7" t="inlineStr">
        <is>
          <t>Valor</t>
        </is>
      </c>
      <c r="C81" s="7" t="inlineStr">
        <is>
          <t>Estado</t>
        </is>
      </c>
      <c r="D81" s="7" t="inlineStr">
        <is>
          <t>Fuente</t>
        </is>
      </c>
    </row>
    <row r="82">
      <c r="A82" t="inlineStr">
        <is>
          <t>Gasolina: B desde (AAAAMM)</t>
        </is>
      </c>
      <c r="B82" s="2" t="n">
        <v>200101</v>
      </c>
      <c r="C82" t="inlineStr">
        <is>
          <t>confirmado</t>
        </is>
      </c>
      <c r="D82" t="inlineStr">
        <is>
          <t>https://www.dgt.es/nuestros-servicios/tu-vehiculo/tus-vehiculos/distintivo-ambiental/ (consultado 2026-10-31)</t>
        </is>
      </c>
    </row>
    <row r="83">
      <c r="A83" t="inlineStr">
        <is>
          <t>Gasolina: C desde (AAAAMM)</t>
        </is>
      </c>
      <c r="B83" s="2" t="n">
        <v>200601</v>
      </c>
      <c r="C83" t="inlineStr">
        <is>
          <t>confirmado</t>
        </is>
      </c>
      <c r="D83" t="inlineStr">
        <is>
          <t>https://www.dgt.es/nuestros-servicios/tu-vehiculo/tus-vehiculos/distintivo-ambiental/ (consultado 2026-10-31)</t>
        </is>
      </c>
    </row>
    <row r="84">
      <c r="A84" t="inlineStr">
        <is>
          <t>Diésel: B desde (AAAAMM)</t>
        </is>
      </c>
      <c r="B84" s="2" t="n">
        <v>200601</v>
      </c>
      <c r="C84" t="inlineStr">
        <is>
          <t>confirmado</t>
        </is>
      </c>
      <c r="D84" t="inlineStr">
        <is>
          <t>https://www.dgt.es/nuestros-servicios/tu-vehiculo/tus-vehiculos/distintivo-ambiental/ (consultado 2026-10-31)</t>
        </is>
      </c>
    </row>
    <row r="85">
      <c r="A85" t="inlineStr">
        <is>
          <t>Diésel: C desde (AAAAMM)</t>
        </is>
      </c>
      <c r="B85" s="2" t="n">
        <v>201509</v>
      </c>
      <c r="C85" t="inlineStr">
        <is>
          <t>confirmado</t>
        </is>
      </c>
      <c r="D85" t="inlineStr">
        <is>
          <t>https://www.dgt.es/nuestros-servicios/tu-vehiculo/tus-vehiculos/distintivo-ambiental/ (consultado 2026-10-31)</t>
        </is>
      </c>
    </row>
    <row r="86">
      <c r="A86" t="inlineStr">
        <is>
          <t>Etiqueta CERO (texto DGT)</t>
        </is>
      </c>
      <c r="B86" s="9" t="inlineStr">
        <is>
          <t>eléctricos de batería (BEV), eléctricos de autonomía extendida (REEV), eléctricos híbridos enchufables (PHEV) con una autonomía de 40 km o vehículos de pila de combustible</t>
        </is>
      </c>
      <c r="C86" t="inlineStr">
        <is>
          <t>confirmado</t>
        </is>
      </c>
      <c r="D86" t="inlineStr">
        <is>
          <t>https://www.dgt.es/nuestros-servicios/tu-vehiculo/tus-vehiculos/distintivo-ambiental/ (consultado 2026-10-31)</t>
        </is>
      </c>
    </row>
    <row r="87">
      <c r="A87" t="inlineStr">
        <is>
          <t>Etiqueta ECO (texto DGT)</t>
        </is>
      </c>
      <c r="B87" s="9" t="inlineStr">
        <is>
          <t>eléctricos enchufables con autonomía inferior a 40 km, híbridos no enchufables (HEV), vehículos propulsados por gas natural y gas (GNC y GNL) o gas licuado del petróleo (GLP)</t>
        </is>
      </c>
      <c r="C87" t="inlineStr">
        <is>
          <t>confirmado</t>
        </is>
      </c>
      <c r="D87" t="inlineStr">
        <is>
          <t>https://www.dgt.es/nuestros-servicios/tu-vehiculo/tus-vehiculos/distintivo-ambiental/ (consultado 2026-10-31)</t>
        </is>
      </c>
    </row>
    <row r="88">
      <c r="A88" t="inlineStr">
        <is>
          <t>Etiqueta C (texto DGT)</t>
        </is>
      </c>
      <c r="B88" s="9" t="inlineStr">
        <is>
          <t>turismos y furgonetas ligeras de gasolina matriculadas a partir de enero de 2006 y diésel a partir de septiembre de 2015</t>
        </is>
      </c>
      <c r="C88" t="inlineStr">
        <is>
          <t>confirmado</t>
        </is>
      </c>
      <c r="D88" t="inlineStr">
        <is>
          <t>https://www.dgt.es/nuestros-servicios/tu-vehiculo/tus-vehiculos/distintivo-ambiental/ (consultado 2026-10-31)</t>
        </is>
      </c>
    </row>
    <row r="89">
      <c r="A89" t="inlineStr">
        <is>
          <t>Etiqueta B (texto DGT)</t>
        </is>
      </c>
      <c r="B89" s="9" t="inlineStr">
        <is>
          <t>turismos y furgonetas ligeras de gasolina matriculadas desde el 1 de enero de 2001 y diésel a partir de 2006</t>
        </is>
      </c>
      <c r="C89" t="inlineStr">
        <is>
          <t>confirmado</t>
        </is>
      </c>
      <c r="D89" t="inlineStr">
        <is>
          <t>https://www.dgt.es/nuestros-servicios/tu-vehiculo/tus-vehiculos/distintivo-ambiental/ (consultado 2026-10-31)</t>
        </is>
      </c>
    </row>
    <row r="90">
      <c r="A90" t="inlineStr">
        <is>
          <t>Híbridos (HEV), GLP, GNC/GNL → ECO; eléctricos → CERO; enchufables sin autonomía conocida → ECO (conservador).</t>
        </is>
      </c>
    </row>
    <row r="92">
      <c r="A92" s="7" t="inlineStr">
        <is>
          <t>Combustible (año frontera)</t>
        </is>
      </c>
      <c r="B92" s="7" t="inlineStr">
        <is>
          <t>Año</t>
        </is>
      </c>
      <c r="C92" s="7" t="inlineStr">
        <is>
          <t>Estado</t>
        </is>
      </c>
      <c r="D92" s="7" t="inlineStr">
        <is>
          <t>Fuente</t>
        </is>
      </c>
    </row>
    <row r="93">
      <c r="A93" s="2" t="inlineStr">
        <is>
          <t>gasolina</t>
        </is>
      </c>
      <c r="B93" s="2" t="n">
        <v>2000</v>
      </c>
      <c r="C93" t="inlineStr">
        <is>
          <t>criterio (zbe.yaml)</t>
        </is>
      </c>
      <c r="D93" t="inlineStr">
        <is>
          <t>Sin mes de matriculación → etiqueta dudosa = la peor del par de años</t>
        </is>
      </c>
    </row>
    <row r="94">
      <c r="A94" s="2" t="inlineStr">
        <is>
          <t>gasolina</t>
        </is>
      </c>
      <c r="B94" s="2" t="n">
        <v>2001</v>
      </c>
      <c r="C94" t="inlineStr">
        <is>
          <t>criterio (zbe.yaml)</t>
        </is>
      </c>
      <c r="D94" t="inlineStr">
        <is>
          <t>Sin mes de matriculación → etiqueta dudosa = la peor del par de años</t>
        </is>
      </c>
    </row>
    <row r="95">
      <c r="A95" s="2" t="inlineStr">
        <is>
          <t>diesel</t>
        </is>
      </c>
      <c r="B95" s="2" t="n">
        <v>2005</v>
      </c>
      <c r="C95" t="inlineStr">
        <is>
          <t>criterio (zbe.yaml)</t>
        </is>
      </c>
      <c r="D95" t="inlineStr">
        <is>
          <t>Sin mes de matriculación → etiqueta dudosa = la peor del par de años</t>
        </is>
      </c>
    </row>
    <row r="96">
      <c r="A96" s="2" t="inlineStr">
        <is>
          <t>diesel</t>
        </is>
      </c>
      <c r="B96" s="2" t="n">
        <v>2006</v>
      </c>
      <c r="C96" t="inlineStr">
        <is>
          <t>criterio (zbe.yaml)</t>
        </is>
      </c>
      <c r="D96" t="inlineStr">
        <is>
          <t>Sin mes de matriculación → etiqueta dudosa = la peor del par de años</t>
        </is>
      </c>
    </row>
    <row r="97">
      <c r="A97" s="2" t="inlineStr">
        <is>
          <t>diesel</t>
        </is>
      </c>
      <c r="B97" s="2" t="n">
        <v>2015</v>
      </c>
      <c r="C97" t="inlineStr">
        <is>
          <t>criterio (zbe.yaml)</t>
        </is>
      </c>
      <c r="D97" t="inlineStr">
        <is>
          <t>Sin mes de matriculación → etiqueta dudosa = la peor del par de años</t>
        </is>
      </c>
    </row>
    <row r="99">
      <c r="A99" s="7" t="inlineStr">
        <is>
          <t>Código fichero DGT</t>
        </is>
      </c>
      <c r="B99" s="7" t="inlineStr">
        <is>
          <t>Etiqueta</t>
        </is>
      </c>
      <c r="C99" s="7" t="inlineStr">
        <is>
          <t>Estado</t>
        </is>
      </c>
      <c r="D99" s="7" t="inlineStr">
        <is>
          <t>Fuente</t>
        </is>
      </c>
    </row>
    <row r="100">
      <c r="A100" s="2" t="inlineStr">
        <is>
          <t>16TB</t>
        </is>
      </c>
      <c r="B100" s="2" t="inlineStr">
        <is>
          <t>B</t>
        </is>
      </c>
      <c r="C100" t="inlineStr">
        <is>
          <t>verificado (843 matrículas cruzadas)</t>
        </is>
      </c>
      <c r="D100" t="inlineStr">
        <is>
          <t>https://www.dgt.es/microdatos/salida/distintivoAmbiental/export_dist_ambiental.zip</t>
        </is>
      </c>
    </row>
    <row r="101">
      <c r="A101" s="2" t="inlineStr">
        <is>
          <t>16TC</t>
        </is>
      </c>
      <c r="B101" s="2" t="inlineStr">
        <is>
          <t>C</t>
        </is>
      </c>
      <c r="C101" t="inlineStr">
        <is>
          <t>verificado (843 matrículas cruzadas)</t>
        </is>
      </c>
      <c r="D101" t="inlineStr">
        <is>
          <t>https://www.dgt.es/microdatos/salida/distintivoAmbiental/export_dist_ambiental.zip</t>
        </is>
      </c>
    </row>
    <row r="102">
      <c r="A102" s="2" t="inlineStr">
        <is>
          <t>16TE</t>
        </is>
      </c>
      <c r="B102" s="2" t="inlineStr">
        <is>
          <t>ECO</t>
        </is>
      </c>
      <c r="C102" t="inlineStr">
        <is>
          <t>verificado (843 matrículas cruzadas)</t>
        </is>
      </c>
      <c r="D102" t="inlineStr">
        <is>
          <t>https://www.dgt.es/microdatos/salida/distintivoAmbiental/export_dist_ambiental.zip</t>
        </is>
      </c>
    </row>
    <row r="103">
      <c r="A103" s="2" t="inlineStr">
        <is>
          <t>16T0</t>
        </is>
      </c>
      <c r="B103" s="2" t="inlineStr">
        <is>
          <t>CERO</t>
        </is>
      </c>
      <c r="C103" t="inlineStr">
        <is>
          <t>verificado (843 matrículas cruzadas)</t>
        </is>
      </c>
      <c r="D103" t="inlineStr">
        <is>
          <t>https://www.dgt.es/microdatos/salida/distintivoAmbiental/export_dist_ambiental.zip</t>
        </is>
      </c>
    </row>
    <row r="104">
      <c r="A104" s="2" t="inlineStr">
        <is>
          <t>16MB</t>
        </is>
      </c>
      <c r="B104" s="2" t="inlineStr">
        <is>
          <t>B</t>
        </is>
      </c>
      <c r="C104" t="inlineStr">
        <is>
          <t>verificado (843 matrículas cruzadas)</t>
        </is>
      </c>
      <c r="D104" t="inlineStr">
        <is>
          <t>https://www.dgt.es/microdatos/salida/distintivoAmbiental/export_dist_ambiental.zip</t>
        </is>
      </c>
    </row>
    <row r="105">
      <c r="A105" s="2" t="inlineStr">
        <is>
          <t>16MC</t>
        </is>
      </c>
      <c r="B105" s="2" t="inlineStr">
        <is>
          <t>C</t>
        </is>
      </c>
      <c r="C105" t="inlineStr">
        <is>
          <t>verificado (843 matrículas cruzadas)</t>
        </is>
      </c>
      <c r="D105" t="inlineStr">
        <is>
          <t>https://www.dgt.es/microdatos/salida/distintivoAmbiental/export_dist_ambiental.zip</t>
        </is>
      </c>
    </row>
    <row r="106">
      <c r="A106" s="2" t="inlineStr">
        <is>
          <t>16ME</t>
        </is>
      </c>
      <c r="B106" s="2" t="inlineStr">
        <is>
          <t>ECO</t>
        </is>
      </c>
      <c r="C106" t="inlineStr">
        <is>
          <t>verificado (843 matrículas cruzadas)</t>
        </is>
      </c>
      <c r="D106" t="inlineStr">
        <is>
          <t>https://www.dgt.es/microdatos/salida/distintivoAmbiental/export_dist_ambiental.zip</t>
        </is>
      </c>
    </row>
    <row r="107">
      <c r="A107" s="2" t="inlineStr">
        <is>
          <t>16M0</t>
        </is>
      </c>
      <c r="B107" s="2" t="inlineStr">
        <is>
          <t>CERO</t>
        </is>
      </c>
      <c r="C107" t="inlineStr">
        <is>
          <t>verificado (843 matrículas cruzadas)</t>
        </is>
      </c>
      <c r="D107" t="inlineStr">
        <is>
          <t>https://www.dgt.es/microdatos/salida/distintivoAmbiental/export_dist_ambiental.zip</t>
        </is>
      </c>
    </row>
    <row r="108">
      <c r="A108" s="2" t="inlineStr">
        <is>
          <t>SIN DISTINTIVO</t>
        </is>
      </c>
      <c r="B108" s="2" t="inlineStr">
        <is>
          <t>A</t>
        </is>
      </c>
      <c r="C108" t="inlineStr">
        <is>
          <t>verificado (843 matrículas cruzadas)</t>
        </is>
      </c>
      <c r="D108" t="inlineStr">
        <is>
          <t>https://www.dgt.es/microdatos/salida/distintivoAmbiental/export_dist_ambiental.zip</t>
        </is>
      </c>
    </row>
    <row r="109">
      <c r="A109" t="inlineStr">
        <is>
          <t>Validación: No hay diccionario publicado para el fichero diario (el de parque anual usa "DISTINTIVO B/C, ECO, CERO, SIN DISTINTIVO"). Se ha verificado la equivalencia cruzando 843 matrículas con la etiqueta publicada por OcasionPlus (tools/dgt_check.py): 16TC↔C 656, 16TE↔ECO 95, 16TB↔B 67, 16T0/16M0↔CERO 22; 2 discrepancias (OcasionPlus decía C y la DGT B; ECO y la DGT C), en las que se toma el dato de la DGT. Todos los ECO son híbridos, GLP o GNC y todos los CERO, eléctricos o enchufables.</t>
        </is>
      </c>
    </row>
    <row r="111">
      <c r="A111" s="7" t="inlineStr">
        <is>
          <t>ZBE València: desde</t>
        </is>
      </c>
      <c r="B111" s="7" t="inlineStr">
        <is>
          <t>Hasta</t>
        </is>
      </c>
      <c r="C111" s="7" t="inlineStr">
        <is>
          <t>Restringidos</t>
        </is>
      </c>
      <c r="D111" s="7" t="inlineStr">
        <is>
          <t>Estado / fuente</t>
        </is>
      </c>
    </row>
    <row r="112">
      <c r="A112" s="2" t="inlineStr">
        <is>
          <t>2025-12-01</t>
        </is>
      </c>
      <c r="B112" s="2" t="inlineStr">
        <is>
          <t>2026-12-31</t>
        </is>
      </c>
      <c r="C112" s="2" t="inlineStr">
        <is>
          <t>A matriculados fuera de la provincia de València</t>
        </is>
      </c>
      <c r="D112" t="inlineStr">
        <is>
          <t>calendario PREVISTO, no definitivo (ordenanza pendiente de aprobación definitiva) — https://www.valencia.es/cas/actualidad/-/content/val%C3%A8ncia-aprueba-la-ordenanza-de-zona-de-bajas-emisiones (nota municipal 21-10-2025: calendario) (consultado 2026-10-31)</t>
        </is>
      </c>
    </row>
    <row r="113">
      <c r="A113" s="2" t="inlineStr">
        <is>
          <t>2027-01-01</t>
        </is>
      </c>
      <c r="B113" s="2" t="inlineStr">
        <is>
          <t>2027-12-31</t>
        </is>
      </c>
      <c r="C113" s="2" t="inlineStr">
        <is>
          <t>A matriculados fuera del municipio de València (incluida la provincia)</t>
        </is>
      </c>
      <c r="D113" t="inlineStr">
        <is>
          <t>calendario PREVISTO, no definitivo (ordenanza pendiente de aprobación definitiva) — https://www.valencia.es/cas/actualidad/-/content/val%C3%A8ncia-aprueba-la-ordenanza-de-zona-de-bajas-emisiones (nota municipal 21-10-2025: calendario) (consultado 2026-10-31)</t>
        </is>
      </c>
    </row>
    <row r="114">
      <c r="A114" s="2" t="inlineStr">
        <is>
          <t>2028-01-01</t>
        </is>
      </c>
      <c r="B114" s="2" t="inlineStr">
        <is>
          <t>—</t>
        </is>
      </c>
      <c r="C114" s="2" t="inlineStr">
        <is>
          <t>todos los A, incluidos los de vecinos de València</t>
        </is>
      </c>
      <c r="D114" t="inlineStr">
        <is>
          <t>calendario PREVISTO, no definitivo (ordenanza pendiente de aprobación definitiva) — https://www.valencia.es/cas/actualidad/-/content/val%C3%A8ncia-aprueba-la-ordenanza-de-zona-de-bajas-emisiones (nota municipal 21-10-2025: calendario) (consultado 2026-10-31)</t>
        </is>
      </c>
    </row>
    <row r="115">
      <c r="A115" t="inlineStr">
        <is>
          <t>Estado de la ordenanza: Aprobación INICIAL por el Pleno el 25-02-2025; "pendiente el acuerdo plenario de aprobación definitiva" (página municipal de la ZBE, consultada el 31-10-2026). La ZBE se puso en marcha el 01-12-2025 "de acuerdo con el calendario de implantación previsto en la Ordenanza aprobada provisionalmente". Las preguntas frecuentes municipales de enero de 2026 dicen que, al estar pendiente la aprobación definitiva, "no es posible concretar el inicio de las restricciones previstas".</t>
        </is>
      </c>
    </row>
    <row r="116">
      <c r="A116" t="inlineStr">
        <is>
          <t>Etiqueta B: Sin restricciones en la ordenanza (ni prevista con fecha). Que vaya a ser la siguiente es una expectativa razonable (Ley 7/2021 y otras ZBE), pero NO consta en ninguna fuente oficial de València: no se usa como dato.</t>
        </is>
      </c>
    </row>
    <row r="118">
      <c r="A118" s="7" t="inlineStr">
        <is>
          <t>Etiqueta (criterio 'Etiqueta y ZBE')</t>
        </is>
      </c>
      <c r="B118" s="7" t="inlineStr">
        <is>
          <t>Puntos</t>
        </is>
      </c>
      <c r="C118" s="7" t="inlineStr">
        <is>
          <t>Estado</t>
        </is>
      </c>
      <c r="D118" s="7" t="inlineStr">
        <is>
          <t>Fuente</t>
        </is>
      </c>
    </row>
    <row r="119">
      <c r="A119" s="2" t="inlineStr">
        <is>
          <t>B</t>
        </is>
      </c>
      <c r="B119" s="2" t="n">
        <v>40</v>
      </c>
      <c r="C119" t="inlineStr">
        <is>
          <t>criterio (config.yaml)</t>
        </is>
      </c>
      <c r="D119" t="inlineStr">
        <is>
          <t>config.yaml → scoring.etiqueta.puntos (B base, C +, ECO/CERO ++)</t>
        </is>
      </c>
    </row>
    <row r="120">
      <c r="A120" s="2" t="inlineStr">
        <is>
          <t>C</t>
        </is>
      </c>
      <c r="B120" s="2" t="n">
        <v>70</v>
      </c>
      <c r="C120" t="inlineStr">
        <is>
          <t>criterio (config.yaml)</t>
        </is>
      </c>
      <c r="D120" t="inlineStr">
        <is>
          <t>config.yaml → scoring.etiqueta.puntos (B base, C +, ECO/CERO ++)</t>
        </is>
      </c>
    </row>
    <row r="121">
      <c r="A121" s="2" t="inlineStr">
        <is>
          <t>ECO</t>
        </is>
      </c>
      <c r="B121" s="2" t="n">
        <v>100</v>
      </c>
      <c r="C121" t="inlineStr">
        <is>
          <t>criterio (config.yaml)</t>
        </is>
      </c>
      <c r="D121" t="inlineStr">
        <is>
          <t>config.yaml → scoring.etiqueta.puntos (B base, C +, ECO/CERO ++)</t>
        </is>
      </c>
    </row>
    <row r="122">
      <c r="A122" s="2" t="inlineStr">
        <is>
          <t>CERO</t>
        </is>
      </c>
      <c r="B122" s="2" t="n">
        <v>100</v>
      </c>
      <c r="C122" t="inlineStr">
        <is>
          <t>criterio (config.yaml)</t>
        </is>
      </c>
      <c r="D122" t="inlineStr">
        <is>
          <t>config.yaml → scoring.etiqueta.puntos (B base, C +, ECO/CERO ++)</t>
        </is>
      </c>
    </row>
    <row r="123">
      <c r="A123" s="2" t="inlineStr">
        <is>
          <t>A</t>
        </is>
      </c>
      <c r="B123" s="2" t="n">
        <v>0</v>
      </c>
      <c r="C123" t="inlineStr">
        <is>
          <t>criterio (config.yaml)</t>
        </is>
      </c>
      <c r="D123" t="inlineStr">
        <is>
          <t>config.yaml → scoring.etiqueta.puntos (B base, C +, ECO/CERO ++)</t>
        </is>
      </c>
    </row>
    <row r="124">
      <c r="A124" t="inlineStr">
        <is>
          <t>Penalización si la etiqueta es dudosa (puntos)</t>
        </is>
      </c>
      <c r="B124" s="2" t="n">
        <v>15</v>
      </c>
      <c r="C124" t="inlineStr">
        <is>
          <t>criterio (config.yaml)</t>
        </is>
      </c>
      <c r="D124" t="inlineStr">
        <is>
          <t>config.yaml</t>
        </is>
      </c>
    </row>
    <row r="125">
      <c r="A125" t="inlineStr">
        <is>
          <t>Penalización si la etiqueta sale solo de la regla (puntos)</t>
        </is>
      </c>
      <c r="B125" s="2" t="n">
        <v>5</v>
      </c>
      <c r="C125" t="inlineStr">
        <is>
          <t>criterio (config.yaml)</t>
        </is>
      </c>
      <c r="D125" t="inlineStr">
        <is>
          <t>config.yaml</t>
        </is>
      </c>
    </row>
    <row r="127">
      <c r="A127" s="7" t="inlineStr">
        <is>
          <t>Carrocería admitida con penalización</t>
        </is>
      </c>
      <c r="B127" s="7" t="inlineStr">
        <is>
          <t>Puntos restados a la PUNTUACIÓN</t>
        </is>
      </c>
      <c r="C127" s="7" t="inlineStr">
        <is>
          <t>Estado</t>
        </is>
      </c>
      <c r="D127" s="7" t="inlineStr">
        <is>
          <t>Fuente</t>
        </is>
      </c>
    </row>
    <row r="128">
      <c r="A128" s="2" t="inlineStr">
        <is>
          <t>berlina</t>
        </is>
      </c>
      <c r="B128" s="2" t="n">
        <v>4</v>
      </c>
      <c r="C128" t="inlineStr">
        <is>
          <t>criterio (config.yaml)</t>
        </is>
      </c>
      <c r="D128" t="inlineStr">
        <is>
          <t>config.yaml → scoring.penalizaciones.carroceria</t>
        </is>
      </c>
    </row>
    <row r="129">
      <c r="A129" s="2" t="inlineStr">
        <is>
          <t>familiar</t>
        </is>
      </c>
      <c r="B129" s="2" t="n">
        <v>3</v>
      </c>
      <c r="C129" t="inlineStr">
        <is>
          <t>criterio (config.yaml)</t>
        </is>
      </c>
      <c r="D129" t="inlineStr">
        <is>
          <t>config.yaml → scoring.penalizaciones.carroceria</t>
        </is>
      </c>
    </row>
    <row r="130">
      <c r="A130" s="2" t="inlineStr">
        <is>
          <t>monovolumen_pequeno</t>
        </is>
      </c>
      <c r="B130" s="2" t="n">
        <v>6</v>
      </c>
      <c r="C130" t="inlineStr">
        <is>
          <t>criterio (config.yaml)</t>
        </is>
      </c>
      <c r="D130" t="inlineStr">
        <is>
          <t>config.yaml → scoring.penalizaciones.carroceria</t>
        </is>
      </c>
    </row>
    <row r="131">
      <c r="A131" t="inlineStr">
        <is>
          <t>Diésel sin fuente de fiabilidad del motor (Mot. con fuente = 0): la fiabilidad del modelo se limita a NEUTRO (tratamiento de dato pendiente); además se aplica el ajuste por combustible (DPF).</t>
        </is>
      </c>
    </row>
    <row r="132">
      <c r="A132" t="inlineStr">
        <is>
          <t>Consumo (l/100 km): PENDIENTE de fuente -&gt; se puntúa con NEUTRO.</t>
        </is>
      </c>
    </row>
    <row r="134">
      <c r="A134" s="8" t="inlineStr">
        <is>
          <t>Seguro estimado (€/año) — Terceros ampliado, conductor de 29 años, Mislata (46920), sin siniestros, coche en la calle, valor &lt; 5.000 €</t>
        </is>
      </c>
    </row>
    <row r="135">
      <c r="A135" s="7" t="inlineStr">
        <is>
          <t>Segmento</t>
        </is>
      </c>
      <c r="B135" s="7" t="inlineStr">
        <is>
          <t>Mínimo</t>
        </is>
      </c>
      <c r="C135" s="7" t="inlineStr">
        <is>
          <t>Estimación central</t>
        </is>
      </c>
      <c r="D135" s="7" t="inlineStr">
        <is>
          <t>Máximo</t>
        </is>
      </c>
      <c r="E135" s="7" t="inlineStr">
        <is>
          <t>Estado</t>
        </is>
      </c>
      <c r="F135" s="7" t="inlineStr">
        <is>
          <t>Fuentes</t>
        </is>
      </c>
    </row>
    <row r="136">
      <c r="A136" s="2" t="inlineStr">
        <is>
          <t>utilitario</t>
        </is>
      </c>
      <c r="B136" s="2" t="n">
        <v>170</v>
      </c>
      <c r="C136" s="2" t="n">
        <v>300</v>
      </c>
      <c r="D136" s="2" t="n">
        <v>420</v>
      </c>
      <c r="E136" t="inlineStr">
        <is>
          <t>aproximado (estimación por segmento; no se han pedido presupuestos con datos personales)</t>
        </is>
      </c>
      <c r="F136"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37">
      <c r="A137" s="2" t="inlineStr">
        <is>
          <t>compacto</t>
        </is>
      </c>
      <c r="B137" s="2" t="n">
        <v>190</v>
      </c>
      <c r="C137" s="2" t="n">
        <v>340</v>
      </c>
      <c r="D137" s="2" t="n">
        <v>480</v>
      </c>
      <c r="E137" t="inlineStr">
        <is>
          <t>aproximado (estimación por segmento; no se han pedido presupuestos con datos personales)</t>
        </is>
      </c>
      <c r="F137"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38">
      <c r="A138"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139">
      <c r="A139" t="inlineStr">
        <is>
          <t>Seguro: referencia para 100 puntos (mínimo de la tabla)</t>
        </is>
      </c>
      <c r="B139" s="4">
        <f>MIN(B136:B137)</f>
        <v/>
      </c>
      <c r="C139" t="inlineStr">
        <is>
          <t>calculado</t>
        </is>
      </c>
      <c r="D139" t="inlineStr"/>
    </row>
    <row r="140">
      <c r="A140" t="inlineStr">
        <is>
          <t>Seguro: referencia para 0 puntos (máximo de la tabla)</t>
        </is>
      </c>
      <c r="B140" s="4">
        <f>MAX(D136:D137)</f>
        <v/>
      </c>
      <c r="C140" t="inlineStr">
        <is>
          <t>calculado</t>
        </is>
      </c>
      <c r="D140" t="inlineStr"/>
    </row>
    <row r="142">
      <c r="A142" s="6" t="inlineStr">
        <is>
          <t>5. Fiabilidad: medias TÜV por franja de edad</t>
        </is>
      </c>
    </row>
    <row r="143">
      <c r="A143" s="7" t="inlineStr">
        <is>
          <t>Franja</t>
        </is>
      </c>
      <c r="B143" s="7" t="inlineStr">
        <is>
          <t>Mängelquote media (%)</t>
        </is>
      </c>
      <c r="C143" s="7" t="inlineStr">
        <is>
          <t>Estado</t>
        </is>
      </c>
      <c r="D143" s="7" t="inlineStr">
        <is>
          <t>Fuente</t>
        </is>
      </c>
    </row>
    <row r="144">
      <c r="A144" s="2" t="inlineStr">
        <is>
          <t>10-11</t>
        </is>
      </c>
      <c r="B144" s="2" t="n">
        <v>22.9</v>
      </c>
      <c r="C144" t="inlineStr">
        <is>
          <t>probable</t>
        </is>
      </c>
      <c r="D144" t="inlineStr">
        <is>
          <t>https://www.tuev-verband.de/presse/publikationen/reporte/tuev-report-autobild</t>
        </is>
      </c>
    </row>
    <row r="145">
      <c r="A145" s="2" t="inlineStr">
        <is>
          <t>12-13</t>
        </is>
      </c>
      <c r="B145" s="2" t="n">
        <v>28.4</v>
      </c>
      <c r="C145" t="inlineStr">
        <is>
          <t>probable</t>
        </is>
      </c>
      <c r="D145" t="inlineStr">
        <is>
          <t>https://www.tuev-verband.de/presse/publikationen/reporte/tuev-report-autobild</t>
        </is>
      </c>
    </row>
    <row r="147">
      <c r="A147" s="6" t="inlineStr">
        <is>
          <t>6. Fiabilidad: índice OCU 2026 por marca</t>
        </is>
      </c>
    </row>
    <row r="148">
      <c r="A148" s="7" t="inlineStr">
        <is>
          <t>Marca</t>
        </is>
      </c>
      <c r="B148" s="7" t="inlineStr">
        <is>
          <t>Índice OCU (0-100)</t>
        </is>
      </c>
      <c r="C148" s="7" t="inlineStr">
        <is>
          <t>Estado</t>
        </is>
      </c>
      <c r="D148" s="7" t="inlineStr">
        <is>
          <t>Fuente</t>
        </is>
      </c>
    </row>
    <row r="149">
      <c r="A149" s="2" t="inlineStr">
        <is>
          <t>Lexus</t>
        </is>
      </c>
      <c r="B149" s="2" t="n">
        <v>93</v>
      </c>
      <c r="C149" t="inlineStr">
        <is>
          <t>probable</t>
        </is>
      </c>
      <c r="D149" t="inlineStr">
        <is>
          <t>https://www.ocu.org/organizacion/prensa/notas-de-prensa/2026/fiabcoches020326 ; https://es.motor1.com/news/789821/ocu-fiabilidad-2026-japoneses-tesla/</t>
        </is>
      </c>
    </row>
    <row r="150">
      <c r="A150" s="2" t="inlineStr">
        <is>
          <t>Subaru</t>
        </is>
      </c>
      <c r="B150" s="2" t="n">
        <v>91</v>
      </c>
      <c r="C150" t="inlineStr">
        <is>
          <t>probable</t>
        </is>
      </c>
      <c r="D150" t="inlineStr">
        <is>
          <t>https://www.ocu.org/organizacion/prensa/notas-de-prensa/2026/fiabcoches020326 ; https://es.motor1.com/news/789821/ocu-fiabilidad-2026-japoneses-tesla/</t>
        </is>
      </c>
    </row>
    <row r="151">
      <c r="A151" s="2" t="inlineStr">
        <is>
          <t>Toyota</t>
        </is>
      </c>
      <c r="B151" s="2" t="n">
        <v>91</v>
      </c>
      <c r="C151" t="inlineStr">
        <is>
          <t>probable</t>
        </is>
      </c>
      <c r="D151" t="inlineStr">
        <is>
          <t>https://www.ocu.org/organizacion/prensa/notas-de-prensa/2026/fiabcoches020326 ; https://es.motor1.com/news/789821/ocu-fiabilidad-2026-japoneses-tesla/</t>
        </is>
      </c>
    </row>
    <row r="152">
      <c r="A152" s="2" t="inlineStr">
        <is>
          <t>Suzuki</t>
        </is>
      </c>
      <c r="B152" s="2" t="n">
        <v>91</v>
      </c>
      <c r="C152" t="inlineStr">
        <is>
          <t>probable</t>
        </is>
      </c>
      <c r="D152" t="inlineStr">
        <is>
          <t>https://www.ocu.org/organizacion/prensa/notas-de-prensa/2026/fiabcoches020326 ; https://es.motor1.com/news/789821/ocu-fiabilidad-2026-japoneses-tesla/</t>
        </is>
      </c>
    </row>
    <row r="154">
      <c r="A154" s="6" t="inlineStr">
        <is>
          <t>6b. Fiabilidad: ADAC Pannenstatistik 2025 — averías por 1.000 vehículos, matriculación 2015</t>
        </is>
      </c>
    </row>
    <row r="155">
      <c r="A155" s="7" t="inlineStr">
        <is>
          <t>Fila ADAC</t>
        </is>
      </c>
      <c r="B155" s="7" t="inlineStr">
        <is>
          <t>Pannenkennziffer EZ 2015</t>
        </is>
      </c>
      <c r="C155" s="7" t="inlineStr">
        <is>
          <t>Estado</t>
        </is>
      </c>
      <c r="D155" s="7" t="inlineStr">
        <is>
          <t>Fuente</t>
        </is>
      </c>
    </row>
    <row r="156">
      <c r="A156" s="2" t="inlineStr">
        <is>
          <t>Audi A1</t>
        </is>
      </c>
      <c r="B156" s="2" t="n">
        <v>6</v>
      </c>
      <c r="C156" t="inlineStr">
        <is>
          <t>confirmado (PDF original descargado el 31-10-2026; extraído con tools/adac_extract.py, último valor de cada fila; C3/DS3 y Mégane revisados a mano)</t>
        </is>
      </c>
      <c r="D156" t="inlineStr">
        <is>
          <t>https://assets.adac.de/image/upload/v1744279730/ADAC-eV/KOR/Text/PDF/Pannenstatistik_2025_final_nrmvls.pdf</t>
        </is>
      </c>
    </row>
    <row r="157">
      <c r="A157" s="2" t="inlineStr">
        <is>
          <t>Audi A4</t>
        </is>
      </c>
      <c r="B157" s="2" t="n">
        <v>7.6</v>
      </c>
      <c r="C157" t="inlineStr"/>
      <c r="D157" t="inlineStr"/>
    </row>
    <row r="158">
      <c r="A158" s="2" t="inlineStr">
        <is>
          <t>Audi A5</t>
        </is>
      </c>
      <c r="B158" s="2" t="n">
        <v>11.1</v>
      </c>
      <c r="C158" t="inlineStr"/>
      <c r="D158" t="inlineStr"/>
    </row>
    <row r="159">
      <c r="A159" s="2" t="inlineStr">
        <is>
          <t>Audi Q5</t>
        </is>
      </c>
      <c r="B159" s="2" t="n">
        <v>13.8</v>
      </c>
      <c r="C159" t="inlineStr"/>
      <c r="D159" t="inlineStr"/>
    </row>
    <row r="160">
      <c r="A160" s="2" t="inlineStr">
        <is>
          <t>BMW 3er-Reihe</t>
        </is>
      </c>
      <c r="B160" s="2" t="n">
        <v>9.1</v>
      </c>
      <c r="C160" t="inlineStr"/>
      <c r="D160" t="inlineStr"/>
    </row>
    <row r="161">
      <c r="A161" s="2" t="inlineStr">
        <is>
          <t>BMW 4er-Reihe</t>
        </is>
      </c>
      <c r="B161" s="2" t="n">
        <v>7.5</v>
      </c>
      <c r="C161" t="inlineStr"/>
      <c r="D161" t="inlineStr"/>
    </row>
    <row r="162">
      <c r="A162" s="2" t="inlineStr">
        <is>
          <t>BMW 5er-Reihe</t>
        </is>
      </c>
      <c r="B162" s="2" t="n">
        <v>10.3</v>
      </c>
      <c r="C162" t="inlineStr"/>
      <c r="D162" t="inlineStr"/>
    </row>
    <row r="163">
      <c r="A163" s="2" t="inlineStr">
        <is>
          <t>BMW X1</t>
        </is>
      </c>
      <c r="B163" s="2" t="n">
        <v>14.2</v>
      </c>
      <c r="C163" t="inlineStr"/>
      <c r="D163" t="inlineStr"/>
    </row>
    <row r="164">
      <c r="A164" s="2" t="inlineStr">
        <is>
          <t>BMW X3</t>
        </is>
      </c>
      <c r="B164" s="2" t="n">
        <v>4.2</v>
      </c>
      <c r="C164" t="inlineStr"/>
      <c r="D164" t="inlineStr"/>
    </row>
    <row r="165">
      <c r="A165" s="2" t="inlineStr">
        <is>
          <t>BMW X5</t>
        </is>
      </c>
      <c r="B165" s="2" t="n">
        <v>14.1</v>
      </c>
      <c r="C165" t="inlineStr"/>
      <c r="D165" t="inlineStr"/>
    </row>
    <row r="166">
      <c r="A166" s="2" t="inlineStr">
        <is>
          <t>Citroen Berlingo, Fiat Doblò, Peugeot Partner/Rifter</t>
        </is>
      </c>
      <c r="B166" s="2" t="n">
        <v>19.5</v>
      </c>
      <c r="C166" t="inlineStr"/>
      <c r="D166" t="inlineStr"/>
    </row>
    <row r="167">
      <c r="A167" s="2" t="inlineStr">
        <is>
          <t>Citroen C3/DS 3</t>
        </is>
      </c>
      <c r="B167" s="2" t="n">
        <v>23.7</v>
      </c>
      <c r="C167" t="inlineStr"/>
      <c r="D167" t="inlineStr"/>
    </row>
    <row r="168">
      <c r="A168" s="2" t="inlineStr">
        <is>
          <t>DS Automobiles DS3, Citroen C3/DS 3</t>
        </is>
      </c>
      <c r="B168" s="2" t="n">
        <v>23.7</v>
      </c>
      <c r="C168" t="inlineStr"/>
      <c r="D168" t="inlineStr"/>
    </row>
    <row r="169">
      <c r="A169" s="2" t="inlineStr">
        <is>
          <t>Dacia Dokker</t>
        </is>
      </c>
      <c r="B169" s="2" t="n">
        <v>7.5</v>
      </c>
      <c r="C169" t="inlineStr"/>
      <c r="D169" t="inlineStr"/>
    </row>
    <row r="170">
      <c r="A170" s="2" t="inlineStr">
        <is>
          <t>Dacia Duster</t>
        </is>
      </c>
      <c r="B170" s="2" t="n">
        <v>22.9</v>
      </c>
      <c r="C170" t="inlineStr"/>
      <c r="D170" t="inlineStr"/>
    </row>
    <row r="171">
      <c r="A171" s="2" t="inlineStr">
        <is>
          <t>Dacia Logan</t>
        </is>
      </c>
      <c r="B171" s="2" t="n">
        <v>23.1</v>
      </c>
      <c r="C171" t="inlineStr"/>
      <c r="D171" t="inlineStr"/>
    </row>
    <row r="172">
      <c r="A172" s="2" t="inlineStr">
        <is>
          <t>Dacia Sandero</t>
        </is>
      </c>
      <c r="B172" s="2" t="n">
        <v>14.1</v>
      </c>
      <c r="C172" t="inlineStr"/>
      <c r="D172" t="inlineStr"/>
    </row>
    <row r="173">
      <c r="A173" s="2" t="inlineStr">
        <is>
          <t>Fiat 500</t>
        </is>
      </c>
      <c r="B173" s="2" t="n">
        <v>23.6</v>
      </c>
      <c r="C173" t="inlineStr"/>
      <c r="D173" t="inlineStr"/>
    </row>
    <row r="174">
      <c r="A174" s="2" t="inlineStr">
        <is>
          <t>Fiat Ducato</t>
        </is>
      </c>
      <c r="B174" s="2" t="n">
        <v>45.6</v>
      </c>
      <c r="C174" t="inlineStr"/>
      <c r="D174" t="inlineStr"/>
    </row>
    <row r="175">
      <c r="A175" s="2" t="inlineStr">
        <is>
          <t>Fiat Panda</t>
        </is>
      </c>
      <c r="B175" s="2" t="n">
        <v>16.5</v>
      </c>
      <c r="C175" t="inlineStr"/>
      <c r="D175" t="inlineStr"/>
    </row>
    <row r="176">
      <c r="A176" s="2" t="inlineStr">
        <is>
          <t>Ford B-MAX</t>
        </is>
      </c>
      <c r="B176" s="2" t="n">
        <v>17.7</v>
      </c>
      <c r="C176" t="inlineStr"/>
      <c r="D176" t="inlineStr"/>
    </row>
    <row r="177">
      <c r="A177" s="2" t="inlineStr">
        <is>
          <t>Ford C-MAX</t>
        </is>
      </c>
      <c r="B177" s="2" t="n">
        <v>25</v>
      </c>
      <c r="C177" t="inlineStr"/>
      <c r="D177" t="inlineStr"/>
    </row>
    <row r="178">
      <c r="A178" s="2" t="inlineStr">
        <is>
          <t>Ford Fiesta (Courier)</t>
        </is>
      </c>
      <c r="B178" s="2" t="n">
        <v>20.4</v>
      </c>
      <c r="C178" t="inlineStr"/>
      <c r="D178" t="inlineStr"/>
    </row>
    <row r="179">
      <c r="A179" s="2" t="inlineStr">
        <is>
          <t>Ford Focus</t>
        </is>
      </c>
      <c r="B179" s="2" t="n">
        <v>25.2</v>
      </c>
      <c r="C179" t="inlineStr"/>
      <c r="D179" t="inlineStr"/>
    </row>
    <row r="180">
      <c r="A180" s="2" t="inlineStr">
        <is>
          <t>Ford Kuga</t>
        </is>
      </c>
      <c r="B180" s="2" t="n">
        <v>23.6</v>
      </c>
      <c r="C180" t="inlineStr"/>
      <c r="D180" t="inlineStr"/>
    </row>
    <row r="181">
      <c r="A181" s="2" t="inlineStr">
        <is>
          <t>Ford Ranger</t>
        </is>
      </c>
      <c r="B181" s="2" t="n">
        <v>16.7</v>
      </c>
      <c r="C181" t="inlineStr"/>
      <c r="D181" t="inlineStr"/>
    </row>
    <row r="182">
      <c r="A182" s="2" t="inlineStr">
        <is>
          <t>Ford Tourneo/Transit Connect</t>
        </is>
      </c>
      <c r="B182" s="2" t="n">
        <v>23.5</v>
      </c>
      <c r="C182" t="inlineStr"/>
      <c r="D182" t="inlineStr"/>
    </row>
    <row r="183">
      <c r="A183" s="2" t="inlineStr">
        <is>
          <t>Ford Tourneo/Transit Custom</t>
        </is>
      </c>
      <c r="B183" s="2" t="n">
        <v>18.6</v>
      </c>
      <c r="C183" t="inlineStr"/>
      <c r="D183" t="inlineStr"/>
    </row>
    <row r="184">
      <c r="A184" s="2" t="inlineStr">
        <is>
          <t>Hyundai Tucson</t>
        </is>
      </c>
      <c r="B184" s="2" t="n">
        <v>18.2</v>
      </c>
      <c r="C184" t="inlineStr"/>
      <c r="D184" t="inlineStr"/>
    </row>
    <row r="185">
      <c r="A185" s="2" t="inlineStr">
        <is>
          <t>Hyundai i10</t>
        </is>
      </c>
      <c r="B185" s="2" t="n">
        <v>18.6</v>
      </c>
      <c r="C185" t="inlineStr"/>
      <c r="D185" t="inlineStr"/>
    </row>
    <row r="186">
      <c r="A186" s="2" t="inlineStr">
        <is>
          <t>Hyundai i20</t>
        </is>
      </c>
      <c r="B186" s="2" t="n">
        <v>21.1</v>
      </c>
      <c r="C186" t="inlineStr"/>
      <c r="D186" t="inlineStr"/>
    </row>
    <row r="187">
      <c r="A187" s="2" t="inlineStr">
        <is>
          <t>Hyundai i30</t>
        </is>
      </c>
      <c r="B187" s="2" t="n">
        <v>16.8</v>
      </c>
      <c r="C187" t="inlineStr"/>
      <c r="D187" t="inlineStr"/>
    </row>
    <row r="188">
      <c r="A188" s="2" t="inlineStr">
        <is>
          <t>Hyundai ix20</t>
        </is>
      </c>
      <c r="B188" s="2" t="n">
        <v>21.1</v>
      </c>
      <c r="C188" t="inlineStr"/>
      <c r="D188" t="inlineStr"/>
    </row>
    <row r="189">
      <c r="A189" s="2" t="inlineStr">
        <is>
          <t>KIA Ceed/XCeed</t>
        </is>
      </c>
      <c r="B189" s="2" t="n">
        <v>15.4</v>
      </c>
      <c r="C189" t="inlineStr"/>
      <c r="D189" t="inlineStr"/>
    </row>
    <row r="190">
      <c r="A190" s="2" t="inlineStr">
        <is>
          <t>Kia Picanto</t>
        </is>
      </c>
      <c r="B190" s="2" t="n">
        <v>24.4</v>
      </c>
      <c r="C190" t="inlineStr"/>
      <c r="D190" t="inlineStr"/>
    </row>
    <row r="191">
      <c r="A191" s="2" t="inlineStr">
        <is>
          <t>Kia Sportage</t>
        </is>
      </c>
      <c r="B191" s="2" t="n">
        <v>19.7</v>
      </c>
      <c r="C191" t="inlineStr"/>
      <c r="D191" t="inlineStr"/>
    </row>
    <row r="192">
      <c r="A192" s="2" t="inlineStr">
        <is>
          <t>MINI MINI</t>
        </is>
      </c>
      <c r="B192" s="2" t="n">
        <v>11.6</v>
      </c>
      <c r="C192" t="inlineStr"/>
      <c r="D192" t="inlineStr"/>
    </row>
    <row r="193">
      <c r="A193" s="2" t="inlineStr">
        <is>
          <t>Mazda 2</t>
        </is>
      </c>
      <c r="B193" s="2" t="n">
        <v>6.6</v>
      </c>
      <c r="C193" t="inlineStr"/>
      <c r="D193" t="inlineStr"/>
    </row>
    <row r="194">
      <c r="A194" s="2" t="inlineStr">
        <is>
          <t>Mazda 3</t>
        </is>
      </c>
      <c r="B194" s="2" t="n">
        <v>12.3</v>
      </c>
      <c r="C194" t="inlineStr"/>
      <c r="D194" t="inlineStr"/>
    </row>
    <row r="195">
      <c r="A195" s="2" t="inlineStr">
        <is>
          <t>Mazda CX-3</t>
        </is>
      </c>
      <c r="B195" s="2" t="n">
        <v>9.1</v>
      </c>
      <c r="C195" t="inlineStr"/>
      <c r="D195" t="inlineStr"/>
    </row>
    <row r="196">
      <c r="A196" s="2" t="inlineStr">
        <is>
          <t>Mazda CX-5</t>
        </is>
      </c>
      <c r="B196" s="2" t="n">
        <v>15.1</v>
      </c>
      <c r="C196" t="inlineStr"/>
      <c r="D196" t="inlineStr"/>
    </row>
    <row r="197">
      <c r="A197" s="2" t="inlineStr">
        <is>
          <t>Mercedes-Benz A-Klasse</t>
        </is>
      </c>
      <c r="B197" s="2" t="n">
        <v>13.9</v>
      </c>
      <c r="C197" t="inlineStr"/>
      <c r="D197" t="inlineStr"/>
    </row>
    <row r="198">
      <c r="A198" s="2" t="inlineStr">
        <is>
          <t>Mercedes-Benz B-Klasse</t>
        </is>
      </c>
      <c r="B198" s="2" t="n">
        <v>12.8</v>
      </c>
      <c r="C198" t="inlineStr"/>
      <c r="D198" t="inlineStr"/>
    </row>
    <row r="199">
      <c r="A199" s="2" t="inlineStr">
        <is>
          <t>Mercedes-Benz C-Klasse</t>
        </is>
      </c>
      <c r="B199" s="2" t="n">
        <v>11.4</v>
      </c>
      <c r="C199" t="inlineStr"/>
      <c r="D199" t="inlineStr"/>
    </row>
    <row r="200">
      <c r="A200" s="2" t="inlineStr">
        <is>
          <t>Mercedes-Benz CLA</t>
        </is>
      </c>
      <c r="B200" s="2" t="n">
        <v>19.3</v>
      </c>
      <c r="C200" t="inlineStr"/>
      <c r="D200" t="inlineStr"/>
    </row>
    <row r="201">
      <c r="A201" s="2" t="inlineStr">
        <is>
          <t>Mercedes-Benz Citan</t>
        </is>
      </c>
      <c r="B201" s="2" t="n">
        <v>21.9</v>
      </c>
      <c r="C201" t="inlineStr"/>
      <c r="D201" t="inlineStr"/>
    </row>
    <row r="202">
      <c r="A202" s="2" t="inlineStr">
        <is>
          <t>Mercedes-Benz E-Klasse</t>
        </is>
      </c>
      <c r="B202" s="2" t="n">
        <v>19.5</v>
      </c>
      <c r="C202" t="inlineStr"/>
      <c r="D202" t="inlineStr"/>
    </row>
    <row r="203">
      <c r="A203" s="2" t="inlineStr">
        <is>
          <t>Mercedes-Benz GLA</t>
        </is>
      </c>
      <c r="B203" s="2" t="n">
        <v>10.7</v>
      </c>
      <c r="C203" t="inlineStr"/>
      <c r="D203" t="inlineStr"/>
    </row>
    <row r="204">
      <c r="A204" s="2" t="inlineStr">
        <is>
          <t>Mercedes-Benz GLE</t>
        </is>
      </c>
      <c r="B204" s="2" t="n">
        <v>13</v>
      </c>
      <c r="C204" t="inlineStr"/>
      <c r="D204" t="inlineStr"/>
    </row>
    <row r="205">
      <c r="A205" s="2" t="inlineStr">
        <is>
          <t>Mitsubishi ASX</t>
        </is>
      </c>
      <c r="B205" s="2" t="n">
        <v>8.800000000000001</v>
      </c>
      <c r="C205" t="inlineStr"/>
      <c r="D205" t="inlineStr"/>
    </row>
    <row r="206">
      <c r="A206" s="2" t="inlineStr">
        <is>
          <t>Mitsubishi Space Star</t>
        </is>
      </c>
      <c r="B206" s="2" t="n">
        <v>25.9</v>
      </c>
      <c r="C206" t="inlineStr"/>
      <c r="D206" t="inlineStr"/>
    </row>
    <row r="207">
      <c r="A207" s="2" t="inlineStr">
        <is>
          <t>Nissan Micra</t>
        </is>
      </c>
      <c r="B207" s="2" t="n">
        <v>18.4</v>
      </c>
      <c r="C207" t="inlineStr"/>
      <c r="D207" t="inlineStr"/>
    </row>
    <row r="208">
      <c r="A208" s="2" t="inlineStr">
        <is>
          <t>Nissan Qashqai</t>
        </is>
      </c>
      <c r="B208" s="2" t="n">
        <v>24.9</v>
      </c>
      <c r="C208" t="inlineStr"/>
      <c r="D208" t="inlineStr"/>
    </row>
    <row r="209">
      <c r="A209" s="2" t="inlineStr">
        <is>
          <t>Opel ADAM</t>
        </is>
      </c>
      <c r="B209" s="2" t="n">
        <v>21</v>
      </c>
      <c r="C209" t="inlineStr"/>
      <c r="D209" t="inlineStr"/>
    </row>
    <row r="210">
      <c r="A210" s="2" t="inlineStr">
        <is>
          <t>Opel Astra</t>
        </is>
      </c>
      <c r="B210" s="2" t="n">
        <v>22.2</v>
      </c>
      <c r="C210" t="inlineStr"/>
      <c r="D210" t="inlineStr"/>
    </row>
    <row r="211">
      <c r="A211" s="2" t="inlineStr">
        <is>
          <t>Opel Corsa</t>
        </is>
      </c>
      <c r="B211" s="2" t="n">
        <v>20.2</v>
      </c>
      <c r="C211" t="inlineStr"/>
      <c r="D211" t="inlineStr"/>
    </row>
    <row r="212">
      <c r="A212" s="2" t="inlineStr">
        <is>
          <t>Opel KARL</t>
        </is>
      </c>
      <c r="B212" s="2" t="n">
        <v>20.4</v>
      </c>
      <c r="C212" t="inlineStr"/>
      <c r="D212" t="inlineStr"/>
    </row>
    <row r="213">
      <c r="A213" s="2" t="inlineStr">
        <is>
          <t>Opel Meriva</t>
        </is>
      </c>
      <c r="B213" s="2" t="n">
        <v>26.2</v>
      </c>
      <c r="C213" t="inlineStr"/>
      <c r="D213" t="inlineStr"/>
    </row>
    <row r="214">
      <c r="A214" s="2" t="inlineStr">
        <is>
          <t>Opel Mokka</t>
        </is>
      </c>
      <c r="B214" s="2" t="n">
        <v>20.4</v>
      </c>
      <c r="C214" t="inlineStr"/>
      <c r="D214" t="inlineStr"/>
    </row>
    <row r="215">
      <c r="A215" s="2" t="inlineStr">
        <is>
          <t>Opel Zafira</t>
        </is>
      </c>
      <c r="B215" s="2" t="n">
        <v>30.2</v>
      </c>
      <c r="C215" t="inlineStr"/>
      <c r="D215" t="inlineStr"/>
    </row>
    <row r="216">
      <c r="A216" s="2" t="inlineStr">
        <is>
          <t>Peugeot 2008</t>
        </is>
      </c>
      <c r="B216" s="2" t="n">
        <v>13.4</v>
      </c>
      <c r="C216" t="inlineStr"/>
      <c r="D216" t="inlineStr"/>
    </row>
    <row r="217">
      <c r="A217" s="2" t="inlineStr">
        <is>
          <t>Peugeot 208</t>
        </is>
      </c>
      <c r="B217" s="2" t="n">
        <v>20.4</v>
      </c>
      <c r="C217" t="inlineStr"/>
      <c r="D217" t="inlineStr"/>
    </row>
    <row r="218">
      <c r="A218" s="2" t="inlineStr">
        <is>
          <t>Peugeot 308</t>
        </is>
      </c>
      <c r="B218" s="2" t="n">
        <v>25.6</v>
      </c>
      <c r="C218" t="inlineStr"/>
      <c r="D218" t="inlineStr"/>
    </row>
    <row r="219">
      <c r="A219" s="2" t="inlineStr">
        <is>
          <t>Renault Clio/Captur</t>
        </is>
      </c>
      <c r="B219" s="2" t="n">
        <v>26</v>
      </c>
      <c r="C219" t="inlineStr"/>
      <c r="D219" t="inlineStr"/>
    </row>
    <row r="220">
      <c r="A220" s="2" t="inlineStr">
        <is>
          <t>Renault Kangoo/Rapid</t>
        </is>
      </c>
      <c r="B220" s="2" t="n">
        <v>26.8</v>
      </c>
      <c r="C220" t="inlineStr"/>
      <c r="D220" t="inlineStr"/>
    </row>
    <row r="221">
      <c r="A221" s="2" t="inlineStr">
        <is>
          <t>Renault Master</t>
        </is>
      </c>
      <c r="B221" s="2" t="n">
        <v>19.5</v>
      </c>
      <c r="C221" t="inlineStr"/>
      <c r="D221" t="inlineStr"/>
    </row>
    <row r="222">
      <c r="A222" s="2" t="inlineStr">
        <is>
          <t>Renault Mégane</t>
        </is>
      </c>
      <c r="B222" s="2" t="n">
        <v>28.1</v>
      </c>
      <c r="C222" t="inlineStr"/>
      <c r="D222" t="inlineStr"/>
    </row>
    <row r="223">
      <c r="A223" s="2" t="inlineStr">
        <is>
          <t>Renault Scénic</t>
        </is>
      </c>
      <c r="B223" s="2" t="n">
        <v>29.1</v>
      </c>
      <c r="C223" t="inlineStr"/>
      <c r="D223" t="inlineStr"/>
    </row>
    <row r="224">
      <c r="A224" s="2" t="inlineStr">
        <is>
          <t>Renault Twingo</t>
        </is>
      </c>
      <c r="B224" s="2" t="n">
        <v>20.7</v>
      </c>
      <c r="C224" t="inlineStr"/>
      <c r="D224" t="inlineStr"/>
    </row>
    <row r="225">
      <c r="A225" s="2" t="inlineStr">
        <is>
          <t>SEAT Ibiza</t>
        </is>
      </c>
      <c r="B225" s="2" t="n">
        <v>16.8</v>
      </c>
      <c r="C225" t="inlineStr"/>
      <c r="D225" t="inlineStr"/>
    </row>
    <row r="226">
      <c r="A226" s="2" t="inlineStr">
        <is>
          <t>SEAT Leon</t>
        </is>
      </c>
      <c r="B226" s="2" t="n">
        <v>10</v>
      </c>
      <c r="C226" t="inlineStr"/>
      <c r="D226" t="inlineStr"/>
    </row>
    <row r="227">
      <c r="A227" s="2" t="inlineStr">
        <is>
          <t>Skoda Fabia</t>
        </is>
      </c>
      <c r="B227" s="2" t="n">
        <v>12.8</v>
      </c>
      <c r="C227" t="inlineStr"/>
      <c r="D227" t="inlineStr"/>
    </row>
    <row r="228">
      <c r="A228" s="2" t="inlineStr">
        <is>
          <t>Skoda Octavia</t>
        </is>
      </c>
      <c r="B228" s="2" t="n">
        <v>10.4</v>
      </c>
      <c r="C228" t="inlineStr"/>
      <c r="D228" t="inlineStr"/>
    </row>
    <row r="229">
      <c r="A229" s="2" t="inlineStr">
        <is>
          <t>Skoda Rapid</t>
        </is>
      </c>
      <c r="B229" s="2" t="n">
        <v>15.1</v>
      </c>
      <c r="C229" t="inlineStr"/>
      <c r="D229" t="inlineStr"/>
    </row>
    <row r="230">
      <c r="A230" s="2" t="inlineStr">
        <is>
          <t>Skoda Yeti</t>
        </is>
      </c>
      <c r="B230" s="2" t="n">
        <v>14</v>
      </c>
      <c r="C230" t="inlineStr"/>
      <c r="D230" t="inlineStr"/>
    </row>
    <row r="231">
      <c r="A231" s="2" t="inlineStr">
        <is>
          <t>Suzuki Swift</t>
        </is>
      </c>
      <c r="B231" s="2" t="n">
        <v>12</v>
      </c>
      <c r="C231" t="inlineStr"/>
      <c r="D231" t="inlineStr"/>
    </row>
    <row r="232">
      <c r="A232" s="2" t="inlineStr">
        <is>
          <t>Toyota Auris</t>
        </is>
      </c>
      <c r="B232" s="2" t="n">
        <v>19.3</v>
      </c>
      <c r="C232" t="inlineStr"/>
      <c r="D232" t="inlineStr"/>
    </row>
    <row r="233">
      <c r="A233" s="2" t="inlineStr">
        <is>
          <t>Toyota Aygo</t>
        </is>
      </c>
      <c r="B233" s="2" t="n">
        <v>12</v>
      </c>
      <c r="C233" t="inlineStr"/>
      <c r="D233" t="inlineStr"/>
    </row>
    <row r="234">
      <c r="A234" s="2" t="inlineStr">
        <is>
          <t>Toyota Yaris</t>
        </is>
      </c>
      <c r="B234" s="2" t="n">
        <v>22.8</v>
      </c>
      <c r="C234" t="inlineStr"/>
      <c r="D234" t="inlineStr"/>
    </row>
    <row r="235">
      <c r="A235" s="2" t="inlineStr">
        <is>
          <t>VW Beetle</t>
        </is>
      </c>
      <c r="B235" s="2" t="n">
        <v>11.8</v>
      </c>
      <c r="C235" t="inlineStr"/>
      <c r="D235" t="inlineStr"/>
    </row>
    <row r="236">
      <c r="A236" s="2" t="inlineStr">
        <is>
          <t>VW Golf</t>
        </is>
      </c>
      <c r="B236" s="2" t="n">
        <v>10.5</v>
      </c>
      <c r="C236" t="inlineStr"/>
      <c r="D236" t="inlineStr"/>
    </row>
    <row r="237">
      <c r="A237" s="2" t="inlineStr">
        <is>
          <t>VW Nutzfahrzeuge Caddy</t>
        </is>
      </c>
      <c r="B237" s="2" t="n">
        <v>16.4</v>
      </c>
      <c r="C237" t="inlineStr"/>
      <c r="D237" t="inlineStr"/>
    </row>
    <row r="238">
      <c r="A238" s="2" t="inlineStr">
        <is>
          <t>VW Polo</t>
        </is>
      </c>
      <c r="B238" s="2" t="n">
        <v>14.9</v>
      </c>
      <c r="C238" t="inlineStr"/>
      <c r="D238" t="inlineStr"/>
    </row>
    <row r="239">
      <c r="A239" s="2" t="inlineStr">
        <is>
          <t>VW Tiguan</t>
        </is>
      </c>
      <c r="B239" s="2" t="n">
        <v>11.4</v>
      </c>
      <c r="C239" t="inlineStr"/>
      <c r="D239" t="inlineStr"/>
    </row>
    <row r="240">
      <c r="A240" s="2" t="inlineStr">
        <is>
          <t>VW Touran</t>
        </is>
      </c>
      <c r="B240" s="2" t="n">
        <v>20.3</v>
      </c>
      <c r="C240" t="inlineStr"/>
      <c r="D240" t="inlineStr"/>
    </row>
    <row r="241">
      <c r="A241" s="2" t="inlineStr">
        <is>
          <t>smart forfour</t>
        </is>
      </c>
      <c r="B241" s="2" t="n">
        <v>27.5</v>
      </c>
      <c r="C241" t="inlineStr"/>
      <c r="D241" t="inlineStr"/>
    </row>
    <row r="242">
      <c r="A242" s="2" t="inlineStr">
        <is>
          <t>smart fortwo</t>
        </is>
      </c>
      <c r="B242" s="2" t="n">
        <v>21</v>
      </c>
      <c r="C242" t="inlineStr"/>
      <c r="D242" t="inlineStr"/>
    </row>
    <row r="243">
      <c r="A243" t="inlineStr">
        <is>
          <t>ADAC: mediana de la tabla (referencia 50 puntos)</t>
        </is>
      </c>
      <c r="B243" s="4">
        <f>MEDIAN(B156:B242)</f>
        <v/>
      </c>
      <c r="C243" t="inlineStr">
        <is>
          <t>calculado</t>
        </is>
      </c>
      <c r="D243" t="inlineStr">
        <is>
          <t>punt_ADAC = 50 + 100·(mediana − PKZ)/mediana, acotado 0-100; mediana de todas las filas de la tabla</t>
        </is>
      </c>
    </row>
    <row r="245">
      <c r="A245" s="6" t="inlineStr">
        <is>
          <t>7. Fiabilidad por modelo (punt. TÜV = 50 + 100·(media − MQ)/media; punt. ADAC = 50 + 100·(ref − PKZ)/ref; punt. modelo = media de TÜV, ADAC y OCU marca)</t>
        </is>
      </c>
    </row>
    <row r="246">
      <c r="A246" s="7" t="inlineStr">
        <is>
          <t>Modelo</t>
        </is>
      </c>
      <c r="B246" s="7" t="inlineStr">
        <is>
          <t>Marca</t>
        </is>
      </c>
      <c r="C246" s="7" t="inlineStr">
        <is>
          <t>TÜV Mängelquote (%)</t>
        </is>
      </c>
      <c r="D246" s="7" t="inlineStr">
        <is>
          <t>Franja</t>
        </is>
      </c>
      <c r="E246" s="7" t="inlineStr">
        <is>
          <t>Media franja (%)</t>
        </is>
      </c>
      <c r="F246" s="7" t="inlineStr">
        <is>
          <t>Punt. TÜV</t>
        </is>
      </c>
      <c r="G246" s="7" t="inlineStr">
        <is>
          <t>Fila ADAC</t>
        </is>
      </c>
      <c r="H246" s="7" t="inlineStr">
        <is>
          <t>ADAC PKZ 2015</t>
        </is>
      </c>
      <c r="I246" s="7" t="inlineStr">
        <is>
          <t>Punt. ADAC</t>
        </is>
      </c>
      <c r="J246" s="7" t="inlineStr">
        <is>
          <t>Punt. OCU marca</t>
        </is>
      </c>
      <c r="K246" s="7" t="inlineStr">
        <is>
          <t>Punt. modelo</t>
        </is>
      </c>
      <c r="L246" s="7" t="inlineStr">
        <is>
          <t>Pendiente</t>
        </is>
      </c>
      <c r="M246" s="7" t="inlineStr">
        <is>
          <t>Estado</t>
        </is>
      </c>
      <c r="N246" s="7" t="inlineStr">
        <is>
          <t>Fuente</t>
        </is>
      </c>
    </row>
    <row r="247">
      <c r="A247" s="2" t="inlineStr">
        <is>
          <t>Renault Clio</t>
        </is>
      </c>
      <c r="B247" s="2" t="inlineStr">
        <is>
          <t>Renault</t>
        </is>
      </c>
      <c r="C247" s="2" t="n">
        <v>40.4</v>
      </c>
      <c r="D247" s="2" t="inlineStr">
        <is>
          <t>12-13</t>
        </is>
      </c>
      <c r="E247" s="4">
        <f>VLOOKUP(D247,TUV_MEDIAS,2,0)</f>
        <v/>
      </c>
      <c r="F247" s="4">
        <f>IF(C247="","",MAX(0,MIN(100,50+100*(E247-C247)/E247)))</f>
        <v/>
      </c>
      <c r="G247" s="2" t="inlineStr">
        <is>
          <t>Renault Clio/Captur</t>
        </is>
      </c>
      <c r="H247" s="4">
        <f>IF(G247="","",IFERROR(VLOOKUP(G247,ADAC_TBL,2,0),""))</f>
        <v/>
      </c>
      <c r="I247" s="4">
        <f>IF(H247="","",MAX(0,MIN(100,50+100*(ADAC_REF-H247)/ADAC_REF)))</f>
        <v/>
      </c>
      <c r="J247" s="4">
        <f>IFERROR(VLOOKUP(B247,OCU_TBL,2,0),"")</f>
        <v/>
      </c>
      <c r="K247" s="4">
        <f>IF(COUNT(F247,I247,J247)=0,NEUTRO,AVERAGE(F247,I247,J247))</f>
        <v/>
      </c>
      <c r="L247" s="4">
        <f>IF(COUNT(F247,I247,J247)=0,"PENDIENTE","")</f>
        <v/>
      </c>
      <c r="M247" t="inlineStr">
        <is>
          <t>probable</t>
        </is>
      </c>
      <c r="N247" t="inlineStr">
        <is>
          <t>TÜV Report 2026 vía https://www.autobild.de/artikel/tuev-report-2026-gewinner-verlierer-28424531.html (peor de su franja)</t>
        </is>
      </c>
    </row>
    <row r="248">
      <c r="A248" s="2" t="inlineStr">
        <is>
          <t>Dacia Sandero</t>
        </is>
      </c>
      <c r="B248" s="2" t="inlineStr">
        <is>
          <t>Dacia</t>
        </is>
      </c>
      <c r="C248" s="2" t="n">
        <v>31.5</v>
      </c>
      <c r="D248" s="2" t="inlineStr">
        <is>
          <t>10-11</t>
        </is>
      </c>
      <c r="E248" s="4">
        <f>VLOOKUP(D248,TUV_MEDIAS,2,0)</f>
        <v/>
      </c>
      <c r="F248" s="4">
        <f>IF(C248="","",MAX(0,MIN(100,50+100*(E248-C248)/E248)))</f>
        <v/>
      </c>
      <c r="G248" s="2" t="inlineStr">
        <is>
          <t>Dacia Sandero</t>
        </is>
      </c>
      <c r="H248" s="4">
        <f>IF(G248="","",IFERROR(VLOOKUP(G248,ADAC_TBL,2,0),""))</f>
        <v/>
      </c>
      <c r="I248" s="4">
        <f>IF(H248="","",MAX(0,MIN(100,50+100*(ADAC_REF-H248)/ADAC_REF)))</f>
        <v/>
      </c>
      <c r="J248" s="4">
        <f>IFERROR(VLOOKUP(B248,OCU_TBL,2,0),"")</f>
        <v/>
      </c>
      <c r="K248" s="4">
        <f>IF(COUNT(F248,I248,J248)=0,NEUTRO,AVERAGE(F248,I248,J248))</f>
        <v/>
      </c>
      <c r="L248" s="4">
        <f>IF(COUNT(F248,I248,J248)=0,"PENDIENTE","")</f>
        <v/>
      </c>
      <c r="M248" t="inlineStr">
        <is>
          <t>probable (edición no fechada en el resumen)</t>
        </is>
      </c>
      <c r="N248" t="inlineStr">
        <is>
          <t>https://www.tuev-verband.de/presse/publikationen/reporte/tuev-report-autobild</t>
        </is>
      </c>
    </row>
    <row r="249">
      <c r="A249" s="2" t="inlineStr">
        <is>
          <t>Renault Mégane</t>
        </is>
      </c>
      <c r="B249" s="2" t="inlineStr">
        <is>
          <t>Renault</t>
        </is>
      </c>
      <c r="C249" s="2" t="n">
        <v>31.7</v>
      </c>
      <c r="D249" s="2" t="inlineStr">
        <is>
          <t>10-11</t>
        </is>
      </c>
      <c r="E249" s="4">
        <f>VLOOKUP(D249,TUV_MEDIAS,2,0)</f>
        <v/>
      </c>
      <c r="F249" s="4">
        <f>IF(C249="","",MAX(0,MIN(100,50+100*(E249-C249)/E249)))</f>
        <v/>
      </c>
      <c r="G249" s="2" t="inlineStr">
        <is>
          <t>Renault Mégane</t>
        </is>
      </c>
      <c r="H249" s="4">
        <f>IF(G249="","",IFERROR(VLOOKUP(G249,ADAC_TBL,2,0),""))</f>
        <v/>
      </c>
      <c r="I249" s="4">
        <f>IF(H249="","",MAX(0,MIN(100,50+100*(ADAC_REF-H249)/ADAC_REF)))</f>
        <v/>
      </c>
      <c r="J249" s="4">
        <f>IFERROR(VLOOKUP(B249,OCU_TBL,2,0),"")</f>
        <v/>
      </c>
      <c r="K249" s="4">
        <f>IF(COUNT(F249,I249,J249)=0,NEUTRO,AVERAGE(F249,I249,J249))</f>
        <v/>
      </c>
      <c r="L249" s="4">
        <f>IF(COUNT(F249,I249,J249)=0,"PENDIENTE","")</f>
        <v/>
      </c>
      <c r="M249" t="inlineStr">
        <is>
          <t>probable (edición no fechada en el resumen)</t>
        </is>
      </c>
      <c r="N249" t="inlineStr">
        <is>
          <t>https://www.tuev-verband.de/presse/publikationen/reporte/tuev-report-autobild</t>
        </is>
      </c>
    </row>
    <row r="250">
      <c r="A250" s="2" t="inlineStr">
        <is>
          <t>Ford Focus</t>
        </is>
      </c>
      <c r="B250" s="2" t="inlineStr">
        <is>
          <t>Ford</t>
        </is>
      </c>
      <c r="C250" s="2" t="n">
        <v>34.8</v>
      </c>
      <c r="D250" s="2" t="inlineStr">
        <is>
          <t>12-13</t>
        </is>
      </c>
      <c r="E250" s="2" t="n">
        <v>28.1</v>
      </c>
      <c r="F250" s="4">
        <f>IF(C250="","",MAX(0,MIN(100,50+100*(E250-C250)/E250)))</f>
        <v/>
      </c>
      <c r="G250" s="2" t="inlineStr">
        <is>
          <t>Ford Focus</t>
        </is>
      </c>
      <c r="H250" s="4">
        <f>IF(G250="","",IFERROR(VLOOKUP(G250,ADAC_TBL,2,0),""))</f>
        <v/>
      </c>
      <c r="I250" s="4">
        <f>IF(H250="","",MAX(0,MIN(100,50+100*(ADAC_REF-H250)/ADAC_REF)))</f>
        <v/>
      </c>
      <c r="J250" s="4">
        <f>IFERROR(VLOOKUP(B250,OCU_TBL,2,0),"")</f>
        <v/>
      </c>
      <c r="K250" s="4">
        <f>IF(COUNT(F250,I250,J250)=0,NEUTRO,AVERAGE(F250,I250,J250))</f>
        <v/>
      </c>
      <c r="L250" s="4">
        <f>IF(COUNT(F250,I250,J250)=0,"PENDIENTE","")</f>
        <v/>
      </c>
      <c r="M250" t="inlineStr">
        <is>
          <t>probable (TÜV 2025; media de franja 28,1 % en esa edición)</t>
        </is>
      </c>
      <c r="N250" t="inlineStr">
        <is>
          <t>https://www.t-online.de/mobilitaet/aktuelles/id_100543260/tuev-report-das-sind-die-schlechtesten-kompakten-gebrauchten.html</t>
        </is>
      </c>
    </row>
    <row r="251">
      <c r="A251" s="2" t="inlineStr">
        <is>
          <t>Volkswagen Golf</t>
        </is>
      </c>
      <c r="B251" s="2" t="inlineStr">
        <is>
          <t>Volkswagen</t>
        </is>
      </c>
      <c r="C251" s="2" t="n">
        <v>17.4</v>
      </c>
      <c r="D251" s="2" t="inlineStr">
        <is>
          <t>10-11</t>
        </is>
      </c>
      <c r="E251" s="4">
        <f>VLOOKUP(D251,TUV_MEDIAS,2,0)</f>
        <v/>
      </c>
      <c r="F251" s="4">
        <f>IF(C251="","",MAX(0,MIN(100,50+100*(E251-C251)/E251)))</f>
        <v/>
      </c>
      <c r="G251" s="2" t="inlineStr">
        <is>
          <t>VW Golf</t>
        </is>
      </c>
      <c r="H251" s="4">
        <f>IF(G251="","",IFERROR(VLOOKUP(G251,ADAC_TBL,2,0),""))</f>
        <v/>
      </c>
      <c r="I251" s="4">
        <f>IF(H251="","",MAX(0,MIN(100,50+100*(ADAC_REF-H251)/ADAC_REF)))</f>
        <v/>
      </c>
      <c r="J251" s="4">
        <f>IFERROR(VLOOKUP(B251,OCU_TBL,2,0),"")</f>
        <v/>
      </c>
      <c r="K251" s="4">
        <f>IF(COUNT(F251,I251,J251)=0,NEUTRO,AVERAGE(F251,I251,J251))</f>
        <v/>
      </c>
      <c r="L251" s="4">
        <f>IF(COUNT(F251,I251,J251)=0,"PENDIENTE","")</f>
        <v/>
      </c>
      <c r="M251" t="inlineStr">
        <is>
          <t>probable (el resumen lo marcó dudoso)</t>
        </is>
      </c>
      <c r="N251" t="inlineStr">
        <is>
          <t>https://www.tuvsud.com/de-de/publikationen/tuev-report/maengelzwerge-und-fehlerriesen</t>
        </is>
      </c>
    </row>
    <row r="252">
      <c r="A252" s="2" t="inlineStr">
        <is>
          <t>Mazda 3</t>
        </is>
      </c>
      <c r="B252" s="2" t="inlineStr">
        <is>
          <t>Mazda</t>
        </is>
      </c>
      <c r="C252" s="2" t="n">
        <v>20.9</v>
      </c>
      <c r="D252" s="2" t="inlineStr">
        <is>
          <t>12-13</t>
        </is>
      </c>
      <c r="E252" s="4">
        <f>VLOOKUP(D252,TUV_MEDIAS,2,0)</f>
        <v/>
      </c>
      <c r="F252" s="4">
        <f>IF(C252="","",MAX(0,MIN(100,50+100*(E252-C252)/E252)))</f>
        <v/>
      </c>
      <c r="G252" s="2" t="inlineStr">
        <is>
          <t>Mazda 3</t>
        </is>
      </c>
      <c r="H252" s="4">
        <f>IF(G252="","",IFERROR(VLOOKUP(G252,ADAC_TBL,2,0),""))</f>
        <v/>
      </c>
      <c r="I252" s="4">
        <f>IF(H252="","",MAX(0,MIN(100,50+100*(ADAC_REF-H252)/ADAC_REF)))</f>
        <v/>
      </c>
      <c r="J252" s="4">
        <f>IFERROR(VLOOKUP(B252,OCU_TBL,2,0),"")</f>
        <v/>
      </c>
      <c r="K252" s="4">
        <f>IF(COUNT(F252,I252,J252)=0,NEUTRO,AVERAGE(F252,I252,J252))</f>
        <v/>
      </c>
      <c r="L252" s="4">
        <f>IF(COUNT(F252,I252,J252)=0,"PENDIENTE","")</f>
        <v/>
      </c>
      <c r="M252" t="inlineStr">
        <is>
          <t>probable (sin verificar)</t>
        </is>
      </c>
      <c r="N252" t="inlineStr">
        <is>
          <t>https://www.tuvsud.com/de-de/publikationen/tuev-report/maengelzwerge-und-fehlerriesen</t>
        </is>
      </c>
    </row>
    <row r="253">
      <c r="A253" s="2" t="inlineStr">
        <is>
          <t>Mitsubishi Space Star</t>
        </is>
      </c>
      <c r="B253" s="2" t="inlineStr">
        <is>
          <t>Mitsubishi</t>
        </is>
      </c>
      <c r="F253" s="4">
        <f>IF(C253="","",MAX(0,MIN(100,50+100*(E253-C253)/E253)))</f>
        <v/>
      </c>
      <c r="G253" s="2" t="inlineStr">
        <is>
          <t>Mitsubishi Space Star</t>
        </is>
      </c>
      <c r="H253" s="4">
        <f>IF(G253="","",IFERROR(VLOOKUP(G253,ADAC_TBL,2,0),""))</f>
        <v/>
      </c>
      <c r="I253" s="4">
        <f>IF(H253="","",MAX(0,MIN(100,50+100*(ADAC_REF-H253)/ADAC_REF)))</f>
        <v/>
      </c>
      <c r="J253" s="4">
        <f>IFERROR(VLOOKUP(B253,OCU_TBL,2,0),"")</f>
        <v/>
      </c>
      <c r="K253" s="4">
        <f>IF(COUNT(F253,I253,J253)=0,NEUTRO,AVERAGE(F253,I253,J253))</f>
        <v/>
      </c>
      <c r="L253" s="4">
        <f>IF(COUNT(F253,I253,J253)=0,"PENDIENTE","")</f>
        <v/>
      </c>
      <c r="M253" t="inlineStr">
        <is>
          <t>solo ADAC</t>
        </is>
      </c>
      <c r="N253" t="inlineStr"/>
    </row>
    <row r="254">
      <c r="A254" s="2" t="inlineStr">
        <is>
          <t>Toyota Aygo</t>
        </is>
      </c>
      <c r="B254" s="2" t="inlineStr">
        <is>
          <t>Toyota</t>
        </is>
      </c>
      <c r="F254" s="4">
        <f>IF(C254="","",MAX(0,MIN(100,50+100*(E254-C254)/E254)))</f>
        <v/>
      </c>
      <c r="G254" s="2" t="inlineStr">
        <is>
          <t>Toyota Aygo</t>
        </is>
      </c>
      <c r="H254" s="4">
        <f>IF(G254="","",IFERROR(VLOOKUP(G254,ADAC_TBL,2,0),""))</f>
        <v/>
      </c>
      <c r="I254" s="4">
        <f>IF(H254="","",MAX(0,MIN(100,50+100*(ADAC_REF-H254)/ADAC_REF)))</f>
        <v/>
      </c>
      <c r="J254" s="4">
        <f>IFERROR(VLOOKUP(B254,OCU_TBL,2,0),"")</f>
        <v/>
      </c>
      <c r="K254" s="4">
        <f>IF(COUNT(F254,I254,J254)=0,NEUTRO,AVERAGE(F254,I254,J254))</f>
        <v/>
      </c>
      <c r="L254" s="4">
        <f>IF(COUNT(F254,I254,J254)=0,"PENDIENTE","")</f>
        <v/>
      </c>
      <c r="M254" t="inlineStr">
        <is>
          <t>solo ADAC</t>
        </is>
      </c>
      <c r="N254" t="inlineStr"/>
    </row>
    <row r="255">
      <c r="A255" s="2" t="inlineStr">
        <is>
          <t>Fiat Panda</t>
        </is>
      </c>
      <c r="B255" s="2" t="inlineStr">
        <is>
          <t>Fiat</t>
        </is>
      </c>
      <c r="F255" s="4">
        <f>IF(C255="","",MAX(0,MIN(100,50+100*(E255-C255)/E255)))</f>
        <v/>
      </c>
      <c r="G255" s="2" t="inlineStr">
        <is>
          <t>Fiat Panda</t>
        </is>
      </c>
      <c r="H255" s="4">
        <f>IF(G255="","",IFERROR(VLOOKUP(G255,ADAC_TBL,2,0),""))</f>
        <v/>
      </c>
      <c r="I255" s="4">
        <f>IF(H255="","",MAX(0,MIN(100,50+100*(ADAC_REF-H255)/ADAC_REF)))</f>
        <v/>
      </c>
      <c r="J255" s="4">
        <f>IFERROR(VLOOKUP(B255,OCU_TBL,2,0),"")</f>
        <v/>
      </c>
      <c r="K255" s="4">
        <f>IF(COUNT(F255,I255,J255)=0,NEUTRO,AVERAGE(F255,I255,J255))</f>
        <v/>
      </c>
      <c r="L255" s="4">
        <f>IF(COUNT(F255,I255,J255)=0,"PENDIENTE","")</f>
        <v/>
      </c>
      <c r="M255" t="inlineStr">
        <is>
          <t>solo ADAC</t>
        </is>
      </c>
      <c r="N255" t="inlineStr"/>
    </row>
    <row r="256">
      <c r="A256" s="2" t="inlineStr">
        <is>
          <t>Dacia Logan</t>
        </is>
      </c>
      <c r="B256" s="2" t="inlineStr">
        <is>
          <t>Dacia</t>
        </is>
      </c>
      <c r="F256" s="4">
        <f>IF(C256="","",MAX(0,MIN(100,50+100*(E256-C256)/E256)))</f>
        <v/>
      </c>
      <c r="G256" s="2" t="inlineStr">
        <is>
          <t>Dacia Logan</t>
        </is>
      </c>
      <c r="H256" s="4">
        <f>IF(G256="","",IFERROR(VLOOKUP(G256,ADAC_TBL,2,0),""))</f>
        <v/>
      </c>
      <c r="I256" s="4">
        <f>IF(H256="","",MAX(0,MIN(100,50+100*(ADAC_REF-H256)/ADAC_REF)))</f>
        <v/>
      </c>
      <c r="J256" s="4">
        <f>IFERROR(VLOOKUP(B256,OCU_TBL,2,0),"")</f>
        <v/>
      </c>
      <c r="K256" s="4">
        <f>IF(COUNT(F256,I256,J256)=0,NEUTRO,AVERAGE(F256,I256,J256))</f>
        <v/>
      </c>
      <c r="L256" s="4">
        <f>IF(COUNT(F256,I256,J256)=0,"PENDIENTE","")</f>
        <v/>
      </c>
      <c r="M256" t="inlineStr">
        <is>
          <t>solo ADAC</t>
        </is>
      </c>
      <c r="N256" t="inlineStr"/>
    </row>
    <row r="257">
      <c r="A257" s="2" t="inlineStr">
        <is>
          <t>Toyota Yaris</t>
        </is>
      </c>
      <c r="B257" s="2" t="inlineStr">
        <is>
          <t>Toyota</t>
        </is>
      </c>
      <c r="F257" s="4">
        <f>IF(C257="","",MAX(0,MIN(100,50+100*(E257-C257)/E257)))</f>
        <v/>
      </c>
      <c r="G257" s="2" t="inlineStr">
        <is>
          <t>Toyota Yaris</t>
        </is>
      </c>
      <c r="H257" s="4">
        <f>IF(G257="","",IFERROR(VLOOKUP(G257,ADAC_TBL,2,0),""))</f>
        <v/>
      </c>
      <c r="I257" s="4">
        <f>IF(H257="","",MAX(0,MIN(100,50+100*(ADAC_REF-H257)/ADAC_REF)))</f>
        <v/>
      </c>
      <c r="J257" s="4">
        <f>IFERROR(VLOOKUP(B257,OCU_TBL,2,0),"")</f>
        <v/>
      </c>
      <c r="K257" s="4">
        <f>IF(COUNT(F257,I257,J257)=0,NEUTRO,AVERAGE(F257,I257,J257))</f>
        <v/>
      </c>
      <c r="L257" s="4">
        <f>IF(COUNT(F257,I257,J257)=0,"PENDIENTE","")</f>
        <v/>
      </c>
      <c r="M257" t="inlineStr">
        <is>
          <t>PENDIENTE</t>
        </is>
      </c>
      <c r="N257" t="inlineStr"/>
    </row>
    <row r="258">
      <c r="A258" s="2" t="inlineStr">
        <is>
          <t>Toyota Auris</t>
        </is>
      </c>
      <c r="B258" s="2" t="inlineStr">
        <is>
          <t>Toyota</t>
        </is>
      </c>
      <c r="F258" s="4">
        <f>IF(C258="","",MAX(0,MIN(100,50+100*(E258-C258)/E258)))</f>
        <v/>
      </c>
      <c r="G258" s="2" t="inlineStr">
        <is>
          <t>Toyota Auris</t>
        </is>
      </c>
      <c r="H258" s="4">
        <f>IF(G258="","",IFERROR(VLOOKUP(G258,ADAC_TBL,2,0),""))</f>
        <v/>
      </c>
      <c r="I258" s="4">
        <f>IF(H258="","",MAX(0,MIN(100,50+100*(ADAC_REF-H258)/ADAC_REF)))</f>
        <v/>
      </c>
      <c r="J258" s="4">
        <f>IFERROR(VLOOKUP(B258,OCU_TBL,2,0),"")</f>
        <v/>
      </c>
      <c r="K258" s="4">
        <f>IF(COUNT(F258,I258,J258)=0,NEUTRO,AVERAGE(F258,I258,J258))</f>
        <v/>
      </c>
      <c r="L258" s="4">
        <f>IF(COUNT(F258,I258,J258)=0,"PENDIENTE","")</f>
        <v/>
      </c>
      <c r="M258" t="inlineStr">
        <is>
          <t>PENDIENTE</t>
        </is>
      </c>
      <c r="N258" t="inlineStr"/>
    </row>
    <row r="259">
      <c r="A259" s="2" t="inlineStr">
        <is>
          <t>Toyota Corolla</t>
        </is>
      </c>
      <c r="B259" s="2" t="inlineStr">
        <is>
          <t>Toyota</t>
        </is>
      </c>
      <c r="F259" s="4">
        <f>IF(C259="","",MAX(0,MIN(100,50+100*(E259-C259)/E259)))</f>
        <v/>
      </c>
      <c r="H259" s="4">
        <f>IF(G259="","",IFERROR(VLOOKUP(G259,ADAC_TBL,2,0),""))</f>
        <v/>
      </c>
      <c r="I259" s="4">
        <f>IF(H259="","",MAX(0,MIN(100,50+100*(ADAC_REF-H259)/ADAC_REF)))</f>
        <v/>
      </c>
      <c r="J259" s="4">
        <f>IFERROR(VLOOKUP(B259,OCU_TBL,2,0),"")</f>
        <v/>
      </c>
      <c r="K259" s="4">
        <f>IF(COUNT(F259,I259,J259)=0,NEUTRO,AVERAGE(F259,I259,J259))</f>
        <v/>
      </c>
      <c r="L259" s="4">
        <f>IF(COUNT(F259,I259,J259)=0,"PENDIENTE","")</f>
        <v/>
      </c>
      <c r="M259" t="inlineStr">
        <is>
          <t>PENDIENTE</t>
        </is>
      </c>
      <c r="N259" t="inlineStr"/>
    </row>
    <row r="260">
      <c r="A260" s="2" t="inlineStr">
        <is>
          <t>Honda Jazz</t>
        </is>
      </c>
      <c r="B260" s="2" t="inlineStr">
        <is>
          <t>Honda</t>
        </is>
      </c>
      <c r="F260" s="4">
        <f>IF(C260="","",MAX(0,MIN(100,50+100*(E260-C260)/E260)))</f>
        <v/>
      </c>
      <c r="H260" s="4">
        <f>IF(G260="","",IFERROR(VLOOKUP(G260,ADAC_TBL,2,0),""))</f>
        <v/>
      </c>
      <c r="I260" s="4">
        <f>IF(H260="","",MAX(0,MIN(100,50+100*(ADAC_REF-H260)/ADAC_REF)))</f>
        <v/>
      </c>
      <c r="J260" s="4">
        <f>IFERROR(VLOOKUP(B260,OCU_TBL,2,0),"")</f>
        <v/>
      </c>
      <c r="K260" s="4">
        <f>IF(COUNT(F260,I260,J260)=0,NEUTRO,AVERAGE(F260,I260,J260))</f>
        <v/>
      </c>
      <c r="L260" s="4">
        <f>IF(COUNT(F260,I260,J260)=0,"PENDIENTE","")</f>
        <v/>
      </c>
      <c r="M260" t="inlineStr">
        <is>
          <t>PENDIENTE</t>
        </is>
      </c>
      <c r="N260" t="inlineStr"/>
    </row>
    <row r="261">
      <c r="A261" s="2" t="inlineStr">
        <is>
          <t>Honda Civic</t>
        </is>
      </c>
      <c r="B261" s="2" t="inlineStr">
        <is>
          <t>Honda</t>
        </is>
      </c>
      <c r="F261" s="4">
        <f>IF(C261="","",MAX(0,MIN(100,50+100*(E261-C261)/E261)))</f>
        <v/>
      </c>
      <c r="H261" s="4">
        <f>IF(G261="","",IFERROR(VLOOKUP(G261,ADAC_TBL,2,0),""))</f>
        <v/>
      </c>
      <c r="I261" s="4">
        <f>IF(H261="","",MAX(0,MIN(100,50+100*(ADAC_REF-H261)/ADAC_REF)))</f>
        <v/>
      </c>
      <c r="J261" s="4">
        <f>IFERROR(VLOOKUP(B261,OCU_TBL,2,0),"")</f>
        <v/>
      </c>
      <c r="K261" s="4">
        <f>IF(COUNT(F261,I261,J261)=0,NEUTRO,AVERAGE(F261,I261,J261))</f>
        <v/>
      </c>
      <c r="L261" s="4">
        <f>IF(COUNT(F261,I261,J261)=0,"PENDIENTE","")</f>
        <v/>
      </c>
      <c r="M261" t="inlineStr">
        <is>
          <t>PENDIENTE</t>
        </is>
      </c>
      <c r="N261" t="inlineStr"/>
    </row>
    <row r="262">
      <c r="A262" s="2" t="inlineStr">
        <is>
          <t>Mazda 2</t>
        </is>
      </c>
      <c r="B262" s="2" t="inlineStr">
        <is>
          <t>Mazda</t>
        </is>
      </c>
      <c r="F262" s="4">
        <f>IF(C262="","",MAX(0,MIN(100,50+100*(E262-C262)/E262)))</f>
        <v/>
      </c>
      <c r="G262" s="2" t="inlineStr">
        <is>
          <t>Mazda 2</t>
        </is>
      </c>
      <c r="H262" s="4">
        <f>IF(G262="","",IFERROR(VLOOKUP(G262,ADAC_TBL,2,0),""))</f>
        <v/>
      </c>
      <c r="I262" s="4">
        <f>IF(H262="","",MAX(0,MIN(100,50+100*(ADAC_REF-H262)/ADAC_REF)))</f>
        <v/>
      </c>
      <c r="J262" s="4">
        <f>IFERROR(VLOOKUP(B262,OCU_TBL,2,0),"")</f>
        <v/>
      </c>
      <c r="K262" s="4">
        <f>IF(COUNT(F262,I262,J262)=0,NEUTRO,AVERAGE(F262,I262,J262))</f>
        <v/>
      </c>
      <c r="L262" s="4">
        <f>IF(COUNT(F262,I262,J262)=0,"PENDIENTE","")</f>
        <v/>
      </c>
      <c r="M262" t="inlineStr">
        <is>
          <t>PENDIENTE (TÜV 2026 solo da franjas jóvenes: 2,9 % a 2-3 años; ADAC 2026 lo pone entre los mejores Kleinwagen 2016-2023)</t>
        </is>
      </c>
      <c r="N262" t="inlineStr"/>
    </row>
    <row r="263">
      <c r="A263" s="2" t="inlineStr">
        <is>
          <t>Kia Rio</t>
        </is>
      </c>
      <c r="B263" s="2" t="inlineStr">
        <is>
          <t>Kia</t>
        </is>
      </c>
      <c r="F263" s="4">
        <f>IF(C263="","",MAX(0,MIN(100,50+100*(E263-C263)/E263)))</f>
        <v/>
      </c>
      <c r="H263" s="4">
        <f>IF(G263="","",IFERROR(VLOOKUP(G263,ADAC_TBL,2,0),""))</f>
        <v/>
      </c>
      <c r="I263" s="4">
        <f>IF(H263="","",MAX(0,MIN(100,50+100*(ADAC_REF-H263)/ADAC_REF)))</f>
        <v/>
      </c>
      <c r="J263" s="4">
        <f>IFERROR(VLOOKUP(B263,OCU_TBL,2,0),"")</f>
        <v/>
      </c>
      <c r="K263" s="4">
        <f>IF(COUNT(F263,I263,J263)=0,NEUTRO,AVERAGE(F263,I263,J263))</f>
        <v/>
      </c>
      <c r="L263" s="4">
        <f>IF(COUNT(F263,I263,J263)=0,"PENDIENTE","")</f>
        <v/>
      </c>
      <c r="M263" t="inlineStr">
        <is>
          <t>PENDIENTE</t>
        </is>
      </c>
      <c r="N263" t="inlineStr"/>
    </row>
    <row r="264">
      <c r="A264" s="2" t="inlineStr">
        <is>
          <t>Kia Ceed</t>
        </is>
      </c>
      <c r="B264" s="2" t="inlineStr">
        <is>
          <t>Kia</t>
        </is>
      </c>
      <c r="F264" s="4">
        <f>IF(C264="","",MAX(0,MIN(100,50+100*(E264-C264)/E264)))</f>
        <v/>
      </c>
      <c r="G264" s="2" t="inlineStr">
        <is>
          <t>KIA Ceed/XCeed</t>
        </is>
      </c>
      <c r="H264" s="4">
        <f>IF(G264="","",IFERROR(VLOOKUP(G264,ADAC_TBL,2,0),""))</f>
        <v/>
      </c>
      <c r="I264" s="4">
        <f>IF(H264="","",MAX(0,MIN(100,50+100*(ADAC_REF-H264)/ADAC_REF)))</f>
        <v/>
      </c>
      <c r="J264" s="4">
        <f>IFERROR(VLOOKUP(B264,OCU_TBL,2,0),"")</f>
        <v/>
      </c>
      <c r="K264" s="4">
        <f>IF(COUNT(F264,I264,J264)=0,NEUTRO,AVERAGE(F264,I264,J264))</f>
        <v/>
      </c>
      <c r="L264" s="4">
        <f>IF(COUNT(F264,I264,J264)=0,"PENDIENTE","")</f>
        <v/>
      </c>
      <c r="M264" t="inlineStr">
        <is>
          <t>PENDIENTE</t>
        </is>
      </c>
      <c r="N264" t="inlineStr"/>
    </row>
    <row r="265">
      <c r="A265" s="2" t="inlineStr">
        <is>
          <t>Kia Picanto</t>
        </is>
      </c>
      <c r="B265" s="2" t="inlineStr">
        <is>
          <t>Kia</t>
        </is>
      </c>
      <c r="F265" s="4">
        <f>IF(C265="","",MAX(0,MIN(100,50+100*(E265-C265)/E265)))</f>
        <v/>
      </c>
      <c r="G265" s="2" t="inlineStr">
        <is>
          <t>Kia Picanto</t>
        </is>
      </c>
      <c r="H265" s="4">
        <f>IF(G265="","",IFERROR(VLOOKUP(G265,ADAC_TBL,2,0),""))</f>
        <v/>
      </c>
      <c r="I265" s="4">
        <f>IF(H265="","",MAX(0,MIN(100,50+100*(ADAC_REF-H265)/ADAC_REF)))</f>
        <v/>
      </c>
      <c r="J265" s="4">
        <f>IFERROR(VLOOKUP(B265,OCU_TBL,2,0),"")</f>
        <v/>
      </c>
      <c r="K265" s="4">
        <f>IF(COUNT(F265,I265,J265)=0,NEUTRO,AVERAGE(F265,I265,J265))</f>
        <v/>
      </c>
      <c r="L265" s="4">
        <f>IF(COUNT(F265,I265,J265)=0,"PENDIENTE","")</f>
        <v/>
      </c>
      <c r="M265" t="inlineStr">
        <is>
          <t>PENDIENTE</t>
        </is>
      </c>
      <c r="N265" t="inlineStr"/>
    </row>
    <row r="266">
      <c r="A266" s="2" t="inlineStr">
        <is>
          <t>Hyundai i10</t>
        </is>
      </c>
      <c r="B266" s="2" t="inlineStr">
        <is>
          <t>Hyundai</t>
        </is>
      </c>
      <c r="F266" s="4">
        <f>IF(C266="","",MAX(0,MIN(100,50+100*(E266-C266)/E266)))</f>
        <v/>
      </c>
      <c r="G266" s="2" t="inlineStr">
        <is>
          <t>Hyundai i10</t>
        </is>
      </c>
      <c r="H266" s="4">
        <f>IF(G266="","",IFERROR(VLOOKUP(G266,ADAC_TBL,2,0),""))</f>
        <v/>
      </c>
      <c r="I266" s="4">
        <f>IF(H266="","",MAX(0,MIN(100,50+100*(ADAC_REF-H266)/ADAC_REF)))</f>
        <v/>
      </c>
      <c r="J266" s="4">
        <f>IFERROR(VLOOKUP(B266,OCU_TBL,2,0),"")</f>
        <v/>
      </c>
      <c r="K266" s="4">
        <f>IF(COUNT(F266,I266,J266)=0,NEUTRO,AVERAGE(F266,I266,J266))</f>
        <v/>
      </c>
      <c r="L266" s="4">
        <f>IF(COUNT(F266,I266,J266)=0,"PENDIENTE","")</f>
        <v/>
      </c>
      <c r="M266" t="inlineStr">
        <is>
          <t>PENDIENTE</t>
        </is>
      </c>
      <c r="N266" t="inlineStr"/>
    </row>
    <row r="267">
      <c r="A267" s="2" t="inlineStr">
        <is>
          <t>Hyundai i20</t>
        </is>
      </c>
      <c r="B267" s="2" t="inlineStr">
        <is>
          <t>Hyundai</t>
        </is>
      </c>
      <c r="F267" s="4">
        <f>IF(C267="","",MAX(0,MIN(100,50+100*(E267-C267)/E267)))</f>
        <v/>
      </c>
      <c r="G267" s="2" t="inlineStr">
        <is>
          <t>Hyundai i20</t>
        </is>
      </c>
      <c r="H267" s="4">
        <f>IF(G267="","",IFERROR(VLOOKUP(G267,ADAC_TBL,2,0),""))</f>
        <v/>
      </c>
      <c r="I267" s="4">
        <f>IF(H267="","",MAX(0,MIN(100,50+100*(ADAC_REF-H267)/ADAC_REF)))</f>
        <v/>
      </c>
      <c r="J267" s="4">
        <f>IFERROR(VLOOKUP(B267,OCU_TBL,2,0),"")</f>
        <v/>
      </c>
      <c r="K267" s="4">
        <f>IF(COUNT(F267,I267,J267)=0,NEUTRO,AVERAGE(F267,I267,J267))</f>
        <v/>
      </c>
      <c r="L267" s="4">
        <f>IF(COUNT(F267,I267,J267)=0,"PENDIENTE","")</f>
        <v/>
      </c>
      <c r="M267" t="inlineStr">
        <is>
          <t>PENDIENTE</t>
        </is>
      </c>
      <c r="N267" t="inlineStr"/>
    </row>
    <row r="268">
      <c r="A268" s="2" t="inlineStr">
        <is>
          <t>Hyundai i30</t>
        </is>
      </c>
      <c r="B268" s="2" t="inlineStr">
        <is>
          <t>Hyundai</t>
        </is>
      </c>
      <c r="F268" s="4">
        <f>IF(C268="","",MAX(0,MIN(100,50+100*(E268-C268)/E268)))</f>
        <v/>
      </c>
      <c r="G268" s="2" t="inlineStr">
        <is>
          <t>Hyundai i30</t>
        </is>
      </c>
      <c r="H268" s="4">
        <f>IF(G268="","",IFERROR(VLOOKUP(G268,ADAC_TBL,2,0),""))</f>
        <v/>
      </c>
      <c r="I268" s="4">
        <f>IF(H268="","",MAX(0,MIN(100,50+100*(ADAC_REF-H268)/ADAC_REF)))</f>
        <v/>
      </c>
      <c r="J268" s="4">
        <f>IFERROR(VLOOKUP(B268,OCU_TBL,2,0),"")</f>
        <v/>
      </c>
      <c r="K268" s="4">
        <f>IF(COUNT(F268,I268,J268)=0,NEUTRO,AVERAGE(F268,I268,J268))</f>
        <v/>
      </c>
      <c r="L268" s="4">
        <f>IF(COUNT(F268,I268,J268)=0,"PENDIENTE","")</f>
        <v/>
      </c>
      <c r="M268" t="inlineStr">
        <is>
          <t>PENDIENTE</t>
        </is>
      </c>
      <c r="N268" t="inlineStr"/>
    </row>
    <row r="269">
      <c r="A269" s="2" t="inlineStr">
        <is>
          <t>Skoda Fabia</t>
        </is>
      </c>
      <c r="B269" s="2" t="inlineStr">
        <is>
          <t>Skoda</t>
        </is>
      </c>
      <c r="F269" s="4">
        <f>IF(C269="","",MAX(0,MIN(100,50+100*(E269-C269)/E269)))</f>
        <v/>
      </c>
      <c r="G269" s="2" t="inlineStr">
        <is>
          <t>Skoda Fabia</t>
        </is>
      </c>
      <c r="H269" s="4">
        <f>IF(G269="","",IFERROR(VLOOKUP(G269,ADAC_TBL,2,0),""))</f>
        <v/>
      </c>
      <c r="I269" s="4">
        <f>IF(H269="","",MAX(0,MIN(100,50+100*(ADAC_REF-H269)/ADAC_REF)))</f>
        <v/>
      </c>
      <c r="J269" s="4">
        <f>IFERROR(VLOOKUP(B269,OCU_TBL,2,0),"")</f>
        <v/>
      </c>
      <c r="K269" s="4">
        <f>IF(COUNT(F269,I269,J269)=0,NEUTRO,AVERAGE(F269,I269,J269))</f>
        <v/>
      </c>
      <c r="L269" s="4">
        <f>IF(COUNT(F269,I269,J269)=0,"PENDIENTE","")</f>
        <v/>
      </c>
      <c r="M269" t="inlineStr">
        <is>
          <t>PENDIENTE (ADAC 2026 entre los mejores Kleinwagen 2016-2023, sin cifra)</t>
        </is>
      </c>
      <c r="N269" t="inlineStr"/>
    </row>
    <row r="270">
      <c r="A270" s="2" t="inlineStr">
        <is>
          <t>Skoda Octavia</t>
        </is>
      </c>
      <c r="B270" s="2" t="inlineStr">
        <is>
          <t>Skoda</t>
        </is>
      </c>
      <c r="F270" s="4">
        <f>IF(C270="","",MAX(0,MIN(100,50+100*(E270-C270)/E270)))</f>
        <v/>
      </c>
      <c r="G270" s="2" t="inlineStr">
        <is>
          <t>Skoda Octavia</t>
        </is>
      </c>
      <c r="H270" s="4">
        <f>IF(G270="","",IFERROR(VLOOKUP(G270,ADAC_TBL,2,0),""))</f>
        <v/>
      </c>
      <c r="I270" s="4">
        <f>IF(H270="","",MAX(0,MIN(100,50+100*(ADAC_REF-H270)/ADAC_REF)))</f>
        <v/>
      </c>
      <c r="J270" s="4">
        <f>IFERROR(VLOOKUP(B270,OCU_TBL,2,0),"")</f>
        <v/>
      </c>
      <c r="K270" s="4">
        <f>IF(COUNT(F270,I270,J270)=0,NEUTRO,AVERAGE(F270,I270,J270))</f>
        <v/>
      </c>
      <c r="L270" s="4">
        <f>IF(COUNT(F270,I270,J270)=0,"PENDIENTE","")</f>
        <v/>
      </c>
      <c r="M270" t="inlineStr">
        <is>
          <t>PENDIENTE</t>
        </is>
      </c>
      <c r="N270" t="inlineStr"/>
    </row>
    <row r="271">
      <c r="A271" s="2" t="inlineStr">
        <is>
          <t>Seat Ibiza</t>
        </is>
      </c>
      <c r="B271" s="2" t="inlineStr">
        <is>
          <t>Seat</t>
        </is>
      </c>
      <c r="F271" s="4">
        <f>IF(C271="","",MAX(0,MIN(100,50+100*(E271-C271)/E271)))</f>
        <v/>
      </c>
      <c r="G271" s="2" t="inlineStr">
        <is>
          <t>SEAT Ibiza</t>
        </is>
      </c>
      <c r="H271" s="4">
        <f>IF(G271="","",IFERROR(VLOOKUP(G271,ADAC_TBL,2,0),""))</f>
        <v/>
      </c>
      <c r="I271" s="4">
        <f>IF(H271="","",MAX(0,MIN(100,50+100*(ADAC_REF-H271)/ADAC_REF)))</f>
        <v/>
      </c>
      <c r="J271" s="4">
        <f>IFERROR(VLOOKUP(B271,OCU_TBL,2,0),"")</f>
        <v/>
      </c>
      <c r="K271" s="4">
        <f>IF(COUNT(F271,I271,J271)=0,NEUTRO,AVERAGE(F271,I271,J271))</f>
        <v/>
      </c>
      <c r="L271" s="4">
        <f>IF(COUNT(F271,I271,J271)=0,"PENDIENTE","")</f>
        <v/>
      </c>
      <c r="M271" t="inlineStr">
        <is>
          <t>PENDIENTE (ADAC 2026 entre los mejores Kleinwagen 2016-2023, sin cifra)</t>
        </is>
      </c>
      <c r="N271" t="inlineStr"/>
    </row>
    <row r="272">
      <c r="A272" s="2" t="inlineStr">
        <is>
          <t>Seat León</t>
        </is>
      </c>
      <c r="B272" s="2" t="inlineStr">
        <is>
          <t>Seat</t>
        </is>
      </c>
      <c r="F272" s="4">
        <f>IF(C272="","",MAX(0,MIN(100,50+100*(E272-C272)/E272)))</f>
        <v/>
      </c>
      <c r="G272" s="2" t="inlineStr">
        <is>
          <t>SEAT Leon</t>
        </is>
      </c>
      <c r="H272" s="4">
        <f>IF(G272="","",IFERROR(VLOOKUP(G272,ADAC_TBL,2,0),""))</f>
        <v/>
      </c>
      <c r="I272" s="4">
        <f>IF(H272="","",MAX(0,MIN(100,50+100*(ADAC_REF-H272)/ADAC_REF)))</f>
        <v/>
      </c>
      <c r="J272" s="4">
        <f>IFERROR(VLOOKUP(B272,OCU_TBL,2,0),"")</f>
        <v/>
      </c>
      <c r="K272" s="4">
        <f>IF(COUNT(F272,I272,J272)=0,NEUTRO,AVERAGE(F272,I272,J272))</f>
        <v/>
      </c>
      <c r="L272" s="4">
        <f>IF(COUNT(F272,I272,J272)=0,"PENDIENTE","")</f>
        <v/>
      </c>
      <c r="M272" t="inlineStr">
        <is>
          <t>PENDIENTE</t>
        </is>
      </c>
      <c r="N272" t="inlineStr"/>
    </row>
    <row r="273">
      <c r="A273" s="2" t="inlineStr">
        <is>
          <t>Volkswagen Polo</t>
        </is>
      </c>
      <c r="B273" s="2" t="inlineStr">
        <is>
          <t>Volkswagen</t>
        </is>
      </c>
      <c r="F273" s="4">
        <f>IF(C273="","",MAX(0,MIN(100,50+100*(E273-C273)/E273)))</f>
        <v/>
      </c>
      <c r="G273" s="2" t="inlineStr">
        <is>
          <t>VW Polo</t>
        </is>
      </c>
      <c r="H273" s="4">
        <f>IF(G273="","",IFERROR(VLOOKUP(G273,ADAC_TBL,2,0),""))</f>
        <v/>
      </c>
      <c r="I273" s="4">
        <f>IF(H273="","",MAX(0,MIN(100,50+100*(ADAC_REF-H273)/ADAC_REF)))</f>
        <v/>
      </c>
      <c r="J273" s="4">
        <f>IFERROR(VLOOKUP(B273,OCU_TBL,2,0),"")</f>
        <v/>
      </c>
      <c r="K273" s="4">
        <f>IF(COUNT(F273,I273,J273)=0,NEUTRO,AVERAGE(F273,I273,J273))</f>
        <v/>
      </c>
      <c r="L273" s="4">
        <f>IF(COUNT(F273,I273,J273)=0,"PENDIENTE","")</f>
        <v/>
      </c>
      <c r="M273" t="inlineStr">
        <is>
          <t>PENDIENTE (ADAC 2026 entre los mejores Kleinwagen 2016-2023, sin cifra)</t>
        </is>
      </c>
      <c r="N273" t="inlineStr"/>
    </row>
    <row r="274">
      <c r="A274" s="2" t="inlineStr">
        <is>
          <t>Opel Corsa</t>
        </is>
      </c>
      <c r="B274" s="2" t="inlineStr">
        <is>
          <t>Opel</t>
        </is>
      </c>
      <c r="F274" s="4">
        <f>IF(C274="","",MAX(0,MIN(100,50+100*(E274-C274)/E274)))</f>
        <v/>
      </c>
      <c r="G274" s="2" t="inlineStr">
        <is>
          <t>Opel Corsa</t>
        </is>
      </c>
      <c r="H274" s="4">
        <f>IF(G274="","",IFERROR(VLOOKUP(G274,ADAC_TBL,2,0),""))</f>
        <v/>
      </c>
      <c r="I274" s="4">
        <f>IF(H274="","",MAX(0,MIN(100,50+100*(ADAC_REF-H274)/ADAC_REF)))</f>
        <v/>
      </c>
      <c r="J274" s="4">
        <f>IFERROR(VLOOKUP(B274,OCU_TBL,2,0),"")</f>
        <v/>
      </c>
      <c r="K274" s="4">
        <f>IF(COUNT(F274,I274,J274)=0,NEUTRO,AVERAGE(F274,I274,J274))</f>
        <v/>
      </c>
      <c r="L274" s="4">
        <f>IF(COUNT(F274,I274,J274)=0,"PENDIENTE","")</f>
        <v/>
      </c>
      <c r="M274" t="inlineStr">
        <is>
          <t>PENDIENTE</t>
        </is>
      </c>
      <c r="N274" t="inlineStr"/>
    </row>
    <row r="275">
      <c r="A275" s="2" t="inlineStr">
        <is>
          <t>Opel Astra</t>
        </is>
      </c>
      <c r="B275" s="2" t="inlineStr">
        <is>
          <t>Opel</t>
        </is>
      </c>
      <c r="F275" s="4">
        <f>IF(C275="","",MAX(0,MIN(100,50+100*(E275-C275)/E275)))</f>
        <v/>
      </c>
      <c r="G275" s="2" t="inlineStr">
        <is>
          <t>Opel Astra</t>
        </is>
      </c>
      <c r="H275" s="4">
        <f>IF(G275="","",IFERROR(VLOOKUP(G275,ADAC_TBL,2,0),""))</f>
        <v/>
      </c>
      <c r="I275" s="4">
        <f>IF(H275="","",MAX(0,MIN(100,50+100*(ADAC_REF-H275)/ADAC_REF)))</f>
        <v/>
      </c>
      <c r="J275" s="4">
        <f>IFERROR(VLOOKUP(B275,OCU_TBL,2,0),"")</f>
        <v/>
      </c>
      <c r="K275" s="4">
        <f>IF(COUNT(F275,I275,J275)=0,NEUTRO,AVERAGE(F275,I275,J275))</f>
        <v/>
      </c>
      <c r="L275" s="4">
        <f>IF(COUNT(F275,I275,J275)=0,"PENDIENTE","")</f>
        <v/>
      </c>
      <c r="M275" t="inlineStr">
        <is>
          <t>PENDIENTE</t>
        </is>
      </c>
      <c r="N275" t="inlineStr"/>
    </row>
    <row r="276">
      <c r="A276" s="2" t="inlineStr">
        <is>
          <t>Peugeot 208</t>
        </is>
      </c>
      <c r="B276" s="2" t="inlineStr">
        <is>
          <t>Peugeot</t>
        </is>
      </c>
      <c r="F276" s="4">
        <f>IF(C276="","",MAX(0,MIN(100,50+100*(E276-C276)/E276)))</f>
        <v/>
      </c>
      <c r="G276" s="2" t="inlineStr">
        <is>
          <t>Peugeot 208</t>
        </is>
      </c>
      <c r="H276" s="4">
        <f>IF(G276="","",IFERROR(VLOOKUP(G276,ADAC_TBL,2,0),""))</f>
        <v/>
      </c>
      <c r="I276" s="4">
        <f>IF(H276="","",MAX(0,MIN(100,50+100*(ADAC_REF-H276)/ADAC_REF)))</f>
        <v/>
      </c>
      <c r="J276" s="4">
        <f>IFERROR(VLOOKUP(B276,OCU_TBL,2,0),"")</f>
        <v/>
      </c>
      <c r="K276" s="4">
        <f>IF(COUNT(F276,I276,J276)=0,NEUTRO,AVERAGE(F276,I276,J276))</f>
        <v/>
      </c>
      <c r="L276" s="4">
        <f>IF(COUNT(F276,I276,J276)=0,"PENDIENTE","")</f>
        <v/>
      </c>
      <c r="M276" t="inlineStr">
        <is>
          <t>PENDIENTE</t>
        </is>
      </c>
      <c r="N276" t="inlineStr"/>
    </row>
    <row r="277">
      <c r="A277" s="2" t="inlineStr">
        <is>
          <t>Peugeot 308</t>
        </is>
      </c>
      <c r="B277" s="2" t="inlineStr">
        <is>
          <t>Peugeot</t>
        </is>
      </c>
      <c r="F277" s="4">
        <f>IF(C277="","",MAX(0,MIN(100,50+100*(E277-C277)/E277)))</f>
        <v/>
      </c>
      <c r="G277" s="2" t="inlineStr">
        <is>
          <t>Peugeot 308</t>
        </is>
      </c>
      <c r="H277" s="4">
        <f>IF(G277="","",IFERROR(VLOOKUP(G277,ADAC_TBL,2,0),""))</f>
        <v/>
      </c>
      <c r="I277" s="4">
        <f>IF(H277="","",MAX(0,MIN(100,50+100*(ADAC_REF-H277)/ADAC_REF)))</f>
        <v/>
      </c>
      <c r="J277" s="4">
        <f>IFERROR(VLOOKUP(B277,OCU_TBL,2,0),"")</f>
        <v/>
      </c>
      <c r="K277" s="4">
        <f>IF(COUNT(F277,I277,J277)=0,NEUTRO,AVERAGE(F277,I277,J277))</f>
        <v/>
      </c>
      <c r="L277" s="4">
        <f>IF(COUNT(F277,I277,J277)=0,"PENDIENTE","")</f>
        <v/>
      </c>
      <c r="M277" t="inlineStr">
        <is>
          <t>PENDIENTE</t>
        </is>
      </c>
      <c r="N277" t="inlineStr"/>
    </row>
    <row r="278">
      <c r="A278" s="2" t="inlineStr">
        <is>
          <t>Citroën C3</t>
        </is>
      </c>
      <c r="B278" s="2" t="inlineStr">
        <is>
          <t>Citroën</t>
        </is>
      </c>
      <c r="F278" s="4">
        <f>IF(C278="","",MAX(0,MIN(100,50+100*(E278-C278)/E278)))</f>
        <v/>
      </c>
      <c r="G278" s="2" t="inlineStr">
        <is>
          <t>Citroen C3/DS 3</t>
        </is>
      </c>
      <c r="H278" s="4">
        <f>IF(G278="","",IFERROR(VLOOKUP(G278,ADAC_TBL,2,0),""))</f>
        <v/>
      </c>
      <c r="I278" s="4">
        <f>IF(H278="","",MAX(0,MIN(100,50+100*(ADAC_REF-H278)/ADAC_REF)))</f>
        <v/>
      </c>
      <c r="J278" s="4">
        <f>IFERROR(VLOOKUP(B278,OCU_TBL,2,0),"")</f>
        <v/>
      </c>
      <c r="K278" s="4">
        <f>IF(COUNT(F278,I278,J278)=0,NEUTRO,AVERAGE(F278,I278,J278))</f>
        <v/>
      </c>
      <c r="L278" s="4">
        <f>IF(COUNT(F278,I278,J278)=0,"PENDIENTE","")</f>
        <v/>
      </c>
      <c r="M278" t="inlineStr">
        <is>
          <t>PENDIENTE</t>
        </is>
      </c>
      <c r="N278" t="inlineStr"/>
    </row>
    <row r="279">
      <c r="A279" s="2" t="inlineStr">
        <is>
          <t>Citroën C4</t>
        </is>
      </c>
      <c r="B279" s="2" t="inlineStr">
        <is>
          <t>Citroën</t>
        </is>
      </c>
      <c r="F279" s="4">
        <f>IF(C279="","",MAX(0,MIN(100,50+100*(E279-C279)/E279)))</f>
        <v/>
      </c>
      <c r="H279" s="4">
        <f>IF(G279="","",IFERROR(VLOOKUP(G279,ADAC_TBL,2,0),""))</f>
        <v/>
      </c>
      <c r="I279" s="4">
        <f>IF(H279="","",MAX(0,MIN(100,50+100*(ADAC_REF-H279)/ADAC_REF)))</f>
        <v/>
      </c>
      <c r="J279" s="4">
        <f>IFERROR(VLOOKUP(B279,OCU_TBL,2,0),"")</f>
        <v/>
      </c>
      <c r="K279" s="4">
        <f>IF(COUNT(F279,I279,J279)=0,NEUTRO,AVERAGE(F279,I279,J279))</f>
        <v/>
      </c>
      <c r="L279" s="4">
        <f>IF(COUNT(F279,I279,J279)=0,"PENDIENTE","")</f>
        <v/>
      </c>
      <c r="M279" t="inlineStr">
        <is>
          <t>PENDIENTE</t>
        </is>
      </c>
      <c r="N279" t="inlineStr"/>
    </row>
    <row r="280">
      <c r="A280" s="2" t="inlineStr">
        <is>
          <t>Ford Fiesta</t>
        </is>
      </c>
      <c r="B280" s="2" t="inlineStr">
        <is>
          <t>Ford</t>
        </is>
      </c>
      <c r="F280" s="4">
        <f>IF(C280="","",MAX(0,MIN(100,50+100*(E280-C280)/E280)))</f>
        <v/>
      </c>
      <c r="G280" s="2" t="inlineStr">
        <is>
          <t>Ford Fiesta (Courier)</t>
        </is>
      </c>
      <c r="H280" s="4">
        <f>IF(G280="","",IFERROR(VLOOKUP(G280,ADAC_TBL,2,0),""))</f>
        <v/>
      </c>
      <c r="I280" s="4">
        <f>IF(H280="","",MAX(0,MIN(100,50+100*(ADAC_REF-H280)/ADAC_REF)))</f>
        <v/>
      </c>
      <c r="J280" s="4">
        <f>IFERROR(VLOOKUP(B280,OCU_TBL,2,0),"")</f>
        <v/>
      </c>
      <c r="K280" s="4">
        <f>IF(COUNT(F280,I280,J280)=0,NEUTRO,AVERAGE(F280,I280,J280))</f>
        <v/>
      </c>
      <c r="L280" s="4">
        <f>IF(COUNT(F280,I280,J280)=0,"PENDIENTE","")</f>
        <v/>
      </c>
      <c r="M280" t="inlineStr">
        <is>
          <t>PENDIENTE</t>
        </is>
      </c>
      <c r="N280" t="inlineStr"/>
    </row>
    <row r="281">
      <c r="A281" s="2" t="inlineStr">
        <is>
          <t>Fiat Punto</t>
        </is>
      </c>
      <c r="B281" s="2" t="inlineStr">
        <is>
          <t>Fiat</t>
        </is>
      </c>
      <c r="F281" s="4">
        <f>IF(C281="","",MAX(0,MIN(100,50+100*(E281-C281)/E281)))</f>
        <v/>
      </c>
      <c r="H281" s="4">
        <f>IF(G281="","",IFERROR(VLOOKUP(G281,ADAC_TBL,2,0),""))</f>
        <v/>
      </c>
      <c r="I281" s="4">
        <f>IF(H281="","",MAX(0,MIN(100,50+100*(ADAC_REF-H281)/ADAC_REF)))</f>
        <v/>
      </c>
      <c r="J281" s="4">
        <f>IFERROR(VLOOKUP(B281,OCU_TBL,2,0),"")</f>
        <v/>
      </c>
      <c r="K281" s="4">
        <f>IF(COUNT(F281,I281,J281)=0,NEUTRO,AVERAGE(F281,I281,J281))</f>
        <v/>
      </c>
      <c r="L281" s="4">
        <f>IF(COUNT(F281,I281,J281)=0,"PENDIENTE","")</f>
        <v/>
      </c>
      <c r="M281" t="inlineStr">
        <is>
          <t>PENDIENTE</t>
        </is>
      </c>
      <c r="N281" t="inlineStr"/>
    </row>
    <row r="282">
      <c r="A282" s="2" t="inlineStr">
        <is>
          <t>Fiat 500</t>
        </is>
      </c>
      <c r="B282" s="2" t="inlineStr">
        <is>
          <t>Fiat</t>
        </is>
      </c>
      <c r="F282" s="4">
        <f>IF(C282="","",MAX(0,MIN(100,50+100*(E282-C282)/E282)))</f>
        <v/>
      </c>
      <c r="G282" s="2" t="inlineStr">
        <is>
          <t>Fiat 500</t>
        </is>
      </c>
      <c r="H282" s="4">
        <f>IF(G282="","",IFERROR(VLOOKUP(G282,ADAC_TBL,2,0),""))</f>
        <v/>
      </c>
      <c r="I282" s="4">
        <f>IF(H282="","",MAX(0,MIN(100,50+100*(ADAC_REF-H282)/ADAC_REF)))</f>
        <v/>
      </c>
      <c r="J282" s="4">
        <f>IFERROR(VLOOKUP(B282,OCU_TBL,2,0),"")</f>
        <v/>
      </c>
      <c r="K282" s="4">
        <f>IF(COUNT(F282,I282,J282)=0,NEUTRO,AVERAGE(F282,I282,J282))</f>
        <v/>
      </c>
      <c r="L282" s="4">
        <f>IF(COUNT(F282,I282,J282)=0,"PENDIENTE","")</f>
        <v/>
      </c>
      <c r="M282" t="inlineStr">
        <is>
          <t>PENDIENTE</t>
        </is>
      </c>
      <c r="N282" t="inlineStr"/>
    </row>
    <row r="283">
      <c r="A283" s="2" t="inlineStr">
        <is>
          <t>Nissan Micra</t>
        </is>
      </c>
      <c r="B283" s="2" t="inlineStr">
        <is>
          <t>Nissan</t>
        </is>
      </c>
      <c r="F283" s="4">
        <f>IF(C283="","",MAX(0,MIN(100,50+100*(E283-C283)/E283)))</f>
        <v/>
      </c>
      <c r="G283" s="2" t="inlineStr">
        <is>
          <t>Nissan Micra</t>
        </is>
      </c>
      <c r="H283" s="4">
        <f>IF(G283="","",IFERROR(VLOOKUP(G283,ADAC_TBL,2,0),""))</f>
        <v/>
      </c>
      <c r="I283" s="4">
        <f>IF(H283="","",MAX(0,MIN(100,50+100*(ADAC_REF-H283)/ADAC_REF)))</f>
        <v/>
      </c>
      <c r="J283" s="4">
        <f>IFERROR(VLOOKUP(B283,OCU_TBL,2,0),"")</f>
        <v/>
      </c>
      <c r="K283" s="4">
        <f>IF(COUNT(F283,I283,J283)=0,NEUTRO,AVERAGE(F283,I283,J283))</f>
        <v/>
      </c>
      <c r="L283" s="4">
        <f>IF(COUNT(F283,I283,J283)=0,"PENDIENTE","")</f>
        <v/>
      </c>
      <c r="M283" t="inlineStr">
        <is>
          <t>PENDIENTE</t>
        </is>
      </c>
      <c r="N283" t="inlineStr"/>
    </row>
    <row r="284">
      <c r="A284" s="2" t="inlineStr">
        <is>
          <t>Suzuki Swift</t>
        </is>
      </c>
      <c r="B284" s="2" t="inlineStr">
        <is>
          <t>Suzuki</t>
        </is>
      </c>
      <c r="F284" s="4">
        <f>IF(C284="","",MAX(0,MIN(100,50+100*(E284-C284)/E284)))</f>
        <v/>
      </c>
      <c r="G284" s="2" t="inlineStr">
        <is>
          <t>Suzuki Swift</t>
        </is>
      </c>
      <c r="H284" s="4">
        <f>IF(G284="","",IFERROR(VLOOKUP(G284,ADAC_TBL,2,0),""))</f>
        <v/>
      </c>
      <c r="I284" s="4">
        <f>IF(H284="","",MAX(0,MIN(100,50+100*(ADAC_REF-H284)/ADAC_REF)))</f>
        <v/>
      </c>
      <c r="J284" s="4">
        <f>IFERROR(VLOOKUP(B284,OCU_TBL,2,0),"")</f>
        <v/>
      </c>
      <c r="K284" s="4">
        <f>IF(COUNT(F284,I284,J284)=0,NEUTRO,AVERAGE(F284,I284,J284))</f>
        <v/>
      </c>
      <c r="L284" s="4">
        <f>IF(COUNT(F284,I284,J284)=0,"PENDIENTE","")</f>
        <v/>
      </c>
      <c r="M284" t="inlineStr">
        <is>
          <t>PENDIENTE (ADAC 2026 entre los mejores Kleinwagen 2016-2023, sin cifra)</t>
        </is>
      </c>
      <c r="N284" t="inlineStr"/>
    </row>
    <row r="285">
      <c r="A285" s="2" t="inlineStr">
        <is>
          <t>Mitsubishi Colt</t>
        </is>
      </c>
      <c r="B285" s="2" t="inlineStr">
        <is>
          <t>Mitsubishi</t>
        </is>
      </c>
      <c r="F285" s="4">
        <f>IF(C285="","",MAX(0,MIN(100,50+100*(E285-C285)/E285)))</f>
        <v/>
      </c>
      <c r="H285" s="4">
        <f>IF(G285="","",IFERROR(VLOOKUP(G285,ADAC_TBL,2,0),""))</f>
        <v/>
      </c>
      <c r="I285" s="4">
        <f>IF(H285="","",MAX(0,MIN(100,50+100*(ADAC_REF-H285)/ADAC_REF)))</f>
        <v/>
      </c>
      <c r="J285" s="4">
        <f>IFERROR(VLOOKUP(B285,OCU_TBL,2,0),"")</f>
        <v/>
      </c>
      <c r="K285" s="4">
        <f>IF(COUNT(F285,I285,J285)=0,NEUTRO,AVERAGE(F285,I285,J285))</f>
        <v/>
      </c>
      <c r="L285" s="4">
        <f>IF(COUNT(F285,I285,J285)=0,"PENDIENTE","")</f>
        <v/>
      </c>
      <c r="M285" t="inlineStr">
        <is>
          <t>PENDIENTE</t>
        </is>
      </c>
      <c r="N285" t="inlineStr"/>
    </row>
    <row r="287">
      <c r="A287" s="6" t="inlineStr">
        <is>
          <t>8. Ajustes por motor con problemas conocidos (el problema tiene fuente; la magnitud es criterio)</t>
        </is>
      </c>
    </row>
    <row r="288">
      <c r="A288" s="7" t="inlineStr">
        <is>
          <t>Marca</t>
        </is>
      </c>
      <c r="B288" s="7" t="inlineStr">
        <is>
          <t>Motor</t>
        </is>
      </c>
      <c r="C288" s="7" t="inlineStr">
        <is>
          <t>Año desde</t>
        </is>
      </c>
      <c r="D288" s="7" t="inlineStr">
        <is>
          <t>Año hasta</t>
        </is>
      </c>
      <c r="E288" s="7" t="inlineStr">
        <is>
          <t>Ajuste (puntos)</t>
        </is>
      </c>
      <c r="F288" s="7" t="inlineStr">
        <is>
          <t>Problema</t>
        </is>
      </c>
      <c r="G288" s="7" t="inlineStr">
        <is>
          <t>Qué revisar</t>
        </is>
      </c>
      <c r="H288" s="7" t="inlineStr">
        <is>
          <t>Estado</t>
        </is>
      </c>
      <c r="I288" s="7" t="inlineStr">
        <is>
          <t>Fuente</t>
        </is>
      </c>
    </row>
    <row r="289">
      <c r="A289" s="2" t="inlineStr">
        <is>
          <t>(todas)</t>
        </is>
      </c>
      <c r="B289" s="2" t="inlineStr">
        <is>
          <t>1.2 PureTech</t>
        </is>
      </c>
      <c r="C289" s="2" t="n">
        <v>2012</v>
      </c>
      <c r="D289" s="2" t="n">
        <v>2022</v>
      </c>
      <c r="E289" s="2" t="n">
        <v>-25</v>
      </c>
      <c r="F289" t="inlineStr">
        <is>
          <t>Correa de distribución húmeda que se degrada y consumo de aceite; Stellantis amplió garantía a 10 años/175.000 km con condiciones</t>
        </is>
      </c>
      <c r="G289" t="inlineStr">
        <is>
          <t>Factura de cambio de correa y del tamiz/bomba de aceite; nivel de aceite; testigo de presión; si entra en la ampliación de garantía Stellantis</t>
        </is>
      </c>
      <c r="H289" t="inlineStr">
        <is>
          <t>probable</t>
        </is>
      </c>
      <c r="I289" t="inlineStr">
        <is>
          <t>https://www.km77.com/revista/engendro-mecanico/stellantis-compensacion-afectados-puretech/ ; https://www.motorpasion.com/industria/stellantis-fin-responde-al-problema-motores-puretech-10-anos-garantia-retroactiva</t>
        </is>
      </c>
    </row>
    <row r="290">
      <c r="A290" s="2" t="inlineStr">
        <is>
          <t>(todas)</t>
        </is>
      </c>
      <c r="B290" s="2" t="inlineStr">
        <is>
          <t>1.0 PureTech</t>
        </is>
      </c>
      <c r="C290" s="2" t="n">
        <v>2012</v>
      </c>
      <c r="D290" s="2" t="n">
        <v>2022</v>
      </c>
      <c r="E290" s="2" t="n">
        <v>-25</v>
      </c>
      <c r="F290" t="inlineStr">
        <is>
          <t>Igual que 1.2 PureTech (familia EB)</t>
        </is>
      </c>
      <c r="G290" t="inlineStr">
        <is>
          <t>Igual que 1.2 PureTech</t>
        </is>
      </c>
      <c r="H290" t="inlineStr">
        <is>
          <t>probable</t>
        </is>
      </c>
      <c r="I290" t="inlineStr">
        <is>
          <t>https://www.km77.com/revista/engendro-mecanico/stellantis-compensacion-afectados-puretech/</t>
        </is>
      </c>
    </row>
    <row r="291">
      <c r="A291" s="2" t="inlineStr">
        <is>
          <t>(todas)</t>
        </is>
      </c>
      <c r="B291" s="2" t="inlineStr">
        <is>
          <t>1.2 VTi</t>
        </is>
      </c>
      <c r="C291" s="2" t="n">
        <v>2012</v>
      </c>
      <c r="D291" s="2" t="n">
        <v>2022</v>
      </c>
      <c r="E291" s="2" t="n">
        <v>-25</v>
      </c>
      <c r="F291" t="inlineStr">
        <is>
          <t>1.2 VTi atmosférico = PureTech EB2 (correa húmeda)</t>
        </is>
      </c>
      <c r="G291" t="inlineStr">
        <is>
          <t>Igual que 1.2 PureTech</t>
        </is>
      </c>
      <c r="H291" t="inlineStr">
        <is>
          <t>probable</t>
        </is>
      </c>
      <c r="I291" t="inlineStr">
        <is>
          <t>https://www.km77.com/revista/engendro-mecanico/stellantis-compensacion-afectados-puretech/</t>
        </is>
      </c>
    </row>
    <row r="292">
      <c r="A292" s="2" t="inlineStr">
        <is>
          <t>(todas)</t>
        </is>
      </c>
      <c r="B292" s="2" t="inlineStr">
        <is>
          <t>1.2 TSI</t>
        </is>
      </c>
      <c r="C292" s="2" t="n">
        <v>2008</v>
      </c>
      <c r="D292" s="2" t="n">
        <v>2012</v>
      </c>
      <c r="E292" s="2" t="n">
        <v>-20</v>
      </c>
      <c r="F292" t="inlineStr">
        <is>
          <t>EA111: cadena de distribución que se alarga y tensor que falla; puede saltar y romper el motor</t>
        </is>
      </c>
      <c r="G292" t="inlineStr">
        <is>
          <t>Ruido metálico en arranque en frío (primeros segundos); factura de cambio de cadena y tensor</t>
        </is>
      </c>
      <c r="H292" t="inlineStr">
        <is>
          <t>probable</t>
        </is>
      </c>
      <c r="I292" t="inlineStr">
        <is>
          <t>https://www.autobild.de/artikel/vw-steuerketten-kulanz-2892135.html</t>
        </is>
      </c>
    </row>
    <row r="293">
      <c r="A293" s="2" t="inlineStr">
        <is>
          <t>(todas)</t>
        </is>
      </c>
      <c r="B293" s="2" t="inlineStr">
        <is>
          <t>1.4 TSI</t>
        </is>
      </c>
      <c r="C293" s="2" t="n">
        <v>2008</v>
      </c>
      <c r="D293" s="2" t="n">
        <v>2012</v>
      </c>
      <c r="E293" s="2" t="n">
        <v>-20</v>
      </c>
      <c r="F293" t="inlineStr">
        <is>
          <t>EA111: cadena de distribución que se alarga y tensor que falla</t>
        </is>
      </c>
      <c r="G293" t="inlineStr">
        <is>
          <t>Ruido de cadena en frío; factura de cadena/tensor; consumo de aceite</t>
        </is>
      </c>
      <c r="H293" t="inlineStr">
        <is>
          <t>probable</t>
        </is>
      </c>
      <c r="I293" t="inlineStr">
        <is>
          <t>https://www.autobild.de/artikel/vw-steuerketten-kulanz-2892135.html</t>
        </is>
      </c>
    </row>
    <row r="294">
      <c r="A294" s="2" t="inlineStr">
        <is>
          <t>(todas)</t>
        </is>
      </c>
      <c r="B294" s="2" t="inlineStr">
        <is>
          <t>1.0 EcoBoost</t>
        </is>
      </c>
      <c r="C294" s="2" t="n">
        <v>2012</v>
      </c>
      <c r="D294" s="2" t="n">
        <v>2018</v>
      </c>
      <c r="E294" s="2" t="n">
        <v>-20</v>
      </c>
      <c r="F294" t="inlineStr">
        <is>
          <t>Correa bañada en aceite que se degrada; fallos de refrigeración y sobrecalentamiento (≈2012-2014)</t>
        </is>
      </c>
      <c r="G294" t="inlineStr">
        <is>
          <t>Fugas y nivel de refrigerante, manguitos, historial de sobrecalentamiento, factura de correa</t>
        </is>
      </c>
      <c r="H294" t="inlineStr">
        <is>
          <t>probable</t>
        </is>
      </c>
      <c r="I294" t="inlineStr">
        <is>
          <t>https://www.motor.es/noticias/ford-10-ecoboost-tricilindricos-correas-banadas-2026115650.html ; https://www.whatcar.com/news/ford-ecoboost-engine-recall-%E2%80%93-what-you-need-to-know/n17972</t>
        </is>
      </c>
    </row>
    <row r="295">
      <c r="A295" s="2" t="inlineStr">
        <is>
          <t>(todas)</t>
        </is>
      </c>
      <c r="B295" s="2" t="inlineStr">
        <is>
          <t>1.2 TCe</t>
        </is>
      </c>
      <c r="C295" s="2" t="n">
        <v>2012</v>
      </c>
      <c r="D295" s="2" t="n">
        <v>2016</v>
      </c>
      <c r="E295" s="2" t="n">
        <v>-20</v>
      </c>
      <c r="F295" t="inlineStr">
        <is>
          <t>H5Ft: consumo excesivo de aceite (fabricados 10/2012-07/2016); recalibración desde 06/2015</t>
        </is>
      </c>
      <c r="G295" t="inlineStr">
        <is>
          <t>Consumo de aceite, humo azul, si se le hizo la actualización de software/campaña</t>
        </is>
      </c>
      <c r="H295" t="inlineStr">
        <is>
          <t>probable</t>
        </is>
      </c>
      <c r="I295" t="inlineStr">
        <is>
          <t>https://questions.assemblee-nationale.fr/dyn/15/questions/QANR5L15QOSD963.pdf</t>
        </is>
      </c>
    </row>
    <row r="296">
      <c r="A296" s="2" t="inlineStr">
        <is>
          <t>Opel</t>
        </is>
      </c>
      <c r="B296" s="2" t="inlineStr">
        <is>
          <t>1.4 Turbo</t>
        </is>
      </c>
      <c r="C296" s="2" t="n">
        <v>2010</v>
      </c>
      <c r="D296" s="2" t="n">
        <v>2018</v>
      </c>
      <c r="E296" s="2" t="n">
        <v>-10</v>
      </c>
      <c r="F296" t="inlineStr">
        <is>
          <t>A14NET: pistones/segmentos (consumo de aceite, preencendido), ventilación del cárter, cadena. Fuentes secundarias</t>
        </is>
      </c>
      <c r="G296" t="inlineStr">
        <is>
          <t>Consumo de aceite, tirones, ruido de cadena</t>
        </is>
      </c>
      <c r="H296" t="inlineStr">
        <is>
          <t>probable (fuente secundaria)</t>
        </is>
      </c>
      <c r="I296" t="inlineStr">
        <is>
          <t>https://carwiki.de/opel-a14net-motor</t>
        </is>
      </c>
    </row>
    <row r="297">
      <c r="A297" s="2" t="inlineStr">
        <is>
          <t>(todas)</t>
        </is>
      </c>
      <c r="B297" s="2" t="inlineStr">
        <is>
          <t>1.6 THP</t>
        </is>
      </c>
      <c r="C297" s="2" t="n">
        <v>2007</v>
      </c>
      <c r="D297" s="2" t="n">
        <v>2018</v>
      </c>
      <c r="E297" s="2" t="n">
        <v>-10</v>
      </c>
      <c r="F297" t="inlineStr">
        <is>
          <t>Familia Prince EP6 turbo (PSA/BMW): estiramiento de la cadena de distribución, consumo de aceite y carbonilla en admisión. Solo fuentes secundarias</t>
        </is>
      </c>
      <c r="G297" t="inlineStr">
        <is>
          <t>Traqueteo de cadena en arranque en frío, consumo de aceite, facturas de cadena/tensor</t>
        </is>
      </c>
      <c r="H297" t="inlineStr">
        <is>
          <t>probable (fuente secundaria)</t>
        </is>
      </c>
      <c r="I297" t="inlineStr">
        <is>
          <t>https://autoscore.pro/engine/1.6-thp-ep6</t>
        </is>
      </c>
    </row>
    <row r="298">
      <c r="A298" s="2" t="inlineStr">
        <is>
          <t>(todas)</t>
        </is>
      </c>
      <c r="B298" s="2" t="inlineStr">
        <is>
          <t>1.6 VTi</t>
        </is>
      </c>
      <c r="C298" s="2" t="n">
        <v>2006</v>
      </c>
      <c r="D298" s="2" t="n">
        <v>2015</v>
      </c>
      <c r="E298" s="2" t="n">
        <v>0</v>
      </c>
      <c r="F298" t="inlineStr">
        <is>
          <t>Familia Prince EP6 atmosférico: se citan problemas de cadena y consumo de aceite, pero solo en foros. Sin ajuste hasta tener fuente seria</t>
        </is>
      </c>
      <c r="G298" t="inlineStr">
        <is>
          <t>Ruido de cadena en frío, consumo de aceite, humo azul</t>
        </is>
      </c>
      <c r="H298" t="inlineStr">
        <is>
          <t>PENDIENTE</t>
        </is>
      </c>
      <c r="I298" t="inlineStr">
        <is>
          <t>sin fuente de autoridad (foros)</t>
        </is>
      </c>
    </row>
    <row r="299">
      <c r="A299" s="2" t="inlineStr">
        <is>
          <t>(todas)</t>
        </is>
      </c>
      <c r="B299" s="2" t="inlineStr">
        <is>
          <t>1.6 HDi</t>
        </is>
      </c>
      <c r="C299" s="2" t="n">
        <v>2004</v>
      </c>
      <c r="D299" s="2" t="n">
        <v>2010</v>
      </c>
      <c r="E299" s="2" t="n">
        <v>-20</v>
      </c>
      <c r="F299" t="inlineStr">
        <is>
          <t>PSA DV6 16v (producido hasta 2010): fallos de inyectores, volante motor, turbo y embrague</t>
        </is>
      </c>
      <c r="G299" t="inlineStr">
        <is>
          <t>Humo y silbido de turbo, juntas de inyector (carbonilla), volante bimasa (vibración al ralentí), factura de turbo/embrague</t>
        </is>
      </c>
      <c r="H299" t="inlineStr">
        <is>
          <t>confirmado</t>
        </is>
      </c>
      <c r="I299" t="inlineStr">
        <is>
          <t>L'argus, 'Diesel : la liste des pannes récurrentes des moteurs HDi, dCi, TDI...' (28-10-2014): https://www.largus.fr/actualite-automobile/diesel-la-liste-des-pannes-recurrentes-5287380_p_2.html</t>
        </is>
      </c>
    </row>
    <row r="300">
      <c r="A300" s="2" t="inlineStr">
        <is>
          <t>(todas)</t>
        </is>
      </c>
      <c r="B300" s="2" t="inlineStr">
        <is>
          <t>1.6 HDi</t>
        </is>
      </c>
      <c r="C300" s="2" t="n">
        <v>2011</v>
      </c>
      <c r="D300" s="2" t="n">
        <v>2014</v>
      </c>
      <c r="E300" s="2" t="n">
        <v>-10</v>
      </c>
      <c r="F300" t="inlineStr">
        <is>
          <t>PSA DV6 8v: inyectores Continental con tirones hasta abril de 2014; la polea del cigüeñal desgasta la correa de distribución</t>
        </is>
      </c>
      <c r="G300" t="inlineStr">
        <is>
          <t>Tirones en aceleración, estado de la correa y de la polea del cigüeñal, factura de distribución</t>
        </is>
      </c>
      <c r="H300" t="inlineStr">
        <is>
          <t>confirmado</t>
        </is>
      </c>
      <c r="I300" t="inlineStr">
        <is>
          <t>L'argus, 'Diesel : la liste des pannes récurrentes des moteurs HDi, dCi, TDI...' (28-10-2014): https://www.largus.fr/actualite-automobile/diesel-la-liste-des-pannes-recurrentes-5287380_p_2.html</t>
        </is>
      </c>
    </row>
    <row r="301">
      <c r="A301" s="2" t="inlineStr">
        <is>
          <t>(todas)</t>
        </is>
      </c>
      <c r="B301" s="2" t="inlineStr">
        <is>
          <t>1.6 HDi</t>
        </is>
      </c>
      <c r="C301" s="2" t="n">
        <v>2015</v>
      </c>
      <c r="D301" s="2" t="n">
        <v>2020</v>
      </c>
      <c r="E301" s="2" t="n">
        <v>-5</v>
      </c>
      <c r="F301" t="inlineStr">
        <is>
          <t>1.6 BlueHDi: depósito de AdBlue defectuoso; Stellantis amplió la garantía de sustitución a 8 años (acuerdo OCU/BEUC)</t>
        </is>
      </c>
      <c r="G301" t="inlineStr">
        <is>
          <t>Testigo de AdBlue/anticontaminación; si se cambió el depósito, factura o si entra en la ampliación</t>
        </is>
      </c>
      <c r="H301" t="inlineStr">
        <is>
          <t>confirmado</t>
        </is>
      </c>
      <c r="I301" t="inlineStr">
        <is>
          <t>OCU, nota de prensa 27-12-2024: https://www.ocu.org/organizacion/prensa/notas-de-prensa/2024/adblue271224</t>
        </is>
      </c>
    </row>
    <row r="302">
      <c r="A302" s="2" t="inlineStr">
        <is>
          <t>(todas)</t>
        </is>
      </c>
      <c r="B302" s="2" t="inlineStr">
        <is>
          <t>1.6 TDCi</t>
        </is>
      </c>
      <c r="C302" s="2" t="n">
        <v>2004</v>
      </c>
      <c r="D302" s="2" t="n">
        <v>2010</v>
      </c>
      <c r="E302" s="2" t="n">
        <v>-20</v>
      </c>
      <c r="F302" t="inlineStr">
        <is>
          <t>Ford 1.6 TDCi = PSA DV6 16v: mismos fallos de inyectores, turbo y volante motor</t>
        </is>
      </c>
      <c r="G302" t="inlineStr">
        <is>
          <t>Igual que 1.6 HDi 16v</t>
        </is>
      </c>
      <c r="H302" t="inlineStr">
        <is>
          <t>probable (mismo motor que el 1.6 HDi; la fuente habla de PSA)</t>
        </is>
      </c>
      <c r="I302" t="inlineStr">
        <is>
          <t>L'argus, 'Diesel : la liste des pannes récurrentes des moteurs HDi, dCi, TDI...' (28-10-2014): https://www.largus.fr/actualite-automobile/diesel-la-liste-des-pannes-recurrentes-5287380_p_2.html</t>
        </is>
      </c>
    </row>
    <row r="303">
      <c r="A303" s="2" t="inlineStr">
        <is>
          <t>(todas)</t>
        </is>
      </c>
      <c r="B303" s="2" t="inlineStr">
        <is>
          <t>1.6 TDCi</t>
        </is>
      </c>
      <c r="C303" s="2" t="n">
        <v>2011</v>
      </c>
      <c r="D303" s="2" t="n">
        <v>2014</v>
      </c>
      <c r="E303" s="2" t="n">
        <v>-10</v>
      </c>
      <c r="F303" t="inlineStr">
        <is>
          <t>Ford 1.6 TDCi = PSA DV6 8v: inyectores y desgaste de la correa por la polea</t>
        </is>
      </c>
      <c r="G303" t="inlineStr">
        <is>
          <t>Igual que 1.6 HDi 8v</t>
        </is>
      </c>
      <c r="H303" t="inlineStr">
        <is>
          <t>probable (mismo motor)</t>
        </is>
      </c>
      <c r="I303" t="inlineStr">
        <is>
          <t>L'argus, 'Diesel : la liste des pannes récurrentes des moteurs HDi, dCi, TDI...' (28-10-2014): https://www.largus.fr/actualite-automobile/diesel-la-liste-des-pannes-recurrentes-5287380_p_2.html</t>
        </is>
      </c>
    </row>
    <row r="304">
      <c r="A304" s="2" t="inlineStr">
        <is>
          <t>(todas)</t>
        </is>
      </c>
      <c r="B304" s="2" t="inlineStr">
        <is>
          <t>1.4 HDi</t>
        </is>
      </c>
      <c r="C304" s="2" t="n">
        <v>2001</v>
      </c>
      <c r="D304" s="2" t="n">
        <v>2008</v>
      </c>
      <c r="E304" s="2" t="n">
        <v>-10</v>
      </c>
      <c r="F304" t="inlineStr">
        <is>
          <t>PSA DV4: fugas en inyectores (juntas hasta 01-04-2004, tubos rígidos hasta 31-01-2008)</t>
        </is>
      </c>
      <c r="G304" t="inlineStr">
        <is>
          <t>Olor a gasóleo, fugas en inyectores, arranque en caliente</t>
        </is>
      </c>
      <c r="H304" t="inlineStr">
        <is>
          <t>confirmado</t>
        </is>
      </c>
      <c r="I304" t="inlineStr">
        <is>
          <t>L'argus, 'Diesel : la liste des pannes récurrentes des moteurs HDi, dCi, TDI...' (28-10-2014): https://www.largus.fr/actualite-automobile/diesel-la-liste-des-pannes-recurrentes-5287380_p_2.html</t>
        </is>
      </c>
    </row>
    <row r="305">
      <c r="A305" s="2" t="inlineStr">
        <is>
          <t>(todas)</t>
        </is>
      </c>
      <c r="B305" s="2" t="inlineStr">
        <is>
          <t>1.4 HDi</t>
        </is>
      </c>
      <c r="C305" s="2" t="n">
        <v>2009</v>
      </c>
      <c r="D305" s="2" t="n">
        <v>2013</v>
      </c>
      <c r="E305" s="2" t="n">
        <v>-5</v>
      </c>
      <c r="F305" t="inlineStr">
        <is>
          <t>1.4 HDi 68 FAP Euro 5: riesgo de obstrucción del filtro de partículas hasta julio de 2013 (regeneración)</t>
        </is>
      </c>
      <c r="G305" t="inlineStr">
        <is>
          <t>Testigo de FAP, regeneraciones frecuentes</t>
        </is>
      </c>
      <c r="H305" t="inlineStr">
        <is>
          <t>confirmado</t>
        </is>
      </c>
      <c r="I305" t="inlineStr">
        <is>
          <t>L'argus, 'Diesel : la liste des pannes récurrentes des moteurs HDi, dCi, TDI...' (28-10-2014): https://www.largus.fr/actualite-automobile/diesel-la-liste-des-pannes-recurrentes-5287380_p_2.html</t>
        </is>
      </c>
    </row>
    <row r="306">
      <c r="A306" s="2" t="inlineStr">
        <is>
          <t>(todas)</t>
        </is>
      </c>
      <c r="B306" s="2" t="inlineStr">
        <is>
          <t>1.4 TDCi</t>
        </is>
      </c>
      <c r="C306" s="2" t="n">
        <v>2001</v>
      </c>
      <c r="D306" s="2" t="n">
        <v>2008</v>
      </c>
      <c r="E306" s="2" t="n">
        <v>-10</v>
      </c>
      <c r="F306" t="inlineStr">
        <is>
          <t>Ford 1.4 TDCi = PSA DV4: fugas en inyectores</t>
        </is>
      </c>
      <c r="G306" t="inlineStr">
        <is>
          <t>Igual que 1.4 HDi</t>
        </is>
      </c>
      <c r="H306" t="inlineStr">
        <is>
          <t>probable (mismo motor)</t>
        </is>
      </c>
      <c r="I306" t="inlineStr">
        <is>
          <t>L'argus, 'Diesel : la liste des pannes récurrentes des moteurs HDi, dCi, TDI...' (28-10-2014): https://www.largus.fr/actualite-automobile/diesel-la-liste-des-pannes-recurrentes-5287380_p_2.html</t>
        </is>
      </c>
    </row>
    <row r="307">
      <c r="A307" s="2" t="inlineStr">
        <is>
          <t>(todas)</t>
        </is>
      </c>
      <c r="B307" s="2" t="inlineStr">
        <is>
          <t>1.5 dCi</t>
        </is>
      </c>
      <c r="C307" s="2" t="n">
        <v>2001</v>
      </c>
      <c r="D307" s="2" t="n">
        <v>2007</v>
      </c>
      <c r="E307" s="2" t="n">
        <v>-25</v>
      </c>
      <c r="F307" t="inlineStr">
        <is>
          <t>Renault K9K: desgaste anormal de los cojinetes de biela que puede acabar en rotura del motor (afectó a cerca del 1 % hasta 2007)</t>
        </is>
      </c>
      <c r="G307" t="inlineStr">
        <is>
          <t>Ruido de bielas en caliente, presión de aceite, facturas de cambio de aceite cada 10-15.000 km; si se cambiaron cojinetes</t>
        </is>
      </c>
      <c r="H307" t="inlineStr">
        <is>
          <t>confirmado</t>
        </is>
      </c>
      <c r="I307" t="inlineStr">
        <is>
          <t>L'argus, 'Diesel : la liste des pannes récurrentes des moteurs HDi, dCi, TDI...' (28-10-2014): https://www.largus.fr/actualite-automobile/diesel-la-liste-des-pannes-recurrentes-5287380_p_3.html</t>
        </is>
      </c>
    </row>
    <row r="308">
      <c r="A308" s="2" t="inlineStr">
        <is>
          <t>(todas)</t>
        </is>
      </c>
      <c r="B308" s="2" t="inlineStr">
        <is>
          <t>1.5 dCi</t>
        </is>
      </c>
      <c r="C308" s="2" t="n">
        <v>2008</v>
      </c>
      <c r="D308" s="2" t="n">
        <v>2018</v>
      </c>
      <c r="E308" s="2" t="n">
        <v>0</v>
      </c>
      <c r="F308" t="inlineStr">
        <is>
          <t>La fuente sitúa el problema de los cojinetes hasta 2007; después no señala fallos graves específicos</t>
        </is>
      </c>
      <c r="G308" t="inlineStr">
        <is>
          <t>Historial de cambios de aceite, EGR y FAP en uso urbano</t>
        </is>
      </c>
      <c r="H308" t="inlineStr">
        <is>
          <t>probable</t>
        </is>
      </c>
      <c r="I308" t="inlineStr">
        <is>
          <t>L'argus, 'Diesel : la liste des pannes récurrentes des moteurs HDi, dCi, TDI...' (28-10-2014): https://www.largus.fr/actualite-automobile/diesel-la-liste-des-pannes-recurrentes-5287380_p_3.html</t>
        </is>
      </c>
    </row>
    <row r="309">
      <c r="A309" s="2" t="inlineStr">
        <is>
          <t>(todas)</t>
        </is>
      </c>
      <c r="B309" s="2" t="inlineStr">
        <is>
          <t>1.3 Multijet</t>
        </is>
      </c>
      <c r="C309" s="2" t="n">
        <v>2005</v>
      </c>
      <c r="D309" s="2" t="n">
        <v>2018</v>
      </c>
      <c r="E309" s="2" t="n">
        <v>-15</v>
      </c>
      <c r="F309" t="inlineStr">
        <is>
          <t>Fiat 1.3 JTD/Multijet (también Ford Ka, Suzuki Splash y Swift): riesgo de rotura del motor por dilución del aceite</t>
        </is>
      </c>
      <c r="G309" t="inlineStr">
        <is>
          <t>Nivel de aceite que SUBE (dilución por gasóleo), regeneraciones del FAP, cambios de aceite frecuentes</t>
        </is>
      </c>
      <c r="H309" t="inlineStr">
        <is>
          <t>confirmado</t>
        </is>
      </c>
      <c r="I309" t="inlineStr">
        <is>
          <t>L'argus, 'Diesel : la liste des pannes récurrentes des moteurs HDi, dCi, TDI...' (28-10-2014): https://www.largus.fr/actualite-automobile/diesel-la-liste-des-pannes-recurrentes-5287380_p_5.html</t>
        </is>
      </c>
    </row>
    <row r="310">
      <c r="A310" s="2" t="inlineStr">
        <is>
          <t>Ford</t>
        </is>
      </c>
      <c r="B310" s="2" t="inlineStr">
        <is>
          <t>1.3 TDCi</t>
        </is>
      </c>
      <c r="C310" s="2" t="n">
        <v>2008</v>
      </c>
      <c r="D310" s="2" t="n">
        <v>2016</v>
      </c>
      <c r="E310" s="2" t="n">
        <v>-15</v>
      </c>
      <c r="F310" t="inlineStr">
        <is>
          <t>Ford Ka 1.3 TDCi = Fiat 1.3 Multijet: riesgo de rotura por dilución del aceite</t>
        </is>
      </c>
      <c r="G310" t="inlineStr">
        <is>
          <t>Igual que 1.3 Multijet</t>
        </is>
      </c>
      <c r="H310" t="inlineStr">
        <is>
          <t>confirmado (la fuente cita el Ford Ka)</t>
        </is>
      </c>
      <c r="I310" t="inlineStr">
        <is>
          <t>L'argus (28-10-2014): https://www.largus.fr/actualite-automobile/diesel-la-liste-des-pannes-recurrentes-5287380_p_5.html</t>
        </is>
      </c>
    </row>
    <row r="311">
      <c r="A311" s="2" t="inlineStr">
        <is>
          <t>(todas)</t>
        </is>
      </c>
      <c r="B311" s="2" t="inlineStr">
        <is>
          <t>1.3 CDTi</t>
        </is>
      </c>
      <c r="C311" s="2" t="n">
        <v>2003</v>
      </c>
      <c r="D311" s="2" t="n">
        <v>2009</v>
      </c>
      <c r="E311" s="2" t="n">
        <v>-5</v>
      </c>
      <c r="F311" t="inlineStr">
        <is>
          <t>Opel 1.3 CDTI: olor a gasóleo por soportes o juntas de inyectores hasta junio de 2009</t>
        </is>
      </c>
      <c r="G311" t="inlineStr">
        <is>
          <t>Olor a gasóleo en el habitáculo, juntas de inyector</t>
        </is>
      </c>
      <c r="H311" t="inlineStr">
        <is>
          <t>confirmado</t>
        </is>
      </c>
      <c r="I311" t="inlineStr">
        <is>
          <t>L'argus, 'Diesel : la liste des pannes récurrentes des moteurs HDi, dCi, TDI...' (28-10-2014): https://www.largus.fr/actualite-automobile/diesel-la-liste-des-pannes-recurrentes-5287380_p_5.html</t>
        </is>
      </c>
    </row>
    <row r="312">
      <c r="A312" s="2" t="inlineStr">
        <is>
          <t>(todas)</t>
        </is>
      </c>
      <c r="B312" s="2" t="inlineStr">
        <is>
          <t>1.6 TDI</t>
        </is>
      </c>
      <c r="C312" s="2" t="n">
        <v>2009</v>
      </c>
      <c r="D312" s="2" t="n">
        <v>2015</v>
      </c>
      <c r="E312" s="2" t="n">
        <v>-10</v>
      </c>
      <c r="F312" t="inlineStr">
        <is>
          <t>VAG EA189: fuga de refrigerante por la bomba de agua (L'argus) y campaña de emisiones (dieselgate) con actualización de software y rectificador de flujo</t>
        </is>
      </c>
      <c r="G312" t="inlineStr">
        <is>
          <t>Nivel de refrigerante; comprobar con el bastidor que la campaña EA189 está hecha (si no, puede afectar a la ITV)</t>
        </is>
      </c>
      <c r="H312" t="inlineStr">
        <is>
          <t>confirmado</t>
        </is>
      </c>
      <c r="I312" t="inlineStr">
        <is>
          <t>L'argus, 'Diesel : la liste des pannes récurrentes des moteurs HDi, dCi, TDI...' (28-10-2014): https://www.largus.fr/actualite-automobile/diesel-la-liste-des-pannes-recurrentes-5287380_p_4.html ; campaña EA189 en España: https://www.autofacil.es/lista-coches-afectados-fraude-volkswagen-asciende-683626-unidades-espana</t>
        </is>
      </c>
    </row>
    <row r="313">
      <c r="A313" s="2" t="inlineStr">
        <is>
          <t>(todas)</t>
        </is>
      </c>
      <c r="B313" s="2" t="inlineStr">
        <is>
          <t>1.2 TDI</t>
        </is>
      </c>
      <c r="C313" s="2" t="n">
        <v>2009</v>
      </c>
      <c r="D313" s="2" t="n">
        <v>2014</v>
      </c>
      <c r="E313" s="2" t="n">
        <v>-5</v>
      </c>
      <c r="F313" t="inlineStr">
        <is>
          <t>VAG 1.2 TDI EA189: incluido en la campaña de emisiones (actualización de software)</t>
        </is>
      </c>
      <c r="G313" t="inlineStr">
        <is>
          <t>Comprobar con el bastidor que la campaña EA189 está hecha; FAP en uso urbano</t>
        </is>
      </c>
      <c r="H313" t="inlineStr">
        <is>
          <t>confirmado (campaña); fiabilidad mecánica PENDIENTE</t>
        </is>
      </c>
      <c r="I313" t="inlineStr">
        <is>
          <t>https://www.motor.es/noticias/deberia-llevar-tdi-revision-dieselgate-201630418.html</t>
        </is>
      </c>
    </row>
    <row r="314">
      <c r="A314" t="inlineStr">
        <is>
          <t>Motores con buena fama: PENDIENTE de fuente de autoridad; sin ajuste positivo.</t>
        </is>
      </c>
    </row>
    <row r="316">
      <c r="A316" s="6" t="inlineStr">
        <is>
          <t>9. Ajustes por combustible</t>
        </is>
      </c>
    </row>
    <row r="317">
      <c r="A317" s="7" t="inlineStr">
        <is>
          <t>Combustible</t>
        </is>
      </c>
      <c r="B317" s="7" t="inlineStr">
        <is>
          <t>Ajuste (puntos)</t>
        </is>
      </c>
      <c r="C317" s="7" t="inlineStr">
        <is>
          <t>Problema</t>
        </is>
      </c>
      <c r="D317" s="7" t="inlineStr">
        <is>
          <t>Qué revisar</t>
        </is>
      </c>
      <c r="E317" s="7" t="inlineStr">
        <is>
          <t>Estado</t>
        </is>
      </c>
      <c r="F317" s="7" t="inlineStr">
        <is>
          <t>Fuente</t>
        </is>
      </c>
    </row>
    <row r="318">
      <c r="A318" s="2" t="inlineStr">
        <is>
          <t>diesel</t>
        </is>
      </c>
      <c r="B318" s="2" t="n">
        <v>-15</v>
      </c>
      <c r="C318" t="inlineStr">
        <is>
          <t>Filtro de partículas (DPF): en uso urbano no regenera y se colmata; sustitución &gt;1.000-1.500 €</t>
        </is>
      </c>
      <c r="D318" t="inlineStr">
        <is>
          <t>Testigo DPF, regeneraciones frecuentes, EGR, si se ha anulado el filtro (ilegal en ITV)</t>
        </is>
      </c>
      <c r="E318" t="inlineStr">
        <is>
          <t>probable</t>
        </is>
      </c>
      <c r="F318"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2026-10-31T17:03:43Z</dcterms:created>
  <dcterms:modified xmlns:dcterms="http://purl.org/dc/terms/" xmlns:xsi="http://www.w3.org/2001/XMLSchema-instance" xsi:type="dcterms:W3CDTF">2026-10-31T17:03:46Z</dcterms:modified>
</cp:coreProperties>
</file>